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752" firstSheet="0" activeTab="13" autoFilterDateGrouping="1"/>
  </bookViews>
  <sheets>
    <sheet name="M-01" sheetId="1" state="visible" r:id="rId1"/>
    <sheet name="M-02" sheetId="2" state="visible" r:id="rId2"/>
    <sheet name="M-03" sheetId="3" state="visible" r:id="rId3"/>
    <sheet name="M-04" sheetId="4" state="visible" r:id="rId4"/>
    <sheet name="M-05" sheetId="5" state="visible" r:id="rId5"/>
    <sheet name="M-06" sheetId="6" state="visible" r:id="rId6"/>
    <sheet name="M-07" sheetId="7" state="visible" r:id="rId7"/>
    <sheet name="M-08" sheetId="8" state="visible" r:id="rId8"/>
    <sheet name="M-09" sheetId="9" state="visible" r:id="rId9"/>
    <sheet name="M-10" sheetId="10" state="visible" r:id="rId10"/>
    <sheet name="M-11" sheetId="11" state="visible" r:id="rId11"/>
    <sheet name="M-12" sheetId="12" state="visible" r:id="rId12"/>
    <sheet name="FAO" sheetId="13" state="visible" r:id="rId13"/>
    <sheet name="SPECIES" sheetId="14" state="visible" r:id="rId14"/>
    <sheet name="ELEFAN_ONE" sheetId="15" state="visible" r:id="rId15"/>
    <sheet name="ELEFAN12" sheetId="16" state="visible" r:id="rId16"/>
    <sheet name="ignore" sheetId="17" state="visible" r:id="rId17"/>
  </sheets>
  <definedNames>
    <definedName name="FAOCODES">FAO!$B$1:$W$1</definedName>
    <definedName name="_xlnm._FilterDatabase" localSheetId="0" hidden="1">'M-01'!$A$14:$E$14</definedName>
    <definedName name="_xlnm._FilterDatabase" localSheetId="1" hidden="1">'M-02'!$A$14:$E$14</definedName>
    <definedName name="_xlnm._FilterDatabase" localSheetId="2" hidden="1">'M-03'!$A$14:$E$14</definedName>
    <definedName name="_xlnm._FilterDatabase" localSheetId="3" hidden="1">'M-04'!$A$14:$E$14</definedName>
    <definedName name="_xlnm._FilterDatabase" localSheetId="4" hidden="1">'M-05'!$A$14:$E$14</definedName>
    <definedName name="_xlnm._FilterDatabase" localSheetId="5" hidden="1">'M-06'!$A$14:$E$574</definedName>
    <definedName name="_xlnm._FilterDatabase" localSheetId="6" hidden="1">'M-07'!$A$14:$E$488</definedName>
    <definedName name="_xlnm._FilterDatabase" localSheetId="7" hidden="1">'M-08'!$A$14:$E$14</definedName>
    <definedName name="_xlnm._FilterDatabase" localSheetId="8" hidden="1">'M-09'!$A$14:$E$14</definedName>
    <definedName name="_xlnm._FilterDatabase" localSheetId="9" hidden="1">'M-10'!$A$14:$E$14</definedName>
    <definedName name="_xlnm._FilterDatabase" localSheetId="10" hidden="1">'M-11'!$A$14:$E$14</definedName>
    <definedName name="_xlnm._FilterDatabase" localSheetId="11" hidden="1">'M-12'!$A$14:$E$14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\ \ \ \ 0"/>
    <numFmt numFmtId="166" formatCode="_(* #,##0.0_);_(* \(#,##0.0\);_(* &quot;-&quot;??_);_(@_)"/>
  </numFmts>
  <fonts count="38">
    <font>
      <name val="Aptos Narrow"/>
      <family val="2"/>
      <color theme="1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sz val="8"/>
      <scheme val="minor"/>
    </font>
    <font>
      <name val="Aptos Narrow"/>
      <i val="1"/>
      <color theme="1"/>
      <sz val="9"/>
      <scheme val="minor"/>
    </font>
    <font>
      <name val="Aptos Narrow"/>
      <family val="2"/>
      <color theme="1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3.5"/>
      <scheme val="minor"/>
    </font>
    <font>
      <name val="Aptos Narrow"/>
      <b val="1"/>
      <color theme="1"/>
      <sz val="12"/>
      <scheme val="minor"/>
    </font>
    <font>
      <name val="Aptos Narrow"/>
      <b val="1"/>
      <color rgb="FF006100"/>
      <sz val="11"/>
      <scheme val="minor"/>
    </font>
    <font>
      <name val="Aptos Narrow"/>
      <family val="2"/>
      <b val="1"/>
      <color theme="1"/>
      <sz val="18"/>
      <scheme val="minor"/>
    </font>
    <font>
      <name val="Aptos Narrow"/>
      <b val="1"/>
      <color theme="1"/>
      <sz val="11"/>
      <scheme val="minor"/>
    </font>
    <font>
      <name val="Aptos Narrow"/>
      <b val="1"/>
      <color theme="0"/>
      <sz val="11"/>
      <scheme val="minor"/>
    </font>
    <font>
      <name val="Aptos Narrow"/>
      <i val="1"/>
      <color theme="1"/>
      <sz val="11"/>
      <scheme val="minor"/>
    </font>
    <font>
      <name val="Aptos Narrow"/>
      <i val="1"/>
      <color rgb="FFFFFF00"/>
      <sz val="11"/>
      <scheme val="minor"/>
    </font>
    <font>
      <name val="Aptos Narrow"/>
      <family val="2"/>
      <color theme="1"/>
      <sz val="8"/>
      <scheme val="minor"/>
    </font>
    <font>
      <name val="Aptos Narrow"/>
      <i val="1"/>
      <sz val="11"/>
      <scheme val="minor"/>
    </font>
    <font>
      <name val="Aptos Narrow"/>
      <b val="1"/>
      <sz val="11"/>
      <scheme val="minor"/>
    </font>
    <font>
      <name val="Aptos Narrow"/>
      <sz val="11"/>
      <scheme val="minor"/>
    </font>
    <font>
      <name val="Aptos Narrow"/>
      <i val="1"/>
      <sz val="9"/>
      <scheme val="minor"/>
    </font>
    <font>
      <name val="Aptos Narrow"/>
      <family val="2"/>
      <b val="1"/>
      <color theme="0"/>
      <sz val="8"/>
      <scheme val="minor"/>
    </font>
    <font>
      <name val="Aptos Narrow"/>
      <family val="2"/>
      <b val="1"/>
      <color theme="1"/>
      <sz val="8"/>
      <scheme val="minor"/>
    </font>
    <font>
      <name val="Aptos Narrow"/>
      <color rgb="FFFFFF00"/>
      <sz val="11"/>
      <scheme val="minor"/>
    </font>
    <font>
      <name val="Aptos Narrow"/>
      <b val="1"/>
      <color rgb="FFFFFF00"/>
      <sz val="11"/>
      <scheme val="minor"/>
    </font>
    <font>
      <name val="Aptos Narrow"/>
      <i val="1"/>
      <color rgb="FFFFFF00"/>
      <sz val="9"/>
      <scheme val="minor"/>
    </font>
    <font>
      <name val="Aptos Narrow"/>
      <family val="2"/>
      <color rgb="FF383A42"/>
      <sz val="10"/>
      <scheme val="minor"/>
    </font>
    <font>
      <name val="Aptos Narrow"/>
      <family val="2"/>
      <b val="1"/>
      <color theme="0"/>
      <sz val="11"/>
      <scheme val="minor"/>
    </font>
    <font>
      <name val="Aptos Narrow"/>
      <b val="1"/>
      <i val="1"/>
      <sz val="11"/>
      <scheme val="minor"/>
    </font>
    <font>
      <name val="Aptos Narrow"/>
      <color theme="1"/>
      <sz val="11"/>
      <scheme val="minor"/>
    </font>
    <font>
      <name val="Aptos Narrow"/>
      <family val="2"/>
      <color rgb="FFFFFF00"/>
      <sz val="12"/>
      <scheme val="minor"/>
    </font>
    <font>
      <name val="Aptos Narrow"/>
      <family val="2"/>
      <color theme="0" tint="-0.1499984740745262"/>
      <sz val="11"/>
      <scheme val="minor"/>
    </font>
    <font>
      <name val="Aptos Narrow"/>
      <color rgb="FF006100"/>
      <sz val="11"/>
      <scheme val="minor"/>
    </font>
    <font>
      <name val="Aptos Narrow"/>
      <family val="2"/>
      <b val="1"/>
      <color theme="0" tint="-0.1499984740745262"/>
      <sz val="8"/>
      <scheme val="minor"/>
    </font>
    <font>
      <name val="Aptos Narrow"/>
      <family val="2"/>
      <color theme="0" tint="-0.1499984740745262"/>
      <sz val="8"/>
      <scheme val="minor"/>
    </font>
    <font>
      <name val="Aptos Narrow"/>
      <family val="2"/>
      <color theme="0"/>
      <sz val="11"/>
      <scheme val="minor"/>
    </font>
  </fonts>
  <fills count="2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"/>
        <bgColor theme="4" tint="0.5999938962981048"/>
      </patternFill>
    </fill>
    <fill>
      <patternFill patternType="solid">
        <fgColor rgb="FFFFC0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theme="4"/>
      </patternFill>
    </fill>
    <fill>
      <patternFill patternType="solid">
        <fgColor rgb="FFC00000"/>
        <bgColor theme="4" tint="0.5999938962981048"/>
      </patternFill>
    </fill>
    <fill>
      <patternFill patternType="solid">
        <fgColor rgb="FFC00000"/>
        <bgColor theme="4" tint="0.799981688894314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 style="thin">
        <color theme="4" tint="0.3999755851924192"/>
      </right>
      <top style="thin">
        <color theme="4" tint="0.3999755851924192"/>
      </top>
      <bottom/>
      <diagonal/>
    </border>
    <border>
      <left/>
      <right/>
      <top style="thin">
        <color rgb="FF7F7F7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7F7F7F"/>
      </right>
      <top/>
      <bottom style="thin">
        <color rgb="FF7F7F7F"/>
      </bottom>
      <diagonal/>
    </border>
  </borders>
  <cellStyleXfs count="7">
    <xf numFmtId="0" fontId="6" fillId="0" borderId="0"/>
    <xf numFmtId="0" fontId="1" fillId="2" borderId="0"/>
    <xf numFmtId="0" fontId="2" fillId="3" borderId="0"/>
    <xf numFmtId="0" fontId="3" fillId="4" borderId="1"/>
    <xf numFmtId="43" fontId="6" fillId="0" borderId="0"/>
    <xf numFmtId="0" fontId="7" fillId="6" borderId="0"/>
    <xf numFmtId="0" fontId="9" fillId="0" borderId="0"/>
  </cellStyleXfs>
  <cellXfs count="140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9" fillId="0" borderId="0" pivotButton="0" quotePrefix="0" xfId="6"/>
    <xf numFmtId="0" fontId="1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left" vertical="center"/>
    </xf>
    <xf numFmtId="0" fontId="11" fillId="0" borderId="0" pivotButton="0" quotePrefix="0" xfId="6"/>
    <xf numFmtId="0" fontId="13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indent="2"/>
    </xf>
    <xf numFmtId="0" fontId="0" fillId="0" borderId="0" applyAlignment="1" pivotButton="0" quotePrefix="0" xfId="0">
      <alignment wrapText="1"/>
    </xf>
    <xf numFmtId="0" fontId="14" fillId="0" borderId="0" pivotButton="0" quotePrefix="0" xfId="0"/>
    <xf numFmtId="0" fontId="9" fillId="0" borderId="0" applyAlignment="1" pivotButton="0" quotePrefix="0" xfId="6">
      <alignment horizontal="center"/>
    </xf>
    <xf numFmtId="0" fontId="0" fillId="7" borderId="0" pivotButton="0" quotePrefix="0" xfId="0"/>
    <xf numFmtId="0" fontId="0" fillId="8" borderId="0" pivotButton="0" quotePrefix="0" xfId="0"/>
    <xf numFmtId="0" fontId="0" fillId="0" borderId="0" applyAlignment="1" pivotButton="0" quotePrefix="0" xfId="0">
      <alignment horizontal="center"/>
    </xf>
    <xf numFmtId="0" fontId="16" fillId="0" borderId="0" pivotButton="0" quotePrefix="0" xfId="0"/>
    <xf numFmtId="0" fontId="5" fillId="0" borderId="0" applyAlignment="1" pivotButton="0" quotePrefix="0" xfId="0">
      <alignment horizontal="left"/>
    </xf>
    <xf numFmtId="0" fontId="19" fillId="0" borderId="0" pivotButton="0" quotePrefix="0" xfId="0"/>
    <xf numFmtId="0" fontId="21" fillId="0" borderId="0" pivotButton="0" quotePrefix="0" xfId="0"/>
    <xf numFmtId="0" fontId="17" fillId="5" borderId="0" pivotButton="0" quotePrefix="0" xfId="0"/>
    <xf numFmtId="0" fontId="18" fillId="0" borderId="0" applyAlignment="1" pivotButton="0" quotePrefix="0" xfId="0">
      <alignment wrapText="1"/>
    </xf>
    <xf numFmtId="0" fontId="18" fillId="0" borderId="0" applyAlignment="1" pivotButton="0" quotePrefix="0" xfId="0">
      <alignment horizontal="center" vertical="center" wrapText="1"/>
    </xf>
    <xf numFmtId="0" fontId="23" fillId="11" borderId="0" applyAlignment="1" pivotButton="0" quotePrefix="0" xfId="0">
      <alignment horizontal="center" vertical="center" wrapText="1"/>
    </xf>
    <xf numFmtId="0" fontId="23" fillId="11" borderId="4" applyAlignment="1" pivotButton="0" quotePrefix="0" xfId="0">
      <alignment horizontal="center" vertical="center" wrapText="1"/>
    </xf>
    <xf numFmtId="0" fontId="24" fillId="13" borderId="5" applyAlignment="1" pivotButton="0" quotePrefix="0" xfId="0">
      <alignment horizontal="center" vertical="center" wrapText="1"/>
    </xf>
    <xf numFmtId="0" fontId="24" fillId="12" borderId="6" applyAlignment="1" pivotButton="0" quotePrefix="0" xfId="0">
      <alignment horizontal="center" vertical="center" wrapText="1"/>
    </xf>
    <xf numFmtId="0" fontId="24" fillId="13" borderId="7" applyAlignment="1" pivotButton="0" quotePrefix="0" xfId="0">
      <alignment horizontal="center" vertical="center" wrapText="1"/>
    </xf>
    <xf numFmtId="0" fontId="24" fillId="10" borderId="3" applyAlignment="1" pivotButton="0" quotePrefix="0" xfId="0">
      <alignment horizontal="center" vertical="center" wrapText="1"/>
    </xf>
    <xf numFmtId="0" fontId="24" fillId="12" borderId="3" applyAlignment="1" pivotButton="0" quotePrefix="0" xfId="0">
      <alignment horizontal="center" vertical="center" wrapText="1"/>
    </xf>
    <xf numFmtId="164" fontId="22" fillId="0" borderId="0" applyAlignment="1" pivotButton="0" quotePrefix="0" xfId="4">
      <alignment horizontal="left"/>
    </xf>
    <xf numFmtId="0" fontId="21" fillId="7" borderId="0" applyAlignment="1" pivotButton="0" quotePrefix="0" xfId="0">
      <alignment horizontal="center" vertical="center"/>
    </xf>
    <xf numFmtId="0" fontId="21" fillId="8" borderId="0" applyAlignment="1" pivotButton="0" quotePrefix="0" xfId="0">
      <alignment horizontal="center" vertical="center"/>
    </xf>
    <xf numFmtId="0" fontId="19" fillId="0" borderId="0" pivotButton="0" quotePrefix="0" xfId="2"/>
    <xf numFmtId="0" fontId="17" fillId="5" borderId="0" applyAlignment="1" pivotButton="0" quotePrefix="0" xfId="0">
      <alignment horizontal="left"/>
    </xf>
    <xf numFmtId="0" fontId="17" fillId="5" borderId="0" applyAlignment="1" pivotButton="0" quotePrefix="0" xfId="2">
      <alignment horizontal="center" vertical="center"/>
    </xf>
    <xf numFmtId="0" fontId="25" fillId="5" borderId="0" applyAlignment="1" pivotButton="0" quotePrefix="0" xfId="0">
      <alignment horizontal="right"/>
    </xf>
    <xf numFmtId="0" fontId="8" fillId="0" borderId="0" pivotButton="0" quotePrefix="0" xfId="0"/>
    <xf numFmtId="165" fontId="25" fillId="5" borderId="0" applyAlignment="1" pivotButton="0" quotePrefix="0" xfId="0">
      <alignment horizontal="left"/>
    </xf>
    <xf numFmtId="165" fontId="26" fillId="5" borderId="0" applyAlignment="1" pivotButton="0" quotePrefix="0" xfId="0">
      <alignment horizontal="right"/>
    </xf>
    <xf numFmtId="165" fontId="17" fillId="5" borderId="0" pivotButton="0" quotePrefix="0" xfId="0"/>
    <xf numFmtId="165" fontId="25" fillId="5" borderId="0" pivotButton="0" quotePrefix="0" xfId="0"/>
    <xf numFmtId="165" fontId="27" fillId="5" borderId="0" applyAlignment="1" pivotButton="0" quotePrefix="0" xfId="2">
      <alignment horizontal="right"/>
    </xf>
    <xf numFmtId="165" fontId="20" fillId="5" borderId="0" applyAlignment="1" pivotButton="0" quotePrefix="0" xfId="3">
      <alignment horizontal="center" vertical="center"/>
    </xf>
    <xf numFmtId="165" fontId="0" fillId="0" borderId="0" pivotButton="0" quotePrefix="0" xfId="0"/>
    <xf numFmtId="165" fontId="14" fillId="0" borderId="0" applyAlignment="1" pivotButton="0" quotePrefix="0" xfId="0">
      <alignment horizontal="right"/>
    </xf>
    <xf numFmtId="165" fontId="15" fillId="9" borderId="2" applyAlignment="1" pivotButton="0" quotePrefix="0" xfId="3">
      <alignment horizontal="center" vertical="center"/>
    </xf>
    <xf numFmtId="0" fontId="28" fillId="0" borderId="0" applyAlignment="1" pivotButton="0" quotePrefix="0" xfId="0">
      <alignment horizontal="left" vertical="center" indent="1" readingOrder="1"/>
    </xf>
    <xf numFmtId="0" fontId="21" fillId="0" borderId="0" applyAlignment="1" pivotButton="0" quotePrefix="0" xfId="0">
      <alignment horizontal="right"/>
    </xf>
    <xf numFmtId="14" fontId="0" fillId="0" borderId="0" pivotButton="0" quotePrefix="0" xfId="0"/>
    <xf numFmtId="0" fontId="15" fillId="9" borderId="2" applyAlignment="1" pivotButton="0" quotePrefix="0" xfId="3">
      <alignment horizontal="center" vertical="center"/>
    </xf>
    <xf numFmtId="0" fontId="30" fillId="0" borderId="0" pivotButton="0" quotePrefix="0" xfId="1"/>
    <xf numFmtId="0" fontId="31" fillId="7" borderId="0" applyAlignment="1" pivotButton="0" quotePrefix="0" xfId="0">
      <alignment horizontal="center" vertical="center"/>
    </xf>
    <xf numFmtId="0" fontId="31" fillId="8" borderId="0" applyAlignment="1" pivotButton="0" quotePrefix="0" xfId="0">
      <alignment horizontal="center" vertical="center"/>
    </xf>
    <xf numFmtId="0" fontId="31" fillId="0" borderId="0" pivotButton="0" quotePrefix="0" xfId="0"/>
    <xf numFmtId="0" fontId="0" fillId="0" borderId="9" pivotButton="0" quotePrefix="0" xfId="0"/>
    <xf numFmtId="0" fontId="0" fillId="10" borderId="10" pivotButton="0" quotePrefix="0" xfId="0"/>
    <xf numFmtId="0" fontId="0" fillId="10" borderId="8" pivotButton="0" quotePrefix="0" xfId="0"/>
    <xf numFmtId="0" fontId="0" fillId="0" borderId="10" pivotButton="0" quotePrefix="0" xfId="0"/>
    <xf numFmtId="0" fontId="0" fillId="0" borderId="8" pivotButton="0" quotePrefix="0" xfId="0"/>
    <xf numFmtId="166" fontId="0" fillId="0" borderId="0" pivotButton="0" quotePrefix="0" xfId="4"/>
    <xf numFmtId="166" fontId="0" fillId="0" borderId="11" pivotButton="0" quotePrefix="0" xfId="4"/>
    <xf numFmtId="166" fontId="0" fillId="10" borderId="11" pivotButton="0" quotePrefix="0" xfId="4"/>
    <xf numFmtId="0" fontId="7" fillId="6" borderId="0" applyAlignment="1" pivotButton="0" quotePrefix="0" xfId="5">
      <alignment horizontal="right" vertical="center"/>
    </xf>
    <xf numFmtId="166" fontId="12" fillId="6" borderId="0" applyAlignment="1" pivotButton="0" quotePrefix="0" xfId="4">
      <alignment horizontal="right" vertical="center"/>
    </xf>
    <xf numFmtId="0" fontId="32" fillId="5" borderId="0" applyAlignment="1" pivotButton="0" quotePrefix="0" xfId="6">
      <alignment horizontal="right"/>
    </xf>
    <xf numFmtId="0" fontId="32" fillId="5" borderId="0" applyAlignment="1" pivotButton="0" quotePrefix="0" xfId="6">
      <alignment horizontal="center"/>
    </xf>
    <xf numFmtId="0" fontId="9" fillId="15" borderId="0" applyAlignment="1" pivotButton="0" quotePrefix="0" xfId="6">
      <alignment horizontal="right"/>
    </xf>
    <xf numFmtId="165" fontId="15" fillId="8" borderId="2" applyAlignment="1" pivotButton="0" quotePrefix="0" xfId="3">
      <alignment horizontal="center" vertical="center"/>
    </xf>
    <xf numFmtId="0" fontId="23" fillId="16" borderId="4" applyAlignment="1" pivotButton="0" quotePrefix="0" xfId="0">
      <alignment horizontal="center" vertical="center" wrapText="1"/>
    </xf>
    <xf numFmtId="0" fontId="24" fillId="17" borderId="6" applyAlignment="1" pivotButton="0" quotePrefix="0" xfId="0">
      <alignment horizontal="center" vertical="center" wrapText="1"/>
    </xf>
    <xf numFmtId="0" fontId="24" fillId="18" borderId="3" applyAlignment="1" pivotButton="0" quotePrefix="0" xfId="0">
      <alignment horizontal="center" vertical="center" wrapText="1"/>
    </xf>
    <xf numFmtId="0" fontId="24" fillId="17" borderId="3" applyAlignment="1" pivotButton="0" quotePrefix="0" xfId="0">
      <alignment horizontal="center" vertical="center" wrapText="1"/>
    </xf>
    <xf numFmtId="0" fontId="29" fillId="11" borderId="10" applyAlignment="1" pivotButton="0" quotePrefix="0" xfId="0">
      <alignment horizontal="right"/>
    </xf>
    <xf numFmtId="0" fontId="33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26" fillId="5" borderId="2" applyAlignment="1" pivotButton="0" quotePrefix="0" xfId="3">
      <alignment horizontal="left" vertical="center"/>
    </xf>
    <xf numFmtId="165" fontId="15" fillId="5" borderId="2" applyAlignment="1" pivotButton="0" quotePrefix="0" xfId="3">
      <alignment horizontal="center" vertical="center"/>
    </xf>
    <xf numFmtId="0" fontId="7" fillId="6" borderId="0" applyAlignment="1" pivotButton="0" quotePrefix="0" xfId="5">
      <alignment horizontal="right" vertical="center"/>
    </xf>
    <xf numFmtId="0" fontId="0" fillId="14" borderId="0" pivotButton="0" quotePrefix="0" xfId="4"/>
    <xf numFmtId="0" fontId="15" fillId="19" borderId="0" applyAlignment="1" pivotButton="0" quotePrefix="0" xfId="5">
      <alignment horizontal="right" vertical="center"/>
    </xf>
    <xf numFmtId="0" fontId="15" fillId="19" borderId="0" applyAlignment="1" pivotButton="0" quotePrefix="0" xfId="4">
      <alignment horizontal="right" vertical="center"/>
    </xf>
    <xf numFmtId="0" fontId="0" fillId="0" borderId="12" pivotButton="0" quotePrefix="0" xfId="0"/>
    <xf numFmtId="165" fontId="9" fillId="0" borderId="0" pivotButton="0" quotePrefix="0" xfId="6"/>
    <xf numFmtId="0" fontId="15" fillId="5" borderId="2" applyAlignment="1" pivotButton="0" quotePrefix="0" xfId="3">
      <alignment horizontal="center" vertical="center"/>
    </xf>
    <xf numFmtId="165" fontId="15" fillId="8" borderId="14" applyAlignment="1" pivotButton="0" quotePrefix="0" xfId="3">
      <alignment horizontal="center" vertical="center"/>
    </xf>
    <xf numFmtId="0" fontId="0" fillId="10" borderId="13" pivotButton="0" quotePrefix="0" xfId="0"/>
    <xf numFmtId="0" fontId="0" fillId="0" borderId="13" pivotButton="0" quotePrefix="0" xfId="0"/>
    <xf numFmtId="0" fontId="24" fillId="20" borderId="7" applyAlignment="1" pivotButton="0" quotePrefix="0" xfId="0">
      <alignment horizontal="center" vertical="center" wrapText="1"/>
    </xf>
    <xf numFmtId="0" fontId="35" fillId="13" borderId="7" applyAlignment="1" pivotButton="0" quotePrefix="0" xfId="0">
      <alignment horizontal="center" vertical="center" wrapText="1"/>
    </xf>
    <xf numFmtId="0" fontId="35" fillId="12" borderId="3" applyAlignment="1" pivotButton="0" quotePrefix="0" xfId="0">
      <alignment horizontal="center" vertical="center" wrapText="1"/>
    </xf>
    <xf numFmtId="0" fontId="35" fillId="17" borderId="3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wrapText="1"/>
    </xf>
    <xf numFmtId="0" fontId="35" fillId="0" borderId="7" applyAlignment="1" pivotButton="0" quotePrefix="0" xfId="0">
      <alignment horizontal="center" vertical="center" wrapText="1"/>
    </xf>
    <xf numFmtId="0" fontId="35" fillId="0" borderId="3" applyAlignment="1" pivotButton="0" quotePrefix="0" xfId="0">
      <alignment horizontal="center" vertical="center" wrapText="1"/>
    </xf>
    <xf numFmtId="166" fontId="0" fillId="0" borderId="0" applyAlignment="1" pivotButton="0" quotePrefix="0" xfId="4">
      <alignment horizontal="center" vertical="center"/>
    </xf>
    <xf numFmtId="0" fontId="15" fillId="9" borderId="2" applyAlignment="1" pivotButton="0" quotePrefix="0" xfId="3">
      <alignment horizontal="left" vertical="center"/>
    </xf>
    <xf numFmtId="166" fontId="15" fillId="9" borderId="2" applyAlignment="1" pivotButton="0" quotePrefix="0" xfId="4">
      <alignment horizontal="left" vertical="center"/>
    </xf>
    <xf numFmtId="166" fontId="0" fillId="21" borderId="0" applyAlignment="1" pivotButton="0" quotePrefix="0" xfId="4">
      <alignment horizontal="center" vertical="center"/>
    </xf>
    <xf numFmtId="166" fontId="0" fillId="22" borderId="0" applyAlignment="1" pivotButton="0" quotePrefix="0" xfId="4">
      <alignment horizontal="center" vertical="center"/>
    </xf>
    <xf numFmtId="166" fontId="0" fillId="23" borderId="0" applyAlignment="1" pivotButton="0" quotePrefix="0" xfId="4">
      <alignment horizontal="center" vertical="center"/>
    </xf>
    <xf numFmtId="166" fontId="0" fillId="13" borderId="0" applyAlignment="1" pivotButton="0" quotePrefix="0" xfId="4">
      <alignment horizontal="center" vertical="center"/>
    </xf>
    <xf numFmtId="166" fontId="37" fillId="8" borderId="0" applyAlignment="1" pivotButton="0" quotePrefix="0" xfId="4">
      <alignment horizontal="center" vertical="center"/>
    </xf>
    <xf numFmtId="14" fontId="0" fillId="0" borderId="8" pivotButton="0" quotePrefix="0" xfId="0"/>
    <xf numFmtId="0" fontId="32" fillId="8" borderId="0" applyAlignment="1" pivotButton="0" quotePrefix="0" xfId="6">
      <alignment horizontal="center" vertical="center"/>
    </xf>
    <xf numFmtId="0" fontId="7" fillId="6" borderId="0" applyAlignment="1" pivotButton="0" quotePrefix="0" xfId="5">
      <alignment horizontal="right" vertical="center"/>
    </xf>
    <xf numFmtId="0" fontId="0" fillId="0" borderId="0" applyAlignment="1" pivotButton="0" quotePrefix="0" xfId="0">
      <alignment horizontal="center"/>
    </xf>
    <xf numFmtId="0" fontId="0" fillId="14" borderId="0" applyAlignment="1" pivotButton="0" quotePrefix="0" xfId="4">
      <alignment horizontal="right"/>
    </xf>
    <xf numFmtId="0" fontId="0" fillId="20" borderId="8" pivotButton="0" quotePrefix="0" xfId="0"/>
    <xf numFmtId="0" fontId="0" fillId="20" borderId="0" pivotButton="0" quotePrefix="0" xfId="0"/>
    <xf numFmtId="0" fontId="0" fillId="0" borderId="0" pivotButton="0" quotePrefix="0" xfId="0"/>
    <xf numFmtId="166" fontId="0" fillId="0" borderId="0" pivotButton="0" quotePrefix="0" xfId="4"/>
    <xf numFmtId="164" fontId="22" fillId="0" borderId="0" applyAlignment="1" pivotButton="0" quotePrefix="0" xfId="4">
      <alignment horizontal="left"/>
    </xf>
    <xf numFmtId="165" fontId="25" fillId="5" borderId="0" applyAlignment="1" pivotButton="0" quotePrefix="0" xfId="0">
      <alignment horizontal="left"/>
    </xf>
    <xf numFmtId="165" fontId="26" fillId="5" borderId="0" applyAlignment="1" pivotButton="0" quotePrefix="0" xfId="0">
      <alignment horizontal="right"/>
    </xf>
    <xf numFmtId="165" fontId="17" fillId="5" borderId="0" pivotButton="0" quotePrefix="0" xfId="0"/>
    <xf numFmtId="165" fontId="25" fillId="5" borderId="0" pivotButton="0" quotePrefix="0" xfId="0"/>
    <xf numFmtId="165" fontId="27" fillId="5" borderId="0" applyAlignment="1" pivotButton="0" quotePrefix="0" xfId="2">
      <alignment horizontal="right"/>
    </xf>
    <xf numFmtId="165" fontId="20" fillId="5" borderId="0" applyAlignment="1" pivotButton="0" quotePrefix="0" xfId="3">
      <alignment horizontal="center" vertical="center"/>
    </xf>
    <xf numFmtId="166" fontId="15" fillId="9" borderId="2" applyAlignment="1" pivotButton="0" quotePrefix="0" xfId="4">
      <alignment horizontal="left" vertical="center"/>
    </xf>
    <xf numFmtId="165" fontId="15" fillId="9" borderId="2" applyAlignment="1" pivotButton="0" quotePrefix="0" xfId="3">
      <alignment horizontal="center" vertical="center"/>
    </xf>
    <xf numFmtId="165" fontId="0" fillId="0" borderId="0" pivotButton="0" quotePrefix="0" xfId="0"/>
    <xf numFmtId="165" fontId="14" fillId="0" borderId="0" applyAlignment="1" pivotButton="0" quotePrefix="0" xfId="0">
      <alignment horizontal="right"/>
    </xf>
    <xf numFmtId="166" fontId="0" fillId="0" borderId="11" pivotButton="0" quotePrefix="0" xfId="4"/>
    <xf numFmtId="166" fontId="0" fillId="10" borderId="11" pivotButton="0" quotePrefix="0" xfId="4"/>
    <xf numFmtId="165" fontId="9" fillId="0" borderId="0" pivotButton="0" quotePrefix="0" xfId="6"/>
    <xf numFmtId="165" fontId="15" fillId="8" borderId="14" applyAlignment="1" pivotButton="0" quotePrefix="0" xfId="3">
      <alignment horizontal="center" vertical="center"/>
    </xf>
    <xf numFmtId="165" fontId="26" fillId="5" borderId="2" applyAlignment="1" pivotButton="0" quotePrefix="0" xfId="3">
      <alignment horizontal="left" vertical="center"/>
    </xf>
    <xf numFmtId="165" fontId="15" fillId="5" borderId="2" applyAlignment="1" pivotButton="0" quotePrefix="0" xfId="3">
      <alignment horizontal="center" vertical="center"/>
    </xf>
    <xf numFmtId="165" fontId="15" fillId="8" borderId="2" applyAlignment="1" pivotButton="0" quotePrefix="0" xfId="3">
      <alignment horizontal="center" vertical="center"/>
    </xf>
    <xf numFmtId="166" fontId="37" fillId="8" borderId="0" applyAlignment="1" pivotButton="0" quotePrefix="0" xfId="4">
      <alignment horizontal="center" vertical="center"/>
    </xf>
    <xf numFmtId="166" fontId="0" fillId="0" borderId="0" applyAlignment="1" pivotButton="0" quotePrefix="0" xfId="4">
      <alignment horizontal="center" vertical="center"/>
    </xf>
    <xf numFmtId="166" fontId="0" fillId="21" borderId="0" applyAlignment="1" pivotButton="0" quotePrefix="0" xfId="4">
      <alignment horizontal="center" vertical="center"/>
    </xf>
    <xf numFmtId="166" fontId="0" fillId="22" borderId="0" applyAlignment="1" pivotButton="0" quotePrefix="0" xfId="4">
      <alignment horizontal="center" vertical="center"/>
    </xf>
    <xf numFmtId="166" fontId="0" fillId="23" borderId="0" applyAlignment="1" pivotButton="0" quotePrefix="0" xfId="4">
      <alignment horizontal="center" vertical="center"/>
    </xf>
    <xf numFmtId="166" fontId="0" fillId="13" borderId="0" applyAlignment="1" pivotButton="0" quotePrefix="0" xfId="4">
      <alignment horizontal="center" vertical="center"/>
    </xf>
    <xf numFmtId="166" fontId="12" fillId="6" borderId="0" applyAlignment="1" pivotButton="0" quotePrefix="0" xfId="4">
      <alignment horizontal="right" vertical="center"/>
    </xf>
  </cellXfs>
  <cellStyles count="7">
    <cellStyle name="Normal" xfId="0" builtinId="0"/>
    <cellStyle name="Bad" xfId="1" builtinId="27"/>
    <cellStyle name="Neutral" xfId="2" builtinId="28"/>
    <cellStyle name="Calculation" xfId="3" builtinId="22"/>
    <cellStyle name="Comma" xfId="4" builtinId="3"/>
    <cellStyle name="Good" xfId="5" builtinId="26"/>
    <cellStyle name="Normal 2" xfId="6"/>
  </cellStyles>
  <dxfs count="409"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 val="1"/>
        <color rgb="FF006100"/>
      </font>
      <fill>
        <patternFill>
          <bgColor rgb="FFC6EFCE"/>
        </patternFill>
      </fill>
    </dxf>
    <dxf>
      <font>
        <b val="1"/>
        <i val="1"/>
        <color rgb="FF9C0006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i val="1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title>
    <view3D>
      <rotX val="15"/>
      <rotY val="20"/>
      <rAngAx val="1"/>
    </view3D>
    <floor>
      <thickness val="0"/>
      <spPr>
        <a:noFill/>
        <a:ln>
          <a:noFill/>
          <a:prstDash val="solid"/>
        </a:ln>
        <a:sp3d/>
      </spPr>
    </floor>
    <sideWall>
      <thickness val="0"/>
      <spPr>
        <a:noFill/>
        <a:ln>
          <a:noFill/>
          <a:prstDash val="solid"/>
        </a:ln>
        <a:sp3d/>
      </spPr>
    </sideWall>
    <backWall>
      <thickness val="0"/>
      <spPr>
        <a:noFill/>
        <a:ln>
          <a:noFill/>
          <a:prstDash val="solid"/>
        </a:ln>
        <a:sp3d/>
      </spPr>
    </backWall>
    <plotArea>
      <layout/>
      <bar3DChart>
        <barDir val="col"/>
        <grouping val="clustered"/>
        <varyColors val="0"/>
        <ser>
          <idx val="0"/>
          <order val="0"/>
          <tx>
            <strRef>
              <f>ignore!$C$14</f>
              <strCache>
                <ptCount val="1"/>
                <pt idx="0">
                  <v>M-01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  <a:sp3d/>
          </spPr>
          <invertIfNegative val="0"/>
          <cat>
            <numRef>
              <f>ignore!$A$15:$A$42</f>
              <numCache>
                <formatCode>General</formatCode>
                <ptCount val="28"/>
              </numCache>
            </numRef>
          </cat>
          <val>
            <numRef>
              <f>ignore!$C$15:$C$42</f>
              <numCache>
                <formatCode>General</formatCode>
                <ptCount val="2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1</v>
                </pt>
                <pt idx="25">
                  <v>0</v>
                </pt>
                <pt idx="26">
                  <v>0</v>
                </pt>
                <pt idx="2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317757712"/>
        <axId val="317761552"/>
      </bar3DChart>
      <catAx>
        <axId val="3177577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317761552"/>
        <crosses val="autoZero"/>
        <auto val="1"/>
        <lblAlgn val="ctr"/>
        <lblOffset val="100"/>
        <noMultiLvlLbl val="0"/>
      </catAx>
      <valAx>
        <axId val="31776155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317757712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title>
    <view3D>
      <rotX val="15"/>
      <rotY val="20"/>
      <rAngAx val="1"/>
    </view3D>
    <floor>
      <thickness val="0"/>
      <spPr>
        <a:noFill/>
        <a:ln>
          <a:noFill/>
          <a:prstDash val="solid"/>
        </a:ln>
        <a:sp3d/>
      </spPr>
    </floor>
    <sideWall>
      <thickness val="0"/>
      <spPr>
        <a:noFill/>
        <a:ln>
          <a:noFill/>
          <a:prstDash val="solid"/>
        </a:ln>
        <a:sp3d/>
      </spPr>
    </sideWall>
    <backWall>
      <thickness val="0"/>
      <spPr>
        <a:noFill/>
        <a:ln>
          <a:noFill/>
          <a:prstDash val="solid"/>
        </a:ln>
        <a:sp3d/>
      </spPr>
    </backWall>
    <plotArea>
      <layout/>
      <bar3DChart>
        <barDir val="col"/>
        <grouping val="clustered"/>
        <varyColors val="0"/>
        <ser>
          <idx val="0"/>
          <order val="0"/>
          <tx>
            <strRef>
              <f>ignore!$C$14</f>
              <strCache>
                <ptCount val="1"/>
                <pt idx="0">
                  <v>M-01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  <a:sp3d/>
          </spPr>
          <invertIfNegative val="0"/>
          <cat>
            <numRef>
              <f>ignore!$A$15:$A$42</f>
              <numCache>
                <formatCode>General</formatCode>
                <ptCount val="28"/>
              </numCache>
            </numRef>
          </cat>
          <val>
            <numRef>
              <f>ignore!$C$15:$C$42</f>
              <numCache>
                <formatCode>General</formatCode>
                <ptCount val="2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1</v>
                </pt>
                <pt idx="25">
                  <v>0</v>
                </pt>
                <pt idx="26">
                  <v>0</v>
                </pt>
                <pt idx="2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317757712"/>
        <axId val="317761552"/>
      </bar3DChart>
      <catAx>
        <axId val="3177577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317761552"/>
        <crosses val="autoZero"/>
        <auto val="1"/>
        <lblAlgn val="ctr"/>
        <lblOffset val="100"/>
        <noMultiLvlLbl val="0"/>
      </catAx>
      <valAx>
        <axId val="31776155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317757712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title>
    <view3D>
      <rotX val="15"/>
      <rotY val="20"/>
      <rAngAx val="1"/>
    </view3D>
    <floor>
      <thickness val="0"/>
      <spPr>
        <a:noFill/>
        <a:ln>
          <a:noFill/>
          <a:prstDash val="solid"/>
        </a:ln>
        <a:sp3d/>
      </spPr>
    </floor>
    <sideWall>
      <thickness val="0"/>
      <spPr>
        <a:noFill/>
        <a:ln>
          <a:noFill/>
          <a:prstDash val="solid"/>
        </a:ln>
        <a:sp3d/>
      </spPr>
    </sideWall>
    <backWall>
      <thickness val="0"/>
      <spPr>
        <a:noFill/>
        <a:ln>
          <a:noFill/>
          <a:prstDash val="solid"/>
        </a:ln>
        <a:sp3d/>
      </spPr>
    </backWall>
    <plotArea>
      <layout/>
      <bar3DChart>
        <barDir val="col"/>
        <grouping val="clustered"/>
        <varyColors val="0"/>
        <ser>
          <idx val="0"/>
          <order val="0"/>
          <tx>
            <strRef>
              <f>ignore!$C$14</f>
              <strCache>
                <ptCount val="1"/>
                <pt idx="0">
                  <v>M-01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  <a:sp3d/>
          </spPr>
          <invertIfNegative val="0"/>
          <cat>
            <numRef>
              <f>ignore!$A$15:$A$42</f>
              <numCache>
                <formatCode>General</formatCode>
                <ptCount val="28"/>
              </numCache>
            </numRef>
          </cat>
          <val>
            <numRef>
              <f>ignore!$C$15:$C$42</f>
              <numCache>
                <formatCode>General</formatCode>
                <ptCount val="2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1</v>
                </pt>
                <pt idx="25">
                  <v>0</v>
                </pt>
                <pt idx="26">
                  <v>0</v>
                </pt>
                <pt idx="2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317757712"/>
        <axId val="317761552"/>
      </bar3DChart>
      <catAx>
        <axId val="3177577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317761552"/>
        <crosses val="autoZero"/>
        <auto val="1"/>
        <lblAlgn val="ctr"/>
        <lblOffset val="100"/>
        <noMultiLvlLbl val="0"/>
      </catAx>
      <valAx>
        <axId val="31776155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317757712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title>
    <view3D>
      <rotX val="15"/>
      <rotY val="20"/>
      <rAngAx val="1"/>
    </view3D>
    <floor>
      <thickness val="0"/>
      <spPr>
        <a:noFill/>
        <a:ln>
          <a:noFill/>
          <a:prstDash val="solid"/>
        </a:ln>
        <a:sp3d/>
      </spPr>
    </floor>
    <sideWall>
      <thickness val="0"/>
      <spPr>
        <a:noFill/>
        <a:ln>
          <a:noFill/>
          <a:prstDash val="solid"/>
        </a:ln>
        <a:sp3d/>
      </spPr>
    </sideWall>
    <backWall>
      <thickness val="0"/>
      <spPr>
        <a:noFill/>
        <a:ln>
          <a:noFill/>
          <a:prstDash val="solid"/>
        </a:ln>
        <a:sp3d/>
      </spPr>
    </backWall>
    <plotArea>
      <layout/>
      <bar3DChart>
        <barDir val="col"/>
        <grouping val="clustered"/>
        <varyColors val="0"/>
        <ser>
          <idx val="0"/>
          <order val="0"/>
          <tx>
            <strRef>
              <f>ignore!$C$14</f>
              <strCache>
                <ptCount val="1"/>
                <pt idx="0">
                  <v>M-01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  <a:sp3d/>
          </spPr>
          <invertIfNegative val="0"/>
          <cat>
            <numRef>
              <f>ignore!$A$15:$A$42</f>
              <numCache>
                <formatCode>General</formatCode>
                <ptCount val="28"/>
              </numCache>
            </numRef>
          </cat>
          <val>
            <numRef>
              <f>ignore!$C$15:$C$42</f>
              <numCache>
                <formatCode>General</formatCode>
                <ptCount val="2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1</v>
                </pt>
                <pt idx="25">
                  <v>0</v>
                </pt>
                <pt idx="26">
                  <v>0</v>
                </pt>
                <pt idx="2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317757712"/>
        <axId val="317761552"/>
      </bar3DChart>
      <catAx>
        <axId val="3177577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317761552"/>
        <crosses val="autoZero"/>
        <auto val="1"/>
        <lblAlgn val="ctr"/>
        <lblOffset val="100"/>
        <noMultiLvlLbl val="0"/>
      </catAx>
      <valAx>
        <axId val="31776155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317757712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title>
    <view3D>
      <rotX val="15"/>
      <rotY val="20"/>
      <rAngAx val="1"/>
    </view3D>
    <floor>
      <thickness val="0"/>
      <spPr>
        <a:noFill/>
        <a:ln>
          <a:noFill/>
          <a:prstDash val="solid"/>
        </a:ln>
        <a:sp3d/>
      </spPr>
    </floor>
    <sideWall>
      <thickness val="0"/>
      <spPr>
        <a:noFill/>
        <a:ln>
          <a:noFill/>
          <a:prstDash val="solid"/>
        </a:ln>
        <a:sp3d/>
      </spPr>
    </sideWall>
    <backWall>
      <thickness val="0"/>
      <spPr>
        <a:noFill/>
        <a:ln>
          <a:noFill/>
          <a:prstDash val="solid"/>
        </a:ln>
        <a:sp3d/>
      </spPr>
    </backWall>
    <plotArea>
      <layout/>
      <bar3DChart>
        <barDir val="col"/>
        <grouping val="clustered"/>
        <varyColors val="0"/>
        <ser>
          <idx val="0"/>
          <order val="0"/>
          <tx>
            <strRef>
              <f>ignore!$C$14</f>
              <strCache>
                <ptCount val="1"/>
                <pt idx="0">
                  <v>M-01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  <a:sp3d/>
          </spPr>
          <invertIfNegative val="0"/>
          <cat>
            <numRef>
              <f>ignore!$A$15:$A$42</f>
              <numCache>
                <formatCode>General</formatCode>
                <ptCount val="28"/>
              </numCache>
            </numRef>
          </cat>
          <val>
            <numRef>
              <f>ignore!$C$15:$C$42</f>
              <numCache>
                <formatCode>General</formatCode>
                <ptCount val="2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1</v>
                </pt>
                <pt idx="25">
                  <v>0</v>
                </pt>
                <pt idx="26">
                  <v>0</v>
                </pt>
                <pt idx="2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317757712"/>
        <axId val="317761552"/>
      </bar3DChart>
      <catAx>
        <axId val="3177577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317761552"/>
        <crosses val="autoZero"/>
        <auto val="1"/>
        <lblAlgn val="ctr"/>
        <lblOffset val="100"/>
        <noMultiLvlLbl val="0"/>
      </catAx>
      <valAx>
        <axId val="31776155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317757712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title>
    <view3D>
      <rotX val="15"/>
      <rotY val="20"/>
      <rAngAx val="1"/>
    </view3D>
    <floor>
      <thickness val="0"/>
      <spPr>
        <a:noFill/>
        <a:ln>
          <a:noFill/>
          <a:prstDash val="solid"/>
        </a:ln>
        <a:sp3d/>
      </spPr>
    </floor>
    <sideWall>
      <thickness val="0"/>
      <spPr>
        <a:noFill/>
        <a:ln>
          <a:noFill/>
          <a:prstDash val="solid"/>
        </a:ln>
        <a:sp3d/>
      </spPr>
    </sideWall>
    <backWall>
      <thickness val="0"/>
      <spPr>
        <a:noFill/>
        <a:ln>
          <a:noFill/>
          <a:prstDash val="solid"/>
        </a:ln>
        <a:sp3d/>
      </spPr>
    </backWall>
    <plotArea>
      <layout/>
      <bar3DChart>
        <barDir val="col"/>
        <grouping val="clustered"/>
        <varyColors val="0"/>
        <ser>
          <idx val="0"/>
          <order val="0"/>
          <tx>
            <strRef>
              <f>ignore!$C$14</f>
              <strCache>
                <ptCount val="1"/>
                <pt idx="0">
                  <v>M-01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  <a:sp3d/>
          </spPr>
          <invertIfNegative val="0"/>
          <cat>
            <numRef>
              <f>ignore!$A$15:$A$42</f>
              <numCache>
                <formatCode>General</formatCode>
                <ptCount val="28"/>
              </numCache>
            </numRef>
          </cat>
          <val>
            <numRef>
              <f>ignore!$C$15:$C$42</f>
              <numCache>
                <formatCode>General</formatCode>
                <ptCount val="2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1</v>
                </pt>
                <pt idx="25">
                  <v>0</v>
                </pt>
                <pt idx="26">
                  <v>0</v>
                </pt>
                <pt idx="2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317757712"/>
        <axId val="317761552"/>
      </bar3DChart>
      <catAx>
        <axId val="3177577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317761552"/>
        <crosses val="autoZero"/>
        <auto val="1"/>
        <lblAlgn val="ctr"/>
        <lblOffset val="100"/>
        <noMultiLvlLbl val="0"/>
      </catAx>
      <valAx>
        <axId val="31776155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317757712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title>
    <view3D>
      <rotX val="15"/>
      <rotY val="20"/>
      <rAngAx val="1"/>
    </view3D>
    <floor>
      <thickness val="0"/>
      <spPr>
        <a:noFill/>
        <a:ln>
          <a:noFill/>
          <a:prstDash val="solid"/>
        </a:ln>
        <a:sp3d/>
      </spPr>
    </floor>
    <sideWall>
      <thickness val="0"/>
      <spPr>
        <a:noFill/>
        <a:ln>
          <a:noFill/>
          <a:prstDash val="solid"/>
        </a:ln>
        <a:sp3d/>
      </spPr>
    </sideWall>
    <backWall>
      <thickness val="0"/>
      <spPr>
        <a:noFill/>
        <a:ln>
          <a:noFill/>
          <a:prstDash val="solid"/>
        </a:ln>
        <a:sp3d/>
      </spPr>
    </backWall>
    <plotArea>
      <layout/>
      <bar3DChart>
        <barDir val="col"/>
        <grouping val="clustered"/>
        <varyColors val="0"/>
        <ser>
          <idx val="0"/>
          <order val="0"/>
          <tx>
            <strRef>
              <f>ignore!$C$14</f>
              <strCache>
                <ptCount val="1"/>
                <pt idx="0">
                  <v>M-01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  <a:sp3d/>
          </spPr>
          <invertIfNegative val="0"/>
          <cat>
            <numRef>
              <f>ignore!$A$15:$A$42</f>
              <numCache>
                <formatCode>General</formatCode>
                <ptCount val="28"/>
              </numCache>
            </numRef>
          </cat>
          <val>
            <numRef>
              <f>ignore!$C$15:$C$42</f>
              <numCache>
                <formatCode>General</formatCode>
                <ptCount val="2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1</v>
                </pt>
                <pt idx="25">
                  <v>0</v>
                </pt>
                <pt idx="26">
                  <v>0</v>
                </pt>
                <pt idx="2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317757712"/>
        <axId val="317761552"/>
      </bar3DChart>
      <catAx>
        <axId val="3177577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317761552"/>
        <crosses val="autoZero"/>
        <auto val="1"/>
        <lblAlgn val="ctr"/>
        <lblOffset val="100"/>
        <noMultiLvlLbl val="0"/>
      </catAx>
      <valAx>
        <axId val="31776155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317757712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title>
    <view3D>
      <rotX val="15"/>
      <rotY val="20"/>
      <rAngAx val="1"/>
    </view3D>
    <floor>
      <thickness val="0"/>
      <spPr>
        <a:noFill/>
        <a:ln>
          <a:noFill/>
          <a:prstDash val="solid"/>
        </a:ln>
        <a:sp3d/>
      </spPr>
    </floor>
    <sideWall>
      <thickness val="0"/>
      <spPr>
        <a:noFill/>
        <a:ln>
          <a:noFill/>
          <a:prstDash val="solid"/>
        </a:ln>
        <a:sp3d/>
      </spPr>
    </sideWall>
    <backWall>
      <thickness val="0"/>
      <spPr>
        <a:noFill/>
        <a:ln>
          <a:noFill/>
          <a:prstDash val="solid"/>
        </a:ln>
        <a:sp3d/>
      </spPr>
    </backWall>
    <plotArea>
      <layout/>
      <bar3DChart>
        <barDir val="col"/>
        <grouping val="clustered"/>
        <varyColors val="0"/>
        <ser>
          <idx val="0"/>
          <order val="0"/>
          <tx>
            <strRef>
              <f>ignore!$C$14</f>
              <strCache>
                <ptCount val="1"/>
                <pt idx="0">
                  <v>M-01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  <a:sp3d/>
          </spPr>
          <invertIfNegative val="0"/>
          <cat>
            <numRef>
              <f>ignore!$A$15:$A$42</f>
              <numCache>
                <formatCode>General</formatCode>
                <ptCount val="28"/>
              </numCache>
            </numRef>
          </cat>
          <val>
            <numRef>
              <f>ignore!$C$15:$C$42</f>
              <numCache>
                <formatCode>General</formatCode>
                <ptCount val="2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1</v>
                </pt>
                <pt idx="25">
                  <v>0</v>
                </pt>
                <pt idx="26">
                  <v>0</v>
                </pt>
                <pt idx="2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317757712"/>
        <axId val="317761552"/>
      </bar3DChart>
      <catAx>
        <axId val="3177577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317761552"/>
        <crosses val="autoZero"/>
        <auto val="1"/>
        <lblAlgn val="ctr"/>
        <lblOffset val="100"/>
        <noMultiLvlLbl val="0"/>
      </catAx>
      <valAx>
        <axId val="31776155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317757712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title>
    <view3D>
      <rotX val="15"/>
      <rotY val="20"/>
      <rAngAx val="1"/>
    </view3D>
    <floor>
      <thickness val="0"/>
      <spPr>
        <a:noFill/>
        <a:ln>
          <a:noFill/>
          <a:prstDash val="solid"/>
        </a:ln>
        <a:sp3d/>
      </spPr>
    </floor>
    <sideWall>
      <thickness val="0"/>
      <spPr>
        <a:noFill/>
        <a:ln>
          <a:noFill/>
          <a:prstDash val="solid"/>
        </a:ln>
        <a:sp3d/>
      </spPr>
    </sideWall>
    <backWall>
      <thickness val="0"/>
      <spPr>
        <a:noFill/>
        <a:ln>
          <a:noFill/>
          <a:prstDash val="solid"/>
        </a:ln>
        <a:sp3d/>
      </spPr>
    </backWall>
    <plotArea>
      <layout/>
      <bar3DChart>
        <barDir val="col"/>
        <grouping val="clustered"/>
        <varyColors val="0"/>
        <ser>
          <idx val="0"/>
          <order val="0"/>
          <tx>
            <strRef>
              <f>ignore!$C$14</f>
              <strCache>
                <ptCount val="1"/>
                <pt idx="0">
                  <v>M-01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  <a:sp3d/>
          </spPr>
          <invertIfNegative val="0"/>
          <cat>
            <numRef>
              <f>ignore!$A$15:$A$42</f>
              <numCache>
                <formatCode>General</formatCode>
                <ptCount val="28"/>
              </numCache>
            </numRef>
          </cat>
          <val>
            <numRef>
              <f>ignore!$C$15:$C$42</f>
              <numCache>
                <formatCode>General</formatCode>
                <ptCount val="2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1</v>
                </pt>
                <pt idx="25">
                  <v>0</v>
                </pt>
                <pt idx="26">
                  <v>0</v>
                </pt>
                <pt idx="2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317757712"/>
        <axId val="317761552"/>
      </bar3DChart>
      <catAx>
        <axId val="3177577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317761552"/>
        <crosses val="autoZero"/>
        <auto val="1"/>
        <lblAlgn val="ctr"/>
        <lblOffset val="100"/>
        <noMultiLvlLbl val="0"/>
      </catAx>
      <valAx>
        <axId val="31776155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317757712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title>
    <view3D>
      <rotX val="15"/>
      <rotY val="20"/>
      <rAngAx val="1"/>
    </view3D>
    <floor>
      <thickness val="0"/>
      <spPr>
        <a:noFill/>
        <a:ln>
          <a:noFill/>
          <a:prstDash val="solid"/>
        </a:ln>
        <a:sp3d/>
      </spPr>
    </floor>
    <sideWall>
      <thickness val="0"/>
      <spPr>
        <a:noFill/>
        <a:ln>
          <a:noFill/>
          <a:prstDash val="solid"/>
        </a:ln>
        <a:sp3d/>
      </spPr>
    </sideWall>
    <backWall>
      <thickness val="0"/>
      <spPr>
        <a:noFill/>
        <a:ln>
          <a:noFill/>
          <a:prstDash val="solid"/>
        </a:ln>
        <a:sp3d/>
      </spPr>
    </backWall>
    <plotArea>
      <layout/>
      <bar3DChart>
        <barDir val="col"/>
        <grouping val="clustered"/>
        <varyColors val="0"/>
        <ser>
          <idx val="0"/>
          <order val="0"/>
          <tx>
            <strRef>
              <f>ignore!$C$14</f>
              <strCache>
                <ptCount val="1"/>
                <pt idx="0">
                  <v>M-01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  <a:sp3d/>
          </spPr>
          <invertIfNegative val="0"/>
          <cat>
            <numRef>
              <f>ignore!$A$15:$A$42</f>
              <numCache>
                <formatCode>General</formatCode>
                <ptCount val="28"/>
              </numCache>
            </numRef>
          </cat>
          <val>
            <numRef>
              <f>ignore!$C$15:$C$42</f>
              <numCache>
                <formatCode>General</formatCode>
                <ptCount val="2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1</v>
                </pt>
                <pt idx="25">
                  <v>0</v>
                </pt>
                <pt idx="26">
                  <v>0</v>
                </pt>
                <pt idx="2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317757712"/>
        <axId val="317761552"/>
      </bar3DChart>
      <catAx>
        <axId val="3177577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317761552"/>
        <crosses val="autoZero"/>
        <auto val="1"/>
        <lblAlgn val="ctr"/>
        <lblOffset val="100"/>
        <noMultiLvlLbl val="0"/>
      </catAx>
      <valAx>
        <axId val="31776155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317757712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title>
    <view3D>
      <rotX val="15"/>
      <rotY val="20"/>
      <rAngAx val="1"/>
    </view3D>
    <floor>
      <thickness val="0"/>
      <spPr>
        <a:noFill/>
        <a:ln>
          <a:noFill/>
          <a:prstDash val="solid"/>
        </a:ln>
        <a:sp3d/>
      </spPr>
    </floor>
    <sideWall>
      <thickness val="0"/>
      <spPr>
        <a:noFill/>
        <a:ln>
          <a:noFill/>
          <a:prstDash val="solid"/>
        </a:ln>
        <a:sp3d/>
      </spPr>
    </sideWall>
    <backWall>
      <thickness val="0"/>
      <spPr>
        <a:noFill/>
        <a:ln>
          <a:noFill/>
          <a:prstDash val="solid"/>
        </a:ln>
        <a:sp3d/>
      </spPr>
    </backWall>
    <plotArea>
      <layout/>
      <bar3DChart>
        <barDir val="col"/>
        <grouping val="clustered"/>
        <varyColors val="0"/>
        <ser>
          <idx val="0"/>
          <order val="0"/>
          <tx>
            <strRef>
              <f>ignore!$C$14</f>
              <strCache>
                <ptCount val="1"/>
                <pt idx="0">
                  <v>M-01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  <a:sp3d/>
          </spPr>
          <invertIfNegative val="0"/>
          <cat>
            <numRef>
              <f>ignore!$A$15:$A$42</f>
              <numCache>
                <formatCode>General</formatCode>
                <ptCount val="28"/>
              </numCache>
            </numRef>
          </cat>
          <val>
            <numRef>
              <f>ignore!$C$15:$C$42</f>
              <numCache>
                <formatCode>General</formatCode>
                <ptCount val="2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1</v>
                </pt>
                <pt idx="25">
                  <v>0</v>
                </pt>
                <pt idx="26">
                  <v>0</v>
                </pt>
                <pt idx="2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317757712"/>
        <axId val="317761552"/>
      </bar3DChart>
      <catAx>
        <axId val="3177577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317761552"/>
        <crosses val="autoZero"/>
        <auto val="1"/>
        <lblAlgn val="ctr"/>
        <lblOffset val="100"/>
        <noMultiLvlLbl val="0"/>
      </catAx>
      <valAx>
        <axId val="31776155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317757712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title>
    <view3D>
      <rotX val="15"/>
      <rotY val="20"/>
      <rAngAx val="1"/>
    </view3D>
    <floor>
      <thickness val="0"/>
      <spPr>
        <a:noFill/>
        <a:ln>
          <a:noFill/>
          <a:prstDash val="solid"/>
        </a:ln>
        <a:sp3d/>
      </spPr>
    </floor>
    <sideWall>
      <thickness val="0"/>
      <spPr>
        <a:noFill/>
        <a:ln>
          <a:noFill/>
          <a:prstDash val="solid"/>
        </a:ln>
        <a:sp3d/>
      </spPr>
    </sideWall>
    <backWall>
      <thickness val="0"/>
      <spPr>
        <a:noFill/>
        <a:ln>
          <a:noFill/>
          <a:prstDash val="solid"/>
        </a:ln>
        <a:sp3d/>
      </spPr>
    </backWall>
    <plotArea>
      <layout/>
      <bar3DChart>
        <barDir val="col"/>
        <grouping val="clustered"/>
        <varyColors val="0"/>
        <ser>
          <idx val="0"/>
          <order val="0"/>
          <tx>
            <strRef>
              <f>ignore!$C$14</f>
              <strCache>
                <ptCount val="1"/>
                <pt idx="0">
                  <v>M-01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  <a:sp3d/>
          </spPr>
          <invertIfNegative val="0"/>
          <cat>
            <numRef>
              <f>ignore!$A$15:$A$42</f>
              <numCache>
                <formatCode>General</formatCode>
                <ptCount val="28"/>
              </numCache>
            </numRef>
          </cat>
          <val>
            <numRef>
              <f>ignore!$C$15:$C$42</f>
              <numCache>
                <formatCode>General</formatCode>
                <ptCount val="2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1</v>
                </pt>
                <pt idx="25">
                  <v>0</v>
                </pt>
                <pt idx="26">
                  <v>0</v>
                </pt>
                <pt idx="2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317757712"/>
        <axId val="317761552"/>
      </bar3DChart>
      <catAx>
        <axId val="3177577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317761552"/>
        <crosses val="autoZero"/>
        <auto val="1"/>
        <lblAlgn val="ctr"/>
        <lblOffset val="100"/>
        <noMultiLvlLbl val="0"/>
      </catAx>
      <valAx>
        <axId val="31776155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317757712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15</col>
      <colOff>207918</colOff>
      <row>13</row>
      <rowOff>51163</rowOff>
    </from>
    <to>
      <col>18</col>
      <colOff>588918</colOff>
      <row>21</row>
      <rowOff>105592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19</col>
      <colOff>32114</colOff>
      <row>13</row>
      <rowOff>43543</rowOff>
    </from>
    <to>
      <col>23</col>
      <colOff>16874</colOff>
      <row>21</row>
      <rowOff>97972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23</col>
      <colOff>115934</colOff>
      <row>13</row>
      <rowOff>51163</rowOff>
    </from>
    <to>
      <col>27</col>
      <colOff>100694</colOff>
      <row>21</row>
      <rowOff>105592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15</col>
      <colOff>207918</colOff>
      <row>23</row>
      <rowOff>7621</rowOff>
    </from>
    <to>
      <col>18</col>
      <colOff>588918</colOff>
      <row>31</row>
      <rowOff>75112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19</col>
      <colOff>32114</colOff>
      <row>23</row>
      <rowOff>1</rowOff>
    </from>
    <to>
      <col>23</col>
      <colOff>16874</colOff>
      <row>31</row>
      <rowOff>67492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23</col>
      <colOff>115934</colOff>
      <row>23</row>
      <rowOff>7621</rowOff>
    </from>
    <to>
      <col>27</col>
      <colOff>100694</colOff>
      <row>31</row>
      <rowOff>75112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>
    <from>
      <col>15</col>
      <colOff>207918</colOff>
      <row>32</row>
      <rowOff>29392</rowOff>
    </from>
    <to>
      <col>18</col>
      <colOff>588918</colOff>
      <row>40</row>
      <rowOff>83821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  <twoCellAnchor>
    <from>
      <col>19</col>
      <colOff>32114</colOff>
      <row>32</row>
      <rowOff>21772</rowOff>
    </from>
    <to>
      <col>23</col>
      <colOff>16874</colOff>
      <row>40</row>
      <rowOff>76201</rowOff>
    </to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twoCellAnchor>
  <twoCellAnchor>
    <from>
      <col>23</col>
      <colOff>93074</colOff>
      <row>32</row>
      <rowOff>29392</rowOff>
    </from>
    <to>
      <col>27</col>
      <colOff>77834</colOff>
      <row>40</row>
      <rowOff>83821</rowOff>
    </to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twoCellAnchor>
  <twoCellAnchor>
    <from>
      <col>15</col>
      <colOff>261257</colOff>
      <row>41</row>
      <rowOff>72934</rowOff>
    </from>
    <to>
      <col>18</col>
      <colOff>642257</colOff>
      <row>49</row>
      <rowOff>149134</rowOff>
    </to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twoCellAnchor>
  <twoCellAnchor>
    <from>
      <col>19</col>
      <colOff>85453</colOff>
      <row>41</row>
      <rowOff>65314</rowOff>
    </from>
    <to>
      <col>23</col>
      <colOff>70213</colOff>
      <row>49</row>
      <rowOff>141514</rowOff>
    </to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twoCellAnchor>
  <twoCellAnchor>
    <from>
      <col>23</col>
      <colOff>146413</colOff>
      <row>41</row>
      <rowOff>72934</rowOff>
    </from>
    <to>
      <col>27</col>
      <colOff>131173</colOff>
      <row>49</row>
      <rowOff>149134</rowOff>
    </to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.xml.rels><Relationships xmlns="http://schemas.openxmlformats.org/package/2006/relationships"><Relationship Type="http://schemas.openxmlformats.org/officeDocument/2006/relationships/hyperlink" Target="https://www.fishbase.de/summary/184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B0F0"/>
    <outlinePr summaryBelow="1" summaryRight="1"/>
    <pageSetUpPr/>
  </sheetPr>
  <dimension ref="A1:AD314"/>
  <sheetViews>
    <sheetView showGridLines="0" zoomScale="70" zoomScaleNormal="70" workbookViewId="0">
      <selection activeCell="AJ15" sqref="AJ15"/>
    </sheetView>
  </sheetViews>
  <sheetFormatPr baseColWidth="8" defaultRowHeight="14.4"/>
  <cols>
    <col width="8.44140625" customWidth="1" style="113" min="1" max="1"/>
    <col width="11.88671875" customWidth="1" style="113" min="2" max="2"/>
    <col width="7.109375" customWidth="1" style="113" min="3" max="3"/>
    <col width="8.5546875" customWidth="1" style="113" min="4" max="4"/>
    <col width="4.5546875" bestFit="1" customWidth="1" style="113" min="5" max="5"/>
    <col width="2.6640625" customWidth="1" style="113" min="6" max="6"/>
    <col width="11.5546875" customWidth="1" style="113" min="7" max="8"/>
    <col width="2.33203125" customWidth="1" style="113" min="9" max="9"/>
    <col width="11.5546875" customWidth="1" style="113" min="10" max="11"/>
    <col width="2.33203125" customWidth="1" style="113" min="12" max="12"/>
    <col width="11.5546875" customWidth="1" style="113" min="13" max="14"/>
    <col width="2.33203125" customWidth="1" style="113" min="15" max="15"/>
    <col width="11.5546875" customWidth="1" style="113" min="16" max="17"/>
    <col width="2.33203125" customWidth="1" style="113" min="18" max="18"/>
    <col width="11.5546875" customWidth="1" style="113" min="19" max="20"/>
    <col width="2.33203125" customWidth="1" style="113" min="21" max="21"/>
    <col width="11.5546875" customWidth="1" style="113" min="22" max="23"/>
    <col width="2.33203125" customWidth="1" style="113" min="24" max="24"/>
    <col width="11.5546875" customWidth="1" style="113" min="25" max="26"/>
    <col width="2.33203125" customWidth="1" style="113" min="27" max="27"/>
    <col width="11.5546875" customWidth="1" style="113" min="28" max="29"/>
    <col width="2.33203125" customWidth="1" style="113" min="30" max="30"/>
    <col width="11.5546875" customWidth="1" style="113" min="31" max="32"/>
    <col width="2.33203125" customWidth="1" style="113" min="33" max="33"/>
  </cols>
  <sheetData>
    <row r="1">
      <c r="D1" s="114" t="n"/>
      <c r="E1" s="115" t="n"/>
      <c r="F1" s="31" t="n"/>
      <c r="G1" s="36">
        <f>FAO!B1&amp;" max ="</f>
        <v/>
      </c>
      <c r="H1" s="116">
        <f>+FAO!B10</f>
        <v/>
      </c>
      <c r="I1" s="32" t="n"/>
      <c r="J1" s="36">
        <f>FAO!E1&amp;" max ="</f>
        <v/>
      </c>
      <c r="K1" s="116">
        <f>+FAO!E10</f>
        <v/>
      </c>
      <c r="L1" s="32" t="n"/>
      <c r="M1" s="36">
        <f>FAO!H1&amp;" max ="</f>
        <v/>
      </c>
      <c r="N1" s="116">
        <f>+FAO!H10</f>
        <v/>
      </c>
      <c r="O1" s="32" t="n"/>
      <c r="P1" s="36">
        <f>FAO!K1&amp;" max ="</f>
        <v/>
      </c>
      <c r="Q1" s="116">
        <f>+FAO!K10</f>
        <v/>
      </c>
      <c r="R1" s="32" t="n"/>
      <c r="S1" s="36">
        <f>FAO!N1&amp;" max ="</f>
        <v/>
      </c>
      <c r="T1" s="116">
        <f>+FAO!N10</f>
        <v/>
      </c>
      <c r="U1" s="32" t="n"/>
      <c r="V1" s="36">
        <f>FAO!Q1&amp;" max ="</f>
        <v/>
      </c>
      <c r="W1" s="116">
        <f>+FAO!Q10</f>
        <v/>
      </c>
      <c r="X1" s="32" t="n"/>
      <c r="Y1" s="36">
        <f>FAO!T1&amp;" max ="</f>
        <v/>
      </c>
      <c r="Z1" s="116">
        <f>+FAO!T10</f>
        <v/>
      </c>
      <c r="AA1" s="32" t="n"/>
      <c r="AB1" s="36">
        <f>FAO!W1&amp;" max ="</f>
        <v/>
      </c>
      <c r="AC1" s="116">
        <f>+FAO!W10</f>
        <v/>
      </c>
      <c r="AD1" s="32" t="n"/>
    </row>
    <row r="2">
      <c r="D2" s="114" t="n"/>
      <c r="E2" s="115" t="n"/>
      <c r="F2" s="31" t="n"/>
      <c r="G2" s="48" t="inlineStr">
        <is>
          <t>obs n =</t>
        </is>
      </c>
      <c r="H2">
        <f>COUNTIF($C$15:$C$1003,G13)</f>
        <v/>
      </c>
      <c r="I2" s="32" t="n"/>
      <c r="J2" s="48" t="inlineStr">
        <is>
          <t>obs n =</t>
        </is>
      </c>
      <c r="K2">
        <f>COUNTIF($C$15:$C$1003,J13)</f>
        <v/>
      </c>
      <c r="L2" s="32" t="n"/>
      <c r="M2" s="48" t="inlineStr">
        <is>
          <t>obs n =</t>
        </is>
      </c>
      <c r="N2">
        <f>COUNTIF($C$15:$C$1003,M13)</f>
        <v/>
      </c>
      <c r="O2" s="32" t="n"/>
      <c r="P2" s="48" t="inlineStr">
        <is>
          <t>obs n =</t>
        </is>
      </c>
      <c r="Q2">
        <f>COUNTIF($C$15:$C$1003,P13)</f>
        <v/>
      </c>
      <c r="R2" s="32" t="n"/>
      <c r="S2" s="48" t="inlineStr">
        <is>
          <t>obs n =</t>
        </is>
      </c>
      <c r="T2">
        <f>COUNTIF($C$15:$C$1003,S13)</f>
        <v/>
      </c>
      <c r="U2" s="32" t="n"/>
      <c r="V2" s="48" t="inlineStr">
        <is>
          <t>obs n =</t>
        </is>
      </c>
      <c r="W2">
        <f>COUNTIF($C$15:$C$1003,V13)</f>
        <v/>
      </c>
      <c r="X2" s="32" t="n"/>
      <c r="Y2" s="48" t="inlineStr">
        <is>
          <t>obs n =</t>
        </is>
      </c>
      <c r="Z2">
        <f>COUNTIF($C$15:$C$1003,Y13)</f>
        <v/>
      </c>
      <c r="AA2" s="32" t="n"/>
      <c r="AB2" s="48" t="inlineStr">
        <is>
          <t>obs n =</t>
        </is>
      </c>
      <c r="AC2">
        <f>COUNTIF($C$15:$C$1003,AB13)</f>
        <v/>
      </c>
      <c r="AD2" s="32" t="n"/>
    </row>
    <row r="3">
      <c r="D3" s="114" t="n"/>
      <c r="E3" s="115" t="n"/>
      <c r="F3" s="31" t="n"/>
      <c r="G3" s="48" t="inlineStr">
        <is>
          <t xml:space="preserve">freq n= </t>
        </is>
      </c>
      <c r="H3">
        <f>+SUM(H15:H1003)</f>
        <v/>
      </c>
      <c r="I3" s="32" t="n"/>
      <c r="J3" s="48" t="inlineStr">
        <is>
          <t xml:space="preserve">freq n= </t>
        </is>
      </c>
      <c r="K3">
        <f>+SUM(K15:K1003)</f>
        <v/>
      </c>
      <c r="L3" s="32" t="n"/>
      <c r="M3" s="48" t="inlineStr">
        <is>
          <t xml:space="preserve">freq n= </t>
        </is>
      </c>
      <c r="N3">
        <f>+SUM(N15:N1003)</f>
        <v/>
      </c>
      <c r="O3" s="32" t="n"/>
      <c r="P3" s="48" t="inlineStr">
        <is>
          <t xml:space="preserve">freq n= </t>
        </is>
      </c>
      <c r="Q3">
        <f>+SUM(Q15:Q1003)</f>
        <v/>
      </c>
      <c r="R3" s="32" t="n"/>
      <c r="S3" s="48" t="inlineStr">
        <is>
          <t xml:space="preserve">freq n= </t>
        </is>
      </c>
      <c r="T3">
        <f>+SUM(T15:T1003)</f>
        <v/>
      </c>
      <c r="U3" s="32" t="n"/>
      <c r="V3" s="48" t="inlineStr">
        <is>
          <t xml:space="preserve">freq n= </t>
        </is>
      </c>
      <c r="W3">
        <f>+SUM(W15:W1003)</f>
        <v/>
      </c>
      <c r="X3" s="32" t="n"/>
      <c r="Y3" s="48" t="inlineStr">
        <is>
          <t xml:space="preserve">freq n= </t>
        </is>
      </c>
      <c r="Z3">
        <f>+SUM(Z15:Z1003)</f>
        <v/>
      </c>
      <c r="AA3" s="32" t="n"/>
      <c r="AB3" s="48" t="inlineStr">
        <is>
          <t xml:space="preserve">freq n= </t>
        </is>
      </c>
      <c r="AC3">
        <f>+SUM(AC15:AC1003)</f>
        <v/>
      </c>
      <c r="AD3" s="32" t="n"/>
    </row>
    <row r="4">
      <c r="D4" s="114" t="n"/>
      <c r="E4" s="115" t="n"/>
      <c r="F4" s="31" t="n"/>
      <c r="G4" s="48" t="inlineStr">
        <is>
          <t>first bin =</t>
        </is>
      </c>
      <c r="H4" t="n">
        <v>10</v>
      </c>
      <c r="I4" s="32" t="n"/>
      <c r="J4" s="48" t="inlineStr">
        <is>
          <t>first bin =</t>
        </is>
      </c>
      <c r="K4" t="n">
        <v>10</v>
      </c>
      <c r="L4" s="32" t="n"/>
      <c r="M4" s="48" t="inlineStr">
        <is>
          <t>first bin =</t>
        </is>
      </c>
      <c r="N4" t="n">
        <v>10</v>
      </c>
      <c r="O4" s="32" t="n"/>
      <c r="P4" s="48" t="inlineStr">
        <is>
          <t>first bin =</t>
        </is>
      </c>
      <c r="Q4" t="n">
        <v>10</v>
      </c>
      <c r="R4" s="32" t="n"/>
      <c r="S4" s="48" t="inlineStr">
        <is>
          <t>first bin =</t>
        </is>
      </c>
      <c r="T4" t="n">
        <v>10</v>
      </c>
      <c r="U4" s="32" t="n"/>
      <c r="V4" s="48" t="inlineStr">
        <is>
          <t>first bin =</t>
        </is>
      </c>
      <c r="W4" t="n">
        <v>10</v>
      </c>
      <c r="X4" s="32" t="n"/>
      <c r="Y4" s="48" t="inlineStr">
        <is>
          <t>first bin =</t>
        </is>
      </c>
      <c r="Z4" t="n">
        <v>10</v>
      </c>
      <c r="AA4" s="32" t="n"/>
      <c r="AB4" s="48" t="inlineStr">
        <is>
          <t>first bin =</t>
        </is>
      </c>
      <c r="AC4" t="n">
        <v>10</v>
      </c>
      <c r="AD4" s="32" t="n"/>
    </row>
    <row r="5">
      <c r="D5" s="114" t="n"/>
      <c r="E5" s="115" t="n"/>
      <c r="F5" s="31" t="n"/>
      <c r="G5" s="48" t="inlineStr">
        <is>
          <t>increment =</t>
        </is>
      </c>
      <c r="H5">
        <f>+FAO!B14</f>
        <v/>
      </c>
      <c r="I5" s="32" t="n"/>
      <c r="J5" s="48" t="inlineStr">
        <is>
          <t>increment =</t>
        </is>
      </c>
      <c r="K5">
        <f>+FAO!E14</f>
        <v/>
      </c>
      <c r="L5" s="32" t="n"/>
      <c r="M5" s="48" t="inlineStr">
        <is>
          <t>increment =</t>
        </is>
      </c>
      <c r="N5">
        <f>+FAO!H14</f>
        <v/>
      </c>
      <c r="O5" s="32" t="n"/>
      <c r="P5" s="48" t="inlineStr">
        <is>
          <t>increment =</t>
        </is>
      </c>
      <c r="Q5">
        <f>+FAO!K14</f>
        <v/>
      </c>
      <c r="R5" s="32" t="n"/>
      <c r="S5" s="48" t="inlineStr">
        <is>
          <t>increment =</t>
        </is>
      </c>
      <c r="T5">
        <f>+FAO!N14</f>
        <v/>
      </c>
      <c r="U5" s="32" t="n"/>
      <c r="V5" s="48" t="inlineStr">
        <is>
          <t>increment =</t>
        </is>
      </c>
      <c r="W5">
        <f>+FAO!Q14</f>
        <v/>
      </c>
      <c r="X5" s="32" t="n"/>
      <c r="Y5" s="48" t="inlineStr">
        <is>
          <t>increment =</t>
        </is>
      </c>
      <c r="Z5">
        <f>+FAO!T14</f>
        <v/>
      </c>
      <c r="AA5" s="32" t="n"/>
      <c r="AB5" s="48" t="inlineStr">
        <is>
          <t>increment =</t>
        </is>
      </c>
      <c r="AC5">
        <f>+FAO!W14</f>
        <v/>
      </c>
      <c r="AD5" s="32" t="n"/>
    </row>
    <row r="6">
      <c r="D6" s="114" t="n"/>
      <c r="E6" s="115" t="n"/>
      <c r="F6" s="31" t="n"/>
      <c r="G6" s="48" t="inlineStr">
        <is>
          <t>Complete =</t>
        </is>
      </c>
      <c r="H6">
        <f>COUNTIFS($C$15:$C$2015,G$13,$D$15:$D$2015,"&gt;5")/COUNTIF($C$15:$C$2015,G$13)*100</f>
        <v/>
      </c>
      <c r="I6" s="32" t="n"/>
      <c r="J6" s="48" t="inlineStr">
        <is>
          <t>Complete =</t>
        </is>
      </c>
      <c r="K6">
        <f>COUNTIFS($C$15:$C$2015,J$13,$D$15:$D$2015,"&gt;5")/COUNTIF($C$15:$C$2015,J$13)*100</f>
        <v/>
      </c>
      <c r="L6" s="32" t="n"/>
      <c r="M6" s="48" t="inlineStr">
        <is>
          <t>Complete =</t>
        </is>
      </c>
      <c r="N6">
        <f>COUNTIFS($C$15:$C$2015,M$13,$D$15:$D$2015,"&gt;5")/COUNTIF($C$15:$C$2015,M$13)*100</f>
        <v/>
      </c>
      <c r="O6" s="32" t="n"/>
      <c r="P6" s="48" t="inlineStr">
        <is>
          <t>Complete =</t>
        </is>
      </c>
      <c r="Q6">
        <f>COUNTIFS($C$15:$C$2015,P$13,$D$15:$D$2015,"&gt;5")/COUNTIF($C$15:$C$2015,P$13)*100</f>
        <v/>
      </c>
      <c r="R6" s="32" t="n"/>
      <c r="S6" s="48" t="inlineStr">
        <is>
          <t>Complete =</t>
        </is>
      </c>
      <c r="T6">
        <f>COUNTIFS($C$15:$C$2015,S$13,$D$15:$D$2015,"&gt;5")/COUNTIF($C$15:$C$2015,S$13)*100</f>
        <v/>
      </c>
      <c r="U6" s="32" t="n"/>
      <c r="V6" s="48" t="inlineStr">
        <is>
          <t>Complete =</t>
        </is>
      </c>
      <c r="W6">
        <f>COUNTIFS($C$15:$C$2015,V$13,$D$15:$D$2015,"&gt;5")/COUNTIF($C$15:$C$2015,V$13)*100</f>
        <v/>
      </c>
      <c r="X6" s="32" t="n"/>
      <c r="Y6" s="48" t="inlineStr">
        <is>
          <t>Complete =</t>
        </is>
      </c>
      <c r="Z6">
        <f>COUNTIFS($C$15:$C$2015,Y$13,$D$15:$D$2015,"&gt;5")/COUNTIF($C$15:$C$2015,Y$13)*100</f>
        <v/>
      </c>
      <c r="AA6" s="32" t="n"/>
      <c r="AB6" s="48" t="inlineStr">
        <is>
          <t>Complete =</t>
        </is>
      </c>
      <c r="AC6">
        <f>COUNTIFS($C$15:$C$2015,AB$13,$D$15:$D$2015,"&gt;5")/COUNTIF($C$15:$C$2015,AB$13)*100</f>
        <v/>
      </c>
      <c r="AD6" s="32" t="n"/>
    </row>
    <row r="7">
      <c r="D7" s="114" t="n"/>
      <c r="E7" s="115" t="n"/>
      <c r="F7" s="31" t="n"/>
      <c r="G7" s="48" t="inlineStr">
        <is>
          <t>L50 (cm) =</t>
        </is>
      </c>
      <c r="H7">
        <f>+FAO!B11</f>
        <v/>
      </c>
      <c r="I7" s="32" t="n"/>
      <c r="J7" s="48" t="inlineStr">
        <is>
          <t>L50 (cm) =</t>
        </is>
      </c>
      <c r="K7">
        <f>+FAO!E11</f>
        <v/>
      </c>
      <c r="L7" s="32" t="n"/>
      <c r="M7" s="48" t="inlineStr">
        <is>
          <t>L50 (cm) =</t>
        </is>
      </c>
      <c r="N7">
        <f>+FAO!H11</f>
        <v/>
      </c>
      <c r="O7" s="32" t="n"/>
      <c r="P7" s="48" t="inlineStr">
        <is>
          <t>L50 (cm) =</t>
        </is>
      </c>
      <c r="Q7">
        <f>+FAO!K11</f>
        <v/>
      </c>
      <c r="R7" s="32" t="n"/>
      <c r="S7" s="48" t="inlineStr">
        <is>
          <t>L50 (cm) =</t>
        </is>
      </c>
      <c r="T7">
        <f>+FAO!N11</f>
        <v/>
      </c>
      <c r="U7" s="32" t="n"/>
      <c r="V7" s="48" t="inlineStr">
        <is>
          <t>L50 (cm) =</t>
        </is>
      </c>
      <c r="W7">
        <f>+FAO!Q11</f>
        <v/>
      </c>
      <c r="X7" s="32" t="n"/>
      <c r="Y7" s="48" t="inlineStr">
        <is>
          <t>L50 (cm) =</t>
        </is>
      </c>
      <c r="Z7">
        <f>+FAO!T11</f>
        <v/>
      </c>
      <c r="AA7" s="32" t="n"/>
      <c r="AB7" s="48" t="inlineStr">
        <is>
          <t>L50 (cm) =</t>
        </is>
      </c>
      <c r="AC7">
        <f>+FAO!W11</f>
        <v/>
      </c>
      <c r="AD7" s="32" t="n"/>
    </row>
    <row r="8">
      <c r="D8" s="114" t="n"/>
      <c r="E8" s="115" t="n"/>
      <c r="F8" s="31" t="n"/>
      <c r="G8" s="48" t="inlineStr">
        <is>
          <t>Juven. (%) =</t>
        </is>
      </c>
      <c r="H8">
        <f>+ROUND(COUNTIFS($C$15:$C$2015,G$13,$D$15:$D$2015,"&lt;"&amp;H7)/COUNTIF($C$15:$C$2015,G$13)*100,0)</f>
        <v/>
      </c>
      <c r="I8" s="32" t="n"/>
      <c r="J8" s="48" t="inlineStr">
        <is>
          <t>Juven. (%) =</t>
        </is>
      </c>
      <c r="K8">
        <f>+ROUND(COUNTIFS($C$15:$C$2015,J$13,$D$15:$D$2015,"&lt;"&amp;K7)/COUNTIF($C$15:$C$2015,J$13)*100,0)</f>
        <v/>
      </c>
      <c r="L8" s="32" t="n"/>
      <c r="M8" s="48" t="inlineStr">
        <is>
          <t>Juven. (%) =</t>
        </is>
      </c>
      <c r="N8">
        <f>+ROUND(COUNTIFS($C$15:$C$2015,M$13,$D$15:$D$2015,"&lt;"&amp;N7)/COUNTIF($C$15:$C$2015,M$13)*100,0)</f>
        <v/>
      </c>
      <c r="O8" s="32" t="n"/>
      <c r="P8" s="48" t="inlineStr">
        <is>
          <t>Juven. (%) =</t>
        </is>
      </c>
      <c r="Q8">
        <f>+ROUND(COUNTIFS($C$15:$C$2015,P$13,$D$15:$D$2015,"&lt;"&amp;Q7)/COUNTIF($C$15:$C$2015,P$13)*100,0)</f>
        <v/>
      </c>
      <c r="R8" s="32" t="n"/>
      <c r="S8" s="48" t="inlineStr">
        <is>
          <t>Juven. (%) =</t>
        </is>
      </c>
      <c r="T8">
        <f>+ROUND(COUNTIFS($C$15:$C$2015,S$13,$D$15:$D$2015,"&lt;"&amp;T7)/COUNTIF($C$15:$C$2015,S$13)*100,0)</f>
        <v/>
      </c>
      <c r="U8" s="32" t="n"/>
      <c r="V8" s="48" t="inlineStr">
        <is>
          <t>Juven. (%) =</t>
        </is>
      </c>
      <c r="W8">
        <f>+ROUND(COUNTIFS($C$15:$C$2015,V$13,$D$15:$D$2015,"&lt;"&amp;W7)/COUNTIF($C$15:$C$2015,V$13)*100,0)</f>
        <v/>
      </c>
      <c r="X8" s="32" t="n"/>
      <c r="Y8" s="48" t="inlineStr">
        <is>
          <t>Juven. (%) =</t>
        </is>
      </c>
      <c r="Z8">
        <f>+ROUND(COUNTIFS($C$15:$C$2015,Y$13,$D$15:$D$2015,"&lt;"&amp;Z7)/COUNTIF($C$15:$C$2015,Y$13)*100,0)</f>
        <v/>
      </c>
      <c r="AA8" s="32" t="n"/>
      <c r="AB8" s="48" t="inlineStr">
        <is>
          <t>Juven. (%) =</t>
        </is>
      </c>
      <c r="AC8">
        <f>+ROUND(COUNTIFS($C$15:$C$2015,AB$13,$D$15:$D$2015,"&lt;"&amp;AC7)/COUNTIF($C$15:$C$2015,AB$13)*100,0)</f>
        <v/>
      </c>
      <c r="AD8" s="32" t="n"/>
    </row>
    <row r="9">
      <c r="D9" s="114" t="n"/>
      <c r="E9" s="18" t="n"/>
      <c r="F9" s="31" t="n"/>
      <c r="G9" s="20">
        <f>+FAO!B6</f>
        <v/>
      </c>
      <c r="H9" s="117" t="n"/>
      <c r="I9" s="32" t="n"/>
      <c r="J9" s="20">
        <f>+FAO!E6</f>
        <v/>
      </c>
      <c r="K9" s="117" t="n"/>
      <c r="L9" s="32" t="n"/>
      <c r="M9" s="20">
        <f>+FAO!H6</f>
        <v/>
      </c>
      <c r="N9" s="117" t="n"/>
      <c r="O9" s="32" t="n"/>
      <c r="P9" s="20">
        <f>+FAO!K6</f>
        <v/>
      </c>
      <c r="Q9" s="117" t="n"/>
      <c r="R9" s="32" t="n"/>
      <c r="S9" s="20">
        <f>+FAO!N6</f>
        <v/>
      </c>
      <c r="T9" s="117" t="n"/>
      <c r="U9" s="32" t="n"/>
      <c r="V9" s="20">
        <f>+FAO!Q6</f>
        <v/>
      </c>
      <c r="W9" s="117" t="n"/>
      <c r="X9" s="32" t="n"/>
      <c r="Y9" s="20">
        <f>+FAO!T6</f>
        <v/>
      </c>
      <c r="Z9" s="117" t="n"/>
      <c r="AA9" s="32" t="n"/>
      <c r="AB9" s="20">
        <f>+FAO!W6</f>
        <v/>
      </c>
      <c r="AC9" s="117" t="n"/>
      <c r="AD9" s="32" t="n"/>
    </row>
    <row r="10">
      <c r="D10" s="114" t="n"/>
      <c r="E10" s="33" t="n"/>
      <c r="F10" s="31" t="n"/>
      <c r="G10" s="20">
        <f>+FAO!B7</f>
        <v/>
      </c>
      <c r="H10" s="118" t="n"/>
      <c r="I10" s="32" t="n"/>
      <c r="J10" s="20">
        <f>+FAO!E7</f>
        <v/>
      </c>
      <c r="K10" s="118" t="n"/>
      <c r="L10" s="32" t="n"/>
      <c r="M10" s="20">
        <f>+FAO!H7</f>
        <v/>
      </c>
      <c r="N10" s="118" t="n"/>
      <c r="O10" s="32" t="n"/>
      <c r="P10" s="20">
        <f>+FAO!K7</f>
        <v/>
      </c>
      <c r="Q10" s="118" t="n"/>
      <c r="R10" s="32" t="n"/>
      <c r="S10" s="20">
        <f>+FAO!N7</f>
        <v/>
      </c>
      <c r="T10" s="118" t="n"/>
      <c r="U10" s="32" t="n"/>
      <c r="V10" s="20">
        <f>+FAO!Q7</f>
        <v/>
      </c>
      <c r="W10" s="118" t="n"/>
      <c r="X10" s="32" t="n"/>
      <c r="Y10" s="20">
        <f>+FAO!T7</f>
        <v/>
      </c>
      <c r="Z10" s="118" t="n"/>
      <c r="AA10" s="32" t="n"/>
      <c r="AB10" s="20">
        <f>+FAO!W7</f>
        <v/>
      </c>
      <c r="AC10" s="118" t="n"/>
      <c r="AD10" s="32" t="n"/>
    </row>
    <row r="11">
      <c r="D11" s="114" t="n"/>
      <c r="E11" s="19" t="n"/>
      <c r="F11" s="31" t="n"/>
      <c r="G11" s="34">
        <f>+FAO!B9</f>
        <v/>
      </c>
      <c r="H11" s="119" t="n"/>
      <c r="I11" s="32" t="n"/>
      <c r="J11" s="34">
        <f>+FAO!E9</f>
        <v/>
      </c>
      <c r="K11" s="119" t="n"/>
      <c r="L11" s="32" t="n"/>
      <c r="M11" s="34">
        <f>+FAO!H9</f>
        <v/>
      </c>
      <c r="N11" s="119" t="n"/>
      <c r="O11" s="32" t="n"/>
      <c r="P11" s="34">
        <f>+FAO!K9</f>
        <v/>
      </c>
      <c r="Q11" s="119" t="n"/>
      <c r="R11" s="32" t="n"/>
      <c r="S11" s="34">
        <f>+FAO!N9</f>
        <v/>
      </c>
      <c r="T11" s="119" t="n"/>
      <c r="U11" s="32" t="n"/>
      <c r="V11" s="34">
        <f>+FAO!Q9</f>
        <v/>
      </c>
      <c r="W11" s="119" t="n"/>
      <c r="X11" s="32" t="n"/>
      <c r="Y11" s="34">
        <f>+FAO!T9</f>
        <v/>
      </c>
      <c r="Z11" s="119" t="n"/>
      <c r="AA11" s="32" t="n"/>
      <c r="AB11" s="34">
        <f>+FAO!W9</f>
        <v/>
      </c>
      <c r="AC11" s="119" t="n"/>
      <c r="AD11" s="32" t="n"/>
    </row>
    <row r="12">
      <c r="D12" s="114" t="n"/>
      <c r="E12" s="115" t="n"/>
      <c r="F12" s="31" t="n"/>
      <c r="G12" s="34">
        <f>+FAO!B5</f>
        <v/>
      </c>
      <c r="H12" s="120" t="n"/>
      <c r="I12" s="32" t="n"/>
      <c r="J12" s="34">
        <f>+FAO!E5</f>
        <v/>
      </c>
      <c r="K12" s="120" t="n"/>
      <c r="L12" s="32" t="n"/>
      <c r="M12" s="34">
        <f>+FAO!H5</f>
        <v/>
      </c>
      <c r="N12" s="120" t="n"/>
      <c r="O12" s="32" t="n"/>
      <c r="P12" s="34">
        <f>+FAO!K5</f>
        <v/>
      </c>
      <c r="Q12" s="120" t="n"/>
      <c r="R12" s="32" t="n"/>
      <c r="S12" s="34">
        <f>+FAO!N5</f>
        <v/>
      </c>
      <c r="T12" s="120" t="n"/>
      <c r="U12" s="32" t="n"/>
      <c r="V12" s="34">
        <f>+FAO!Q5</f>
        <v/>
      </c>
      <c r="W12" s="120" t="n"/>
      <c r="X12" s="32" t="n"/>
      <c r="Y12" s="34">
        <f>+FAO!T5</f>
        <v/>
      </c>
      <c r="Z12" s="120" t="n"/>
      <c r="AA12" s="32" t="n"/>
      <c r="AB12" s="34">
        <f>+FAO!W5</f>
        <v/>
      </c>
      <c r="AC12" s="120" t="n"/>
      <c r="AD12" s="32" t="n"/>
    </row>
    <row r="13" ht="39" customHeight="1" s="113">
      <c r="B13" s="49" t="n"/>
      <c r="D13" t="e">
        <v>#VALUE!</v>
      </c>
      <c r="E13" s="51">
        <f>COUNTA(C15:C1003)</f>
        <v/>
      </c>
      <c r="F13" s="31" t="n"/>
      <c r="G13" s="35">
        <f>+FAO!B1</f>
        <v/>
      </c>
      <c r="H13" s="121">
        <f>+FAO!B3</f>
        <v/>
      </c>
      <c r="I13" s="32" t="n"/>
      <c r="J13" s="35">
        <f>+FAO!E1</f>
        <v/>
      </c>
      <c r="K13" s="121">
        <f>+FAO!E3</f>
        <v/>
      </c>
      <c r="L13" s="32" t="n"/>
      <c r="M13" s="35">
        <f>+FAO!H1</f>
        <v/>
      </c>
      <c r="N13" s="121">
        <f>+FAO!H3</f>
        <v/>
      </c>
      <c r="O13" s="32" t="n"/>
      <c r="P13" s="35">
        <f>+FAO!K1</f>
        <v/>
      </c>
      <c r="Q13" s="121">
        <f>+FAO!K3</f>
        <v/>
      </c>
      <c r="R13" s="32" t="n"/>
      <c r="S13" s="35">
        <f>+FAO!N1</f>
        <v/>
      </c>
      <c r="T13" s="121">
        <f>+FAO!N3</f>
        <v/>
      </c>
      <c r="U13" s="32" t="n"/>
      <c r="V13" s="35">
        <f>+FAO!Q1</f>
        <v/>
      </c>
      <c r="W13" s="121">
        <f>+FAO!Q3</f>
        <v/>
      </c>
      <c r="X13" s="32" t="n"/>
      <c r="Y13" s="35">
        <f>+FAO!T1</f>
        <v/>
      </c>
      <c r="Z13" s="121">
        <f>+FAO!T3</f>
        <v/>
      </c>
      <c r="AA13" s="32" t="n"/>
      <c r="AB13" s="35">
        <f>+FAO!W1</f>
        <v/>
      </c>
      <c r="AC13" s="121">
        <f>+FAO!W3</f>
        <v/>
      </c>
      <c r="AD13" s="32" t="n"/>
    </row>
    <row r="14" customFormat="1" s="54">
      <c r="A14" s="99" t="inlineStr">
        <is>
          <t>TRIP</t>
        </is>
      </c>
      <c r="B14" s="99" t="inlineStr">
        <is>
          <t>DATE</t>
        </is>
      </c>
      <c r="C14" s="99" t="inlineStr">
        <is>
          <t>FAO</t>
        </is>
      </c>
      <c r="D14" s="122" t="inlineStr">
        <is>
          <t>OBS</t>
        </is>
      </c>
      <c r="E14" s="99" t="inlineStr">
        <is>
          <t>ID</t>
        </is>
      </c>
      <c r="F14" s="52" t="n"/>
      <c r="G14" s="50">
        <f>"LC-"&amp;G13</f>
        <v/>
      </c>
      <c r="H14" s="123">
        <f>"FQ-"&amp;G13</f>
        <v/>
      </c>
      <c r="I14" s="53" t="n"/>
      <c r="J14" s="50">
        <f>"LC-"&amp;J13</f>
        <v/>
      </c>
      <c r="K14" s="123">
        <f>"FQ-"&amp;J13</f>
        <v/>
      </c>
      <c r="L14" s="53" t="n"/>
      <c r="M14" s="50">
        <f>"LC-"&amp;M13</f>
        <v/>
      </c>
      <c r="N14" s="123">
        <f>"FQ-"&amp;M13</f>
        <v/>
      </c>
      <c r="O14" s="53" t="n"/>
      <c r="P14" s="50">
        <f>"LC-"&amp;P13</f>
        <v/>
      </c>
      <c r="Q14" s="123">
        <f>"FQ-"&amp;P13</f>
        <v/>
      </c>
      <c r="R14" s="53" t="n"/>
      <c r="S14" s="50">
        <f>"LC-"&amp;S13</f>
        <v/>
      </c>
      <c r="T14" s="123">
        <f>"FQ-"&amp;S13</f>
        <v/>
      </c>
      <c r="U14" s="53" t="n"/>
      <c r="V14" s="50">
        <f>"LC-"&amp;V13</f>
        <v/>
      </c>
      <c r="W14" s="123">
        <f>"FQ-"&amp;V13</f>
        <v/>
      </c>
      <c r="X14" s="53" t="n"/>
      <c r="Y14" s="50">
        <f>"LC-"&amp;Y13</f>
        <v/>
      </c>
      <c r="Z14" s="123">
        <f>"FQ-"&amp;Y13</f>
        <v/>
      </c>
      <c r="AA14" s="53" t="n"/>
      <c r="AB14" s="50">
        <f>"LC-"&amp;AB13</f>
        <v/>
      </c>
      <c r="AC14" s="123">
        <f>"FQ-"&amp;AB13</f>
        <v/>
      </c>
      <c r="AD14" s="53" t="n"/>
    </row>
    <row r="15">
      <c r="A15" s="58" t="n"/>
      <c r="B15" s="106" t="n"/>
      <c r="C15" s="59" t="inlineStr">
        <is>
          <t>LTQ</t>
        </is>
      </c>
      <c r="D15" t="n">
        <v>78</v>
      </c>
      <c r="E15" s="16">
        <f t="array" ref="E15:E78">+_xlfn.SEQUENCE(E13,1,1)</f>
        <v/>
      </c>
      <c r="F15" s="13" t="n"/>
      <c r="G15" s="16">
        <f t="array" ref="G15:G85">_xlfn.SEQUENCE(((H1-H4)/H5)+1, 1, H4, H5)</f>
        <v/>
      </c>
      <c r="H15" s="124">
        <f>IF(G15="","",COUNTIFS($C$15:$C$2015,G$13,$D$15:$D$2015,"&gt;="&amp;G15,$D$15:$D$2015,"&lt;"&amp;G16))</f>
        <v/>
      </c>
      <c r="I15" s="14" t="n"/>
      <c r="J15" s="16">
        <f t="array" ref="J15:J43">_xlfn.SEQUENCE(((K1-K4)/K5)+1, 1, K4, K5)</f>
        <v/>
      </c>
      <c r="K15" s="124">
        <f>IF(J15="","",COUNTIFS($C$15:$C$2015,J$13,$D$15:$D$2015,"&gt;="&amp;J15,$D$15:$D$2015,"&lt;"&amp;J16))</f>
        <v/>
      </c>
      <c r="L15" s="14" t="n"/>
      <c r="M15" s="16">
        <f t="array" ref="M15:M55">_xlfn.SEQUENCE(((N1-N4)/N5)+1, 1, N4, N5)</f>
        <v/>
      </c>
      <c r="N15" s="124">
        <f>IF(M15="","",COUNTIFS($C$15:$C$2015,M$13,$D$15:$D$2015,"&gt;="&amp;M15,$D$15:$D$2015,"&lt;"&amp;M16))</f>
        <v/>
      </c>
      <c r="O15" s="14" t="n"/>
      <c r="P15" s="16">
        <f t="array" ref="P15:P85">_xlfn.SEQUENCE(((Q1-Q4)/Q5)+1, 1, Q4, Q5)</f>
        <v/>
      </c>
      <c r="Q15" s="124">
        <f>IF(P15="","",COUNTIFS($C$15:$C$2015,P$13,$D$15:$D$2015,"&gt;="&amp;P15,$D$15:$D$2015,"&lt;"&amp;P16))</f>
        <v/>
      </c>
      <c r="R15" s="14" t="n"/>
      <c r="S15" s="16">
        <f t="array" ref="S15:S60">_xlfn.SEQUENCE(((T1-T4)/T5)+1, 1, T4, T5)</f>
        <v/>
      </c>
      <c r="T15" s="124">
        <f>IF(S15="","",COUNTIFS($C$15:$C$2015,S$13,$D$15:$D$2015,"&gt;="&amp;S15,$D$15:$D$2015,"&lt;"&amp;S16))</f>
        <v/>
      </c>
      <c r="U15" s="14" t="n"/>
      <c r="V15" s="16">
        <f t="array" ref="V15:V50">_xlfn.SEQUENCE(((W1-W4)/W5)+1, 1, W4, W5)</f>
        <v/>
      </c>
      <c r="W15" s="124">
        <f>IF(V15="","",COUNTIFS($C$15:$C$2015,V$13,$D$15:$D$2015,"&gt;="&amp;V15,$D$15:$D$2015,"&lt;"&amp;V16))</f>
        <v/>
      </c>
      <c r="X15" s="14" t="n"/>
      <c r="Y15" s="16">
        <f t="array" ref="Y15:Y50">_xlfn.SEQUENCE(((Z1-Z4)/Z5)+1, 1, Z4, Z5)</f>
        <v/>
      </c>
      <c r="Z15" s="124">
        <f>IF(Y15="","",COUNTIFS($C$15:$C$2015,Y$13,$D$15:$D$2015,"&gt;="&amp;Y15,$D$15:$D$2015,"&lt;"&amp;Y16))</f>
        <v/>
      </c>
      <c r="AA15" s="14" t="n"/>
      <c r="AB15" s="16">
        <f t="array" ref="AB15:AB67">_xlfn.SEQUENCE(((AC1-AC4)/AC5)+1, 1, AC4, AC5)</f>
        <v/>
      </c>
      <c r="AC15" s="124">
        <f>IF(AB15="","",COUNTIFS($C$15:$C$2015,AB$13,$D$15:$D$2015,"&gt;="&amp;AB15,$D$15:$D$2015,"&lt;"&amp;AB16))</f>
        <v/>
      </c>
      <c r="AD15" s="14" t="n"/>
    </row>
    <row r="16">
      <c r="A16" s="56" t="n"/>
      <c r="B16" s="57" t="n"/>
      <c r="C16" s="59" t="inlineStr">
        <is>
          <t>COM</t>
        </is>
      </c>
      <c r="D16" t="n">
        <v>145</v>
      </c>
      <c r="E16" s="16" t="n">
        <v>2</v>
      </c>
      <c r="F16" s="13" t="n"/>
      <c r="G16" s="16" t="n">
        <v>11</v>
      </c>
      <c r="H16" s="124">
        <f>IF(G16="","",COUNTIFS($C$15:$C$2015,G$13,$D$15:$D$2015,"&gt;="&amp;G16,$D$15:$D$2015,"&lt;"&amp;G17))</f>
        <v/>
      </c>
      <c r="I16" s="14" t="n"/>
      <c r="J16" s="16" t="n">
        <v>15</v>
      </c>
      <c r="K16" s="124">
        <f>IF(J16="","",COUNTIFS($C$15:$C$2015,J$13,$D$15:$D$2015,"&gt;="&amp;J16,$D$15:$D$2015,"&lt;"&amp;J17))</f>
        <v/>
      </c>
      <c r="L16" s="14" t="n"/>
      <c r="M16" s="16" t="n">
        <v>12</v>
      </c>
      <c r="N16" s="124">
        <f>IF(M16="","",COUNTIFS($C$15:$C$2015,M$13,$D$15:$D$2015,"&gt;="&amp;M16,$D$15:$D$2015,"&lt;"&amp;M17))</f>
        <v/>
      </c>
      <c r="O16" s="14" t="n"/>
      <c r="P16" s="16" t="n">
        <v>11</v>
      </c>
      <c r="Q16" s="124">
        <f>IF(P16="","",COUNTIFS($C$15:$C$2015,P$13,$D$15:$D$2015,"&gt;="&amp;P16,$D$15:$D$2015,"&lt;"&amp;P17))</f>
        <v/>
      </c>
      <c r="R16" s="14" t="n"/>
      <c r="S16" s="16" t="n">
        <v>12</v>
      </c>
      <c r="T16" s="124">
        <f>IF(S16="","",COUNTIFS($C$15:$C$2015,S$13,$D$15:$D$2015,"&gt;="&amp;S16,$D$15:$D$2015,"&lt;"&amp;S17))</f>
        <v/>
      </c>
      <c r="U16" s="14" t="n"/>
      <c r="V16" s="16" t="n">
        <v>12</v>
      </c>
      <c r="W16" s="124">
        <f>IF(V16="","",COUNTIFS($C$15:$C$2015,V$13,$D$15:$D$2015,"&gt;="&amp;V16,$D$15:$D$2015,"&lt;"&amp;V17))</f>
        <v/>
      </c>
      <c r="X16" s="14" t="n"/>
      <c r="Y16" s="16" t="n">
        <v>12</v>
      </c>
      <c r="Z16" s="124">
        <f>IF(Y16="","",COUNTIFS($C$15:$C$2015,Y$13,$D$15:$D$2015,"&gt;="&amp;Y16,$D$15:$D$2015,"&lt;"&amp;Y17))</f>
        <v/>
      </c>
      <c r="AA16" s="14" t="n"/>
      <c r="AB16" s="16" t="n">
        <v>11</v>
      </c>
      <c r="AC16" s="124">
        <f>IF(AB16="","",COUNTIFS($C$15:$C$2015,AB$13,$D$15:$D$2015,"&gt;="&amp;AB16,$D$15:$D$2015,"&lt;"&amp;AB17))</f>
        <v/>
      </c>
      <c r="AD16" s="14" t="n"/>
    </row>
    <row r="17">
      <c r="A17" s="58" t="n"/>
      <c r="B17" s="59" t="n"/>
      <c r="C17" s="59" t="inlineStr">
        <is>
          <t>LJB</t>
        </is>
      </c>
      <c r="D17" t="n">
        <v>88</v>
      </c>
      <c r="E17" s="16" t="n">
        <v>3</v>
      </c>
      <c r="F17" s="13" t="n"/>
      <c r="G17" s="16" t="n">
        <v>12</v>
      </c>
      <c r="H17" s="124">
        <f>IF(G17="","",COUNTIFS($C$15:$C$2015,G$13,$D$15:$D$2015,"&gt;="&amp;G17,$D$15:$D$2015,"&lt;"&amp;G18))</f>
        <v/>
      </c>
      <c r="I17" s="14" t="n"/>
      <c r="J17" s="16" t="n">
        <v>20</v>
      </c>
      <c r="K17" s="124">
        <f>IF(J17="","",COUNTIFS($C$15:$C$2015,J$13,$D$15:$D$2015,"&gt;="&amp;J17,$D$15:$D$2015,"&lt;"&amp;J18))</f>
        <v/>
      </c>
      <c r="L17" s="14" t="n"/>
      <c r="M17" s="16" t="n">
        <v>14</v>
      </c>
      <c r="N17" s="124">
        <f>IF(M17="","",COUNTIFS($C$15:$C$2015,M$13,$D$15:$D$2015,"&gt;="&amp;M17,$D$15:$D$2015,"&lt;"&amp;M18))</f>
        <v/>
      </c>
      <c r="O17" s="14" t="n"/>
      <c r="P17" s="16" t="n">
        <v>12</v>
      </c>
      <c r="Q17" s="124">
        <f>IF(P17="","",COUNTIFS($C$15:$C$2015,P$13,$D$15:$D$2015,"&gt;="&amp;P17,$D$15:$D$2015,"&lt;"&amp;P18))</f>
        <v/>
      </c>
      <c r="R17" s="14" t="n"/>
      <c r="S17" s="16" t="n">
        <v>14</v>
      </c>
      <c r="T17" s="124">
        <f>IF(S17="","",COUNTIFS($C$15:$C$2015,S$13,$D$15:$D$2015,"&gt;="&amp;S17,$D$15:$D$2015,"&lt;"&amp;S18))</f>
        <v/>
      </c>
      <c r="U17" s="14" t="n"/>
      <c r="V17" s="16" t="n">
        <v>14</v>
      </c>
      <c r="W17" s="124">
        <f>IF(V17="","",COUNTIFS($C$15:$C$2015,V$13,$D$15:$D$2015,"&gt;="&amp;V17,$D$15:$D$2015,"&lt;"&amp;V18))</f>
        <v/>
      </c>
      <c r="X17" s="14" t="n"/>
      <c r="Y17" s="16" t="n">
        <v>14</v>
      </c>
      <c r="Z17" s="124">
        <f>IF(Y17="","",COUNTIFS($C$15:$C$2015,Y$13,$D$15:$D$2015,"&gt;="&amp;Y17,$D$15:$D$2015,"&lt;"&amp;Y18))</f>
        <v/>
      </c>
      <c r="AA17" s="14" t="n"/>
      <c r="AB17" s="16" t="n">
        <v>12</v>
      </c>
      <c r="AC17" s="124">
        <f>IF(AB17="","",COUNTIFS($C$15:$C$2015,AB$13,$D$15:$D$2015,"&gt;="&amp;AB17,$D$15:$D$2015,"&lt;"&amp;AB18))</f>
        <v/>
      </c>
      <c r="AD17" s="14" t="n"/>
    </row>
    <row r="18">
      <c r="A18" s="56" t="n"/>
      <c r="B18" s="57" t="n"/>
      <c r="C18" s="59" t="inlineStr">
        <is>
          <t>EWS</t>
        </is>
      </c>
      <c r="D18" t="n">
        <v>79</v>
      </c>
      <c r="E18" s="16" t="n">
        <v>4</v>
      </c>
      <c r="F18" s="13" t="n"/>
      <c r="G18" s="16" t="n">
        <v>13</v>
      </c>
      <c r="H18" s="124">
        <f>IF(G18="","",COUNTIFS($C$15:$C$2015,G$13,$D$15:$D$2015,"&gt;="&amp;G18,$D$15:$D$2015,"&lt;"&amp;G19))</f>
        <v/>
      </c>
      <c r="I18" s="14" t="n"/>
      <c r="J18" s="16" t="n">
        <v>25</v>
      </c>
      <c r="K18" s="124">
        <f>IF(J18="","",COUNTIFS($C$15:$C$2015,J$13,$D$15:$D$2015,"&gt;="&amp;J18,$D$15:$D$2015,"&lt;"&amp;J19))</f>
        <v/>
      </c>
      <c r="L18" s="14" t="n"/>
      <c r="M18" s="16" t="n">
        <v>16</v>
      </c>
      <c r="N18" s="124">
        <f>IF(M18="","",COUNTIFS($C$15:$C$2015,M$13,$D$15:$D$2015,"&gt;="&amp;M18,$D$15:$D$2015,"&lt;"&amp;M19))</f>
        <v/>
      </c>
      <c r="O18" s="14" t="n"/>
      <c r="P18" s="16" t="n">
        <v>13</v>
      </c>
      <c r="Q18" s="124">
        <f>IF(P18="","",COUNTIFS($C$15:$C$2015,P$13,$D$15:$D$2015,"&gt;="&amp;P18,$D$15:$D$2015,"&lt;"&amp;P19))</f>
        <v/>
      </c>
      <c r="R18" s="14" t="n"/>
      <c r="S18" s="16" t="n">
        <v>16</v>
      </c>
      <c r="T18" s="124">
        <f>IF(S18="","",COUNTIFS($C$15:$C$2015,S$13,$D$15:$D$2015,"&gt;="&amp;S18,$D$15:$D$2015,"&lt;"&amp;S19))</f>
        <v/>
      </c>
      <c r="U18" s="14" t="n"/>
      <c r="V18" s="16" t="n">
        <v>16</v>
      </c>
      <c r="W18" s="124">
        <f>IF(V18="","",COUNTIFS($C$15:$C$2015,V$13,$D$15:$D$2015,"&gt;="&amp;V18,$D$15:$D$2015,"&lt;"&amp;V19))</f>
        <v/>
      </c>
      <c r="X18" s="14" t="n"/>
      <c r="Y18" s="16" t="n">
        <v>16</v>
      </c>
      <c r="Z18" s="124">
        <f>IF(Y18="","",COUNTIFS($C$15:$C$2015,Y$13,$D$15:$D$2015,"&gt;="&amp;Y18,$D$15:$D$2015,"&lt;"&amp;Y19))</f>
        <v/>
      </c>
      <c r="AA18" s="14" t="n"/>
      <c r="AB18" s="16" t="n">
        <v>13</v>
      </c>
      <c r="AC18" s="124">
        <f>IF(AB18="","",COUNTIFS($C$15:$C$2015,AB$13,$D$15:$D$2015,"&gt;="&amp;AB18,$D$15:$D$2015,"&lt;"&amp;AB19))</f>
        <v/>
      </c>
      <c r="AD18" s="14" t="n"/>
    </row>
    <row r="19">
      <c r="A19" s="58" t="n"/>
      <c r="B19" s="59" t="n"/>
      <c r="C19" s="59" t="inlineStr">
        <is>
          <t>KAW</t>
        </is>
      </c>
      <c r="D19" t="n">
        <v>99</v>
      </c>
      <c r="E19" s="16" t="n">
        <v>5</v>
      </c>
      <c r="F19" s="13" t="n"/>
      <c r="G19" s="16" t="n">
        <v>14</v>
      </c>
      <c r="H19" s="124">
        <f>IF(G19="","",COUNTIFS($C$15:$C$2015,G$13,$D$15:$D$2015,"&gt;="&amp;G19,$D$15:$D$2015,"&lt;"&amp;G20))</f>
        <v/>
      </c>
      <c r="I19" s="14" t="n"/>
      <c r="J19" s="16" t="n">
        <v>30</v>
      </c>
      <c r="K19" s="124">
        <f>IF(J19="","",COUNTIFS($C$15:$C$2015,J$13,$D$15:$D$2015,"&gt;="&amp;J19,$D$15:$D$2015,"&lt;"&amp;J20))</f>
        <v/>
      </c>
      <c r="L19" s="14" t="n"/>
      <c r="M19" s="16" t="n">
        <v>18</v>
      </c>
      <c r="N19" s="124">
        <f>IF(M19="","",COUNTIFS($C$15:$C$2015,M$13,$D$15:$D$2015,"&gt;="&amp;M19,$D$15:$D$2015,"&lt;"&amp;M20))</f>
        <v/>
      </c>
      <c r="O19" s="14" t="n"/>
      <c r="P19" s="16" t="n">
        <v>14</v>
      </c>
      <c r="Q19" s="124">
        <f>IF(P19="","",COUNTIFS($C$15:$C$2015,P$13,$D$15:$D$2015,"&gt;="&amp;P19,$D$15:$D$2015,"&lt;"&amp;P20))</f>
        <v/>
      </c>
      <c r="R19" s="14" t="n"/>
      <c r="S19" s="16" t="n">
        <v>18</v>
      </c>
      <c r="T19" s="124">
        <f>IF(S19="","",COUNTIFS($C$15:$C$2015,S$13,$D$15:$D$2015,"&gt;="&amp;S19,$D$15:$D$2015,"&lt;"&amp;S20))</f>
        <v/>
      </c>
      <c r="U19" s="14" t="n"/>
      <c r="V19" s="16" t="n">
        <v>18</v>
      </c>
      <c r="W19" s="124">
        <f>IF(V19="","",COUNTIFS($C$15:$C$2015,V$13,$D$15:$D$2015,"&gt;="&amp;V19,$D$15:$D$2015,"&lt;"&amp;V20))</f>
        <v/>
      </c>
      <c r="X19" s="14" t="n"/>
      <c r="Y19" s="16" t="n">
        <v>18</v>
      </c>
      <c r="Z19" s="124">
        <f>IF(Y19="","",COUNTIFS($C$15:$C$2015,Y$13,$D$15:$D$2015,"&gt;="&amp;Y19,$D$15:$D$2015,"&lt;"&amp;Y20))</f>
        <v/>
      </c>
      <c r="AA19" s="14" t="n"/>
      <c r="AB19" s="16" t="n">
        <v>14</v>
      </c>
      <c r="AC19" s="124">
        <f>IF(AB19="","",COUNTIFS($C$15:$C$2015,AB$13,$D$15:$D$2015,"&gt;="&amp;AB19,$D$15:$D$2015,"&lt;"&amp;AB20))</f>
        <v/>
      </c>
      <c r="AD19" s="14" t="n"/>
    </row>
    <row r="20">
      <c r="A20" s="56" t="n"/>
      <c r="B20" s="57" t="n"/>
      <c r="C20" s="59" t="inlineStr">
        <is>
          <t>EMU</t>
        </is>
      </c>
      <c r="D20" t="n">
        <v>79</v>
      </c>
      <c r="E20" s="16" t="n">
        <v>6</v>
      </c>
      <c r="F20" s="13" t="n"/>
      <c r="G20" s="16" t="n">
        <v>15</v>
      </c>
      <c r="H20" s="124">
        <f>IF(G20="","",COUNTIFS($C$15:$C$2015,G$13,$D$15:$D$2015,"&gt;="&amp;G20,$D$15:$D$2015,"&lt;"&amp;G21))</f>
        <v/>
      </c>
      <c r="I20" s="14" t="n"/>
      <c r="J20" s="16" t="n">
        <v>35</v>
      </c>
      <c r="K20" s="124">
        <f>IF(J20="","",COUNTIFS($C$15:$C$2015,J$13,$D$15:$D$2015,"&gt;="&amp;J20,$D$15:$D$2015,"&lt;"&amp;J21))</f>
        <v/>
      </c>
      <c r="L20" s="14" t="n"/>
      <c r="M20" s="16" t="n">
        <v>20</v>
      </c>
      <c r="N20" s="124">
        <f>IF(M20="","",COUNTIFS($C$15:$C$2015,M$13,$D$15:$D$2015,"&gt;="&amp;M20,$D$15:$D$2015,"&lt;"&amp;M21))</f>
        <v/>
      </c>
      <c r="O20" s="14" t="n"/>
      <c r="P20" s="16" t="n">
        <v>15</v>
      </c>
      <c r="Q20" s="124">
        <f>IF(P20="","",COUNTIFS($C$15:$C$2015,P$13,$D$15:$D$2015,"&gt;="&amp;P20,$D$15:$D$2015,"&lt;"&amp;P21))</f>
        <v/>
      </c>
      <c r="R20" s="14" t="n"/>
      <c r="S20" s="16" t="n">
        <v>20</v>
      </c>
      <c r="T20" s="124">
        <f>IF(S20="","",COUNTIFS($C$15:$C$2015,S$13,$D$15:$D$2015,"&gt;="&amp;S20,$D$15:$D$2015,"&lt;"&amp;S21))</f>
        <v/>
      </c>
      <c r="U20" s="14" t="n"/>
      <c r="V20" s="16" t="n">
        <v>20</v>
      </c>
      <c r="W20" s="124">
        <f>IF(V20="","",COUNTIFS($C$15:$C$2015,V$13,$D$15:$D$2015,"&gt;="&amp;V20,$D$15:$D$2015,"&lt;"&amp;V21))</f>
        <v/>
      </c>
      <c r="X20" s="14" t="n"/>
      <c r="Y20" s="16" t="n">
        <v>20</v>
      </c>
      <c r="Z20" s="124">
        <f>IF(Y20="","",COUNTIFS($C$15:$C$2015,Y$13,$D$15:$D$2015,"&gt;="&amp;Y20,$D$15:$D$2015,"&lt;"&amp;Y21))</f>
        <v/>
      </c>
      <c r="AA20" s="14" t="n"/>
      <c r="AB20" s="16" t="n">
        <v>15</v>
      </c>
      <c r="AC20" s="124">
        <f>IF(AB20="","",COUNTIFS($C$15:$C$2015,AB$13,$D$15:$D$2015,"&gt;="&amp;AB20,$D$15:$D$2015,"&lt;"&amp;AB21))</f>
        <v/>
      </c>
      <c r="AD20" s="14" t="n"/>
    </row>
    <row r="21">
      <c r="A21" s="58" t="n"/>
      <c r="B21" s="59" t="n"/>
      <c r="C21" s="59" t="inlineStr">
        <is>
          <t>EME</t>
        </is>
      </c>
      <c r="D21" t="n">
        <v>79</v>
      </c>
      <c r="E21" s="16" t="n">
        <v>7</v>
      </c>
      <c r="F21" s="13" t="n"/>
      <c r="G21" s="16" t="n">
        <v>16</v>
      </c>
      <c r="H21" s="124">
        <f>IF(G21="","",COUNTIFS($C$15:$C$2015,G$13,$D$15:$D$2015,"&gt;="&amp;G21,$D$15:$D$2015,"&lt;"&amp;G22))</f>
        <v/>
      </c>
      <c r="I21" s="14" t="n"/>
      <c r="J21" s="16" t="n">
        <v>40</v>
      </c>
      <c r="K21" s="124">
        <f>IF(J21="","",COUNTIFS($C$15:$C$2015,J$13,$D$15:$D$2015,"&gt;="&amp;J21,$D$15:$D$2015,"&lt;"&amp;J22))</f>
        <v/>
      </c>
      <c r="L21" s="14" t="n"/>
      <c r="M21" s="16" t="n">
        <v>22</v>
      </c>
      <c r="N21" s="124">
        <f>IF(M21="","",COUNTIFS($C$15:$C$2015,M$13,$D$15:$D$2015,"&gt;="&amp;M21,$D$15:$D$2015,"&lt;"&amp;M22))</f>
        <v/>
      </c>
      <c r="O21" s="14" t="n"/>
      <c r="P21" s="16" t="n">
        <v>16</v>
      </c>
      <c r="Q21" s="124">
        <f>IF(P21="","",COUNTIFS($C$15:$C$2015,P$13,$D$15:$D$2015,"&gt;="&amp;P21,$D$15:$D$2015,"&lt;"&amp;P22))</f>
        <v/>
      </c>
      <c r="R21" s="14" t="n"/>
      <c r="S21" s="16" t="n">
        <v>22</v>
      </c>
      <c r="T21" s="124">
        <f>IF(S21="","",COUNTIFS($C$15:$C$2015,S$13,$D$15:$D$2015,"&gt;="&amp;S21,$D$15:$D$2015,"&lt;"&amp;S22))</f>
        <v/>
      </c>
      <c r="U21" s="14" t="n"/>
      <c r="V21" s="16" t="n">
        <v>22</v>
      </c>
      <c r="W21" s="124">
        <f>IF(V21="","",COUNTIFS($C$15:$C$2015,V$13,$D$15:$D$2015,"&gt;="&amp;V21,$D$15:$D$2015,"&lt;"&amp;V22))</f>
        <v/>
      </c>
      <c r="X21" s="14" t="n"/>
      <c r="Y21" s="16" t="n">
        <v>22</v>
      </c>
      <c r="Z21" s="124">
        <f>IF(Y21="","",COUNTIFS($C$15:$C$2015,Y$13,$D$15:$D$2015,"&gt;="&amp;Y21,$D$15:$D$2015,"&lt;"&amp;Y22))</f>
        <v/>
      </c>
      <c r="AA21" s="14" t="n"/>
      <c r="AB21" s="16" t="n">
        <v>16</v>
      </c>
      <c r="AC21" s="124">
        <f>IF(AB21="","",COUNTIFS($C$15:$C$2015,AB$13,$D$15:$D$2015,"&gt;="&amp;AB21,$D$15:$D$2015,"&lt;"&amp;AB22))</f>
        <v/>
      </c>
      <c r="AD21" s="14" t="n"/>
    </row>
    <row r="22">
      <c r="A22" s="56" t="n"/>
      <c r="B22" s="57" t="n"/>
      <c r="C22" s="59" t="inlineStr">
        <is>
          <t>VRL</t>
        </is>
      </c>
      <c r="D22" t="n">
        <v>61</v>
      </c>
      <c r="E22" s="16" t="n">
        <v>8</v>
      </c>
      <c r="F22" s="13" t="n"/>
      <c r="G22" s="16" t="n">
        <v>17</v>
      </c>
      <c r="H22" s="124">
        <f>IF(G22="","",COUNTIFS($C$15:$C$2015,G$13,$D$15:$D$2015,"&gt;="&amp;G22,$D$15:$D$2015,"&lt;"&amp;G23))</f>
        <v/>
      </c>
      <c r="I22" s="14" t="n"/>
      <c r="J22" s="16" t="n">
        <v>45</v>
      </c>
      <c r="K22" s="124">
        <f>IF(J22="","",COUNTIFS($C$15:$C$2015,J$13,$D$15:$D$2015,"&gt;="&amp;J22,$D$15:$D$2015,"&lt;"&amp;J23))</f>
        <v/>
      </c>
      <c r="L22" s="14" t="n"/>
      <c r="M22" s="16" t="n">
        <v>24</v>
      </c>
      <c r="N22" s="124">
        <f>IF(M22="","",COUNTIFS($C$15:$C$2015,M$13,$D$15:$D$2015,"&gt;="&amp;M22,$D$15:$D$2015,"&lt;"&amp;M23))</f>
        <v/>
      </c>
      <c r="O22" s="14" t="n"/>
      <c r="P22" s="16" t="n">
        <v>17</v>
      </c>
      <c r="Q22" s="124">
        <f>IF(P22="","",COUNTIFS($C$15:$C$2015,P$13,$D$15:$D$2015,"&gt;="&amp;P22,$D$15:$D$2015,"&lt;"&amp;P23))</f>
        <v/>
      </c>
      <c r="R22" s="14" t="n"/>
      <c r="S22" s="16" t="n">
        <v>24</v>
      </c>
      <c r="T22" s="124">
        <f>IF(S22="","",COUNTIFS($C$15:$C$2015,S$13,$D$15:$D$2015,"&gt;="&amp;S22,$D$15:$D$2015,"&lt;"&amp;S23))</f>
        <v/>
      </c>
      <c r="U22" s="14" t="n"/>
      <c r="V22" s="16" t="n">
        <v>24</v>
      </c>
      <c r="W22" s="124">
        <f>IF(V22="","",COUNTIFS($C$15:$C$2015,V$13,$D$15:$D$2015,"&gt;="&amp;V22,$D$15:$D$2015,"&lt;"&amp;V23))</f>
        <v/>
      </c>
      <c r="X22" s="14" t="n"/>
      <c r="Y22" s="16" t="n">
        <v>24</v>
      </c>
      <c r="Z22" s="124">
        <f>IF(Y22="","",COUNTIFS($C$15:$C$2015,Y$13,$D$15:$D$2015,"&gt;="&amp;Y22,$D$15:$D$2015,"&lt;"&amp;Y23))</f>
        <v/>
      </c>
      <c r="AA22" s="14" t="n"/>
      <c r="AB22" s="16" t="n">
        <v>17</v>
      </c>
      <c r="AC22" s="124">
        <f>IF(AB22="","",COUNTIFS($C$15:$C$2015,AB$13,$D$15:$D$2015,"&gt;="&amp;AB22,$D$15:$D$2015,"&lt;"&amp;AB23))</f>
        <v/>
      </c>
      <c r="AD22" s="14" t="n"/>
    </row>
    <row r="23">
      <c r="A23" s="58" t="n"/>
      <c r="B23" s="59" t="n"/>
      <c r="C23" s="111" t="inlineStr">
        <is>
          <t>LTQ</t>
        </is>
      </c>
      <c r="D23" s="112" t="n">
        <v>9</v>
      </c>
      <c r="E23" s="16" t="n">
        <v>9</v>
      </c>
      <c r="F23" s="13" t="n"/>
      <c r="G23" s="16" t="n">
        <v>18</v>
      </c>
      <c r="H23" s="124">
        <f>IF(G23="","",COUNTIFS($C$15:$C$2015,G$13,$D$15:$D$2015,"&gt;="&amp;G23,$D$15:$D$2015,"&lt;"&amp;G24))</f>
        <v/>
      </c>
      <c r="I23" s="14" t="n"/>
      <c r="J23" s="16" t="n">
        <v>50</v>
      </c>
      <c r="K23" s="124">
        <f>IF(J23="","",COUNTIFS($C$15:$C$2015,J$13,$D$15:$D$2015,"&gt;="&amp;J23,$D$15:$D$2015,"&lt;"&amp;J24))</f>
        <v/>
      </c>
      <c r="L23" s="14" t="n"/>
      <c r="M23" s="16" t="n">
        <v>26</v>
      </c>
      <c r="N23" s="124">
        <f>IF(M23="","",COUNTIFS($C$15:$C$2015,M$13,$D$15:$D$2015,"&gt;="&amp;M23,$D$15:$D$2015,"&lt;"&amp;M24))</f>
        <v/>
      </c>
      <c r="O23" s="14" t="n"/>
      <c r="P23" s="16" t="n">
        <v>18</v>
      </c>
      <c r="Q23" s="124">
        <f>IF(P23="","",COUNTIFS($C$15:$C$2015,P$13,$D$15:$D$2015,"&gt;="&amp;P23,$D$15:$D$2015,"&lt;"&amp;P24))</f>
        <v/>
      </c>
      <c r="R23" s="14" t="n"/>
      <c r="S23" s="16" t="n">
        <v>26</v>
      </c>
      <c r="T23" s="124">
        <f>IF(S23="","",COUNTIFS($C$15:$C$2015,S$13,$D$15:$D$2015,"&gt;="&amp;S23,$D$15:$D$2015,"&lt;"&amp;S24))</f>
        <v/>
      </c>
      <c r="U23" s="14" t="n"/>
      <c r="V23" s="16" t="n">
        <v>26</v>
      </c>
      <c r="W23" s="124">
        <f>IF(V23="","",COUNTIFS($C$15:$C$2015,V$13,$D$15:$D$2015,"&gt;="&amp;V23,$D$15:$D$2015,"&lt;"&amp;V24))</f>
        <v/>
      </c>
      <c r="X23" s="14" t="n"/>
      <c r="Y23" s="16" t="n">
        <v>26</v>
      </c>
      <c r="Z23" s="124">
        <f>IF(Y23="","",COUNTIFS($C$15:$C$2015,Y$13,$D$15:$D$2015,"&gt;="&amp;Y23,$D$15:$D$2015,"&lt;"&amp;Y24))</f>
        <v/>
      </c>
      <c r="AA23" s="14" t="n"/>
      <c r="AB23" s="16" t="n">
        <v>18</v>
      </c>
      <c r="AC23" s="124">
        <f>IF(AB23="","",COUNTIFS($C$15:$C$2015,AB$13,$D$15:$D$2015,"&gt;="&amp;AB23,$D$15:$D$2015,"&lt;"&amp;AB24))</f>
        <v/>
      </c>
      <c r="AD23" s="14" t="n"/>
    </row>
    <row r="24">
      <c r="A24" s="56" t="n"/>
      <c r="B24" s="57" t="n"/>
      <c r="C24" s="111" t="inlineStr">
        <is>
          <t>COM</t>
        </is>
      </c>
      <c r="D24" s="112" t="n">
        <v>9</v>
      </c>
      <c r="E24" s="16" t="n">
        <v>10</v>
      </c>
      <c r="F24" s="13" t="n"/>
      <c r="G24" s="16" t="n">
        <v>19</v>
      </c>
      <c r="H24" s="124">
        <f>IF(G24="","",COUNTIFS($C$15:$C$2015,G$13,$D$15:$D$2015,"&gt;="&amp;G24,$D$15:$D$2015,"&lt;"&amp;G25))</f>
        <v/>
      </c>
      <c r="I24" s="14" t="n"/>
      <c r="J24" s="16" t="n">
        <v>55</v>
      </c>
      <c r="K24" s="124">
        <f>IF(J24="","",COUNTIFS($C$15:$C$2015,J$13,$D$15:$D$2015,"&gt;="&amp;J24,$D$15:$D$2015,"&lt;"&amp;J25))</f>
        <v/>
      </c>
      <c r="L24" s="14" t="n"/>
      <c r="M24" s="16" t="n">
        <v>28</v>
      </c>
      <c r="N24" s="124">
        <f>IF(M24="","",COUNTIFS($C$15:$C$2015,M$13,$D$15:$D$2015,"&gt;="&amp;M24,$D$15:$D$2015,"&lt;"&amp;M25))</f>
        <v/>
      </c>
      <c r="O24" s="14" t="n"/>
      <c r="P24" s="16" t="n">
        <v>19</v>
      </c>
      <c r="Q24" s="124">
        <f>IF(P24="","",COUNTIFS($C$15:$C$2015,P$13,$D$15:$D$2015,"&gt;="&amp;P24,$D$15:$D$2015,"&lt;"&amp;P25))</f>
        <v/>
      </c>
      <c r="R24" s="14" t="n"/>
      <c r="S24" s="16" t="n">
        <v>28</v>
      </c>
      <c r="T24" s="124">
        <f>IF(S24="","",COUNTIFS($C$15:$C$2015,S$13,$D$15:$D$2015,"&gt;="&amp;S24,$D$15:$D$2015,"&lt;"&amp;S25))</f>
        <v/>
      </c>
      <c r="U24" s="14" t="n"/>
      <c r="V24" s="16" t="n">
        <v>28</v>
      </c>
      <c r="W24" s="124">
        <f>IF(V24="","",COUNTIFS($C$15:$C$2015,V$13,$D$15:$D$2015,"&gt;="&amp;V24,$D$15:$D$2015,"&lt;"&amp;V25))</f>
        <v/>
      </c>
      <c r="X24" s="14" t="n"/>
      <c r="Y24" s="16" t="n">
        <v>28</v>
      </c>
      <c r="Z24" s="124">
        <f>IF(Y24="","",COUNTIFS($C$15:$C$2015,Y$13,$D$15:$D$2015,"&gt;="&amp;Y24,$D$15:$D$2015,"&lt;"&amp;Y25))</f>
        <v/>
      </c>
      <c r="AA24" s="14" t="n"/>
      <c r="AB24" s="16" t="n">
        <v>19</v>
      </c>
      <c r="AC24" s="124">
        <f>IF(AB24="","",COUNTIFS($C$15:$C$2015,AB$13,$D$15:$D$2015,"&gt;="&amp;AB24,$D$15:$D$2015,"&lt;"&amp;AB25))</f>
        <v/>
      </c>
      <c r="AD24" s="14" t="n"/>
    </row>
    <row r="25">
      <c r="A25" s="58" t="n"/>
      <c r="B25" s="59" t="n"/>
      <c r="C25" s="111" t="inlineStr">
        <is>
          <t>LJB</t>
        </is>
      </c>
      <c r="D25" s="112" t="n">
        <v>9</v>
      </c>
      <c r="E25" s="16" t="n">
        <v>11</v>
      </c>
      <c r="F25" s="13" t="n"/>
      <c r="G25" s="16" t="n">
        <v>20</v>
      </c>
      <c r="H25" s="124">
        <f>IF(G25="","",COUNTIFS($C$15:$C$2015,G$13,$D$15:$D$2015,"&gt;="&amp;G25,$D$15:$D$2015,"&lt;"&amp;G26))</f>
        <v/>
      </c>
      <c r="I25" s="14" t="n"/>
      <c r="J25" s="16" t="n">
        <v>60</v>
      </c>
      <c r="K25" s="124">
        <f>IF(J25="","",COUNTIFS($C$15:$C$2015,J$13,$D$15:$D$2015,"&gt;="&amp;J25,$D$15:$D$2015,"&lt;"&amp;J26))</f>
        <v/>
      </c>
      <c r="L25" s="14" t="n"/>
      <c r="M25" s="16" t="n">
        <v>30</v>
      </c>
      <c r="N25" s="124">
        <f>IF(M25="","",COUNTIFS($C$15:$C$2015,M$13,$D$15:$D$2015,"&gt;="&amp;M25,$D$15:$D$2015,"&lt;"&amp;M26))</f>
        <v/>
      </c>
      <c r="O25" s="14" t="n"/>
      <c r="P25" s="16" t="n">
        <v>20</v>
      </c>
      <c r="Q25" s="124">
        <f>IF(P25="","",COUNTIFS($C$15:$C$2015,P$13,$D$15:$D$2015,"&gt;="&amp;P25,$D$15:$D$2015,"&lt;"&amp;P26))</f>
        <v/>
      </c>
      <c r="R25" s="14" t="n"/>
      <c r="S25" s="16" t="n">
        <v>30</v>
      </c>
      <c r="T25" s="124">
        <f>IF(S25="","",COUNTIFS($C$15:$C$2015,S$13,$D$15:$D$2015,"&gt;="&amp;S25,$D$15:$D$2015,"&lt;"&amp;S26))</f>
        <v/>
      </c>
      <c r="U25" s="14" t="n"/>
      <c r="V25" s="16" t="n">
        <v>30</v>
      </c>
      <c r="W25" s="124">
        <f>IF(V25="","",COUNTIFS($C$15:$C$2015,V$13,$D$15:$D$2015,"&gt;="&amp;V25,$D$15:$D$2015,"&lt;"&amp;V26))</f>
        <v/>
      </c>
      <c r="X25" s="14" t="n"/>
      <c r="Y25" s="16" t="n">
        <v>30</v>
      </c>
      <c r="Z25" s="124">
        <f>IF(Y25="","",COUNTIFS($C$15:$C$2015,Y$13,$D$15:$D$2015,"&gt;="&amp;Y25,$D$15:$D$2015,"&lt;"&amp;Y26))</f>
        <v/>
      </c>
      <c r="AA25" s="14" t="n"/>
      <c r="AB25" s="16" t="n">
        <v>20</v>
      </c>
      <c r="AC25" s="124">
        <f>IF(AB25="","",COUNTIFS($C$15:$C$2015,AB$13,$D$15:$D$2015,"&gt;="&amp;AB25,$D$15:$D$2015,"&lt;"&amp;AB26))</f>
        <v/>
      </c>
      <c r="AD25" s="14" t="n"/>
    </row>
    <row r="26">
      <c r="A26" s="56" t="n"/>
      <c r="B26" s="57" t="n"/>
      <c r="C26" s="111" t="inlineStr">
        <is>
          <t>EWS</t>
        </is>
      </c>
      <c r="D26" s="112" t="n">
        <v>9</v>
      </c>
      <c r="E26" s="16" t="n">
        <v>12</v>
      </c>
      <c r="F26" s="13" t="n"/>
      <c r="G26" s="16" t="n">
        <v>21</v>
      </c>
      <c r="H26" s="124">
        <f>IF(G26="","",COUNTIFS($C$15:$C$2015,G$13,$D$15:$D$2015,"&gt;="&amp;G26,$D$15:$D$2015,"&lt;"&amp;G27))</f>
        <v/>
      </c>
      <c r="I26" s="14" t="n"/>
      <c r="J26" s="16" t="n">
        <v>65</v>
      </c>
      <c r="K26" s="124">
        <f>IF(J26="","",COUNTIFS($C$15:$C$2015,J$13,$D$15:$D$2015,"&gt;="&amp;J26,$D$15:$D$2015,"&lt;"&amp;J27))</f>
        <v/>
      </c>
      <c r="L26" s="14" t="n"/>
      <c r="M26" s="16" t="n">
        <v>32</v>
      </c>
      <c r="N26" s="124">
        <f>IF(M26="","",COUNTIFS($C$15:$C$2015,M$13,$D$15:$D$2015,"&gt;="&amp;M26,$D$15:$D$2015,"&lt;"&amp;M27))</f>
        <v/>
      </c>
      <c r="O26" s="14" t="n"/>
      <c r="P26" s="16" t="n">
        <v>21</v>
      </c>
      <c r="Q26" s="124">
        <f>IF(P26="","",COUNTIFS($C$15:$C$2015,P$13,$D$15:$D$2015,"&gt;="&amp;P26,$D$15:$D$2015,"&lt;"&amp;P27))</f>
        <v/>
      </c>
      <c r="R26" s="14" t="n"/>
      <c r="S26" s="16" t="n">
        <v>32</v>
      </c>
      <c r="T26" s="124">
        <f>IF(S26="","",COUNTIFS($C$15:$C$2015,S$13,$D$15:$D$2015,"&gt;="&amp;S26,$D$15:$D$2015,"&lt;"&amp;S27))</f>
        <v/>
      </c>
      <c r="U26" s="14" t="n"/>
      <c r="V26" s="16" t="n">
        <v>32</v>
      </c>
      <c r="W26" s="124">
        <f>IF(V26="","",COUNTIFS($C$15:$C$2015,V$13,$D$15:$D$2015,"&gt;="&amp;V26,$D$15:$D$2015,"&lt;"&amp;V27))</f>
        <v/>
      </c>
      <c r="X26" s="14" t="n"/>
      <c r="Y26" s="16" t="n">
        <v>32</v>
      </c>
      <c r="Z26" s="124">
        <f>IF(Y26="","",COUNTIFS($C$15:$C$2015,Y$13,$D$15:$D$2015,"&gt;="&amp;Y26,$D$15:$D$2015,"&lt;"&amp;Y27))</f>
        <v/>
      </c>
      <c r="AA26" s="14" t="n"/>
      <c r="AB26" s="16" t="n">
        <v>21</v>
      </c>
      <c r="AC26" s="124">
        <f>IF(AB26="","",COUNTIFS($C$15:$C$2015,AB$13,$D$15:$D$2015,"&gt;="&amp;AB26,$D$15:$D$2015,"&lt;"&amp;AB27))</f>
        <v/>
      </c>
      <c r="AD26" s="14" t="n"/>
    </row>
    <row r="27">
      <c r="A27" s="58" t="n"/>
      <c r="B27" s="59" t="n"/>
      <c r="C27" s="111" t="inlineStr">
        <is>
          <t>KAW</t>
        </is>
      </c>
      <c r="D27" s="112" t="n">
        <v>9</v>
      </c>
      <c r="E27" s="16" t="n">
        <v>13</v>
      </c>
      <c r="F27" s="13" t="n"/>
      <c r="G27" s="16" t="n">
        <v>22</v>
      </c>
      <c r="H27" s="124">
        <f>IF(G27="","",COUNTIFS($C$15:$C$2015,G$13,$D$15:$D$2015,"&gt;="&amp;G27,$D$15:$D$2015,"&lt;"&amp;G28))</f>
        <v/>
      </c>
      <c r="I27" s="14" t="n"/>
      <c r="J27" s="16" t="n">
        <v>70</v>
      </c>
      <c r="K27" s="124">
        <f>IF(J27="","",COUNTIFS($C$15:$C$2015,J$13,$D$15:$D$2015,"&gt;="&amp;J27,$D$15:$D$2015,"&lt;"&amp;J28))</f>
        <v/>
      </c>
      <c r="L27" s="14" t="n"/>
      <c r="M27" s="16" t="n">
        <v>34</v>
      </c>
      <c r="N27" s="124">
        <f>IF(M27="","",COUNTIFS($C$15:$C$2015,M$13,$D$15:$D$2015,"&gt;="&amp;M27,$D$15:$D$2015,"&lt;"&amp;M28))</f>
        <v/>
      </c>
      <c r="O27" s="14" t="n"/>
      <c r="P27" s="16" t="n">
        <v>22</v>
      </c>
      <c r="Q27" s="124">
        <f>IF(P27="","",COUNTIFS($C$15:$C$2015,P$13,$D$15:$D$2015,"&gt;="&amp;P27,$D$15:$D$2015,"&lt;"&amp;P28))</f>
        <v/>
      </c>
      <c r="R27" s="14" t="n"/>
      <c r="S27" s="16" t="n">
        <v>34</v>
      </c>
      <c r="T27" s="124">
        <f>IF(S27="","",COUNTIFS($C$15:$C$2015,S$13,$D$15:$D$2015,"&gt;="&amp;S27,$D$15:$D$2015,"&lt;"&amp;S28))</f>
        <v/>
      </c>
      <c r="U27" s="14" t="n"/>
      <c r="V27" s="16" t="n">
        <v>34</v>
      </c>
      <c r="W27" s="124">
        <f>IF(V27="","",COUNTIFS($C$15:$C$2015,V$13,$D$15:$D$2015,"&gt;="&amp;V27,$D$15:$D$2015,"&lt;"&amp;V28))</f>
        <v/>
      </c>
      <c r="X27" s="14" t="n"/>
      <c r="Y27" s="16" t="n">
        <v>34</v>
      </c>
      <c r="Z27" s="124">
        <f>IF(Y27="","",COUNTIFS($C$15:$C$2015,Y$13,$D$15:$D$2015,"&gt;="&amp;Y27,$D$15:$D$2015,"&lt;"&amp;Y28))</f>
        <v/>
      </c>
      <c r="AA27" s="14" t="n"/>
      <c r="AB27" s="16" t="n">
        <v>22</v>
      </c>
      <c r="AC27" s="124">
        <f>IF(AB27="","",COUNTIFS($C$15:$C$2015,AB$13,$D$15:$D$2015,"&gt;="&amp;AB27,$D$15:$D$2015,"&lt;"&amp;AB28))</f>
        <v/>
      </c>
      <c r="AD27" s="14" t="n"/>
    </row>
    <row r="28">
      <c r="A28" s="56" t="n"/>
      <c r="B28" s="57" t="n"/>
      <c r="C28" s="111" t="inlineStr">
        <is>
          <t>EMU</t>
        </is>
      </c>
      <c r="D28" s="112" t="n">
        <v>9</v>
      </c>
      <c r="E28" s="16" t="n">
        <v>14</v>
      </c>
      <c r="F28" s="13" t="n"/>
      <c r="G28" s="16" t="n">
        <v>23</v>
      </c>
      <c r="H28" s="124">
        <f>IF(G28="","",COUNTIFS($C$15:$C$2015,G$13,$D$15:$D$2015,"&gt;="&amp;G28,$D$15:$D$2015,"&lt;"&amp;G29))</f>
        <v/>
      </c>
      <c r="I28" s="14" t="n"/>
      <c r="J28" s="16" t="n">
        <v>75</v>
      </c>
      <c r="K28" s="124">
        <f>IF(J28="","",COUNTIFS($C$15:$C$2015,J$13,$D$15:$D$2015,"&gt;="&amp;J28,$D$15:$D$2015,"&lt;"&amp;J29))</f>
        <v/>
      </c>
      <c r="L28" s="14" t="n"/>
      <c r="M28" s="16" t="n">
        <v>36</v>
      </c>
      <c r="N28" s="124">
        <f>IF(M28="","",COUNTIFS($C$15:$C$2015,M$13,$D$15:$D$2015,"&gt;="&amp;M28,$D$15:$D$2015,"&lt;"&amp;M29))</f>
        <v/>
      </c>
      <c r="O28" s="14" t="n"/>
      <c r="P28" s="16" t="n">
        <v>23</v>
      </c>
      <c r="Q28" s="124">
        <f>IF(P28="","",COUNTIFS($C$15:$C$2015,P$13,$D$15:$D$2015,"&gt;="&amp;P28,$D$15:$D$2015,"&lt;"&amp;P29))</f>
        <v/>
      </c>
      <c r="R28" s="14" t="n"/>
      <c r="S28" s="16" t="n">
        <v>36</v>
      </c>
      <c r="T28" s="124">
        <f>IF(S28="","",COUNTIFS($C$15:$C$2015,S$13,$D$15:$D$2015,"&gt;="&amp;S28,$D$15:$D$2015,"&lt;"&amp;S29))</f>
        <v/>
      </c>
      <c r="U28" s="14" t="n"/>
      <c r="V28" s="16" t="n">
        <v>36</v>
      </c>
      <c r="W28" s="124">
        <f>IF(V28="","",COUNTIFS($C$15:$C$2015,V$13,$D$15:$D$2015,"&gt;="&amp;V28,$D$15:$D$2015,"&lt;"&amp;V29))</f>
        <v/>
      </c>
      <c r="X28" s="14" t="n"/>
      <c r="Y28" s="16" t="n">
        <v>36</v>
      </c>
      <c r="Z28" s="124">
        <f>IF(Y28="","",COUNTIFS($C$15:$C$2015,Y$13,$D$15:$D$2015,"&gt;="&amp;Y28,$D$15:$D$2015,"&lt;"&amp;Y29))</f>
        <v/>
      </c>
      <c r="AA28" s="14" t="n"/>
      <c r="AB28" s="16" t="n">
        <v>23</v>
      </c>
      <c r="AC28" s="124">
        <f>IF(AB28="","",COUNTIFS($C$15:$C$2015,AB$13,$D$15:$D$2015,"&gt;="&amp;AB28,$D$15:$D$2015,"&lt;"&amp;AB29))</f>
        <v/>
      </c>
      <c r="AD28" s="14" t="n"/>
    </row>
    <row r="29">
      <c r="A29" s="58" t="n"/>
      <c r="B29" s="59" t="n"/>
      <c r="C29" s="111" t="inlineStr">
        <is>
          <t>EME</t>
        </is>
      </c>
      <c r="D29" s="112" t="n">
        <v>9</v>
      </c>
      <c r="E29" s="16" t="n">
        <v>15</v>
      </c>
      <c r="F29" s="13" t="n"/>
      <c r="G29" s="16" t="n">
        <v>24</v>
      </c>
      <c r="H29" s="124">
        <f>IF(G29="","",COUNTIFS($C$15:$C$2015,G$13,$D$15:$D$2015,"&gt;="&amp;G29,$D$15:$D$2015,"&lt;"&amp;G30))</f>
        <v/>
      </c>
      <c r="I29" s="14" t="n"/>
      <c r="J29" s="16" t="n">
        <v>80</v>
      </c>
      <c r="K29" s="124">
        <f>IF(J29="","",COUNTIFS($C$15:$C$2015,J$13,$D$15:$D$2015,"&gt;="&amp;J29,$D$15:$D$2015,"&lt;"&amp;J30))</f>
        <v/>
      </c>
      <c r="L29" s="14" t="n"/>
      <c r="M29" s="16" t="n">
        <v>38</v>
      </c>
      <c r="N29" s="124">
        <f>IF(M29="","",COUNTIFS($C$15:$C$2015,M$13,$D$15:$D$2015,"&gt;="&amp;M29,$D$15:$D$2015,"&lt;"&amp;M30))</f>
        <v/>
      </c>
      <c r="O29" s="14" t="n"/>
      <c r="P29" s="16" t="n">
        <v>24</v>
      </c>
      <c r="Q29" s="124">
        <f>IF(P29="","",COUNTIFS($C$15:$C$2015,P$13,$D$15:$D$2015,"&gt;="&amp;P29,$D$15:$D$2015,"&lt;"&amp;P30))</f>
        <v/>
      </c>
      <c r="R29" s="14" t="n"/>
      <c r="S29" s="16" t="n">
        <v>38</v>
      </c>
      <c r="T29" s="124">
        <f>IF(S29="","",COUNTIFS($C$15:$C$2015,S$13,$D$15:$D$2015,"&gt;="&amp;S29,$D$15:$D$2015,"&lt;"&amp;S30))</f>
        <v/>
      </c>
      <c r="U29" s="14" t="n"/>
      <c r="V29" s="16" t="n">
        <v>38</v>
      </c>
      <c r="W29" s="124">
        <f>IF(V29="","",COUNTIFS($C$15:$C$2015,V$13,$D$15:$D$2015,"&gt;="&amp;V29,$D$15:$D$2015,"&lt;"&amp;V30))</f>
        <v/>
      </c>
      <c r="X29" s="14" t="n"/>
      <c r="Y29" s="16" t="n">
        <v>38</v>
      </c>
      <c r="Z29" s="124">
        <f>IF(Y29="","",COUNTIFS($C$15:$C$2015,Y$13,$D$15:$D$2015,"&gt;="&amp;Y29,$D$15:$D$2015,"&lt;"&amp;Y30))</f>
        <v/>
      </c>
      <c r="AA29" s="14" t="n"/>
      <c r="AB29" s="16" t="n">
        <v>24</v>
      </c>
      <c r="AC29" s="124">
        <f>IF(AB29="","",COUNTIFS($C$15:$C$2015,AB$13,$D$15:$D$2015,"&gt;="&amp;AB29,$D$15:$D$2015,"&lt;"&amp;AB30))</f>
        <v/>
      </c>
      <c r="AD29" s="14" t="n"/>
    </row>
    <row r="30">
      <c r="A30" s="56" t="n"/>
      <c r="B30" s="57" t="n"/>
      <c r="C30" s="111" t="inlineStr">
        <is>
          <t>VRL</t>
        </is>
      </c>
      <c r="D30" s="112" t="n">
        <v>9</v>
      </c>
      <c r="E30" s="16" t="n">
        <v>16</v>
      </c>
      <c r="F30" s="13" t="n"/>
      <c r="G30" s="16" t="n">
        <v>25</v>
      </c>
      <c r="H30" s="124">
        <f>IF(G30="","",COUNTIFS($C$15:$C$2015,G$13,$D$15:$D$2015,"&gt;="&amp;G30,$D$15:$D$2015,"&lt;"&amp;G31))</f>
        <v/>
      </c>
      <c r="I30" s="14" t="n"/>
      <c r="J30" s="16" t="n">
        <v>85</v>
      </c>
      <c r="K30" s="124">
        <f>IF(J30="","",COUNTIFS($C$15:$C$2015,J$13,$D$15:$D$2015,"&gt;="&amp;J30,$D$15:$D$2015,"&lt;"&amp;J31))</f>
        <v/>
      </c>
      <c r="L30" s="14" t="n"/>
      <c r="M30" s="16" t="n">
        <v>40</v>
      </c>
      <c r="N30" s="124">
        <f>IF(M30="","",COUNTIFS($C$15:$C$2015,M$13,$D$15:$D$2015,"&gt;="&amp;M30,$D$15:$D$2015,"&lt;"&amp;M31))</f>
        <v/>
      </c>
      <c r="O30" s="14" t="n"/>
      <c r="P30" s="16" t="n">
        <v>25</v>
      </c>
      <c r="Q30" s="124">
        <f>IF(P30="","",COUNTIFS($C$15:$C$2015,P$13,$D$15:$D$2015,"&gt;="&amp;P30,$D$15:$D$2015,"&lt;"&amp;P31))</f>
        <v/>
      </c>
      <c r="R30" s="14" t="n"/>
      <c r="S30" s="16" t="n">
        <v>40</v>
      </c>
      <c r="T30" s="124">
        <f>IF(S30="","",COUNTIFS($C$15:$C$2015,S$13,$D$15:$D$2015,"&gt;="&amp;S30,$D$15:$D$2015,"&lt;"&amp;S31))</f>
        <v/>
      </c>
      <c r="U30" s="14" t="n"/>
      <c r="V30" s="16" t="n">
        <v>40</v>
      </c>
      <c r="W30" s="124">
        <f>IF(V30="","",COUNTIFS($C$15:$C$2015,V$13,$D$15:$D$2015,"&gt;="&amp;V30,$D$15:$D$2015,"&lt;"&amp;V31))</f>
        <v/>
      </c>
      <c r="X30" s="14" t="n"/>
      <c r="Y30" s="16" t="n">
        <v>40</v>
      </c>
      <c r="Z30" s="124">
        <f>IF(Y30="","",COUNTIFS($C$15:$C$2015,Y$13,$D$15:$D$2015,"&gt;="&amp;Y30,$D$15:$D$2015,"&lt;"&amp;Y31))</f>
        <v/>
      </c>
      <c r="AA30" s="14" t="n"/>
      <c r="AB30" s="16" t="n">
        <v>25</v>
      </c>
      <c r="AC30" s="124">
        <f>IF(AB30="","",COUNTIFS($C$15:$C$2015,AB$13,$D$15:$D$2015,"&gt;="&amp;AB30,$D$15:$D$2015,"&lt;"&amp;AB31))</f>
        <v/>
      </c>
      <c r="AD30" s="14" t="n"/>
    </row>
    <row r="31">
      <c r="A31" s="58" t="n"/>
      <c r="B31" s="59" t="n"/>
      <c r="C31" s="59" t="inlineStr">
        <is>
          <t>LTQ</t>
        </is>
      </c>
      <c r="D31" t="n">
        <v>34</v>
      </c>
      <c r="E31" s="16" t="n">
        <v>17</v>
      </c>
      <c r="F31" s="13" t="n"/>
      <c r="G31" s="16" t="n">
        <v>26</v>
      </c>
      <c r="H31" s="124">
        <f>IF(G31="","",COUNTIFS($C$15:$C$2015,G$13,$D$15:$D$2015,"&gt;="&amp;G31,$D$15:$D$2015,"&lt;"&amp;G32))</f>
        <v/>
      </c>
      <c r="I31" s="14" t="n"/>
      <c r="J31" s="16" t="n">
        <v>90</v>
      </c>
      <c r="K31" s="124">
        <f>IF(J31="","",COUNTIFS($C$15:$C$2015,J$13,$D$15:$D$2015,"&gt;="&amp;J31,$D$15:$D$2015,"&lt;"&amp;J32))</f>
        <v/>
      </c>
      <c r="L31" s="14" t="n"/>
      <c r="M31" s="16" t="n">
        <v>42</v>
      </c>
      <c r="N31" s="124">
        <f>IF(M31="","",COUNTIFS($C$15:$C$2015,M$13,$D$15:$D$2015,"&gt;="&amp;M31,$D$15:$D$2015,"&lt;"&amp;M32))</f>
        <v/>
      </c>
      <c r="O31" s="14" t="n"/>
      <c r="P31" s="16" t="n">
        <v>26</v>
      </c>
      <c r="Q31" s="124">
        <f>IF(P31="","",COUNTIFS($C$15:$C$2015,P$13,$D$15:$D$2015,"&gt;="&amp;P31,$D$15:$D$2015,"&lt;"&amp;P32))</f>
        <v/>
      </c>
      <c r="R31" s="14" t="n"/>
      <c r="S31" s="16" t="n">
        <v>42</v>
      </c>
      <c r="T31" s="124">
        <f>IF(S31="","",COUNTIFS($C$15:$C$2015,S$13,$D$15:$D$2015,"&gt;="&amp;S31,$D$15:$D$2015,"&lt;"&amp;S32))</f>
        <v/>
      </c>
      <c r="U31" s="14" t="n"/>
      <c r="V31" s="16" t="n">
        <v>42</v>
      </c>
      <c r="W31" s="124">
        <f>IF(V31="","",COUNTIFS($C$15:$C$2015,V$13,$D$15:$D$2015,"&gt;="&amp;V31,$D$15:$D$2015,"&lt;"&amp;V32))</f>
        <v/>
      </c>
      <c r="X31" s="14" t="n"/>
      <c r="Y31" s="16" t="n">
        <v>42</v>
      </c>
      <c r="Z31" s="124">
        <f>IF(Y31="","",COUNTIFS($C$15:$C$2015,Y$13,$D$15:$D$2015,"&gt;="&amp;Y31,$D$15:$D$2015,"&lt;"&amp;Y32))</f>
        <v/>
      </c>
      <c r="AA31" s="14" t="n"/>
      <c r="AB31" s="16" t="n">
        <v>26</v>
      </c>
      <c r="AC31" s="124">
        <f>IF(AB31="","",COUNTIFS($C$15:$C$2015,AB$13,$D$15:$D$2015,"&gt;="&amp;AB31,$D$15:$D$2015,"&lt;"&amp;AB32))</f>
        <v/>
      </c>
      <c r="AD31" s="14" t="n"/>
    </row>
    <row r="32">
      <c r="A32" s="56" t="n"/>
      <c r="B32" s="57" t="n"/>
      <c r="C32" s="59" t="inlineStr">
        <is>
          <t>COM</t>
        </is>
      </c>
      <c r="D32" t="n">
        <v>85</v>
      </c>
      <c r="E32" s="16" t="n">
        <v>18</v>
      </c>
      <c r="F32" s="13" t="n"/>
      <c r="G32" s="16" t="n">
        <v>27</v>
      </c>
      <c r="H32" s="124">
        <f>IF(G32="","",COUNTIFS($C$15:$C$2015,G$13,$D$15:$D$2015,"&gt;="&amp;G32,$D$15:$D$2015,"&lt;"&amp;G33))</f>
        <v/>
      </c>
      <c r="I32" s="14" t="n"/>
      <c r="J32" s="16" t="n">
        <v>95</v>
      </c>
      <c r="K32" s="124">
        <f>IF(J32="","",COUNTIFS($C$15:$C$2015,J$13,$D$15:$D$2015,"&gt;="&amp;J32,$D$15:$D$2015,"&lt;"&amp;J33))</f>
        <v/>
      </c>
      <c r="L32" s="14" t="n"/>
      <c r="M32" s="16" t="n">
        <v>44</v>
      </c>
      <c r="N32" s="124">
        <f>IF(M32="","",COUNTIFS($C$15:$C$2015,M$13,$D$15:$D$2015,"&gt;="&amp;M32,$D$15:$D$2015,"&lt;"&amp;M33))</f>
        <v/>
      </c>
      <c r="O32" s="14" t="n"/>
      <c r="P32" s="16" t="n">
        <v>27</v>
      </c>
      <c r="Q32" s="124">
        <f>IF(P32="","",COUNTIFS($C$15:$C$2015,P$13,$D$15:$D$2015,"&gt;="&amp;P32,$D$15:$D$2015,"&lt;"&amp;P33))</f>
        <v/>
      </c>
      <c r="R32" s="14" t="n"/>
      <c r="S32" s="16" t="n">
        <v>44</v>
      </c>
      <c r="T32" s="124">
        <f>IF(S32="","",COUNTIFS($C$15:$C$2015,S$13,$D$15:$D$2015,"&gt;="&amp;S32,$D$15:$D$2015,"&lt;"&amp;S33))</f>
        <v/>
      </c>
      <c r="U32" s="14" t="n"/>
      <c r="V32" s="16" t="n">
        <v>44</v>
      </c>
      <c r="W32" s="124">
        <f>IF(V32="","",COUNTIFS($C$15:$C$2015,V$13,$D$15:$D$2015,"&gt;="&amp;V32,$D$15:$D$2015,"&lt;"&amp;V33))</f>
        <v/>
      </c>
      <c r="X32" s="14" t="n"/>
      <c r="Y32" s="16" t="n">
        <v>44</v>
      </c>
      <c r="Z32" s="124">
        <f>IF(Y32="","",COUNTIFS($C$15:$C$2015,Y$13,$D$15:$D$2015,"&gt;="&amp;Y32,$D$15:$D$2015,"&lt;"&amp;Y33))</f>
        <v/>
      </c>
      <c r="AA32" s="14" t="n"/>
      <c r="AB32" s="16" t="n">
        <v>27</v>
      </c>
      <c r="AC32" s="124">
        <f>IF(AB32="","",COUNTIFS($C$15:$C$2015,AB$13,$D$15:$D$2015,"&gt;="&amp;AB32,$D$15:$D$2015,"&lt;"&amp;AB33))</f>
        <v/>
      </c>
      <c r="AD32" s="14" t="n"/>
    </row>
    <row r="33">
      <c r="A33" s="58" t="n"/>
      <c r="B33" s="59" t="n"/>
      <c r="C33" s="59" t="inlineStr">
        <is>
          <t>LJB</t>
        </is>
      </c>
      <c r="D33" t="n">
        <v>42</v>
      </c>
      <c r="E33" s="16" t="n">
        <v>19</v>
      </c>
      <c r="F33" s="13" t="n"/>
      <c r="G33" s="16" t="n">
        <v>28</v>
      </c>
      <c r="H33" s="124">
        <f>IF(G33="","",COUNTIFS($C$15:$C$2015,G$13,$D$15:$D$2015,"&gt;="&amp;G33,$D$15:$D$2015,"&lt;"&amp;G34))</f>
        <v/>
      </c>
      <c r="I33" s="14" t="n"/>
      <c r="J33" s="16" t="n">
        <v>100</v>
      </c>
      <c r="K33" s="124">
        <f>IF(J33="","",COUNTIFS($C$15:$C$2015,J$13,$D$15:$D$2015,"&gt;="&amp;J33,$D$15:$D$2015,"&lt;"&amp;J34))</f>
        <v/>
      </c>
      <c r="L33" s="14" t="n"/>
      <c r="M33" s="16" t="n">
        <v>46</v>
      </c>
      <c r="N33" s="124">
        <f>IF(M33="","",COUNTIFS($C$15:$C$2015,M$13,$D$15:$D$2015,"&gt;="&amp;M33,$D$15:$D$2015,"&lt;"&amp;M34))</f>
        <v/>
      </c>
      <c r="O33" s="14" t="n"/>
      <c r="P33" s="16" t="n">
        <v>28</v>
      </c>
      <c r="Q33" s="124">
        <f>IF(P33="","",COUNTIFS($C$15:$C$2015,P$13,$D$15:$D$2015,"&gt;="&amp;P33,$D$15:$D$2015,"&lt;"&amp;P34))</f>
        <v/>
      </c>
      <c r="R33" s="14" t="n"/>
      <c r="S33" s="16" t="n">
        <v>46</v>
      </c>
      <c r="T33" s="124">
        <f>IF(S33="","",COUNTIFS($C$15:$C$2015,S$13,$D$15:$D$2015,"&gt;="&amp;S33,$D$15:$D$2015,"&lt;"&amp;S34))</f>
        <v/>
      </c>
      <c r="U33" s="14" t="n"/>
      <c r="V33" s="16" t="n">
        <v>46</v>
      </c>
      <c r="W33" s="124">
        <f>IF(V33="","",COUNTIFS($C$15:$C$2015,V$13,$D$15:$D$2015,"&gt;="&amp;V33,$D$15:$D$2015,"&lt;"&amp;V34))</f>
        <v/>
      </c>
      <c r="X33" s="14" t="n"/>
      <c r="Y33" s="16" t="n">
        <v>46</v>
      </c>
      <c r="Z33" s="124">
        <f>IF(Y33="","",COUNTIFS($C$15:$C$2015,Y$13,$D$15:$D$2015,"&gt;="&amp;Y33,$D$15:$D$2015,"&lt;"&amp;Y34))</f>
        <v/>
      </c>
      <c r="AA33" s="14" t="n"/>
      <c r="AB33" s="16" t="n">
        <v>28</v>
      </c>
      <c r="AC33" s="124">
        <f>IF(AB33="","",COUNTIFS($C$15:$C$2015,AB$13,$D$15:$D$2015,"&gt;="&amp;AB33,$D$15:$D$2015,"&lt;"&amp;AB34))</f>
        <v/>
      </c>
      <c r="AD33" s="14" t="n"/>
    </row>
    <row r="34">
      <c r="A34" s="56" t="n"/>
      <c r="B34" s="57" t="n"/>
      <c r="C34" s="59" t="inlineStr">
        <is>
          <t>EWS</t>
        </is>
      </c>
      <c r="D34" t="n">
        <v>36</v>
      </c>
      <c r="E34" s="16" t="n">
        <v>20</v>
      </c>
      <c r="F34" s="13" t="n"/>
      <c r="G34" s="16" t="n">
        <v>29</v>
      </c>
      <c r="H34" s="124">
        <f>IF(G34="","",COUNTIFS($C$15:$C$2015,G$13,$D$15:$D$2015,"&gt;="&amp;G34,$D$15:$D$2015,"&lt;"&amp;G35))</f>
        <v/>
      </c>
      <c r="I34" s="14" t="n"/>
      <c r="J34" s="16" t="n">
        <v>105</v>
      </c>
      <c r="K34" s="124">
        <f>IF(J34="","",COUNTIFS($C$15:$C$2015,J$13,$D$15:$D$2015,"&gt;="&amp;J34,$D$15:$D$2015,"&lt;"&amp;J35))</f>
        <v/>
      </c>
      <c r="L34" s="14" t="n"/>
      <c r="M34" s="16" t="n">
        <v>48</v>
      </c>
      <c r="N34" s="124">
        <f>IF(M34="","",COUNTIFS($C$15:$C$2015,M$13,$D$15:$D$2015,"&gt;="&amp;M34,$D$15:$D$2015,"&lt;"&amp;M35))</f>
        <v/>
      </c>
      <c r="O34" s="14" t="n"/>
      <c r="P34" s="16" t="n">
        <v>29</v>
      </c>
      <c r="Q34" s="124">
        <f>IF(P34="","",COUNTIFS($C$15:$C$2015,P$13,$D$15:$D$2015,"&gt;="&amp;P34,$D$15:$D$2015,"&lt;"&amp;P35))</f>
        <v/>
      </c>
      <c r="R34" s="14" t="n"/>
      <c r="S34" s="16" t="n">
        <v>48</v>
      </c>
      <c r="T34" s="124">
        <f>IF(S34="","",COUNTIFS($C$15:$C$2015,S$13,$D$15:$D$2015,"&gt;="&amp;S34,$D$15:$D$2015,"&lt;"&amp;S35))</f>
        <v/>
      </c>
      <c r="U34" s="14" t="n"/>
      <c r="V34" s="16" t="n">
        <v>48</v>
      </c>
      <c r="W34" s="124">
        <f>IF(V34="","",COUNTIFS($C$15:$C$2015,V$13,$D$15:$D$2015,"&gt;="&amp;V34,$D$15:$D$2015,"&lt;"&amp;V35))</f>
        <v/>
      </c>
      <c r="X34" s="14" t="n"/>
      <c r="Y34" s="16" t="n">
        <v>48</v>
      </c>
      <c r="Z34" s="124">
        <f>IF(Y34="","",COUNTIFS($C$15:$C$2015,Y$13,$D$15:$D$2015,"&gt;="&amp;Y34,$D$15:$D$2015,"&lt;"&amp;Y35))</f>
        <v/>
      </c>
      <c r="AA34" s="14" t="n"/>
      <c r="AB34" s="16" t="n">
        <v>29</v>
      </c>
      <c r="AC34" s="124">
        <f>IF(AB34="","",COUNTIFS($C$15:$C$2015,AB$13,$D$15:$D$2015,"&gt;="&amp;AB34,$D$15:$D$2015,"&lt;"&amp;AB35))</f>
        <v/>
      </c>
      <c r="AD34" s="14" t="n"/>
    </row>
    <row r="35">
      <c r="A35" s="58" t="n"/>
      <c r="B35" s="59" t="n"/>
      <c r="C35" s="59" t="inlineStr">
        <is>
          <t>KAW</t>
        </is>
      </c>
      <c r="D35" t="n">
        <v>41</v>
      </c>
      <c r="E35" s="16" t="n">
        <v>21</v>
      </c>
      <c r="F35" s="13" t="n"/>
      <c r="G35" s="16" t="n">
        <v>30</v>
      </c>
      <c r="H35" s="124">
        <f>IF(G35="","",COUNTIFS($C$15:$C$2015,G$13,$D$15:$D$2015,"&gt;="&amp;G35,$D$15:$D$2015,"&lt;"&amp;G36))</f>
        <v/>
      </c>
      <c r="I35" s="14" t="n"/>
      <c r="J35" s="16" t="n">
        <v>110</v>
      </c>
      <c r="K35" s="124">
        <f>IF(J35="","",COUNTIFS($C$15:$C$2015,J$13,$D$15:$D$2015,"&gt;="&amp;J35,$D$15:$D$2015,"&lt;"&amp;J36))</f>
        <v/>
      </c>
      <c r="L35" s="14" t="n"/>
      <c r="M35" s="16" t="n">
        <v>50</v>
      </c>
      <c r="N35" s="124">
        <f>IF(M35="","",COUNTIFS($C$15:$C$2015,M$13,$D$15:$D$2015,"&gt;="&amp;M35,$D$15:$D$2015,"&lt;"&amp;M36))</f>
        <v/>
      </c>
      <c r="O35" s="14" t="n"/>
      <c r="P35" s="16" t="n">
        <v>30</v>
      </c>
      <c r="Q35" s="124">
        <f>IF(P35="","",COUNTIFS($C$15:$C$2015,P$13,$D$15:$D$2015,"&gt;="&amp;P35,$D$15:$D$2015,"&lt;"&amp;P36))</f>
        <v/>
      </c>
      <c r="R35" s="14" t="n"/>
      <c r="S35" s="16" t="n">
        <v>50</v>
      </c>
      <c r="T35" s="124">
        <f>IF(S35="","",COUNTIFS($C$15:$C$2015,S$13,$D$15:$D$2015,"&gt;="&amp;S35,$D$15:$D$2015,"&lt;"&amp;S36))</f>
        <v/>
      </c>
      <c r="U35" s="14" t="n"/>
      <c r="V35" s="16" t="n">
        <v>50</v>
      </c>
      <c r="W35" s="124">
        <f>IF(V35="","",COUNTIFS($C$15:$C$2015,V$13,$D$15:$D$2015,"&gt;="&amp;V35,$D$15:$D$2015,"&lt;"&amp;V36))</f>
        <v/>
      </c>
      <c r="X35" s="14" t="n"/>
      <c r="Y35" s="16" t="n">
        <v>50</v>
      </c>
      <c r="Z35" s="124">
        <f>IF(Y35="","",COUNTIFS($C$15:$C$2015,Y$13,$D$15:$D$2015,"&gt;="&amp;Y35,$D$15:$D$2015,"&lt;"&amp;Y36))</f>
        <v/>
      </c>
      <c r="AA35" s="14" t="n"/>
      <c r="AB35" s="16" t="n">
        <v>30</v>
      </c>
      <c r="AC35" s="124">
        <f>IF(AB35="","",COUNTIFS($C$15:$C$2015,AB$13,$D$15:$D$2015,"&gt;="&amp;AB35,$D$15:$D$2015,"&lt;"&amp;AB36))</f>
        <v/>
      </c>
      <c r="AD35" s="14" t="n"/>
    </row>
    <row r="36">
      <c r="A36" s="56" t="n"/>
      <c r="B36" s="57" t="n"/>
      <c r="C36" s="59" t="inlineStr">
        <is>
          <t>EMU</t>
        </is>
      </c>
      <c r="D36" t="n">
        <v>36</v>
      </c>
      <c r="E36" s="16" t="n">
        <v>22</v>
      </c>
      <c r="F36" s="13" t="n"/>
      <c r="G36" s="16" t="n">
        <v>31</v>
      </c>
      <c r="H36" s="124">
        <f>IF(G36="","",COUNTIFS($C$15:$C$2015,G$13,$D$15:$D$2015,"&gt;="&amp;G36,$D$15:$D$2015,"&lt;"&amp;G37))</f>
        <v/>
      </c>
      <c r="I36" s="14" t="n"/>
      <c r="J36" s="16" t="n">
        <v>115</v>
      </c>
      <c r="K36" s="124">
        <f>IF(J36="","",COUNTIFS($C$15:$C$2015,J$13,$D$15:$D$2015,"&gt;="&amp;J36,$D$15:$D$2015,"&lt;"&amp;J37))</f>
        <v/>
      </c>
      <c r="L36" s="14" t="n"/>
      <c r="M36" s="16" t="n">
        <v>52</v>
      </c>
      <c r="N36" s="124">
        <f>IF(M36="","",COUNTIFS($C$15:$C$2015,M$13,$D$15:$D$2015,"&gt;="&amp;M36,$D$15:$D$2015,"&lt;"&amp;M37))</f>
        <v/>
      </c>
      <c r="O36" s="14" t="n"/>
      <c r="P36" s="16" t="n">
        <v>31</v>
      </c>
      <c r="Q36" s="124">
        <f>IF(P36="","",COUNTIFS($C$15:$C$2015,P$13,$D$15:$D$2015,"&gt;="&amp;P36,$D$15:$D$2015,"&lt;"&amp;P37))</f>
        <v/>
      </c>
      <c r="R36" s="14" t="n"/>
      <c r="S36" s="16" t="n">
        <v>52</v>
      </c>
      <c r="T36" s="124">
        <f>IF(S36="","",COUNTIFS($C$15:$C$2015,S$13,$D$15:$D$2015,"&gt;="&amp;S36,$D$15:$D$2015,"&lt;"&amp;S37))</f>
        <v/>
      </c>
      <c r="U36" s="14" t="n"/>
      <c r="V36" s="16" t="n">
        <v>52</v>
      </c>
      <c r="W36" s="124">
        <f>IF(V36="","",COUNTIFS($C$15:$C$2015,V$13,$D$15:$D$2015,"&gt;="&amp;V36,$D$15:$D$2015,"&lt;"&amp;V37))</f>
        <v/>
      </c>
      <c r="X36" s="14" t="n"/>
      <c r="Y36" s="16" t="n">
        <v>52</v>
      </c>
      <c r="Z36" s="124">
        <f>IF(Y36="","",COUNTIFS($C$15:$C$2015,Y$13,$D$15:$D$2015,"&gt;="&amp;Y36,$D$15:$D$2015,"&lt;"&amp;Y37))</f>
        <v/>
      </c>
      <c r="AA36" s="14" t="n"/>
      <c r="AB36" s="16" t="n">
        <v>31</v>
      </c>
      <c r="AC36" s="124">
        <f>IF(AB36="","",COUNTIFS($C$15:$C$2015,AB$13,$D$15:$D$2015,"&gt;="&amp;AB36,$D$15:$D$2015,"&lt;"&amp;AB37))</f>
        <v/>
      </c>
      <c r="AD36" s="14" t="n"/>
    </row>
    <row r="37">
      <c r="A37" s="58" t="n"/>
      <c r="B37" s="59" t="n"/>
      <c r="C37" s="59" t="inlineStr">
        <is>
          <t>EME</t>
        </is>
      </c>
      <c r="D37" t="n">
        <v>36</v>
      </c>
      <c r="E37" s="16" t="n">
        <v>23</v>
      </c>
      <c r="F37" s="13" t="n"/>
      <c r="G37" s="16" t="n">
        <v>32</v>
      </c>
      <c r="H37" s="124">
        <f>IF(G37="","",COUNTIFS($C$15:$C$2015,G$13,$D$15:$D$2015,"&gt;="&amp;G37,$D$15:$D$2015,"&lt;"&amp;G38))</f>
        <v/>
      </c>
      <c r="I37" s="14" t="n"/>
      <c r="J37" s="16" t="n">
        <v>120</v>
      </c>
      <c r="K37" s="124">
        <f>IF(J37="","",COUNTIFS($C$15:$C$2015,J$13,$D$15:$D$2015,"&gt;="&amp;J37,$D$15:$D$2015,"&lt;"&amp;J38))</f>
        <v/>
      </c>
      <c r="L37" s="14" t="n"/>
      <c r="M37" s="16" t="n">
        <v>54</v>
      </c>
      <c r="N37" s="124">
        <f>IF(M37="","",COUNTIFS($C$15:$C$2015,M$13,$D$15:$D$2015,"&gt;="&amp;M37,$D$15:$D$2015,"&lt;"&amp;M38))</f>
        <v/>
      </c>
      <c r="O37" s="14" t="n"/>
      <c r="P37" s="16" t="n">
        <v>32</v>
      </c>
      <c r="Q37" s="124">
        <f>IF(P37="","",COUNTIFS($C$15:$C$2015,P$13,$D$15:$D$2015,"&gt;="&amp;P37,$D$15:$D$2015,"&lt;"&amp;P38))</f>
        <v/>
      </c>
      <c r="R37" s="14" t="n"/>
      <c r="S37" s="16" t="n">
        <v>54</v>
      </c>
      <c r="T37" s="124">
        <f>IF(S37="","",COUNTIFS($C$15:$C$2015,S$13,$D$15:$D$2015,"&gt;="&amp;S37,$D$15:$D$2015,"&lt;"&amp;S38))</f>
        <v/>
      </c>
      <c r="U37" s="14" t="n"/>
      <c r="V37" s="16" t="n">
        <v>54</v>
      </c>
      <c r="W37" s="124">
        <f>IF(V37="","",COUNTIFS($C$15:$C$2015,V$13,$D$15:$D$2015,"&gt;="&amp;V37,$D$15:$D$2015,"&lt;"&amp;V38))</f>
        <v/>
      </c>
      <c r="X37" s="14" t="n"/>
      <c r="Y37" s="16" t="n">
        <v>54</v>
      </c>
      <c r="Z37" s="124">
        <f>IF(Y37="","",COUNTIFS($C$15:$C$2015,Y$13,$D$15:$D$2015,"&gt;="&amp;Y37,$D$15:$D$2015,"&lt;"&amp;Y38))</f>
        <v/>
      </c>
      <c r="AA37" s="14" t="n"/>
      <c r="AB37" s="16" t="n">
        <v>32</v>
      </c>
      <c r="AC37" s="124">
        <f>IF(AB37="","",COUNTIFS($C$15:$C$2015,AB$13,$D$15:$D$2015,"&gt;="&amp;AB37,$D$15:$D$2015,"&lt;"&amp;AB38))</f>
        <v/>
      </c>
      <c r="AD37" s="14" t="n"/>
    </row>
    <row r="38">
      <c r="A38" s="56" t="n"/>
      <c r="B38" s="57" t="n"/>
      <c r="C38" s="59" t="inlineStr">
        <is>
          <t>VRL</t>
        </is>
      </c>
      <c r="D38" t="n">
        <v>33</v>
      </c>
      <c r="E38" s="16" t="n">
        <v>24</v>
      </c>
      <c r="F38" s="13" t="n"/>
      <c r="G38" s="16" t="n">
        <v>33</v>
      </c>
      <c r="H38" s="124">
        <f>IF(G38="","",COUNTIFS($C$15:$C$2015,G$13,$D$15:$D$2015,"&gt;="&amp;G38,$D$15:$D$2015,"&lt;"&amp;G39))</f>
        <v/>
      </c>
      <c r="I38" s="14" t="n"/>
      <c r="J38" s="16" t="n">
        <v>125</v>
      </c>
      <c r="K38" s="124">
        <f>IF(J38="","",COUNTIFS($C$15:$C$2015,J$13,$D$15:$D$2015,"&gt;="&amp;J38,$D$15:$D$2015,"&lt;"&amp;J39))</f>
        <v/>
      </c>
      <c r="L38" s="14" t="n"/>
      <c r="M38" s="16" t="n">
        <v>56</v>
      </c>
      <c r="N38" s="124">
        <f>IF(M38="","",COUNTIFS($C$15:$C$2015,M$13,$D$15:$D$2015,"&gt;="&amp;M38,$D$15:$D$2015,"&lt;"&amp;M39))</f>
        <v/>
      </c>
      <c r="O38" s="14" t="n"/>
      <c r="P38" s="16" t="n">
        <v>33</v>
      </c>
      <c r="Q38" s="124">
        <f>IF(P38="","",COUNTIFS($C$15:$C$2015,P$13,$D$15:$D$2015,"&gt;="&amp;P38,$D$15:$D$2015,"&lt;"&amp;P39))</f>
        <v/>
      </c>
      <c r="R38" s="14" t="n"/>
      <c r="S38" s="16" t="n">
        <v>56</v>
      </c>
      <c r="T38" s="124">
        <f>IF(S38="","",COUNTIFS($C$15:$C$2015,S$13,$D$15:$D$2015,"&gt;="&amp;S38,$D$15:$D$2015,"&lt;"&amp;S39))</f>
        <v/>
      </c>
      <c r="U38" s="14" t="n"/>
      <c r="V38" s="16" t="n">
        <v>56</v>
      </c>
      <c r="W38" s="124">
        <f>IF(V38="","",COUNTIFS($C$15:$C$2015,V$13,$D$15:$D$2015,"&gt;="&amp;V38,$D$15:$D$2015,"&lt;"&amp;V39))</f>
        <v/>
      </c>
      <c r="X38" s="14" t="n"/>
      <c r="Y38" s="16" t="n">
        <v>56</v>
      </c>
      <c r="Z38" s="124">
        <f>IF(Y38="","",COUNTIFS($C$15:$C$2015,Y$13,$D$15:$D$2015,"&gt;="&amp;Y38,$D$15:$D$2015,"&lt;"&amp;Y39))</f>
        <v/>
      </c>
      <c r="AA38" s="14" t="n"/>
      <c r="AB38" s="16" t="n">
        <v>33</v>
      </c>
      <c r="AC38" s="124">
        <f>IF(AB38="","",COUNTIFS($C$15:$C$2015,AB$13,$D$15:$D$2015,"&gt;="&amp;AB38,$D$15:$D$2015,"&lt;"&amp;AB39))</f>
        <v/>
      </c>
      <c r="AD38" s="14" t="n"/>
    </row>
    <row r="39">
      <c r="A39" s="58" t="n"/>
      <c r="B39" s="59" t="n"/>
      <c r="C39" s="111" t="inlineStr">
        <is>
          <t>LTQ</t>
        </is>
      </c>
      <c r="D39" s="112" t="n">
        <v>80</v>
      </c>
      <c r="E39" s="16" t="n">
        <v>25</v>
      </c>
      <c r="F39" s="13" t="n"/>
      <c r="G39" s="16" t="n">
        <v>34</v>
      </c>
      <c r="H39" s="124">
        <f>IF(G39="","",COUNTIFS($C$15:$C$2015,G$13,$D$15:$D$2015,"&gt;="&amp;G39,$D$15:$D$2015,"&lt;"&amp;G40))</f>
        <v/>
      </c>
      <c r="I39" s="14" t="n"/>
      <c r="J39" s="16" t="n">
        <v>130</v>
      </c>
      <c r="K39" s="124">
        <f>IF(J39="","",COUNTIFS($C$15:$C$2015,J$13,$D$15:$D$2015,"&gt;="&amp;J39,$D$15:$D$2015,"&lt;"&amp;J40))</f>
        <v/>
      </c>
      <c r="L39" s="14" t="n"/>
      <c r="M39" s="16" t="n">
        <v>58</v>
      </c>
      <c r="N39" s="124">
        <f>IF(M39="","",COUNTIFS($C$15:$C$2015,M$13,$D$15:$D$2015,"&gt;="&amp;M39,$D$15:$D$2015,"&lt;"&amp;M40))</f>
        <v/>
      </c>
      <c r="O39" s="14" t="n"/>
      <c r="P39" s="16" t="n">
        <v>34</v>
      </c>
      <c r="Q39" s="124">
        <f>IF(P39="","",COUNTIFS($C$15:$C$2015,P$13,$D$15:$D$2015,"&gt;="&amp;P39,$D$15:$D$2015,"&lt;"&amp;P40))</f>
        <v/>
      </c>
      <c r="R39" s="14" t="n"/>
      <c r="S39" s="16" t="n">
        <v>58</v>
      </c>
      <c r="T39" s="124">
        <f>IF(S39="","",COUNTIFS($C$15:$C$2015,S$13,$D$15:$D$2015,"&gt;="&amp;S39,$D$15:$D$2015,"&lt;"&amp;S40))</f>
        <v/>
      </c>
      <c r="U39" s="14" t="n"/>
      <c r="V39" s="16" t="n">
        <v>58</v>
      </c>
      <c r="W39" s="124">
        <f>IF(V39="","",COUNTIFS($C$15:$C$2015,V$13,$D$15:$D$2015,"&gt;="&amp;V39,$D$15:$D$2015,"&lt;"&amp;V40))</f>
        <v/>
      </c>
      <c r="X39" s="14" t="n"/>
      <c r="Y39" s="16" t="n">
        <v>58</v>
      </c>
      <c r="Z39" s="124">
        <f>IF(Y39="","",COUNTIFS($C$15:$C$2015,Y$13,$D$15:$D$2015,"&gt;="&amp;Y39,$D$15:$D$2015,"&lt;"&amp;Y40))</f>
        <v/>
      </c>
      <c r="AA39" s="14" t="n"/>
      <c r="AB39" s="16" t="n">
        <v>34</v>
      </c>
      <c r="AC39" s="124">
        <f>IF(AB39="","",COUNTIFS($C$15:$C$2015,AB$13,$D$15:$D$2015,"&gt;="&amp;AB39,$D$15:$D$2015,"&lt;"&amp;AB40))</f>
        <v/>
      </c>
      <c r="AD39" s="14" t="n"/>
    </row>
    <row r="40">
      <c r="A40" s="56" t="n"/>
      <c r="B40" s="57" t="n"/>
      <c r="C40" s="111" t="inlineStr">
        <is>
          <t>COM</t>
        </is>
      </c>
      <c r="D40" s="112" t="n">
        <v>150</v>
      </c>
      <c r="E40" s="16" t="n">
        <v>26</v>
      </c>
      <c r="F40" s="13" t="n"/>
      <c r="G40" s="16" t="n">
        <v>35</v>
      </c>
      <c r="H40" s="124">
        <f>IF(G40="","",COUNTIFS($C$15:$C$2015,G$13,$D$15:$D$2015,"&gt;="&amp;G40,$D$15:$D$2015,"&lt;"&amp;G41))</f>
        <v/>
      </c>
      <c r="I40" s="14" t="n"/>
      <c r="J40" s="16" t="n">
        <v>135</v>
      </c>
      <c r="K40" s="124">
        <f>IF(J40="","",COUNTIFS($C$15:$C$2015,J$13,$D$15:$D$2015,"&gt;="&amp;J40,$D$15:$D$2015,"&lt;"&amp;J41))</f>
        <v/>
      </c>
      <c r="L40" s="14" t="n"/>
      <c r="M40" s="16" t="n">
        <v>60</v>
      </c>
      <c r="N40" s="124">
        <f>IF(M40="","",COUNTIFS($C$15:$C$2015,M$13,$D$15:$D$2015,"&gt;="&amp;M40,$D$15:$D$2015,"&lt;"&amp;M41))</f>
        <v/>
      </c>
      <c r="O40" s="14" t="n"/>
      <c r="P40" s="16" t="n">
        <v>35</v>
      </c>
      <c r="Q40" s="124">
        <f>IF(P40="","",COUNTIFS($C$15:$C$2015,P$13,$D$15:$D$2015,"&gt;="&amp;P40,$D$15:$D$2015,"&lt;"&amp;P41))</f>
        <v/>
      </c>
      <c r="R40" s="14" t="n"/>
      <c r="S40" s="16" t="n">
        <v>60</v>
      </c>
      <c r="T40" s="124">
        <f>IF(S40="","",COUNTIFS($C$15:$C$2015,S$13,$D$15:$D$2015,"&gt;="&amp;S40,$D$15:$D$2015,"&lt;"&amp;S41))</f>
        <v/>
      </c>
      <c r="U40" s="14" t="n"/>
      <c r="V40" s="16" t="n">
        <v>60</v>
      </c>
      <c r="W40" s="124">
        <f>IF(V40="","",COUNTIFS($C$15:$C$2015,V$13,$D$15:$D$2015,"&gt;="&amp;V40,$D$15:$D$2015,"&lt;"&amp;V41))</f>
        <v/>
      </c>
      <c r="X40" s="14" t="n"/>
      <c r="Y40" s="16" t="n">
        <v>60</v>
      </c>
      <c r="Z40" s="124">
        <f>IF(Y40="","",COUNTIFS($C$15:$C$2015,Y$13,$D$15:$D$2015,"&gt;="&amp;Y40,$D$15:$D$2015,"&lt;"&amp;Y41))</f>
        <v/>
      </c>
      <c r="AA40" s="14" t="n"/>
      <c r="AB40" s="16" t="n">
        <v>35</v>
      </c>
      <c r="AC40" s="124">
        <f>IF(AB40="","",COUNTIFS($C$15:$C$2015,AB$13,$D$15:$D$2015,"&gt;="&amp;AB40,$D$15:$D$2015,"&lt;"&amp;AB41))</f>
        <v/>
      </c>
      <c r="AD40" s="14" t="n"/>
    </row>
    <row r="41">
      <c r="A41" s="58" t="n"/>
      <c r="B41" s="59" t="n"/>
      <c r="C41" s="111" t="inlineStr">
        <is>
          <t>LJB</t>
        </is>
      </c>
      <c r="D41" s="112" t="n">
        <v>90</v>
      </c>
      <c r="E41" s="16" t="n">
        <v>27</v>
      </c>
      <c r="F41" s="13" t="n"/>
      <c r="G41" s="16" t="n">
        <v>36</v>
      </c>
      <c r="H41" s="124">
        <f>IF(G41="","",COUNTIFS($C$15:$C$2015,G$13,$D$15:$D$2015,"&gt;="&amp;G41,$D$15:$D$2015,"&lt;"&amp;G42))</f>
        <v/>
      </c>
      <c r="I41" s="14" t="n"/>
      <c r="J41" s="16" t="n">
        <v>140</v>
      </c>
      <c r="K41" s="124">
        <f>IF(J41="","",COUNTIFS($C$15:$C$2015,J$13,$D$15:$D$2015,"&gt;="&amp;J41,$D$15:$D$2015,"&lt;"&amp;J42))</f>
        <v/>
      </c>
      <c r="L41" s="14" t="n"/>
      <c r="M41" s="16" t="n">
        <v>62</v>
      </c>
      <c r="N41" s="124">
        <f>IF(M41="","",COUNTIFS($C$15:$C$2015,M$13,$D$15:$D$2015,"&gt;="&amp;M41,$D$15:$D$2015,"&lt;"&amp;M42))</f>
        <v/>
      </c>
      <c r="O41" s="14" t="n"/>
      <c r="P41" s="16" t="n">
        <v>36</v>
      </c>
      <c r="Q41" s="124">
        <f>IF(P41="","",COUNTIFS($C$15:$C$2015,P$13,$D$15:$D$2015,"&gt;="&amp;P41,$D$15:$D$2015,"&lt;"&amp;P42))</f>
        <v/>
      </c>
      <c r="R41" s="14" t="n"/>
      <c r="S41" s="16" t="n">
        <v>62</v>
      </c>
      <c r="T41" s="124">
        <f>IF(S41="","",COUNTIFS($C$15:$C$2015,S$13,$D$15:$D$2015,"&gt;="&amp;S41,$D$15:$D$2015,"&lt;"&amp;S42))</f>
        <v/>
      </c>
      <c r="U41" s="14" t="n"/>
      <c r="V41" s="16" t="n">
        <v>62</v>
      </c>
      <c r="W41" s="124">
        <f>IF(V41="","",COUNTIFS($C$15:$C$2015,V$13,$D$15:$D$2015,"&gt;="&amp;V41,$D$15:$D$2015,"&lt;"&amp;V42))</f>
        <v/>
      </c>
      <c r="X41" s="14" t="n"/>
      <c r="Y41" s="16" t="n">
        <v>62</v>
      </c>
      <c r="Z41" s="124">
        <f>IF(Y41="","",COUNTIFS($C$15:$C$2015,Y$13,$D$15:$D$2015,"&gt;="&amp;Y41,$D$15:$D$2015,"&lt;"&amp;Y42))</f>
        <v/>
      </c>
      <c r="AA41" s="14" t="n"/>
      <c r="AB41" s="16" t="n">
        <v>36</v>
      </c>
      <c r="AC41" s="124">
        <f>IF(AB41="","",COUNTIFS($C$15:$C$2015,AB$13,$D$15:$D$2015,"&gt;="&amp;AB41,$D$15:$D$2015,"&lt;"&amp;AB42))</f>
        <v/>
      </c>
      <c r="AD41" s="14" t="n"/>
    </row>
    <row r="42">
      <c r="A42" s="56" t="n"/>
      <c r="B42" s="57" t="n"/>
      <c r="C42" s="111" t="inlineStr">
        <is>
          <t>EWS</t>
        </is>
      </c>
      <c r="D42" s="112" t="n">
        <v>80</v>
      </c>
      <c r="E42" s="16" t="n">
        <v>28</v>
      </c>
      <c r="F42" s="13" t="n"/>
      <c r="G42" s="16" t="n">
        <v>37</v>
      </c>
      <c r="H42" s="124">
        <f>IF(G42="","",COUNTIFS($C$15:$C$2015,G$13,$D$15:$D$2015,"&gt;="&amp;G42,$D$15:$D$2015,"&lt;"&amp;G43))</f>
        <v/>
      </c>
      <c r="I42" s="14" t="n"/>
      <c r="J42" s="16" t="n">
        <v>145</v>
      </c>
      <c r="K42" s="124">
        <f>IF(J42="","",COUNTIFS($C$15:$C$2015,J$13,$D$15:$D$2015,"&gt;="&amp;J42,$D$15:$D$2015,"&lt;"&amp;J43))</f>
        <v/>
      </c>
      <c r="L42" s="14" t="n"/>
      <c r="M42" s="16" t="n">
        <v>64</v>
      </c>
      <c r="N42" s="124">
        <f>IF(M42="","",COUNTIFS($C$15:$C$2015,M$13,$D$15:$D$2015,"&gt;="&amp;M42,$D$15:$D$2015,"&lt;"&amp;M43))</f>
        <v/>
      </c>
      <c r="O42" s="14" t="n"/>
      <c r="P42" s="16" t="n">
        <v>37</v>
      </c>
      <c r="Q42" s="124">
        <f>IF(P42="","",COUNTIFS($C$15:$C$2015,P$13,$D$15:$D$2015,"&gt;="&amp;P42,$D$15:$D$2015,"&lt;"&amp;P43))</f>
        <v/>
      </c>
      <c r="R42" s="14" t="n"/>
      <c r="S42" s="16" t="n">
        <v>64</v>
      </c>
      <c r="T42" s="124">
        <f>IF(S42="","",COUNTIFS($C$15:$C$2015,S$13,$D$15:$D$2015,"&gt;="&amp;S42,$D$15:$D$2015,"&lt;"&amp;S43))</f>
        <v/>
      </c>
      <c r="U42" s="14" t="n"/>
      <c r="V42" s="16" t="n">
        <v>64</v>
      </c>
      <c r="W42" s="124">
        <f>IF(V42="","",COUNTIFS($C$15:$C$2015,V$13,$D$15:$D$2015,"&gt;="&amp;V42,$D$15:$D$2015,"&lt;"&amp;V43))</f>
        <v/>
      </c>
      <c r="X42" s="14" t="n"/>
      <c r="Y42" s="16" t="n">
        <v>64</v>
      </c>
      <c r="Z42" s="124">
        <f>IF(Y42="","",COUNTIFS($C$15:$C$2015,Y$13,$D$15:$D$2015,"&gt;="&amp;Y42,$D$15:$D$2015,"&lt;"&amp;Y43))</f>
        <v/>
      </c>
      <c r="AA42" s="14" t="n"/>
      <c r="AB42" s="16" t="n">
        <v>37</v>
      </c>
      <c r="AC42" s="124">
        <f>IF(AB42="","",COUNTIFS($C$15:$C$2015,AB$13,$D$15:$D$2015,"&gt;="&amp;AB42,$D$15:$D$2015,"&lt;"&amp;AB43))</f>
        <v/>
      </c>
      <c r="AD42" s="14" t="n"/>
    </row>
    <row r="43">
      <c r="A43" s="58" t="n"/>
      <c r="B43" s="59" t="n"/>
      <c r="C43" s="111" t="inlineStr">
        <is>
          <t>KAW</t>
        </is>
      </c>
      <c r="D43" s="112" t="n">
        <v>100</v>
      </c>
      <c r="E43" s="16" t="n">
        <v>29</v>
      </c>
      <c r="F43" s="13" t="n"/>
      <c r="G43" s="16" t="n">
        <v>38</v>
      </c>
      <c r="H43" s="124">
        <f>IF(G43="","",COUNTIFS($C$15:$C$2015,G$13,$D$15:$D$2015,"&gt;="&amp;G43,$D$15:$D$2015,"&lt;"&amp;G44))</f>
        <v/>
      </c>
      <c r="I43" s="14" t="n"/>
      <c r="J43" s="16" t="n">
        <v>150</v>
      </c>
      <c r="K43" s="124">
        <f>IF(J43="","",COUNTIFS($C$15:$C$2015,J$13,$D$15:$D$2015,"&gt;="&amp;J43,$D$15:$D$2015,"&lt;"&amp;J44))</f>
        <v/>
      </c>
      <c r="L43" s="14" t="n"/>
      <c r="M43" s="16" t="n">
        <v>66</v>
      </c>
      <c r="N43" s="124">
        <f>IF(M43="","",COUNTIFS($C$15:$C$2015,M$13,$D$15:$D$2015,"&gt;="&amp;M43,$D$15:$D$2015,"&lt;"&amp;M44))</f>
        <v/>
      </c>
      <c r="O43" s="14" t="n"/>
      <c r="P43" s="16" t="n">
        <v>38</v>
      </c>
      <c r="Q43" s="124">
        <f>IF(P43="","",COUNTIFS($C$15:$C$2015,P$13,$D$15:$D$2015,"&gt;="&amp;P43,$D$15:$D$2015,"&lt;"&amp;P44))</f>
        <v/>
      </c>
      <c r="R43" s="14" t="n"/>
      <c r="S43" s="16" t="n">
        <v>66</v>
      </c>
      <c r="T43" s="124">
        <f>IF(S43="","",COUNTIFS($C$15:$C$2015,S$13,$D$15:$D$2015,"&gt;="&amp;S43,$D$15:$D$2015,"&lt;"&amp;S44))</f>
        <v/>
      </c>
      <c r="U43" s="14" t="n"/>
      <c r="V43" s="16" t="n">
        <v>66</v>
      </c>
      <c r="W43" s="124">
        <f>IF(V43="","",COUNTIFS($C$15:$C$2015,V$13,$D$15:$D$2015,"&gt;="&amp;V43,$D$15:$D$2015,"&lt;"&amp;V44))</f>
        <v/>
      </c>
      <c r="X43" s="14" t="n"/>
      <c r="Y43" s="16" t="n">
        <v>66</v>
      </c>
      <c r="Z43" s="124">
        <f>IF(Y43="","",COUNTIFS($C$15:$C$2015,Y$13,$D$15:$D$2015,"&gt;="&amp;Y43,$D$15:$D$2015,"&lt;"&amp;Y44))</f>
        <v/>
      </c>
      <c r="AA43" s="14" t="n"/>
      <c r="AB43" s="16" t="n">
        <v>38</v>
      </c>
      <c r="AC43" s="124">
        <f>IF(AB43="","",COUNTIFS($C$15:$C$2015,AB$13,$D$15:$D$2015,"&gt;="&amp;AB43,$D$15:$D$2015,"&lt;"&amp;AB44))</f>
        <v/>
      </c>
      <c r="AD43" s="14" t="n"/>
    </row>
    <row r="44">
      <c r="A44" s="56" t="n"/>
      <c r="B44" s="57" t="n"/>
      <c r="C44" s="111" t="inlineStr">
        <is>
          <t>EMU</t>
        </is>
      </c>
      <c r="D44" s="112" t="n">
        <v>80</v>
      </c>
      <c r="E44" s="16" t="n">
        <v>30</v>
      </c>
      <c r="F44" s="13" t="n"/>
      <c r="G44" s="16" t="n">
        <v>39</v>
      </c>
      <c r="H44" s="124">
        <f>IF(G44="","",COUNTIFS($C$15:$C$2015,G$13,$D$15:$D$2015,"&gt;="&amp;G44,$D$15:$D$2015,"&lt;"&amp;G45))</f>
        <v/>
      </c>
      <c r="I44" s="14" t="n"/>
      <c r="J44" s="16" t="n"/>
      <c r="K44" s="124">
        <f>IF(J44="","",COUNTIFS($C$15:$C$2015,J$13,$D$15:$D$2015,"&gt;="&amp;J44,$D$15:$D$2015,"&lt;"&amp;J45))</f>
        <v/>
      </c>
      <c r="L44" s="14" t="n"/>
      <c r="M44" s="16" t="n">
        <v>68</v>
      </c>
      <c r="N44" s="124">
        <f>IF(M44="","",COUNTIFS($C$15:$C$2015,M$13,$D$15:$D$2015,"&gt;="&amp;M44,$D$15:$D$2015,"&lt;"&amp;M45))</f>
        <v/>
      </c>
      <c r="O44" s="14" t="n"/>
      <c r="P44" s="16" t="n">
        <v>39</v>
      </c>
      <c r="Q44" s="124">
        <f>IF(P44="","",COUNTIFS($C$15:$C$2015,P$13,$D$15:$D$2015,"&gt;="&amp;P44,$D$15:$D$2015,"&lt;"&amp;P45))</f>
        <v/>
      </c>
      <c r="R44" s="14" t="n"/>
      <c r="S44" s="16" t="n">
        <v>68</v>
      </c>
      <c r="T44" s="124">
        <f>IF(S44="","",COUNTIFS($C$15:$C$2015,S$13,$D$15:$D$2015,"&gt;="&amp;S44,$D$15:$D$2015,"&lt;"&amp;S45))</f>
        <v/>
      </c>
      <c r="U44" s="14" t="n"/>
      <c r="V44" s="16" t="n">
        <v>68</v>
      </c>
      <c r="W44" s="124">
        <f>IF(V44="","",COUNTIFS($C$15:$C$2015,V$13,$D$15:$D$2015,"&gt;="&amp;V44,$D$15:$D$2015,"&lt;"&amp;V45))</f>
        <v/>
      </c>
      <c r="X44" s="14" t="n"/>
      <c r="Y44" s="16" t="n">
        <v>68</v>
      </c>
      <c r="Z44" s="124">
        <f>IF(Y44="","",COUNTIFS($C$15:$C$2015,Y$13,$D$15:$D$2015,"&gt;="&amp;Y44,$D$15:$D$2015,"&lt;"&amp;Y45))</f>
        <v/>
      </c>
      <c r="AA44" s="14" t="n"/>
      <c r="AB44" s="16" t="n">
        <v>39</v>
      </c>
      <c r="AC44" s="124">
        <f>IF(AB44="","",COUNTIFS($C$15:$C$2015,AB$13,$D$15:$D$2015,"&gt;="&amp;AB44,$D$15:$D$2015,"&lt;"&amp;AB45))</f>
        <v/>
      </c>
      <c r="AD44" s="14" t="n"/>
    </row>
    <row r="45">
      <c r="A45" s="58" t="n"/>
      <c r="B45" s="59" t="n"/>
      <c r="C45" s="111" t="inlineStr">
        <is>
          <t>EME</t>
        </is>
      </c>
      <c r="D45" s="112" t="n">
        <v>80</v>
      </c>
      <c r="E45" s="16" t="n">
        <v>31</v>
      </c>
      <c r="F45" s="13" t="n"/>
      <c r="G45" s="16" t="n">
        <v>40</v>
      </c>
      <c r="H45" s="124">
        <f>IF(G45="","",COUNTIFS($C$15:$C$2015,G$13,$D$15:$D$2015,"&gt;="&amp;G45,$D$15:$D$2015,"&lt;"&amp;G46))</f>
        <v/>
      </c>
      <c r="I45" s="14" t="n"/>
      <c r="J45" s="16" t="n"/>
      <c r="K45" s="124">
        <f>IF(J45="","",COUNTIFS($C$15:$C$2015,J$13,$D$15:$D$2015,"&gt;="&amp;J45,$D$15:$D$2015,"&lt;"&amp;J46))</f>
        <v/>
      </c>
      <c r="L45" s="14" t="n"/>
      <c r="M45" s="16" t="n">
        <v>70</v>
      </c>
      <c r="N45" s="124">
        <f>IF(M45="","",COUNTIFS($C$15:$C$2015,M$13,$D$15:$D$2015,"&gt;="&amp;M45,$D$15:$D$2015,"&lt;"&amp;M46))</f>
        <v/>
      </c>
      <c r="O45" s="14" t="n"/>
      <c r="P45" s="16" t="n">
        <v>40</v>
      </c>
      <c r="Q45" s="124">
        <f>IF(P45="","",COUNTIFS($C$15:$C$2015,P$13,$D$15:$D$2015,"&gt;="&amp;P45,$D$15:$D$2015,"&lt;"&amp;P46))</f>
        <v/>
      </c>
      <c r="R45" s="14" t="n"/>
      <c r="S45" s="16" t="n">
        <v>70</v>
      </c>
      <c r="T45" s="124">
        <f>IF(S45="","",COUNTIFS($C$15:$C$2015,S$13,$D$15:$D$2015,"&gt;="&amp;S45,$D$15:$D$2015,"&lt;"&amp;S46))</f>
        <v/>
      </c>
      <c r="U45" s="14" t="n"/>
      <c r="V45" s="16" t="n">
        <v>70</v>
      </c>
      <c r="W45" s="124">
        <f>IF(V45="","",COUNTIFS($C$15:$C$2015,V$13,$D$15:$D$2015,"&gt;="&amp;V45,$D$15:$D$2015,"&lt;"&amp;V46))</f>
        <v/>
      </c>
      <c r="X45" s="14" t="n"/>
      <c r="Y45" s="16" t="n">
        <v>70</v>
      </c>
      <c r="Z45" s="124">
        <f>IF(Y45="","",COUNTIFS($C$15:$C$2015,Y$13,$D$15:$D$2015,"&gt;="&amp;Y45,$D$15:$D$2015,"&lt;"&amp;Y46))</f>
        <v/>
      </c>
      <c r="AA45" s="14" t="n"/>
      <c r="AB45" s="16" t="n">
        <v>40</v>
      </c>
      <c r="AC45" s="124">
        <f>IF(AB45="","",COUNTIFS($C$15:$C$2015,AB$13,$D$15:$D$2015,"&gt;="&amp;AB45,$D$15:$D$2015,"&lt;"&amp;AB46))</f>
        <v/>
      </c>
      <c r="AD45" s="14" t="n"/>
    </row>
    <row r="46">
      <c r="A46" s="56" t="n"/>
      <c r="B46" s="57" t="n"/>
      <c r="C46" s="111" t="inlineStr">
        <is>
          <t>VRL</t>
        </is>
      </c>
      <c r="D46" s="112" t="n">
        <v>62</v>
      </c>
      <c r="E46" s="16" t="n">
        <v>32</v>
      </c>
      <c r="F46" s="13" t="n"/>
      <c r="G46" s="16" t="n">
        <v>41</v>
      </c>
      <c r="H46" s="124">
        <f>IF(G46="","",COUNTIFS($C$15:$C$2015,G$13,$D$15:$D$2015,"&gt;="&amp;G46,$D$15:$D$2015,"&lt;"&amp;G47))</f>
        <v/>
      </c>
      <c r="I46" s="14" t="n"/>
      <c r="J46" s="16" t="n"/>
      <c r="K46" s="124">
        <f>IF(J46="","",COUNTIFS($C$15:$C$2015,J$13,$D$15:$D$2015,"&gt;="&amp;J46,$D$15:$D$2015,"&lt;"&amp;J47))</f>
        <v/>
      </c>
      <c r="L46" s="14" t="n"/>
      <c r="M46" s="16" t="n">
        <v>72</v>
      </c>
      <c r="N46" s="124">
        <f>IF(M46="","",COUNTIFS($C$15:$C$2015,M$13,$D$15:$D$2015,"&gt;="&amp;M46,$D$15:$D$2015,"&lt;"&amp;M47))</f>
        <v/>
      </c>
      <c r="O46" s="14" t="n"/>
      <c r="P46" s="16" t="n">
        <v>41</v>
      </c>
      <c r="Q46" s="124">
        <f>IF(P46="","",COUNTIFS($C$15:$C$2015,P$13,$D$15:$D$2015,"&gt;="&amp;P46,$D$15:$D$2015,"&lt;"&amp;P47))</f>
        <v/>
      </c>
      <c r="R46" s="14" t="n"/>
      <c r="S46" s="16" t="n">
        <v>72</v>
      </c>
      <c r="T46" s="124">
        <f>IF(S46="","",COUNTIFS($C$15:$C$2015,S$13,$D$15:$D$2015,"&gt;="&amp;S46,$D$15:$D$2015,"&lt;"&amp;S47))</f>
        <v/>
      </c>
      <c r="U46" s="14" t="n"/>
      <c r="V46" s="16" t="n">
        <v>72</v>
      </c>
      <c r="W46" s="124">
        <f>IF(V46="","",COUNTIFS($C$15:$C$2015,V$13,$D$15:$D$2015,"&gt;="&amp;V46,$D$15:$D$2015,"&lt;"&amp;V47))</f>
        <v/>
      </c>
      <c r="X46" s="14" t="n"/>
      <c r="Y46" s="16" t="n">
        <v>72</v>
      </c>
      <c r="Z46" s="124">
        <f>IF(Y46="","",COUNTIFS($C$15:$C$2015,Y$13,$D$15:$D$2015,"&gt;="&amp;Y46,$D$15:$D$2015,"&lt;"&amp;Y47))</f>
        <v/>
      </c>
      <c r="AA46" s="14" t="n"/>
      <c r="AB46" s="16" t="n">
        <v>41</v>
      </c>
      <c r="AC46" s="124">
        <f>IF(AB46="","",COUNTIFS($C$15:$C$2015,AB$13,$D$15:$D$2015,"&gt;="&amp;AB46,$D$15:$D$2015,"&lt;"&amp;AB47))</f>
        <v/>
      </c>
      <c r="AD46" s="14" t="n"/>
    </row>
    <row r="47">
      <c r="A47" s="58" t="n"/>
      <c r="B47" s="59" t="n"/>
      <c r="C47" s="59" t="inlineStr">
        <is>
          <t>LTQ</t>
        </is>
      </c>
      <c r="D47">
        <f>+D39+1</f>
        <v/>
      </c>
      <c r="E47" s="16" t="n">
        <v>33</v>
      </c>
      <c r="F47" s="13" t="n"/>
      <c r="G47" s="16" t="n">
        <v>42</v>
      </c>
      <c r="H47" s="124">
        <f>IF(G47="","",COUNTIFS($C$15:$C$2015,G$13,$D$15:$D$2015,"&gt;="&amp;G47,$D$15:$D$2015,"&lt;"&amp;G48))</f>
        <v/>
      </c>
      <c r="I47" s="14" t="n"/>
      <c r="J47" s="16" t="n"/>
      <c r="K47" s="124">
        <f>IF(J47="","",COUNTIFS($C$15:$C$2015,J$13,$D$15:$D$2015,"&gt;="&amp;J47,$D$15:$D$2015,"&lt;"&amp;J48))</f>
        <v/>
      </c>
      <c r="L47" s="14" t="n"/>
      <c r="M47" s="16" t="n">
        <v>74</v>
      </c>
      <c r="N47" s="124">
        <f>IF(M47="","",COUNTIFS($C$15:$C$2015,M$13,$D$15:$D$2015,"&gt;="&amp;M47,$D$15:$D$2015,"&lt;"&amp;M48))</f>
        <v/>
      </c>
      <c r="O47" s="14" t="n"/>
      <c r="P47" s="16" t="n">
        <v>42</v>
      </c>
      <c r="Q47" s="124">
        <f>IF(P47="","",COUNTIFS($C$15:$C$2015,P$13,$D$15:$D$2015,"&gt;="&amp;P47,$D$15:$D$2015,"&lt;"&amp;P48))</f>
        <v/>
      </c>
      <c r="R47" s="14" t="n"/>
      <c r="S47" s="16" t="n">
        <v>74</v>
      </c>
      <c r="T47" s="124">
        <f>IF(S47="","",COUNTIFS($C$15:$C$2015,S$13,$D$15:$D$2015,"&gt;="&amp;S47,$D$15:$D$2015,"&lt;"&amp;S48))</f>
        <v/>
      </c>
      <c r="U47" s="14" t="n"/>
      <c r="V47" s="16" t="n">
        <v>74</v>
      </c>
      <c r="W47" s="124">
        <f>IF(V47="","",COUNTIFS($C$15:$C$2015,V$13,$D$15:$D$2015,"&gt;="&amp;V47,$D$15:$D$2015,"&lt;"&amp;V48))</f>
        <v/>
      </c>
      <c r="X47" s="14" t="n"/>
      <c r="Y47" s="16" t="n">
        <v>74</v>
      </c>
      <c r="Z47" s="124">
        <f>IF(Y47="","",COUNTIFS($C$15:$C$2015,Y$13,$D$15:$D$2015,"&gt;="&amp;Y47,$D$15:$D$2015,"&lt;"&amp;Y48))</f>
        <v/>
      </c>
      <c r="AA47" s="14" t="n"/>
      <c r="AB47" s="16" t="n">
        <v>42</v>
      </c>
      <c r="AC47" s="124">
        <f>IF(AB47="","",COUNTIFS($C$15:$C$2015,AB$13,$D$15:$D$2015,"&gt;="&amp;AB47,$D$15:$D$2015,"&lt;"&amp;AB48))</f>
        <v/>
      </c>
      <c r="AD47" s="14" t="n"/>
    </row>
    <row r="48">
      <c r="A48" s="56" t="n"/>
      <c r="B48" s="57" t="n"/>
      <c r="C48" s="59" t="inlineStr">
        <is>
          <t>COM</t>
        </is>
      </c>
      <c r="D48">
        <f>+D40+1</f>
        <v/>
      </c>
      <c r="E48" s="16" t="n">
        <v>34</v>
      </c>
      <c r="F48" s="13" t="n"/>
      <c r="G48" s="16" t="n">
        <v>43</v>
      </c>
      <c r="H48" s="124">
        <f>IF(G48="","",COUNTIFS($C$15:$C$2015,G$13,$D$15:$D$2015,"&gt;="&amp;G48,$D$15:$D$2015,"&lt;"&amp;G49))</f>
        <v/>
      </c>
      <c r="I48" s="14" t="n"/>
      <c r="J48" s="16" t="n"/>
      <c r="K48" s="124">
        <f>IF(J48="","",COUNTIFS($C$15:$C$2015,J$13,$D$15:$D$2015,"&gt;="&amp;J48,$D$15:$D$2015,"&lt;"&amp;J49))</f>
        <v/>
      </c>
      <c r="L48" s="14" t="n"/>
      <c r="M48" s="16" t="n">
        <v>76</v>
      </c>
      <c r="N48" s="124">
        <f>IF(M48="","",COUNTIFS($C$15:$C$2015,M$13,$D$15:$D$2015,"&gt;="&amp;M48,$D$15:$D$2015,"&lt;"&amp;M49))</f>
        <v/>
      </c>
      <c r="O48" s="14" t="n"/>
      <c r="P48" s="16" t="n">
        <v>43</v>
      </c>
      <c r="Q48" s="124">
        <f>IF(P48="","",COUNTIFS($C$15:$C$2015,P$13,$D$15:$D$2015,"&gt;="&amp;P48,$D$15:$D$2015,"&lt;"&amp;P49))</f>
        <v/>
      </c>
      <c r="R48" s="14" t="n"/>
      <c r="S48" s="16" t="n">
        <v>76</v>
      </c>
      <c r="T48" s="124">
        <f>IF(S48="","",COUNTIFS($C$15:$C$2015,S$13,$D$15:$D$2015,"&gt;="&amp;S48,$D$15:$D$2015,"&lt;"&amp;S49))</f>
        <v/>
      </c>
      <c r="U48" s="14" t="n"/>
      <c r="V48" s="16" t="n">
        <v>76</v>
      </c>
      <c r="W48" s="124">
        <f>IF(V48="","",COUNTIFS($C$15:$C$2015,V$13,$D$15:$D$2015,"&gt;="&amp;V48,$D$15:$D$2015,"&lt;"&amp;V49))</f>
        <v/>
      </c>
      <c r="X48" s="14" t="n"/>
      <c r="Y48" s="16" t="n">
        <v>76</v>
      </c>
      <c r="Z48" s="124">
        <f>IF(Y48="","",COUNTIFS($C$15:$C$2015,Y$13,$D$15:$D$2015,"&gt;="&amp;Y48,$D$15:$D$2015,"&lt;"&amp;Y49))</f>
        <v/>
      </c>
      <c r="AA48" s="14" t="n"/>
      <c r="AB48" s="16" t="n">
        <v>43</v>
      </c>
      <c r="AC48" s="124">
        <f>IF(AB48="","",COUNTIFS($C$15:$C$2015,AB$13,$D$15:$D$2015,"&gt;="&amp;AB48,$D$15:$D$2015,"&lt;"&amp;AB49))</f>
        <v/>
      </c>
      <c r="AD48" s="14" t="n"/>
    </row>
    <row r="49">
      <c r="A49" s="58" t="n"/>
      <c r="B49" s="59" t="n"/>
      <c r="C49" s="59" t="inlineStr">
        <is>
          <t>LJB</t>
        </is>
      </c>
      <c r="D49">
        <f>+D41+1</f>
        <v/>
      </c>
      <c r="E49" s="16" t="n">
        <v>35</v>
      </c>
      <c r="F49" s="13" t="n"/>
      <c r="G49" s="16" t="n">
        <v>44</v>
      </c>
      <c r="H49" s="124">
        <f>IF(G49="","",COUNTIFS($C$15:$C$2015,G$13,$D$15:$D$2015,"&gt;="&amp;G49,$D$15:$D$2015,"&lt;"&amp;G50))</f>
        <v/>
      </c>
      <c r="I49" s="14" t="n"/>
      <c r="J49" s="16" t="n"/>
      <c r="K49" s="124">
        <f>IF(J49="","",COUNTIFS($C$15:$C$2015,J$13,$D$15:$D$2015,"&gt;="&amp;J49,$D$15:$D$2015,"&lt;"&amp;J50))</f>
        <v/>
      </c>
      <c r="L49" s="14" t="n"/>
      <c r="M49" s="16" t="n">
        <v>78</v>
      </c>
      <c r="N49" s="124">
        <f>IF(M49="","",COUNTIFS($C$15:$C$2015,M$13,$D$15:$D$2015,"&gt;="&amp;M49,$D$15:$D$2015,"&lt;"&amp;M50))</f>
        <v/>
      </c>
      <c r="O49" s="14" t="n"/>
      <c r="P49" s="16" t="n">
        <v>44</v>
      </c>
      <c r="Q49" s="124">
        <f>IF(P49="","",COUNTIFS($C$15:$C$2015,P$13,$D$15:$D$2015,"&gt;="&amp;P49,$D$15:$D$2015,"&lt;"&amp;P50))</f>
        <v/>
      </c>
      <c r="R49" s="14" t="n"/>
      <c r="S49" s="16" t="n">
        <v>78</v>
      </c>
      <c r="T49" s="124">
        <f>IF(S49="","",COUNTIFS($C$15:$C$2015,S$13,$D$15:$D$2015,"&gt;="&amp;S49,$D$15:$D$2015,"&lt;"&amp;S50))</f>
        <v/>
      </c>
      <c r="U49" s="14" t="n"/>
      <c r="V49" s="16" t="n">
        <v>78</v>
      </c>
      <c r="W49" s="124">
        <f>IF(V49="","",COUNTIFS($C$15:$C$2015,V$13,$D$15:$D$2015,"&gt;="&amp;V49,$D$15:$D$2015,"&lt;"&amp;V50))</f>
        <v/>
      </c>
      <c r="X49" s="14" t="n"/>
      <c r="Y49" s="16" t="n">
        <v>78</v>
      </c>
      <c r="Z49" s="124">
        <f>IF(Y49="","",COUNTIFS($C$15:$C$2015,Y$13,$D$15:$D$2015,"&gt;="&amp;Y49,$D$15:$D$2015,"&lt;"&amp;Y50))</f>
        <v/>
      </c>
      <c r="AA49" s="14" t="n"/>
      <c r="AB49" s="16" t="n">
        <v>44</v>
      </c>
      <c r="AC49" s="124">
        <f>IF(AB49="","",COUNTIFS($C$15:$C$2015,AB$13,$D$15:$D$2015,"&gt;="&amp;AB49,$D$15:$D$2015,"&lt;"&amp;AB50))</f>
        <v/>
      </c>
      <c r="AD49" s="14" t="n"/>
    </row>
    <row r="50">
      <c r="A50" s="56" t="n"/>
      <c r="B50" s="57" t="n"/>
      <c r="C50" s="59" t="inlineStr">
        <is>
          <t>EWS</t>
        </is>
      </c>
      <c r="D50">
        <f>+D42+1</f>
        <v/>
      </c>
      <c r="E50" s="16" t="n">
        <v>36</v>
      </c>
      <c r="F50" s="13" t="n"/>
      <c r="G50" s="16" t="n">
        <v>45</v>
      </c>
      <c r="H50" s="124">
        <f>IF(G50="","",COUNTIFS($C$15:$C$2015,G$13,$D$15:$D$2015,"&gt;="&amp;G50,$D$15:$D$2015,"&lt;"&amp;G51))</f>
        <v/>
      </c>
      <c r="I50" s="14" t="n"/>
      <c r="J50" s="16" t="n"/>
      <c r="K50" s="124">
        <f>IF(J50="","",COUNTIFS($C$15:$C$2015,J$13,$D$15:$D$2015,"&gt;="&amp;J50,$D$15:$D$2015,"&lt;"&amp;J51))</f>
        <v/>
      </c>
      <c r="L50" s="14" t="n"/>
      <c r="M50" s="16" t="n">
        <v>80</v>
      </c>
      <c r="N50" s="124">
        <f>IF(M50="","",COUNTIFS($C$15:$C$2015,M$13,$D$15:$D$2015,"&gt;="&amp;M50,$D$15:$D$2015,"&lt;"&amp;M51))</f>
        <v/>
      </c>
      <c r="O50" s="14" t="n"/>
      <c r="P50" s="16" t="n">
        <v>45</v>
      </c>
      <c r="Q50" s="124">
        <f>IF(P50="","",COUNTIFS($C$15:$C$2015,P$13,$D$15:$D$2015,"&gt;="&amp;P50,$D$15:$D$2015,"&lt;"&amp;P51))</f>
        <v/>
      </c>
      <c r="R50" s="14" t="n"/>
      <c r="S50" s="16" t="n">
        <v>80</v>
      </c>
      <c r="T50" s="124">
        <f>IF(S50="","",COUNTIFS($C$15:$C$2015,S$13,$D$15:$D$2015,"&gt;="&amp;S50,$D$15:$D$2015,"&lt;"&amp;S51))</f>
        <v/>
      </c>
      <c r="U50" s="14" t="n"/>
      <c r="V50" s="16" t="n">
        <v>80</v>
      </c>
      <c r="W50" s="124">
        <f>IF(V50="","",COUNTIFS($C$15:$C$2015,V$13,$D$15:$D$2015,"&gt;="&amp;V50,$D$15:$D$2015,"&lt;"&amp;V51))</f>
        <v/>
      </c>
      <c r="X50" s="14" t="n"/>
      <c r="Y50" s="16" t="n">
        <v>80</v>
      </c>
      <c r="Z50" s="124">
        <f>IF(Y50="","",COUNTIFS($C$15:$C$2015,Y$13,$D$15:$D$2015,"&gt;="&amp;Y50,$D$15:$D$2015,"&lt;"&amp;Y51))</f>
        <v/>
      </c>
      <c r="AA50" s="14" t="n"/>
      <c r="AB50" s="16" t="n">
        <v>45</v>
      </c>
      <c r="AC50" s="124">
        <f>IF(AB50="","",COUNTIFS($C$15:$C$2015,AB$13,$D$15:$D$2015,"&gt;="&amp;AB50,$D$15:$D$2015,"&lt;"&amp;AB51))</f>
        <v/>
      </c>
      <c r="AD50" s="14" t="n"/>
    </row>
    <row r="51">
      <c r="A51" s="58" t="n"/>
      <c r="B51" s="59" t="n"/>
      <c r="C51" s="59" t="inlineStr">
        <is>
          <t>KAW</t>
        </is>
      </c>
      <c r="D51">
        <f>+D43+1</f>
        <v/>
      </c>
      <c r="E51" s="16" t="n">
        <v>37</v>
      </c>
      <c r="F51" s="13" t="n"/>
      <c r="G51" s="16" t="n">
        <v>46</v>
      </c>
      <c r="H51" s="124">
        <f>IF(G51="","",COUNTIFS($C$15:$C$2015,G$13,$D$15:$D$2015,"&gt;="&amp;G51,$D$15:$D$2015,"&lt;"&amp;G52))</f>
        <v/>
      </c>
      <c r="I51" s="14" t="n"/>
      <c r="J51" s="16" t="n"/>
      <c r="K51" s="124">
        <f>IF(J51="","",COUNTIFS($C$15:$C$2015,J$13,$D$15:$D$2015,"&gt;="&amp;J51,$D$15:$D$2015,"&lt;"&amp;J52))</f>
        <v/>
      </c>
      <c r="L51" s="14" t="n"/>
      <c r="M51" s="16" t="n">
        <v>82</v>
      </c>
      <c r="N51" s="124">
        <f>IF(M51="","",COUNTIFS($C$15:$C$2015,M$13,$D$15:$D$2015,"&gt;="&amp;M51,$D$15:$D$2015,"&lt;"&amp;M52))</f>
        <v/>
      </c>
      <c r="O51" s="14" t="n"/>
      <c r="P51" s="16" t="n">
        <v>46</v>
      </c>
      <c r="Q51" s="124">
        <f>IF(P51="","",COUNTIFS($C$15:$C$2015,P$13,$D$15:$D$2015,"&gt;="&amp;P51,$D$15:$D$2015,"&lt;"&amp;P52))</f>
        <v/>
      </c>
      <c r="R51" s="14" t="n"/>
      <c r="S51" s="16" t="n">
        <v>82</v>
      </c>
      <c r="T51" s="124">
        <f>IF(S51="","",COUNTIFS($C$15:$C$2015,S$13,$D$15:$D$2015,"&gt;="&amp;S51,$D$15:$D$2015,"&lt;"&amp;S52))</f>
        <v/>
      </c>
      <c r="U51" s="14" t="n"/>
      <c r="V51" s="16" t="n"/>
      <c r="W51" s="124">
        <f>IF(V51="","",COUNTIFS($C$15:$C$2015,V$13,$D$15:$D$2015,"&gt;="&amp;V51,$D$15:$D$2015,"&lt;"&amp;V52))</f>
        <v/>
      </c>
      <c r="X51" s="14" t="n"/>
      <c r="Y51" s="16" t="n"/>
      <c r="Z51" s="124">
        <f>IF(Y51="","",COUNTIFS($C$15:$C$2015,Y$13,$D$15:$D$2015,"&gt;="&amp;Y51,$D$15:$D$2015,"&lt;"&amp;Y52))</f>
        <v/>
      </c>
      <c r="AA51" s="14" t="n"/>
      <c r="AB51" s="16" t="n">
        <v>46</v>
      </c>
      <c r="AC51" s="124">
        <f>IF(AB51="","",COUNTIFS($C$15:$C$2015,AB$13,$D$15:$D$2015,"&gt;="&amp;AB51,$D$15:$D$2015,"&lt;"&amp;AB52))</f>
        <v/>
      </c>
      <c r="AD51" s="14" t="n"/>
    </row>
    <row r="52">
      <c r="A52" s="56" t="n"/>
      <c r="B52" s="57" t="n"/>
      <c r="C52" s="59" t="inlineStr">
        <is>
          <t>EMU</t>
        </is>
      </c>
      <c r="D52">
        <f>+D44+1</f>
        <v/>
      </c>
      <c r="E52" s="16" t="n">
        <v>38</v>
      </c>
      <c r="F52" s="13" t="n"/>
      <c r="G52" s="16" t="n">
        <v>47</v>
      </c>
      <c r="H52" s="124">
        <f>IF(G52="","",COUNTIFS($C$15:$C$2015,G$13,$D$15:$D$2015,"&gt;="&amp;G52,$D$15:$D$2015,"&lt;"&amp;G53))</f>
        <v/>
      </c>
      <c r="I52" s="14" t="n"/>
      <c r="J52" s="16" t="n"/>
      <c r="K52" s="124">
        <f>IF(J52="","",COUNTIFS($C$15:$C$2015,J$13,$D$15:$D$2015,"&gt;="&amp;J52,$D$15:$D$2015,"&lt;"&amp;J53))</f>
        <v/>
      </c>
      <c r="L52" s="14" t="n"/>
      <c r="M52" s="16" t="n">
        <v>84</v>
      </c>
      <c r="N52" s="124">
        <f>IF(M52="","",COUNTIFS($C$15:$C$2015,M$13,$D$15:$D$2015,"&gt;="&amp;M52,$D$15:$D$2015,"&lt;"&amp;M53))</f>
        <v/>
      </c>
      <c r="O52" s="14" t="n"/>
      <c r="P52" s="16" t="n">
        <v>47</v>
      </c>
      <c r="Q52" s="124">
        <f>IF(P52="","",COUNTIFS($C$15:$C$2015,P$13,$D$15:$D$2015,"&gt;="&amp;P52,$D$15:$D$2015,"&lt;"&amp;P53))</f>
        <v/>
      </c>
      <c r="R52" s="14" t="n"/>
      <c r="S52" s="16" t="n">
        <v>84</v>
      </c>
      <c r="T52" s="124">
        <f>IF(S52="","",COUNTIFS($C$15:$C$2015,S$13,$D$15:$D$2015,"&gt;="&amp;S52,$D$15:$D$2015,"&lt;"&amp;S53))</f>
        <v/>
      </c>
      <c r="U52" s="14" t="n"/>
      <c r="V52" s="16" t="n"/>
      <c r="W52" s="124">
        <f>IF(V52="","",COUNTIFS($C$15:$C$2015,V$13,$D$15:$D$2015,"&gt;="&amp;V52,$D$15:$D$2015,"&lt;"&amp;V53))</f>
        <v/>
      </c>
      <c r="X52" s="14" t="n"/>
      <c r="Y52" s="16" t="n"/>
      <c r="Z52" s="124">
        <f>IF(Y52="","",COUNTIFS($C$15:$C$2015,Y$13,$D$15:$D$2015,"&gt;="&amp;Y52,$D$15:$D$2015,"&lt;"&amp;Y53))</f>
        <v/>
      </c>
      <c r="AA52" s="14" t="n"/>
      <c r="AB52" s="16" t="n">
        <v>47</v>
      </c>
      <c r="AC52" s="124">
        <f>IF(AB52="","",COUNTIFS($C$15:$C$2015,AB$13,$D$15:$D$2015,"&gt;="&amp;AB52,$D$15:$D$2015,"&lt;"&amp;AB53))</f>
        <v/>
      </c>
      <c r="AD52" s="14" t="n"/>
    </row>
    <row r="53">
      <c r="A53" s="58" t="n"/>
      <c r="B53" s="59" t="n"/>
      <c r="C53" s="59" t="inlineStr">
        <is>
          <t>EME</t>
        </is>
      </c>
      <c r="D53">
        <f>+D45+1</f>
        <v/>
      </c>
      <c r="E53" s="16" t="n">
        <v>39</v>
      </c>
      <c r="F53" s="13" t="n"/>
      <c r="G53" s="16" t="n">
        <v>48</v>
      </c>
      <c r="H53" s="124">
        <f>IF(G53="","",COUNTIFS($C$15:$C$2015,G$13,$D$15:$D$2015,"&gt;="&amp;G53,$D$15:$D$2015,"&lt;"&amp;G54))</f>
        <v/>
      </c>
      <c r="I53" s="14" t="n"/>
      <c r="J53" s="16" t="n"/>
      <c r="K53" s="124">
        <f>IF(J53="","",COUNTIFS($C$15:$C$2015,J$13,$D$15:$D$2015,"&gt;="&amp;J53,$D$15:$D$2015,"&lt;"&amp;J54))</f>
        <v/>
      </c>
      <c r="L53" s="14" t="n"/>
      <c r="M53" s="16" t="n">
        <v>86</v>
      </c>
      <c r="N53" s="124">
        <f>IF(M53="","",COUNTIFS($C$15:$C$2015,M$13,$D$15:$D$2015,"&gt;="&amp;M53,$D$15:$D$2015,"&lt;"&amp;M54))</f>
        <v/>
      </c>
      <c r="O53" s="14" t="n"/>
      <c r="P53" s="16" t="n">
        <v>48</v>
      </c>
      <c r="Q53" s="124">
        <f>IF(P53="","",COUNTIFS($C$15:$C$2015,P$13,$D$15:$D$2015,"&gt;="&amp;P53,$D$15:$D$2015,"&lt;"&amp;P54))</f>
        <v/>
      </c>
      <c r="R53" s="14" t="n"/>
      <c r="S53" s="16" t="n">
        <v>86</v>
      </c>
      <c r="T53" s="124">
        <f>IF(S53="","",COUNTIFS($C$15:$C$2015,S$13,$D$15:$D$2015,"&gt;="&amp;S53,$D$15:$D$2015,"&lt;"&amp;S54))</f>
        <v/>
      </c>
      <c r="U53" s="14" t="n"/>
      <c r="V53" s="16" t="n"/>
      <c r="W53" s="124">
        <f>IF(V53="","",COUNTIFS($C$15:$C$2015,V$13,$D$15:$D$2015,"&gt;="&amp;V53,$D$15:$D$2015,"&lt;"&amp;V54))</f>
        <v/>
      </c>
      <c r="X53" s="14" t="n"/>
      <c r="Y53" s="16" t="n"/>
      <c r="Z53" s="124">
        <f>IF(Y53="","",COUNTIFS($C$15:$C$2015,Y$13,$D$15:$D$2015,"&gt;="&amp;Y53,$D$15:$D$2015,"&lt;"&amp;Y54))</f>
        <v/>
      </c>
      <c r="AA53" s="14" t="n"/>
      <c r="AB53" s="16" t="n">
        <v>48</v>
      </c>
      <c r="AC53" s="124">
        <f>IF(AB53="","",COUNTIFS($C$15:$C$2015,AB$13,$D$15:$D$2015,"&gt;="&amp;AB53,$D$15:$D$2015,"&lt;"&amp;AB54))</f>
        <v/>
      </c>
      <c r="AD53" s="14" t="n"/>
    </row>
    <row r="54">
      <c r="A54" s="56" t="n"/>
      <c r="B54" s="57" t="n"/>
      <c r="C54" s="59" t="inlineStr">
        <is>
          <t>VRL</t>
        </is>
      </c>
      <c r="D54">
        <f>+D46+1</f>
        <v/>
      </c>
      <c r="E54" s="16" t="n">
        <v>40</v>
      </c>
      <c r="F54" s="13" t="n"/>
      <c r="G54" s="16" t="n">
        <v>49</v>
      </c>
      <c r="H54" s="124">
        <f>IF(G54="","",COUNTIFS($C$15:$C$2015,G$13,$D$15:$D$2015,"&gt;="&amp;G54,$D$15:$D$2015,"&lt;"&amp;G55))</f>
        <v/>
      </c>
      <c r="I54" s="14" t="n"/>
      <c r="J54" s="16" t="n"/>
      <c r="K54" s="124">
        <f>IF(J54="","",COUNTIFS($C$15:$C$2015,J$13,$D$15:$D$2015,"&gt;="&amp;J54,$D$15:$D$2015,"&lt;"&amp;J55))</f>
        <v/>
      </c>
      <c r="L54" s="14" t="n"/>
      <c r="M54" s="16" t="n">
        <v>88</v>
      </c>
      <c r="N54" s="124">
        <f>IF(M54="","",COUNTIFS($C$15:$C$2015,M$13,$D$15:$D$2015,"&gt;="&amp;M54,$D$15:$D$2015,"&lt;"&amp;M55))</f>
        <v/>
      </c>
      <c r="O54" s="14" t="n"/>
      <c r="P54" s="16" t="n">
        <v>49</v>
      </c>
      <c r="Q54" s="124">
        <f>IF(P54="","",COUNTIFS($C$15:$C$2015,P$13,$D$15:$D$2015,"&gt;="&amp;P54,$D$15:$D$2015,"&lt;"&amp;P55))</f>
        <v/>
      </c>
      <c r="R54" s="14" t="n"/>
      <c r="S54" s="16" t="n">
        <v>88</v>
      </c>
      <c r="T54" s="124">
        <f>IF(S54="","",COUNTIFS($C$15:$C$2015,S$13,$D$15:$D$2015,"&gt;="&amp;S54,$D$15:$D$2015,"&lt;"&amp;S55))</f>
        <v/>
      </c>
      <c r="U54" s="14" t="n"/>
      <c r="V54" s="16" t="n"/>
      <c r="W54" s="124">
        <f>IF(V54="","",COUNTIFS($C$15:$C$2015,V$13,$D$15:$D$2015,"&gt;="&amp;V54,$D$15:$D$2015,"&lt;"&amp;V55))</f>
        <v/>
      </c>
      <c r="X54" s="14" t="n"/>
      <c r="Y54" s="16" t="n"/>
      <c r="Z54" s="124">
        <f>IF(Y54="","",COUNTIFS($C$15:$C$2015,Y$13,$D$15:$D$2015,"&gt;="&amp;Y54,$D$15:$D$2015,"&lt;"&amp;Y55))</f>
        <v/>
      </c>
      <c r="AA54" s="14" t="n"/>
      <c r="AB54" s="16" t="n">
        <v>49</v>
      </c>
      <c r="AC54" s="124">
        <f>IF(AB54="","",COUNTIFS($C$15:$C$2015,AB$13,$D$15:$D$2015,"&gt;="&amp;AB54,$D$15:$D$2015,"&lt;"&amp;AB55))</f>
        <v/>
      </c>
      <c r="AD54" s="14" t="n"/>
    </row>
    <row r="55">
      <c r="A55" s="58" t="n"/>
      <c r="B55" s="59" t="n"/>
      <c r="C55" s="111" t="inlineStr">
        <is>
          <t>LTQ</t>
        </is>
      </c>
      <c r="D55" s="112">
        <f>+D39+10</f>
        <v/>
      </c>
      <c r="E55" s="16" t="n">
        <v>41</v>
      </c>
      <c r="F55" s="13" t="n"/>
      <c r="G55" s="16" t="n">
        <v>50</v>
      </c>
      <c r="H55" s="124">
        <f>IF(G55="","",COUNTIFS($C$15:$C$2015,G$13,$D$15:$D$2015,"&gt;="&amp;G55,$D$15:$D$2015,"&lt;"&amp;G56))</f>
        <v/>
      </c>
      <c r="I55" s="14" t="n"/>
      <c r="J55" s="16" t="n"/>
      <c r="K55" s="124">
        <f>IF(J55="","",COUNTIFS($C$15:$C$2015,J$13,$D$15:$D$2015,"&gt;="&amp;J55,$D$15:$D$2015,"&lt;"&amp;J56))</f>
        <v/>
      </c>
      <c r="L55" s="14" t="n"/>
      <c r="M55" s="16" t="n">
        <v>90</v>
      </c>
      <c r="N55" s="124">
        <f>IF(M55="","",COUNTIFS($C$15:$C$2015,M$13,$D$15:$D$2015,"&gt;="&amp;M55,$D$15:$D$2015,"&lt;"&amp;M56))</f>
        <v/>
      </c>
      <c r="O55" s="14" t="n"/>
      <c r="P55" s="16" t="n">
        <v>50</v>
      </c>
      <c r="Q55" s="124">
        <f>IF(P55="","",COUNTIFS($C$15:$C$2015,P$13,$D$15:$D$2015,"&gt;="&amp;P55,$D$15:$D$2015,"&lt;"&amp;P56))</f>
        <v/>
      </c>
      <c r="R55" s="14" t="n"/>
      <c r="S55" s="16" t="n">
        <v>90</v>
      </c>
      <c r="T55" s="124">
        <f>IF(S55="","",COUNTIFS($C$15:$C$2015,S$13,$D$15:$D$2015,"&gt;="&amp;S55,$D$15:$D$2015,"&lt;"&amp;S56))</f>
        <v/>
      </c>
      <c r="U55" s="14" t="n"/>
      <c r="V55" s="16" t="n"/>
      <c r="W55" s="124">
        <f>IF(V55="","",COUNTIFS($C$15:$C$2015,V$13,$D$15:$D$2015,"&gt;="&amp;V55,$D$15:$D$2015,"&lt;"&amp;V56))</f>
        <v/>
      </c>
      <c r="X55" s="14" t="n"/>
      <c r="Y55" s="16" t="n"/>
      <c r="Z55" s="124">
        <f>IF(Y55="","",COUNTIFS($C$15:$C$2015,Y$13,$D$15:$D$2015,"&gt;="&amp;Y55,$D$15:$D$2015,"&lt;"&amp;Y56))</f>
        <v/>
      </c>
      <c r="AA55" s="14" t="n"/>
      <c r="AB55" s="16" t="n">
        <v>50</v>
      </c>
      <c r="AC55" s="124">
        <f>IF(AB55="","",COUNTIFS($C$15:$C$2015,AB$13,$D$15:$D$2015,"&gt;="&amp;AB55,$D$15:$D$2015,"&lt;"&amp;AB56))</f>
        <v/>
      </c>
      <c r="AD55" s="14" t="n"/>
    </row>
    <row r="56">
      <c r="A56" s="56" t="n"/>
      <c r="B56" s="57" t="n"/>
      <c r="C56" s="111" t="inlineStr">
        <is>
          <t>COM</t>
        </is>
      </c>
      <c r="D56" s="112">
        <f>+D40+10</f>
        <v/>
      </c>
      <c r="E56" s="16" t="n">
        <v>42</v>
      </c>
      <c r="F56" s="13" t="n"/>
      <c r="G56" s="16" t="n">
        <v>51</v>
      </c>
      <c r="H56" s="124">
        <f>IF(G56="","",COUNTIFS($C$15:$C$2015,G$13,$D$15:$D$2015,"&gt;="&amp;G56,$D$15:$D$2015,"&lt;"&amp;G57))</f>
        <v/>
      </c>
      <c r="I56" s="14" t="n"/>
      <c r="J56" s="16" t="n"/>
      <c r="K56" s="124">
        <f>IF(J56="","",COUNTIFS($C$15:$C$2015,J$13,$D$15:$D$2015,"&gt;="&amp;J56,$D$15:$D$2015,"&lt;"&amp;J57))</f>
        <v/>
      </c>
      <c r="L56" s="14" t="n"/>
      <c r="M56" s="16" t="n"/>
      <c r="N56" s="124">
        <f>IF(M56="","",COUNTIFS($C$15:$C$2015,M$13,$D$15:$D$2015,"&gt;="&amp;M56,$D$15:$D$2015,"&lt;"&amp;M57))</f>
        <v/>
      </c>
      <c r="O56" s="14" t="n"/>
      <c r="P56" s="16" t="n">
        <v>51</v>
      </c>
      <c r="Q56" s="124">
        <f>IF(P56="","",COUNTIFS($C$15:$C$2015,P$13,$D$15:$D$2015,"&gt;="&amp;P56,$D$15:$D$2015,"&lt;"&amp;P57))</f>
        <v/>
      </c>
      <c r="R56" s="14" t="n"/>
      <c r="S56" s="16" t="n">
        <v>92</v>
      </c>
      <c r="T56" s="124">
        <f>IF(S56="","",COUNTIFS($C$15:$C$2015,S$13,$D$15:$D$2015,"&gt;="&amp;S56,$D$15:$D$2015,"&lt;"&amp;S57))</f>
        <v/>
      </c>
      <c r="U56" s="14" t="n"/>
      <c r="V56" s="16" t="n"/>
      <c r="W56" s="124">
        <f>IF(V56="","",COUNTIFS($C$15:$C$2015,V$13,$D$15:$D$2015,"&gt;="&amp;V56,$D$15:$D$2015,"&lt;"&amp;V57))</f>
        <v/>
      </c>
      <c r="X56" s="14" t="n"/>
      <c r="Y56" s="16" t="n"/>
      <c r="Z56" s="124">
        <f>IF(Y56="","",COUNTIFS($C$15:$C$2015,Y$13,$D$15:$D$2015,"&gt;="&amp;Y56,$D$15:$D$2015,"&lt;"&amp;Y57))</f>
        <v/>
      </c>
      <c r="AA56" s="14" t="n"/>
      <c r="AB56" s="16" t="n">
        <v>51</v>
      </c>
      <c r="AC56" s="124">
        <f>IF(AB56="","",COUNTIFS($C$15:$C$2015,AB$13,$D$15:$D$2015,"&gt;="&amp;AB56,$D$15:$D$2015,"&lt;"&amp;AB57))</f>
        <v/>
      </c>
      <c r="AD56" s="14" t="n"/>
    </row>
    <row r="57">
      <c r="A57" s="58" t="n"/>
      <c r="B57" s="59" t="n"/>
      <c r="C57" s="111" t="inlineStr">
        <is>
          <t>LJB</t>
        </is>
      </c>
      <c r="D57" s="112">
        <f>+D41+10</f>
        <v/>
      </c>
      <c r="E57" s="16" t="n">
        <v>43</v>
      </c>
      <c r="F57" s="13" t="n"/>
      <c r="G57" s="16" t="n">
        <v>52</v>
      </c>
      <c r="H57" s="124">
        <f>IF(G57="","",COUNTIFS($C$15:$C$2015,G$13,$D$15:$D$2015,"&gt;="&amp;G57,$D$15:$D$2015,"&lt;"&amp;G58))</f>
        <v/>
      </c>
      <c r="I57" s="14" t="n"/>
      <c r="J57" s="16" t="n"/>
      <c r="K57" s="124">
        <f>IF(J57="","",COUNTIFS($C$15:$C$2015,J$13,$D$15:$D$2015,"&gt;="&amp;J57,$D$15:$D$2015,"&lt;"&amp;J58))</f>
        <v/>
      </c>
      <c r="L57" s="14" t="n"/>
      <c r="M57" s="16" t="n"/>
      <c r="N57" s="124">
        <f>IF(M57="","",COUNTIFS($C$15:$C$2015,M$13,$D$15:$D$2015,"&gt;="&amp;M57,$D$15:$D$2015,"&lt;"&amp;M58))</f>
        <v/>
      </c>
      <c r="O57" s="14" t="n"/>
      <c r="P57" s="16" t="n">
        <v>52</v>
      </c>
      <c r="Q57" s="124">
        <f>IF(P57="","",COUNTIFS($C$15:$C$2015,P$13,$D$15:$D$2015,"&gt;="&amp;P57,$D$15:$D$2015,"&lt;"&amp;P58))</f>
        <v/>
      </c>
      <c r="R57" s="14" t="n"/>
      <c r="S57" s="16" t="n">
        <v>94</v>
      </c>
      <c r="T57" s="124">
        <f>IF(S57="","",COUNTIFS($C$15:$C$2015,S$13,$D$15:$D$2015,"&gt;="&amp;S57,$D$15:$D$2015,"&lt;"&amp;S58))</f>
        <v/>
      </c>
      <c r="U57" s="14" t="n"/>
      <c r="V57" s="16" t="n"/>
      <c r="W57" s="124">
        <f>IF(V57="","",COUNTIFS($C$15:$C$2015,V$13,$D$15:$D$2015,"&gt;="&amp;V57,$D$15:$D$2015,"&lt;"&amp;V58))</f>
        <v/>
      </c>
      <c r="X57" s="14" t="n"/>
      <c r="Y57" s="16" t="n"/>
      <c r="Z57" s="124">
        <f>IF(Y57="","",COUNTIFS($C$15:$C$2015,Y$13,$D$15:$D$2015,"&gt;="&amp;Y57,$D$15:$D$2015,"&lt;"&amp;Y58))</f>
        <v/>
      </c>
      <c r="AA57" s="14" t="n"/>
      <c r="AB57" s="16" t="n">
        <v>52</v>
      </c>
      <c r="AC57" s="124">
        <f>IF(AB57="","",COUNTIFS($C$15:$C$2015,AB$13,$D$15:$D$2015,"&gt;="&amp;AB57,$D$15:$D$2015,"&lt;"&amp;AB58))</f>
        <v/>
      </c>
      <c r="AD57" s="14" t="n"/>
    </row>
    <row r="58">
      <c r="A58" s="56" t="n"/>
      <c r="B58" s="57" t="n"/>
      <c r="C58" s="111" t="inlineStr">
        <is>
          <t>EWS</t>
        </is>
      </c>
      <c r="D58" s="112">
        <f>+D42+10</f>
        <v/>
      </c>
      <c r="E58" s="16" t="n">
        <v>44</v>
      </c>
      <c r="F58" s="13" t="n"/>
      <c r="G58" s="16" t="n">
        <v>53</v>
      </c>
      <c r="H58" s="124">
        <f>IF(G58="","",COUNTIFS($C$15:$C$2015,G$13,$D$15:$D$2015,"&gt;="&amp;G58,$D$15:$D$2015,"&lt;"&amp;G59))</f>
        <v/>
      </c>
      <c r="I58" s="14" t="n"/>
      <c r="J58" s="16" t="n"/>
      <c r="K58" s="124">
        <f>IF(J58="","",COUNTIFS($C$15:$C$2015,J$13,$D$15:$D$2015,"&gt;="&amp;J58,$D$15:$D$2015,"&lt;"&amp;J59))</f>
        <v/>
      </c>
      <c r="L58" s="14" t="n"/>
      <c r="M58" s="16" t="n"/>
      <c r="N58" s="124">
        <f>IF(M58="","",COUNTIFS($C$15:$C$2015,M$13,$D$15:$D$2015,"&gt;="&amp;M58,$D$15:$D$2015,"&lt;"&amp;M59))</f>
        <v/>
      </c>
      <c r="O58" s="14" t="n"/>
      <c r="P58" s="16" t="n">
        <v>53</v>
      </c>
      <c r="Q58" s="124">
        <f>IF(P58="","",COUNTIFS($C$15:$C$2015,P$13,$D$15:$D$2015,"&gt;="&amp;P58,$D$15:$D$2015,"&lt;"&amp;P59))</f>
        <v/>
      </c>
      <c r="R58" s="14" t="n"/>
      <c r="S58" s="16" t="n">
        <v>96</v>
      </c>
      <c r="T58" s="124">
        <f>IF(S58="","",COUNTIFS($C$15:$C$2015,S$13,$D$15:$D$2015,"&gt;="&amp;S58,$D$15:$D$2015,"&lt;"&amp;S59))</f>
        <v/>
      </c>
      <c r="U58" s="14" t="n"/>
      <c r="V58" s="16" t="n"/>
      <c r="W58" s="124">
        <f>IF(V58="","",COUNTIFS($C$15:$C$2015,V$13,$D$15:$D$2015,"&gt;="&amp;V58,$D$15:$D$2015,"&lt;"&amp;V59))</f>
        <v/>
      </c>
      <c r="X58" s="14" t="n"/>
      <c r="Y58" s="16" t="n"/>
      <c r="Z58" s="124">
        <f>IF(Y58="","",COUNTIFS($C$15:$C$2015,Y$13,$D$15:$D$2015,"&gt;="&amp;Y58,$D$15:$D$2015,"&lt;"&amp;Y59))</f>
        <v/>
      </c>
      <c r="AA58" s="14" t="n"/>
      <c r="AB58" s="16" t="n">
        <v>53</v>
      </c>
      <c r="AC58" s="124">
        <f>IF(AB58="","",COUNTIFS($C$15:$C$2015,AB$13,$D$15:$D$2015,"&gt;="&amp;AB58,$D$15:$D$2015,"&lt;"&amp;AB59))</f>
        <v/>
      </c>
      <c r="AD58" s="14" t="n"/>
    </row>
    <row r="59">
      <c r="A59" s="58" t="n"/>
      <c r="B59" s="59" t="n"/>
      <c r="C59" s="111" t="inlineStr">
        <is>
          <t>KAW</t>
        </is>
      </c>
      <c r="D59" s="112">
        <f>+D43+10</f>
        <v/>
      </c>
      <c r="E59" s="16" t="n">
        <v>45</v>
      </c>
      <c r="F59" s="13" t="n"/>
      <c r="G59" s="16" t="n">
        <v>54</v>
      </c>
      <c r="H59" s="124">
        <f>IF(G59="","",COUNTIFS($C$15:$C$2015,G$13,$D$15:$D$2015,"&gt;="&amp;G59,$D$15:$D$2015,"&lt;"&amp;G60))</f>
        <v/>
      </c>
      <c r="I59" s="14" t="n"/>
      <c r="J59" s="16" t="n"/>
      <c r="K59" s="124">
        <f>IF(J59="","",COUNTIFS($C$15:$C$2015,J$13,$D$15:$D$2015,"&gt;="&amp;J59,$D$15:$D$2015,"&lt;"&amp;J60))</f>
        <v/>
      </c>
      <c r="L59" s="14" t="n"/>
      <c r="M59" s="16" t="n"/>
      <c r="N59" s="124">
        <f>IF(M59="","",COUNTIFS($C$15:$C$2015,M$13,$D$15:$D$2015,"&gt;="&amp;M59,$D$15:$D$2015,"&lt;"&amp;M60))</f>
        <v/>
      </c>
      <c r="O59" s="14" t="n"/>
      <c r="P59" s="16" t="n">
        <v>54</v>
      </c>
      <c r="Q59" s="124">
        <f>IF(P59="","",COUNTIFS($C$15:$C$2015,P$13,$D$15:$D$2015,"&gt;="&amp;P59,$D$15:$D$2015,"&lt;"&amp;P60))</f>
        <v/>
      </c>
      <c r="R59" s="14" t="n"/>
      <c r="S59" s="16" t="n">
        <v>98</v>
      </c>
      <c r="T59" s="124">
        <f>IF(S59="","",COUNTIFS($C$15:$C$2015,S$13,$D$15:$D$2015,"&gt;="&amp;S59,$D$15:$D$2015,"&lt;"&amp;S60))</f>
        <v/>
      </c>
      <c r="U59" s="14" t="n"/>
      <c r="V59" s="16" t="n"/>
      <c r="W59" s="124">
        <f>IF(V59="","",COUNTIFS($C$15:$C$2015,V$13,$D$15:$D$2015,"&gt;="&amp;V59,$D$15:$D$2015,"&lt;"&amp;V60))</f>
        <v/>
      </c>
      <c r="X59" s="14" t="n"/>
      <c r="Y59" s="16" t="n"/>
      <c r="Z59" s="124">
        <f>IF(Y59="","",COUNTIFS($C$15:$C$2015,Y$13,$D$15:$D$2015,"&gt;="&amp;Y59,$D$15:$D$2015,"&lt;"&amp;Y60))</f>
        <v/>
      </c>
      <c r="AA59" s="14" t="n"/>
      <c r="AB59" s="16" t="n">
        <v>54</v>
      </c>
      <c r="AC59" s="124">
        <f>IF(AB59="","",COUNTIFS($C$15:$C$2015,AB$13,$D$15:$D$2015,"&gt;="&amp;AB59,$D$15:$D$2015,"&lt;"&amp;AB60))</f>
        <v/>
      </c>
      <c r="AD59" s="14" t="n"/>
    </row>
    <row r="60">
      <c r="A60" s="56" t="n"/>
      <c r="B60" s="57" t="n"/>
      <c r="C60" s="111" t="inlineStr">
        <is>
          <t>EMU</t>
        </is>
      </c>
      <c r="D60" s="112">
        <f>+D44+10</f>
        <v/>
      </c>
      <c r="E60" s="16" t="n">
        <v>46</v>
      </c>
      <c r="F60" s="13" t="n"/>
      <c r="G60" s="16" t="n">
        <v>55</v>
      </c>
      <c r="H60" s="124">
        <f>IF(G60="","",COUNTIFS($C$15:$C$2015,G$13,$D$15:$D$2015,"&gt;="&amp;G60,$D$15:$D$2015,"&lt;"&amp;G61))</f>
        <v/>
      </c>
      <c r="I60" s="14" t="n"/>
      <c r="J60" s="16" t="n"/>
      <c r="K60" s="124">
        <f>IF(J60="","",COUNTIFS($C$15:$C$2015,J$13,$D$15:$D$2015,"&gt;="&amp;J60,$D$15:$D$2015,"&lt;"&amp;J61))</f>
        <v/>
      </c>
      <c r="L60" s="14" t="n"/>
      <c r="M60" s="16" t="n"/>
      <c r="N60" s="124">
        <f>IF(M60="","",COUNTIFS($C$15:$C$2015,M$13,$D$15:$D$2015,"&gt;="&amp;M60,$D$15:$D$2015,"&lt;"&amp;M61))</f>
        <v/>
      </c>
      <c r="O60" s="14" t="n"/>
      <c r="P60" s="16" t="n">
        <v>55</v>
      </c>
      <c r="Q60" s="124">
        <f>IF(P60="","",COUNTIFS($C$15:$C$2015,P$13,$D$15:$D$2015,"&gt;="&amp;P60,$D$15:$D$2015,"&lt;"&amp;P61))</f>
        <v/>
      </c>
      <c r="R60" s="14" t="n"/>
      <c r="S60" s="16" t="n">
        <v>100</v>
      </c>
      <c r="T60" s="124">
        <f>IF(S60="","",COUNTIFS($C$15:$C$2015,S$13,$D$15:$D$2015,"&gt;="&amp;S60,$D$15:$D$2015,"&lt;"&amp;S61))</f>
        <v/>
      </c>
      <c r="U60" s="14" t="n"/>
      <c r="V60" s="16" t="n"/>
      <c r="W60" s="124">
        <f>IF(V60="","",COUNTIFS($C$15:$C$2015,V$13,$D$15:$D$2015,"&gt;="&amp;V60,$D$15:$D$2015,"&lt;"&amp;V61))</f>
        <v/>
      </c>
      <c r="X60" s="14" t="n"/>
      <c r="Y60" s="16" t="n"/>
      <c r="Z60" s="124">
        <f>IF(Y60="","",COUNTIFS($C$15:$C$2015,Y$13,$D$15:$D$2015,"&gt;="&amp;Y60,$D$15:$D$2015,"&lt;"&amp;Y61))</f>
        <v/>
      </c>
      <c r="AA60" s="14" t="n"/>
      <c r="AB60" s="16" t="n">
        <v>55</v>
      </c>
      <c r="AC60" s="124">
        <f>IF(AB60="","",COUNTIFS($C$15:$C$2015,AB$13,$D$15:$D$2015,"&gt;="&amp;AB60,$D$15:$D$2015,"&lt;"&amp;AB61))</f>
        <v/>
      </c>
      <c r="AD60" s="14" t="n"/>
    </row>
    <row r="61">
      <c r="A61" s="58" t="n"/>
      <c r="B61" s="59" t="n"/>
      <c r="C61" s="111" t="inlineStr">
        <is>
          <t>EME</t>
        </is>
      </c>
      <c r="D61" s="112">
        <f>+D45+10</f>
        <v/>
      </c>
      <c r="E61" s="16" t="n">
        <v>47</v>
      </c>
      <c r="F61" s="13" t="n"/>
      <c r="G61" s="16" t="n">
        <v>56</v>
      </c>
      <c r="H61" s="124">
        <f>IF(G61="","",COUNTIFS($C$15:$C$2015,G$13,$D$15:$D$2015,"&gt;="&amp;G61,$D$15:$D$2015,"&lt;"&amp;G62))</f>
        <v/>
      </c>
      <c r="I61" s="14" t="n"/>
      <c r="J61" s="16" t="n"/>
      <c r="K61" s="124">
        <f>IF(J61="","",COUNTIFS($C$15:$C$2015,J$13,$D$15:$D$2015,"&gt;="&amp;J61,$D$15:$D$2015,"&lt;"&amp;J62))</f>
        <v/>
      </c>
      <c r="L61" s="14" t="n"/>
      <c r="M61" s="16" t="n"/>
      <c r="N61" s="124">
        <f>IF(M61="","",COUNTIFS($C$15:$C$2015,M$13,$D$15:$D$2015,"&gt;="&amp;M61,$D$15:$D$2015,"&lt;"&amp;M62))</f>
        <v/>
      </c>
      <c r="O61" s="14" t="n"/>
      <c r="P61" s="16" t="n">
        <v>56</v>
      </c>
      <c r="Q61" s="124">
        <f>IF(P61="","",COUNTIFS($C$15:$C$2015,P$13,$D$15:$D$2015,"&gt;="&amp;P61,$D$15:$D$2015,"&lt;"&amp;P62))</f>
        <v/>
      </c>
      <c r="R61" s="14" t="n"/>
      <c r="S61" s="16" t="n"/>
      <c r="T61" s="124">
        <f>IF(S61="","",COUNTIFS($C$15:$C$2015,S$13,$D$15:$D$2015,"&gt;="&amp;S61,$D$15:$D$2015,"&lt;"&amp;S62))</f>
        <v/>
      </c>
      <c r="U61" s="14" t="n"/>
      <c r="V61" s="16" t="n"/>
      <c r="W61" s="124">
        <f>IF(V61="","",COUNTIFS($C$15:$C$2015,V$13,$D$15:$D$2015,"&gt;="&amp;V61,$D$15:$D$2015,"&lt;"&amp;V62))</f>
        <v/>
      </c>
      <c r="X61" s="14" t="n"/>
      <c r="Y61" s="16" t="n"/>
      <c r="Z61" s="124">
        <f>IF(Y61="","",COUNTIFS($C$15:$C$2015,Y$13,$D$15:$D$2015,"&gt;="&amp;Y61,$D$15:$D$2015,"&lt;"&amp;Y62))</f>
        <v/>
      </c>
      <c r="AA61" s="14" t="n"/>
      <c r="AB61" s="16" t="n">
        <v>56</v>
      </c>
      <c r="AC61" s="124">
        <f>IF(AB61="","",COUNTIFS($C$15:$C$2015,AB$13,$D$15:$D$2015,"&gt;="&amp;AB61,$D$15:$D$2015,"&lt;"&amp;AB62))</f>
        <v/>
      </c>
      <c r="AD61" s="14" t="n"/>
    </row>
    <row r="62">
      <c r="A62" s="56" t="n"/>
      <c r="B62" s="57" t="n"/>
      <c r="C62" s="111" t="inlineStr">
        <is>
          <t>VRL</t>
        </is>
      </c>
      <c r="D62" s="112">
        <f>+D46+10</f>
        <v/>
      </c>
      <c r="E62" s="16" t="n">
        <v>48</v>
      </c>
      <c r="F62" s="13" t="n"/>
      <c r="G62" s="16" t="n">
        <v>57</v>
      </c>
      <c r="H62" s="124">
        <f>IF(G62="","",COUNTIFS($C$15:$C$2015,G$13,$D$15:$D$2015,"&gt;="&amp;G62,$D$15:$D$2015,"&lt;"&amp;G63))</f>
        <v/>
      </c>
      <c r="I62" s="14" t="n"/>
      <c r="J62" s="16" t="n"/>
      <c r="K62" s="124">
        <f>IF(J62="","",COUNTIFS($C$15:$C$2015,J$13,$D$15:$D$2015,"&gt;="&amp;J62,$D$15:$D$2015,"&lt;"&amp;J63))</f>
        <v/>
      </c>
      <c r="L62" s="14" t="n"/>
      <c r="M62" s="16" t="n"/>
      <c r="N62" s="124">
        <f>IF(M62="","",COUNTIFS($C$15:$C$2015,M$13,$D$15:$D$2015,"&gt;="&amp;M62,$D$15:$D$2015,"&lt;"&amp;M63))</f>
        <v/>
      </c>
      <c r="O62" s="14" t="n"/>
      <c r="P62" s="16" t="n">
        <v>57</v>
      </c>
      <c r="Q62" s="124">
        <f>IF(P62="","",COUNTIFS($C$15:$C$2015,P$13,$D$15:$D$2015,"&gt;="&amp;P62,$D$15:$D$2015,"&lt;"&amp;P63))</f>
        <v/>
      </c>
      <c r="R62" s="14" t="n"/>
      <c r="S62" s="16" t="n"/>
      <c r="T62" s="124">
        <f>IF(S62="","",COUNTIFS($C$15:$C$2015,S$13,$D$15:$D$2015,"&gt;="&amp;S62,$D$15:$D$2015,"&lt;"&amp;S63))</f>
        <v/>
      </c>
      <c r="U62" s="14" t="n"/>
      <c r="V62" s="16" t="n"/>
      <c r="W62" s="124">
        <f>IF(V62="","",COUNTIFS($C$15:$C$2015,V$13,$D$15:$D$2015,"&gt;="&amp;V62,$D$15:$D$2015,"&lt;"&amp;V63))</f>
        <v/>
      </c>
      <c r="X62" s="14" t="n"/>
      <c r="Y62" s="16" t="n"/>
      <c r="Z62" s="124">
        <f>IF(Y62="","",COUNTIFS($C$15:$C$2015,Y$13,$D$15:$D$2015,"&gt;="&amp;Y62,$D$15:$D$2015,"&lt;"&amp;Y63))</f>
        <v/>
      </c>
      <c r="AA62" s="14" t="n"/>
      <c r="AB62" s="16" t="n">
        <v>57</v>
      </c>
      <c r="AC62" s="124">
        <f>IF(AB62="","",COUNTIFS($C$15:$C$2015,AB$13,$D$15:$D$2015,"&gt;="&amp;AB62,$D$15:$D$2015,"&lt;"&amp;AB63))</f>
        <v/>
      </c>
      <c r="AD62" s="14" t="n"/>
    </row>
    <row r="63">
      <c r="A63" s="58" t="n"/>
      <c r="B63" s="59" t="n"/>
      <c r="C63" s="59" t="inlineStr">
        <is>
          <t>LTQ</t>
        </is>
      </c>
      <c r="D63">
        <f>+D31+5</f>
        <v/>
      </c>
      <c r="E63" s="16" t="n">
        <v>49</v>
      </c>
      <c r="F63" s="13" t="n"/>
      <c r="G63" s="16" t="n">
        <v>58</v>
      </c>
      <c r="H63" s="124">
        <f>IF(G63="","",COUNTIFS($C$15:$C$2015,G$13,$D$15:$D$2015,"&gt;="&amp;G63,$D$15:$D$2015,"&lt;"&amp;G64))</f>
        <v/>
      </c>
      <c r="I63" s="14" t="n"/>
      <c r="J63" s="16" t="n"/>
      <c r="K63" s="124">
        <f>IF(J63="","",COUNTIFS($C$15:$C$2015,J$13,$D$15:$D$2015,"&gt;="&amp;J63,$D$15:$D$2015,"&lt;"&amp;J64))</f>
        <v/>
      </c>
      <c r="L63" s="14" t="n"/>
      <c r="M63" s="16" t="n"/>
      <c r="N63" s="124">
        <f>IF(M63="","",COUNTIFS($C$15:$C$2015,M$13,$D$15:$D$2015,"&gt;="&amp;M63,$D$15:$D$2015,"&lt;"&amp;M64))</f>
        <v/>
      </c>
      <c r="O63" s="14" t="n"/>
      <c r="P63" s="16" t="n">
        <v>58</v>
      </c>
      <c r="Q63" s="124">
        <f>IF(P63="","",COUNTIFS($C$15:$C$2015,P$13,$D$15:$D$2015,"&gt;="&amp;P63,$D$15:$D$2015,"&lt;"&amp;P64))</f>
        <v/>
      </c>
      <c r="R63" s="14" t="n"/>
      <c r="S63" s="16" t="n"/>
      <c r="T63" s="124">
        <f>IF(S63="","",COUNTIFS($C$15:$C$2015,S$13,$D$15:$D$2015,"&gt;="&amp;S63,$D$15:$D$2015,"&lt;"&amp;S64))</f>
        <v/>
      </c>
      <c r="U63" s="14" t="n"/>
      <c r="V63" s="16" t="n"/>
      <c r="W63" s="124">
        <f>IF(V63="","",COUNTIFS($C$15:$C$2015,V$13,$D$15:$D$2015,"&gt;="&amp;V63,$D$15:$D$2015,"&lt;"&amp;V64))</f>
        <v/>
      </c>
      <c r="X63" s="14" t="n"/>
      <c r="Y63" s="16" t="n"/>
      <c r="Z63" s="124">
        <f>IF(Y63="","",COUNTIFS($C$15:$C$2015,Y$13,$D$15:$D$2015,"&gt;="&amp;Y63,$D$15:$D$2015,"&lt;"&amp;Y64))</f>
        <v/>
      </c>
      <c r="AA63" s="14" t="n"/>
      <c r="AB63" s="16" t="n">
        <v>58</v>
      </c>
      <c r="AC63" s="124">
        <f>IF(AB63="","",COUNTIFS($C$15:$C$2015,AB$13,$D$15:$D$2015,"&gt;="&amp;AB63,$D$15:$D$2015,"&lt;"&amp;AB64))</f>
        <v/>
      </c>
      <c r="AD63" s="14" t="n"/>
    </row>
    <row r="64">
      <c r="A64" s="56" t="n"/>
      <c r="B64" s="57" t="n"/>
      <c r="C64" s="59" t="inlineStr">
        <is>
          <t>COM</t>
        </is>
      </c>
      <c r="D64">
        <f>+D32+5</f>
        <v/>
      </c>
      <c r="E64" s="16" t="n">
        <v>50</v>
      </c>
      <c r="F64" s="13" t="n"/>
      <c r="G64" s="16" t="n">
        <v>59</v>
      </c>
      <c r="H64" s="124">
        <f>IF(G64="","",COUNTIFS($C$15:$C$2015,G$13,$D$15:$D$2015,"&gt;="&amp;G64,$D$15:$D$2015,"&lt;"&amp;G65))</f>
        <v/>
      </c>
      <c r="I64" s="14" t="n"/>
      <c r="J64" s="16" t="n"/>
      <c r="K64" s="124">
        <f>IF(J64="","",COUNTIFS($C$15:$C$2015,J$13,$D$15:$D$2015,"&gt;="&amp;J64,$D$15:$D$2015,"&lt;"&amp;J65))</f>
        <v/>
      </c>
      <c r="L64" s="14" t="n"/>
      <c r="M64" s="16" t="n"/>
      <c r="N64" s="124">
        <f>IF(M64="","",COUNTIFS($C$15:$C$2015,M$13,$D$15:$D$2015,"&gt;="&amp;M64,$D$15:$D$2015,"&lt;"&amp;M65))</f>
        <v/>
      </c>
      <c r="O64" s="14" t="n"/>
      <c r="P64" s="16" t="n">
        <v>59</v>
      </c>
      <c r="Q64" s="124">
        <f>IF(P64="","",COUNTIFS($C$15:$C$2015,P$13,$D$15:$D$2015,"&gt;="&amp;P64,$D$15:$D$2015,"&lt;"&amp;P65))</f>
        <v/>
      </c>
      <c r="R64" s="14" t="n"/>
      <c r="S64" s="16" t="n"/>
      <c r="T64" s="124">
        <f>IF(S64="","",COUNTIFS($C$15:$C$2015,S$13,$D$15:$D$2015,"&gt;="&amp;S64,$D$15:$D$2015,"&lt;"&amp;S65))</f>
        <v/>
      </c>
      <c r="U64" s="14" t="n"/>
      <c r="V64" s="16" t="n"/>
      <c r="W64" s="124">
        <f>IF(V64="","",COUNTIFS($C$15:$C$2015,V$13,$D$15:$D$2015,"&gt;="&amp;V64,$D$15:$D$2015,"&lt;"&amp;V65))</f>
        <v/>
      </c>
      <c r="X64" s="14" t="n"/>
      <c r="Y64" s="16" t="n"/>
      <c r="Z64" s="124">
        <f>IF(Y64="","",COUNTIFS($C$15:$C$2015,Y$13,$D$15:$D$2015,"&gt;="&amp;Y64,$D$15:$D$2015,"&lt;"&amp;Y65))</f>
        <v/>
      </c>
      <c r="AA64" s="14" t="n"/>
      <c r="AB64" s="16" t="n">
        <v>59</v>
      </c>
      <c r="AC64" s="124">
        <f>IF(AB64="","",COUNTIFS($C$15:$C$2015,AB$13,$D$15:$D$2015,"&gt;="&amp;AB64,$D$15:$D$2015,"&lt;"&amp;AB65))</f>
        <v/>
      </c>
      <c r="AD64" s="14" t="n"/>
    </row>
    <row r="65">
      <c r="A65" s="58" t="n"/>
      <c r="B65" s="59" t="n"/>
      <c r="C65" s="59" t="inlineStr">
        <is>
          <t>LJB</t>
        </is>
      </c>
      <c r="D65">
        <f>+D33+5</f>
        <v/>
      </c>
      <c r="E65" s="16" t="n">
        <v>51</v>
      </c>
      <c r="F65" s="13" t="n"/>
      <c r="G65" s="16" t="n">
        <v>60</v>
      </c>
      <c r="H65" s="124">
        <f>IF(G65="","",COUNTIFS($C$15:$C$2015,G$13,$D$15:$D$2015,"&gt;="&amp;G65,$D$15:$D$2015,"&lt;"&amp;G66))</f>
        <v/>
      </c>
      <c r="I65" s="14" t="n"/>
      <c r="J65" s="16" t="n"/>
      <c r="K65" s="124">
        <f>IF(J65="","",COUNTIFS($C$15:$C$2015,J$13,$D$15:$D$2015,"&gt;="&amp;J65,$D$15:$D$2015,"&lt;"&amp;J66))</f>
        <v/>
      </c>
      <c r="L65" s="14" t="n"/>
      <c r="M65" s="16" t="n"/>
      <c r="N65" s="124">
        <f>IF(M65="","",COUNTIFS($C$15:$C$2015,M$13,$D$15:$D$2015,"&gt;="&amp;M65,$D$15:$D$2015,"&lt;"&amp;M66))</f>
        <v/>
      </c>
      <c r="O65" s="14" t="n"/>
      <c r="P65" s="16" t="n">
        <v>60</v>
      </c>
      <c r="Q65" s="124">
        <f>IF(P65="","",COUNTIFS($C$15:$C$2015,P$13,$D$15:$D$2015,"&gt;="&amp;P65,$D$15:$D$2015,"&lt;"&amp;P66))</f>
        <v/>
      </c>
      <c r="R65" s="14" t="n"/>
      <c r="S65" s="16" t="n"/>
      <c r="T65" s="124">
        <f>IF(S65="","",COUNTIFS($C$15:$C$2015,S$13,$D$15:$D$2015,"&gt;="&amp;S65,$D$15:$D$2015,"&lt;"&amp;S66))</f>
        <v/>
      </c>
      <c r="U65" s="14" t="n"/>
      <c r="V65" s="16" t="n"/>
      <c r="W65" s="124">
        <f>IF(V65="","",COUNTIFS($C$15:$C$2015,V$13,$D$15:$D$2015,"&gt;="&amp;V65,$D$15:$D$2015,"&lt;"&amp;V66))</f>
        <v/>
      </c>
      <c r="X65" s="14" t="n"/>
      <c r="Y65" s="16" t="n"/>
      <c r="Z65" s="124">
        <f>IF(Y65="","",COUNTIFS($C$15:$C$2015,Y$13,$D$15:$D$2015,"&gt;="&amp;Y65,$D$15:$D$2015,"&lt;"&amp;Y66))</f>
        <v/>
      </c>
      <c r="AA65" s="14" t="n"/>
      <c r="AB65" s="16" t="n">
        <v>60</v>
      </c>
      <c r="AC65" s="124">
        <f>IF(AB65="","",COUNTIFS($C$15:$C$2015,AB$13,$D$15:$D$2015,"&gt;="&amp;AB65,$D$15:$D$2015,"&lt;"&amp;AB66))</f>
        <v/>
      </c>
      <c r="AD65" s="14" t="n"/>
    </row>
    <row r="66">
      <c r="A66" s="56" t="n"/>
      <c r="B66" s="57" t="n"/>
      <c r="C66" s="59" t="inlineStr">
        <is>
          <t>EWS</t>
        </is>
      </c>
      <c r="D66">
        <f>+D34+5</f>
        <v/>
      </c>
      <c r="E66" s="16" t="n">
        <v>52</v>
      </c>
      <c r="F66" s="13" t="n"/>
      <c r="G66" s="16" t="n">
        <v>61</v>
      </c>
      <c r="H66" s="124">
        <f>IF(G66="","",COUNTIFS($C$15:$C$2015,G$13,$D$15:$D$2015,"&gt;="&amp;G66,$D$15:$D$2015,"&lt;"&amp;G67))</f>
        <v/>
      </c>
      <c r="I66" s="14" t="n"/>
      <c r="J66" s="16" t="n"/>
      <c r="K66" s="124">
        <f>IF(J66="","",COUNTIFS($C$15:$C$2015,J$13,$D$15:$D$2015,"&gt;="&amp;J66,$D$15:$D$2015,"&lt;"&amp;J67))</f>
        <v/>
      </c>
      <c r="L66" s="14" t="n"/>
      <c r="M66" s="16" t="n"/>
      <c r="N66" s="124">
        <f>IF(M66="","",COUNTIFS($C$15:$C$2015,M$13,$D$15:$D$2015,"&gt;="&amp;M66,$D$15:$D$2015,"&lt;"&amp;M67))</f>
        <v/>
      </c>
      <c r="O66" s="14" t="n"/>
      <c r="P66" s="16" t="n">
        <v>61</v>
      </c>
      <c r="Q66" s="124">
        <f>IF(P66="","",COUNTIFS($C$15:$C$2015,P$13,$D$15:$D$2015,"&gt;="&amp;P66,$D$15:$D$2015,"&lt;"&amp;P67))</f>
        <v/>
      </c>
      <c r="R66" s="14" t="n"/>
      <c r="S66" s="16" t="n"/>
      <c r="T66" s="124">
        <f>IF(S66="","",COUNTIFS($C$15:$C$2015,S$13,$D$15:$D$2015,"&gt;="&amp;S66,$D$15:$D$2015,"&lt;"&amp;S67))</f>
        <v/>
      </c>
      <c r="U66" s="14" t="n"/>
      <c r="V66" s="16" t="n"/>
      <c r="W66" s="124">
        <f>IF(V66="","",COUNTIFS($C$15:$C$2015,V$13,$D$15:$D$2015,"&gt;="&amp;V66,$D$15:$D$2015,"&lt;"&amp;V67))</f>
        <v/>
      </c>
      <c r="X66" s="14" t="n"/>
      <c r="Y66" s="16" t="n"/>
      <c r="Z66" s="124">
        <f>IF(Y66="","",COUNTIFS($C$15:$C$2015,Y$13,$D$15:$D$2015,"&gt;="&amp;Y66,$D$15:$D$2015,"&lt;"&amp;Y67))</f>
        <v/>
      </c>
      <c r="AA66" s="14" t="n"/>
      <c r="AB66" s="16" t="n">
        <v>61</v>
      </c>
      <c r="AC66" s="124">
        <f>IF(AB66="","",COUNTIFS($C$15:$C$2015,AB$13,$D$15:$D$2015,"&gt;="&amp;AB66,$D$15:$D$2015,"&lt;"&amp;AB67))</f>
        <v/>
      </c>
      <c r="AD66" s="14" t="n"/>
    </row>
    <row r="67">
      <c r="A67" s="58" t="n"/>
      <c r="B67" s="59" t="n"/>
      <c r="C67" s="59" t="inlineStr">
        <is>
          <t>KAW</t>
        </is>
      </c>
      <c r="D67">
        <f>+D35+5</f>
        <v/>
      </c>
      <c r="E67" s="16" t="n">
        <v>53</v>
      </c>
      <c r="F67" s="13" t="n"/>
      <c r="G67" s="16" t="n">
        <v>62</v>
      </c>
      <c r="H67" s="124">
        <f>IF(G67="","",COUNTIFS($C$15:$C$2015,G$13,$D$15:$D$2015,"&gt;="&amp;G67,$D$15:$D$2015,"&lt;"&amp;G68))</f>
        <v/>
      </c>
      <c r="I67" s="14" t="n"/>
      <c r="J67" s="16" t="n"/>
      <c r="K67" s="124">
        <f>IF(J67="","",COUNTIFS($C$15:$C$2015,J$13,$D$15:$D$2015,"&gt;="&amp;J67,$D$15:$D$2015,"&lt;"&amp;J68))</f>
        <v/>
      </c>
      <c r="L67" s="14" t="n"/>
      <c r="M67" s="16" t="n"/>
      <c r="N67" s="124">
        <f>IF(M67="","",COUNTIFS($C$15:$C$2015,M$13,$D$15:$D$2015,"&gt;="&amp;M67,$D$15:$D$2015,"&lt;"&amp;M68))</f>
        <v/>
      </c>
      <c r="O67" s="14" t="n"/>
      <c r="P67" s="16" t="n">
        <v>62</v>
      </c>
      <c r="Q67" s="124">
        <f>IF(P67="","",COUNTIFS($C$15:$C$2015,P$13,$D$15:$D$2015,"&gt;="&amp;P67,$D$15:$D$2015,"&lt;"&amp;P68))</f>
        <v/>
      </c>
      <c r="R67" s="14" t="n"/>
      <c r="S67" s="16" t="n"/>
      <c r="T67" s="124">
        <f>IF(S67="","",COUNTIFS($C$15:$C$2015,S$13,$D$15:$D$2015,"&gt;="&amp;S67,$D$15:$D$2015,"&lt;"&amp;S68))</f>
        <v/>
      </c>
      <c r="U67" s="14" t="n"/>
      <c r="V67" s="16" t="n"/>
      <c r="W67" s="124">
        <f>IF(V67="","",COUNTIFS($C$15:$C$2015,V$13,$D$15:$D$2015,"&gt;="&amp;V67,$D$15:$D$2015,"&lt;"&amp;V68))</f>
        <v/>
      </c>
      <c r="X67" s="14" t="n"/>
      <c r="Y67" s="16" t="n"/>
      <c r="Z67" s="124">
        <f>IF(Y67="","",COUNTIFS($C$15:$C$2015,Y$13,$D$15:$D$2015,"&gt;="&amp;Y67,$D$15:$D$2015,"&lt;"&amp;Y68))</f>
        <v/>
      </c>
      <c r="AA67" s="14" t="n"/>
      <c r="AB67" s="16" t="n">
        <v>62</v>
      </c>
      <c r="AC67" s="124">
        <f>IF(AB67="","",COUNTIFS($C$15:$C$2015,AB$13,$D$15:$D$2015,"&gt;="&amp;AB67,$D$15:$D$2015,"&lt;"&amp;AB68))</f>
        <v/>
      </c>
      <c r="AD67" s="14" t="n"/>
    </row>
    <row r="68">
      <c r="A68" s="56" t="n"/>
      <c r="B68" s="57" t="n"/>
      <c r="C68" s="59" t="inlineStr">
        <is>
          <t>EMU</t>
        </is>
      </c>
      <c r="D68">
        <f>+D36+5</f>
        <v/>
      </c>
      <c r="E68" s="16" t="n">
        <v>54</v>
      </c>
      <c r="F68" s="13" t="n"/>
      <c r="G68" s="16" t="n">
        <v>63</v>
      </c>
      <c r="H68" s="124">
        <f>IF(G68="","",COUNTIFS($C$15:$C$2015,G$13,$D$15:$D$2015,"&gt;="&amp;G68,$D$15:$D$2015,"&lt;"&amp;G69))</f>
        <v/>
      </c>
      <c r="I68" s="14" t="n"/>
      <c r="J68" s="16" t="n"/>
      <c r="K68" s="124">
        <f>IF(J68="","",COUNTIFS($C$15:$C$2015,J$13,$D$15:$D$2015,"&gt;="&amp;J68,$D$15:$D$2015,"&lt;"&amp;J69))</f>
        <v/>
      </c>
      <c r="L68" s="14" t="n"/>
      <c r="M68" s="16" t="n"/>
      <c r="N68" s="124">
        <f>IF(M68="","",COUNTIFS($C$15:$C$2015,M$13,$D$15:$D$2015,"&gt;="&amp;M68,$D$15:$D$2015,"&lt;"&amp;M69))</f>
        <v/>
      </c>
      <c r="O68" s="14" t="n"/>
      <c r="P68" s="16" t="n">
        <v>63</v>
      </c>
      <c r="Q68" s="124">
        <f>IF(P68="","",COUNTIFS($C$15:$C$2015,P$13,$D$15:$D$2015,"&gt;="&amp;P68,$D$15:$D$2015,"&lt;"&amp;P69))</f>
        <v/>
      </c>
      <c r="R68" s="14" t="n"/>
      <c r="S68" s="16" t="n"/>
      <c r="T68" s="124">
        <f>IF(S68="","",COUNTIFS($C$15:$C$2015,S$13,$D$15:$D$2015,"&gt;="&amp;S68,$D$15:$D$2015,"&lt;"&amp;S69))</f>
        <v/>
      </c>
      <c r="U68" s="14" t="n"/>
      <c r="V68" s="16" t="n"/>
      <c r="W68" s="124">
        <f>IF(V68="","",COUNTIFS($C$15:$C$2015,V$13,$D$15:$D$2015,"&gt;="&amp;V68,$D$15:$D$2015,"&lt;"&amp;V69))</f>
        <v/>
      </c>
      <c r="X68" s="14" t="n"/>
      <c r="Y68" s="16" t="n"/>
      <c r="Z68" s="124">
        <f>IF(Y68="","",COUNTIFS($C$15:$C$2015,Y$13,$D$15:$D$2015,"&gt;="&amp;Y68,$D$15:$D$2015,"&lt;"&amp;Y69))</f>
        <v/>
      </c>
      <c r="AA68" s="14" t="n"/>
      <c r="AB68" s="16" t="n"/>
      <c r="AC68" s="124">
        <f>IF(AB68="","",COUNTIFS($C$15:$C$2015,AB$13,$D$15:$D$2015,"&gt;="&amp;AB68,$D$15:$D$2015,"&lt;"&amp;AB69))</f>
        <v/>
      </c>
      <c r="AD68" s="14" t="n"/>
    </row>
    <row r="69">
      <c r="A69" s="58" t="n"/>
      <c r="B69" s="59" t="n"/>
      <c r="C69" s="59" t="inlineStr">
        <is>
          <t>EME</t>
        </is>
      </c>
      <c r="D69">
        <f>+D37+5</f>
        <v/>
      </c>
      <c r="E69" s="16" t="n">
        <v>55</v>
      </c>
      <c r="F69" s="13" t="n"/>
      <c r="G69" s="16" t="n">
        <v>64</v>
      </c>
      <c r="H69" s="124">
        <f>IF(G69="","",COUNTIFS($C$15:$C$2015,G$13,$D$15:$D$2015,"&gt;="&amp;G69,$D$15:$D$2015,"&lt;"&amp;G70))</f>
        <v/>
      </c>
      <c r="I69" s="14" t="n"/>
      <c r="J69" s="16" t="n"/>
      <c r="K69" s="124">
        <f>IF(J69="","",COUNTIFS($C$15:$C$2015,J$13,$D$15:$D$2015,"&gt;="&amp;J69,$D$15:$D$2015,"&lt;"&amp;J70))</f>
        <v/>
      </c>
      <c r="L69" s="14" t="n"/>
      <c r="M69" s="16" t="n"/>
      <c r="N69" s="124">
        <f>IF(M69="","",COUNTIFS($C$15:$C$2015,M$13,$D$15:$D$2015,"&gt;="&amp;M69,$D$15:$D$2015,"&lt;"&amp;M70))</f>
        <v/>
      </c>
      <c r="O69" s="14" t="n"/>
      <c r="P69" s="16" t="n">
        <v>64</v>
      </c>
      <c r="Q69" s="124">
        <f>IF(P69="","",COUNTIFS($C$15:$C$2015,P$13,$D$15:$D$2015,"&gt;="&amp;P69,$D$15:$D$2015,"&lt;"&amp;P70))</f>
        <v/>
      </c>
      <c r="R69" s="14" t="n"/>
      <c r="S69" s="16" t="n"/>
      <c r="T69" s="124">
        <f>IF(S69="","",COUNTIFS($C$15:$C$2015,S$13,$D$15:$D$2015,"&gt;="&amp;S69,$D$15:$D$2015,"&lt;"&amp;S70))</f>
        <v/>
      </c>
      <c r="U69" s="14" t="n"/>
      <c r="V69" s="16" t="n"/>
      <c r="W69" s="124">
        <f>IF(V69="","",COUNTIFS($C$15:$C$2015,V$13,$D$15:$D$2015,"&gt;="&amp;V69,$D$15:$D$2015,"&lt;"&amp;V70))</f>
        <v/>
      </c>
      <c r="X69" s="14" t="n"/>
      <c r="Y69" s="16" t="n"/>
      <c r="Z69" s="124">
        <f>IF(Y69="","",COUNTIFS($C$15:$C$2015,Y$13,$D$15:$D$2015,"&gt;="&amp;Y69,$D$15:$D$2015,"&lt;"&amp;Y70))</f>
        <v/>
      </c>
      <c r="AA69" s="14" t="n"/>
      <c r="AB69" s="16" t="n"/>
      <c r="AC69" s="124">
        <f>IF(AB69="","",COUNTIFS($C$15:$C$2015,AB$13,$D$15:$D$2015,"&gt;="&amp;AB69,$D$15:$D$2015,"&lt;"&amp;AB70))</f>
        <v/>
      </c>
      <c r="AD69" s="14" t="n"/>
    </row>
    <row r="70">
      <c r="A70" s="56" t="n"/>
      <c r="B70" s="57" t="n"/>
      <c r="C70" s="59" t="inlineStr">
        <is>
          <t>VRL</t>
        </is>
      </c>
      <c r="D70">
        <f>+D38+5</f>
        <v/>
      </c>
      <c r="E70" s="16" t="n">
        <v>56</v>
      </c>
      <c r="F70" s="13" t="n"/>
      <c r="G70" s="16" t="n">
        <v>65</v>
      </c>
      <c r="H70" s="124">
        <f>IF(G70="","",COUNTIFS($C$15:$C$2015,G$13,$D$15:$D$2015,"&gt;="&amp;G70,$D$15:$D$2015,"&lt;"&amp;G71))</f>
        <v/>
      </c>
      <c r="I70" s="14" t="n"/>
      <c r="J70" s="16" t="n"/>
      <c r="K70" s="124">
        <f>IF(J70="","",COUNTIFS($C$15:$C$2015,J$13,$D$15:$D$2015,"&gt;="&amp;J70,$D$15:$D$2015,"&lt;"&amp;J71))</f>
        <v/>
      </c>
      <c r="L70" s="14" t="n"/>
      <c r="M70" s="16" t="n"/>
      <c r="N70" s="124">
        <f>IF(M70="","",COUNTIFS($C$15:$C$2015,M$13,$D$15:$D$2015,"&gt;="&amp;M70,$D$15:$D$2015,"&lt;"&amp;M71))</f>
        <v/>
      </c>
      <c r="O70" s="14" t="n"/>
      <c r="P70" s="16" t="n">
        <v>65</v>
      </c>
      <c r="Q70" s="124">
        <f>IF(P70="","",COUNTIFS($C$15:$C$2015,P$13,$D$15:$D$2015,"&gt;="&amp;P70,$D$15:$D$2015,"&lt;"&amp;P71))</f>
        <v/>
      </c>
      <c r="R70" s="14" t="n"/>
      <c r="S70" s="16" t="n"/>
      <c r="T70" s="124">
        <f>IF(S70="","",COUNTIFS($C$15:$C$2015,S$13,$D$15:$D$2015,"&gt;="&amp;S70,$D$15:$D$2015,"&lt;"&amp;S71))</f>
        <v/>
      </c>
      <c r="U70" s="14" t="n"/>
      <c r="V70" s="16" t="n"/>
      <c r="W70" s="124">
        <f>IF(V70="","",COUNTIFS($C$15:$C$2015,V$13,$D$15:$D$2015,"&gt;="&amp;V70,$D$15:$D$2015,"&lt;"&amp;V71))</f>
        <v/>
      </c>
      <c r="X70" s="14" t="n"/>
      <c r="Y70" s="16" t="n"/>
      <c r="Z70" s="124">
        <f>IF(Y70="","",COUNTIFS($C$15:$C$2015,Y$13,$D$15:$D$2015,"&gt;="&amp;Y70,$D$15:$D$2015,"&lt;"&amp;Y71))</f>
        <v/>
      </c>
      <c r="AA70" s="14" t="n"/>
      <c r="AB70" s="16" t="n"/>
      <c r="AC70" s="124">
        <f>IF(AB70="","",COUNTIFS($C$15:$C$2015,AB$13,$D$15:$D$2015,"&gt;="&amp;AB70,$D$15:$D$2015,"&lt;"&amp;AB71))</f>
        <v/>
      </c>
      <c r="AD70" s="14" t="n"/>
    </row>
    <row r="71">
      <c r="A71" s="58" t="n"/>
      <c r="B71" s="59" t="n"/>
      <c r="C71" s="111" t="inlineStr">
        <is>
          <t>LTQ</t>
        </is>
      </c>
      <c r="D71" s="112">
        <f>+D31+5</f>
        <v/>
      </c>
      <c r="E71" s="16" t="n">
        <v>57</v>
      </c>
      <c r="F71" s="13" t="n"/>
      <c r="G71" s="16" t="n">
        <v>66</v>
      </c>
      <c r="H71" s="124">
        <f>IF(G71="","",COUNTIFS($C$15:$C$2015,G$13,$D$15:$D$2015,"&gt;="&amp;G71,$D$15:$D$2015,"&lt;"&amp;G72))</f>
        <v/>
      </c>
      <c r="I71" s="14" t="n"/>
      <c r="J71" s="16" t="n"/>
      <c r="K71" s="124">
        <f>IF(J71="","",COUNTIFS($C$15:$C$2015,J$13,$D$15:$D$2015,"&gt;="&amp;J71,$D$15:$D$2015,"&lt;"&amp;J72))</f>
        <v/>
      </c>
      <c r="L71" s="14" t="n"/>
      <c r="M71" s="16" t="n"/>
      <c r="N71" s="124">
        <f>IF(M71="","",COUNTIFS($C$15:$C$2015,M$13,$D$15:$D$2015,"&gt;="&amp;M71,$D$15:$D$2015,"&lt;"&amp;M72))</f>
        <v/>
      </c>
      <c r="O71" s="14" t="n"/>
      <c r="P71" s="16" t="n">
        <v>66</v>
      </c>
      <c r="Q71" s="124">
        <f>IF(P71="","",COUNTIFS($C$15:$C$2015,P$13,$D$15:$D$2015,"&gt;="&amp;P71,$D$15:$D$2015,"&lt;"&amp;P72))</f>
        <v/>
      </c>
      <c r="R71" s="14" t="n"/>
      <c r="S71" s="16" t="n"/>
      <c r="T71" s="124">
        <f>IF(S71="","",COUNTIFS($C$15:$C$2015,S$13,$D$15:$D$2015,"&gt;="&amp;S71,$D$15:$D$2015,"&lt;"&amp;S72))</f>
        <v/>
      </c>
      <c r="U71" s="14" t="n"/>
      <c r="V71" s="16" t="n"/>
      <c r="W71" s="124">
        <f>IF(V71="","",COUNTIFS($C$15:$C$2015,V$13,$D$15:$D$2015,"&gt;="&amp;V71,$D$15:$D$2015,"&lt;"&amp;V72))</f>
        <v/>
      </c>
      <c r="X71" s="14" t="n"/>
      <c r="Y71" s="16" t="n"/>
      <c r="Z71" s="124">
        <f>IF(Y71="","",COUNTIFS($C$15:$C$2015,Y$13,$D$15:$D$2015,"&gt;="&amp;Y71,$D$15:$D$2015,"&lt;"&amp;Y72))</f>
        <v/>
      </c>
      <c r="AA71" s="14" t="n"/>
      <c r="AB71" s="16" t="n"/>
      <c r="AC71" s="124">
        <f>IF(AB71="","",COUNTIFS($C$15:$C$2015,AB$13,$D$15:$D$2015,"&gt;="&amp;AB71,$D$15:$D$2015,"&lt;"&amp;AB72))</f>
        <v/>
      </c>
      <c r="AD71" s="14" t="n"/>
    </row>
    <row r="72">
      <c r="A72" s="56" t="n"/>
      <c r="B72" s="57" t="n"/>
      <c r="C72" s="111" t="inlineStr">
        <is>
          <t>COM</t>
        </is>
      </c>
      <c r="D72" s="112">
        <f>+D32+5</f>
        <v/>
      </c>
      <c r="E72" s="16" t="n">
        <v>58</v>
      </c>
      <c r="F72" s="13" t="n"/>
      <c r="G72" s="16" t="n">
        <v>67</v>
      </c>
      <c r="H72" s="124">
        <f>IF(G72="","",COUNTIFS($C$15:$C$2015,G$13,$D$15:$D$2015,"&gt;="&amp;G72,$D$15:$D$2015,"&lt;"&amp;G73))</f>
        <v/>
      </c>
      <c r="I72" s="14" t="n"/>
      <c r="J72" s="16" t="n"/>
      <c r="K72" s="124">
        <f>IF(J72="","",COUNTIFS($C$15:$C$2015,J$13,$D$15:$D$2015,"&gt;="&amp;J72,$D$15:$D$2015,"&lt;"&amp;J73))</f>
        <v/>
      </c>
      <c r="L72" s="14" t="n"/>
      <c r="M72" s="16" t="n"/>
      <c r="N72" s="124">
        <f>IF(M72="","",COUNTIFS($C$15:$C$2015,M$13,$D$15:$D$2015,"&gt;="&amp;M72,$D$15:$D$2015,"&lt;"&amp;M73))</f>
        <v/>
      </c>
      <c r="O72" s="14" t="n"/>
      <c r="P72" s="16" t="n">
        <v>67</v>
      </c>
      <c r="Q72" s="124">
        <f>IF(P72="","",COUNTIFS($C$15:$C$2015,P$13,$D$15:$D$2015,"&gt;="&amp;P72,$D$15:$D$2015,"&lt;"&amp;P73))</f>
        <v/>
      </c>
      <c r="R72" s="14" t="n"/>
      <c r="S72" s="16" t="n"/>
      <c r="T72" s="124">
        <f>IF(S72="","",COUNTIFS($C$15:$C$2015,S$13,$D$15:$D$2015,"&gt;="&amp;S72,$D$15:$D$2015,"&lt;"&amp;S73))</f>
        <v/>
      </c>
      <c r="U72" s="14" t="n"/>
      <c r="V72" s="16" t="n"/>
      <c r="W72" s="124">
        <f>IF(V72="","",COUNTIFS($C$15:$C$2015,V$13,$D$15:$D$2015,"&gt;="&amp;V72,$D$15:$D$2015,"&lt;"&amp;V73))</f>
        <v/>
      </c>
      <c r="X72" s="14" t="n"/>
      <c r="Y72" s="16" t="n"/>
      <c r="Z72" s="124">
        <f>IF(Y72="","",COUNTIFS($C$15:$C$2015,Y$13,$D$15:$D$2015,"&gt;="&amp;Y72,$D$15:$D$2015,"&lt;"&amp;Y73))</f>
        <v/>
      </c>
      <c r="AA72" s="14" t="n"/>
      <c r="AB72" s="16" t="n"/>
      <c r="AC72" s="124">
        <f>IF(AB72="","",COUNTIFS($C$15:$C$2015,AB$13,$D$15:$D$2015,"&gt;="&amp;AB72,$D$15:$D$2015,"&lt;"&amp;AB73))</f>
        <v/>
      </c>
      <c r="AD72" s="14" t="n"/>
    </row>
    <row r="73">
      <c r="A73" s="58" t="n"/>
      <c r="B73" s="59" t="n"/>
      <c r="C73" s="111" t="inlineStr">
        <is>
          <t>LJB</t>
        </is>
      </c>
      <c r="D73" s="112">
        <f>+D33+5</f>
        <v/>
      </c>
      <c r="E73" s="16" t="n">
        <v>59</v>
      </c>
      <c r="F73" s="13" t="n"/>
      <c r="G73" s="16" t="n">
        <v>68</v>
      </c>
      <c r="H73" s="124">
        <f>IF(G73="","",COUNTIFS($C$15:$C$2015,G$13,$D$15:$D$2015,"&gt;="&amp;G73,$D$15:$D$2015,"&lt;"&amp;G74))</f>
        <v/>
      </c>
      <c r="I73" s="14" t="n"/>
      <c r="J73" s="16" t="n"/>
      <c r="K73" s="124">
        <f>IF(J73="","",COUNTIFS($C$15:$C$2015,J$13,$D$15:$D$2015,"&gt;="&amp;J73,$D$15:$D$2015,"&lt;"&amp;J74))</f>
        <v/>
      </c>
      <c r="L73" s="14" t="n"/>
      <c r="M73" s="16" t="n"/>
      <c r="N73" s="124">
        <f>IF(M73="","",COUNTIFS($C$15:$C$2015,M$13,$D$15:$D$2015,"&gt;="&amp;M73,$D$15:$D$2015,"&lt;"&amp;M74))</f>
        <v/>
      </c>
      <c r="O73" s="14" t="n"/>
      <c r="P73" s="16" t="n">
        <v>68</v>
      </c>
      <c r="Q73" s="124">
        <f>IF(P73="","",COUNTIFS($C$15:$C$2015,P$13,$D$15:$D$2015,"&gt;="&amp;P73,$D$15:$D$2015,"&lt;"&amp;P74))</f>
        <v/>
      </c>
      <c r="R73" s="14" t="n"/>
      <c r="S73" s="16" t="n"/>
      <c r="T73" s="124">
        <f>IF(S73="","",COUNTIFS($C$15:$C$2015,S$13,$D$15:$D$2015,"&gt;="&amp;S73,$D$15:$D$2015,"&lt;"&amp;S74))</f>
        <v/>
      </c>
      <c r="U73" s="14" t="n"/>
      <c r="V73" s="16" t="n"/>
      <c r="W73" s="124">
        <f>IF(V73="","",COUNTIFS($C$15:$C$2015,V$13,$D$15:$D$2015,"&gt;="&amp;V73,$D$15:$D$2015,"&lt;"&amp;V74))</f>
        <v/>
      </c>
      <c r="X73" s="14" t="n"/>
      <c r="Y73" s="16" t="n"/>
      <c r="Z73" s="124">
        <f>IF(Y73="","",COUNTIFS($C$15:$C$2015,Y$13,$D$15:$D$2015,"&gt;="&amp;Y73,$D$15:$D$2015,"&lt;"&amp;Y74))</f>
        <v/>
      </c>
      <c r="AA73" s="14" t="n"/>
      <c r="AB73" s="16" t="n"/>
      <c r="AC73" s="124">
        <f>IF(AB73="","",COUNTIFS($C$15:$C$2015,AB$13,$D$15:$D$2015,"&gt;="&amp;AB73,$D$15:$D$2015,"&lt;"&amp;AB74))</f>
        <v/>
      </c>
      <c r="AD73" s="14" t="n"/>
    </row>
    <row r="74">
      <c r="A74" s="56" t="n"/>
      <c r="B74" s="57" t="n"/>
      <c r="C74" s="111" t="inlineStr">
        <is>
          <t>EWS</t>
        </is>
      </c>
      <c r="D74" s="112">
        <f>+D34+5</f>
        <v/>
      </c>
      <c r="E74" s="16" t="n">
        <v>60</v>
      </c>
      <c r="F74" s="13" t="n"/>
      <c r="G74" s="16" t="n">
        <v>69</v>
      </c>
      <c r="H74" s="124">
        <f>IF(G74="","",COUNTIFS($C$15:$C$2015,G$13,$D$15:$D$2015,"&gt;="&amp;G74,$D$15:$D$2015,"&lt;"&amp;G75))</f>
        <v/>
      </c>
      <c r="I74" s="14" t="n"/>
      <c r="J74" s="16" t="n"/>
      <c r="K74" s="124">
        <f>IF(J74="","",COUNTIFS($C$15:$C$2015,J$13,$D$15:$D$2015,"&gt;="&amp;J74,$D$15:$D$2015,"&lt;"&amp;J75))</f>
        <v/>
      </c>
      <c r="L74" s="14" t="n"/>
      <c r="M74" s="16" t="n"/>
      <c r="N74" s="124">
        <f>IF(M74="","",COUNTIFS($C$15:$C$2015,M$13,$D$15:$D$2015,"&gt;="&amp;M74,$D$15:$D$2015,"&lt;"&amp;M75))</f>
        <v/>
      </c>
      <c r="O74" s="14" t="n"/>
      <c r="P74" s="16" t="n">
        <v>69</v>
      </c>
      <c r="Q74" s="124">
        <f>IF(P74="","",COUNTIFS($C$15:$C$2015,P$13,$D$15:$D$2015,"&gt;="&amp;P74,$D$15:$D$2015,"&lt;"&amp;P75))</f>
        <v/>
      </c>
      <c r="R74" s="14" t="n"/>
      <c r="S74" s="16" t="n"/>
      <c r="T74" s="124">
        <f>IF(S74="","",COUNTIFS($C$15:$C$2015,S$13,$D$15:$D$2015,"&gt;="&amp;S74,$D$15:$D$2015,"&lt;"&amp;S75))</f>
        <v/>
      </c>
      <c r="U74" s="14" t="n"/>
      <c r="V74" s="16" t="n"/>
      <c r="W74" s="124">
        <f>IF(V74="","",COUNTIFS($C$15:$C$2015,V$13,$D$15:$D$2015,"&gt;="&amp;V74,$D$15:$D$2015,"&lt;"&amp;V75))</f>
        <v/>
      </c>
      <c r="X74" s="14" t="n"/>
      <c r="Y74" s="16" t="n"/>
      <c r="Z74" s="124">
        <f>IF(Y74="","",COUNTIFS($C$15:$C$2015,Y$13,$D$15:$D$2015,"&gt;="&amp;Y74,$D$15:$D$2015,"&lt;"&amp;Y75))</f>
        <v/>
      </c>
      <c r="AA74" s="14" t="n"/>
      <c r="AB74" s="16" t="n"/>
      <c r="AC74" s="124">
        <f>IF(AB74="","",COUNTIFS($C$15:$C$2015,AB$13,$D$15:$D$2015,"&gt;="&amp;AB74,$D$15:$D$2015,"&lt;"&amp;AB75))</f>
        <v/>
      </c>
      <c r="AD74" s="14" t="n"/>
    </row>
    <row r="75">
      <c r="A75" s="58" t="n"/>
      <c r="B75" s="59" t="n"/>
      <c r="C75" s="111" t="inlineStr">
        <is>
          <t>KAW</t>
        </is>
      </c>
      <c r="D75" s="112">
        <f>+D35+5</f>
        <v/>
      </c>
      <c r="E75" s="16" t="n">
        <v>61</v>
      </c>
      <c r="F75" s="13" t="n"/>
      <c r="G75" s="16" t="n">
        <v>70</v>
      </c>
      <c r="H75" s="124">
        <f>IF(G75="","",COUNTIFS($C$15:$C$2015,G$13,$D$15:$D$2015,"&gt;="&amp;G75,$D$15:$D$2015,"&lt;"&amp;G76))</f>
        <v/>
      </c>
      <c r="I75" s="14" t="n"/>
      <c r="J75" s="16" t="n"/>
      <c r="K75" s="124">
        <f>IF(J75="","",COUNTIFS($C$15:$C$2015,J$13,$D$15:$D$2015,"&gt;="&amp;J75,$D$15:$D$2015,"&lt;"&amp;J76))</f>
        <v/>
      </c>
      <c r="L75" s="14" t="n"/>
      <c r="M75" s="16" t="n"/>
      <c r="N75" s="124">
        <f>IF(M75="","",COUNTIFS($C$15:$C$2015,M$13,$D$15:$D$2015,"&gt;="&amp;M75,$D$15:$D$2015,"&lt;"&amp;M76))</f>
        <v/>
      </c>
      <c r="O75" s="14" t="n"/>
      <c r="P75" s="16" t="n">
        <v>70</v>
      </c>
      <c r="Q75" s="124">
        <f>IF(P75="","",COUNTIFS($C$15:$C$2015,P$13,$D$15:$D$2015,"&gt;="&amp;P75,$D$15:$D$2015,"&lt;"&amp;P76))</f>
        <v/>
      </c>
      <c r="R75" s="14" t="n"/>
      <c r="S75" s="16" t="n"/>
      <c r="T75" s="124">
        <f>IF(S75="","",COUNTIFS($C$15:$C$2015,S$13,$D$15:$D$2015,"&gt;="&amp;S75,$D$15:$D$2015,"&lt;"&amp;S76))</f>
        <v/>
      </c>
      <c r="U75" s="14" t="n"/>
      <c r="V75" s="16" t="n"/>
      <c r="W75" s="124">
        <f>IF(V75="","",COUNTIFS($C$15:$C$2015,V$13,$D$15:$D$2015,"&gt;="&amp;V75,$D$15:$D$2015,"&lt;"&amp;V76))</f>
        <v/>
      </c>
      <c r="X75" s="14" t="n"/>
      <c r="Y75" s="16" t="n"/>
      <c r="Z75" s="124">
        <f>IF(Y75="","",COUNTIFS($C$15:$C$2015,Y$13,$D$15:$D$2015,"&gt;="&amp;Y75,$D$15:$D$2015,"&lt;"&amp;Y76))</f>
        <v/>
      </c>
      <c r="AA75" s="14" t="n"/>
      <c r="AB75" s="16" t="n"/>
      <c r="AC75" s="124">
        <f>IF(AB75="","",COUNTIFS($C$15:$C$2015,AB$13,$D$15:$D$2015,"&gt;="&amp;AB75,$D$15:$D$2015,"&lt;"&amp;AB76))</f>
        <v/>
      </c>
      <c r="AD75" s="14" t="n"/>
    </row>
    <row r="76">
      <c r="A76" s="56" t="n"/>
      <c r="B76" s="57" t="n"/>
      <c r="C76" s="111" t="inlineStr">
        <is>
          <t>EMU</t>
        </is>
      </c>
      <c r="D76" s="112">
        <f>+D36+5</f>
        <v/>
      </c>
      <c r="E76" s="16" t="n">
        <v>62</v>
      </c>
      <c r="F76" s="13" t="n"/>
      <c r="G76" s="16" t="n">
        <v>71</v>
      </c>
      <c r="H76" s="124">
        <f>IF(G76="","",COUNTIFS($C$15:$C$2015,G$13,$D$15:$D$2015,"&gt;="&amp;G76,$D$15:$D$2015,"&lt;"&amp;G77))</f>
        <v/>
      </c>
      <c r="I76" s="14" t="n"/>
      <c r="J76" s="16" t="n"/>
      <c r="K76" s="124">
        <f>IF(J76="","",COUNTIFS($C$15:$C$2015,J$13,$D$15:$D$2015,"&gt;="&amp;J76,$D$15:$D$2015,"&lt;"&amp;J77))</f>
        <v/>
      </c>
      <c r="L76" s="14" t="n"/>
      <c r="M76" s="16" t="n"/>
      <c r="N76" s="124">
        <f>IF(M76="","",COUNTIFS($C$15:$C$2015,M$13,$D$15:$D$2015,"&gt;="&amp;M76,$D$15:$D$2015,"&lt;"&amp;M77))</f>
        <v/>
      </c>
      <c r="O76" s="14" t="n"/>
      <c r="P76" s="16" t="n">
        <v>71</v>
      </c>
      <c r="Q76" s="124">
        <f>IF(P76="","",COUNTIFS($C$15:$C$2015,P$13,$D$15:$D$2015,"&gt;="&amp;P76,$D$15:$D$2015,"&lt;"&amp;P77))</f>
        <v/>
      </c>
      <c r="R76" s="14" t="n"/>
      <c r="S76" s="16" t="n"/>
      <c r="T76" s="124">
        <f>IF(S76="","",COUNTIFS($C$15:$C$2015,S$13,$D$15:$D$2015,"&gt;="&amp;S76,$D$15:$D$2015,"&lt;"&amp;S77))</f>
        <v/>
      </c>
      <c r="U76" s="14" t="n"/>
      <c r="V76" s="16" t="n"/>
      <c r="W76" s="124">
        <f>IF(V76="","",COUNTIFS($C$15:$C$2015,V$13,$D$15:$D$2015,"&gt;="&amp;V76,$D$15:$D$2015,"&lt;"&amp;V77))</f>
        <v/>
      </c>
      <c r="X76" s="14" t="n"/>
      <c r="Y76" s="16" t="n"/>
      <c r="Z76" s="124">
        <f>IF(Y76="","",COUNTIFS($C$15:$C$2015,Y$13,$D$15:$D$2015,"&gt;="&amp;Y76,$D$15:$D$2015,"&lt;"&amp;Y77))</f>
        <v/>
      </c>
      <c r="AA76" s="14" t="n"/>
      <c r="AB76" s="16" t="n"/>
      <c r="AC76" s="124">
        <f>IF(AB76="","",COUNTIFS($C$15:$C$2015,AB$13,$D$15:$D$2015,"&gt;="&amp;AB76,$D$15:$D$2015,"&lt;"&amp;AB77))</f>
        <v/>
      </c>
      <c r="AD76" s="14" t="n"/>
    </row>
    <row r="77">
      <c r="A77" s="58" t="n"/>
      <c r="B77" s="59" t="n"/>
      <c r="C77" s="111" t="inlineStr">
        <is>
          <t>EME</t>
        </is>
      </c>
      <c r="D77" s="112">
        <f>+D37+5</f>
        <v/>
      </c>
      <c r="E77" s="16" t="n">
        <v>63</v>
      </c>
      <c r="F77" s="13" t="n"/>
      <c r="G77" s="16" t="n">
        <v>72</v>
      </c>
      <c r="H77" s="124">
        <f>IF(G77="","",COUNTIFS($C$15:$C$2015,G$13,$D$15:$D$2015,"&gt;="&amp;G77,$D$15:$D$2015,"&lt;"&amp;G78))</f>
        <v/>
      </c>
      <c r="I77" s="14" t="n"/>
      <c r="J77" s="16" t="n"/>
      <c r="K77" s="124">
        <f>IF(J77="","",COUNTIFS($C$15:$C$2015,J$13,$D$15:$D$2015,"&gt;="&amp;J77,$D$15:$D$2015,"&lt;"&amp;J78))</f>
        <v/>
      </c>
      <c r="L77" s="14" t="n"/>
      <c r="M77" s="16" t="n"/>
      <c r="N77" s="124">
        <f>IF(M77="","",COUNTIFS($C$15:$C$2015,M$13,$D$15:$D$2015,"&gt;="&amp;M77,$D$15:$D$2015,"&lt;"&amp;M78))</f>
        <v/>
      </c>
      <c r="O77" s="14" t="n"/>
      <c r="P77" s="16" t="n">
        <v>72</v>
      </c>
      <c r="Q77" s="124">
        <f>IF(P77="","",COUNTIFS($C$15:$C$2015,P$13,$D$15:$D$2015,"&gt;="&amp;P77,$D$15:$D$2015,"&lt;"&amp;P78))</f>
        <v/>
      </c>
      <c r="R77" s="14" t="n"/>
      <c r="S77" s="16" t="n"/>
      <c r="T77" s="124">
        <f>IF(S77="","",COUNTIFS($C$15:$C$2015,S$13,$D$15:$D$2015,"&gt;="&amp;S77,$D$15:$D$2015,"&lt;"&amp;S78))</f>
        <v/>
      </c>
      <c r="U77" s="14" t="n"/>
      <c r="V77" s="16" t="n"/>
      <c r="W77" s="124">
        <f>IF(V77="","",COUNTIFS($C$15:$C$2015,V$13,$D$15:$D$2015,"&gt;="&amp;V77,$D$15:$D$2015,"&lt;"&amp;V78))</f>
        <v/>
      </c>
      <c r="X77" s="14" t="n"/>
      <c r="Y77" s="16" t="n"/>
      <c r="Z77" s="124">
        <f>IF(Y77="","",COUNTIFS($C$15:$C$2015,Y$13,$D$15:$D$2015,"&gt;="&amp;Y77,$D$15:$D$2015,"&lt;"&amp;Y78))</f>
        <v/>
      </c>
      <c r="AA77" s="14" t="n"/>
      <c r="AB77" s="16" t="n"/>
      <c r="AC77" s="124">
        <f>IF(AB77="","",COUNTIFS($C$15:$C$2015,AB$13,$D$15:$D$2015,"&gt;="&amp;AB77,$D$15:$D$2015,"&lt;"&amp;AB78))</f>
        <v/>
      </c>
      <c r="AD77" s="14" t="n"/>
    </row>
    <row r="78">
      <c r="A78" s="56" t="n"/>
      <c r="B78" s="57" t="n"/>
      <c r="C78" s="111" t="inlineStr">
        <is>
          <t>VRL</t>
        </is>
      </c>
      <c r="D78" s="112">
        <f>+D38+5</f>
        <v/>
      </c>
      <c r="E78" s="16" t="n">
        <v>64</v>
      </c>
      <c r="F78" s="13" t="n"/>
      <c r="G78" s="16" t="n">
        <v>73</v>
      </c>
      <c r="H78" s="124">
        <f>IF(G78="","",COUNTIFS($C$15:$C$2015,G$13,$D$15:$D$2015,"&gt;="&amp;G78,$D$15:$D$2015,"&lt;"&amp;G79))</f>
        <v/>
      </c>
      <c r="I78" s="14" t="n"/>
      <c r="J78" s="16" t="n"/>
      <c r="K78" s="124">
        <f>IF(J78="","",COUNTIFS($C$15:$C$2015,J$13,$D$15:$D$2015,"&gt;="&amp;J78,$D$15:$D$2015,"&lt;"&amp;J79))</f>
        <v/>
      </c>
      <c r="L78" s="14" t="n"/>
      <c r="M78" s="16" t="n"/>
      <c r="N78" s="124">
        <f>IF(M78="","",COUNTIFS($C$15:$C$2015,M$13,$D$15:$D$2015,"&gt;="&amp;M78,$D$15:$D$2015,"&lt;"&amp;M79))</f>
        <v/>
      </c>
      <c r="O78" s="14" t="n"/>
      <c r="P78" s="16" t="n">
        <v>73</v>
      </c>
      <c r="Q78" s="124">
        <f>IF(P78="","",COUNTIFS($C$15:$C$2015,P$13,$D$15:$D$2015,"&gt;="&amp;P78,$D$15:$D$2015,"&lt;"&amp;P79))</f>
        <v/>
      </c>
      <c r="R78" s="14" t="n"/>
      <c r="S78" s="16" t="n"/>
      <c r="T78" s="124">
        <f>IF(S78="","",COUNTIFS($C$15:$C$2015,S$13,$D$15:$D$2015,"&gt;="&amp;S78,$D$15:$D$2015,"&lt;"&amp;S79))</f>
        <v/>
      </c>
      <c r="U78" s="14" t="n"/>
      <c r="V78" s="16" t="n"/>
      <c r="W78" s="124">
        <f>IF(V78="","",COUNTIFS($C$15:$C$2015,V$13,$D$15:$D$2015,"&gt;="&amp;V78,$D$15:$D$2015,"&lt;"&amp;V79))</f>
        <v/>
      </c>
      <c r="X78" s="14" t="n"/>
      <c r="Y78" s="16" t="n"/>
      <c r="Z78" s="124">
        <f>IF(Y78="","",COUNTIFS($C$15:$C$2015,Y$13,$D$15:$D$2015,"&gt;="&amp;Y78,$D$15:$D$2015,"&lt;"&amp;Y79))</f>
        <v/>
      </c>
      <c r="AA78" s="14" t="n"/>
      <c r="AB78" s="16" t="n"/>
      <c r="AC78" s="124">
        <f>IF(AB78="","",COUNTIFS($C$15:$C$2015,AB$13,$D$15:$D$2015,"&gt;="&amp;AB78,$D$15:$D$2015,"&lt;"&amp;AB79))</f>
        <v/>
      </c>
      <c r="AD78" s="14" t="n"/>
    </row>
    <row r="79">
      <c r="A79" s="58" t="n"/>
      <c r="B79" s="59" t="n"/>
      <c r="C79" s="59" t="n"/>
      <c r="E79" s="16" t="n"/>
      <c r="F79" s="13" t="n"/>
      <c r="G79" s="16" t="n">
        <v>74</v>
      </c>
      <c r="H79" s="124">
        <f>IF(G79="","",COUNTIFS($C$15:$C$2015,G$13,$D$15:$D$2015,"&gt;="&amp;G79,$D$15:$D$2015,"&lt;"&amp;G80))</f>
        <v/>
      </c>
      <c r="I79" s="14" t="n"/>
      <c r="J79" s="16" t="n"/>
      <c r="K79" s="124">
        <f>IF(J79="","",COUNTIFS($C$15:$C$2015,J$13,$D$15:$D$2015,"&gt;="&amp;J79,$D$15:$D$2015,"&lt;"&amp;J80))</f>
        <v/>
      </c>
      <c r="L79" s="14" t="n"/>
      <c r="M79" s="16" t="n"/>
      <c r="N79" s="124">
        <f>IF(M79="","",COUNTIFS($C$15:$C$2015,M$13,$D$15:$D$2015,"&gt;="&amp;M79,$D$15:$D$2015,"&lt;"&amp;M80))</f>
        <v/>
      </c>
      <c r="O79" s="14" t="n"/>
      <c r="P79" s="16" t="n">
        <v>74</v>
      </c>
      <c r="Q79" s="124">
        <f>IF(P79="","",COUNTIFS($C$15:$C$2015,P$13,$D$15:$D$2015,"&gt;="&amp;P79,$D$15:$D$2015,"&lt;"&amp;P80))</f>
        <v/>
      </c>
      <c r="R79" s="14" t="n"/>
      <c r="S79" s="16" t="n"/>
      <c r="T79" s="124">
        <f>IF(S79="","",COUNTIFS($C$15:$C$2015,S$13,$D$15:$D$2015,"&gt;="&amp;S79,$D$15:$D$2015,"&lt;"&amp;S80))</f>
        <v/>
      </c>
      <c r="U79" s="14" t="n"/>
      <c r="V79" s="16" t="n"/>
      <c r="W79" s="124">
        <f>IF(V79="","",COUNTIFS($C$15:$C$2015,V$13,$D$15:$D$2015,"&gt;="&amp;V79,$D$15:$D$2015,"&lt;"&amp;V80))</f>
        <v/>
      </c>
      <c r="X79" s="14" t="n"/>
      <c r="Y79" s="16" t="n"/>
      <c r="Z79" s="124">
        <f>IF(Y79="","",COUNTIFS($C$15:$C$2015,Y$13,$D$15:$D$2015,"&gt;="&amp;Y79,$D$15:$D$2015,"&lt;"&amp;Y80))</f>
        <v/>
      </c>
      <c r="AA79" s="14" t="n"/>
      <c r="AB79" s="16" t="n"/>
      <c r="AC79" s="124">
        <f>IF(AB79="","",COUNTIFS($C$15:$C$2015,AB$13,$D$15:$D$2015,"&gt;="&amp;AB79,$D$15:$D$2015,"&lt;"&amp;AB80))</f>
        <v/>
      </c>
      <c r="AD79" s="14" t="n"/>
    </row>
    <row r="80">
      <c r="A80" s="56" t="n"/>
      <c r="B80" s="57" t="n"/>
      <c r="C80" s="59" t="n"/>
      <c r="E80" s="16" t="n"/>
      <c r="F80" s="13" t="n"/>
      <c r="G80" s="16" t="n">
        <v>75</v>
      </c>
      <c r="H80" s="124">
        <f>IF(G80="","",COUNTIFS($C$15:$C$2015,G$13,$D$15:$D$2015,"&gt;="&amp;G80,$D$15:$D$2015,"&lt;"&amp;G81))</f>
        <v/>
      </c>
      <c r="I80" s="14" t="n"/>
      <c r="J80" s="16" t="n"/>
      <c r="K80" s="124">
        <f>IF(J80="","",COUNTIFS($C$15:$C$2015,J$13,$D$15:$D$2015,"&gt;="&amp;J80,$D$15:$D$2015,"&lt;"&amp;J81))</f>
        <v/>
      </c>
      <c r="L80" s="14" t="n"/>
      <c r="M80" s="16" t="n"/>
      <c r="N80" s="124">
        <f>IF(M80="","",COUNTIFS($C$15:$C$2015,M$13,$D$15:$D$2015,"&gt;="&amp;M80,$D$15:$D$2015,"&lt;"&amp;M81))</f>
        <v/>
      </c>
      <c r="O80" s="14" t="n"/>
      <c r="P80" s="16" t="n">
        <v>75</v>
      </c>
      <c r="Q80" s="124">
        <f>IF(P80="","",COUNTIFS($C$15:$C$2015,P$13,$D$15:$D$2015,"&gt;="&amp;P80,$D$15:$D$2015,"&lt;"&amp;P81))</f>
        <v/>
      </c>
      <c r="R80" s="14" t="n"/>
      <c r="S80" s="16" t="n"/>
      <c r="T80" s="124">
        <f>IF(S80="","",COUNTIFS($C$15:$C$2015,S$13,$D$15:$D$2015,"&gt;="&amp;S80,$D$15:$D$2015,"&lt;"&amp;S81))</f>
        <v/>
      </c>
      <c r="U80" s="14" t="n"/>
      <c r="V80" s="16" t="n"/>
      <c r="W80" s="124">
        <f>IF(V80="","",COUNTIFS($C$15:$C$2015,V$13,$D$15:$D$2015,"&gt;="&amp;V80,$D$15:$D$2015,"&lt;"&amp;V81))</f>
        <v/>
      </c>
      <c r="X80" s="14" t="n"/>
      <c r="Y80" s="16" t="n"/>
      <c r="Z80" s="124">
        <f>IF(Y80="","",COUNTIFS($C$15:$C$2015,Y$13,$D$15:$D$2015,"&gt;="&amp;Y80,$D$15:$D$2015,"&lt;"&amp;Y81))</f>
        <v/>
      </c>
      <c r="AA80" s="14" t="n"/>
      <c r="AB80" s="16" t="n"/>
      <c r="AC80" s="124">
        <f>IF(AB80="","",COUNTIFS($C$15:$C$2015,AB$13,$D$15:$D$2015,"&gt;="&amp;AB80,$D$15:$D$2015,"&lt;"&amp;AB81))</f>
        <v/>
      </c>
      <c r="AD80" s="14" t="n"/>
    </row>
    <row r="81">
      <c r="A81" s="58" t="n"/>
      <c r="B81" s="59" t="n"/>
      <c r="C81" s="59" t="n"/>
      <c r="E81" s="16" t="n"/>
      <c r="F81" s="13" t="n"/>
      <c r="G81" s="16" t="n">
        <v>76</v>
      </c>
      <c r="H81" s="124">
        <f>IF(G81="","",COUNTIFS($C$15:$C$2015,G$13,$D$15:$D$2015,"&gt;="&amp;G81,$D$15:$D$2015,"&lt;"&amp;G82))</f>
        <v/>
      </c>
      <c r="I81" s="14" t="n"/>
      <c r="J81" s="16" t="n"/>
      <c r="K81" s="124">
        <f>IF(J81="","",COUNTIFS($C$15:$C$2015,J$13,$D$15:$D$2015,"&gt;="&amp;J81,$D$15:$D$2015,"&lt;"&amp;J82))</f>
        <v/>
      </c>
      <c r="L81" s="14" t="n"/>
      <c r="M81" s="16" t="n"/>
      <c r="N81" s="124">
        <f>IF(M81="","",COUNTIFS($C$15:$C$2015,M$13,$D$15:$D$2015,"&gt;="&amp;M81,$D$15:$D$2015,"&lt;"&amp;M82))</f>
        <v/>
      </c>
      <c r="O81" s="14" t="n"/>
      <c r="P81" s="16" t="n">
        <v>76</v>
      </c>
      <c r="Q81" s="124">
        <f>IF(P81="","",COUNTIFS($C$15:$C$2015,P$13,$D$15:$D$2015,"&gt;="&amp;P81,$D$15:$D$2015,"&lt;"&amp;P82))</f>
        <v/>
      </c>
      <c r="R81" s="14" t="n"/>
      <c r="S81" s="16" t="n"/>
      <c r="T81" s="124">
        <f>IF(S81="","",COUNTIFS($C$15:$C$2015,S$13,$D$15:$D$2015,"&gt;="&amp;S81,$D$15:$D$2015,"&lt;"&amp;S82))</f>
        <v/>
      </c>
      <c r="U81" s="14" t="n"/>
      <c r="V81" s="16" t="n"/>
      <c r="W81" s="124">
        <f>IF(V81="","",COUNTIFS($C$15:$C$2015,V$13,$D$15:$D$2015,"&gt;="&amp;V81,$D$15:$D$2015,"&lt;"&amp;V82))</f>
        <v/>
      </c>
      <c r="X81" s="14" t="n"/>
      <c r="Y81" s="16" t="n"/>
      <c r="Z81" s="124">
        <f>IF(Y81="","",COUNTIFS($C$15:$C$2015,Y$13,$D$15:$D$2015,"&gt;="&amp;Y81,$D$15:$D$2015,"&lt;"&amp;Y82))</f>
        <v/>
      </c>
      <c r="AA81" s="14" t="n"/>
      <c r="AB81" s="16" t="n"/>
      <c r="AC81" s="124">
        <f>IF(AB81="","",COUNTIFS($C$15:$C$2015,AB$13,$D$15:$D$2015,"&gt;="&amp;AB81,$D$15:$D$2015,"&lt;"&amp;AB82))</f>
        <v/>
      </c>
      <c r="AD81" s="14" t="n"/>
    </row>
    <row r="82">
      <c r="A82" s="56" t="n"/>
      <c r="B82" s="57" t="n"/>
      <c r="C82" s="59" t="n"/>
      <c r="E82" s="16" t="n"/>
      <c r="F82" s="13" t="n"/>
      <c r="G82" s="16" t="n">
        <v>77</v>
      </c>
      <c r="H82" s="124">
        <f>IF(G82="","",COUNTIFS($C$15:$C$2015,G$13,$D$15:$D$2015,"&gt;="&amp;G82,$D$15:$D$2015,"&lt;"&amp;G83))</f>
        <v/>
      </c>
      <c r="I82" s="14" t="n"/>
      <c r="J82" s="16" t="n"/>
      <c r="K82" s="124">
        <f>IF(J82="","",COUNTIFS($C$15:$C$2015,J$13,$D$15:$D$2015,"&gt;="&amp;J82,$D$15:$D$2015,"&lt;"&amp;J83))</f>
        <v/>
      </c>
      <c r="L82" s="14" t="n"/>
      <c r="M82" s="16" t="n"/>
      <c r="N82" s="124">
        <f>IF(M82="","",COUNTIFS($C$15:$C$2015,M$13,$D$15:$D$2015,"&gt;="&amp;M82,$D$15:$D$2015,"&lt;"&amp;M83))</f>
        <v/>
      </c>
      <c r="O82" s="14" t="n"/>
      <c r="P82" s="16" t="n">
        <v>77</v>
      </c>
      <c r="Q82" s="124">
        <f>IF(P82="","",COUNTIFS($C$15:$C$2015,P$13,$D$15:$D$2015,"&gt;="&amp;P82,$D$15:$D$2015,"&lt;"&amp;P83))</f>
        <v/>
      </c>
      <c r="R82" s="14" t="n"/>
      <c r="S82" s="16" t="n"/>
      <c r="T82" s="124">
        <f>IF(S82="","",COUNTIFS($C$15:$C$2015,S$13,$D$15:$D$2015,"&gt;="&amp;S82,$D$15:$D$2015,"&lt;"&amp;S83))</f>
        <v/>
      </c>
      <c r="U82" s="14" t="n"/>
      <c r="V82" s="16" t="n"/>
      <c r="W82" s="124">
        <f>IF(V82="","",COUNTIFS($C$15:$C$2015,V$13,$D$15:$D$2015,"&gt;="&amp;V82,$D$15:$D$2015,"&lt;"&amp;V83))</f>
        <v/>
      </c>
      <c r="X82" s="14" t="n"/>
      <c r="Y82" s="16" t="n"/>
      <c r="Z82" s="124">
        <f>IF(Y82="","",COUNTIFS($C$15:$C$2015,Y$13,$D$15:$D$2015,"&gt;="&amp;Y82,$D$15:$D$2015,"&lt;"&amp;Y83))</f>
        <v/>
      </c>
      <c r="AA82" s="14" t="n"/>
      <c r="AB82" s="16" t="n"/>
      <c r="AC82" s="124">
        <f>IF(AB82="","",COUNTIFS($C$15:$C$2015,AB$13,$D$15:$D$2015,"&gt;="&amp;AB82,$D$15:$D$2015,"&lt;"&amp;AB83))</f>
        <v/>
      </c>
      <c r="AD82" s="14" t="n"/>
    </row>
    <row r="83">
      <c r="A83" s="58" t="n"/>
      <c r="B83" s="59" t="n"/>
      <c r="C83" s="59" t="n"/>
      <c r="E83" s="16" t="n"/>
      <c r="F83" s="13" t="n"/>
      <c r="G83" s="16" t="n">
        <v>78</v>
      </c>
      <c r="H83" s="124">
        <f>IF(G83="","",COUNTIFS($C$15:$C$2015,G$13,$D$15:$D$2015,"&gt;="&amp;G83,$D$15:$D$2015,"&lt;"&amp;G84))</f>
        <v/>
      </c>
      <c r="I83" s="14" t="n"/>
      <c r="J83" s="16" t="n"/>
      <c r="K83" s="124">
        <f>IF(J83="","",COUNTIFS($C$15:$C$2015,J$13,$D$15:$D$2015,"&gt;="&amp;J83,$D$15:$D$2015,"&lt;"&amp;J84))</f>
        <v/>
      </c>
      <c r="L83" s="14" t="n"/>
      <c r="M83" s="16" t="n"/>
      <c r="N83" s="124">
        <f>IF(M83="","",COUNTIFS($C$15:$C$2015,M$13,$D$15:$D$2015,"&gt;="&amp;M83,$D$15:$D$2015,"&lt;"&amp;M84))</f>
        <v/>
      </c>
      <c r="O83" s="14" t="n"/>
      <c r="P83" s="16" t="n">
        <v>78</v>
      </c>
      <c r="Q83" s="124">
        <f>IF(P83="","",COUNTIFS($C$15:$C$2015,P$13,$D$15:$D$2015,"&gt;="&amp;P83,$D$15:$D$2015,"&lt;"&amp;P84))</f>
        <v/>
      </c>
      <c r="R83" s="14" t="n"/>
      <c r="S83" s="16" t="n"/>
      <c r="T83" s="124">
        <f>IF(S83="","",COUNTIFS($C$15:$C$2015,S$13,$D$15:$D$2015,"&gt;="&amp;S83,$D$15:$D$2015,"&lt;"&amp;S84))</f>
        <v/>
      </c>
      <c r="U83" s="14" t="n"/>
      <c r="V83" s="16" t="n"/>
      <c r="W83" s="124">
        <f>IF(V83="","",COUNTIFS($C$15:$C$2015,V$13,$D$15:$D$2015,"&gt;="&amp;V83,$D$15:$D$2015,"&lt;"&amp;V84))</f>
        <v/>
      </c>
      <c r="X83" s="14" t="n"/>
      <c r="Y83" s="16" t="n"/>
      <c r="Z83" s="124">
        <f>IF(Y83="","",COUNTIFS($C$15:$C$2015,Y$13,$D$15:$D$2015,"&gt;="&amp;Y83,$D$15:$D$2015,"&lt;"&amp;Y84))</f>
        <v/>
      </c>
      <c r="AA83" s="14" t="n"/>
      <c r="AB83" s="16" t="n"/>
      <c r="AC83" s="124">
        <f>IF(AB83="","",COUNTIFS($C$15:$C$2015,AB$13,$D$15:$D$2015,"&gt;="&amp;AB83,$D$15:$D$2015,"&lt;"&amp;AB84))</f>
        <v/>
      </c>
      <c r="AD83" s="14" t="n"/>
    </row>
    <row r="84">
      <c r="A84" s="56" t="n"/>
      <c r="B84" s="57" t="n"/>
      <c r="C84" s="59" t="n"/>
      <c r="E84" s="16" t="n"/>
      <c r="F84" s="13" t="n"/>
      <c r="G84" s="16" t="n">
        <v>79</v>
      </c>
      <c r="H84" s="124">
        <f>IF(G84="","",COUNTIFS($C$15:$C$2015,G$13,$D$15:$D$2015,"&gt;="&amp;G84,$D$15:$D$2015,"&lt;"&amp;G85))</f>
        <v/>
      </c>
      <c r="I84" s="14" t="n"/>
      <c r="J84" s="16" t="n"/>
      <c r="K84" s="124">
        <f>IF(J84="","",COUNTIFS($C$15:$C$2015,J$13,$D$15:$D$2015,"&gt;="&amp;J84,$D$15:$D$2015,"&lt;"&amp;J85))</f>
        <v/>
      </c>
      <c r="L84" s="14" t="n"/>
      <c r="M84" s="16" t="n"/>
      <c r="N84" s="124">
        <f>IF(M84="","",COUNTIFS($C$15:$C$2015,M$13,$D$15:$D$2015,"&gt;="&amp;M84,$D$15:$D$2015,"&lt;"&amp;M85))</f>
        <v/>
      </c>
      <c r="O84" s="14" t="n"/>
      <c r="P84" s="16" t="n">
        <v>79</v>
      </c>
      <c r="Q84" s="124">
        <f>IF(P84="","",COUNTIFS($C$15:$C$2015,P$13,$D$15:$D$2015,"&gt;="&amp;P84,$D$15:$D$2015,"&lt;"&amp;P85))</f>
        <v/>
      </c>
      <c r="R84" s="14" t="n"/>
      <c r="S84" s="16" t="n"/>
      <c r="T84" s="124">
        <f>IF(S84="","",COUNTIFS($C$15:$C$2015,S$13,$D$15:$D$2015,"&gt;="&amp;S84,$D$15:$D$2015,"&lt;"&amp;S85))</f>
        <v/>
      </c>
      <c r="U84" s="14" t="n"/>
      <c r="V84" s="16" t="n"/>
      <c r="W84" s="124">
        <f>IF(V84="","",COUNTIFS($C$15:$C$2015,V$13,$D$15:$D$2015,"&gt;="&amp;V84,$D$15:$D$2015,"&lt;"&amp;V85))</f>
        <v/>
      </c>
      <c r="X84" s="14" t="n"/>
      <c r="Y84" s="16" t="n"/>
      <c r="Z84" s="124">
        <f>IF(Y84="","",COUNTIFS($C$15:$C$2015,Y$13,$D$15:$D$2015,"&gt;="&amp;Y84,$D$15:$D$2015,"&lt;"&amp;Y85))</f>
        <v/>
      </c>
      <c r="AA84" s="14" t="n"/>
      <c r="AB84" s="16" t="n"/>
      <c r="AC84" s="124">
        <f>IF(AB84="","",COUNTIFS($C$15:$C$2015,AB$13,$D$15:$D$2015,"&gt;="&amp;AB84,$D$15:$D$2015,"&lt;"&amp;AB85))</f>
        <v/>
      </c>
      <c r="AD84" s="14" t="n"/>
    </row>
    <row r="85">
      <c r="A85" s="58" t="n"/>
      <c r="B85" s="59" t="n"/>
      <c r="C85" s="59" t="n"/>
      <c r="E85" s="16" t="n"/>
      <c r="F85" s="13" t="n"/>
      <c r="G85" s="16" t="n">
        <v>80</v>
      </c>
      <c r="H85" s="124">
        <f>IF(G85="","",COUNTIFS($C$15:$C$2015,G$13,$D$15:$D$2015,"&gt;="&amp;G85,$D$15:$D$2015,"&lt;"&amp;G86))</f>
        <v/>
      </c>
      <c r="I85" s="14" t="n"/>
      <c r="J85" s="16" t="n"/>
      <c r="K85" s="124">
        <f>IF(J85="","",COUNTIFS($C$15:$C$2015,J$13,$D$15:$D$2015,"&gt;="&amp;J85,$D$15:$D$2015,"&lt;"&amp;J86))</f>
        <v/>
      </c>
      <c r="L85" s="14" t="n"/>
      <c r="M85" s="16" t="n"/>
      <c r="N85" s="124">
        <f>IF(M85="","",COUNTIFS($C$15:$C$2015,M$13,$D$15:$D$2015,"&gt;="&amp;M85,$D$15:$D$2015,"&lt;"&amp;M86))</f>
        <v/>
      </c>
      <c r="O85" s="14" t="n"/>
      <c r="P85" s="16" t="n">
        <v>80</v>
      </c>
      <c r="Q85" s="124">
        <f>IF(P85="","",COUNTIFS($C$15:$C$2015,P$13,$D$15:$D$2015,"&gt;="&amp;P85,$D$15:$D$2015,"&lt;"&amp;P86))</f>
        <v/>
      </c>
      <c r="R85" s="14" t="n"/>
      <c r="S85" s="16" t="n"/>
      <c r="T85" s="124">
        <f>IF(S85="","",COUNTIFS($C$15:$C$2015,S$13,$D$15:$D$2015,"&gt;="&amp;S85,$D$15:$D$2015,"&lt;"&amp;S86))</f>
        <v/>
      </c>
      <c r="U85" s="14" t="n"/>
      <c r="V85" s="16" t="n"/>
      <c r="W85" s="124">
        <f>IF(V85="","",COUNTIFS($C$15:$C$2015,V$13,$D$15:$D$2015,"&gt;="&amp;V85,$D$15:$D$2015,"&lt;"&amp;V86))</f>
        <v/>
      </c>
      <c r="X85" s="14" t="n"/>
      <c r="Y85" s="16" t="n"/>
      <c r="Z85" s="124">
        <f>IF(Y85="","",COUNTIFS($C$15:$C$2015,Y$13,$D$15:$D$2015,"&gt;="&amp;Y85,$D$15:$D$2015,"&lt;"&amp;Y86))</f>
        <v/>
      </c>
      <c r="AA85" s="14" t="n"/>
      <c r="AB85" s="16" t="n"/>
      <c r="AC85" s="124">
        <f>IF(AB85="","",COUNTIFS($C$15:$C$2015,AB$13,$D$15:$D$2015,"&gt;="&amp;AB85,$D$15:$D$2015,"&lt;"&amp;AB86))</f>
        <v/>
      </c>
      <c r="AD85" s="14" t="n"/>
    </row>
    <row r="86">
      <c r="A86" s="56" t="n"/>
      <c r="B86" s="57" t="n"/>
      <c r="C86" s="59" t="n"/>
      <c r="E86" s="16" t="n"/>
      <c r="F86" s="13" t="n"/>
      <c r="G86" s="16" t="n"/>
      <c r="H86" s="124">
        <f>SUMIF($C$15:$C$2015,G$13,$D$15:$D$2015)</f>
        <v/>
      </c>
      <c r="I86" s="14" t="n"/>
      <c r="J86" s="16" t="n"/>
      <c r="K86" s="124">
        <f>IF(J86="","",COUNTIFS($C$15:$C$2015,J$13,$D$15:$D$2015,"&gt;="&amp;J86,$D$15:$D$2015,"&lt;"&amp;J87))</f>
        <v/>
      </c>
      <c r="L86" s="14" t="n"/>
      <c r="M86" s="16" t="n"/>
      <c r="N86" s="124">
        <f>IF(M86="","",COUNTIFS($C$15:$C$2015,M$13,$D$15:$D$2015,"&gt;="&amp;M86,$D$15:$D$2015,"&lt;"&amp;M87))</f>
        <v/>
      </c>
      <c r="O86" s="14" t="n"/>
      <c r="P86" s="16" t="n"/>
      <c r="Q86" s="124">
        <f>IF(P86="","",COUNTIFS($C$15:$C$2015,P$13,$D$15:$D$2015,"&gt;="&amp;P86,$D$15:$D$2015,"&lt;"&amp;P87))</f>
        <v/>
      </c>
      <c r="R86" s="14" t="n"/>
      <c r="S86" s="16" t="n"/>
      <c r="T86" s="124">
        <f>IF(S86="","",COUNTIFS($C$15:$C$2015,S$13,$D$15:$D$2015,"&gt;="&amp;S86,$D$15:$D$2015,"&lt;"&amp;S87))</f>
        <v/>
      </c>
      <c r="U86" s="14" t="n"/>
      <c r="V86" s="16" t="n"/>
      <c r="W86" s="124">
        <f>IF(V86="","",COUNTIFS($C$15:$C$2015,V$13,$D$15:$D$2015,"&gt;="&amp;V86,$D$15:$D$2015,"&lt;"&amp;V87))</f>
        <v/>
      </c>
      <c r="X86" s="14" t="n"/>
      <c r="Y86" s="16" t="n"/>
      <c r="Z86" s="124">
        <f>IF(Y86="","",COUNTIFS($C$15:$C$2015,Y$13,$D$15:$D$2015,"&gt;="&amp;Y86,$D$15:$D$2015,"&lt;"&amp;Y87))</f>
        <v/>
      </c>
      <c r="AA86" s="14" t="n"/>
      <c r="AB86" s="16" t="n"/>
      <c r="AC86" s="124">
        <f>IF(AB86="","",COUNTIFS($C$15:$C$2015,AB$13,$D$15:$D$2015,"&gt;="&amp;AB86,$D$15:$D$2015,"&lt;"&amp;AB87))</f>
        <v/>
      </c>
      <c r="AD86" s="14" t="n"/>
    </row>
    <row r="87">
      <c r="A87" s="58" t="n"/>
      <c r="B87" s="59" t="n"/>
      <c r="C87" s="59" t="n"/>
      <c r="E87" s="16" t="n"/>
      <c r="F87" s="13" t="n"/>
      <c r="G87" s="16" t="n"/>
      <c r="H87" s="124">
        <f>IF(G87="","",COUNTIFS($C$15:$C$2015,G$13,$D$15:$D$2015,"&gt;="&amp;G87,$D$15:$D$2015,"&lt;"&amp;G88))</f>
        <v/>
      </c>
      <c r="I87" s="14" t="n"/>
      <c r="J87" s="16" t="n"/>
      <c r="K87" s="124">
        <f>IF(J87="","",COUNTIFS($C$15:$C$2015,J$13,$D$15:$D$2015,"&gt;="&amp;J87,$D$15:$D$2015,"&lt;"&amp;J88))</f>
        <v/>
      </c>
      <c r="L87" s="14" t="n"/>
      <c r="M87" s="16" t="n"/>
      <c r="N87" s="124">
        <f>IF(M87="","",COUNTIFS($C$15:$C$2015,M$13,$D$15:$D$2015,"&gt;="&amp;M87,$D$15:$D$2015,"&lt;"&amp;M88))</f>
        <v/>
      </c>
      <c r="O87" s="14" t="n"/>
      <c r="P87" s="16" t="n"/>
      <c r="Q87" s="124">
        <f>IF(P87="","",COUNTIFS($C$15:$C$2015,P$13,$D$15:$D$2015,"&gt;="&amp;P87,$D$15:$D$2015,"&lt;"&amp;P88))</f>
        <v/>
      </c>
      <c r="R87" s="14" t="n"/>
      <c r="S87" s="16" t="n"/>
      <c r="T87" s="124">
        <f>IF(S87="","",COUNTIFS($C$15:$C$2015,S$13,$D$15:$D$2015,"&gt;="&amp;S87,$D$15:$D$2015,"&lt;"&amp;S88))</f>
        <v/>
      </c>
      <c r="U87" s="14" t="n"/>
      <c r="V87" s="16" t="n"/>
      <c r="W87" s="124">
        <f>IF(V87="","",COUNTIFS($C$15:$C$2015,V$13,$D$15:$D$2015,"&gt;="&amp;V87,$D$15:$D$2015,"&lt;"&amp;V88))</f>
        <v/>
      </c>
      <c r="X87" s="14" t="n"/>
      <c r="Y87" s="16" t="n"/>
      <c r="Z87" s="124">
        <f>IF(Y87="","",COUNTIFS($C$15:$C$2015,Y$13,$D$15:$D$2015,"&gt;="&amp;Y87,$D$15:$D$2015,"&lt;"&amp;Y88))</f>
        <v/>
      </c>
      <c r="AA87" s="14" t="n"/>
      <c r="AB87" s="16" t="n"/>
      <c r="AC87" s="124">
        <f>IF(AB87="","",COUNTIFS($C$15:$C$2015,AB$13,$D$15:$D$2015,"&gt;="&amp;AB87,$D$15:$D$2015,"&lt;"&amp;AB88))</f>
        <v/>
      </c>
      <c r="AD87" s="14" t="n"/>
    </row>
    <row r="88">
      <c r="A88" s="56" t="n"/>
      <c r="B88" s="57" t="n"/>
      <c r="C88" s="59" t="n"/>
      <c r="E88" s="16" t="n"/>
      <c r="F88" s="13" t="n"/>
      <c r="G88" s="16" t="n"/>
      <c r="H88" s="124">
        <f>IF(G88="","",COUNTIFS($C$15:$C$2015,G$13,$D$15:$D$2015,"&gt;="&amp;G88,$D$15:$D$2015,"&lt;"&amp;G89))</f>
        <v/>
      </c>
      <c r="I88" s="14" t="n"/>
      <c r="J88" s="16" t="n"/>
      <c r="K88" s="124">
        <f>IF(J88="","",COUNTIFS($C$15:$C$2015,J$13,$D$15:$D$2015,"&gt;="&amp;J88,$D$15:$D$2015,"&lt;"&amp;J89))</f>
        <v/>
      </c>
      <c r="L88" s="14" t="n"/>
      <c r="M88" s="16" t="n"/>
      <c r="N88" s="124">
        <f>IF(M88="","",COUNTIFS($C$15:$C$2015,M$13,$D$15:$D$2015,"&gt;="&amp;M88,$D$15:$D$2015,"&lt;"&amp;M89))</f>
        <v/>
      </c>
      <c r="O88" s="14" t="n"/>
      <c r="P88" s="16" t="n"/>
      <c r="Q88" s="124">
        <f>IF(P88="","",COUNTIFS($C$15:$C$2015,P$13,$D$15:$D$2015,"&gt;="&amp;P88,$D$15:$D$2015,"&lt;"&amp;P89))</f>
        <v/>
      </c>
      <c r="R88" s="14" t="n"/>
      <c r="S88" s="16" t="n"/>
      <c r="T88" s="124">
        <f>IF(S88="","",COUNTIFS($C$15:$C$2015,S$13,$D$15:$D$2015,"&gt;="&amp;S88,$D$15:$D$2015,"&lt;"&amp;S89))</f>
        <v/>
      </c>
      <c r="U88" s="14" t="n"/>
      <c r="V88" s="16" t="n"/>
      <c r="W88" s="124">
        <f>IF(V88="","",COUNTIFS($C$15:$C$2015,V$13,$D$15:$D$2015,"&gt;="&amp;V88,$D$15:$D$2015,"&lt;"&amp;V89))</f>
        <v/>
      </c>
      <c r="X88" s="14" t="n"/>
      <c r="Y88" s="16" t="n"/>
      <c r="Z88" s="124">
        <f>IF(Y88="","",COUNTIFS($C$15:$C$2015,Y$13,$D$15:$D$2015,"&gt;="&amp;Y88,$D$15:$D$2015,"&lt;"&amp;Y89))</f>
        <v/>
      </c>
      <c r="AA88" s="14" t="n"/>
      <c r="AB88" s="16" t="n"/>
      <c r="AC88" s="124">
        <f>IF(AB88="","",COUNTIFS($C$15:$C$2015,AB$13,$D$15:$D$2015,"&gt;="&amp;AB88,$D$15:$D$2015,"&lt;"&amp;AB89))</f>
        <v/>
      </c>
      <c r="AD88" s="14" t="n"/>
    </row>
    <row r="89">
      <c r="A89" s="58" t="n"/>
      <c r="B89" s="59" t="n"/>
      <c r="C89" s="59" t="n"/>
      <c r="E89" s="16" t="n"/>
      <c r="F89" s="13" t="n"/>
      <c r="G89" s="16" t="n"/>
      <c r="H89" s="124">
        <f>IF(G89="","",COUNTIFS($C$15:$C$2015,G$13,$D$15:$D$2015,"&gt;="&amp;G89,$D$15:$D$2015,"&lt;"&amp;G90))</f>
        <v/>
      </c>
      <c r="I89" s="14" t="n"/>
      <c r="J89" s="16" t="n"/>
      <c r="K89" s="124">
        <f>IF(J89="","",COUNTIFS($C$15:$C$2015,J$13,$D$15:$D$2015,"&gt;="&amp;J89,$D$15:$D$2015,"&lt;"&amp;J90))</f>
        <v/>
      </c>
      <c r="L89" s="14" t="n"/>
      <c r="M89" s="16" t="n"/>
      <c r="N89" s="124">
        <f>IF(M89="","",COUNTIFS($C$15:$C$2015,M$13,$D$15:$D$2015,"&gt;="&amp;M89,$D$15:$D$2015,"&lt;"&amp;M90))</f>
        <v/>
      </c>
      <c r="O89" s="14" t="n"/>
      <c r="P89" s="16" t="n"/>
      <c r="Q89" s="124">
        <f>IF(P89="","",COUNTIFS($C$15:$C$2015,P$13,$D$15:$D$2015,"&gt;="&amp;P89,$D$15:$D$2015,"&lt;"&amp;P90))</f>
        <v/>
      </c>
      <c r="R89" s="14" t="n"/>
      <c r="S89" s="16" t="n"/>
      <c r="T89" s="124">
        <f>IF(S89="","",COUNTIFS($C$15:$C$2015,S$13,$D$15:$D$2015,"&gt;="&amp;S89,$D$15:$D$2015,"&lt;"&amp;S90))</f>
        <v/>
      </c>
      <c r="U89" s="14" t="n"/>
      <c r="V89" s="16" t="n"/>
      <c r="W89" s="124">
        <f>IF(V89="","",COUNTIFS($C$15:$C$2015,V$13,$D$15:$D$2015,"&gt;="&amp;V89,$D$15:$D$2015,"&lt;"&amp;V90))</f>
        <v/>
      </c>
      <c r="X89" s="14" t="n"/>
      <c r="Y89" s="16" t="n"/>
      <c r="Z89" s="124">
        <f>IF(Y89="","",COUNTIFS($C$15:$C$2015,Y$13,$D$15:$D$2015,"&gt;="&amp;Y89,$D$15:$D$2015,"&lt;"&amp;Y90))</f>
        <v/>
      </c>
      <c r="AA89" s="14" t="n"/>
      <c r="AB89" s="16" t="n"/>
      <c r="AC89" s="124">
        <f>IF(AB89="","",COUNTIFS($C$15:$C$2015,AB$13,$D$15:$D$2015,"&gt;="&amp;AB89,$D$15:$D$2015,"&lt;"&amp;AB90))</f>
        <v/>
      </c>
      <c r="AD89" s="14" t="n"/>
    </row>
    <row r="90">
      <c r="A90" s="56" t="n"/>
      <c r="B90" s="57" t="n"/>
      <c r="C90" s="59" t="n"/>
      <c r="E90" s="16" t="n"/>
      <c r="F90" s="13" t="n"/>
      <c r="G90" s="16" t="n"/>
      <c r="H90" s="124">
        <f>IF(G90="","",COUNTIFS($C$15:$C$2015,G$13,$D$15:$D$2015,"&gt;="&amp;G90,$D$15:$D$2015,"&lt;"&amp;G91))</f>
        <v/>
      </c>
      <c r="I90" s="14" t="n"/>
      <c r="J90" s="16" t="n"/>
      <c r="K90" s="124">
        <f>IF(J90="","",COUNTIFS($C$15:$C$2015,J$13,$D$15:$D$2015,"&gt;="&amp;J90,$D$15:$D$2015,"&lt;"&amp;J91))</f>
        <v/>
      </c>
      <c r="L90" s="14" t="n"/>
      <c r="M90" s="16" t="n"/>
      <c r="N90" s="124">
        <f>IF(M90="","",COUNTIFS($C$15:$C$2015,M$13,$D$15:$D$2015,"&gt;="&amp;M90,$D$15:$D$2015,"&lt;"&amp;M91))</f>
        <v/>
      </c>
      <c r="O90" s="14" t="n"/>
      <c r="P90" s="16" t="n"/>
      <c r="Q90" s="124">
        <f>IF(P90="","",COUNTIFS($C$15:$C$2015,P$13,$D$15:$D$2015,"&gt;="&amp;P90,$D$15:$D$2015,"&lt;"&amp;P91))</f>
        <v/>
      </c>
      <c r="R90" s="14" t="n"/>
      <c r="S90" s="16" t="n"/>
      <c r="T90" s="124">
        <f>IF(S90="","",COUNTIFS($C$15:$C$2015,S$13,$D$15:$D$2015,"&gt;="&amp;S90,$D$15:$D$2015,"&lt;"&amp;S91))</f>
        <v/>
      </c>
      <c r="U90" s="14" t="n"/>
      <c r="V90" s="16" t="n"/>
      <c r="W90" s="124">
        <f>IF(V90="","",COUNTIFS($C$15:$C$2015,V$13,$D$15:$D$2015,"&gt;="&amp;V90,$D$15:$D$2015,"&lt;"&amp;V91))</f>
        <v/>
      </c>
      <c r="X90" s="14" t="n"/>
      <c r="Y90" s="16" t="n"/>
      <c r="Z90" s="124">
        <f>IF(Y90="","",COUNTIFS($C$15:$C$2015,Y$13,$D$15:$D$2015,"&gt;="&amp;Y90,$D$15:$D$2015,"&lt;"&amp;Y91))</f>
        <v/>
      </c>
      <c r="AA90" s="14" t="n"/>
      <c r="AB90" s="16" t="n"/>
      <c r="AC90" s="124">
        <f>IF(AB90="","",COUNTIFS($C$15:$C$2015,AB$13,$D$15:$D$2015,"&gt;="&amp;AB90,$D$15:$D$2015,"&lt;"&amp;AB91))</f>
        <v/>
      </c>
      <c r="AD90" s="14" t="n"/>
    </row>
    <row r="91">
      <c r="A91" s="58" t="n"/>
      <c r="B91" s="59" t="n"/>
      <c r="C91" s="59" t="n"/>
      <c r="E91" s="16" t="n"/>
      <c r="F91" s="13" t="n"/>
      <c r="G91" s="16" t="n"/>
      <c r="H91" s="124">
        <f>IF(G91="","",COUNTIFS($C$15:$C$2015,G$13,$D$15:$D$2015,"&gt;="&amp;G91,$D$15:$D$2015,"&lt;"&amp;G92))</f>
        <v/>
      </c>
      <c r="I91" s="14" t="n"/>
      <c r="J91" s="16" t="n"/>
      <c r="K91" s="124">
        <f>IF(J91="","",COUNTIFS($C$15:$C$2015,J$13,$D$15:$D$2015,"&gt;="&amp;J91,$D$15:$D$2015,"&lt;"&amp;J92))</f>
        <v/>
      </c>
      <c r="L91" s="14" t="n"/>
      <c r="M91" s="16" t="n"/>
      <c r="N91" s="124">
        <f>IF(M91="","",COUNTIFS($C$15:$C$2015,M$13,$D$15:$D$2015,"&gt;="&amp;M91,$D$15:$D$2015,"&lt;"&amp;M92))</f>
        <v/>
      </c>
      <c r="O91" s="14" t="n"/>
      <c r="P91" s="16" t="n"/>
      <c r="Q91" s="124">
        <f>IF(P91="","",COUNTIFS($C$15:$C$2015,P$13,$D$15:$D$2015,"&gt;="&amp;P91,$D$15:$D$2015,"&lt;"&amp;P92))</f>
        <v/>
      </c>
      <c r="R91" s="14" t="n"/>
      <c r="S91" s="16" t="n"/>
      <c r="T91" s="124">
        <f>IF(S91="","",COUNTIFS($C$15:$C$2015,S$13,$D$15:$D$2015,"&gt;="&amp;S91,$D$15:$D$2015,"&lt;"&amp;S92))</f>
        <v/>
      </c>
      <c r="U91" s="14" t="n"/>
      <c r="V91" s="16" t="n"/>
      <c r="W91" s="124">
        <f>IF(V91="","",COUNTIFS($C$15:$C$2015,V$13,$D$15:$D$2015,"&gt;="&amp;V91,$D$15:$D$2015,"&lt;"&amp;V92))</f>
        <v/>
      </c>
      <c r="X91" s="14" t="n"/>
      <c r="Y91" s="16" t="n"/>
      <c r="Z91" s="124">
        <f>IF(Y91="","",COUNTIFS($C$15:$C$2015,Y$13,$D$15:$D$2015,"&gt;="&amp;Y91,$D$15:$D$2015,"&lt;"&amp;Y92))</f>
        <v/>
      </c>
      <c r="AA91" s="14" t="n"/>
      <c r="AB91" s="16" t="n"/>
      <c r="AC91" s="124">
        <f>IF(AB91="","",COUNTIFS($C$15:$C$2015,AB$13,$D$15:$D$2015,"&gt;="&amp;AB91,$D$15:$D$2015,"&lt;"&amp;AB92))</f>
        <v/>
      </c>
      <c r="AD91" s="14" t="n"/>
    </row>
    <row r="92">
      <c r="A92" s="56" t="n"/>
      <c r="B92" s="57" t="n"/>
      <c r="C92" s="59" t="n"/>
      <c r="E92" s="16" t="n"/>
      <c r="F92" s="13" t="n"/>
      <c r="G92" s="16" t="n"/>
      <c r="H92" s="124">
        <f>IF(G92="","",COUNTIFS($C$15:$C$2015,G$13,$D$15:$D$2015,"&gt;="&amp;G92,$D$15:$D$2015,"&lt;"&amp;G93))</f>
        <v/>
      </c>
      <c r="I92" s="14" t="n"/>
      <c r="J92" s="16" t="n"/>
      <c r="K92" s="124">
        <f>IF(J92="","",COUNTIFS($C$15:$C$2015,J$13,$D$15:$D$2015,"&gt;="&amp;J92,$D$15:$D$2015,"&lt;"&amp;J93))</f>
        <v/>
      </c>
      <c r="L92" s="14" t="n"/>
      <c r="M92" s="16" t="n"/>
      <c r="N92" s="124">
        <f>IF(M92="","",COUNTIFS($C$15:$C$2015,M$13,$D$15:$D$2015,"&gt;="&amp;M92,$D$15:$D$2015,"&lt;"&amp;M93))</f>
        <v/>
      </c>
      <c r="O92" s="14" t="n"/>
      <c r="P92" s="16" t="n"/>
      <c r="Q92" s="124">
        <f>IF(P92="","",COUNTIFS($C$15:$C$2015,P$13,$D$15:$D$2015,"&gt;="&amp;P92,$D$15:$D$2015,"&lt;"&amp;P93))</f>
        <v/>
      </c>
      <c r="R92" s="14" t="n"/>
      <c r="S92" s="16" t="n"/>
      <c r="T92" s="124">
        <f>IF(S92="","",COUNTIFS($C$15:$C$2015,S$13,$D$15:$D$2015,"&gt;="&amp;S92,$D$15:$D$2015,"&lt;"&amp;S93))</f>
        <v/>
      </c>
      <c r="U92" s="14" t="n"/>
      <c r="V92" s="16" t="n"/>
      <c r="W92" s="124">
        <f>IF(V92="","",COUNTIFS($C$15:$C$2015,V$13,$D$15:$D$2015,"&gt;="&amp;V92,$D$15:$D$2015,"&lt;"&amp;V93))</f>
        <v/>
      </c>
      <c r="X92" s="14" t="n"/>
      <c r="Y92" s="16" t="n"/>
      <c r="Z92" s="124">
        <f>IF(Y92="","",COUNTIFS($C$15:$C$2015,Y$13,$D$15:$D$2015,"&gt;="&amp;Y92,$D$15:$D$2015,"&lt;"&amp;Y93))</f>
        <v/>
      </c>
      <c r="AA92" s="14" t="n"/>
      <c r="AB92" s="16" t="n"/>
      <c r="AC92" s="124">
        <f>IF(AB92="","",COUNTIFS($C$15:$C$2015,AB$13,$D$15:$D$2015,"&gt;="&amp;AB92,$D$15:$D$2015,"&lt;"&amp;AB93))</f>
        <v/>
      </c>
      <c r="AD92" s="14" t="n"/>
    </row>
    <row r="93">
      <c r="A93" s="58" t="n"/>
      <c r="B93" s="59" t="n"/>
      <c r="C93" s="59" t="n"/>
      <c r="E93" s="16" t="n"/>
      <c r="F93" s="13" t="n"/>
      <c r="G93" s="16" t="n"/>
      <c r="H93" s="124">
        <f>IF(G93="","",COUNTIFS($C$15:$C$2015,G$13,$D$15:$D$2015,"&gt;="&amp;G93,$D$15:$D$2015,"&lt;"&amp;G94))</f>
        <v/>
      </c>
      <c r="I93" s="14" t="n"/>
      <c r="J93" s="16" t="n"/>
      <c r="K93" s="124">
        <f>IF(J93="","",COUNTIFS($C$15:$C$2015,J$13,$D$15:$D$2015,"&gt;="&amp;J93,$D$15:$D$2015,"&lt;"&amp;J94))</f>
        <v/>
      </c>
      <c r="L93" s="14" t="n"/>
      <c r="M93" s="16" t="n"/>
      <c r="N93" s="124">
        <f>IF(M93="","",COUNTIFS($C$15:$C$2015,M$13,$D$15:$D$2015,"&gt;="&amp;M93,$D$15:$D$2015,"&lt;"&amp;M94))</f>
        <v/>
      </c>
      <c r="O93" s="14" t="n"/>
      <c r="P93" s="16" t="n"/>
      <c r="Q93" s="124">
        <f>IF(P93="","",COUNTIFS($C$15:$C$2015,P$13,$D$15:$D$2015,"&gt;="&amp;P93,$D$15:$D$2015,"&lt;"&amp;P94))</f>
        <v/>
      </c>
      <c r="R93" s="14" t="n"/>
      <c r="S93" s="16" t="n"/>
      <c r="T93" s="124">
        <f>IF(S93="","",COUNTIFS($C$15:$C$2015,S$13,$D$15:$D$2015,"&gt;="&amp;S93,$D$15:$D$2015,"&lt;"&amp;S94))</f>
        <v/>
      </c>
      <c r="U93" s="14" t="n"/>
      <c r="V93" s="16" t="n"/>
      <c r="W93" s="124">
        <f>IF(V93="","",COUNTIFS($C$15:$C$2015,V$13,$D$15:$D$2015,"&gt;="&amp;V93,$D$15:$D$2015,"&lt;"&amp;V94))</f>
        <v/>
      </c>
      <c r="X93" s="14" t="n"/>
      <c r="Y93" s="16" t="n"/>
      <c r="Z93" s="124">
        <f>IF(Y93="","",COUNTIFS($C$15:$C$2015,Y$13,$D$15:$D$2015,"&gt;="&amp;Y93,$D$15:$D$2015,"&lt;"&amp;Y94))</f>
        <v/>
      </c>
      <c r="AA93" s="14" t="n"/>
      <c r="AB93" s="16" t="n"/>
      <c r="AC93" s="124">
        <f>IF(AB93="","",COUNTIFS($C$15:$C$2015,AB$13,$D$15:$D$2015,"&gt;="&amp;AB93,$D$15:$D$2015,"&lt;"&amp;AB94))</f>
        <v/>
      </c>
      <c r="AD93" s="14" t="n"/>
    </row>
    <row r="94">
      <c r="A94" s="56" t="n"/>
      <c r="B94" s="57" t="n"/>
      <c r="C94" s="59" t="n"/>
      <c r="E94" s="16" t="n"/>
      <c r="F94" s="13" t="n"/>
      <c r="G94" s="16" t="n"/>
      <c r="H94" s="124">
        <f>IF(G94="","",COUNTIFS($C$15:$C$2015,G$13,$D$15:$D$2015,"&gt;="&amp;G94,$D$15:$D$2015,"&lt;"&amp;G95))</f>
        <v/>
      </c>
      <c r="I94" s="14" t="n"/>
      <c r="J94" s="16" t="n"/>
      <c r="K94" s="124">
        <f>IF(J94="","",COUNTIFS($C$15:$C$2015,J$13,$D$15:$D$2015,"&gt;="&amp;J94,$D$15:$D$2015,"&lt;"&amp;J95))</f>
        <v/>
      </c>
      <c r="L94" s="14" t="n"/>
      <c r="M94" s="16" t="n"/>
      <c r="N94" s="124">
        <f>IF(M94="","",COUNTIFS($C$15:$C$2015,M$13,$D$15:$D$2015,"&gt;="&amp;M94,$D$15:$D$2015,"&lt;"&amp;M95))</f>
        <v/>
      </c>
      <c r="O94" s="14" t="n"/>
      <c r="P94" s="16" t="n"/>
      <c r="Q94" s="124">
        <f>IF(P94="","",COUNTIFS($C$15:$C$2015,P$13,$D$15:$D$2015,"&gt;="&amp;P94,$D$15:$D$2015,"&lt;"&amp;P95))</f>
        <v/>
      </c>
      <c r="R94" s="14" t="n"/>
      <c r="S94" s="16" t="n"/>
      <c r="T94" s="124">
        <f>IF(S94="","",COUNTIFS($C$15:$C$2015,S$13,$D$15:$D$2015,"&gt;="&amp;S94,$D$15:$D$2015,"&lt;"&amp;S95))</f>
        <v/>
      </c>
      <c r="U94" s="14" t="n"/>
      <c r="V94" s="16" t="n"/>
      <c r="W94" s="124">
        <f>IF(V94="","",COUNTIFS($C$15:$C$2015,V$13,$D$15:$D$2015,"&gt;="&amp;V94,$D$15:$D$2015,"&lt;"&amp;V95))</f>
        <v/>
      </c>
      <c r="X94" s="14" t="n"/>
      <c r="Y94" s="16" t="n"/>
      <c r="Z94" s="124">
        <f>IF(Y94="","",COUNTIFS($C$15:$C$2015,Y$13,$D$15:$D$2015,"&gt;="&amp;Y94,$D$15:$D$2015,"&lt;"&amp;Y95))</f>
        <v/>
      </c>
      <c r="AA94" s="14" t="n"/>
      <c r="AB94" s="16" t="n"/>
      <c r="AC94" s="124">
        <f>IF(AB94="","",COUNTIFS($C$15:$C$2015,AB$13,$D$15:$D$2015,"&gt;="&amp;AB94,$D$15:$D$2015,"&lt;"&amp;AB95))</f>
        <v/>
      </c>
      <c r="AD94" s="14" t="n"/>
    </row>
    <row r="95">
      <c r="A95" s="58" t="n"/>
      <c r="B95" s="59" t="n"/>
      <c r="C95" s="59" t="n"/>
      <c r="E95" s="16" t="n"/>
      <c r="F95" s="13" t="n"/>
      <c r="G95" s="16" t="n"/>
      <c r="H95" s="124">
        <f>IF(G95="","",COUNTIFS($C$15:$C$2015,G$13,$D$15:$D$2015,"&gt;="&amp;G95,$D$15:$D$2015,"&lt;"&amp;G96))</f>
        <v/>
      </c>
      <c r="I95" s="14" t="n"/>
      <c r="J95" s="16" t="n"/>
      <c r="K95" s="124">
        <f>IF(J95="","",COUNTIFS($C$15:$C$2015,J$13,$D$15:$D$2015,"&gt;="&amp;J95,$D$15:$D$2015,"&lt;"&amp;J96))</f>
        <v/>
      </c>
      <c r="L95" s="14" t="n"/>
      <c r="M95" s="16" t="n"/>
      <c r="N95" s="124">
        <f>IF(M95="","",COUNTIFS($C$15:$C$2015,M$13,$D$15:$D$2015,"&gt;="&amp;M95,$D$15:$D$2015,"&lt;"&amp;M96))</f>
        <v/>
      </c>
      <c r="O95" s="14" t="n"/>
      <c r="P95" s="16" t="n"/>
      <c r="Q95" s="124">
        <f>IF(P95="","",COUNTIFS($C$15:$C$2015,P$13,$D$15:$D$2015,"&gt;="&amp;P95,$D$15:$D$2015,"&lt;"&amp;P96))</f>
        <v/>
      </c>
      <c r="R95" s="14" t="n"/>
      <c r="S95" s="16" t="n"/>
      <c r="T95" s="124">
        <f>IF(S95="","",COUNTIFS($C$15:$C$2015,S$13,$D$15:$D$2015,"&gt;="&amp;S95,$D$15:$D$2015,"&lt;"&amp;S96))</f>
        <v/>
      </c>
      <c r="U95" s="14" t="n"/>
      <c r="V95" s="16" t="n"/>
      <c r="W95" s="124">
        <f>IF(V95="","",COUNTIFS($C$15:$C$2015,V$13,$D$15:$D$2015,"&gt;="&amp;V95,$D$15:$D$2015,"&lt;"&amp;V96))</f>
        <v/>
      </c>
      <c r="X95" s="14" t="n"/>
      <c r="Y95" s="16" t="n"/>
      <c r="Z95" s="124">
        <f>IF(Y95="","",COUNTIFS($C$15:$C$2015,Y$13,$D$15:$D$2015,"&gt;="&amp;Y95,$D$15:$D$2015,"&lt;"&amp;Y96))</f>
        <v/>
      </c>
      <c r="AA95" s="14" t="n"/>
      <c r="AB95" s="16" t="n"/>
      <c r="AC95" s="124">
        <f>IF(AB95="","",COUNTIFS($C$15:$C$2015,AB$13,$D$15:$D$2015,"&gt;="&amp;AB95,$D$15:$D$2015,"&lt;"&amp;AB96))</f>
        <v/>
      </c>
      <c r="AD95" s="14" t="n"/>
    </row>
    <row r="96">
      <c r="A96" s="56" t="n"/>
      <c r="B96" s="57" t="n"/>
      <c r="C96" s="59" t="n"/>
      <c r="E96" s="16" t="n"/>
      <c r="F96" s="13" t="n"/>
      <c r="G96" s="16" t="n"/>
      <c r="H96" s="124">
        <f>IF(G96="","",COUNTIFS($C$15:$C$2015,G$13,$D$15:$D$2015,"&gt;="&amp;G96,$D$15:$D$2015,"&lt;"&amp;G97))</f>
        <v/>
      </c>
      <c r="I96" s="14" t="n"/>
      <c r="J96" s="16" t="n"/>
      <c r="K96" s="124">
        <f>IF(J96="","",COUNTIFS($C$15:$C$2015,J$13,$D$15:$D$2015,"&gt;="&amp;J96,$D$15:$D$2015,"&lt;"&amp;J97))</f>
        <v/>
      </c>
      <c r="L96" s="14" t="n"/>
      <c r="M96" s="16" t="n"/>
      <c r="N96" s="124">
        <f>IF(M96="","",COUNTIFS($C$15:$C$2015,M$13,$D$15:$D$2015,"&gt;="&amp;M96,$D$15:$D$2015,"&lt;"&amp;M97))</f>
        <v/>
      </c>
      <c r="O96" s="14" t="n"/>
      <c r="P96" s="16" t="n"/>
      <c r="Q96" s="124">
        <f>IF(P96="","",COUNTIFS($C$15:$C$2015,P$13,$D$15:$D$2015,"&gt;="&amp;P96,$D$15:$D$2015,"&lt;"&amp;P97))</f>
        <v/>
      </c>
      <c r="R96" s="14" t="n"/>
      <c r="S96" s="16" t="n"/>
      <c r="T96" s="124">
        <f>IF(S96="","",COUNTIFS($C$15:$C$2015,S$13,$D$15:$D$2015,"&gt;="&amp;S96,$D$15:$D$2015,"&lt;"&amp;S97))</f>
        <v/>
      </c>
      <c r="U96" s="14" t="n"/>
      <c r="V96" s="16" t="n"/>
      <c r="W96" s="124">
        <f>IF(V96="","",COUNTIFS($C$15:$C$2015,V$13,$D$15:$D$2015,"&gt;="&amp;V96,$D$15:$D$2015,"&lt;"&amp;V97))</f>
        <v/>
      </c>
      <c r="X96" s="14" t="n"/>
      <c r="Y96" s="16" t="n"/>
      <c r="Z96" s="124">
        <f>IF(Y96="","",COUNTIFS($C$15:$C$2015,Y$13,$D$15:$D$2015,"&gt;="&amp;Y96,$D$15:$D$2015,"&lt;"&amp;Y97))</f>
        <v/>
      </c>
      <c r="AA96" s="14" t="n"/>
      <c r="AB96" s="16" t="n"/>
      <c r="AC96" s="124">
        <f>IF(AB96="","",COUNTIFS($C$15:$C$2015,AB$13,$D$15:$D$2015,"&gt;="&amp;AB96,$D$15:$D$2015,"&lt;"&amp;AB97))</f>
        <v/>
      </c>
      <c r="AD96" s="14" t="n"/>
    </row>
    <row r="97">
      <c r="A97" s="58" t="n"/>
      <c r="B97" s="59" t="n"/>
      <c r="C97" s="59" t="n"/>
      <c r="E97" s="16" t="n"/>
      <c r="F97" s="13" t="n"/>
      <c r="G97" s="16" t="n"/>
      <c r="H97" s="124">
        <f>IF(G97="","",COUNTIFS($C$15:$C$2015,G$13,$D$15:$D$2015,"&gt;="&amp;G97,$D$15:$D$2015,"&lt;"&amp;G98))</f>
        <v/>
      </c>
      <c r="I97" s="14" t="n"/>
      <c r="J97" s="16" t="n"/>
      <c r="K97" s="124">
        <f>IF(J97="","",COUNTIFS($C$15:$C$2015,J$13,$D$15:$D$2015,"&gt;="&amp;J97,$D$15:$D$2015,"&lt;"&amp;J98))</f>
        <v/>
      </c>
      <c r="L97" s="14" t="n"/>
      <c r="M97" s="16" t="n"/>
      <c r="N97" s="124">
        <f>IF(M97="","",COUNTIFS($C$15:$C$2015,M$13,$D$15:$D$2015,"&gt;="&amp;M97,$D$15:$D$2015,"&lt;"&amp;M98))</f>
        <v/>
      </c>
      <c r="O97" s="14" t="n"/>
      <c r="P97" s="16" t="n"/>
      <c r="Q97" s="124">
        <f>IF(P97="","",COUNTIFS($C$15:$C$2015,P$13,$D$15:$D$2015,"&gt;="&amp;P97,$D$15:$D$2015,"&lt;"&amp;P98))</f>
        <v/>
      </c>
      <c r="R97" s="14" t="n"/>
      <c r="S97" s="16" t="n"/>
      <c r="T97" s="124">
        <f>IF(S97="","",COUNTIFS($C$15:$C$2015,S$13,$D$15:$D$2015,"&gt;="&amp;S97,$D$15:$D$2015,"&lt;"&amp;S98))</f>
        <v/>
      </c>
      <c r="U97" s="14" t="n"/>
      <c r="V97" s="16" t="n"/>
      <c r="W97" s="124">
        <f>IF(V97="","",COUNTIFS($C$15:$C$2015,V$13,$D$15:$D$2015,"&gt;="&amp;V97,$D$15:$D$2015,"&lt;"&amp;V98))</f>
        <v/>
      </c>
      <c r="X97" s="14" t="n"/>
      <c r="Y97" s="16" t="n"/>
      <c r="Z97" s="124">
        <f>IF(Y97="","",COUNTIFS($C$15:$C$2015,Y$13,$D$15:$D$2015,"&gt;="&amp;Y97,$D$15:$D$2015,"&lt;"&amp;Y98))</f>
        <v/>
      </c>
      <c r="AA97" s="14" t="n"/>
      <c r="AB97" s="16" t="n"/>
      <c r="AC97" s="124">
        <f>IF(AB97="","",COUNTIFS($C$15:$C$2015,AB$13,$D$15:$D$2015,"&gt;="&amp;AB97,$D$15:$D$2015,"&lt;"&amp;AB98))</f>
        <v/>
      </c>
      <c r="AD97" s="14" t="n"/>
    </row>
    <row r="98">
      <c r="A98" s="56" t="n"/>
      <c r="B98" s="57" t="n"/>
      <c r="C98" s="59" t="n"/>
      <c r="E98" s="16" t="n"/>
      <c r="F98" s="13" t="n"/>
      <c r="G98" s="16" t="n"/>
      <c r="H98" s="124">
        <f>IF(G98="","",COUNTIFS($C$15:$C$2015,G$13,$D$15:$D$2015,"&gt;="&amp;G98,$D$15:$D$2015,"&lt;"&amp;G99))</f>
        <v/>
      </c>
      <c r="I98" s="14" t="n"/>
      <c r="J98" s="16" t="n"/>
      <c r="K98" s="124">
        <f>IF(J98="","",COUNTIFS($C$15:$C$2015,J$13,$D$15:$D$2015,"&gt;="&amp;J98,$D$15:$D$2015,"&lt;"&amp;J99))</f>
        <v/>
      </c>
      <c r="L98" s="14" t="n"/>
      <c r="M98" s="16" t="n"/>
      <c r="N98" s="124">
        <f>IF(M98="","",COUNTIFS($C$15:$C$2015,M$13,$D$15:$D$2015,"&gt;="&amp;M98,$D$15:$D$2015,"&lt;"&amp;M99))</f>
        <v/>
      </c>
      <c r="O98" s="14" t="n"/>
      <c r="P98" s="16" t="n"/>
      <c r="Q98" s="124">
        <f>IF(P98="","",COUNTIFS($C$15:$C$2015,P$13,$D$15:$D$2015,"&gt;="&amp;P98,$D$15:$D$2015,"&lt;"&amp;P99))</f>
        <v/>
      </c>
      <c r="R98" s="14" t="n"/>
      <c r="S98" s="16" t="n"/>
      <c r="T98" s="124">
        <f>IF(S98="","",COUNTIFS($C$15:$C$2015,S$13,$D$15:$D$2015,"&gt;="&amp;S98,$D$15:$D$2015,"&lt;"&amp;S99))</f>
        <v/>
      </c>
      <c r="U98" s="14" t="n"/>
      <c r="V98" s="16" t="n"/>
      <c r="W98" s="124">
        <f>IF(V98="","",COUNTIFS($C$15:$C$2015,V$13,$D$15:$D$2015,"&gt;="&amp;V98,$D$15:$D$2015,"&lt;"&amp;V99))</f>
        <v/>
      </c>
      <c r="X98" s="14" t="n"/>
      <c r="Y98" s="16" t="n"/>
      <c r="Z98" s="124">
        <f>IF(Y98="","",COUNTIFS($C$15:$C$2015,Y$13,$D$15:$D$2015,"&gt;="&amp;Y98,$D$15:$D$2015,"&lt;"&amp;Y99))</f>
        <v/>
      </c>
      <c r="AA98" s="14" t="n"/>
      <c r="AB98" s="16" t="n"/>
      <c r="AC98" s="124">
        <f>IF(AB98="","",COUNTIFS($C$15:$C$2015,AB$13,$D$15:$D$2015,"&gt;="&amp;AB98,$D$15:$D$2015,"&lt;"&amp;AB99))</f>
        <v/>
      </c>
      <c r="AD98" s="14" t="n"/>
    </row>
    <row r="99">
      <c r="A99" s="58" t="n"/>
      <c r="B99" s="59" t="n"/>
      <c r="C99" s="59" t="n"/>
      <c r="E99" s="16" t="n"/>
      <c r="F99" s="13" t="n"/>
      <c r="G99" s="16" t="n"/>
      <c r="H99" s="124">
        <f>IF(G99="","",COUNTIFS($C$15:$C$2015,G$13,$D$15:$D$2015,"&gt;="&amp;G99,$D$15:$D$2015,"&lt;"&amp;G100))</f>
        <v/>
      </c>
      <c r="I99" s="14" t="n"/>
      <c r="J99" s="16" t="n"/>
      <c r="K99" s="124">
        <f>IF(J99="","",COUNTIFS($C$15:$C$2015,J$13,$D$15:$D$2015,"&gt;="&amp;J99,$D$15:$D$2015,"&lt;"&amp;J100))</f>
        <v/>
      </c>
      <c r="L99" s="14" t="n"/>
      <c r="M99" s="16" t="n"/>
      <c r="N99" s="124">
        <f>IF(M99="","",COUNTIFS($C$15:$C$2015,M$13,$D$15:$D$2015,"&gt;="&amp;M99,$D$15:$D$2015,"&lt;"&amp;M100))</f>
        <v/>
      </c>
      <c r="O99" s="14" t="n"/>
      <c r="P99" s="16" t="n"/>
      <c r="Q99" s="124">
        <f>IF(P99="","",COUNTIFS($C$15:$C$2015,P$13,$D$15:$D$2015,"&gt;="&amp;P99,$D$15:$D$2015,"&lt;"&amp;P100))</f>
        <v/>
      </c>
      <c r="R99" s="14" t="n"/>
      <c r="S99" s="16" t="n"/>
      <c r="T99" s="124">
        <f>IF(S99="","",COUNTIFS($C$15:$C$2015,S$13,$D$15:$D$2015,"&gt;="&amp;S99,$D$15:$D$2015,"&lt;"&amp;S100))</f>
        <v/>
      </c>
      <c r="U99" s="14" t="n"/>
      <c r="V99" s="16" t="n"/>
      <c r="W99" s="124">
        <f>IF(V99="","",COUNTIFS($C$15:$C$2015,V$13,$D$15:$D$2015,"&gt;="&amp;V99,$D$15:$D$2015,"&lt;"&amp;V100))</f>
        <v/>
      </c>
      <c r="X99" s="14" t="n"/>
      <c r="Y99" s="16" t="n"/>
      <c r="Z99" s="124">
        <f>IF(Y99="","",COUNTIFS($C$15:$C$2015,Y$13,$D$15:$D$2015,"&gt;="&amp;Y99,$D$15:$D$2015,"&lt;"&amp;Y100))</f>
        <v/>
      </c>
      <c r="AA99" s="14" t="n"/>
      <c r="AB99" s="16" t="n"/>
      <c r="AC99" s="124">
        <f>IF(AB99="","",COUNTIFS($C$15:$C$2015,AB$13,$D$15:$D$2015,"&gt;="&amp;AB99,$D$15:$D$2015,"&lt;"&amp;AB100))</f>
        <v/>
      </c>
      <c r="AD99" s="14" t="n"/>
    </row>
    <row r="100">
      <c r="A100" s="56" t="n"/>
      <c r="B100" s="57" t="n"/>
      <c r="C100" s="59" t="n"/>
      <c r="E100" s="16" t="n"/>
      <c r="F100" s="13" t="n"/>
      <c r="G100" s="16" t="n"/>
      <c r="H100" s="124">
        <f>IF(G100="","",COUNTIFS($C$15:$C$2015,G$13,$D$15:$D$2015,"&gt;="&amp;G100,$D$15:$D$2015,"&lt;"&amp;G101))</f>
        <v/>
      </c>
      <c r="I100" s="14" t="n"/>
      <c r="J100" s="16" t="n"/>
      <c r="K100" s="124">
        <f>IF(J100="","",COUNTIFS($C$15:$C$2015,J$13,$D$15:$D$2015,"&gt;="&amp;J100,$D$15:$D$2015,"&lt;"&amp;J101))</f>
        <v/>
      </c>
      <c r="L100" s="14" t="n"/>
      <c r="M100" s="16" t="n"/>
      <c r="N100" s="124">
        <f>IF(M100="","",COUNTIFS($C$15:$C$2015,M$13,$D$15:$D$2015,"&gt;="&amp;M100,$D$15:$D$2015,"&lt;"&amp;M101))</f>
        <v/>
      </c>
      <c r="O100" s="14" t="n"/>
      <c r="P100" s="16" t="n"/>
      <c r="Q100" s="124">
        <f>IF(P100="","",COUNTIFS($C$15:$C$2015,P$13,$D$15:$D$2015,"&gt;="&amp;P100,$D$15:$D$2015,"&lt;"&amp;P101))</f>
        <v/>
      </c>
      <c r="R100" s="14" t="n"/>
      <c r="S100" s="16" t="n"/>
      <c r="T100" s="124">
        <f>IF(S100="","",COUNTIFS($C$15:$C$2015,S$13,$D$15:$D$2015,"&gt;="&amp;S100,$D$15:$D$2015,"&lt;"&amp;S101))</f>
        <v/>
      </c>
      <c r="U100" s="14" t="n"/>
      <c r="V100" s="16" t="n"/>
      <c r="W100" s="124">
        <f>IF(V100="","",COUNTIFS($C$15:$C$2015,V$13,$D$15:$D$2015,"&gt;="&amp;V100,$D$15:$D$2015,"&lt;"&amp;V101))</f>
        <v/>
      </c>
      <c r="X100" s="14" t="n"/>
      <c r="Y100" s="16" t="n"/>
      <c r="Z100" s="124">
        <f>IF(Y100="","",COUNTIFS($C$15:$C$2015,Y$13,$D$15:$D$2015,"&gt;="&amp;Y100,$D$15:$D$2015,"&lt;"&amp;Y101))</f>
        <v/>
      </c>
      <c r="AA100" s="14" t="n"/>
      <c r="AB100" s="16" t="n"/>
      <c r="AC100" s="124">
        <f>IF(AB100="","",COUNTIFS($C$15:$C$2015,AB$13,$D$15:$D$2015,"&gt;="&amp;AB100,$D$15:$D$2015,"&lt;"&amp;AB101))</f>
        <v/>
      </c>
      <c r="AD100" s="14" t="n"/>
    </row>
    <row r="101">
      <c r="A101" s="58" t="n"/>
      <c r="B101" s="59" t="n"/>
      <c r="C101" s="59" t="n"/>
      <c r="E101" s="16" t="n"/>
      <c r="F101" s="13" t="n"/>
      <c r="G101" s="16" t="n"/>
      <c r="H101" s="124">
        <f>IF(G101="","",COUNTIFS($C$15:$C$2015,G$13,$D$15:$D$2015,"&gt;="&amp;G101,$D$15:$D$2015,"&lt;"&amp;G102))</f>
        <v/>
      </c>
      <c r="I101" s="14" t="n"/>
      <c r="J101" s="16" t="n"/>
      <c r="K101" s="124">
        <f>IF(J101="","",COUNTIFS($C$15:$C$2015,J$13,$D$15:$D$2015,"&gt;="&amp;J101,$D$15:$D$2015,"&lt;"&amp;J102))</f>
        <v/>
      </c>
      <c r="L101" s="14" t="n"/>
      <c r="M101" s="16" t="n"/>
      <c r="N101" s="124">
        <f>IF(M101="","",COUNTIFS($C$15:$C$2015,M$13,$D$15:$D$2015,"&gt;="&amp;M101,$D$15:$D$2015,"&lt;"&amp;M102))</f>
        <v/>
      </c>
      <c r="O101" s="14" t="n"/>
      <c r="P101" s="16" t="n"/>
      <c r="Q101" s="124">
        <f>IF(P101="","",COUNTIFS($C$15:$C$2015,P$13,$D$15:$D$2015,"&gt;="&amp;P101,$D$15:$D$2015,"&lt;"&amp;P102))</f>
        <v/>
      </c>
      <c r="R101" s="14" t="n"/>
      <c r="S101" s="16" t="n"/>
      <c r="T101" s="124">
        <f>IF(S101="","",COUNTIFS($C$15:$C$2015,S$13,$D$15:$D$2015,"&gt;="&amp;S101,$D$15:$D$2015,"&lt;"&amp;S102))</f>
        <v/>
      </c>
      <c r="U101" s="14" t="n"/>
      <c r="V101" s="16" t="n"/>
      <c r="W101" s="124">
        <f>IF(V101="","",COUNTIFS($C$15:$C$2015,V$13,$D$15:$D$2015,"&gt;="&amp;V101,$D$15:$D$2015,"&lt;"&amp;V102))</f>
        <v/>
      </c>
      <c r="X101" s="14" t="n"/>
      <c r="Y101" s="16" t="n"/>
      <c r="Z101" s="124">
        <f>IF(Y101="","",COUNTIFS($C$15:$C$2015,Y$13,$D$15:$D$2015,"&gt;="&amp;Y101,$D$15:$D$2015,"&lt;"&amp;Y102))</f>
        <v/>
      </c>
      <c r="AA101" s="14" t="n"/>
      <c r="AB101" s="16" t="n"/>
      <c r="AC101" s="124">
        <f>IF(AB101="","",COUNTIFS($C$15:$C$2015,AB$13,$D$15:$D$2015,"&gt;="&amp;AB101,$D$15:$D$2015,"&lt;"&amp;AB102))</f>
        <v/>
      </c>
      <c r="AD101" s="14" t="n"/>
    </row>
    <row r="102">
      <c r="A102" s="56" t="n"/>
      <c r="B102" s="57" t="n"/>
      <c r="C102" s="59" t="n"/>
      <c r="E102" s="16" t="n"/>
      <c r="F102" s="13" t="n"/>
      <c r="G102" s="16" t="n"/>
      <c r="H102" s="124">
        <f>IF(G102="","",COUNTIFS($C$15:$C$2015,G$13,$D$15:$D$2015,"&gt;="&amp;G102,$D$15:$D$2015,"&lt;"&amp;G103))</f>
        <v/>
      </c>
      <c r="I102" s="14" t="n"/>
      <c r="J102" s="16" t="n"/>
      <c r="K102" s="124">
        <f>IF(J102="","",COUNTIFS($C$15:$C$2015,J$13,$D$15:$D$2015,"&gt;="&amp;J102,$D$15:$D$2015,"&lt;"&amp;J103))</f>
        <v/>
      </c>
      <c r="L102" s="14" t="n"/>
      <c r="M102" s="16" t="n"/>
      <c r="N102" s="124">
        <f>IF(M102="","",COUNTIFS($C$15:$C$2015,M$13,$D$15:$D$2015,"&gt;="&amp;M102,$D$15:$D$2015,"&lt;"&amp;M103))</f>
        <v/>
      </c>
      <c r="O102" s="14" t="n"/>
      <c r="P102" s="16" t="n"/>
      <c r="Q102" s="124">
        <f>IF(P102="","",COUNTIFS($C$15:$C$2015,P$13,$D$15:$D$2015,"&gt;="&amp;P102,$D$15:$D$2015,"&lt;"&amp;P103))</f>
        <v/>
      </c>
      <c r="R102" s="14" t="n"/>
      <c r="S102" s="16" t="n"/>
      <c r="T102" s="124">
        <f>IF(S102="","",COUNTIFS($C$15:$C$2015,S$13,$D$15:$D$2015,"&gt;="&amp;S102,$D$15:$D$2015,"&lt;"&amp;S103))</f>
        <v/>
      </c>
      <c r="U102" s="14" t="n"/>
      <c r="V102" s="16" t="n"/>
      <c r="W102" s="124">
        <f>IF(V102="","",COUNTIFS($C$15:$C$2015,V$13,$D$15:$D$2015,"&gt;="&amp;V102,$D$15:$D$2015,"&lt;"&amp;V103))</f>
        <v/>
      </c>
      <c r="X102" s="14" t="n"/>
      <c r="Y102" s="16" t="n"/>
      <c r="Z102" s="124">
        <f>IF(Y102="","",COUNTIFS($C$15:$C$2015,Y$13,$D$15:$D$2015,"&gt;="&amp;Y102,$D$15:$D$2015,"&lt;"&amp;Y103))</f>
        <v/>
      </c>
      <c r="AA102" s="14" t="n"/>
      <c r="AB102" s="16" t="n"/>
      <c r="AC102" s="124">
        <f>IF(AB102="","",COUNTIFS($C$15:$C$2015,AB$13,$D$15:$D$2015,"&gt;="&amp;AB102,$D$15:$D$2015,"&lt;"&amp;AB103))</f>
        <v/>
      </c>
      <c r="AD102" s="14" t="n"/>
    </row>
    <row r="103">
      <c r="A103" s="58" t="n"/>
      <c r="B103" s="59" t="n"/>
      <c r="C103" s="59" t="n"/>
      <c r="E103" s="16" t="n"/>
      <c r="F103" s="13" t="n"/>
      <c r="G103" s="16" t="n"/>
      <c r="H103" s="124">
        <f>IF(G103="","",COUNTIFS($C$15:$C$2015,G$13,$D$15:$D$2015,"&gt;="&amp;G103,$D$15:$D$2015,"&lt;"&amp;G104))</f>
        <v/>
      </c>
      <c r="I103" s="14" t="n"/>
      <c r="J103" s="16" t="n"/>
      <c r="K103" s="124">
        <f>IF(J103="","",COUNTIFS($C$15:$C$2015,J$13,$D$15:$D$2015,"&gt;="&amp;J103,$D$15:$D$2015,"&lt;"&amp;J104))</f>
        <v/>
      </c>
      <c r="L103" s="14" t="n"/>
      <c r="M103" s="16" t="n"/>
      <c r="N103" s="124">
        <f>IF(M103="","",COUNTIFS($C$15:$C$2015,M$13,$D$15:$D$2015,"&gt;="&amp;M103,$D$15:$D$2015,"&lt;"&amp;M104))</f>
        <v/>
      </c>
      <c r="O103" s="14" t="n"/>
      <c r="P103" s="16" t="n"/>
      <c r="Q103" s="124">
        <f>IF(P103="","",COUNTIFS($C$15:$C$2015,P$13,$D$15:$D$2015,"&gt;="&amp;P103,$D$15:$D$2015,"&lt;"&amp;P104))</f>
        <v/>
      </c>
      <c r="R103" s="14" t="n"/>
      <c r="S103" s="16" t="n"/>
      <c r="T103" s="124">
        <f>IF(S103="","",COUNTIFS($C$15:$C$2015,S$13,$D$15:$D$2015,"&gt;="&amp;S103,$D$15:$D$2015,"&lt;"&amp;S104))</f>
        <v/>
      </c>
      <c r="U103" s="14" t="n"/>
      <c r="V103" s="16" t="n"/>
      <c r="W103" s="124">
        <f>IF(V103="","",COUNTIFS($C$15:$C$2015,V$13,$D$15:$D$2015,"&gt;="&amp;V103,$D$15:$D$2015,"&lt;"&amp;V104))</f>
        <v/>
      </c>
      <c r="X103" s="14" t="n"/>
      <c r="Y103" s="16" t="n"/>
      <c r="Z103" s="124">
        <f>IF(Y103="","",COUNTIFS($C$15:$C$2015,Y$13,$D$15:$D$2015,"&gt;="&amp;Y103,$D$15:$D$2015,"&lt;"&amp;Y104))</f>
        <v/>
      </c>
      <c r="AA103" s="14" t="n"/>
      <c r="AB103" s="16" t="n"/>
      <c r="AC103" s="124">
        <f>IF(AB103="","",COUNTIFS($C$15:$C$2015,AB$13,$D$15:$D$2015,"&gt;="&amp;AB103,$D$15:$D$2015,"&lt;"&amp;AB104))</f>
        <v/>
      </c>
      <c r="AD103" s="14" t="n"/>
    </row>
    <row r="104">
      <c r="A104" s="56" t="n"/>
      <c r="B104" s="57" t="n"/>
      <c r="C104" s="59" t="n"/>
      <c r="E104" s="16" t="n"/>
      <c r="F104" s="13" t="n"/>
      <c r="G104" s="16" t="n"/>
      <c r="H104" s="124">
        <f>IF(G104="","",COUNTIFS($C$15:$C$2015,G$13,$D$15:$D$2015,"&gt;="&amp;G104,$D$15:$D$2015,"&lt;"&amp;G105))</f>
        <v/>
      </c>
      <c r="I104" s="14" t="n"/>
      <c r="J104" s="16" t="n"/>
      <c r="K104" s="124">
        <f>IF(J104="","",COUNTIFS($C$15:$C$2015,J$13,$D$15:$D$2015,"&gt;="&amp;J104,$D$15:$D$2015,"&lt;"&amp;J105))</f>
        <v/>
      </c>
      <c r="L104" s="14" t="n"/>
      <c r="M104" s="16" t="n"/>
      <c r="N104" s="124">
        <f>IF(M104="","",COUNTIFS($C$15:$C$2015,M$13,$D$15:$D$2015,"&gt;="&amp;M104,$D$15:$D$2015,"&lt;"&amp;M105))</f>
        <v/>
      </c>
      <c r="O104" s="14" t="n"/>
      <c r="P104" s="16" t="n"/>
      <c r="Q104" s="124">
        <f>IF(P104="","",COUNTIFS($C$15:$C$2015,P$13,$D$15:$D$2015,"&gt;="&amp;P104,$D$15:$D$2015,"&lt;"&amp;P105))</f>
        <v/>
      </c>
      <c r="R104" s="14" t="n"/>
      <c r="S104" s="16" t="n"/>
      <c r="T104" s="124">
        <f>IF(S104="","",COUNTIFS($C$15:$C$2015,S$13,$D$15:$D$2015,"&gt;="&amp;S104,$D$15:$D$2015,"&lt;"&amp;S105))</f>
        <v/>
      </c>
      <c r="U104" s="14" t="n"/>
      <c r="V104" s="16" t="n"/>
      <c r="W104" s="124">
        <f>IF(V104="","",COUNTIFS($C$15:$C$2015,V$13,$D$15:$D$2015,"&gt;="&amp;V104,$D$15:$D$2015,"&lt;"&amp;V105))</f>
        <v/>
      </c>
      <c r="X104" s="14" t="n"/>
      <c r="Y104" s="16" t="n"/>
      <c r="Z104" s="124">
        <f>IF(Y104="","",COUNTIFS($C$15:$C$2015,Y$13,$D$15:$D$2015,"&gt;="&amp;Y104,$D$15:$D$2015,"&lt;"&amp;Y105))</f>
        <v/>
      </c>
      <c r="AA104" s="14" t="n"/>
      <c r="AB104" s="16" t="n"/>
      <c r="AC104" s="124">
        <f>IF(AB104="","",COUNTIFS($C$15:$C$2015,AB$13,$D$15:$D$2015,"&gt;="&amp;AB104,$D$15:$D$2015,"&lt;"&amp;AB105))</f>
        <v/>
      </c>
      <c r="AD104" s="14" t="n"/>
    </row>
    <row r="105">
      <c r="A105" s="58" t="n"/>
      <c r="B105" s="59" t="n"/>
      <c r="C105" s="59" t="n"/>
      <c r="E105" s="16" t="n"/>
      <c r="F105" s="13" t="n"/>
      <c r="G105" s="16" t="n"/>
      <c r="H105" s="124">
        <f>IF(G105="","",COUNTIFS($C$15:$C$2015,G$13,$D$15:$D$2015,"&gt;="&amp;G105,$D$15:$D$2015,"&lt;"&amp;G106))</f>
        <v/>
      </c>
      <c r="I105" s="14" t="n"/>
      <c r="J105" s="16" t="n"/>
      <c r="K105" s="124">
        <f>IF(J105="","",COUNTIFS($C$15:$C$2015,J$13,$D$15:$D$2015,"&gt;="&amp;J105,$D$15:$D$2015,"&lt;"&amp;J106))</f>
        <v/>
      </c>
      <c r="L105" s="14" t="n"/>
      <c r="M105" s="16" t="n"/>
      <c r="N105" s="124">
        <f>IF(M105="","",COUNTIFS($C$15:$C$2015,M$13,$D$15:$D$2015,"&gt;="&amp;M105,$D$15:$D$2015,"&lt;"&amp;M106))</f>
        <v/>
      </c>
      <c r="O105" s="14" t="n"/>
      <c r="P105" s="16" t="n"/>
      <c r="Q105" s="124">
        <f>IF(P105="","",COUNTIFS($C$15:$C$2015,P$13,$D$15:$D$2015,"&gt;="&amp;P105,$D$15:$D$2015,"&lt;"&amp;P106))</f>
        <v/>
      </c>
      <c r="R105" s="14" t="n"/>
      <c r="S105" s="16" t="n"/>
      <c r="T105" s="124">
        <f>IF(S105="","",COUNTIFS($C$15:$C$2015,S$13,$D$15:$D$2015,"&gt;="&amp;S105,$D$15:$D$2015,"&lt;"&amp;S106))</f>
        <v/>
      </c>
      <c r="U105" s="14" t="n"/>
      <c r="V105" s="16" t="n"/>
      <c r="W105" s="124">
        <f>IF(V105="","",COUNTIFS($C$15:$C$2015,V$13,$D$15:$D$2015,"&gt;="&amp;V105,$D$15:$D$2015,"&lt;"&amp;V106))</f>
        <v/>
      </c>
      <c r="X105" s="14" t="n"/>
      <c r="Y105" s="16" t="n"/>
      <c r="Z105" s="124">
        <f>IF(Y105="","",COUNTIFS($C$15:$C$2015,Y$13,$D$15:$D$2015,"&gt;="&amp;Y105,$D$15:$D$2015,"&lt;"&amp;Y106))</f>
        <v/>
      </c>
      <c r="AA105" s="14" t="n"/>
      <c r="AB105" s="16" t="n"/>
      <c r="AC105" s="124">
        <f>IF(AB105="","",COUNTIFS($C$15:$C$2015,AB$13,$D$15:$D$2015,"&gt;="&amp;AB105,$D$15:$D$2015,"&lt;"&amp;AB106))</f>
        <v/>
      </c>
      <c r="AD105" s="14" t="n"/>
    </row>
    <row r="106">
      <c r="A106" s="56" t="n"/>
      <c r="B106" s="57" t="n"/>
      <c r="C106" s="59" t="n"/>
      <c r="E106" s="16" t="n"/>
      <c r="F106" s="13" t="n"/>
      <c r="G106" s="16" t="n"/>
      <c r="H106" s="124">
        <f>IF(G106="","",COUNTIFS($C$15:$C$2015,G$13,$D$15:$D$2015,"&gt;="&amp;G106,$D$15:$D$2015,"&lt;"&amp;G107))</f>
        <v/>
      </c>
      <c r="I106" s="14" t="n"/>
      <c r="J106" s="16" t="n"/>
      <c r="K106" s="124">
        <f>IF(J106="","",COUNTIFS($C$15:$C$2015,J$13,$D$15:$D$2015,"&gt;="&amp;J106,$D$15:$D$2015,"&lt;"&amp;J107))</f>
        <v/>
      </c>
      <c r="L106" s="14" t="n"/>
      <c r="M106" s="16" t="n"/>
      <c r="N106" s="124">
        <f>IF(M106="","",COUNTIFS($C$15:$C$2015,M$13,$D$15:$D$2015,"&gt;="&amp;M106,$D$15:$D$2015,"&lt;"&amp;M107))</f>
        <v/>
      </c>
      <c r="O106" s="14" t="n"/>
      <c r="P106" s="16" t="n"/>
      <c r="Q106" s="124">
        <f>IF(P106="","",COUNTIFS($C$15:$C$2015,P$13,$D$15:$D$2015,"&gt;="&amp;P106,$D$15:$D$2015,"&lt;"&amp;P107))</f>
        <v/>
      </c>
      <c r="R106" s="14" t="n"/>
      <c r="S106" s="16" t="n"/>
      <c r="T106" s="124">
        <f>IF(S106="","",COUNTIFS($C$15:$C$2015,S$13,$D$15:$D$2015,"&gt;="&amp;S106,$D$15:$D$2015,"&lt;"&amp;S107))</f>
        <v/>
      </c>
      <c r="U106" s="14" t="n"/>
      <c r="V106" s="16" t="n"/>
      <c r="W106" s="124">
        <f>IF(V106="","",COUNTIFS($C$15:$C$2015,V$13,$D$15:$D$2015,"&gt;="&amp;V106,$D$15:$D$2015,"&lt;"&amp;V107))</f>
        <v/>
      </c>
      <c r="X106" s="14" t="n"/>
      <c r="Y106" s="16" t="n"/>
      <c r="Z106" s="124">
        <f>IF(Y106="","",COUNTIFS($C$15:$C$2015,Y$13,$D$15:$D$2015,"&gt;="&amp;Y106,$D$15:$D$2015,"&lt;"&amp;Y107))</f>
        <v/>
      </c>
      <c r="AA106" s="14" t="n"/>
      <c r="AB106" s="16" t="n"/>
      <c r="AC106" s="124">
        <f>IF(AB106="","",COUNTIFS($C$15:$C$2015,AB$13,$D$15:$D$2015,"&gt;="&amp;AB106,$D$15:$D$2015,"&lt;"&amp;AB107))</f>
        <v/>
      </c>
      <c r="AD106" s="14" t="n"/>
    </row>
    <row r="107">
      <c r="A107" s="58" t="n"/>
      <c r="B107" s="59" t="n"/>
      <c r="C107" s="59" t="n"/>
      <c r="E107" s="16" t="n"/>
      <c r="F107" s="13" t="n"/>
      <c r="G107" s="16" t="n"/>
      <c r="H107" s="124">
        <f>IF(G107="","",COUNTIFS($C$15:$C$2015,G$13,$D$15:$D$2015,"&gt;="&amp;G107,$D$15:$D$2015,"&lt;"&amp;G108))</f>
        <v/>
      </c>
      <c r="I107" s="14" t="n"/>
      <c r="J107" s="16" t="n"/>
      <c r="K107" s="124">
        <f>IF(J107="","",COUNTIFS($C$15:$C$2015,J$13,$D$15:$D$2015,"&gt;="&amp;J107,$D$15:$D$2015,"&lt;"&amp;J108))</f>
        <v/>
      </c>
      <c r="L107" s="14" t="n"/>
      <c r="M107" s="16" t="n"/>
      <c r="N107" s="124">
        <f>IF(M107="","",COUNTIFS($C$15:$C$2015,M$13,$D$15:$D$2015,"&gt;="&amp;M107,$D$15:$D$2015,"&lt;"&amp;M108))</f>
        <v/>
      </c>
      <c r="O107" s="14" t="n"/>
      <c r="P107" s="16" t="n"/>
      <c r="Q107" s="124">
        <f>IF(P107="","",COUNTIFS($C$15:$C$2015,P$13,$D$15:$D$2015,"&gt;="&amp;P107,$D$15:$D$2015,"&lt;"&amp;P108))</f>
        <v/>
      </c>
      <c r="R107" s="14" t="n"/>
      <c r="S107" s="16" t="n"/>
      <c r="T107" s="124">
        <f>IF(S107="","",COUNTIFS($C$15:$C$2015,S$13,$D$15:$D$2015,"&gt;="&amp;S107,$D$15:$D$2015,"&lt;"&amp;S108))</f>
        <v/>
      </c>
      <c r="U107" s="14" t="n"/>
      <c r="V107" s="16" t="n"/>
      <c r="W107" s="124">
        <f>IF(V107="","",COUNTIFS($C$15:$C$2015,V$13,$D$15:$D$2015,"&gt;="&amp;V107,$D$15:$D$2015,"&lt;"&amp;V108))</f>
        <v/>
      </c>
      <c r="X107" s="14" t="n"/>
      <c r="Y107" s="16" t="n"/>
      <c r="Z107" s="124">
        <f>IF(Y107="","",COUNTIFS($C$15:$C$2015,Y$13,$D$15:$D$2015,"&gt;="&amp;Y107,$D$15:$D$2015,"&lt;"&amp;Y108))</f>
        <v/>
      </c>
      <c r="AA107" s="14" t="n"/>
      <c r="AB107" s="16" t="n"/>
      <c r="AC107" s="124">
        <f>IF(AB107="","",COUNTIFS($C$15:$C$2015,AB$13,$D$15:$D$2015,"&gt;="&amp;AB107,$D$15:$D$2015,"&lt;"&amp;AB108))</f>
        <v/>
      </c>
      <c r="AD107" s="14" t="n"/>
    </row>
    <row r="108">
      <c r="A108" s="56" t="n"/>
      <c r="B108" s="57" t="n"/>
      <c r="C108" s="59" t="n"/>
      <c r="E108" s="16" t="n"/>
      <c r="F108" s="13" t="n"/>
      <c r="G108" s="16" t="n"/>
      <c r="H108" s="124">
        <f>IF(G108="","",COUNTIFS($C$15:$C$2015,G$13,$D$15:$D$2015,"&gt;="&amp;G108,$D$15:$D$2015,"&lt;"&amp;G109))</f>
        <v/>
      </c>
      <c r="I108" s="14" t="n"/>
      <c r="J108" s="16" t="n"/>
      <c r="K108" s="124">
        <f>IF(J108="","",COUNTIFS($C$15:$C$2015,J$13,$D$15:$D$2015,"&gt;="&amp;J108,$D$15:$D$2015,"&lt;"&amp;J109))</f>
        <v/>
      </c>
      <c r="L108" s="14" t="n"/>
      <c r="M108" s="16" t="n"/>
      <c r="N108" s="124">
        <f>IF(M108="","",COUNTIFS($C$15:$C$2015,M$13,$D$15:$D$2015,"&gt;="&amp;M108,$D$15:$D$2015,"&lt;"&amp;M109))</f>
        <v/>
      </c>
      <c r="O108" s="14" t="n"/>
      <c r="P108" s="16" t="n"/>
      <c r="Q108" s="124">
        <f>IF(P108="","",COUNTIFS($C$15:$C$2015,P$13,$D$15:$D$2015,"&gt;="&amp;P108,$D$15:$D$2015,"&lt;"&amp;P109))</f>
        <v/>
      </c>
      <c r="R108" s="14" t="n"/>
      <c r="S108" s="16" t="n"/>
      <c r="T108" s="124">
        <f>IF(S108="","",COUNTIFS($C$15:$C$2015,S$13,$D$15:$D$2015,"&gt;="&amp;S108,$D$15:$D$2015,"&lt;"&amp;S109))</f>
        <v/>
      </c>
      <c r="U108" s="14" t="n"/>
      <c r="V108" s="16" t="n"/>
      <c r="W108" s="124">
        <f>IF(V108="","",COUNTIFS($C$15:$C$2015,V$13,$D$15:$D$2015,"&gt;="&amp;V108,$D$15:$D$2015,"&lt;"&amp;V109))</f>
        <v/>
      </c>
      <c r="X108" s="14" t="n"/>
      <c r="Y108" s="16" t="n"/>
      <c r="Z108" s="124">
        <f>IF(Y108="","",COUNTIFS($C$15:$C$2015,Y$13,$D$15:$D$2015,"&gt;="&amp;Y108,$D$15:$D$2015,"&lt;"&amp;Y109))</f>
        <v/>
      </c>
      <c r="AA108" s="14" t="n"/>
      <c r="AB108" s="16" t="n"/>
      <c r="AC108" s="124">
        <f>IF(AB108="","",COUNTIFS($C$15:$C$2015,AB$13,$D$15:$D$2015,"&gt;="&amp;AB108,$D$15:$D$2015,"&lt;"&amp;AB109))</f>
        <v/>
      </c>
      <c r="AD108" s="14" t="n"/>
    </row>
    <row r="109">
      <c r="A109" s="58" t="n"/>
      <c r="B109" s="59" t="n"/>
      <c r="C109" s="59" t="n"/>
      <c r="E109" s="16" t="n"/>
      <c r="F109" s="13" t="n"/>
      <c r="G109" s="16" t="n"/>
      <c r="H109" s="124">
        <f>IF(G109="","",COUNTIFS($C$15:$C$2015,G$13,$D$15:$D$2015,"&gt;="&amp;G109,$D$15:$D$2015,"&lt;"&amp;G110))</f>
        <v/>
      </c>
      <c r="I109" s="14" t="n"/>
      <c r="J109" s="16" t="n"/>
      <c r="K109" s="124">
        <f>IF(J109="","",COUNTIFS($C$15:$C$2015,J$13,$D$15:$D$2015,"&gt;="&amp;J109,$D$15:$D$2015,"&lt;"&amp;J110))</f>
        <v/>
      </c>
      <c r="L109" s="14" t="n"/>
      <c r="M109" s="16" t="n"/>
      <c r="N109" s="124">
        <f>IF(M109="","",COUNTIFS($C$15:$C$2015,M$13,$D$15:$D$2015,"&gt;="&amp;M109,$D$15:$D$2015,"&lt;"&amp;M110))</f>
        <v/>
      </c>
      <c r="O109" s="14" t="n"/>
      <c r="P109" s="16" t="n"/>
      <c r="Q109" s="124">
        <f>IF(P109="","",COUNTIFS($C$15:$C$2015,P$13,$D$15:$D$2015,"&gt;="&amp;P109,$D$15:$D$2015,"&lt;"&amp;P110))</f>
        <v/>
      </c>
      <c r="R109" s="14" t="n"/>
      <c r="S109" s="16" t="n"/>
      <c r="T109" s="124">
        <f>IF(S109="","",COUNTIFS($C$15:$C$2015,S$13,$D$15:$D$2015,"&gt;="&amp;S109,$D$15:$D$2015,"&lt;"&amp;S110))</f>
        <v/>
      </c>
      <c r="U109" s="14" t="n"/>
      <c r="V109" s="16" t="n"/>
      <c r="W109" s="124">
        <f>IF(V109="","",COUNTIFS($C$15:$C$2015,V$13,$D$15:$D$2015,"&gt;="&amp;V109,$D$15:$D$2015,"&lt;"&amp;V110))</f>
        <v/>
      </c>
      <c r="X109" s="14" t="n"/>
      <c r="Y109" s="16" t="n"/>
      <c r="Z109" s="124">
        <f>IF(Y109="","",COUNTIFS($C$15:$C$2015,Y$13,$D$15:$D$2015,"&gt;="&amp;Y109,$D$15:$D$2015,"&lt;"&amp;Y110))</f>
        <v/>
      </c>
      <c r="AA109" s="14" t="n"/>
      <c r="AB109" s="16" t="n"/>
      <c r="AC109" s="124">
        <f>IF(AB109="","",COUNTIFS($C$15:$C$2015,AB$13,$D$15:$D$2015,"&gt;="&amp;AB109,$D$15:$D$2015,"&lt;"&amp;AB110))</f>
        <v/>
      </c>
      <c r="AD109" s="14" t="n"/>
    </row>
    <row r="110">
      <c r="A110" s="56" t="n"/>
      <c r="B110" s="57" t="n"/>
      <c r="C110" s="59" t="n"/>
      <c r="E110" s="16" t="n"/>
      <c r="F110" s="13" t="n"/>
      <c r="G110" s="16" t="n"/>
      <c r="H110" s="124">
        <f>IF(G110="","",COUNTIFS($C$15:$C$2015,G$13,$D$15:$D$2015,"&gt;="&amp;G110,$D$15:$D$2015,"&lt;"&amp;G111))</f>
        <v/>
      </c>
      <c r="I110" s="14" t="n"/>
      <c r="J110" s="16" t="n"/>
      <c r="K110" s="124">
        <f>IF(J110="","",COUNTIFS($C$15:$C$2015,J$13,$D$15:$D$2015,"&gt;="&amp;J110,$D$15:$D$2015,"&lt;"&amp;J111))</f>
        <v/>
      </c>
      <c r="L110" s="14" t="n"/>
      <c r="M110" s="16" t="n"/>
      <c r="N110" s="124">
        <f>IF(M110="","",COUNTIFS($C$15:$C$2015,M$13,$D$15:$D$2015,"&gt;="&amp;M110,$D$15:$D$2015,"&lt;"&amp;M111))</f>
        <v/>
      </c>
      <c r="O110" s="14" t="n"/>
      <c r="P110" s="16" t="n"/>
      <c r="Q110" s="124">
        <f>IF(P110="","",COUNTIFS($C$15:$C$2015,P$13,$D$15:$D$2015,"&gt;="&amp;P110,$D$15:$D$2015,"&lt;"&amp;P111))</f>
        <v/>
      </c>
      <c r="R110" s="14" t="n"/>
      <c r="S110" s="16" t="n"/>
      <c r="T110" s="124">
        <f>IF(S110="","",COUNTIFS($C$15:$C$2015,S$13,$D$15:$D$2015,"&gt;="&amp;S110,$D$15:$D$2015,"&lt;"&amp;S111))</f>
        <v/>
      </c>
      <c r="U110" s="14" t="n"/>
      <c r="V110" s="16" t="n"/>
      <c r="W110" s="124">
        <f>IF(V110="","",COUNTIFS($C$15:$C$2015,V$13,$D$15:$D$2015,"&gt;="&amp;V110,$D$15:$D$2015,"&lt;"&amp;V111))</f>
        <v/>
      </c>
      <c r="X110" s="14" t="n"/>
      <c r="Y110" s="16" t="n"/>
      <c r="Z110" s="124">
        <f>IF(Y110="","",COUNTIFS($C$15:$C$2015,Y$13,$D$15:$D$2015,"&gt;="&amp;Y110,$D$15:$D$2015,"&lt;"&amp;Y111))</f>
        <v/>
      </c>
      <c r="AA110" s="14" t="n"/>
      <c r="AB110" s="16" t="n"/>
      <c r="AC110" s="124">
        <f>IF(AB110="","",COUNTIFS($C$15:$C$2015,AB$13,$D$15:$D$2015,"&gt;="&amp;AB110,$D$15:$D$2015,"&lt;"&amp;AB111))</f>
        <v/>
      </c>
      <c r="AD110" s="14" t="n"/>
    </row>
    <row r="111">
      <c r="A111" s="58" t="n"/>
      <c r="B111" s="59" t="n"/>
      <c r="C111" s="59" t="n"/>
      <c r="E111" s="16" t="n"/>
      <c r="F111" s="13" t="n"/>
      <c r="G111" s="16" t="n"/>
      <c r="H111" s="124">
        <f>IF(G111="","",COUNTIFS($C$15:$C$2015,G$13,$D$15:$D$2015,"&gt;="&amp;G111,$D$15:$D$2015,"&lt;"&amp;G112))</f>
        <v/>
      </c>
      <c r="I111" s="14" t="n"/>
      <c r="J111" s="16" t="n"/>
      <c r="K111" s="124">
        <f>IF(J111="","",COUNTIFS($C$15:$C$2015,J$13,$D$15:$D$2015,"&gt;="&amp;J111,$D$15:$D$2015,"&lt;"&amp;J112))</f>
        <v/>
      </c>
      <c r="L111" s="14" t="n"/>
      <c r="M111" s="16" t="n"/>
      <c r="N111" s="124">
        <f>IF(M111="","",COUNTIFS($C$15:$C$2015,M$13,$D$15:$D$2015,"&gt;="&amp;M111,$D$15:$D$2015,"&lt;"&amp;M112))</f>
        <v/>
      </c>
      <c r="O111" s="14" t="n"/>
      <c r="P111" s="16" t="n"/>
      <c r="Q111" s="124">
        <f>IF(P111="","",COUNTIFS($C$15:$C$2015,P$13,$D$15:$D$2015,"&gt;="&amp;P111,$D$15:$D$2015,"&lt;"&amp;P112))</f>
        <v/>
      </c>
      <c r="R111" s="14" t="n"/>
      <c r="S111" s="16" t="n"/>
      <c r="T111" s="124">
        <f>IF(S111="","",COUNTIFS($C$15:$C$2015,S$13,$D$15:$D$2015,"&gt;="&amp;S111,$D$15:$D$2015,"&lt;"&amp;S112))</f>
        <v/>
      </c>
      <c r="U111" s="14" t="n"/>
      <c r="V111" s="16" t="n"/>
      <c r="W111" s="124">
        <f>IF(V111="","",COUNTIFS($C$15:$C$2015,V$13,$D$15:$D$2015,"&gt;="&amp;V111,$D$15:$D$2015,"&lt;"&amp;V112))</f>
        <v/>
      </c>
      <c r="X111" s="14" t="n"/>
      <c r="Y111" s="16" t="n"/>
      <c r="Z111" s="124">
        <f>IF(Y111="","",COUNTIFS($C$15:$C$2015,Y$13,$D$15:$D$2015,"&gt;="&amp;Y111,$D$15:$D$2015,"&lt;"&amp;Y112))</f>
        <v/>
      </c>
      <c r="AA111" s="14" t="n"/>
      <c r="AB111" s="16" t="n"/>
      <c r="AC111" s="124">
        <f>IF(AB111="","",COUNTIFS($C$15:$C$2015,AB$13,$D$15:$D$2015,"&gt;="&amp;AB111,$D$15:$D$2015,"&lt;"&amp;AB112))</f>
        <v/>
      </c>
      <c r="AD111" s="14" t="n"/>
    </row>
    <row r="112">
      <c r="A112" s="56" t="n"/>
      <c r="B112" s="57" t="n"/>
      <c r="C112" s="59" t="n"/>
      <c r="E112" s="16" t="n"/>
      <c r="F112" s="13" t="n"/>
      <c r="G112" s="16" t="n"/>
      <c r="H112" s="124">
        <f>IF(G112="","",COUNTIFS($C$15:$C$2015,G$13,$D$15:$D$2015,"&gt;="&amp;G112,$D$15:$D$2015,"&lt;"&amp;G113))</f>
        <v/>
      </c>
      <c r="I112" s="14" t="n"/>
      <c r="J112" s="16" t="n"/>
      <c r="K112" s="124">
        <f>IF(J112="","",COUNTIFS($C$15:$C$2015,J$13,$D$15:$D$2015,"&gt;="&amp;J112,$D$15:$D$2015,"&lt;"&amp;J113))</f>
        <v/>
      </c>
      <c r="L112" s="14" t="n"/>
      <c r="M112" s="16" t="n"/>
      <c r="N112" s="124">
        <f>IF(M112="","",COUNTIFS($C$15:$C$2015,M$13,$D$15:$D$2015,"&gt;="&amp;M112,$D$15:$D$2015,"&lt;"&amp;M113))</f>
        <v/>
      </c>
      <c r="O112" s="14" t="n"/>
      <c r="P112" s="16" t="n"/>
      <c r="Q112" s="124">
        <f>IF(P112="","",COUNTIFS($C$15:$C$2015,P$13,$D$15:$D$2015,"&gt;="&amp;P112,$D$15:$D$2015,"&lt;"&amp;P113))</f>
        <v/>
      </c>
      <c r="R112" s="14" t="n"/>
      <c r="S112" s="16" t="n"/>
      <c r="T112" s="124">
        <f>IF(S112="","",COUNTIFS($C$15:$C$2015,S$13,$D$15:$D$2015,"&gt;="&amp;S112,$D$15:$D$2015,"&lt;"&amp;S113))</f>
        <v/>
      </c>
      <c r="U112" s="14" t="n"/>
      <c r="V112" s="16" t="n"/>
      <c r="W112" s="124">
        <f>IF(V112="","",COUNTIFS($C$15:$C$2015,V$13,$D$15:$D$2015,"&gt;="&amp;V112,$D$15:$D$2015,"&lt;"&amp;V113))</f>
        <v/>
      </c>
      <c r="X112" s="14" t="n"/>
      <c r="Y112" s="16" t="n"/>
      <c r="Z112" s="124">
        <f>IF(Y112="","",COUNTIFS($C$15:$C$2015,Y$13,$D$15:$D$2015,"&gt;="&amp;Y112,$D$15:$D$2015,"&lt;"&amp;Y113))</f>
        <v/>
      </c>
      <c r="AA112" s="14" t="n"/>
      <c r="AB112" s="16" t="n"/>
      <c r="AC112" s="124">
        <f>IF(AB112="","",COUNTIFS($C$15:$C$2015,AB$13,$D$15:$D$2015,"&gt;="&amp;AB112,$D$15:$D$2015,"&lt;"&amp;AB113))</f>
        <v/>
      </c>
      <c r="AD112" s="14" t="n"/>
    </row>
    <row r="113">
      <c r="A113" s="58" t="n"/>
      <c r="B113" s="59" t="n"/>
      <c r="C113" s="59" t="n"/>
      <c r="E113" s="16" t="n"/>
      <c r="F113" s="13" t="n"/>
      <c r="G113" s="16" t="n"/>
      <c r="H113" s="124">
        <f>IF(G113="","",COUNTIFS($C$15:$C$2015,G$13,$D$15:$D$2015,"&gt;="&amp;G113,$D$15:$D$2015,"&lt;"&amp;G114))</f>
        <v/>
      </c>
      <c r="I113" s="14" t="n"/>
      <c r="J113" s="16" t="n"/>
      <c r="K113" s="124">
        <f>IF(J113="","",COUNTIFS($C$15:$C$2015,J$13,$D$15:$D$2015,"&gt;="&amp;J113,$D$15:$D$2015,"&lt;"&amp;J114))</f>
        <v/>
      </c>
      <c r="L113" s="14" t="n"/>
      <c r="M113" s="16" t="n"/>
      <c r="N113" s="124">
        <f>IF(M113="","",COUNTIFS($C$15:$C$2015,M$13,$D$15:$D$2015,"&gt;="&amp;M113,$D$15:$D$2015,"&lt;"&amp;M114))</f>
        <v/>
      </c>
      <c r="O113" s="14" t="n"/>
      <c r="P113" s="16" t="n"/>
      <c r="Q113" s="124">
        <f>IF(P113="","",COUNTIFS($C$15:$C$2015,P$13,$D$15:$D$2015,"&gt;="&amp;P113,$D$15:$D$2015,"&lt;"&amp;P114))</f>
        <v/>
      </c>
      <c r="R113" s="14" t="n"/>
      <c r="S113" s="16" t="n"/>
      <c r="T113" s="124">
        <f>IF(S113="","",COUNTIFS($C$15:$C$2015,S$13,$D$15:$D$2015,"&gt;="&amp;S113,$D$15:$D$2015,"&lt;"&amp;S114))</f>
        <v/>
      </c>
      <c r="U113" s="14" t="n"/>
      <c r="V113" s="16" t="n"/>
      <c r="W113" s="124">
        <f>IF(V113="","",COUNTIFS($C$15:$C$2015,V$13,$D$15:$D$2015,"&gt;="&amp;V113,$D$15:$D$2015,"&lt;"&amp;V114))</f>
        <v/>
      </c>
      <c r="X113" s="14" t="n"/>
      <c r="Y113" s="16" t="n"/>
      <c r="Z113" s="124">
        <f>IF(Y113="","",COUNTIFS($C$15:$C$2015,Y$13,$D$15:$D$2015,"&gt;="&amp;Y113,$D$15:$D$2015,"&lt;"&amp;Y114))</f>
        <v/>
      </c>
      <c r="AA113" s="14" t="n"/>
      <c r="AB113" s="16" t="n"/>
      <c r="AC113" s="124">
        <f>IF(AB113="","",COUNTIFS($C$15:$C$2015,AB$13,$D$15:$D$2015,"&gt;="&amp;AB113,$D$15:$D$2015,"&lt;"&amp;AB114))</f>
        <v/>
      </c>
      <c r="AD113" s="14" t="n"/>
    </row>
    <row r="114">
      <c r="A114" s="56" t="n"/>
      <c r="B114" s="57" t="n"/>
      <c r="C114" s="59" t="n"/>
      <c r="E114" s="16" t="n"/>
      <c r="F114" s="13" t="n"/>
      <c r="G114" s="16" t="n"/>
      <c r="H114" s="124">
        <f>IF(G114="","",COUNTIFS($C$15:$C$2015,G$13,$D$15:$D$2015,"&gt;="&amp;G114,$D$15:$D$2015,"&lt;"&amp;G115))</f>
        <v/>
      </c>
      <c r="I114" s="14" t="n"/>
      <c r="J114" s="16" t="n"/>
      <c r="K114" s="124">
        <f>IF(J114="","",COUNTIFS($C$15:$C$2015,J$13,$D$15:$D$2015,"&gt;="&amp;J114,$D$15:$D$2015,"&lt;"&amp;J115))</f>
        <v/>
      </c>
      <c r="L114" s="14" t="n"/>
      <c r="M114" s="16" t="n"/>
      <c r="N114" s="124">
        <f>IF(M114="","",COUNTIFS($C$15:$C$2015,M$13,$D$15:$D$2015,"&gt;="&amp;M114,$D$15:$D$2015,"&lt;"&amp;M115))</f>
        <v/>
      </c>
      <c r="O114" s="14" t="n"/>
      <c r="P114" s="16" t="n"/>
      <c r="Q114" s="124">
        <f>IF(P114="","",COUNTIFS($C$15:$C$2015,P$13,$D$15:$D$2015,"&gt;="&amp;P114,$D$15:$D$2015,"&lt;"&amp;P115))</f>
        <v/>
      </c>
      <c r="R114" s="14" t="n"/>
      <c r="S114" s="16" t="n"/>
      <c r="T114" s="124">
        <f>IF(S114="","",COUNTIFS($C$15:$C$2015,S$13,$D$15:$D$2015,"&gt;="&amp;S114,$D$15:$D$2015,"&lt;"&amp;S115))</f>
        <v/>
      </c>
      <c r="U114" s="14" t="n"/>
      <c r="V114" s="16" t="n"/>
      <c r="W114" s="124">
        <f>IF(V114="","",COUNTIFS($C$15:$C$2015,V$13,$D$15:$D$2015,"&gt;="&amp;V114,$D$15:$D$2015,"&lt;"&amp;V115))</f>
        <v/>
      </c>
      <c r="X114" s="14" t="n"/>
      <c r="Y114" s="16" t="n"/>
      <c r="Z114" s="124">
        <f>IF(Y114="","",COUNTIFS($C$15:$C$2015,Y$13,$D$15:$D$2015,"&gt;="&amp;Y114,$D$15:$D$2015,"&lt;"&amp;Y115))</f>
        <v/>
      </c>
      <c r="AA114" s="14" t="n"/>
      <c r="AB114" s="16" t="n"/>
      <c r="AC114" s="124">
        <f>IF(AB114="","",COUNTIFS($C$15:$C$2015,AB$13,$D$15:$D$2015,"&gt;="&amp;AB114,$D$15:$D$2015,"&lt;"&amp;AB115))</f>
        <v/>
      </c>
      <c r="AD114" s="14" t="n"/>
    </row>
    <row r="115">
      <c r="A115" s="58" t="n"/>
      <c r="B115" s="59" t="n"/>
      <c r="C115" s="59" t="n"/>
      <c r="E115" s="16" t="n"/>
      <c r="F115" s="13" t="n"/>
      <c r="G115" s="16" t="n"/>
      <c r="H115" s="124">
        <f>IF(G115="","",COUNTIFS($C$15:$C$2015,G$13,$D$15:$D$2015,"&gt;="&amp;G115,$D$15:$D$2015,"&lt;"&amp;G116))</f>
        <v/>
      </c>
      <c r="I115" s="14" t="n"/>
      <c r="J115" s="16" t="n"/>
      <c r="K115" s="124">
        <f>IF(J115="","",COUNTIFS($C$15:$C$2015,J$13,$D$15:$D$2015,"&gt;="&amp;J115,$D$15:$D$2015,"&lt;"&amp;J116))</f>
        <v/>
      </c>
      <c r="L115" s="14" t="n"/>
      <c r="M115" s="16" t="n"/>
      <c r="N115" s="124">
        <f>IF(M115="","",COUNTIFS($C$15:$C$2015,M$13,$D$15:$D$2015,"&gt;="&amp;M115,$D$15:$D$2015,"&lt;"&amp;M116))</f>
        <v/>
      </c>
      <c r="O115" s="14" t="n"/>
      <c r="P115" s="16" t="n"/>
      <c r="Q115" s="124">
        <f>IF(P115="","",COUNTIFS($C$15:$C$2015,P$13,$D$15:$D$2015,"&gt;="&amp;P115,$D$15:$D$2015,"&lt;"&amp;P116))</f>
        <v/>
      </c>
      <c r="R115" s="14" t="n"/>
      <c r="S115" s="16" t="n"/>
      <c r="T115" s="124">
        <f>IF(S115="","",COUNTIFS($C$15:$C$2015,S$13,$D$15:$D$2015,"&gt;="&amp;S115,$D$15:$D$2015,"&lt;"&amp;S116))</f>
        <v/>
      </c>
      <c r="U115" s="14" t="n"/>
      <c r="V115" s="16" t="n"/>
      <c r="W115" s="124">
        <f>IF(V115="","",COUNTIFS($C$15:$C$2015,V$13,$D$15:$D$2015,"&gt;="&amp;V115,$D$15:$D$2015,"&lt;"&amp;V116))</f>
        <v/>
      </c>
      <c r="X115" s="14" t="n"/>
      <c r="Y115" s="16" t="n"/>
      <c r="Z115" s="124">
        <f>IF(Y115="","",COUNTIFS($C$15:$C$2015,Y$13,$D$15:$D$2015,"&gt;="&amp;Y115,$D$15:$D$2015,"&lt;"&amp;Y116))</f>
        <v/>
      </c>
      <c r="AA115" s="14" t="n"/>
      <c r="AB115" s="16" t="n"/>
      <c r="AC115" s="124">
        <f>IF(AB115="","",COUNTIFS($C$15:$C$2015,AB$13,$D$15:$D$2015,"&gt;="&amp;AB115,$D$15:$D$2015,"&lt;"&amp;AB116))</f>
        <v/>
      </c>
      <c r="AD115" s="14" t="n"/>
    </row>
    <row r="116">
      <c r="A116" s="56" t="n"/>
      <c r="B116" s="57" t="n"/>
      <c r="C116" s="59" t="n"/>
      <c r="E116" s="16" t="n"/>
      <c r="F116" s="13" t="n"/>
      <c r="G116" s="16" t="n"/>
      <c r="H116" s="124">
        <f>IF(G116="","",COUNTIFS($C$15:$C$2015,G$13,$D$15:$D$2015,"&gt;="&amp;G116,$D$15:$D$2015,"&lt;"&amp;G117))</f>
        <v/>
      </c>
      <c r="I116" s="14" t="n"/>
      <c r="J116" s="16" t="n"/>
      <c r="K116" s="124">
        <f>IF(J116="","",COUNTIFS($C$15:$C$2015,J$13,$D$15:$D$2015,"&gt;="&amp;J116,$D$15:$D$2015,"&lt;"&amp;J117))</f>
        <v/>
      </c>
      <c r="L116" s="14" t="n"/>
      <c r="M116" s="16" t="n"/>
      <c r="N116" s="124">
        <f>IF(M116="","",COUNTIFS($C$15:$C$2015,M$13,$D$15:$D$2015,"&gt;="&amp;M116,$D$15:$D$2015,"&lt;"&amp;M117))</f>
        <v/>
      </c>
      <c r="O116" s="14" t="n"/>
      <c r="P116" s="16" t="n"/>
      <c r="Q116" s="124">
        <f>IF(P116="","",COUNTIFS($C$15:$C$2015,P$13,$D$15:$D$2015,"&gt;="&amp;P116,$D$15:$D$2015,"&lt;"&amp;P117))</f>
        <v/>
      </c>
      <c r="R116" s="14" t="n"/>
      <c r="S116" s="16" t="n"/>
      <c r="T116" s="124">
        <f>IF(S116="","",COUNTIFS($C$15:$C$2015,S$13,$D$15:$D$2015,"&gt;="&amp;S116,$D$15:$D$2015,"&lt;"&amp;S117))</f>
        <v/>
      </c>
      <c r="U116" s="14" t="n"/>
      <c r="V116" s="16" t="n"/>
      <c r="W116" s="124">
        <f>IF(V116="","",COUNTIFS($C$15:$C$2015,V$13,$D$15:$D$2015,"&gt;="&amp;V116,$D$15:$D$2015,"&lt;"&amp;V117))</f>
        <v/>
      </c>
      <c r="X116" s="14" t="n"/>
      <c r="Y116" s="16" t="n"/>
      <c r="Z116" s="124">
        <f>IF(Y116="","",COUNTIFS($C$15:$C$2015,Y$13,$D$15:$D$2015,"&gt;="&amp;Y116,$D$15:$D$2015,"&lt;"&amp;Y117))</f>
        <v/>
      </c>
      <c r="AA116" s="14" t="n"/>
      <c r="AB116" s="16" t="n"/>
      <c r="AC116" s="124">
        <f>IF(AB116="","",COUNTIFS($C$15:$C$2015,AB$13,$D$15:$D$2015,"&gt;="&amp;AB116,$D$15:$D$2015,"&lt;"&amp;AB117))</f>
        <v/>
      </c>
      <c r="AD116" s="14" t="n"/>
    </row>
    <row r="117">
      <c r="A117" s="58" t="n"/>
      <c r="B117" s="59" t="n"/>
      <c r="C117" s="59" t="n"/>
      <c r="E117" s="16" t="n"/>
      <c r="F117" s="13" t="n"/>
      <c r="G117" s="16" t="n"/>
      <c r="H117" s="124">
        <f>IF(G117="","",COUNTIFS($C$15:$C$2015,G$13,$D$15:$D$2015,"&gt;="&amp;G117,$D$15:$D$2015,"&lt;"&amp;G118))</f>
        <v/>
      </c>
      <c r="I117" s="14" t="n"/>
      <c r="J117" s="16" t="n"/>
      <c r="K117" s="124">
        <f>IF(J117="","",COUNTIFS($C$15:$C$2015,J$13,$D$15:$D$2015,"&gt;="&amp;J117,$D$15:$D$2015,"&lt;"&amp;J118))</f>
        <v/>
      </c>
      <c r="L117" s="14" t="n"/>
      <c r="M117" s="16" t="n"/>
      <c r="N117" s="124">
        <f>IF(M117="","",COUNTIFS($C$15:$C$2015,M$13,$D$15:$D$2015,"&gt;="&amp;M117,$D$15:$D$2015,"&lt;"&amp;M118))</f>
        <v/>
      </c>
      <c r="O117" s="14" t="n"/>
      <c r="P117" s="16" t="n"/>
      <c r="Q117" s="124">
        <f>IF(P117="","",COUNTIFS($C$15:$C$2015,P$13,$D$15:$D$2015,"&gt;="&amp;P117,$D$15:$D$2015,"&lt;"&amp;P118))</f>
        <v/>
      </c>
      <c r="R117" s="14" t="n"/>
      <c r="S117" s="16" t="n"/>
      <c r="T117" s="124">
        <f>IF(S117="","",COUNTIFS($C$15:$C$2015,S$13,$D$15:$D$2015,"&gt;="&amp;S117,$D$15:$D$2015,"&lt;"&amp;S118))</f>
        <v/>
      </c>
      <c r="U117" s="14" t="n"/>
      <c r="V117" s="16" t="n"/>
      <c r="W117" s="124">
        <f>IF(V117="","",COUNTIFS($C$15:$C$2015,V$13,$D$15:$D$2015,"&gt;="&amp;V117,$D$15:$D$2015,"&lt;"&amp;V118))</f>
        <v/>
      </c>
      <c r="X117" s="14" t="n"/>
      <c r="Y117" s="16" t="n"/>
      <c r="Z117" s="124">
        <f>IF(Y117="","",COUNTIFS($C$15:$C$2015,Y$13,$D$15:$D$2015,"&gt;="&amp;Y117,$D$15:$D$2015,"&lt;"&amp;Y118))</f>
        <v/>
      </c>
      <c r="AA117" s="14" t="n"/>
      <c r="AB117" s="16" t="n"/>
      <c r="AC117" s="124">
        <f>IF(AB117="","",COUNTIFS($C$15:$C$2015,AB$13,$D$15:$D$2015,"&gt;="&amp;AB117,$D$15:$D$2015,"&lt;"&amp;AB118))</f>
        <v/>
      </c>
      <c r="AD117" s="14" t="n"/>
    </row>
    <row r="118">
      <c r="A118" s="56" t="n"/>
      <c r="B118" s="57" t="n"/>
      <c r="C118" s="59" t="n"/>
      <c r="E118" s="16" t="n"/>
      <c r="F118" s="13" t="n"/>
      <c r="G118" s="16" t="n"/>
      <c r="H118" s="124">
        <f>IF(G118="","",COUNTIFS($C$15:$C$2015,G$13,$D$15:$D$2015,"&gt;="&amp;G118,$D$15:$D$2015,"&lt;"&amp;G119))</f>
        <v/>
      </c>
      <c r="I118" s="14" t="n"/>
      <c r="J118" s="16" t="n"/>
      <c r="K118" s="124">
        <f>IF(J118="","",COUNTIFS($C$15:$C$2015,J$13,$D$15:$D$2015,"&gt;="&amp;J118,$D$15:$D$2015,"&lt;"&amp;J119))</f>
        <v/>
      </c>
      <c r="L118" s="14" t="n"/>
      <c r="M118" s="16" t="n"/>
      <c r="N118" s="124">
        <f>IF(M118="","",COUNTIFS($C$15:$C$2015,M$13,$D$15:$D$2015,"&gt;="&amp;M118,$D$15:$D$2015,"&lt;"&amp;M119))</f>
        <v/>
      </c>
      <c r="O118" s="14" t="n"/>
      <c r="P118" s="16" t="n"/>
      <c r="Q118" s="124">
        <f>IF(P118="","",COUNTIFS($C$15:$C$2015,P$13,$D$15:$D$2015,"&gt;="&amp;P118,$D$15:$D$2015,"&lt;"&amp;P119))</f>
        <v/>
      </c>
      <c r="R118" s="14" t="n"/>
      <c r="S118" s="16" t="n"/>
      <c r="T118" s="124">
        <f>IF(S118="","",COUNTIFS($C$15:$C$2015,S$13,$D$15:$D$2015,"&gt;="&amp;S118,$D$15:$D$2015,"&lt;"&amp;S119))</f>
        <v/>
      </c>
      <c r="U118" s="14" t="n"/>
      <c r="V118" s="16" t="n"/>
      <c r="W118" s="124">
        <f>IF(V118="","",COUNTIFS($C$15:$C$2015,V$13,$D$15:$D$2015,"&gt;="&amp;V118,$D$15:$D$2015,"&lt;"&amp;V119))</f>
        <v/>
      </c>
      <c r="X118" s="14" t="n"/>
      <c r="Y118" s="16" t="n"/>
      <c r="Z118" s="124">
        <f>IF(Y118="","",COUNTIFS($C$15:$C$2015,Y$13,$D$15:$D$2015,"&gt;="&amp;Y118,$D$15:$D$2015,"&lt;"&amp;Y119))</f>
        <v/>
      </c>
      <c r="AA118" s="14" t="n"/>
      <c r="AB118" s="16" t="n"/>
      <c r="AC118" s="124">
        <f>IF(AB118="","",COUNTIFS($C$15:$C$2015,AB$13,$D$15:$D$2015,"&gt;="&amp;AB118,$D$15:$D$2015,"&lt;"&amp;AB119))</f>
        <v/>
      </c>
      <c r="AD118" s="14" t="n"/>
    </row>
    <row r="119">
      <c r="A119" s="58" t="n"/>
      <c r="B119" s="59" t="n"/>
      <c r="C119" s="59" t="n"/>
      <c r="E119" s="16" t="n"/>
      <c r="F119" s="13" t="n"/>
      <c r="G119" s="16" t="n"/>
      <c r="H119" s="124">
        <f>IF(G119="","",COUNTIFS($C$15:$C$2015,G$13,$D$15:$D$2015,"&gt;="&amp;G119,$D$15:$D$2015,"&lt;"&amp;G120))</f>
        <v/>
      </c>
      <c r="I119" s="14" t="n"/>
      <c r="J119" s="16" t="n"/>
      <c r="K119" s="124">
        <f>IF(J119="","",COUNTIFS($C$15:$C$2015,J$13,$D$15:$D$2015,"&gt;="&amp;J119,$D$15:$D$2015,"&lt;"&amp;J120))</f>
        <v/>
      </c>
      <c r="L119" s="14" t="n"/>
      <c r="M119" s="16" t="n"/>
      <c r="N119" s="124">
        <f>IF(M119="","",COUNTIFS($C$15:$C$2015,M$13,$D$15:$D$2015,"&gt;="&amp;M119,$D$15:$D$2015,"&lt;"&amp;M120))</f>
        <v/>
      </c>
      <c r="O119" s="14" t="n"/>
      <c r="P119" s="16" t="n"/>
      <c r="Q119" s="124">
        <f>IF(P119="","",COUNTIFS($C$15:$C$2015,P$13,$D$15:$D$2015,"&gt;="&amp;P119,$D$15:$D$2015,"&lt;"&amp;P120))</f>
        <v/>
      </c>
      <c r="R119" s="14" t="n"/>
      <c r="S119" s="16" t="n"/>
      <c r="T119" s="124">
        <f>IF(S119="","",COUNTIFS($C$15:$C$2015,S$13,$D$15:$D$2015,"&gt;="&amp;S119,$D$15:$D$2015,"&lt;"&amp;S120))</f>
        <v/>
      </c>
      <c r="U119" s="14" t="n"/>
      <c r="V119" s="16" t="n"/>
      <c r="W119" s="124">
        <f>IF(V119="","",COUNTIFS($C$15:$C$2015,V$13,$D$15:$D$2015,"&gt;="&amp;V119,$D$15:$D$2015,"&lt;"&amp;V120))</f>
        <v/>
      </c>
      <c r="X119" s="14" t="n"/>
      <c r="Y119" s="16" t="n"/>
      <c r="Z119" s="124">
        <f>IF(Y119="","",COUNTIFS($C$15:$C$2015,Y$13,$D$15:$D$2015,"&gt;="&amp;Y119,$D$15:$D$2015,"&lt;"&amp;Y120))</f>
        <v/>
      </c>
      <c r="AA119" s="14" t="n"/>
      <c r="AB119" s="16" t="n"/>
      <c r="AC119" s="124">
        <f>IF(AB119="","",COUNTIFS($C$15:$C$2015,AB$13,$D$15:$D$2015,"&gt;="&amp;AB119,$D$15:$D$2015,"&lt;"&amp;AB120))</f>
        <v/>
      </c>
      <c r="AD119" s="14" t="n"/>
    </row>
    <row r="120">
      <c r="A120" s="56" t="n"/>
      <c r="B120" s="57" t="n"/>
      <c r="C120" s="59" t="n"/>
      <c r="E120" s="16" t="n"/>
      <c r="F120" s="13" t="n"/>
      <c r="G120" s="16" t="n"/>
      <c r="H120" s="124">
        <f>IF(G120="","",COUNTIFS($C$15:$C$2015,G$13,$D$15:$D$2015,"&gt;="&amp;G120,$D$15:$D$2015,"&lt;"&amp;G121))</f>
        <v/>
      </c>
      <c r="I120" s="14" t="n"/>
      <c r="J120" s="16" t="n"/>
      <c r="K120" s="124">
        <f>IF(J120="","",COUNTIFS($C$15:$C$2015,J$13,$D$15:$D$2015,"&gt;="&amp;J120,$D$15:$D$2015,"&lt;"&amp;J121))</f>
        <v/>
      </c>
      <c r="L120" s="14" t="n"/>
      <c r="M120" s="16" t="n"/>
      <c r="N120" s="124">
        <f>IF(M120="","",COUNTIFS($C$15:$C$2015,M$13,$D$15:$D$2015,"&gt;="&amp;M120,$D$15:$D$2015,"&lt;"&amp;M121))</f>
        <v/>
      </c>
      <c r="O120" s="14" t="n"/>
      <c r="P120" s="16" t="n"/>
      <c r="Q120" s="124">
        <f>IF(P120="","",COUNTIFS($C$15:$C$2015,P$13,$D$15:$D$2015,"&gt;="&amp;P120,$D$15:$D$2015,"&lt;"&amp;P121))</f>
        <v/>
      </c>
      <c r="R120" s="14" t="n"/>
      <c r="S120" s="16" t="n"/>
      <c r="T120" s="124">
        <f>IF(S120="","",COUNTIFS($C$15:$C$2015,S$13,$D$15:$D$2015,"&gt;="&amp;S120,$D$15:$D$2015,"&lt;"&amp;S121))</f>
        <v/>
      </c>
      <c r="U120" s="14" t="n"/>
      <c r="V120" s="16" t="n"/>
      <c r="W120" s="124">
        <f>IF(V120="","",COUNTIFS($C$15:$C$2015,V$13,$D$15:$D$2015,"&gt;="&amp;V120,$D$15:$D$2015,"&lt;"&amp;V121))</f>
        <v/>
      </c>
      <c r="X120" s="14" t="n"/>
      <c r="Y120" s="16" t="n"/>
      <c r="Z120" s="124">
        <f>IF(Y120="","",COUNTIFS($C$15:$C$2015,Y$13,$D$15:$D$2015,"&gt;="&amp;Y120,$D$15:$D$2015,"&lt;"&amp;Y121))</f>
        <v/>
      </c>
      <c r="AA120" s="14" t="n"/>
      <c r="AB120" s="16" t="n"/>
      <c r="AC120" s="124">
        <f>IF(AB120="","",COUNTIFS($C$15:$C$2015,AB$13,$D$15:$D$2015,"&gt;="&amp;AB120,$D$15:$D$2015,"&lt;"&amp;AB121))</f>
        <v/>
      </c>
      <c r="AD120" s="14" t="n"/>
    </row>
    <row r="121">
      <c r="A121" s="58" t="n"/>
      <c r="B121" s="59" t="n"/>
      <c r="C121" s="59" t="n"/>
      <c r="E121" s="16" t="n"/>
      <c r="F121" s="13" t="n"/>
      <c r="G121" s="16" t="n"/>
      <c r="H121" s="124">
        <f>IF(G121="","",COUNTIFS($C$15:$C$2015,G$13,$D$15:$D$2015,"&gt;="&amp;G121,$D$15:$D$2015,"&lt;"&amp;G122))</f>
        <v/>
      </c>
      <c r="I121" s="14" t="n"/>
      <c r="J121" s="16" t="n"/>
      <c r="K121" s="124">
        <f>IF(J121="","",COUNTIFS($C$15:$C$2015,J$13,$D$15:$D$2015,"&gt;="&amp;J121,$D$15:$D$2015,"&lt;"&amp;J122))</f>
        <v/>
      </c>
      <c r="L121" s="14" t="n"/>
      <c r="M121" s="16" t="n"/>
      <c r="N121" s="124">
        <f>IF(M121="","",COUNTIFS($C$15:$C$2015,M$13,$D$15:$D$2015,"&gt;="&amp;M121,$D$15:$D$2015,"&lt;"&amp;M122))</f>
        <v/>
      </c>
      <c r="O121" s="14" t="n"/>
      <c r="P121" s="16" t="n"/>
      <c r="Q121" s="124">
        <f>IF(P121="","",COUNTIFS($C$15:$C$2015,P$13,$D$15:$D$2015,"&gt;="&amp;P121,$D$15:$D$2015,"&lt;"&amp;P122))</f>
        <v/>
      </c>
      <c r="R121" s="14" t="n"/>
      <c r="S121" s="16" t="n"/>
      <c r="T121" s="124">
        <f>IF(S121="","",COUNTIFS($C$15:$C$2015,S$13,$D$15:$D$2015,"&gt;="&amp;S121,$D$15:$D$2015,"&lt;"&amp;S122))</f>
        <v/>
      </c>
      <c r="U121" s="14" t="n"/>
      <c r="V121" s="16" t="n"/>
      <c r="W121" s="124">
        <f>IF(V121="","",COUNTIFS($C$15:$C$2015,V$13,$D$15:$D$2015,"&gt;="&amp;V121,$D$15:$D$2015,"&lt;"&amp;V122))</f>
        <v/>
      </c>
      <c r="X121" s="14" t="n"/>
      <c r="Y121" s="16" t="n"/>
      <c r="Z121" s="124">
        <f>IF(Y121="","",COUNTIFS($C$15:$C$2015,Y$13,$D$15:$D$2015,"&gt;="&amp;Y121,$D$15:$D$2015,"&lt;"&amp;Y122))</f>
        <v/>
      </c>
      <c r="AA121" s="14" t="n"/>
      <c r="AB121" s="16" t="n"/>
      <c r="AC121" s="124">
        <f>IF(AB121="","",COUNTIFS($C$15:$C$2015,AB$13,$D$15:$D$2015,"&gt;="&amp;AB121,$D$15:$D$2015,"&lt;"&amp;AB122))</f>
        <v/>
      </c>
      <c r="AD121" s="14" t="n"/>
    </row>
    <row r="122">
      <c r="A122" s="56" t="n"/>
      <c r="B122" s="57" t="n"/>
      <c r="C122" s="59" t="n"/>
      <c r="E122" s="16" t="n"/>
      <c r="F122" s="13" t="n"/>
      <c r="G122" s="16" t="n"/>
      <c r="H122" s="124">
        <f>IF(G122="","",COUNTIFS($C$15:$C$2015,G$13,$D$15:$D$2015,"&gt;="&amp;G122,$D$15:$D$2015,"&lt;"&amp;G123))</f>
        <v/>
      </c>
      <c r="I122" s="14" t="n"/>
      <c r="J122" s="16" t="n"/>
      <c r="K122" s="124">
        <f>IF(J122="","",COUNTIFS($C$15:$C$2015,J$13,$D$15:$D$2015,"&gt;="&amp;J122,$D$15:$D$2015,"&lt;"&amp;J123))</f>
        <v/>
      </c>
      <c r="L122" s="14" t="n"/>
      <c r="M122" s="16" t="n"/>
      <c r="N122" s="124">
        <f>IF(M122="","",COUNTIFS($C$15:$C$2015,M$13,$D$15:$D$2015,"&gt;="&amp;M122,$D$15:$D$2015,"&lt;"&amp;M123))</f>
        <v/>
      </c>
      <c r="O122" s="14" t="n"/>
      <c r="P122" s="16" t="n"/>
      <c r="Q122" s="124">
        <f>IF(P122="","",COUNTIFS($C$15:$C$2015,P$13,$D$15:$D$2015,"&gt;="&amp;P122,$D$15:$D$2015,"&lt;"&amp;P123))</f>
        <v/>
      </c>
      <c r="R122" s="14" t="n"/>
      <c r="S122" s="16" t="n"/>
      <c r="T122" s="124">
        <f>IF(S122="","",COUNTIFS($C$15:$C$2015,S$13,$D$15:$D$2015,"&gt;="&amp;S122,$D$15:$D$2015,"&lt;"&amp;S123))</f>
        <v/>
      </c>
      <c r="U122" s="14" t="n"/>
      <c r="V122" s="16" t="n"/>
      <c r="W122" s="124">
        <f>IF(V122="","",COUNTIFS($C$15:$C$2015,V$13,$D$15:$D$2015,"&gt;="&amp;V122,$D$15:$D$2015,"&lt;"&amp;V123))</f>
        <v/>
      </c>
      <c r="X122" s="14" t="n"/>
      <c r="Y122" s="16" t="n"/>
      <c r="Z122" s="124">
        <f>IF(Y122="","",COUNTIFS($C$15:$C$2015,Y$13,$D$15:$D$2015,"&gt;="&amp;Y122,$D$15:$D$2015,"&lt;"&amp;Y123))</f>
        <v/>
      </c>
      <c r="AA122" s="14" t="n"/>
      <c r="AB122" s="16" t="n"/>
      <c r="AC122" s="124">
        <f>IF(AB122="","",COUNTIFS($C$15:$C$2015,AB$13,$D$15:$D$2015,"&gt;="&amp;AB122,$D$15:$D$2015,"&lt;"&amp;AB123))</f>
        <v/>
      </c>
      <c r="AD122" s="14" t="n"/>
    </row>
    <row r="123">
      <c r="A123" s="58" t="n"/>
      <c r="B123" s="59" t="n"/>
      <c r="C123" s="59" t="n"/>
      <c r="E123" s="16" t="n"/>
      <c r="F123" s="13" t="n"/>
      <c r="G123" s="16" t="n"/>
      <c r="H123" s="124">
        <f>IF(G123="","",COUNTIFS($C$15:$C$2015,G$13,$D$15:$D$2015,"&gt;="&amp;G123,$D$15:$D$2015,"&lt;"&amp;G124))</f>
        <v/>
      </c>
      <c r="I123" s="14" t="n"/>
      <c r="J123" s="16" t="n"/>
      <c r="K123" s="124">
        <f>IF(J123="","",COUNTIFS($C$15:$C$2015,J$13,$D$15:$D$2015,"&gt;="&amp;J123,$D$15:$D$2015,"&lt;"&amp;J124))</f>
        <v/>
      </c>
      <c r="L123" s="14" t="n"/>
      <c r="M123" s="16" t="n"/>
      <c r="N123" s="124">
        <f>IF(M123="","",COUNTIFS($C$15:$C$2015,M$13,$D$15:$D$2015,"&gt;="&amp;M123,$D$15:$D$2015,"&lt;"&amp;M124))</f>
        <v/>
      </c>
      <c r="O123" s="14" t="n"/>
      <c r="P123" s="16" t="n"/>
      <c r="Q123" s="124">
        <f>IF(P123="","",COUNTIFS($C$15:$C$2015,P$13,$D$15:$D$2015,"&gt;="&amp;P123,$D$15:$D$2015,"&lt;"&amp;P124))</f>
        <v/>
      </c>
      <c r="R123" s="14" t="n"/>
      <c r="S123" s="16" t="n"/>
      <c r="T123" s="124">
        <f>IF(S123="","",COUNTIFS($C$15:$C$2015,S$13,$D$15:$D$2015,"&gt;="&amp;S123,$D$15:$D$2015,"&lt;"&amp;S124))</f>
        <v/>
      </c>
      <c r="U123" s="14" t="n"/>
      <c r="V123" s="16" t="n"/>
      <c r="W123" s="124">
        <f>IF(V123="","",COUNTIFS($C$15:$C$2015,V$13,$D$15:$D$2015,"&gt;="&amp;V123,$D$15:$D$2015,"&lt;"&amp;V124))</f>
        <v/>
      </c>
      <c r="X123" s="14" t="n"/>
      <c r="Y123" s="16" t="n"/>
      <c r="Z123" s="124">
        <f>IF(Y123="","",COUNTIFS($C$15:$C$2015,Y$13,$D$15:$D$2015,"&gt;="&amp;Y123,$D$15:$D$2015,"&lt;"&amp;Y124))</f>
        <v/>
      </c>
      <c r="AA123" s="14" t="n"/>
      <c r="AB123" s="16" t="n"/>
      <c r="AC123" s="124">
        <f>IF(AB123="","",COUNTIFS($C$15:$C$2015,AB$13,$D$15:$D$2015,"&gt;="&amp;AB123,$D$15:$D$2015,"&lt;"&amp;AB124))</f>
        <v/>
      </c>
      <c r="AD123" s="14" t="n"/>
    </row>
    <row r="124">
      <c r="A124" s="56" t="n"/>
      <c r="B124" s="57" t="n"/>
      <c r="C124" s="59" t="n"/>
      <c r="E124" s="16" t="n"/>
      <c r="F124" s="13" t="n"/>
      <c r="G124" s="16" t="n"/>
      <c r="H124" s="124">
        <f>IF(G124="","",COUNTIFS($C$15:$C$2015,G$13,$D$15:$D$2015,"&gt;="&amp;G124,$D$15:$D$2015,"&lt;"&amp;G125))</f>
        <v/>
      </c>
      <c r="I124" s="14" t="n"/>
      <c r="J124" s="16" t="n"/>
      <c r="K124" s="124">
        <f>IF(J124="","",COUNTIFS($C$15:$C$2015,J$13,$D$15:$D$2015,"&gt;="&amp;J124,$D$15:$D$2015,"&lt;"&amp;J125))</f>
        <v/>
      </c>
      <c r="L124" s="14" t="n"/>
      <c r="M124" s="16" t="n"/>
      <c r="N124" s="124">
        <f>IF(M124="","",COUNTIFS($C$15:$C$2015,M$13,$D$15:$D$2015,"&gt;="&amp;M124,$D$15:$D$2015,"&lt;"&amp;M125))</f>
        <v/>
      </c>
      <c r="O124" s="14" t="n"/>
      <c r="P124" s="16" t="n"/>
      <c r="Q124" s="124">
        <f>IF(P124="","",COUNTIFS($C$15:$C$2015,P$13,$D$15:$D$2015,"&gt;="&amp;P124,$D$15:$D$2015,"&lt;"&amp;P125))</f>
        <v/>
      </c>
      <c r="R124" s="14" t="n"/>
      <c r="S124" s="16" t="n"/>
      <c r="T124" s="124">
        <f>IF(S124="","",COUNTIFS($C$15:$C$2015,S$13,$D$15:$D$2015,"&gt;="&amp;S124,$D$15:$D$2015,"&lt;"&amp;S125))</f>
        <v/>
      </c>
      <c r="U124" s="14" t="n"/>
      <c r="V124" s="16" t="n"/>
      <c r="W124" s="124">
        <f>IF(V124="","",COUNTIFS($C$15:$C$2015,V$13,$D$15:$D$2015,"&gt;="&amp;V124,$D$15:$D$2015,"&lt;"&amp;V125))</f>
        <v/>
      </c>
      <c r="X124" s="14" t="n"/>
      <c r="Y124" s="16" t="n"/>
      <c r="Z124" s="124">
        <f>IF(Y124="","",COUNTIFS($C$15:$C$2015,Y$13,$D$15:$D$2015,"&gt;="&amp;Y124,$D$15:$D$2015,"&lt;"&amp;Y125))</f>
        <v/>
      </c>
      <c r="AA124" s="14" t="n"/>
      <c r="AB124" s="16" t="n"/>
      <c r="AC124" s="124">
        <f>IF(AB124="","",COUNTIFS($C$15:$C$2015,AB$13,$D$15:$D$2015,"&gt;="&amp;AB124,$D$15:$D$2015,"&lt;"&amp;AB125))</f>
        <v/>
      </c>
      <c r="AD124" s="14" t="n"/>
    </row>
    <row r="125">
      <c r="A125" s="58" t="n"/>
      <c r="B125" s="59" t="n"/>
      <c r="C125" s="59" t="n"/>
      <c r="E125" s="16" t="n"/>
      <c r="F125" s="13" t="n"/>
      <c r="G125" s="16" t="n"/>
      <c r="H125" s="124">
        <f>IF(G125="","",COUNTIFS($C$15:$C$2015,G$13,$D$15:$D$2015,"&gt;="&amp;G125,$D$15:$D$2015,"&lt;"&amp;G126))</f>
        <v/>
      </c>
      <c r="I125" s="14" t="n"/>
      <c r="J125" s="16" t="n"/>
      <c r="K125" s="124">
        <f>IF(J125="","",COUNTIFS($C$15:$C$2015,J$13,$D$15:$D$2015,"&gt;="&amp;J125,$D$15:$D$2015,"&lt;"&amp;J126))</f>
        <v/>
      </c>
      <c r="L125" s="14" t="n"/>
      <c r="M125" s="16" t="n"/>
      <c r="N125" s="124">
        <f>IF(M125="","",COUNTIFS($C$15:$C$2015,M$13,$D$15:$D$2015,"&gt;="&amp;M125,$D$15:$D$2015,"&lt;"&amp;M126))</f>
        <v/>
      </c>
      <c r="O125" s="14" t="n"/>
      <c r="P125" s="16" t="n"/>
      <c r="Q125" s="124">
        <f>IF(P125="","",COUNTIFS($C$15:$C$2015,P$13,$D$15:$D$2015,"&gt;="&amp;P125,$D$15:$D$2015,"&lt;"&amp;P126))</f>
        <v/>
      </c>
      <c r="R125" s="14" t="n"/>
      <c r="S125" s="16" t="n"/>
      <c r="T125" s="124">
        <f>IF(S125="","",COUNTIFS($C$15:$C$2015,S$13,$D$15:$D$2015,"&gt;="&amp;S125,$D$15:$D$2015,"&lt;"&amp;S126))</f>
        <v/>
      </c>
      <c r="U125" s="14" t="n"/>
      <c r="V125" s="16" t="n"/>
      <c r="W125" s="124">
        <f>IF(V125="","",COUNTIFS($C$15:$C$2015,V$13,$D$15:$D$2015,"&gt;="&amp;V125,$D$15:$D$2015,"&lt;"&amp;V126))</f>
        <v/>
      </c>
      <c r="X125" s="14" t="n"/>
      <c r="Y125" s="16" t="n"/>
      <c r="Z125" s="124">
        <f>IF(Y125="","",COUNTIFS($C$15:$C$2015,Y$13,$D$15:$D$2015,"&gt;="&amp;Y125,$D$15:$D$2015,"&lt;"&amp;Y126))</f>
        <v/>
      </c>
      <c r="AA125" s="14" t="n"/>
      <c r="AB125" s="16" t="n"/>
      <c r="AC125" s="124">
        <f>IF(AB125="","",COUNTIFS($C$15:$C$2015,AB$13,$D$15:$D$2015,"&gt;="&amp;AB125,$D$15:$D$2015,"&lt;"&amp;AB126))</f>
        <v/>
      </c>
      <c r="AD125" s="14" t="n"/>
    </row>
    <row r="126">
      <c r="A126" s="56" t="n"/>
      <c r="B126" s="57" t="n"/>
      <c r="C126" s="59" t="n"/>
      <c r="E126" s="16" t="n"/>
      <c r="F126" s="13" t="n"/>
      <c r="G126" s="16" t="n"/>
      <c r="H126" s="124">
        <f>IF(G126="","",COUNTIFS($C$15:$C$2015,G$13,$D$15:$D$2015,"&gt;="&amp;G126,$D$15:$D$2015,"&lt;"&amp;G127))</f>
        <v/>
      </c>
      <c r="I126" s="14" t="n"/>
      <c r="J126" s="16" t="n"/>
      <c r="K126" s="124">
        <f>IF(J126="","",COUNTIFS($C$15:$C$2015,J$13,$D$15:$D$2015,"&gt;="&amp;J126,$D$15:$D$2015,"&lt;"&amp;J127))</f>
        <v/>
      </c>
      <c r="L126" s="14" t="n"/>
      <c r="M126" s="16" t="n"/>
      <c r="N126" s="124">
        <f>IF(M126="","",COUNTIFS($C$15:$C$2015,M$13,$D$15:$D$2015,"&gt;="&amp;M126,$D$15:$D$2015,"&lt;"&amp;M127))</f>
        <v/>
      </c>
      <c r="O126" s="14" t="n"/>
      <c r="P126" s="16" t="n"/>
      <c r="Q126" s="124">
        <f>IF(P126="","",COUNTIFS($C$15:$C$2015,P$13,$D$15:$D$2015,"&gt;="&amp;P126,$D$15:$D$2015,"&lt;"&amp;P127))</f>
        <v/>
      </c>
      <c r="R126" s="14" t="n"/>
      <c r="S126" s="16" t="n"/>
      <c r="T126" s="124">
        <f>IF(S126="","",COUNTIFS($C$15:$C$2015,S$13,$D$15:$D$2015,"&gt;="&amp;S126,$D$15:$D$2015,"&lt;"&amp;S127))</f>
        <v/>
      </c>
      <c r="U126" s="14" t="n"/>
      <c r="V126" s="16" t="n"/>
      <c r="W126" s="124">
        <f>IF(V126="","",COUNTIFS($C$15:$C$2015,V$13,$D$15:$D$2015,"&gt;="&amp;V126,$D$15:$D$2015,"&lt;"&amp;V127))</f>
        <v/>
      </c>
      <c r="X126" s="14" t="n"/>
      <c r="Y126" s="16" t="n"/>
      <c r="Z126" s="124">
        <f>IF(Y126="","",COUNTIFS($C$15:$C$2015,Y$13,$D$15:$D$2015,"&gt;="&amp;Y126,$D$15:$D$2015,"&lt;"&amp;Y127))</f>
        <v/>
      </c>
      <c r="AA126" s="14" t="n"/>
      <c r="AB126" s="16" t="n"/>
      <c r="AC126" s="124">
        <f>IF(AB126="","",COUNTIFS($C$15:$C$2015,AB$13,$D$15:$D$2015,"&gt;="&amp;AB126,$D$15:$D$2015,"&lt;"&amp;AB127))</f>
        <v/>
      </c>
      <c r="AD126" s="14" t="n"/>
    </row>
    <row r="127">
      <c r="A127" s="58" t="n"/>
      <c r="B127" s="59" t="n"/>
      <c r="C127" s="59" t="n"/>
      <c r="E127" s="16" t="n"/>
      <c r="F127" s="13" t="n"/>
      <c r="G127" s="16" t="n"/>
      <c r="H127" s="124">
        <f>IF(G127="","",COUNTIFS($C$15:$C$2015,G$13,$D$15:$D$2015,"&gt;="&amp;G127,$D$15:$D$2015,"&lt;"&amp;G128))</f>
        <v/>
      </c>
      <c r="I127" s="14" t="n"/>
      <c r="J127" s="16" t="n"/>
      <c r="K127" s="124">
        <f>IF(J127="","",COUNTIFS($C$15:$C$2015,J$13,$D$15:$D$2015,"&gt;="&amp;J127,$D$15:$D$2015,"&lt;"&amp;J128))</f>
        <v/>
      </c>
      <c r="L127" s="14" t="n"/>
      <c r="M127" s="16" t="n"/>
      <c r="N127" s="124">
        <f>IF(M127="","",COUNTIFS($C$15:$C$2015,M$13,$D$15:$D$2015,"&gt;="&amp;M127,$D$15:$D$2015,"&lt;"&amp;M128))</f>
        <v/>
      </c>
      <c r="O127" s="14" t="n"/>
      <c r="P127" s="16" t="n"/>
      <c r="Q127" s="124">
        <f>IF(P127="","",COUNTIFS($C$15:$C$2015,P$13,$D$15:$D$2015,"&gt;="&amp;P127,$D$15:$D$2015,"&lt;"&amp;P128))</f>
        <v/>
      </c>
      <c r="R127" s="14" t="n"/>
      <c r="S127" s="16" t="n"/>
      <c r="T127" s="124">
        <f>IF(S127="","",COUNTIFS($C$15:$C$2015,S$13,$D$15:$D$2015,"&gt;="&amp;S127,$D$15:$D$2015,"&lt;"&amp;S128))</f>
        <v/>
      </c>
      <c r="U127" s="14" t="n"/>
      <c r="V127" s="16" t="n"/>
      <c r="W127" s="124">
        <f>IF(V127="","",COUNTIFS($C$15:$C$2015,V$13,$D$15:$D$2015,"&gt;="&amp;V127,$D$15:$D$2015,"&lt;"&amp;V128))</f>
        <v/>
      </c>
      <c r="X127" s="14" t="n"/>
      <c r="Y127" s="16" t="n"/>
      <c r="Z127" s="124">
        <f>IF(Y127="","",COUNTIFS($C$15:$C$2015,Y$13,$D$15:$D$2015,"&gt;="&amp;Y127,$D$15:$D$2015,"&lt;"&amp;Y128))</f>
        <v/>
      </c>
      <c r="AA127" s="14" t="n"/>
      <c r="AB127" s="16" t="n"/>
      <c r="AC127" s="124">
        <f>IF(AB127="","",COUNTIFS($C$15:$C$2015,AB$13,$D$15:$D$2015,"&gt;="&amp;AB127,$D$15:$D$2015,"&lt;"&amp;AB128))</f>
        <v/>
      </c>
      <c r="AD127" s="14" t="n"/>
    </row>
    <row r="128">
      <c r="A128" s="56" t="n"/>
      <c r="B128" s="57" t="n"/>
      <c r="C128" s="59" t="n"/>
      <c r="E128" s="16" t="n"/>
      <c r="F128" s="13" t="n"/>
      <c r="G128" s="16" t="n"/>
      <c r="H128" s="124">
        <f>IF(G128="","",COUNTIFS($C$15:$C$2015,G$13,$D$15:$D$2015,"&gt;="&amp;G128,$D$15:$D$2015,"&lt;"&amp;G129))</f>
        <v/>
      </c>
      <c r="I128" s="14" t="n"/>
      <c r="J128" s="16" t="n"/>
      <c r="K128" s="124">
        <f>IF(J128="","",COUNTIFS($C$15:$C$2015,J$13,$D$15:$D$2015,"&gt;="&amp;J128,$D$15:$D$2015,"&lt;"&amp;J129))</f>
        <v/>
      </c>
      <c r="L128" s="14" t="n"/>
      <c r="M128" s="16" t="n"/>
      <c r="N128" s="124">
        <f>IF(M128="","",COUNTIFS($C$15:$C$2015,M$13,$D$15:$D$2015,"&gt;="&amp;M128,$D$15:$D$2015,"&lt;"&amp;M129))</f>
        <v/>
      </c>
      <c r="O128" s="14" t="n"/>
      <c r="P128" s="16" t="n"/>
      <c r="Q128" s="124">
        <f>IF(P128="","",COUNTIFS($C$15:$C$2015,P$13,$D$15:$D$2015,"&gt;="&amp;P128,$D$15:$D$2015,"&lt;"&amp;P129))</f>
        <v/>
      </c>
      <c r="R128" s="14" t="n"/>
      <c r="S128" s="16" t="n"/>
      <c r="T128" s="124">
        <f>IF(S128="","",COUNTIFS($C$15:$C$2015,S$13,$D$15:$D$2015,"&gt;="&amp;S128,$D$15:$D$2015,"&lt;"&amp;S129))</f>
        <v/>
      </c>
      <c r="U128" s="14" t="n"/>
      <c r="V128" s="16" t="n"/>
      <c r="W128" s="124">
        <f>IF(V128="","",COUNTIFS($C$15:$C$2015,V$13,$D$15:$D$2015,"&gt;="&amp;V128,$D$15:$D$2015,"&lt;"&amp;V129))</f>
        <v/>
      </c>
      <c r="X128" s="14" t="n"/>
      <c r="Y128" s="16" t="n"/>
      <c r="Z128" s="124">
        <f>IF(Y128="","",COUNTIFS($C$15:$C$2015,Y$13,$D$15:$D$2015,"&gt;="&amp;Y128,$D$15:$D$2015,"&lt;"&amp;Y129))</f>
        <v/>
      </c>
      <c r="AA128" s="14" t="n"/>
      <c r="AB128" s="16" t="n"/>
      <c r="AC128" s="124">
        <f>IF(AB128="","",COUNTIFS($C$15:$C$2015,AB$13,$D$15:$D$2015,"&gt;="&amp;AB128,$D$15:$D$2015,"&lt;"&amp;AB129))</f>
        <v/>
      </c>
      <c r="AD128" s="14" t="n"/>
    </row>
    <row r="129">
      <c r="A129" s="58" t="n"/>
      <c r="B129" s="59" t="n"/>
      <c r="C129" s="59" t="n"/>
      <c r="E129" s="16" t="n"/>
      <c r="F129" s="13" t="n"/>
      <c r="G129" s="16" t="n"/>
      <c r="H129" s="124">
        <f>IF(G129="","",COUNTIFS($C$15:$C$2015,G$13,$D$15:$D$2015,"&gt;="&amp;G129,$D$15:$D$2015,"&lt;"&amp;G130))</f>
        <v/>
      </c>
      <c r="I129" s="14" t="n"/>
      <c r="J129" s="16" t="n"/>
      <c r="K129" s="124">
        <f>IF(J129="","",COUNTIFS($C$15:$C$2015,J$13,$D$15:$D$2015,"&gt;="&amp;J129,$D$15:$D$2015,"&lt;"&amp;J130))</f>
        <v/>
      </c>
      <c r="L129" s="14" t="n"/>
      <c r="M129" s="16" t="n"/>
      <c r="N129" s="124">
        <f>IF(M129="","",COUNTIFS($C$15:$C$2015,M$13,$D$15:$D$2015,"&gt;="&amp;M129,$D$15:$D$2015,"&lt;"&amp;M130))</f>
        <v/>
      </c>
      <c r="O129" s="14" t="n"/>
      <c r="P129" s="16" t="n"/>
      <c r="Q129" s="124">
        <f>IF(P129="","",COUNTIFS($C$15:$C$2015,P$13,$D$15:$D$2015,"&gt;="&amp;P129,$D$15:$D$2015,"&lt;"&amp;P130))</f>
        <v/>
      </c>
      <c r="R129" s="14" t="n"/>
      <c r="S129" s="16" t="n"/>
      <c r="T129" s="124">
        <f>IF(S129="","",COUNTIFS($C$15:$C$2015,S$13,$D$15:$D$2015,"&gt;="&amp;S129,$D$15:$D$2015,"&lt;"&amp;S130))</f>
        <v/>
      </c>
      <c r="U129" s="14" t="n"/>
      <c r="V129" s="16" t="n"/>
      <c r="W129" s="124">
        <f>IF(V129="","",COUNTIFS($C$15:$C$2015,V$13,$D$15:$D$2015,"&gt;="&amp;V129,$D$15:$D$2015,"&lt;"&amp;V130))</f>
        <v/>
      </c>
      <c r="X129" s="14" t="n"/>
      <c r="Y129" s="16" t="n"/>
      <c r="Z129" s="124">
        <f>IF(Y129="","",COUNTIFS($C$15:$C$2015,Y$13,$D$15:$D$2015,"&gt;="&amp;Y129,$D$15:$D$2015,"&lt;"&amp;Y130))</f>
        <v/>
      </c>
      <c r="AA129" s="14" t="n"/>
      <c r="AB129" s="16" t="n"/>
      <c r="AC129" s="124">
        <f>IF(AB129="","",COUNTIFS($C$15:$C$2015,AB$13,$D$15:$D$2015,"&gt;="&amp;AB129,$D$15:$D$2015,"&lt;"&amp;AB130))</f>
        <v/>
      </c>
      <c r="AD129" s="14" t="n"/>
    </row>
    <row r="130">
      <c r="A130" s="56" t="n"/>
      <c r="B130" s="57" t="n"/>
      <c r="C130" s="59" t="n"/>
      <c r="E130" s="16" t="n"/>
      <c r="F130" s="13" t="n"/>
      <c r="G130" s="16" t="n"/>
      <c r="H130" s="124">
        <f>IF(G130="","",COUNTIFS($C$15:$C$2015,G$13,$D$15:$D$2015,"&gt;="&amp;G130,$D$15:$D$2015,"&lt;"&amp;G131))</f>
        <v/>
      </c>
      <c r="I130" s="14" t="n"/>
      <c r="J130" s="16" t="n"/>
      <c r="K130" s="124">
        <f>IF(J130="","",COUNTIFS($C$15:$C$2015,J$13,$D$15:$D$2015,"&gt;="&amp;J130,$D$15:$D$2015,"&lt;"&amp;J131))</f>
        <v/>
      </c>
      <c r="L130" s="14" t="n"/>
      <c r="M130" s="16" t="n"/>
      <c r="N130" s="124">
        <f>IF(M130="","",COUNTIFS($C$15:$C$2015,M$13,$D$15:$D$2015,"&gt;="&amp;M130,$D$15:$D$2015,"&lt;"&amp;M131))</f>
        <v/>
      </c>
      <c r="O130" s="14" t="n"/>
      <c r="P130" s="16" t="n"/>
      <c r="Q130" s="124">
        <f>IF(P130="","",COUNTIFS($C$15:$C$2015,P$13,$D$15:$D$2015,"&gt;="&amp;P130,$D$15:$D$2015,"&lt;"&amp;P131))</f>
        <v/>
      </c>
      <c r="R130" s="14" t="n"/>
      <c r="S130" s="16" t="n"/>
      <c r="T130" s="124">
        <f>IF(S130="","",COUNTIFS($C$15:$C$2015,S$13,$D$15:$D$2015,"&gt;="&amp;S130,$D$15:$D$2015,"&lt;"&amp;S131))</f>
        <v/>
      </c>
      <c r="U130" s="14" t="n"/>
      <c r="V130" s="16" t="n"/>
      <c r="W130" s="124">
        <f>IF(V130="","",COUNTIFS($C$15:$C$2015,V$13,$D$15:$D$2015,"&gt;="&amp;V130,$D$15:$D$2015,"&lt;"&amp;V131))</f>
        <v/>
      </c>
      <c r="X130" s="14" t="n"/>
      <c r="Y130" s="16" t="n"/>
      <c r="Z130" s="124">
        <f>IF(Y130="","",COUNTIFS($C$15:$C$2015,Y$13,$D$15:$D$2015,"&gt;="&amp;Y130,$D$15:$D$2015,"&lt;"&amp;Y131))</f>
        <v/>
      </c>
      <c r="AA130" s="14" t="n"/>
      <c r="AB130" s="16" t="n"/>
      <c r="AC130" s="124">
        <f>IF(AB130="","",COUNTIFS($C$15:$C$2015,AB$13,$D$15:$D$2015,"&gt;="&amp;AB130,$D$15:$D$2015,"&lt;"&amp;AB131))</f>
        <v/>
      </c>
      <c r="AD130" s="14" t="n"/>
    </row>
    <row r="131">
      <c r="A131" s="58" t="n"/>
      <c r="B131" s="59" t="n"/>
      <c r="C131" s="59" t="n"/>
      <c r="E131" s="16" t="n"/>
      <c r="F131" s="13" t="n"/>
      <c r="G131" s="16" t="n"/>
      <c r="H131" s="124">
        <f>IF(G131="","",COUNTIFS($C$15:$C$2015,G$13,$D$15:$D$2015,"&gt;="&amp;G131,$D$15:$D$2015,"&lt;"&amp;G132))</f>
        <v/>
      </c>
      <c r="I131" s="14" t="n"/>
      <c r="J131" s="16" t="n"/>
      <c r="K131" s="124">
        <f>IF(J131="","",COUNTIFS($C$15:$C$2015,J$13,$D$15:$D$2015,"&gt;="&amp;J131,$D$15:$D$2015,"&lt;"&amp;J132))</f>
        <v/>
      </c>
      <c r="L131" s="14" t="n"/>
      <c r="M131" s="16" t="n"/>
      <c r="N131" s="124">
        <f>IF(M131="","",COUNTIFS($C$15:$C$2015,M$13,$D$15:$D$2015,"&gt;="&amp;M131,$D$15:$D$2015,"&lt;"&amp;M132))</f>
        <v/>
      </c>
      <c r="O131" s="14" t="n"/>
      <c r="P131" s="16" t="n"/>
      <c r="Q131" s="124">
        <f>IF(P131="","",COUNTIFS($C$15:$C$2015,P$13,$D$15:$D$2015,"&gt;="&amp;P131,$D$15:$D$2015,"&lt;"&amp;P132))</f>
        <v/>
      </c>
      <c r="R131" s="14" t="n"/>
      <c r="S131" s="16" t="n"/>
      <c r="T131" s="124">
        <f>IF(S131="","",COUNTIFS($C$15:$C$2015,S$13,$D$15:$D$2015,"&gt;="&amp;S131,$D$15:$D$2015,"&lt;"&amp;S132))</f>
        <v/>
      </c>
      <c r="U131" s="14" t="n"/>
      <c r="V131" s="16" t="n"/>
      <c r="W131" s="124">
        <f>IF(V131="","",COUNTIFS($C$15:$C$2015,V$13,$D$15:$D$2015,"&gt;="&amp;V131,$D$15:$D$2015,"&lt;"&amp;V132))</f>
        <v/>
      </c>
      <c r="X131" s="14" t="n"/>
      <c r="Y131" s="16" t="n"/>
      <c r="Z131" s="124">
        <f>IF(Y131="","",COUNTIFS($C$15:$C$2015,Y$13,$D$15:$D$2015,"&gt;="&amp;Y131,$D$15:$D$2015,"&lt;"&amp;Y132))</f>
        <v/>
      </c>
      <c r="AA131" s="14" t="n"/>
      <c r="AB131" s="16" t="n"/>
      <c r="AC131" s="124">
        <f>IF(AB131="","",COUNTIFS($C$15:$C$2015,AB$13,$D$15:$D$2015,"&gt;="&amp;AB131,$D$15:$D$2015,"&lt;"&amp;AB132))</f>
        <v/>
      </c>
      <c r="AD131" s="14" t="n"/>
    </row>
    <row r="132">
      <c r="A132" s="56" t="n"/>
      <c r="B132" s="57" t="n"/>
      <c r="C132" s="59" t="n"/>
      <c r="E132" s="16" t="n"/>
      <c r="F132" s="13" t="n"/>
      <c r="G132" s="16" t="n"/>
      <c r="H132" s="124">
        <f>IF(G132="","",COUNTIFS($C$15:$C$2015,G$13,$D$15:$D$2015,"&gt;="&amp;G132,$D$15:$D$2015,"&lt;"&amp;G133))</f>
        <v/>
      </c>
      <c r="I132" s="14" t="n"/>
      <c r="J132" s="16" t="n"/>
      <c r="K132" s="124">
        <f>IF(J132="","",COUNTIFS($C$15:$C$2015,J$13,$D$15:$D$2015,"&gt;="&amp;J132,$D$15:$D$2015,"&lt;"&amp;J133))</f>
        <v/>
      </c>
      <c r="L132" s="14" t="n"/>
      <c r="M132" s="16" t="n"/>
      <c r="N132" s="124">
        <f>IF(M132="","",COUNTIFS($C$15:$C$2015,M$13,$D$15:$D$2015,"&gt;="&amp;M132,$D$15:$D$2015,"&lt;"&amp;M133))</f>
        <v/>
      </c>
      <c r="O132" s="14" t="n"/>
      <c r="P132" s="16" t="n"/>
      <c r="Q132" s="124">
        <f>IF(P132="","",COUNTIFS($C$15:$C$2015,P$13,$D$15:$D$2015,"&gt;="&amp;P132,$D$15:$D$2015,"&lt;"&amp;P133))</f>
        <v/>
      </c>
      <c r="R132" s="14" t="n"/>
      <c r="S132" s="16" t="n"/>
      <c r="T132" s="124">
        <f>IF(S132="","",COUNTIFS($C$15:$C$2015,S$13,$D$15:$D$2015,"&gt;="&amp;S132,$D$15:$D$2015,"&lt;"&amp;S133))</f>
        <v/>
      </c>
      <c r="U132" s="14" t="n"/>
      <c r="V132" s="16" t="n"/>
      <c r="W132" s="124">
        <f>IF(V132="","",COUNTIFS($C$15:$C$2015,V$13,$D$15:$D$2015,"&gt;="&amp;V132,$D$15:$D$2015,"&lt;"&amp;V133))</f>
        <v/>
      </c>
      <c r="X132" s="14" t="n"/>
      <c r="Y132" s="16" t="n"/>
      <c r="Z132" s="124">
        <f>IF(Y132="","",COUNTIFS($C$15:$C$2015,Y$13,$D$15:$D$2015,"&gt;="&amp;Y132,$D$15:$D$2015,"&lt;"&amp;Y133))</f>
        <v/>
      </c>
      <c r="AA132" s="14" t="n"/>
      <c r="AB132" s="16" t="n"/>
      <c r="AC132" s="124">
        <f>IF(AB132="","",COUNTIFS($C$15:$C$2015,AB$13,$D$15:$D$2015,"&gt;="&amp;AB132,$D$15:$D$2015,"&lt;"&amp;AB133))</f>
        <v/>
      </c>
      <c r="AD132" s="14" t="n"/>
    </row>
    <row r="133">
      <c r="A133" s="58" t="n"/>
      <c r="B133" s="59" t="n"/>
      <c r="C133" s="59" t="n"/>
      <c r="E133" s="16" t="n"/>
      <c r="F133" s="13" t="n"/>
      <c r="G133" s="16" t="n"/>
      <c r="H133" s="124">
        <f>IF(G133="","",COUNTIFS($C$15:$C$2015,G$13,$D$15:$D$2015,"&gt;="&amp;G133,$D$15:$D$2015,"&lt;"&amp;G134))</f>
        <v/>
      </c>
      <c r="I133" s="14" t="n"/>
      <c r="J133" s="16" t="n"/>
      <c r="K133" s="124">
        <f>IF(J133="","",COUNTIFS($C$15:$C$2015,J$13,$D$15:$D$2015,"&gt;="&amp;J133,$D$15:$D$2015,"&lt;"&amp;J134))</f>
        <v/>
      </c>
      <c r="L133" s="14" t="n"/>
      <c r="M133" s="16" t="n"/>
      <c r="N133" s="124">
        <f>IF(M133="","",COUNTIFS($C$15:$C$2015,M$13,$D$15:$D$2015,"&gt;="&amp;M133,$D$15:$D$2015,"&lt;"&amp;M134))</f>
        <v/>
      </c>
      <c r="O133" s="14" t="n"/>
      <c r="P133" s="16" t="n"/>
      <c r="Q133" s="124">
        <f>IF(P133="","",COUNTIFS($C$15:$C$2015,P$13,$D$15:$D$2015,"&gt;="&amp;P133,$D$15:$D$2015,"&lt;"&amp;P134))</f>
        <v/>
      </c>
      <c r="R133" s="14" t="n"/>
      <c r="S133" s="16" t="n"/>
      <c r="T133" s="124">
        <f>IF(S133="","",COUNTIFS($C$15:$C$2015,S$13,$D$15:$D$2015,"&gt;="&amp;S133,$D$15:$D$2015,"&lt;"&amp;S134))</f>
        <v/>
      </c>
      <c r="U133" s="14" t="n"/>
      <c r="V133" s="16" t="n"/>
      <c r="W133" s="124">
        <f>IF(V133="","",COUNTIFS($C$15:$C$2015,V$13,$D$15:$D$2015,"&gt;="&amp;V133,$D$15:$D$2015,"&lt;"&amp;V134))</f>
        <v/>
      </c>
      <c r="X133" s="14" t="n"/>
      <c r="Y133" s="16" t="n"/>
      <c r="Z133" s="124">
        <f>IF(Y133="","",COUNTIFS($C$15:$C$2015,Y$13,$D$15:$D$2015,"&gt;="&amp;Y133,$D$15:$D$2015,"&lt;"&amp;Y134))</f>
        <v/>
      </c>
      <c r="AA133" s="14" t="n"/>
      <c r="AB133" s="16" t="n"/>
      <c r="AC133" s="124">
        <f>IF(AB133="","",COUNTIFS($C$15:$C$2015,AB$13,$D$15:$D$2015,"&gt;="&amp;AB133,$D$15:$D$2015,"&lt;"&amp;AB134))</f>
        <v/>
      </c>
      <c r="AD133" s="14" t="n"/>
    </row>
    <row r="134">
      <c r="A134" s="56" t="n"/>
      <c r="B134" s="57" t="n"/>
      <c r="C134" s="59" t="n"/>
      <c r="E134" s="16" t="n"/>
      <c r="F134" s="13" t="n"/>
      <c r="G134" s="16" t="n"/>
      <c r="H134" s="124">
        <f>IF(G134="","",COUNTIFS($C$15:$C$2015,G$13,$D$15:$D$2015,"&gt;="&amp;G134,$D$15:$D$2015,"&lt;"&amp;G135))</f>
        <v/>
      </c>
      <c r="I134" s="14" t="n"/>
      <c r="J134" s="16" t="n"/>
      <c r="K134" s="124">
        <f>IF(J134="","",COUNTIFS($C$15:$C$2015,J$13,$D$15:$D$2015,"&gt;="&amp;J134,$D$15:$D$2015,"&lt;"&amp;J135))</f>
        <v/>
      </c>
      <c r="L134" s="14" t="n"/>
      <c r="M134" s="16" t="n"/>
      <c r="N134" s="124">
        <f>IF(M134="","",COUNTIFS($C$15:$C$2015,M$13,$D$15:$D$2015,"&gt;="&amp;M134,$D$15:$D$2015,"&lt;"&amp;M135))</f>
        <v/>
      </c>
      <c r="O134" s="14" t="n"/>
      <c r="P134" s="16" t="n"/>
      <c r="Q134" s="124">
        <f>IF(P134="","",COUNTIFS($C$15:$C$2015,P$13,$D$15:$D$2015,"&gt;="&amp;P134,$D$15:$D$2015,"&lt;"&amp;P135))</f>
        <v/>
      </c>
      <c r="R134" s="14" t="n"/>
      <c r="S134" s="16" t="n"/>
      <c r="T134" s="124">
        <f>IF(S134="","",COUNTIFS($C$15:$C$2015,S$13,$D$15:$D$2015,"&gt;="&amp;S134,$D$15:$D$2015,"&lt;"&amp;S135))</f>
        <v/>
      </c>
      <c r="U134" s="14" t="n"/>
      <c r="V134" s="16" t="n"/>
      <c r="W134" s="124">
        <f>IF(V134="","",COUNTIFS($C$15:$C$2015,V$13,$D$15:$D$2015,"&gt;="&amp;V134,$D$15:$D$2015,"&lt;"&amp;V135))</f>
        <v/>
      </c>
      <c r="X134" s="14" t="n"/>
      <c r="Y134" s="16" t="n"/>
      <c r="Z134" s="124">
        <f>IF(Y134="","",COUNTIFS($C$15:$C$2015,Y$13,$D$15:$D$2015,"&gt;="&amp;Y134,$D$15:$D$2015,"&lt;"&amp;Y135))</f>
        <v/>
      </c>
      <c r="AA134" s="14" t="n"/>
      <c r="AB134" s="16" t="n"/>
      <c r="AC134" s="124">
        <f>IF(AB134="","",COUNTIFS($C$15:$C$2015,AB$13,$D$15:$D$2015,"&gt;="&amp;AB134,$D$15:$D$2015,"&lt;"&amp;AB135))</f>
        <v/>
      </c>
      <c r="AD134" s="14" t="n"/>
    </row>
    <row r="135">
      <c r="A135" s="58" t="n"/>
      <c r="B135" s="59" t="n"/>
      <c r="C135" s="59" t="n"/>
      <c r="E135" s="16" t="n"/>
      <c r="F135" s="13" t="n"/>
      <c r="G135" s="16" t="n"/>
      <c r="H135" s="124">
        <f>IF(G135="","",COUNTIFS($C$15:$C$2015,G$13,$D$15:$D$2015,"&gt;="&amp;G135,$D$15:$D$2015,"&lt;"&amp;G136))</f>
        <v/>
      </c>
      <c r="I135" s="14" t="n"/>
      <c r="J135" s="16" t="n"/>
      <c r="K135" s="124">
        <f>IF(J135="","",COUNTIFS($C$15:$C$2015,J$13,$D$15:$D$2015,"&gt;="&amp;J135,$D$15:$D$2015,"&lt;"&amp;J136))</f>
        <v/>
      </c>
      <c r="L135" s="14" t="n"/>
      <c r="M135" s="16" t="n"/>
      <c r="N135" s="124">
        <f>IF(M135="","",COUNTIFS($C$15:$C$2015,M$13,$D$15:$D$2015,"&gt;="&amp;M135,$D$15:$D$2015,"&lt;"&amp;M136))</f>
        <v/>
      </c>
      <c r="O135" s="14" t="n"/>
      <c r="P135" s="16" t="n"/>
      <c r="Q135" s="124">
        <f>IF(P135="","",COUNTIFS($C$15:$C$2015,P$13,$D$15:$D$2015,"&gt;="&amp;P135,$D$15:$D$2015,"&lt;"&amp;P136))</f>
        <v/>
      </c>
      <c r="R135" s="14" t="n"/>
      <c r="S135" s="16" t="n"/>
      <c r="T135" s="124">
        <f>IF(S135="","",COUNTIFS($C$15:$C$2015,S$13,$D$15:$D$2015,"&gt;="&amp;S135,$D$15:$D$2015,"&lt;"&amp;S136))</f>
        <v/>
      </c>
      <c r="U135" s="14" t="n"/>
      <c r="V135" s="16" t="n"/>
      <c r="W135" s="124">
        <f>IF(V135="","",COUNTIFS($C$15:$C$2015,V$13,$D$15:$D$2015,"&gt;="&amp;V135,$D$15:$D$2015,"&lt;"&amp;V136))</f>
        <v/>
      </c>
      <c r="X135" s="14" t="n"/>
      <c r="Y135" s="16" t="n"/>
      <c r="Z135" s="124">
        <f>IF(Y135="","",COUNTIFS($C$15:$C$2015,Y$13,$D$15:$D$2015,"&gt;="&amp;Y135,$D$15:$D$2015,"&lt;"&amp;Y136))</f>
        <v/>
      </c>
      <c r="AA135" s="14" t="n"/>
      <c r="AB135" s="16" t="n"/>
      <c r="AC135" s="124">
        <f>IF(AB135="","",COUNTIFS($C$15:$C$2015,AB$13,$D$15:$D$2015,"&gt;="&amp;AB135,$D$15:$D$2015,"&lt;"&amp;AB136))</f>
        <v/>
      </c>
      <c r="AD135" s="14" t="n"/>
    </row>
    <row r="136">
      <c r="A136" s="56" t="n"/>
      <c r="B136" s="57" t="n"/>
      <c r="C136" s="59" t="n"/>
      <c r="E136" s="16" t="n"/>
      <c r="F136" s="13" t="n"/>
      <c r="G136" s="16" t="n"/>
      <c r="H136" s="124">
        <f>IF(G136="","",COUNTIFS($C$15:$C$2015,G$13,$D$15:$D$2015,"&gt;="&amp;G136,$D$15:$D$2015,"&lt;"&amp;G137))</f>
        <v/>
      </c>
      <c r="I136" s="14" t="n"/>
      <c r="J136" s="16" t="n"/>
      <c r="K136" s="124">
        <f>IF(J136="","",COUNTIFS($C$15:$C$2015,J$13,$D$15:$D$2015,"&gt;="&amp;J136,$D$15:$D$2015,"&lt;"&amp;J137))</f>
        <v/>
      </c>
      <c r="L136" s="14" t="n"/>
      <c r="M136" s="16" t="n"/>
      <c r="N136" s="124">
        <f>IF(M136="","",COUNTIFS($C$15:$C$2015,M$13,$D$15:$D$2015,"&gt;="&amp;M136,$D$15:$D$2015,"&lt;"&amp;M137))</f>
        <v/>
      </c>
      <c r="O136" s="14" t="n"/>
      <c r="P136" s="16" t="n"/>
      <c r="Q136" s="124">
        <f>IF(P136="","",COUNTIFS($C$15:$C$2015,P$13,$D$15:$D$2015,"&gt;="&amp;P136,$D$15:$D$2015,"&lt;"&amp;P137))</f>
        <v/>
      </c>
      <c r="R136" s="14" t="n"/>
      <c r="S136" s="16" t="n"/>
      <c r="T136" s="124">
        <f>IF(S136="","",COUNTIFS($C$15:$C$2015,S$13,$D$15:$D$2015,"&gt;="&amp;S136,$D$15:$D$2015,"&lt;"&amp;S137))</f>
        <v/>
      </c>
      <c r="U136" s="14" t="n"/>
      <c r="V136" s="16" t="n"/>
      <c r="W136" s="124">
        <f>IF(V136="","",COUNTIFS($C$15:$C$2015,V$13,$D$15:$D$2015,"&gt;="&amp;V136,$D$15:$D$2015,"&lt;"&amp;V137))</f>
        <v/>
      </c>
      <c r="X136" s="14" t="n"/>
      <c r="Y136" s="16" t="n"/>
      <c r="Z136" s="124">
        <f>IF(Y136="","",COUNTIFS($C$15:$C$2015,Y$13,$D$15:$D$2015,"&gt;="&amp;Y136,$D$15:$D$2015,"&lt;"&amp;Y137))</f>
        <v/>
      </c>
      <c r="AA136" s="14" t="n"/>
      <c r="AB136" s="16" t="n"/>
      <c r="AC136" s="124">
        <f>IF(AB136="","",COUNTIFS($C$15:$C$2015,AB$13,$D$15:$D$2015,"&gt;="&amp;AB136,$D$15:$D$2015,"&lt;"&amp;AB137))</f>
        <v/>
      </c>
      <c r="AD136" s="14" t="n"/>
    </row>
    <row r="137">
      <c r="A137" s="58" t="n"/>
      <c r="B137" s="59" t="n"/>
      <c r="C137" s="59" t="n"/>
      <c r="E137" s="16" t="n"/>
      <c r="F137" s="13" t="n"/>
      <c r="G137" s="16" t="n"/>
      <c r="H137" s="124">
        <f>IF(G137="","",COUNTIFS($C$15:$C$2015,G$13,$D$15:$D$2015,"&gt;="&amp;G137,$D$15:$D$2015,"&lt;"&amp;G138))</f>
        <v/>
      </c>
      <c r="I137" s="14" t="n"/>
      <c r="J137" s="16" t="n"/>
      <c r="K137" s="124">
        <f>IF(J137="","",COUNTIFS($C$15:$C$2015,J$13,$D$15:$D$2015,"&gt;="&amp;J137,$D$15:$D$2015,"&lt;"&amp;J138))</f>
        <v/>
      </c>
      <c r="L137" s="14" t="n"/>
      <c r="M137" s="16" t="n"/>
      <c r="N137" s="124">
        <f>IF(M137="","",COUNTIFS($C$15:$C$2015,M$13,$D$15:$D$2015,"&gt;="&amp;M137,$D$15:$D$2015,"&lt;"&amp;M138))</f>
        <v/>
      </c>
      <c r="O137" s="14" t="n"/>
      <c r="P137" s="16" t="n"/>
      <c r="Q137" s="124">
        <f>IF(P137="","",COUNTIFS($C$15:$C$2015,P$13,$D$15:$D$2015,"&gt;="&amp;P137,$D$15:$D$2015,"&lt;"&amp;P138))</f>
        <v/>
      </c>
      <c r="R137" s="14" t="n"/>
      <c r="S137" s="16" t="n"/>
      <c r="T137" s="124">
        <f>IF(S137="","",COUNTIFS($C$15:$C$2015,S$13,$D$15:$D$2015,"&gt;="&amp;S137,$D$15:$D$2015,"&lt;"&amp;S138))</f>
        <v/>
      </c>
      <c r="U137" s="14" t="n"/>
      <c r="V137" s="16" t="n"/>
      <c r="W137" s="124">
        <f>IF(V137="","",COUNTIFS($C$15:$C$2015,V$13,$D$15:$D$2015,"&gt;="&amp;V137,$D$15:$D$2015,"&lt;"&amp;V138))</f>
        <v/>
      </c>
      <c r="X137" s="14" t="n"/>
      <c r="Y137" s="16" t="n"/>
      <c r="Z137" s="124">
        <f>IF(Y137="","",COUNTIFS($C$15:$C$2015,Y$13,$D$15:$D$2015,"&gt;="&amp;Y137,$D$15:$D$2015,"&lt;"&amp;Y138))</f>
        <v/>
      </c>
      <c r="AA137" s="14" t="n"/>
      <c r="AB137" s="16" t="n"/>
      <c r="AC137" s="124">
        <f>IF(AB137="","",COUNTIFS($C$15:$C$2015,AB$13,$D$15:$D$2015,"&gt;="&amp;AB137,$D$15:$D$2015,"&lt;"&amp;AB138))</f>
        <v/>
      </c>
      <c r="AD137" s="14" t="n"/>
    </row>
    <row r="138">
      <c r="A138" s="56" t="n"/>
      <c r="B138" s="57" t="n"/>
      <c r="C138" s="59" t="n"/>
      <c r="E138" s="16" t="n"/>
      <c r="F138" s="13" t="n"/>
      <c r="G138" s="16" t="n"/>
      <c r="H138" s="124">
        <f>IF(G138="","",COUNTIFS($C$15:$C$2015,G$13,$D$15:$D$2015,"&gt;="&amp;G138,$D$15:$D$2015,"&lt;"&amp;G139))</f>
        <v/>
      </c>
      <c r="I138" s="14" t="n"/>
      <c r="J138" s="16" t="n"/>
      <c r="K138" s="124">
        <f>IF(J138="","",COUNTIFS($C$15:$C$2015,J$13,$D$15:$D$2015,"&gt;="&amp;J138,$D$15:$D$2015,"&lt;"&amp;J139))</f>
        <v/>
      </c>
      <c r="L138" s="14" t="n"/>
      <c r="M138" s="16" t="n"/>
      <c r="N138" s="124">
        <f>IF(M138="","",COUNTIFS($C$15:$C$2015,M$13,$D$15:$D$2015,"&gt;="&amp;M138,$D$15:$D$2015,"&lt;"&amp;M139))</f>
        <v/>
      </c>
      <c r="O138" s="14" t="n"/>
      <c r="P138" s="16" t="n"/>
      <c r="Q138" s="124">
        <f>IF(P138="","",COUNTIFS($C$15:$C$2015,P$13,$D$15:$D$2015,"&gt;="&amp;P138,$D$15:$D$2015,"&lt;"&amp;P139))</f>
        <v/>
      </c>
      <c r="R138" s="14" t="n"/>
      <c r="S138" s="16" t="n"/>
      <c r="T138" s="124">
        <f>IF(S138="","",COUNTIFS($C$15:$C$2015,S$13,$D$15:$D$2015,"&gt;="&amp;S138,$D$15:$D$2015,"&lt;"&amp;S139))</f>
        <v/>
      </c>
      <c r="U138" s="14" t="n"/>
      <c r="V138" s="16" t="n"/>
      <c r="W138" s="124">
        <f>IF(V138="","",COUNTIFS($C$15:$C$2015,V$13,$D$15:$D$2015,"&gt;="&amp;V138,$D$15:$D$2015,"&lt;"&amp;V139))</f>
        <v/>
      </c>
      <c r="X138" s="14" t="n"/>
      <c r="Y138" s="16" t="n"/>
      <c r="Z138" s="124">
        <f>IF(Y138="","",COUNTIFS($C$15:$C$2015,Y$13,$D$15:$D$2015,"&gt;="&amp;Y138,$D$15:$D$2015,"&lt;"&amp;Y139))</f>
        <v/>
      </c>
      <c r="AA138" s="14" t="n"/>
      <c r="AB138" s="16" t="n"/>
      <c r="AC138" s="124">
        <f>IF(AB138="","",COUNTIFS($C$15:$C$2015,AB$13,$D$15:$D$2015,"&gt;="&amp;AB138,$D$15:$D$2015,"&lt;"&amp;AB139))</f>
        <v/>
      </c>
      <c r="AD138" s="14" t="n"/>
    </row>
    <row r="139">
      <c r="A139" s="58" t="n"/>
      <c r="B139" s="59" t="n"/>
      <c r="C139" s="59" t="n"/>
      <c r="E139" s="16" t="n"/>
      <c r="F139" s="13" t="n"/>
      <c r="G139" s="16" t="n"/>
      <c r="H139" s="124">
        <f>IF(G139="","",COUNTIFS($C$15:$C$2015,G$13,$D$15:$D$2015,"&gt;="&amp;G139,$D$15:$D$2015,"&lt;"&amp;G140))</f>
        <v/>
      </c>
      <c r="I139" s="14" t="n"/>
      <c r="J139" s="16" t="n"/>
      <c r="K139" s="124">
        <f>IF(J139="","",COUNTIFS($C$15:$C$2015,J$13,$D$15:$D$2015,"&gt;="&amp;J139,$D$15:$D$2015,"&lt;"&amp;J140))</f>
        <v/>
      </c>
      <c r="L139" s="14" t="n"/>
      <c r="M139" s="16" t="n"/>
      <c r="N139" s="124">
        <f>IF(M139="","",COUNTIFS($C$15:$C$2015,M$13,$D$15:$D$2015,"&gt;="&amp;M139,$D$15:$D$2015,"&lt;"&amp;M140))</f>
        <v/>
      </c>
      <c r="O139" s="14" t="n"/>
      <c r="P139" s="16" t="n"/>
      <c r="Q139" s="124">
        <f>IF(P139="","",COUNTIFS($C$15:$C$2015,P$13,$D$15:$D$2015,"&gt;="&amp;P139,$D$15:$D$2015,"&lt;"&amp;P140))</f>
        <v/>
      </c>
      <c r="R139" s="14" t="n"/>
      <c r="S139" s="16" t="n"/>
      <c r="T139" s="124">
        <f>IF(S139="","",COUNTIFS($C$15:$C$2015,S$13,$D$15:$D$2015,"&gt;="&amp;S139,$D$15:$D$2015,"&lt;"&amp;S140))</f>
        <v/>
      </c>
      <c r="U139" s="14" t="n"/>
      <c r="V139" s="16" t="n"/>
      <c r="W139" s="124">
        <f>IF(V139="","",COUNTIFS($C$15:$C$2015,V$13,$D$15:$D$2015,"&gt;="&amp;V139,$D$15:$D$2015,"&lt;"&amp;V140))</f>
        <v/>
      </c>
      <c r="X139" s="14" t="n"/>
      <c r="Y139" s="16" t="n"/>
      <c r="Z139" s="124">
        <f>IF(Y139="","",COUNTIFS($C$15:$C$2015,Y$13,$D$15:$D$2015,"&gt;="&amp;Y139,$D$15:$D$2015,"&lt;"&amp;Y140))</f>
        <v/>
      </c>
      <c r="AA139" s="14" t="n"/>
      <c r="AB139" s="16" t="n"/>
      <c r="AC139" s="124">
        <f>IF(AB139="","",COUNTIFS($C$15:$C$2015,AB$13,$D$15:$D$2015,"&gt;="&amp;AB139,$D$15:$D$2015,"&lt;"&amp;AB140))</f>
        <v/>
      </c>
      <c r="AD139" s="14" t="n"/>
    </row>
    <row r="140">
      <c r="A140" s="56" t="n"/>
      <c r="B140" s="57" t="n"/>
      <c r="C140" s="59" t="n"/>
      <c r="E140" s="16" t="n"/>
      <c r="F140" s="13" t="n"/>
      <c r="G140" s="16" t="n"/>
      <c r="H140" s="124">
        <f>IF(G140="","",COUNTIFS($C$15:$C$2015,G$13,$D$15:$D$2015,"&gt;="&amp;G140,$D$15:$D$2015,"&lt;"&amp;G141))</f>
        <v/>
      </c>
      <c r="I140" s="14" t="n"/>
      <c r="J140" s="16" t="n"/>
      <c r="K140" s="124">
        <f>IF(J140="","",COUNTIFS($C$15:$C$2015,J$13,$D$15:$D$2015,"&gt;="&amp;J140,$D$15:$D$2015,"&lt;"&amp;J141))</f>
        <v/>
      </c>
      <c r="L140" s="14" t="n"/>
      <c r="M140" s="16" t="n"/>
      <c r="N140" s="124">
        <f>IF(M140="","",COUNTIFS($C$15:$C$2015,M$13,$D$15:$D$2015,"&gt;="&amp;M140,$D$15:$D$2015,"&lt;"&amp;M141))</f>
        <v/>
      </c>
      <c r="O140" s="14" t="n"/>
      <c r="P140" s="16" t="n"/>
      <c r="Q140" s="124">
        <f>IF(P140="","",COUNTIFS($C$15:$C$2015,P$13,$D$15:$D$2015,"&gt;="&amp;P140,$D$15:$D$2015,"&lt;"&amp;P141))</f>
        <v/>
      </c>
      <c r="R140" s="14" t="n"/>
      <c r="S140" s="16" t="n"/>
      <c r="T140" s="124">
        <f>IF(S140="","",COUNTIFS($C$15:$C$2015,S$13,$D$15:$D$2015,"&gt;="&amp;S140,$D$15:$D$2015,"&lt;"&amp;S141))</f>
        <v/>
      </c>
      <c r="U140" s="14" t="n"/>
      <c r="V140" s="16" t="n"/>
      <c r="W140" s="124">
        <f>IF(V140="","",COUNTIFS($C$15:$C$2015,V$13,$D$15:$D$2015,"&gt;="&amp;V140,$D$15:$D$2015,"&lt;"&amp;V141))</f>
        <v/>
      </c>
      <c r="X140" s="14" t="n"/>
      <c r="Y140" s="16" t="n"/>
      <c r="Z140" s="124">
        <f>IF(Y140="","",COUNTIFS($C$15:$C$2015,Y$13,$D$15:$D$2015,"&gt;="&amp;Y140,$D$15:$D$2015,"&lt;"&amp;Y141))</f>
        <v/>
      </c>
      <c r="AA140" s="14" t="n"/>
      <c r="AB140" s="16" t="n"/>
      <c r="AC140" s="124">
        <f>IF(AB140="","",COUNTIFS($C$15:$C$2015,AB$13,$D$15:$D$2015,"&gt;="&amp;AB140,$D$15:$D$2015,"&lt;"&amp;AB141))</f>
        <v/>
      </c>
      <c r="AD140" s="14" t="n"/>
    </row>
    <row r="141">
      <c r="A141" s="58" t="n"/>
      <c r="B141" s="59" t="n"/>
      <c r="C141" s="59" t="n"/>
      <c r="E141" s="16" t="n"/>
      <c r="F141" s="13" t="n"/>
      <c r="G141" s="16" t="n"/>
      <c r="H141" s="124">
        <f>IF(G141="","",COUNTIFS($C$15:$C$2015,G$13,$D$15:$D$2015,"&gt;="&amp;G141,$D$15:$D$2015,"&lt;"&amp;G142))</f>
        <v/>
      </c>
      <c r="I141" s="14" t="n"/>
      <c r="J141" s="16" t="n"/>
      <c r="K141" s="124">
        <f>IF(J141="","",COUNTIFS($C$15:$C$2015,J$13,$D$15:$D$2015,"&gt;="&amp;J141,$D$15:$D$2015,"&lt;"&amp;J142))</f>
        <v/>
      </c>
      <c r="L141" s="14" t="n"/>
      <c r="M141" s="16" t="n"/>
      <c r="N141" s="124">
        <f>IF(M141="","",COUNTIFS($C$15:$C$2015,M$13,$D$15:$D$2015,"&gt;="&amp;M141,$D$15:$D$2015,"&lt;"&amp;M142))</f>
        <v/>
      </c>
      <c r="O141" s="14" t="n"/>
      <c r="P141" s="16" t="n"/>
      <c r="Q141" s="124">
        <f>IF(P141="","",COUNTIFS($C$15:$C$2015,P$13,$D$15:$D$2015,"&gt;="&amp;P141,$D$15:$D$2015,"&lt;"&amp;P142))</f>
        <v/>
      </c>
      <c r="R141" s="14" t="n"/>
      <c r="S141" s="16" t="n"/>
      <c r="T141" s="124">
        <f>IF(S141="","",COUNTIFS($C$15:$C$2015,S$13,$D$15:$D$2015,"&gt;="&amp;S141,$D$15:$D$2015,"&lt;"&amp;S142))</f>
        <v/>
      </c>
      <c r="U141" s="14" t="n"/>
      <c r="V141" s="16" t="n"/>
      <c r="W141" s="124">
        <f>IF(V141="","",COUNTIFS($C$15:$C$2015,V$13,$D$15:$D$2015,"&gt;="&amp;V141,$D$15:$D$2015,"&lt;"&amp;V142))</f>
        <v/>
      </c>
      <c r="X141" s="14" t="n"/>
      <c r="Y141" s="16" t="n"/>
      <c r="Z141" s="124">
        <f>IF(Y141="","",COUNTIFS($C$15:$C$2015,Y$13,$D$15:$D$2015,"&gt;="&amp;Y141,$D$15:$D$2015,"&lt;"&amp;Y142))</f>
        <v/>
      </c>
      <c r="AA141" s="14" t="n"/>
      <c r="AB141" s="16" t="n"/>
      <c r="AC141" s="124">
        <f>IF(AB141="","",COUNTIFS($C$15:$C$2015,AB$13,$D$15:$D$2015,"&gt;="&amp;AB141,$D$15:$D$2015,"&lt;"&amp;AB142))</f>
        <v/>
      </c>
      <c r="AD141" s="14" t="n"/>
    </row>
    <row r="142">
      <c r="A142" s="56" t="n"/>
      <c r="B142" s="57" t="n"/>
      <c r="C142" s="59" t="n"/>
      <c r="E142" s="16" t="n"/>
      <c r="F142" s="13" t="n"/>
      <c r="G142" s="16" t="n"/>
      <c r="H142" s="124">
        <f>IF(G142="","",COUNTIFS($C$15:$C$2015,G$13,$D$15:$D$2015,"&gt;="&amp;G142,$D$15:$D$2015,"&lt;"&amp;G143))</f>
        <v/>
      </c>
      <c r="I142" s="14" t="n"/>
      <c r="J142" s="16" t="n"/>
      <c r="K142" s="124">
        <f>IF(J142="","",COUNTIFS($C$15:$C$2015,J$13,$D$15:$D$2015,"&gt;="&amp;J142,$D$15:$D$2015,"&lt;"&amp;J143))</f>
        <v/>
      </c>
      <c r="L142" s="14" t="n"/>
      <c r="M142" s="16" t="n"/>
      <c r="N142" s="124">
        <f>IF(M142="","",COUNTIFS($C$15:$C$2015,M$13,$D$15:$D$2015,"&gt;="&amp;M142,$D$15:$D$2015,"&lt;"&amp;M143))</f>
        <v/>
      </c>
      <c r="O142" s="14" t="n"/>
      <c r="P142" s="16" t="n"/>
      <c r="Q142" s="124">
        <f>IF(P142="","",COUNTIFS($C$15:$C$2015,P$13,$D$15:$D$2015,"&gt;="&amp;P142,$D$15:$D$2015,"&lt;"&amp;P143))</f>
        <v/>
      </c>
      <c r="R142" s="14" t="n"/>
      <c r="S142" s="16" t="n"/>
      <c r="T142" s="124">
        <f>IF(S142="","",COUNTIFS($C$15:$C$2015,S$13,$D$15:$D$2015,"&gt;="&amp;S142,$D$15:$D$2015,"&lt;"&amp;S143))</f>
        <v/>
      </c>
      <c r="U142" s="14" t="n"/>
      <c r="V142" s="16" t="n"/>
      <c r="W142" s="124">
        <f>IF(V142="","",COUNTIFS($C$15:$C$2015,V$13,$D$15:$D$2015,"&gt;="&amp;V142,$D$15:$D$2015,"&lt;"&amp;V143))</f>
        <v/>
      </c>
      <c r="X142" s="14" t="n"/>
      <c r="Y142" s="16" t="n"/>
      <c r="Z142" s="124">
        <f>IF(Y142="","",COUNTIFS($C$15:$C$2015,Y$13,$D$15:$D$2015,"&gt;="&amp;Y142,$D$15:$D$2015,"&lt;"&amp;Y143))</f>
        <v/>
      </c>
      <c r="AA142" s="14" t="n"/>
      <c r="AB142" s="16" t="n"/>
      <c r="AC142" s="124">
        <f>IF(AB142="","",COUNTIFS($C$15:$C$2015,AB$13,$D$15:$D$2015,"&gt;="&amp;AB142,$D$15:$D$2015,"&lt;"&amp;AB143))</f>
        <v/>
      </c>
      <c r="AD142" s="14" t="n"/>
    </row>
    <row r="143">
      <c r="A143" s="58" t="n"/>
      <c r="B143" s="59" t="n"/>
      <c r="C143" s="59" t="n"/>
      <c r="E143" s="16" t="n"/>
      <c r="F143" s="13" t="n"/>
      <c r="G143" s="16" t="n"/>
      <c r="H143" s="124">
        <f>IF(G143="","",COUNTIFS($C$15:$C$2015,G$13,$D$15:$D$2015,"&gt;="&amp;G143,$D$15:$D$2015,"&lt;"&amp;G144))</f>
        <v/>
      </c>
      <c r="I143" s="14" t="n"/>
      <c r="J143" s="16" t="n"/>
      <c r="K143" s="124">
        <f>IF(J143="","",COUNTIFS($C$15:$C$2015,J$13,$D$15:$D$2015,"&gt;="&amp;J143,$D$15:$D$2015,"&lt;"&amp;J144))</f>
        <v/>
      </c>
      <c r="L143" s="14" t="n"/>
      <c r="M143" s="16" t="n"/>
      <c r="N143" s="124">
        <f>IF(M143="","",COUNTIFS($C$15:$C$2015,M$13,$D$15:$D$2015,"&gt;="&amp;M143,$D$15:$D$2015,"&lt;"&amp;M144))</f>
        <v/>
      </c>
      <c r="O143" s="14" t="n"/>
      <c r="P143" s="16" t="n"/>
      <c r="Q143" s="124">
        <f>IF(P143="","",COUNTIFS($C$15:$C$2015,P$13,$D$15:$D$2015,"&gt;="&amp;P143,$D$15:$D$2015,"&lt;"&amp;P144))</f>
        <v/>
      </c>
      <c r="R143" s="14" t="n"/>
      <c r="S143" s="16" t="n"/>
      <c r="T143" s="124">
        <f>IF(S143="","",COUNTIFS($C$15:$C$2015,S$13,$D$15:$D$2015,"&gt;="&amp;S143,$D$15:$D$2015,"&lt;"&amp;S144))</f>
        <v/>
      </c>
      <c r="U143" s="14" t="n"/>
      <c r="V143" s="16" t="n"/>
      <c r="W143" s="124">
        <f>IF(V143="","",COUNTIFS($C$15:$C$2015,V$13,$D$15:$D$2015,"&gt;="&amp;V143,$D$15:$D$2015,"&lt;"&amp;V144))</f>
        <v/>
      </c>
      <c r="X143" s="14" t="n"/>
      <c r="Y143" s="16" t="n"/>
      <c r="Z143" s="124">
        <f>IF(Y143="","",COUNTIFS($C$15:$C$2015,Y$13,$D$15:$D$2015,"&gt;="&amp;Y143,$D$15:$D$2015,"&lt;"&amp;Y144))</f>
        <v/>
      </c>
      <c r="AA143" s="14" t="n"/>
      <c r="AB143" s="16" t="n"/>
      <c r="AC143" s="124">
        <f>IF(AB143="","",COUNTIFS($C$15:$C$2015,AB$13,$D$15:$D$2015,"&gt;="&amp;AB143,$D$15:$D$2015,"&lt;"&amp;AB144))</f>
        <v/>
      </c>
      <c r="AD143" s="14" t="n"/>
    </row>
    <row r="144">
      <c r="A144" s="56" t="n"/>
      <c r="B144" s="57" t="n"/>
      <c r="C144" s="59" t="n"/>
      <c r="E144" s="16" t="n"/>
      <c r="F144" s="13" t="n"/>
      <c r="G144" s="16" t="n"/>
      <c r="H144" s="124">
        <f>IF(G144="","",COUNTIFS($C$15:$C$2015,G$13,$D$15:$D$2015,"&gt;="&amp;G144,$D$15:$D$2015,"&lt;"&amp;G145))</f>
        <v/>
      </c>
      <c r="I144" s="14" t="n"/>
      <c r="J144" s="16" t="n"/>
      <c r="K144" s="124">
        <f>IF(J144="","",COUNTIFS($C$15:$C$2015,J$13,$D$15:$D$2015,"&gt;="&amp;J144,$D$15:$D$2015,"&lt;"&amp;J145))</f>
        <v/>
      </c>
      <c r="L144" s="14" t="n"/>
      <c r="M144" s="16" t="n"/>
      <c r="N144" s="124">
        <f>IF(M144="","",COUNTIFS($C$15:$C$2015,M$13,$D$15:$D$2015,"&gt;="&amp;M144,$D$15:$D$2015,"&lt;"&amp;M145))</f>
        <v/>
      </c>
      <c r="O144" s="14" t="n"/>
      <c r="P144" s="16" t="n"/>
      <c r="Q144" s="124">
        <f>IF(P144="","",COUNTIFS($C$15:$C$2015,P$13,$D$15:$D$2015,"&gt;="&amp;P144,$D$15:$D$2015,"&lt;"&amp;P145))</f>
        <v/>
      </c>
      <c r="R144" s="14" t="n"/>
      <c r="S144" s="16" t="n"/>
      <c r="T144" s="124">
        <f>IF(S144="","",COUNTIFS($C$15:$C$2015,S$13,$D$15:$D$2015,"&gt;="&amp;S144,$D$15:$D$2015,"&lt;"&amp;S145))</f>
        <v/>
      </c>
      <c r="U144" s="14" t="n"/>
      <c r="V144" s="16" t="n"/>
      <c r="W144" s="124">
        <f>IF(V144="","",COUNTIFS($C$15:$C$2015,V$13,$D$15:$D$2015,"&gt;="&amp;V144,$D$15:$D$2015,"&lt;"&amp;V145))</f>
        <v/>
      </c>
      <c r="X144" s="14" t="n"/>
      <c r="Y144" s="16" t="n"/>
      <c r="Z144" s="124">
        <f>IF(Y144="","",COUNTIFS($C$15:$C$2015,Y$13,$D$15:$D$2015,"&gt;="&amp;Y144,$D$15:$D$2015,"&lt;"&amp;Y145))</f>
        <v/>
      </c>
      <c r="AA144" s="14" t="n"/>
      <c r="AB144" s="16" t="n"/>
      <c r="AC144" s="124">
        <f>IF(AB144="","",COUNTIFS($C$15:$C$2015,AB$13,$D$15:$D$2015,"&gt;="&amp;AB144,$D$15:$D$2015,"&lt;"&amp;AB145))</f>
        <v/>
      </c>
      <c r="AD144" s="14" t="n"/>
    </row>
    <row r="145">
      <c r="A145" s="58" t="n"/>
      <c r="B145" s="59" t="n"/>
      <c r="C145" s="59" t="n"/>
      <c r="E145" s="16" t="n"/>
      <c r="F145" s="13" t="n"/>
      <c r="G145" s="16" t="n"/>
      <c r="H145" s="124">
        <f>IF(G145="","",COUNTIFS($C$15:$C$2015,G$13,$D$15:$D$2015,"&gt;="&amp;G145,$D$15:$D$2015,"&lt;"&amp;G146))</f>
        <v/>
      </c>
      <c r="I145" s="14" t="n"/>
      <c r="J145" s="16" t="n"/>
      <c r="K145" s="124">
        <f>IF(J145="","",COUNTIFS($C$15:$C$2015,J$13,$D$15:$D$2015,"&gt;="&amp;J145,$D$15:$D$2015,"&lt;"&amp;J146))</f>
        <v/>
      </c>
      <c r="L145" s="14" t="n"/>
      <c r="M145" s="16" t="n"/>
      <c r="N145" s="124">
        <f>IF(M145="","",COUNTIFS($C$15:$C$2015,M$13,$D$15:$D$2015,"&gt;="&amp;M145,$D$15:$D$2015,"&lt;"&amp;M146))</f>
        <v/>
      </c>
      <c r="O145" s="14" t="n"/>
      <c r="P145" s="16" t="n"/>
      <c r="Q145" s="124">
        <f>IF(P145="","",COUNTIFS($C$15:$C$2015,P$13,$D$15:$D$2015,"&gt;="&amp;P145,$D$15:$D$2015,"&lt;"&amp;P146))</f>
        <v/>
      </c>
      <c r="R145" s="14" t="n"/>
      <c r="S145" s="16" t="n"/>
      <c r="T145" s="124">
        <f>IF(S145="","",COUNTIFS($C$15:$C$2015,S$13,$D$15:$D$2015,"&gt;="&amp;S145,$D$15:$D$2015,"&lt;"&amp;S146))</f>
        <v/>
      </c>
      <c r="U145" s="14" t="n"/>
      <c r="V145" s="16" t="n"/>
      <c r="W145" s="124">
        <f>IF(V145="","",COUNTIFS($C$15:$C$2015,V$13,$D$15:$D$2015,"&gt;="&amp;V145,$D$15:$D$2015,"&lt;"&amp;V146))</f>
        <v/>
      </c>
      <c r="X145" s="14" t="n"/>
      <c r="Y145" s="16" t="n"/>
      <c r="Z145" s="124">
        <f>IF(Y145="","",COUNTIFS($C$15:$C$2015,Y$13,$D$15:$D$2015,"&gt;="&amp;Y145,$D$15:$D$2015,"&lt;"&amp;Y146))</f>
        <v/>
      </c>
      <c r="AA145" s="14" t="n"/>
      <c r="AB145" s="16" t="n"/>
      <c r="AC145" s="124">
        <f>IF(AB145="","",COUNTIFS($C$15:$C$2015,AB$13,$D$15:$D$2015,"&gt;="&amp;AB145,$D$15:$D$2015,"&lt;"&amp;AB146))</f>
        <v/>
      </c>
      <c r="AD145" s="14" t="n"/>
    </row>
    <row r="146">
      <c r="A146" s="56" t="n"/>
      <c r="B146" s="57" t="n"/>
      <c r="C146" s="59" t="n"/>
      <c r="E146" s="16" t="n"/>
      <c r="F146" s="13" t="n"/>
      <c r="G146" s="16" t="n"/>
      <c r="H146" s="124">
        <f>IF(G146="","",COUNTIFS($C$15:$C$2015,G$13,$D$15:$D$2015,"&gt;="&amp;G146,$D$15:$D$2015,"&lt;"&amp;G147))</f>
        <v/>
      </c>
      <c r="I146" s="14" t="n"/>
      <c r="J146" s="16" t="n"/>
      <c r="K146" s="124">
        <f>IF(J146="","",COUNTIFS($C$15:$C$2015,J$13,$D$15:$D$2015,"&gt;="&amp;J146,$D$15:$D$2015,"&lt;"&amp;J147))</f>
        <v/>
      </c>
      <c r="L146" s="14" t="n"/>
      <c r="M146" s="16" t="n"/>
      <c r="N146" s="124">
        <f>IF(M146="","",COUNTIFS($C$15:$C$2015,M$13,$D$15:$D$2015,"&gt;="&amp;M146,$D$15:$D$2015,"&lt;"&amp;M147))</f>
        <v/>
      </c>
      <c r="O146" s="14" t="n"/>
      <c r="P146" s="16" t="n"/>
      <c r="Q146" s="124">
        <f>IF(P146="","",COUNTIFS($C$15:$C$2015,P$13,$D$15:$D$2015,"&gt;="&amp;P146,$D$15:$D$2015,"&lt;"&amp;P147))</f>
        <v/>
      </c>
      <c r="R146" s="14" t="n"/>
      <c r="S146" s="16" t="n"/>
      <c r="T146" s="124">
        <f>IF(S146="","",COUNTIFS($C$15:$C$2015,S$13,$D$15:$D$2015,"&gt;="&amp;S146,$D$15:$D$2015,"&lt;"&amp;S147))</f>
        <v/>
      </c>
      <c r="U146" s="14" t="n"/>
      <c r="V146" s="16" t="n"/>
      <c r="W146" s="124">
        <f>IF(V146="","",COUNTIFS($C$15:$C$2015,V$13,$D$15:$D$2015,"&gt;="&amp;V146,$D$15:$D$2015,"&lt;"&amp;V147))</f>
        <v/>
      </c>
      <c r="X146" s="14" t="n"/>
      <c r="Y146" s="16" t="n"/>
      <c r="Z146" s="124">
        <f>IF(Y146="","",COUNTIFS($C$15:$C$2015,Y$13,$D$15:$D$2015,"&gt;="&amp;Y146,$D$15:$D$2015,"&lt;"&amp;Y147))</f>
        <v/>
      </c>
      <c r="AA146" s="14" t="n"/>
      <c r="AB146" s="16" t="n"/>
      <c r="AC146" s="124">
        <f>IF(AB146="","",COUNTIFS($C$15:$C$2015,AB$13,$D$15:$D$2015,"&gt;="&amp;AB146,$D$15:$D$2015,"&lt;"&amp;AB147))</f>
        <v/>
      </c>
      <c r="AD146" s="14" t="n"/>
    </row>
    <row r="147">
      <c r="A147" s="58" t="n"/>
      <c r="B147" s="59" t="n"/>
      <c r="C147" s="59" t="n"/>
      <c r="E147" s="16" t="n"/>
      <c r="F147" s="13" t="n"/>
      <c r="G147" s="16" t="n"/>
      <c r="H147" s="124">
        <f>IF(G147="","",COUNTIFS($C$15:$C$2015,G$13,$D$15:$D$2015,"&gt;="&amp;G147,$D$15:$D$2015,"&lt;"&amp;G148))</f>
        <v/>
      </c>
      <c r="I147" s="14" t="n"/>
      <c r="J147" s="16" t="n"/>
      <c r="K147" s="124">
        <f>IF(J147="","",COUNTIFS($C$15:$C$2015,J$13,$D$15:$D$2015,"&gt;="&amp;J147,$D$15:$D$2015,"&lt;"&amp;J148))</f>
        <v/>
      </c>
      <c r="L147" s="14" t="n"/>
      <c r="M147" s="16" t="n"/>
      <c r="N147" s="124">
        <f>IF(M147="","",COUNTIFS($C$15:$C$2015,M$13,$D$15:$D$2015,"&gt;="&amp;M147,$D$15:$D$2015,"&lt;"&amp;M148))</f>
        <v/>
      </c>
      <c r="O147" s="14" t="n"/>
      <c r="P147" s="16" t="n"/>
      <c r="Q147" s="124">
        <f>IF(P147="","",COUNTIFS($C$15:$C$2015,P$13,$D$15:$D$2015,"&gt;="&amp;P147,$D$15:$D$2015,"&lt;"&amp;P148))</f>
        <v/>
      </c>
      <c r="R147" s="14" t="n"/>
      <c r="S147" s="16" t="n"/>
      <c r="T147" s="124">
        <f>IF(S147="","",COUNTIFS($C$15:$C$2015,S$13,$D$15:$D$2015,"&gt;="&amp;S147,$D$15:$D$2015,"&lt;"&amp;S148))</f>
        <v/>
      </c>
      <c r="U147" s="14" t="n"/>
      <c r="V147" s="16" t="n"/>
      <c r="W147" s="124">
        <f>IF(V147="","",COUNTIFS($C$15:$C$2015,V$13,$D$15:$D$2015,"&gt;="&amp;V147,$D$15:$D$2015,"&lt;"&amp;V148))</f>
        <v/>
      </c>
      <c r="X147" s="14" t="n"/>
      <c r="Y147" s="16" t="n"/>
      <c r="Z147" s="124">
        <f>IF(Y147="","",COUNTIFS($C$15:$C$2015,Y$13,$D$15:$D$2015,"&gt;="&amp;Y147,$D$15:$D$2015,"&lt;"&amp;Y148))</f>
        <v/>
      </c>
      <c r="AA147" s="14" t="n"/>
      <c r="AB147" s="16" t="n"/>
      <c r="AC147" s="124">
        <f>IF(AB147="","",COUNTIFS($C$15:$C$2015,AB$13,$D$15:$D$2015,"&gt;="&amp;AB147,$D$15:$D$2015,"&lt;"&amp;AB148))</f>
        <v/>
      </c>
      <c r="AD147" s="14" t="n"/>
    </row>
    <row r="148">
      <c r="A148" s="56" t="n"/>
      <c r="B148" s="57" t="n"/>
      <c r="C148" s="59" t="n"/>
      <c r="E148" s="16" t="n"/>
      <c r="F148" s="13" t="n"/>
      <c r="G148" s="16" t="n"/>
      <c r="H148" s="124">
        <f>IF(G148="","",COUNTIFS($C$15:$C$2015,G$13,$D$15:$D$2015,"&gt;="&amp;G148,$D$15:$D$2015,"&lt;"&amp;G149))</f>
        <v/>
      </c>
      <c r="I148" s="14" t="n"/>
      <c r="J148" s="16" t="n"/>
      <c r="K148" s="124">
        <f>IF(J148="","",COUNTIFS($C$15:$C$2015,J$13,$D$15:$D$2015,"&gt;="&amp;J148,$D$15:$D$2015,"&lt;"&amp;J149))</f>
        <v/>
      </c>
      <c r="L148" s="14" t="n"/>
      <c r="M148" s="16" t="n"/>
      <c r="N148" s="124">
        <f>IF(M148="","",COUNTIFS($C$15:$C$2015,M$13,$D$15:$D$2015,"&gt;="&amp;M148,$D$15:$D$2015,"&lt;"&amp;M149))</f>
        <v/>
      </c>
      <c r="O148" s="14" t="n"/>
      <c r="P148" s="16" t="n"/>
      <c r="Q148" s="124">
        <f>IF(P148="","",COUNTIFS($C$15:$C$2015,P$13,$D$15:$D$2015,"&gt;="&amp;P148,$D$15:$D$2015,"&lt;"&amp;P149))</f>
        <v/>
      </c>
      <c r="R148" s="14" t="n"/>
      <c r="S148" s="16" t="n"/>
      <c r="T148" s="124">
        <f>IF(S148="","",COUNTIFS($C$15:$C$2015,S$13,$D$15:$D$2015,"&gt;="&amp;S148,$D$15:$D$2015,"&lt;"&amp;S149))</f>
        <v/>
      </c>
      <c r="U148" s="14" t="n"/>
      <c r="V148" s="16" t="n"/>
      <c r="W148" s="124">
        <f>IF(V148="","",COUNTIFS($C$15:$C$2015,V$13,$D$15:$D$2015,"&gt;="&amp;V148,$D$15:$D$2015,"&lt;"&amp;V149))</f>
        <v/>
      </c>
      <c r="X148" s="14" t="n"/>
      <c r="Y148" s="16" t="n"/>
      <c r="Z148" s="124">
        <f>IF(Y148="","",COUNTIFS($C$15:$C$2015,Y$13,$D$15:$D$2015,"&gt;="&amp;Y148,$D$15:$D$2015,"&lt;"&amp;Y149))</f>
        <v/>
      </c>
      <c r="AA148" s="14" t="n"/>
      <c r="AB148" s="16" t="n"/>
      <c r="AC148" s="124">
        <f>IF(AB148="","",COUNTIFS($C$15:$C$2015,AB$13,$D$15:$D$2015,"&gt;="&amp;AB148,$D$15:$D$2015,"&lt;"&amp;AB149))</f>
        <v/>
      </c>
      <c r="AD148" s="14" t="n"/>
    </row>
    <row r="149">
      <c r="A149" s="58" t="n"/>
      <c r="B149" s="59" t="n"/>
      <c r="C149" s="59" t="n"/>
      <c r="E149" s="16" t="n"/>
      <c r="F149" s="13" t="n"/>
      <c r="G149" s="16" t="n"/>
      <c r="H149" s="124">
        <f>IF(G149="","",COUNTIFS($C$15:$C$2015,G$13,$D$15:$D$2015,"&gt;="&amp;G149,$D$15:$D$2015,"&lt;"&amp;G150))</f>
        <v/>
      </c>
      <c r="I149" s="14" t="n"/>
      <c r="J149" s="16" t="n"/>
      <c r="K149" s="124">
        <f>IF(J149="","",COUNTIFS($C$15:$C$2015,J$13,$D$15:$D$2015,"&gt;="&amp;J149,$D$15:$D$2015,"&lt;"&amp;J150))</f>
        <v/>
      </c>
      <c r="L149" s="14" t="n"/>
      <c r="M149" s="16" t="n"/>
      <c r="N149" s="124">
        <f>IF(M149="","",COUNTIFS($C$15:$C$2015,M$13,$D$15:$D$2015,"&gt;="&amp;M149,$D$15:$D$2015,"&lt;"&amp;M150))</f>
        <v/>
      </c>
      <c r="O149" s="14" t="n"/>
      <c r="P149" s="16" t="n"/>
      <c r="Q149" s="124">
        <f>IF(P149="","",COUNTIFS($C$15:$C$2015,P$13,$D$15:$D$2015,"&gt;="&amp;P149,$D$15:$D$2015,"&lt;"&amp;P150))</f>
        <v/>
      </c>
      <c r="R149" s="14" t="n"/>
      <c r="S149" s="16" t="n"/>
      <c r="T149" s="124">
        <f>IF(S149="","",COUNTIFS($C$15:$C$2015,S$13,$D$15:$D$2015,"&gt;="&amp;S149,$D$15:$D$2015,"&lt;"&amp;S150))</f>
        <v/>
      </c>
      <c r="U149" s="14" t="n"/>
      <c r="V149" s="16" t="n"/>
      <c r="W149" s="124">
        <f>IF(V149="","",COUNTIFS($C$15:$C$2015,V$13,$D$15:$D$2015,"&gt;="&amp;V149,$D$15:$D$2015,"&lt;"&amp;V150))</f>
        <v/>
      </c>
      <c r="X149" s="14" t="n"/>
      <c r="Y149" s="16" t="n"/>
      <c r="Z149" s="124">
        <f>IF(Y149="","",COUNTIFS($C$15:$C$2015,Y$13,$D$15:$D$2015,"&gt;="&amp;Y149,$D$15:$D$2015,"&lt;"&amp;Y150))</f>
        <v/>
      </c>
      <c r="AA149" s="14" t="n"/>
      <c r="AB149" s="16" t="n"/>
      <c r="AC149" s="124">
        <f>IF(AB149="","",COUNTIFS($C$15:$C$2015,AB$13,$D$15:$D$2015,"&gt;="&amp;AB149,$D$15:$D$2015,"&lt;"&amp;AB150))</f>
        <v/>
      </c>
      <c r="AD149" s="14" t="n"/>
    </row>
    <row r="150">
      <c r="A150" s="56" t="n"/>
      <c r="B150" s="57" t="n"/>
      <c r="C150" s="59" t="n"/>
      <c r="E150" s="16" t="n"/>
      <c r="F150" s="13" t="n"/>
      <c r="G150" s="16" t="n"/>
      <c r="H150" s="124">
        <f>IF(G150="","",COUNTIFS($C$15:$C$2015,G$13,$D$15:$D$2015,"&gt;="&amp;G150,$D$15:$D$2015,"&lt;"&amp;G151))</f>
        <v/>
      </c>
      <c r="I150" s="14" t="n"/>
      <c r="J150" s="16" t="n"/>
      <c r="K150" s="124">
        <f>IF(J150="","",COUNTIFS($C$15:$C$2015,J$13,$D$15:$D$2015,"&gt;="&amp;J150,$D$15:$D$2015,"&lt;"&amp;J151))</f>
        <v/>
      </c>
      <c r="L150" s="14" t="n"/>
      <c r="M150" s="16" t="n"/>
      <c r="N150" s="124">
        <f>IF(M150="","",COUNTIFS($C$15:$C$2015,M$13,$D$15:$D$2015,"&gt;="&amp;M150,$D$15:$D$2015,"&lt;"&amp;M151))</f>
        <v/>
      </c>
      <c r="O150" s="14" t="n"/>
      <c r="P150" s="16" t="n"/>
      <c r="Q150" s="124">
        <f>IF(P150="","",COUNTIFS($C$15:$C$2015,P$13,$D$15:$D$2015,"&gt;="&amp;P150,$D$15:$D$2015,"&lt;"&amp;P151))</f>
        <v/>
      </c>
      <c r="R150" s="14" t="n"/>
      <c r="S150" s="16" t="n"/>
      <c r="T150" s="124">
        <f>IF(S150="","",COUNTIFS($C$15:$C$2015,S$13,$D$15:$D$2015,"&gt;="&amp;S150,$D$15:$D$2015,"&lt;"&amp;S151))</f>
        <v/>
      </c>
      <c r="U150" s="14" t="n"/>
      <c r="V150" s="16" t="n"/>
      <c r="W150" s="124">
        <f>IF(V150="","",COUNTIFS($C$15:$C$2015,V$13,$D$15:$D$2015,"&gt;="&amp;V150,$D$15:$D$2015,"&lt;"&amp;V151))</f>
        <v/>
      </c>
      <c r="X150" s="14" t="n"/>
      <c r="Y150" s="16" t="n"/>
      <c r="Z150" s="124">
        <f>IF(Y150="","",COUNTIFS($C$15:$C$2015,Y$13,$D$15:$D$2015,"&gt;="&amp;Y150,$D$15:$D$2015,"&lt;"&amp;Y151))</f>
        <v/>
      </c>
      <c r="AA150" s="14" t="n"/>
      <c r="AB150" s="16" t="n"/>
      <c r="AC150" s="124">
        <f>IF(AB150="","",COUNTIFS($C$15:$C$2015,AB$13,$D$15:$D$2015,"&gt;="&amp;AB150,$D$15:$D$2015,"&lt;"&amp;AB151))</f>
        <v/>
      </c>
      <c r="AD150" s="14" t="n"/>
    </row>
    <row r="151">
      <c r="A151" s="58" t="n"/>
      <c r="B151" s="59" t="n"/>
      <c r="C151" s="59" t="n"/>
      <c r="E151" s="16" t="n"/>
      <c r="F151" s="13" t="n"/>
      <c r="G151" s="16" t="n"/>
      <c r="H151" s="124">
        <f>IF(G151="","",COUNTIFS($C$15:$C$2015,G$13,$D$15:$D$2015,"&gt;="&amp;G151,$D$15:$D$2015,"&lt;"&amp;G152))</f>
        <v/>
      </c>
      <c r="I151" s="14" t="n"/>
      <c r="J151" s="16" t="n"/>
      <c r="K151" s="124">
        <f>IF(J151="","",COUNTIFS($C$15:$C$2015,J$13,$D$15:$D$2015,"&gt;="&amp;J151,$D$15:$D$2015,"&lt;"&amp;J152))</f>
        <v/>
      </c>
      <c r="L151" s="14" t="n"/>
      <c r="M151" s="16" t="n"/>
      <c r="N151" s="124">
        <f>IF(M151="","",COUNTIFS($C$15:$C$2015,M$13,$D$15:$D$2015,"&gt;="&amp;M151,$D$15:$D$2015,"&lt;"&amp;M152))</f>
        <v/>
      </c>
      <c r="O151" s="14" t="n"/>
      <c r="P151" s="16" t="n"/>
      <c r="Q151" s="124">
        <f>IF(P151="","",COUNTIFS($C$15:$C$2015,P$13,$D$15:$D$2015,"&gt;="&amp;P151,$D$15:$D$2015,"&lt;"&amp;P152))</f>
        <v/>
      </c>
      <c r="R151" s="14" t="n"/>
      <c r="S151" s="16" t="n"/>
      <c r="T151" s="124">
        <f>IF(S151="","",COUNTIFS($C$15:$C$2015,S$13,$D$15:$D$2015,"&gt;="&amp;S151,$D$15:$D$2015,"&lt;"&amp;S152))</f>
        <v/>
      </c>
      <c r="U151" s="14" t="n"/>
      <c r="V151" s="16" t="n"/>
      <c r="W151" s="124">
        <f>IF(V151="","",COUNTIFS($C$15:$C$2015,V$13,$D$15:$D$2015,"&gt;="&amp;V151,$D$15:$D$2015,"&lt;"&amp;V152))</f>
        <v/>
      </c>
      <c r="X151" s="14" t="n"/>
      <c r="Y151" s="16" t="n"/>
      <c r="Z151" s="124">
        <f>IF(Y151="","",COUNTIFS($C$15:$C$2015,Y$13,$D$15:$D$2015,"&gt;="&amp;Y151,$D$15:$D$2015,"&lt;"&amp;Y152))</f>
        <v/>
      </c>
      <c r="AA151" s="14" t="n"/>
      <c r="AB151" s="16" t="n"/>
      <c r="AC151" s="124">
        <f>IF(AB151="","",COUNTIFS($C$15:$C$2015,AB$13,$D$15:$D$2015,"&gt;="&amp;AB151,$D$15:$D$2015,"&lt;"&amp;AB152))</f>
        <v/>
      </c>
      <c r="AD151" s="14" t="n"/>
    </row>
    <row r="152">
      <c r="A152" s="56" t="n"/>
      <c r="B152" s="57" t="n"/>
      <c r="C152" s="59" t="n"/>
      <c r="E152" s="16" t="n"/>
      <c r="F152" s="13" t="n"/>
      <c r="G152" s="16" t="n"/>
      <c r="H152" s="124">
        <f>IF(G152="","",COUNTIFS($C$15:$C$2015,G$13,$D$15:$D$2015,"&gt;="&amp;G152,$D$15:$D$2015,"&lt;"&amp;G153))</f>
        <v/>
      </c>
      <c r="I152" s="14" t="n"/>
      <c r="J152" s="16" t="n"/>
      <c r="K152" s="124">
        <f>IF(J152="","",COUNTIFS($C$15:$C$2015,J$13,$D$15:$D$2015,"&gt;="&amp;J152,$D$15:$D$2015,"&lt;"&amp;J153))</f>
        <v/>
      </c>
      <c r="L152" s="14" t="n"/>
      <c r="M152" s="16" t="n"/>
      <c r="N152" s="124">
        <f>IF(M152="","",COUNTIFS($C$15:$C$2015,M$13,$D$15:$D$2015,"&gt;="&amp;M152,$D$15:$D$2015,"&lt;"&amp;M153))</f>
        <v/>
      </c>
      <c r="O152" s="14" t="n"/>
      <c r="P152" s="16" t="n"/>
      <c r="Q152" s="124">
        <f>IF(P152="","",COUNTIFS($C$15:$C$2015,P$13,$D$15:$D$2015,"&gt;="&amp;P152,$D$15:$D$2015,"&lt;"&amp;P153))</f>
        <v/>
      </c>
      <c r="R152" s="14" t="n"/>
      <c r="S152" s="16" t="n"/>
      <c r="T152" s="124">
        <f>IF(S152="","",COUNTIFS($C$15:$C$2015,S$13,$D$15:$D$2015,"&gt;="&amp;S152,$D$15:$D$2015,"&lt;"&amp;S153))</f>
        <v/>
      </c>
      <c r="U152" s="14" t="n"/>
      <c r="V152" s="16" t="n"/>
      <c r="W152" s="124">
        <f>IF(V152="","",COUNTIFS($C$15:$C$2015,V$13,$D$15:$D$2015,"&gt;="&amp;V152,$D$15:$D$2015,"&lt;"&amp;V153))</f>
        <v/>
      </c>
      <c r="X152" s="14" t="n"/>
      <c r="Y152" s="16" t="n"/>
      <c r="Z152" s="124">
        <f>IF(Y152="","",COUNTIFS($C$15:$C$2015,Y$13,$D$15:$D$2015,"&gt;="&amp;Y152,$D$15:$D$2015,"&lt;"&amp;Y153))</f>
        <v/>
      </c>
      <c r="AA152" s="14" t="n"/>
      <c r="AB152" s="16" t="n"/>
      <c r="AC152" s="124">
        <f>IF(AB152="","",COUNTIFS($C$15:$C$2015,AB$13,$D$15:$D$2015,"&gt;="&amp;AB152,$D$15:$D$2015,"&lt;"&amp;AB153))</f>
        <v/>
      </c>
      <c r="AD152" s="14" t="n"/>
    </row>
    <row r="153">
      <c r="A153" s="58" t="n"/>
      <c r="B153" s="59" t="n"/>
      <c r="C153" s="59" t="n"/>
      <c r="E153" s="16" t="n"/>
      <c r="F153" s="13" t="n"/>
      <c r="G153" s="16" t="n"/>
      <c r="H153" s="124">
        <f>IF(G153="","",COUNTIFS($C$15:$C$2015,G$13,$D$15:$D$2015,"&gt;="&amp;G153,$D$15:$D$2015,"&lt;"&amp;G154))</f>
        <v/>
      </c>
      <c r="I153" s="14" t="n"/>
      <c r="J153" s="16" t="n"/>
      <c r="K153" s="124">
        <f>IF(J153="","",COUNTIFS($C$15:$C$2015,J$13,$D$15:$D$2015,"&gt;="&amp;J153,$D$15:$D$2015,"&lt;"&amp;J154))</f>
        <v/>
      </c>
      <c r="L153" s="14" t="n"/>
      <c r="M153" s="16" t="n"/>
      <c r="N153" s="124">
        <f>IF(M153="","",COUNTIFS($C$15:$C$2015,M$13,$D$15:$D$2015,"&gt;="&amp;M153,$D$15:$D$2015,"&lt;"&amp;M154))</f>
        <v/>
      </c>
      <c r="O153" s="14" t="n"/>
      <c r="P153" s="16" t="n"/>
      <c r="Q153" s="124">
        <f>IF(P153="","",COUNTIFS($C$15:$C$2015,P$13,$D$15:$D$2015,"&gt;="&amp;P153,$D$15:$D$2015,"&lt;"&amp;P154))</f>
        <v/>
      </c>
      <c r="R153" s="14" t="n"/>
      <c r="S153" s="16" t="n"/>
      <c r="T153" s="124">
        <f>IF(S153="","",COUNTIFS($C$15:$C$2015,S$13,$D$15:$D$2015,"&gt;="&amp;S153,$D$15:$D$2015,"&lt;"&amp;S154))</f>
        <v/>
      </c>
      <c r="U153" s="14" t="n"/>
      <c r="V153" s="16" t="n"/>
      <c r="W153" s="124">
        <f>IF(V153="","",COUNTIFS($C$15:$C$2015,V$13,$D$15:$D$2015,"&gt;="&amp;V153,$D$15:$D$2015,"&lt;"&amp;V154))</f>
        <v/>
      </c>
      <c r="X153" s="14" t="n"/>
      <c r="Y153" s="16" t="n"/>
      <c r="Z153" s="124">
        <f>IF(Y153="","",COUNTIFS($C$15:$C$2015,Y$13,$D$15:$D$2015,"&gt;="&amp;Y153,$D$15:$D$2015,"&lt;"&amp;Y154))</f>
        <v/>
      </c>
      <c r="AA153" s="14" t="n"/>
      <c r="AB153" s="16" t="n"/>
      <c r="AC153" s="124">
        <f>IF(AB153="","",COUNTIFS($C$15:$C$2015,AB$13,$D$15:$D$2015,"&gt;="&amp;AB153,$D$15:$D$2015,"&lt;"&amp;AB154))</f>
        <v/>
      </c>
      <c r="AD153" s="14" t="n"/>
    </row>
    <row r="154">
      <c r="A154" s="56" t="n"/>
      <c r="B154" s="57" t="n"/>
      <c r="C154" s="59" t="n"/>
      <c r="E154" s="16" t="n"/>
      <c r="F154" s="13" t="n"/>
      <c r="G154" s="16" t="n"/>
      <c r="H154" s="124">
        <f>IF(G154="","",COUNTIFS($C$15:$C$2015,G$13,$D$15:$D$2015,"&gt;="&amp;G154,$D$15:$D$2015,"&lt;"&amp;G155))</f>
        <v/>
      </c>
      <c r="I154" s="14" t="n"/>
      <c r="J154" s="16" t="n"/>
      <c r="K154" s="124">
        <f>IF(J154="","",COUNTIFS($C$15:$C$2015,J$13,$D$15:$D$2015,"&gt;="&amp;J154,$D$15:$D$2015,"&lt;"&amp;J155))</f>
        <v/>
      </c>
      <c r="L154" s="14" t="n"/>
      <c r="M154" s="16" t="n"/>
      <c r="N154" s="124">
        <f>IF(M154="","",COUNTIFS($C$15:$C$2015,M$13,$D$15:$D$2015,"&gt;="&amp;M154,$D$15:$D$2015,"&lt;"&amp;M155))</f>
        <v/>
      </c>
      <c r="O154" s="14" t="n"/>
      <c r="P154" s="16" t="n"/>
      <c r="Q154" s="124">
        <f>IF(P154="","",COUNTIFS($C$15:$C$2015,P$13,$D$15:$D$2015,"&gt;="&amp;P154,$D$15:$D$2015,"&lt;"&amp;P155))</f>
        <v/>
      </c>
      <c r="R154" s="14" t="n"/>
      <c r="S154" s="16" t="n"/>
      <c r="T154" s="124">
        <f>IF(S154="","",COUNTIFS($C$15:$C$2015,S$13,$D$15:$D$2015,"&gt;="&amp;S154,$D$15:$D$2015,"&lt;"&amp;S155))</f>
        <v/>
      </c>
      <c r="U154" s="14" t="n"/>
      <c r="V154" s="16" t="n"/>
      <c r="W154" s="124">
        <f>IF(V154="","",COUNTIFS($C$15:$C$2015,V$13,$D$15:$D$2015,"&gt;="&amp;V154,$D$15:$D$2015,"&lt;"&amp;V155))</f>
        <v/>
      </c>
      <c r="X154" s="14" t="n"/>
      <c r="Y154" s="16" t="n"/>
      <c r="Z154" s="124">
        <f>IF(Y154="","",COUNTIFS($C$15:$C$2015,Y$13,$D$15:$D$2015,"&gt;="&amp;Y154,$D$15:$D$2015,"&lt;"&amp;Y155))</f>
        <v/>
      </c>
      <c r="AA154" s="14" t="n"/>
      <c r="AB154" s="16" t="n"/>
      <c r="AC154" s="124">
        <f>IF(AB154="","",COUNTIFS($C$15:$C$2015,AB$13,$D$15:$D$2015,"&gt;="&amp;AB154,$D$15:$D$2015,"&lt;"&amp;AB155))</f>
        <v/>
      </c>
      <c r="AD154" s="14" t="n"/>
    </row>
    <row r="155">
      <c r="A155" s="58" t="n"/>
      <c r="B155" s="59" t="n"/>
      <c r="C155" s="59" t="n"/>
      <c r="E155" s="16" t="n"/>
      <c r="F155" s="13" t="n"/>
      <c r="G155" s="16" t="n"/>
      <c r="H155" s="124">
        <f>IF(G155="","",COUNTIFS($C$15:$C$2015,G$13,$D$15:$D$2015,"&gt;="&amp;G155,$D$15:$D$2015,"&lt;"&amp;G156))</f>
        <v/>
      </c>
      <c r="I155" s="14" t="n"/>
      <c r="J155" s="16" t="n"/>
      <c r="K155" s="124">
        <f>IF(J155="","",COUNTIFS($C$15:$C$2015,J$13,$D$15:$D$2015,"&gt;="&amp;J155,$D$15:$D$2015,"&lt;"&amp;J156))</f>
        <v/>
      </c>
      <c r="L155" s="14" t="n"/>
      <c r="M155" s="16" t="n"/>
      <c r="N155" s="124">
        <f>IF(M155="","",COUNTIFS($C$15:$C$2015,M$13,$D$15:$D$2015,"&gt;="&amp;M155,$D$15:$D$2015,"&lt;"&amp;M156))</f>
        <v/>
      </c>
      <c r="O155" s="14" t="n"/>
      <c r="P155" s="16" t="n"/>
      <c r="Q155" s="124">
        <f>IF(P155="","",COUNTIFS($C$15:$C$2015,P$13,$D$15:$D$2015,"&gt;="&amp;P155,$D$15:$D$2015,"&lt;"&amp;P156))</f>
        <v/>
      </c>
      <c r="R155" s="14" t="n"/>
      <c r="S155" s="16" t="n"/>
      <c r="T155" s="124">
        <f>IF(S155="","",COUNTIFS($C$15:$C$2015,S$13,$D$15:$D$2015,"&gt;="&amp;S155,$D$15:$D$2015,"&lt;"&amp;S156))</f>
        <v/>
      </c>
      <c r="U155" s="14" t="n"/>
      <c r="V155" s="16" t="n"/>
      <c r="W155" s="124">
        <f>IF(V155="","",COUNTIFS($C$15:$C$2015,V$13,$D$15:$D$2015,"&gt;="&amp;V155,$D$15:$D$2015,"&lt;"&amp;V156))</f>
        <v/>
      </c>
      <c r="X155" s="14" t="n"/>
      <c r="Y155" s="16" t="n"/>
      <c r="Z155" s="124">
        <f>IF(Y155="","",COUNTIFS($C$15:$C$2015,Y$13,$D$15:$D$2015,"&gt;="&amp;Y155,$D$15:$D$2015,"&lt;"&amp;Y156))</f>
        <v/>
      </c>
      <c r="AA155" s="14" t="n"/>
      <c r="AB155" s="16" t="n"/>
      <c r="AC155" s="124">
        <f>IF(AB155="","",COUNTIFS($C$15:$C$2015,AB$13,$D$15:$D$2015,"&gt;="&amp;AB155,$D$15:$D$2015,"&lt;"&amp;AB156))</f>
        <v/>
      </c>
      <c r="AD155" s="14" t="n"/>
    </row>
    <row r="156">
      <c r="A156" s="56" t="n"/>
      <c r="B156" s="57" t="n"/>
      <c r="C156" s="59" t="n"/>
      <c r="E156" s="16" t="n"/>
      <c r="F156" s="13" t="n"/>
      <c r="G156" s="16" t="n"/>
      <c r="H156" s="124">
        <f>IF(G156="","",COUNTIFS($C$15:$C$2015,G$13,$D$15:$D$2015,"&gt;="&amp;G156,$D$15:$D$2015,"&lt;"&amp;G157))</f>
        <v/>
      </c>
      <c r="I156" s="14" t="n"/>
      <c r="J156" s="16" t="n"/>
      <c r="K156" s="124">
        <f>IF(J156="","",COUNTIFS($C$15:$C$2015,J$13,$D$15:$D$2015,"&gt;="&amp;J156,$D$15:$D$2015,"&lt;"&amp;J157))</f>
        <v/>
      </c>
      <c r="L156" s="14" t="n"/>
      <c r="M156" s="16" t="n"/>
      <c r="N156" s="124">
        <f>IF(M156="","",COUNTIFS($C$15:$C$2015,M$13,$D$15:$D$2015,"&gt;="&amp;M156,$D$15:$D$2015,"&lt;"&amp;M157))</f>
        <v/>
      </c>
      <c r="O156" s="14" t="n"/>
      <c r="P156" s="16" t="n"/>
      <c r="Q156" s="124">
        <f>IF(P156="","",COUNTIFS($C$15:$C$2015,P$13,$D$15:$D$2015,"&gt;="&amp;P156,$D$15:$D$2015,"&lt;"&amp;P157))</f>
        <v/>
      </c>
      <c r="R156" s="14" t="n"/>
      <c r="S156" s="16" t="n"/>
      <c r="T156" s="124">
        <f>IF(S156="","",COUNTIFS($C$15:$C$2015,S$13,$D$15:$D$2015,"&gt;="&amp;S156,$D$15:$D$2015,"&lt;"&amp;S157))</f>
        <v/>
      </c>
      <c r="U156" s="14" t="n"/>
      <c r="V156" s="16" t="n"/>
      <c r="W156" s="124">
        <f>IF(V156="","",COUNTIFS($C$15:$C$2015,V$13,$D$15:$D$2015,"&gt;="&amp;V156,$D$15:$D$2015,"&lt;"&amp;V157))</f>
        <v/>
      </c>
      <c r="X156" s="14" t="n"/>
      <c r="Y156" s="16" t="n"/>
      <c r="Z156" s="124">
        <f>IF(Y156="","",COUNTIFS($C$15:$C$2015,Y$13,$D$15:$D$2015,"&gt;="&amp;Y156,$D$15:$D$2015,"&lt;"&amp;Y157))</f>
        <v/>
      </c>
      <c r="AA156" s="14" t="n"/>
      <c r="AB156" s="16" t="n"/>
      <c r="AC156" s="124">
        <f>IF(AB156="","",COUNTIFS($C$15:$C$2015,AB$13,$D$15:$D$2015,"&gt;="&amp;AB156,$D$15:$D$2015,"&lt;"&amp;AB157))</f>
        <v/>
      </c>
      <c r="AD156" s="14" t="n"/>
    </row>
    <row r="157">
      <c r="A157" s="58" t="n"/>
      <c r="B157" s="59" t="n"/>
      <c r="C157" s="59" t="n"/>
      <c r="E157" s="16" t="n"/>
      <c r="F157" s="13" t="n"/>
      <c r="G157" s="16" t="n"/>
      <c r="H157" s="124">
        <f>IF(G157="","",COUNTIFS($C$15:$C$2015,G$13,$D$15:$D$2015,"&gt;="&amp;G157,$D$15:$D$2015,"&lt;"&amp;G158))</f>
        <v/>
      </c>
      <c r="I157" s="14" t="n"/>
      <c r="J157" s="16" t="n"/>
      <c r="K157" s="124">
        <f>IF(J157="","",COUNTIFS($C$15:$C$2015,J$13,$D$15:$D$2015,"&gt;="&amp;J157,$D$15:$D$2015,"&lt;"&amp;J158))</f>
        <v/>
      </c>
      <c r="L157" s="14" t="n"/>
      <c r="M157" s="16" t="n"/>
      <c r="N157" s="124">
        <f>IF(M157="","",COUNTIFS($C$15:$C$2015,M$13,$D$15:$D$2015,"&gt;="&amp;M157,$D$15:$D$2015,"&lt;"&amp;M158))</f>
        <v/>
      </c>
      <c r="O157" s="14" t="n"/>
      <c r="P157" s="16" t="n"/>
      <c r="Q157" s="124">
        <f>IF(P157="","",COUNTIFS($C$15:$C$2015,P$13,$D$15:$D$2015,"&gt;="&amp;P157,$D$15:$D$2015,"&lt;"&amp;P158))</f>
        <v/>
      </c>
      <c r="R157" s="14" t="n"/>
      <c r="S157" s="16" t="n"/>
      <c r="T157" s="124">
        <f>IF(S157="","",COUNTIFS($C$15:$C$2015,S$13,$D$15:$D$2015,"&gt;="&amp;S157,$D$15:$D$2015,"&lt;"&amp;S158))</f>
        <v/>
      </c>
      <c r="U157" s="14" t="n"/>
      <c r="V157" s="16" t="n"/>
      <c r="W157" s="124">
        <f>IF(V157="","",COUNTIFS($C$15:$C$2015,V$13,$D$15:$D$2015,"&gt;="&amp;V157,$D$15:$D$2015,"&lt;"&amp;V158))</f>
        <v/>
      </c>
      <c r="X157" s="14" t="n"/>
      <c r="Y157" s="16" t="n"/>
      <c r="Z157" s="124">
        <f>IF(Y157="","",COUNTIFS($C$15:$C$2015,Y$13,$D$15:$D$2015,"&gt;="&amp;Y157,$D$15:$D$2015,"&lt;"&amp;Y158))</f>
        <v/>
      </c>
      <c r="AA157" s="14" t="n"/>
      <c r="AB157" s="16" t="n"/>
      <c r="AC157" s="124">
        <f>IF(AB157="","",COUNTIFS($C$15:$C$2015,AB$13,$D$15:$D$2015,"&gt;="&amp;AB157,$D$15:$D$2015,"&lt;"&amp;AB158))</f>
        <v/>
      </c>
      <c r="AD157" s="14" t="n"/>
    </row>
    <row r="158">
      <c r="A158" s="56" t="n"/>
      <c r="B158" s="57" t="n"/>
      <c r="C158" s="59" t="n"/>
      <c r="E158" s="16" t="n"/>
      <c r="F158" s="13" t="n"/>
      <c r="G158" s="16" t="n"/>
      <c r="H158" s="124">
        <f>IF(G158="","",COUNTIFS($C$15:$C$2015,G$13,$D$15:$D$2015,"&gt;="&amp;G158,$D$15:$D$2015,"&lt;"&amp;G159))</f>
        <v/>
      </c>
      <c r="I158" s="14" t="n"/>
      <c r="J158" s="16" t="n"/>
      <c r="K158" s="124">
        <f>IF(J158="","",COUNTIFS($C$15:$C$2015,J$13,$D$15:$D$2015,"&gt;="&amp;J158,$D$15:$D$2015,"&lt;"&amp;J159))</f>
        <v/>
      </c>
      <c r="L158" s="14" t="n"/>
      <c r="M158" s="16" t="n"/>
      <c r="N158" s="124">
        <f>IF(M158="","",COUNTIFS($C$15:$C$2015,M$13,$D$15:$D$2015,"&gt;="&amp;M158,$D$15:$D$2015,"&lt;"&amp;M159))</f>
        <v/>
      </c>
      <c r="O158" s="14" t="n"/>
      <c r="P158" s="16" t="n"/>
      <c r="Q158" s="124">
        <f>IF(P158="","",COUNTIFS($C$15:$C$2015,P$13,$D$15:$D$2015,"&gt;="&amp;P158,$D$15:$D$2015,"&lt;"&amp;P159))</f>
        <v/>
      </c>
      <c r="R158" s="14" t="n"/>
      <c r="S158" s="16" t="n"/>
      <c r="T158" s="124">
        <f>IF(S158="","",COUNTIFS($C$15:$C$2015,S$13,$D$15:$D$2015,"&gt;="&amp;S158,$D$15:$D$2015,"&lt;"&amp;S159))</f>
        <v/>
      </c>
      <c r="U158" s="14" t="n"/>
      <c r="V158" s="16" t="n"/>
      <c r="W158" s="124">
        <f>IF(V158="","",COUNTIFS($C$15:$C$2015,V$13,$D$15:$D$2015,"&gt;="&amp;V158,$D$15:$D$2015,"&lt;"&amp;V159))</f>
        <v/>
      </c>
      <c r="X158" s="14" t="n"/>
      <c r="Y158" s="16" t="n"/>
      <c r="Z158" s="124">
        <f>IF(Y158="","",COUNTIFS($C$15:$C$2015,Y$13,$D$15:$D$2015,"&gt;="&amp;Y158,$D$15:$D$2015,"&lt;"&amp;Y159))</f>
        <v/>
      </c>
      <c r="AA158" s="14" t="n"/>
      <c r="AB158" s="16" t="n"/>
      <c r="AC158" s="124">
        <f>IF(AB158="","",COUNTIFS($C$15:$C$2015,AB$13,$D$15:$D$2015,"&gt;="&amp;AB158,$D$15:$D$2015,"&lt;"&amp;AB159))</f>
        <v/>
      </c>
      <c r="AD158" s="14" t="n"/>
    </row>
    <row r="159">
      <c r="A159" s="58" t="n"/>
      <c r="B159" s="59" t="n"/>
      <c r="C159" s="59" t="n"/>
      <c r="E159" s="16" t="n"/>
      <c r="F159" s="13" t="n"/>
      <c r="G159" s="16" t="n"/>
      <c r="H159" s="124">
        <f>IF(G159="","",COUNTIFS($C$15:$C$2015,G$13,$D$15:$D$2015,"&gt;="&amp;G159,$D$15:$D$2015,"&lt;"&amp;G160))</f>
        <v/>
      </c>
      <c r="I159" s="14" t="n"/>
      <c r="J159" s="16" t="n"/>
      <c r="K159" s="124">
        <f>IF(J159="","",COUNTIFS($C$15:$C$2015,J$13,$D$15:$D$2015,"&gt;="&amp;J159,$D$15:$D$2015,"&lt;"&amp;J160))</f>
        <v/>
      </c>
      <c r="L159" s="14" t="n"/>
      <c r="M159" s="16" t="n"/>
      <c r="N159" s="124">
        <f>IF(M159="","",COUNTIFS($C$15:$C$2015,M$13,$D$15:$D$2015,"&gt;="&amp;M159,$D$15:$D$2015,"&lt;"&amp;M160))</f>
        <v/>
      </c>
      <c r="O159" s="14" t="n"/>
      <c r="P159" s="16" t="n"/>
      <c r="Q159" s="124">
        <f>IF(P159="","",COUNTIFS($C$15:$C$2015,P$13,$D$15:$D$2015,"&gt;="&amp;P159,$D$15:$D$2015,"&lt;"&amp;P160))</f>
        <v/>
      </c>
      <c r="R159" s="14" t="n"/>
      <c r="S159" s="16" t="n"/>
      <c r="T159" s="124">
        <f>IF(S159="","",COUNTIFS($C$15:$C$2015,S$13,$D$15:$D$2015,"&gt;="&amp;S159,$D$15:$D$2015,"&lt;"&amp;S160))</f>
        <v/>
      </c>
      <c r="U159" s="14" t="n"/>
      <c r="V159" s="16" t="n"/>
      <c r="W159" s="124">
        <f>IF(V159="","",COUNTIFS($C$15:$C$2015,V$13,$D$15:$D$2015,"&gt;="&amp;V159,$D$15:$D$2015,"&lt;"&amp;V160))</f>
        <v/>
      </c>
      <c r="X159" s="14" t="n"/>
      <c r="Y159" s="16" t="n"/>
      <c r="Z159" s="124">
        <f>IF(Y159="","",COUNTIFS($C$15:$C$2015,Y$13,$D$15:$D$2015,"&gt;="&amp;Y159,$D$15:$D$2015,"&lt;"&amp;Y160))</f>
        <v/>
      </c>
      <c r="AA159" s="14" t="n"/>
      <c r="AB159" s="16" t="n"/>
      <c r="AC159" s="124">
        <f>IF(AB159="","",COUNTIFS($C$15:$C$2015,AB$13,$D$15:$D$2015,"&gt;="&amp;AB159,$D$15:$D$2015,"&lt;"&amp;AB160))</f>
        <v/>
      </c>
      <c r="AD159" s="14" t="n"/>
    </row>
    <row r="160">
      <c r="A160" s="56" t="n"/>
      <c r="B160" s="57" t="n"/>
      <c r="C160" s="59" t="n"/>
      <c r="E160" s="16" t="n"/>
      <c r="F160" s="13" t="n"/>
      <c r="G160" s="16" t="n"/>
      <c r="H160" s="124">
        <f>IF(G160="","",COUNTIFS($C$15:$C$2015,G$13,$D$15:$D$2015,"&gt;="&amp;G160,$D$15:$D$2015,"&lt;"&amp;G161))</f>
        <v/>
      </c>
      <c r="I160" s="14" t="n"/>
      <c r="J160" s="16" t="n"/>
      <c r="K160" s="124">
        <f>IF(J160="","",COUNTIFS($C$15:$C$2015,J$13,$D$15:$D$2015,"&gt;="&amp;J160,$D$15:$D$2015,"&lt;"&amp;J161))</f>
        <v/>
      </c>
      <c r="L160" s="14" t="n"/>
      <c r="M160" s="16" t="n"/>
      <c r="N160" s="124">
        <f>IF(M160="","",COUNTIFS($C$15:$C$2015,M$13,$D$15:$D$2015,"&gt;="&amp;M160,$D$15:$D$2015,"&lt;"&amp;M161))</f>
        <v/>
      </c>
      <c r="O160" s="14" t="n"/>
      <c r="P160" s="16" t="n"/>
      <c r="Q160" s="124">
        <f>IF(P160="","",COUNTIFS($C$15:$C$2015,P$13,$D$15:$D$2015,"&gt;="&amp;P160,$D$15:$D$2015,"&lt;"&amp;P161))</f>
        <v/>
      </c>
      <c r="R160" s="14" t="n"/>
      <c r="S160" s="16" t="n"/>
      <c r="T160" s="124">
        <f>IF(S160="","",COUNTIFS($C$15:$C$2015,S$13,$D$15:$D$2015,"&gt;="&amp;S160,$D$15:$D$2015,"&lt;"&amp;S161))</f>
        <v/>
      </c>
      <c r="U160" s="14" t="n"/>
      <c r="V160" s="16" t="n"/>
      <c r="W160" s="124">
        <f>IF(V160="","",COUNTIFS($C$15:$C$2015,V$13,$D$15:$D$2015,"&gt;="&amp;V160,$D$15:$D$2015,"&lt;"&amp;V161))</f>
        <v/>
      </c>
      <c r="X160" s="14" t="n"/>
      <c r="Y160" s="16" t="n"/>
      <c r="Z160" s="124">
        <f>IF(Y160="","",COUNTIFS($C$15:$C$2015,Y$13,$D$15:$D$2015,"&gt;="&amp;Y160,$D$15:$D$2015,"&lt;"&amp;Y161))</f>
        <v/>
      </c>
      <c r="AA160" s="14" t="n"/>
      <c r="AB160" s="16" t="n"/>
      <c r="AC160" s="124">
        <f>IF(AB160="","",COUNTIFS($C$15:$C$2015,AB$13,$D$15:$D$2015,"&gt;="&amp;AB160,$D$15:$D$2015,"&lt;"&amp;AB161))</f>
        <v/>
      </c>
      <c r="AD160" s="14" t="n"/>
    </row>
    <row r="161">
      <c r="A161" s="58" t="n"/>
      <c r="B161" s="59" t="n"/>
      <c r="C161" s="59" t="n"/>
      <c r="E161" s="16" t="n"/>
      <c r="F161" s="13" t="n"/>
      <c r="G161" s="16" t="n"/>
      <c r="H161" s="124">
        <f>IF(G161="","",COUNTIFS($C$15:$C$2015,G$13,$D$15:$D$2015,"&gt;="&amp;G161,$D$15:$D$2015,"&lt;"&amp;G162))</f>
        <v/>
      </c>
      <c r="I161" s="14" t="n"/>
      <c r="J161" s="16" t="n"/>
      <c r="K161" s="124">
        <f>IF(J161="","",COUNTIFS($C$15:$C$2015,J$13,$D$15:$D$2015,"&gt;="&amp;J161,$D$15:$D$2015,"&lt;"&amp;J162))</f>
        <v/>
      </c>
      <c r="L161" s="14" t="n"/>
      <c r="M161" s="16" t="n"/>
      <c r="N161" s="124">
        <f>IF(M161="","",COUNTIFS($C$15:$C$2015,M$13,$D$15:$D$2015,"&gt;="&amp;M161,$D$15:$D$2015,"&lt;"&amp;M162))</f>
        <v/>
      </c>
      <c r="O161" s="14" t="n"/>
      <c r="P161" s="16" t="n"/>
      <c r="Q161" s="124">
        <f>IF(P161="","",COUNTIFS($C$15:$C$2015,P$13,$D$15:$D$2015,"&gt;="&amp;P161,$D$15:$D$2015,"&lt;"&amp;P162))</f>
        <v/>
      </c>
      <c r="R161" s="14" t="n"/>
      <c r="S161" s="16" t="n"/>
      <c r="T161" s="124">
        <f>IF(S161="","",COUNTIFS($C$15:$C$2015,S$13,$D$15:$D$2015,"&gt;="&amp;S161,$D$15:$D$2015,"&lt;"&amp;S162))</f>
        <v/>
      </c>
      <c r="U161" s="14" t="n"/>
      <c r="V161" s="16" t="n"/>
      <c r="W161" s="124">
        <f>IF(V161="","",COUNTIFS($C$15:$C$2015,V$13,$D$15:$D$2015,"&gt;="&amp;V161,$D$15:$D$2015,"&lt;"&amp;V162))</f>
        <v/>
      </c>
      <c r="X161" s="14" t="n"/>
      <c r="Y161" s="16" t="n"/>
      <c r="Z161" s="124">
        <f>IF(Y161="","",COUNTIFS($C$15:$C$2015,Y$13,$D$15:$D$2015,"&gt;="&amp;Y161,$D$15:$D$2015,"&lt;"&amp;Y162))</f>
        <v/>
      </c>
      <c r="AA161" s="14" t="n"/>
      <c r="AB161" s="16" t="n"/>
      <c r="AC161" s="124">
        <f>IF(AB161="","",COUNTIFS($C$15:$C$2015,AB$13,$D$15:$D$2015,"&gt;="&amp;AB161,$D$15:$D$2015,"&lt;"&amp;AB162))</f>
        <v/>
      </c>
      <c r="AD161" s="14" t="n"/>
    </row>
    <row r="162">
      <c r="A162" s="56" t="n"/>
      <c r="B162" s="57" t="n"/>
      <c r="C162" s="59" t="n"/>
      <c r="E162" s="16" t="n"/>
      <c r="F162" s="13" t="n"/>
      <c r="G162" s="16" t="n"/>
      <c r="H162" s="124">
        <f>IF(G162="","",COUNTIFS($C$15:$C$2015,G$13,$D$15:$D$2015,"&gt;="&amp;G162,$D$15:$D$2015,"&lt;"&amp;G163))</f>
        <v/>
      </c>
      <c r="I162" s="14" t="n"/>
      <c r="J162" s="16" t="n"/>
      <c r="K162" s="124">
        <f>IF(J162="","",COUNTIFS($C$15:$C$2015,J$13,$D$15:$D$2015,"&gt;="&amp;J162,$D$15:$D$2015,"&lt;"&amp;J163))</f>
        <v/>
      </c>
      <c r="L162" s="14" t="n"/>
      <c r="M162" s="16" t="n"/>
      <c r="N162" s="124">
        <f>IF(M162="","",COUNTIFS($C$15:$C$2015,M$13,$D$15:$D$2015,"&gt;="&amp;M162,$D$15:$D$2015,"&lt;"&amp;M163))</f>
        <v/>
      </c>
      <c r="O162" s="14" t="n"/>
      <c r="P162" s="16" t="n"/>
      <c r="Q162" s="124">
        <f>IF(P162="","",COUNTIFS($C$15:$C$2015,P$13,$D$15:$D$2015,"&gt;="&amp;P162,$D$15:$D$2015,"&lt;"&amp;P163))</f>
        <v/>
      </c>
      <c r="R162" s="14" t="n"/>
      <c r="S162" s="16" t="n"/>
      <c r="T162" s="124">
        <f>IF(S162="","",COUNTIFS($C$15:$C$2015,S$13,$D$15:$D$2015,"&gt;="&amp;S162,$D$15:$D$2015,"&lt;"&amp;S163))</f>
        <v/>
      </c>
      <c r="U162" s="14" t="n"/>
      <c r="V162" s="16" t="n"/>
      <c r="W162" s="124">
        <f>IF(V162="","",COUNTIFS($C$15:$C$2015,V$13,$D$15:$D$2015,"&gt;="&amp;V162,$D$15:$D$2015,"&lt;"&amp;V163))</f>
        <v/>
      </c>
      <c r="X162" s="14" t="n"/>
      <c r="Y162" s="16" t="n"/>
      <c r="Z162" s="124">
        <f>IF(Y162="","",COUNTIFS($C$15:$C$2015,Y$13,$D$15:$D$2015,"&gt;="&amp;Y162,$D$15:$D$2015,"&lt;"&amp;Y163))</f>
        <v/>
      </c>
      <c r="AA162" s="14" t="n"/>
      <c r="AB162" s="16" t="n"/>
      <c r="AC162" s="124">
        <f>IF(AB162="","",COUNTIFS($C$15:$C$2015,AB$13,$D$15:$D$2015,"&gt;="&amp;AB162,$D$15:$D$2015,"&lt;"&amp;AB163))</f>
        <v/>
      </c>
      <c r="AD162" s="14" t="n"/>
    </row>
    <row r="163">
      <c r="A163" s="58" t="n"/>
      <c r="B163" s="59" t="n"/>
      <c r="C163" s="59" t="n"/>
      <c r="E163" s="16" t="n"/>
      <c r="F163" s="13" t="n"/>
      <c r="G163" s="16" t="n"/>
      <c r="H163" s="124">
        <f>IF(G163="","",COUNTIFS($C$15:$C$2015,G$13,$D$15:$D$2015,"&gt;="&amp;G163,$D$15:$D$2015,"&lt;"&amp;G164))</f>
        <v/>
      </c>
      <c r="I163" s="14" t="n"/>
      <c r="J163" s="16" t="n"/>
      <c r="K163" s="124">
        <f>IF(J163="","",COUNTIFS($C$15:$C$2015,J$13,$D$15:$D$2015,"&gt;="&amp;J163,$D$15:$D$2015,"&lt;"&amp;J164))</f>
        <v/>
      </c>
      <c r="L163" s="14" t="n"/>
      <c r="M163" s="16" t="n"/>
      <c r="N163" s="124">
        <f>IF(M163="","",COUNTIFS($C$15:$C$2015,M$13,$D$15:$D$2015,"&gt;="&amp;M163,$D$15:$D$2015,"&lt;"&amp;M164))</f>
        <v/>
      </c>
      <c r="O163" s="14" t="n"/>
      <c r="P163" s="16" t="n"/>
      <c r="Q163" s="124">
        <f>IF(P163="","",COUNTIFS($C$15:$C$2015,P$13,$D$15:$D$2015,"&gt;="&amp;P163,$D$15:$D$2015,"&lt;"&amp;P164))</f>
        <v/>
      </c>
      <c r="R163" s="14" t="n"/>
      <c r="S163" s="16" t="n"/>
      <c r="T163" s="124">
        <f>IF(S163="","",COUNTIFS($C$15:$C$2015,S$13,$D$15:$D$2015,"&gt;="&amp;S163,$D$15:$D$2015,"&lt;"&amp;S164))</f>
        <v/>
      </c>
      <c r="U163" s="14" t="n"/>
      <c r="V163" s="16" t="n"/>
      <c r="W163" s="124">
        <f>IF(V163="","",COUNTIFS($C$15:$C$2015,V$13,$D$15:$D$2015,"&gt;="&amp;V163,$D$15:$D$2015,"&lt;"&amp;V164))</f>
        <v/>
      </c>
      <c r="X163" s="14" t="n"/>
      <c r="Y163" s="16" t="n"/>
      <c r="Z163" s="124">
        <f>IF(Y163="","",COUNTIFS($C$15:$C$2015,Y$13,$D$15:$D$2015,"&gt;="&amp;Y163,$D$15:$D$2015,"&lt;"&amp;Y164))</f>
        <v/>
      </c>
      <c r="AA163" s="14" t="n"/>
      <c r="AB163" s="16" t="n"/>
      <c r="AC163" s="124">
        <f>IF(AB163="","",COUNTIFS($C$15:$C$2015,AB$13,$D$15:$D$2015,"&gt;="&amp;AB163,$D$15:$D$2015,"&lt;"&amp;AB164))</f>
        <v/>
      </c>
      <c r="AD163" s="14" t="n"/>
    </row>
    <row r="164">
      <c r="A164" s="56" t="n"/>
      <c r="B164" s="57" t="n"/>
      <c r="C164" s="59" t="n"/>
      <c r="E164" s="16" t="n"/>
      <c r="F164" s="13" t="n"/>
      <c r="G164" s="16" t="n"/>
      <c r="H164" s="124">
        <f>IF(G164="","",COUNTIFS($C$15:$C$2015,G$13,$D$15:$D$2015,"&gt;="&amp;G164,$D$15:$D$2015,"&lt;"&amp;G165))</f>
        <v/>
      </c>
      <c r="I164" s="14" t="n"/>
      <c r="J164" s="16" t="n"/>
      <c r="K164" s="124">
        <f>IF(J164="","",COUNTIFS($C$15:$C$2015,J$13,$D$15:$D$2015,"&gt;="&amp;J164,$D$15:$D$2015,"&lt;"&amp;J165))</f>
        <v/>
      </c>
      <c r="L164" s="14" t="n"/>
      <c r="M164" s="16" t="n"/>
      <c r="N164" s="124">
        <f>IF(M164="","",COUNTIFS($C$15:$C$2015,M$13,$D$15:$D$2015,"&gt;="&amp;M164,$D$15:$D$2015,"&lt;"&amp;M165))</f>
        <v/>
      </c>
      <c r="O164" s="14" t="n"/>
      <c r="P164" s="16" t="n"/>
      <c r="Q164" s="124">
        <f>IF(P164="","",COUNTIFS($C$15:$C$2015,P$13,$D$15:$D$2015,"&gt;="&amp;P164,$D$15:$D$2015,"&lt;"&amp;P165))</f>
        <v/>
      </c>
      <c r="R164" s="14" t="n"/>
      <c r="S164" s="16" t="n"/>
      <c r="T164" s="124">
        <f>IF(S164="","",COUNTIFS($C$15:$C$2015,S$13,$D$15:$D$2015,"&gt;="&amp;S164,$D$15:$D$2015,"&lt;"&amp;S165))</f>
        <v/>
      </c>
      <c r="U164" s="14" t="n"/>
      <c r="V164" s="16" t="n"/>
      <c r="W164" s="124">
        <f>IF(V164="","",COUNTIFS($C$15:$C$2015,V$13,$D$15:$D$2015,"&gt;="&amp;V164,$D$15:$D$2015,"&lt;"&amp;V165))</f>
        <v/>
      </c>
      <c r="X164" s="14" t="n"/>
      <c r="Y164" s="16" t="n"/>
      <c r="Z164" s="124">
        <f>IF(Y164="","",COUNTIFS($C$15:$C$2015,Y$13,$D$15:$D$2015,"&gt;="&amp;Y164,$D$15:$D$2015,"&lt;"&amp;Y165))</f>
        <v/>
      </c>
      <c r="AA164" s="14" t="n"/>
      <c r="AB164" s="16" t="n"/>
      <c r="AC164" s="124">
        <f>IF(AB164="","",COUNTIFS($C$15:$C$2015,AB$13,$D$15:$D$2015,"&gt;="&amp;AB164,$D$15:$D$2015,"&lt;"&amp;AB165))</f>
        <v/>
      </c>
      <c r="AD164" s="14" t="n"/>
    </row>
    <row r="165">
      <c r="A165" s="58" t="n"/>
      <c r="B165" s="59" t="n"/>
      <c r="C165" s="59" t="n"/>
      <c r="E165" s="16" t="n"/>
      <c r="F165" s="13" t="n"/>
      <c r="G165" s="16" t="n"/>
      <c r="H165" s="124">
        <f>IF(G165="","",COUNTIFS($C$15:$C$2015,G$13,$D$15:$D$2015,"&gt;="&amp;G165,$D$15:$D$2015,"&lt;"&amp;G166))</f>
        <v/>
      </c>
      <c r="I165" s="14" t="n"/>
      <c r="J165" s="16" t="n"/>
      <c r="K165" s="124">
        <f>IF(J165="","",COUNTIFS($C$15:$C$2015,J$13,$D$15:$D$2015,"&gt;="&amp;J165,$D$15:$D$2015,"&lt;"&amp;J166))</f>
        <v/>
      </c>
      <c r="L165" s="14" t="n"/>
      <c r="M165" s="16" t="n"/>
      <c r="N165" s="124">
        <f>IF(M165="","",COUNTIFS($C$15:$C$2015,M$13,$D$15:$D$2015,"&gt;="&amp;M165,$D$15:$D$2015,"&lt;"&amp;M166))</f>
        <v/>
      </c>
      <c r="O165" s="14" t="n"/>
      <c r="P165" s="16" t="n"/>
      <c r="Q165" s="124">
        <f>IF(P165="","",COUNTIFS($C$15:$C$2015,P$13,$D$15:$D$2015,"&gt;="&amp;P165,$D$15:$D$2015,"&lt;"&amp;P166))</f>
        <v/>
      </c>
      <c r="R165" s="14" t="n"/>
      <c r="S165" s="16" t="n"/>
      <c r="T165" s="124">
        <f>IF(S165="","",COUNTIFS($C$15:$C$2015,S$13,$D$15:$D$2015,"&gt;="&amp;S165,$D$15:$D$2015,"&lt;"&amp;S166))</f>
        <v/>
      </c>
      <c r="U165" s="14" t="n"/>
      <c r="V165" s="16" t="n"/>
      <c r="W165" s="124">
        <f>IF(V165="","",COUNTIFS($C$15:$C$2015,V$13,$D$15:$D$2015,"&gt;="&amp;V165,$D$15:$D$2015,"&lt;"&amp;V166))</f>
        <v/>
      </c>
      <c r="X165" s="14" t="n"/>
      <c r="Y165" s="16" t="n"/>
      <c r="Z165" s="124">
        <f>IF(Y165="","",COUNTIFS($C$15:$C$2015,Y$13,$D$15:$D$2015,"&gt;="&amp;Y165,$D$15:$D$2015,"&lt;"&amp;Y166))</f>
        <v/>
      </c>
      <c r="AA165" s="14" t="n"/>
      <c r="AB165" s="16" t="n"/>
      <c r="AC165" s="124">
        <f>IF(AB165="","",COUNTIFS($C$15:$C$2015,AB$13,$D$15:$D$2015,"&gt;="&amp;AB165,$D$15:$D$2015,"&lt;"&amp;AB166))</f>
        <v/>
      </c>
      <c r="AD165" s="14" t="n"/>
    </row>
    <row r="166">
      <c r="A166" s="56" t="n"/>
      <c r="B166" s="57" t="n"/>
      <c r="C166" s="59" t="n"/>
      <c r="E166" s="16" t="n"/>
      <c r="F166" s="13" t="n"/>
      <c r="G166" s="16" t="n"/>
      <c r="H166" s="124">
        <f>IF(G166="","",COUNTIFS($C$15:$C$2015,G$13,$D$15:$D$2015,"&gt;="&amp;G166,$D$15:$D$2015,"&lt;"&amp;G167))</f>
        <v/>
      </c>
      <c r="I166" s="14" t="n"/>
      <c r="J166" s="16" t="n"/>
      <c r="K166" s="124">
        <f>IF(J166="","",COUNTIFS($C$15:$C$2015,J$13,$D$15:$D$2015,"&gt;="&amp;J166,$D$15:$D$2015,"&lt;"&amp;J167))</f>
        <v/>
      </c>
      <c r="L166" s="14" t="n"/>
      <c r="M166" s="16" t="n"/>
      <c r="N166" s="124">
        <f>IF(M166="","",COUNTIFS($C$15:$C$2015,M$13,$D$15:$D$2015,"&gt;="&amp;M166,$D$15:$D$2015,"&lt;"&amp;M167))</f>
        <v/>
      </c>
      <c r="O166" s="14" t="n"/>
      <c r="P166" s="16" t="n"/>
      <c r="Q166" s="124">
        <f>IF(P166="","",COUNTIFS($C$15:$C$2015,P$13,$D$15:$D$2015,"&gt;="&amp;P166,$D$15:$D$2015,"&lt;"&amp;P167))</f>
        <v/>
      </c>
      <c r="R166" s="14" t="n"/>
      <c r="S166" s="16" t="n"/>
      <c r="T166" s="124">
        <f>IF(S166="","",COUNTIFS($C$15:$C$2015,S$13,$D$15:$D$2015,"&gt;="&amp;S166,$D$15:$D$2015,"&lt;"&amp;S167))</f>
        <v/>
      </c>
      <c r="U166" s="14" t="n"/>
      <c r="V166" s="16" t="n"/>
      <c r="W166" s="124">
        <f>IF(V166="","",COUNTIFS($C$15:$C$2015,V$13,$D$15:$D$2015,"&gt;="&amp;V166,$D$15:$D$2015,"&lt;"&amp;V167))</f>
        <v/>
      </c>
      <c r="X166" s="14" t="n"/>
      <c r="Y166" s="16" t="n"/>
      <c r="Z166" s="124">
        <f>IF(Y166="","",COUNTIFS($C$15:$C$2015,Y$13,$D$15:$D$2015,"&gt;="&amp;Y166,$D$15:$D$2015,"&lt;"&amp;Y167))</f>
        <v/>
      </c>
      <c r="AA166" s="14" t="n"/>
      <c r="AB166" s="16" t="n"/>
      <c r="AC166" s="124">
        <f>IF(AB166="","",COUNTIFS($C$15:$C$2015,AB$13,$D$15:$D$2015,"&gt;="&amp;AB166,$D$15:$D$2015,"&lt;"&amp;AB167))</f>
        <v/>
      </c>
      <c r="AD166" s="14" t="n"/>
    </row>
    <row r="167">
      <c r="A167" s="58" t="n"/>
      <c r="B167" s="59" t="n"/>
      <c r="C167" s="59" t="n"/>
      <c r="E167" s="16" t="n"/>
      <c r="F167" s="13" t="n"/>
      <c r="G167" s="16" t="n"/>
      <c r="H167" s="124">
        <f>IF(G167="","",COUNTIFS($C$15:$C$2015,G$13,$D$15:$D$2015,"&gt;="&amp;G167,$D$15:$D$2015,"&lt;"&amp;G168))</f>
        <v/>
      </c>
      <c r="I167" s="14" t="n"/>
      <c r="J167" s="16" t="n"/>
      <c r="K167" s="124">
        <f>IF(J167="","",COUNTIFS($C$15:$C$2015,J$13,$D$15:$D$2015,"&gt;="&amp;J167,$D$15:$D$2015,"&lt;"&amp;J168))</f>
        <v/>
      </c>
      <c r="L167" s="14" t="n"/>
      <c r="M167" s="16" t="n"/>
      <c r="N167" s="124">
        <f>IF(M167="","",COUNTIFS($C$15:$C$2015,M$13,$D$15:$D$2015,"&gt;="&amp;M167,$D$15:$D$2015,"&lt;"&amp;M168))</f>
        <v/>
      </c>
      <c r="O167" s="14" t="n"/>
      <c r="P167" s="16" t="n"/>
      <c r="Q167" s="124">
        <f>IF(P167="","",COUNTIFS($C$15:$C$2015,P$13,$D$15:$D$2015,"&gt;="&amp;P167,$D$15:$D$2015,"&lt;"&amp;P168))</f>
        <v/>
      </c>
      <c r="R167" s="14" t="n"/>
      <c r="S167" s="16" t="n"/>
      <c r="T167" s="124">
        <f>IF(S167="","",COUNTIFS($C$15:$C$2015,S$13,$D$15:$D$2015,"&gt;="&amp;S167,$D$15:$D$2015,"&lt;"&amp;S168))</f>
        <v/>
      </c>
      <c r="U167" s="14" t="n"/>
      <c r="V167" s="16" t="n"/>
      <c r="W167" s="124">
        <f>IF(V167="","",COUNTIFS($C$15:$C$2015,V$13,$D$15:$D$2015,"&gt;="&amp;V167,$D$15:$D$2015,"&lt;"&amp;V168))</f>
        <v/>
      </c>
      <c r="X167" s="14" t="n"/>
      <c r="Y167" s="16" t="n"/>
      <c r="Z167" s="124">
        <f>IF(Y167="","",COUNTIFS($C$15:$C$2015,Y$13,$D$15:$D$2015,"&gt;="&amp;Y167,$D$15:$D$2015,"&lt;"&amp;Y168))</f>
        <v/>
      </c>
      <c r="AA167" s="14" t="n"/>
      <c r="AB167" s="16" t="n"/>
      <c r="AC167" s="124">
        <f>IF(AB167="","",COUNTIFS($C$15:$C$2015,AB$13,$D$15:$D$2015,"&gt;="&amp;AB167,$D$15:$D$2015,"&lt;"&amp;AB168))</f>
        <v/>
      </c>
      <c r="AD167" s="14" t="n"/>
    </row>
    <row r="168">
      <c r="A168" s="56" t="n"/>
      <c r="B168" s="57" t="n"/>
      <c r="C168" s="59" t="n"/>
      <c r="E168" s="16" t="n"/>
      <c r="F168" s="13" t="n"/>
      <c r="G168" s="16" t="n"/>
      <c r="H168" s="124">
        <f>IF(G168="","",COUNTIFS($C$15:$C$2015,G$13,$D$15:$D$2015,"&gt;="&amp;G168,$D$15:$D$2015,"&lt;"&amp;G169))</f>
        <v/>
      </c>
      <c r="I168" s="14" t="n"/>
      <c r="J168" s="16" t="n"/>
      <c r="K168" s="124">
        <f>IF(J168="","",COUNTIFS($C$15:$C$2015,J$13,$D$15:$D$2015,"&gt;="&amp;J168,$D$15:$D$2015,"&lt;"&amp;J169))</f>
        <v/>
      </c>
      <c r="L168" s="14" t="n"/>
      <c r="M168" s="16" t="n"/>
      <c r="N168" s="124">
        <f>IF(M168="","",COUNTIFS($C$15:$C$2015,M$13,$D$15:$D$2015,"&gt;="&amp;M168,$D$15:$D$2015,"&lt;"&amp;M169))</f>
        <v/>
      </c>
      <c r="O168" s="14" t="n"/>
      <c r="P168" s="16" t="n"/>
      <c r="Q168" s="124">
        <f>IF(P168="","",COUNTIFS($C$15:$C$2015,P$13,$D$15:$D$2015,"&gt;="&amp;P168,$D$15:$D$2015,"&lt;"&amp;P169))</f>
        <v/>
      </c>
      <c r="R168" s="14" t="n"/>
      <c r="S168" s="16" t="n"/>
      <c r="T168" s="124">
        <f>IF(S168="","",COUNTIFS($C$15:$C$2015,S$13,$D$15:$D$2015,"&gt;="&amp;S168,$D$15:$D$2015,"&lt;"&amp;S169))</f>
        <v/>
      </c>
      <c r="U168" s="14" t="n"/>
      <c r="V168" s="16" t="n"/>
      <c r="W168" s="124">
        <f>IF(V168="","",COUNTIFS($C$15:$C$2015,V$13,$D$15:$D$2015,"&gt;="&amp;V168,$D$15:$D$2015,"&lt;"&amp;V169))</f>
        <v/>
      </c>
      <c r="X168" s="14" t="n"/>
      <c r="Y168" s="16" t="n"/>
      <c r="Z168" s="124">
        <f>IF(Y168="","",COUNTIFS($C$15:$C$2015,Y$13,$D$15:$D$2015,"&gt;="&amp;Y168,$D$15:$D$2015,"&lt;"&amp;Y169))</f>
        <v/>
      </c>
      <c r="AA168" s="14" t="n"/>
      <c r="AB168" s="16" t="n"/>
      <c r="AC168" s="124">
        <f>IF(AB168="","",COUNTIFS($C$15:$C$2015,AB$13,$D$15:$D$2015,"&gt;="&amp;AB168,$D$15:$D$2015,"&lt;"&amp;AB169))</f>
        <v/>
      </c>
      <c r="AD168" s="14" t="n"/>
    </row>
    <row r="169">
      <c r="A169" s="58" t="n"/>
      <c r="B169" s="59" t="n"/>
      <c r="C169" s="59" t="n"/>
      <c r="E169" s="16" t="n"/>
      <c r="F169" s="13" t="n"/>
      <c r="G169" s="16" t="n"/>
      <c r="H169" s="124">
        <f>IF(G169="","",COUNTIFS($C$15:$C$2015,G$13,$D$15:$D$2015,"&gt;="&amp;G169,$D$15:$D$2015,"&lt;"&amp;G170))</f>
        <v/>
      </c>
      <c r="I169" s="14" t="n"/>
      <c r="J169" s="16" t="n"/>
      <c r="K169" s="124">
        <f>IF(J169="","",COUNTIFS($C$15:$C$2015,J$13,$D$15:$D$2015,"&gt;="&amp;J169,$D$15:$D$2015,"&lt;"&amp;J170))</f>
        <v/>
      </c>
      <c r="L169" s="14" t="n"/>
      <c r="M169" s="16" t="n"/>
      <c r="N169" s="124">
        <f>IF(M169="","",COUNTIFS($C$15:$C$2015,M$13,$D$15:$D$2015,"&gt;="&amp;M169,$D$15:$D$2015,"&lt;"&amp;M170))</f>
        <v/>
      </c>
      <c r="O169" s="14" t="n"/>
      <c r="P169" s="16" t="n"/>
      <c r="Q169" s="124">
        <f>IF(P169="","",COUNTIFS($C$15:$C$2015,P$13,$D$15:$D$2015,"&gt;="&amp;P169,$D$15:$D$2015,"&lt;"&amp;P170))</f>
        <v/>
      </c>
      <c r="R169" s="14" t="n"/>
      <c r="S169" s="16" t="n"/>
      <c r="T169" s="124">
        <f>IF(S169="","",COUNTIFS($C$15:$C$2015,S$13,$D$15:$D$2015,"&gt;="&amp;S169,$D$15:$D$2015,"&lt;"&amp;S170))</f>
        <v/>
      </c>
      <c r="U169" s="14" t="n"/>
      <c r="V169" s="16" t="n"/>
      <c r="W169" s="124">
        <f>IF(V169="","",COUNTIFS($C$15:$C$2015,V$13,$D$15:$D$2015,"&gt;="&amp;V169,$D$15:$D$2015,"&lt;"&amp;V170))</f>
        <v/>
      </c>
      <c r="X169" s="14" t="n"/>
      <c r="Y169" s="16" t="n"/>
      <c r="Z169" s="124">
        <f>IF(Y169="","",COUNTIFS($C$15:$C$2015,Y$13,$D$15:$D$2015,"&gt;="&amp;Y169,$D$15:$D$2015,"&lt;"&amp;Y170))</f>
        <v/>
      </c>
      <c r="AA169" s="14" t="n"/>
      <c r="AB169" s="16" t="n"/>
      <c r="AC169" s="124">
        <f>IF(AB169="","",COUNTIFS($C$15:$C$2015,AB$13,$D$15:$D$2015,"&gt;="&amp;AB169,$D$15:$D$2015,"&lt;"&amp;AB170))</f>
        <v/>
      </c>
      <c r="AD169" s="14" t="n"/>
    </row>
    <row r="170">
      <c r="A170" s="56" t="n"/>
      <c r="B170" s="57" t="n"/>
      <c r="C170" s="59" t="n"/>
      <c r="E170" s="16" t="n"/>
      <c r="F170" s="13" t="n"/>
      <c r="G170" s="16" t="n"/>
      <c r="H170" s="124">
        <f>IF(G170="","",COUNTIFS($C$15:$C$2015,G$13,$D$15:$D$2015,"&gt;="&amp;G170,$D$15:$D$2015,"&lt;"&amp;G171))</f>
        <v/>
      </c>
      <c r="I170" s="14" t="n"/>
      <c r="J170" s="16" t="n"/>
      <c r="K170" s="124">
        <f>IF(J170="","",COUNTIFS($C$15:$C$2015,J$13,$D$15:$D$2015,"&gt;="&amp;J170,$D$15:$D$2015,"&lt;"&amp;J171))</f>
        <v/>
      </c>
      <c r="L170" s="14" t="n"/>
      <c r="M170" s="16" t="n"/>
      <c r="N170" s="124">
        <f>IF(M170="","",COUNTIFS($C$15:$C$2015,M$13,$D$15:$D$2015,"&gt;="&amp;M170,$D$15:$D$2015,"&lt;"&amp;M171))</f>
        <v/>
      </c>
      <c r="O170" s="14" t="n"/>
      <c r="P170" s="16" t="n"/>
      <c r="Q170" s="124">
        <f>IF(P170="","",COUNTIFS($C$15:$C$2015,P$13,$D$15:$D$2015,"&gt;="&amp;P170,$D$15:$D$2015,"&lt;"&amp;P171))</f>
        <v/>
      </c>
      <c r="R170" s="14" t="n"/>
      <c r="S170" s="16" t="n"/>
      <c r="T170" s="124">
        <f>IF(S170="","",COUNTIFS($C$15:$C$2015,S$13,$D$15:$D$2015,"&gt;="&amp;S170,$D$15:$D$2015,"&lt;"&amp;S171))</f>
        <v/>
      </c>
      <c r="U170" s="14" t="n"/>
      <c r="V170" s="16" t="n"/>
      <c r="W170" s="124">
        <f>IF(V170="","",COUNTIFS($C$15:$C$2015,V$13,$D$15:$D$2015,"&gt;="&amp;V170,$D$15:$D$2015,"&lt;"&amp;V171))</f>
        <v/>
      </c>
      <c r="X170" s="14" t="n"/>
      <c r="Y170" s="16" t="n"/>
      <c r="Z170" s="124">
        <f>IF(Y170="","",COUNTIFS($C$15:$C$2015,Y$13,$D$15:$D$2015,"&gt;="&amp;Y170,$D$15:$D$2015,"&lt;"&amp;Y171))</f>
        <v/>
      </c>
      <c r="AA170" s="14" t="n"/>
      <c r="AB170" s="16" t="n"/>
      <c r="AC170" s="124">
        <f>IF(AB170="","",COUNTIFS($C$15:$C$2015,AB$13,$D$15:$D$2015,"&gt;="&amp;AB170,$D$15:$D$2015,"&lt;"&amp;AB171))</f>
        <v/>
      </c>
      <c r="AD170" s="14" t="n"/>
    </row>
    <row r="171">
      <c r="A171" s="58" t="n"/>
      <c r="B171" s="59" t="n"/>
      <c r="C171" s="59" t="n"/>
      <c r="E171" s="16" t="n"/>
      <c r="F171" s="13" t="n"/>
      <c r="G171" s="16" t="n"/>
      <c r="H171" s="124">
        <f>IF(G171="","",COUNTIFS($C$15:$C$2015,G$13,$D$15:$D$2015,"&gt;="&amp;G171,$D$15:$D$2015,"&lt;"&amp;G172))</f>
        <v/>
      </c>
      <c r="I171" s="14" t="n"/>
      <c r="J171" s="16" t="n"/>
      <c r="K171" s="124">
        <f>IF(J171="","",COUNTIFS($C$15:$C$2015,J$13,$D$15:$D$2015,"&gt;="&amp;J171,$D$15:$D$2015,"&lt;"&amp;J172))</f>
        <v/>
      </c>
      <c r="L171" s="14" t="n"/>
      <c r="M171" s="16" t="n"/>
      <c r="N171" s="124">
        <f>IF(M171="","",COUNTIFS($C$15:$C$2015,M$13,$D$15:$D$2015,"&gt;="&amp;M171,$D$15:$D$2015,"&lt;"&amp;M172))</f>
        <v/>
      </c>
      <c r="O171" s="14" t="n"/>
      <c r="P171" s="16" t="n"/>
      <c r="Q171" s="124">
        <f>IF(P171="","",COUNTIFS($C$15:$C$2015,P$13,$D$15:$D$2015,"&gt;="&amp;P171,$D$15:$D$2015,"&lt;"&amp;P172))</f>
        <v/>
      </c>
      <c r="R171" s="14" t="n"/>
      <c r="S171" s="16" t="n"/>
      <c r="T171" s="124">
        <f>IF(S171="","",COUNTIFS($C$15:$C$2015,S$13,$D$15:$D$2015,"&gt;="&amp;S171,$D$15:$D$2015,"&lt;"&amp;S172))</f>
        <v/>
      </c>
      <c r="U171" s="14" t="n"/>
      <c r="V171" s="16" t="n"/>
      <c r="W171" s="124">
        <f>IF(V171="","",COUNTIFS($C$15:$C$2015,V$13,$D$15:$D$2015,"&gt;="&amp;V171,$D$15:$D$2015,"&lt;"&amp;V172))</f>
        <v/>
      </c>
      <c r="X171" s="14" t="n"/>
      <c r="Y171" s="16" t="n"/>
      <c r="Z171" s="124">
        <f>IF(Y171="","",COUNTIFS($C$15:$C$2015,Y$13,$D$15:$D$2015,"&gt;="&amp;Y171,$D$15:$D$2015,"&lt;"&amp;Y172))</f>
        <v/>
      </c>
      <c r="AA171" s="14" t="n"/>
      <c r="AB171" s="16" t="n"/>
      <c r="AC171" s="124">
        <f>IF(AB171="","",COUNTIFS($C$15:$C$2015,AB$13,$D$15:$D$2015,"&gt;="&amp;AB171,$D$15:$D$2015,"&lt;"&amp;AB172))</f>
        <v/>
      </c>
      <c r="AD171" s="14" t="n"/>
    </row>
    <row r="172">
      <c r="A172" s="56" t="n"/>
      <c r="B172" s="57" t="n"/>
      <c r="C172" s="59" t="n"/>
      <c r="E172" s="16" t="n"/>
      <c r="F172" s="13" t="n"/>
      <c r="G172" s="16" t="n"/>
      <c r="H172" s="124">
        <f>IF(G172="","",COUNTIFS($C$15:$C$2015,G$13,$D$15:$D$2015,"&gt;="&amp;G172,$D$15:$D$2015,"&lt;"&amp;G173))</f>
        <v/>
      </c>
      <c r="I172" s="14" t="n"/>
      <c r="J172" s="16" t="n"/>
      <c r="K172" s="124">
        <f>IF(J172="","",COUNTIFS($C$15:$C$2015,J$13,$D$15:$D$2015,"&gt;="&amp;J172,$D$15:$D$2015,"&lt;"&amp;J173))</f>
        <v/>
      </c>
      <c r="L172" s="14" t="n"/>
      <c r="M172" s="16" t="n"/>
      <c r="N172" s="124">
        <f>IF(M172="","",COUNTIFS($C$15:$C$2015,M$13,$D$15:$D$2015,"&gt;="&amp;M172,$D$15:$D$2015,"&lt;"&amp;M173))</f>
        <v/>
      </c>
      <c r="O172" s="14" t="n"/>
      <c r="P172" s="16" t="n"/>
      <c r="Q172" s="124">
        <f>IF(P172="","",COUNTIFS($C$15:$C$2015,P$13,$D$15:$D$2015,"&gt;="&amp;P172,$D$15:$D$2015,"&lt;"&amp;P173))</f>
        <v/>
      </c>
      <c r="R172" s="14" t="n"/>
      <c r="S172" s="16" t="n"/>
      <c r="T172" s="124">
        <f>IF(S172="","",COUNTIFS($C$15:$C$2015,S$13,$D$15:$D$2015,"&gt;="&amp;S172,$D$15:$D$2015,"&lt;"&amp;S173))</f>
        <v/>
      </c>
      <c r="U172" s="14" t="n"/>
      <c r="V172" s="16" t="n"/>
      <c r="W172" s="124">
        <f>IF(V172="","",COUNTIFS($C$15:$C$2015,V$13,$D$15:$D$2015,"&gt;="&amp;V172,$D$15:$D$2015,"&lt;"&amp;V173))</f>
        <v/>
      </c>
      <c r="X172" s="14" t="n"/>
      <c r="Y172" s="16" t="n"/>
      <c r="Z172" s="124">
        <f>IF(Y172="","",COUNTIFS($C$15:$C$2015,Y$13,$D$15:$D$2015,"&gt;="&amp;Y172,$D$15:$D$2015,"&lt;"&amp;Y173))</f>
        <v/>
      </c>
      <c r="AA172" s="14" t="n"/>
      <c r="AB172" s="16" t="n"/>
      <c r="AC172" s="124">
        <f>IF(AB172="","",COUNTIFS($C$15:$C$2015,AB$13,$D$15:$D$2015,"&gt;="&amp;AB172,$D$15:$D$2015,"&lt;"&amp;AB173))</f>
        <v/>
      </c>
      <c r="AD172" s="14" t="n"/>
    </row>
    <row r="173">
      <c r="A173" s="58" t="n"/>
      <c r="B173" s="59" t="n"/>
      <c r="C173" s="59" t="n"/>
      <c r="E173" s="16" t="n"/>
      <c r="F173" s="13" t="n"/>
      <c r="G173" s="16" t="n"/>
      <c r="H173" s="124">
        <f>IF(G173="","",COUNTIFS($C$15:$C$2015,G$13,$D$15:$D$2015,"&gt;="&amp;G173,$D$15:$D$2015,"&lt;"&amp;G174))</f>
        <v/>
      </c>
      <c r="I173" s="14" t="n"/>
      <c r="J173" s="16" t="n"/>
      <c r="K173" s="124">
        <f>IF(J173="","",COUNTIFS($C$15:$C$2015,J$13,$D$15:$D$2015,"&gt;="&amp;J173,$D$15:$D$2015,"&lt;"&amp;J174))</f>
        <v/>
      </c>
      <c r="L173" s="14" t="n"/>
      <c r="M173" s="16" t="n"/>
      <c r="N173" s="124">
        <f>IF(M173="","",COUNTIFS($C$15:$C$2015,M$13,$D$15:$D$2015,"&gt;="&amp;M173,$D$15:$D$2015,"&lt;"&amp;M174))</f>
        <v/>
      </c>
      <c r="O173" s="14" t="n"/>
      <c r="P173" s="16" t="n"/>
      <c r="Q173" s="124">
        <f>IF(P173="","",COUNTIFS($C$15:$C$2015,P$13,$D$15:$D$2015,"&gt;="&amp;P173,$D$15:$D$2015,"&lt;"&amp;P174))</f>
        <v/>
      </c>
      <c r="R173" s="14" t="n"/>
      <c r="S173" s="16" t="n"/>
      <c r="T173" s="124">
        <f>IF(S173="","",COUNTIFS($C$15:$C$2015,S$13,$D$15:$D$2015,"&gt;="&amp;S173,$D$15:$D$2015,"&lt;"&amp;S174))</f>
        <v/>
      </c>
      <c r="U173" s="14" t="n"/>
      <c r="V173" s="16" t="n"/>
      <c r="W173" s="124">
        <f>IF(V173="","",COUNTIFS($C$15:$C$2015,V$13,$D$15:$D$2015,"&gt;="&amp;V173,$D$15:$D$2015,"&lt;"&amp;V174))</f>
        <v/>
      </c>
      <c r="X173" s="14" t="n"/>
      <c r="Y173" s="16" t="n"/>
      <c r="Z173" s="124">
        <f>IF(Y173="","",COUNTIFS($C$15:$C$2015,Y$13,$D$15:$D$2015,"&gt;="&amp;Y173,$D$15:$D$2015,"&lt;"&amp;Y174))</f>
        <v/>
      </c>
      <c r="AA173" s="14" t="n"/>
      <c r="AB173" s="16" t="n"/>
      <c r="AC173" s="124">
        <f>IF(AB173="","",COUNTIFS($C$15:$C$2015,AB$13,$D$15:$D$2015,"&gt;="&amp;AB173,$D$15:$D$2015,"&lt;"&amp;AB174))</f>
        <v/>
      </c>
      <c r="AD173" s="14" t="n"/>
    </row>
    <row r="174">
      <c r="A174" s="56" t="n"/>
      <c r="B174" s="57" t="n"/>
      <c r="C174" s="59" t="n"/>
      <c r="E174" s="16" t="n"/>
      <c r="F174" s="13" t="n"/>
      <c r="G174" s="16" t="n"/>
      <c r="H174" s="124">
        <f>IF(G174="","",COUNTIFS($C$15:$C$2015,G$13,$D$15:$D$2015,"&gt;="&amp;G174,$D$15:$D$2015,"&lt;"&amp;G175))</f>
        <v/>
      </c>
      <c r="I174" s="14" t="n"/>
      <c r="J174" s="16" t="n"/>
      <c r="K174" s="124">
        <f>IF(J174="","",COUNTIFS($C$15:$C$2015,J$13,$D$15:$D$2015,"&gt;="&amp;J174,$D$15:$D$2015,"&lt;"&amp;J175))</f>
        <v/>
      </c>
      <c r="L174" s="14" t="n"/>
      <c r="M174" s="16" t="n"/>
      <c r="N174" s="124">
        <f>IF(M174="","",COUNTIFS($C$15:$C$2015,M$13,$D$15:$D$2015,"&gt;="&amp;M174,$D$15:$D$2015,"&lt;"&amp;M175))</f>
        <v/>
      </c>
      <c r="O174" s="14" t="n"/>
      <c r="P174" s="16" t="n"/>
      <c r="Q174" s="124">
        <f>IF(P174="","",COUNTIFS($C$15:$C$2015,P$13,$D$15:$D$2015,"&gt;="&amp;P174,$D$15:$D$2015,"&lt;"&amp;P175))</f>
        <v/>
      </c>
      <c r="R174" s="14" t="n"/>
      <c r="S174" s="16" t="n"/>
      <c r="T174" s="124">
        <f>IF(S174="","",COUNTIFS($C$15:$C$2015,S$13,$D$15:$D$2015,"&gt;="&amp;S174,$D$15:$D$2015,"&lt;"&amp;S175))</f>
        <v/>
      </c>
      <c r="U174" s="14" t="n"/>
      <c r="V174" s="16" t="n"/>
      <c r="W174" s="124">
        <f>IF(V174="","",COUNTIFS($C$15:$C$2015,V$13,$D$15:$D$2015,"&gt;="&amp;V174,$D$15:$D$2015,"&lt;"&amp;V175))</f>
        <v/>
      </c>
      <c r="X174" s="14" t="n"/>
      <c r="Y174" s="16" t="n"/>
      <c r="Z174" s="124">
        <f>IF(Y174="","",COUNTIFS($C$15:$C$2015,Y$13,$D$15:$D$2015,"&gt;="&amp;Y174,$D$15:$D$2015,"&lt;"&amp;Y175))</f>
        <v/>
      </c>
      <c r="AA174" s="14" t="n"/>
      <c r="AB174" s="16" t="n"/>
      <c r="AC174" s="124">
        <f>IF(AB174="","",COUNTIFS($C$15:$C$2015,AB$13,$D$15:$D$2015,"&gt;="&amp;AB174,$D$15:$D$2015,"&lt;"&amp;AB175))</f>
        <v/>
      </c>
      <c r="AD174" s="14" t="n"/>
    </row>
    <row r="175">
      <c r="A175" s="58" t="n"/>
      <c r="B175" s="59" t="n"/>
      <c r="C175" s="59" t="n"/>
      <c r="E175" s="16" t="n"/>
      <c r="F175" s="13" t="n"/>
      <c r="G175" s="16" t="n"/>
      <c r="H175" s="124">
        <f>IF(G175="","",COUNTIFS($C$15:$C$2015,G$13,$D$15:$D$2015,"&gt;="&amp;G175,$D$15:$D$2015,"&lt;"&amp;G176))</f>
        <v/>
      </c>
      <c r="I175" s="14" t="n"/>
      <c r="J175" s="16" t="n"/>
      <c r="K175" s="124">
        <f>IF(J175="","",COUNTIFS($C$15:$C$2015,J$13,$D$15:$D$2015,"&gt;="&amp;J175,$D$15:$D$2015,"&lt;"&amp;J176))</f>
        <v/>
      </c>
      <c r="L175" s="14" t="n"/>
      <c r="M175" s="16" t="n"/>
      <c r="N175" s="124">
        <f>IF(M175="","",COUNTIFS($C$15:$C$2015,M$13,$D$15:$D$2015,"&gt;="&amp;M175,$D$15:$D$2015,"&lt;"&amp;M176))</f>
        <v/>
      </c>
      <c r="O175" s="14" t="n"/>
      <c r="P175" s="16" t="n"/>
      <c r="Q175" s="124">
        <f>IF(P175="","",COUNTIFS($C$15:$C$2015,P$13,$D$15:$D$2015,"&gt;="&amp;P175,$D$15:$D$2015,"&lt;"&amp;P176))</f>
        <v/>
      </c>
      <c r="R175" s="14" t="n"/>
      <c r="S175" s="16" t="n"/>
      <c r="T175" s="124">
        <f>IF(S175="","",COUNTIFS($C$15:$C$2015,S$13,$D$15:$D$2015,"&gt;="&amp;S175,$D$15:$D$2015,"&lt;"&amp;S176))</f>
        <v/>
      </c>
      <c r="U175" s="14" t="n"/>
      <c r="V175" s="16" t="n"/>
      <c r="W175" s="124">
        <f>IF(V175="","",COUNTIFS($C$15:$C$2015,V$13,$D$15:$D$2015,"&gt;="&amp;V175,$D$15:$D$2015,"&lt;"&amp;V176))</f>
        <v/>
      </c>
      <c r="X175" s="14" t="n"/>
      <c r="Y175" s="16" t="n"/>
      <c r="Z175" s="124">
        <f>IF(Y175="","",COUNTIFS($C$15:$C$2015,Y$13,$D$15:$D$2015,"&gt;="&amp;Y175,$D$15:$D$2015,"&lt;"&amp;Y176))</f>
        <v/>
      </c>
      <c r="AA175" s="14" t="n"/>
      <c r="AB175" s="16" t="n"/>
      <c r="AC175" s="124">
        <f>IF(AB175="","",COUNTIFS($C$15:$C$2015,AB$13,$D$15:$D$2015,"&gt;="&amp;AB175,$D$15:$D$2015,"&lt;"&amp;AB176))</f>
        <v/>
      </c>
      <c r="AD175" s="14" t="n"/>
    </row>
    <row r="176">
      <c r="A176" s="56" t="n"/>
      <c r="B176" s="57" t="n"/>
      <c r="C176" s="59" t="n"/>
      <c r="E176" s="16" t="n"/>
      <c r="F176" s="13" t="n"/>
      <c r="G176" s="16" t="n"/>
      <c r="H176" s="124">
        <f>IF(G176="","",COUNTIFS($C$15:$C$2015,G$13,$D$15:$D$2015,"&gt;="&amp;G176,$D$15:$D$2015,"&lt;"&amp;G177))</f>
        <v/>
      </c>
      <c r="I176" s="14" t="n"/>
      <c r="J176" s="16" t="n"/>
      <c r="K176" s="124">
        <f>IF(J176="","",COUNTIFS($C$15:$C$2015,J$13,$D$15:$D$2015,"&gt;="&amp;J176,$D$15:$D$2015,"&lt;"&amp;J177))</f>
        <v/>
      </c>
      <c r="L176" s="14" t="n"/>
      <c r="M176" s="16" t="n"/>
      <c r="N176" s="124">
        <f>IF(M176="","",COUNTIFS($C$15:$C$2015,M$13,$D$15:$D$2015,"&gt;="&amp;M176,$D$15:$D$2015,"&lt;"&amp;M177))</f>
        <v/>
      </c>
      <c r="O176" s="14" t="n"/>
      <c r="P176" s="16" t="n"/>
      <c r="Q176" s="124">
        <f>IF(P176="","",COUNTIFS($C$15:$C$2015,P$13,$D$15:$D$2015,"&gt;="&amp;P176,$D$15:$D$2015,"&lt;"&amp;P177))</f>
        <v/>
      </c>
      <c r="R176" s="14" t="n"/>
      <c r="S176" s="16" t="n"/>
      <c r="T176" s="124">
        <f>IF(S176="","",COUNTIFS($C$15:$C$2015,S$13,$D$15:$D$2015,"&gt;="&amp;S176,$D$15:$D$2015,"&lt;"&amp;S177))</f>
        <v/>
      </c>
      <c r="U176" s="14" t="n"/>
      <c r="V176" s="16" t="n"/>
      <c r="W176" s="124">
        <f>IF(V176="","",COUNTIFS($C$15:$C$2015,V$13,$D$15:$D$2015,"&gt;="&amp;V176,$D$15:$D$2015,"&lt;"&amp;V177))</f>
        <v/>
      </c>
      <c r="X176" s="14" t="n"/>
      <c r="Y176" s="16" t="n"/>
      <c r="Z176" s="124">
        <f>IF(Y176="","",COUNTIFS($C$15:$C$2015,Y$13,$D$15:$D$2015,"&gt;="&amp;Y176,$D$15:$D$2015,"&lt;"&amp;Y177))</f>
        <v/>
      </c>
      <c r="AA176" s="14" t="n"/>
      <c r="AB176" s="16" t="n"/>
      <c r="AC176" s="124">
        <f>IF(AB176="","",COUNTIFS($C$15:$C$2015,AB$13,$D$15:$D$2015,"&gt;="&amp;AB176,$D$15:$D$2015,"&lt;"&amp;AB177))</f>
        <v/>
      </c>
      <c r="AD176" s="14" t="n"/>
    </row>
    <row r="177">
      <c r="A177" s="58" t="n"/>
      <c r="B177" s="59" t="n"/>
      <c r="C177" s="59" t="n"/>
      <c r="E177" s="16" t="n"/>
      <c r="F177" s="13" t="n"/>
      <c r="G177" s="16" t="n"/>
      <c r="H177" s="124">
        <f>IF(G177="","",COUNTIFS($C$15:$C$2015,G$13,$D$15:$D$2015,"&gt;="&amp;G177,$D$15:$D$2015,"&lt;"&amp;G178))</f>
        <v/>
      </c>
      <c r="I177" s="14" t="n"/>
      <c r="J177" s="16" t="n"/>
      <c r="K177" s="124">
        <f>IF(J177="","",COUNTIFS($C$15:$C$2015,J$13,$D$15:$D$2015,"&gt;="&amp;J177,$D$15:$D$2015,"&lt;"&amp;J178))</f>
        <v/>
      </c>
      <c r="L177" s="14" t="n"/>
      <c r="M177" s="16" t="n"/>
      <c r="N177" s="124">
        <f>IF(M177="","",COUNTIFS($C$15:$C$2015,M$13,$D$15:$D$2015,"&gt;="&amp;M177,$D$15:$D$2015,"&lt;"&amp;M178))</f>
        <v/>
      </c>
      <c r="O177" s="14" t="n"/>
      <c r="P177" s="16" t="n"/>
      <c r="Q177" s="124">
        <f>IF(P177="","",COUNTIFS($C$15:$C$2015,P$13,$D$15:$D$2015,"&gt;="&amp;P177,$D$15:$D$2015,"&lt;"&amp;P178))</f>
        <v/>
      </c>
      <c r="R177" s="14" t="n"/>
      <c r="S177" s="16" t="n"/>
      <c r="T177" s="124">
        <f>IF(S177="","",COUNTIFS($C$15:$C$2015,S$13,$D$15:$D$2015,"&gt;="&amp;S177,$D$15:$D$2015,"&lt;"&amp;S178))</f>
        <v/>
      </c>
      <c r="U177" s="14" t="n"/>
      <c r="V177" s="16" t="n"/>
      <c r="W177" s="124">
        <f>IF(V177="","",COUNTIFS($C$15:$C$2015,V$13,$D$15:$D$2015,"&gt;="&amp;V177,$D$15:$D$2015,"&lt;"&amp;V178))</f>
        <v/>
      </c>
      <c r="X177" s="14" t="n"/>
      <c r="Y177" s="16" t="n"/>
      <c r="Z177" s="124">
        <f>IF(Y177="","",COUNTIFS($C$15:$C$2015,Y$13,$D$15:$D$2015,"&gt;="&amp;Y177,$D$15:$D$2015,"&lt;"&amp;Y178))</f>
        <v/>
      </c>
      <c r="AA177" s="14" t="n"/>
      <c r="AB177" s="16" t="n"/>
      <c r="AC177" s="124">
        <f>IF(AB177="","",COUNTIFS($C$15:$C$2015,AB$13,$D$15:$D$2015,"&gt;="&amp;AB177,$D$15:$D$2015,"&lt;"&amp;AB178))</f>
        <v/>
      </c>
      <c r="AD177" s="14" t="n"/>
    </row>
    <row r="178">
      <c r="A178" s="56" t="n"/>
      <c r="B178" s="57" t="n"/>
      <c r="C178" s="59" t="n"/>
      <c r="E178" s="16" t="n"/>
      <c r="F178" s="13" t="n"/>
      <c r="G178" s="16" t="n"/>
      <c r="H178" s="124">
        <f>IF(G178="","",COUNTIFS($C$15:$C$2015,G$13,$D$15:$D$2015,"&gt;="&amp;G178,$D$15:$D$2015,"&lt;"&amp;G179))</f>
        <v/>
      </c>
      <c r="I178" s="14" t="n"/>
      <c r="J178" s="16" t="n"/>
      <c r="K178" s="124">
        <f>IF(J178="","",COUNTIFS($C$15:$C$2015,J$13,$D$15:$D$2015,"&gt;="&amp;J178,$D$15:$D$2015,"&lt;"&amp;J179))</f>
        <v/>
      </c>
      <c r="L178" s="14" t="n"/>
      <c r="M178" s="16" t="n"/>
      <c r="N178" s="124">
        <f>IF(M178="","",COUNTIFS($C$15:$C$2015,M$13,$D$15:$D$2015,"&gt;="&amp;M178,$D$15:$D$2015,"&lt;"&amp;M179))</f>
        <v/>
      </c>
      <c r="O178" s="14" t="n"/>
      <c r="P178" s="16" t="n"/>
      <c r="Q178" s="124">
        <f>IF(P178="","",COUNTIFS($C$15:$C$2015,P$13,$D$15:$D$2015,"&gt;="&amp;P178,$D$15:$D$2015,"&lt;"&amp;P179))</f>
        <v/>
      </c>
      <c r="R178" s="14" t="n"/>
      <c r="S178" s="16" t="n"/>
      <c r="T178" s="124">
        <f>IF(S178="","",COUNTIFS($C$15:$C$2015,S$13,$D$15:$D$2015,"&gt;="&amp;S178,$D$15:$D$2015,"&lt;"&amp;S179))</f>
        <v/>
      </c>
      <c r="U178" s="14" t="n"/>
      <c r="V178" s="16" t="n"/>
      <c r="W178" s="124">
        <f>IF(V178="","",COUNTIFS($C$15:$C$2015,V$13,$D$15:$D$2015,"&gt;="&amp;V178,$D$15:$D$2015,"&lt;"&amp;V179))</f>
        <v/>
      </c>
      <c r="X178" s="14" t="n"/>
      <c r="Y178" s="16" t="n"/>
      <c r="Z178" s="124">
        <f>IF(Y178="","",COUNTIFS($C$15:$C$2015,Y$13,$D$15:$D$2015,"&gt;="&amp;Y178,$D$15:$D$2015,"&lt;"&amp;Y179))</f>
        <v/>
      </c>
      <c r="AA178" s="14" t="n"/>
      <c r="AB178" s="16" t="n"/>
      <c r="AC178" s="124">
        <f>IF(AB178="","",COUNTIFS($C$15:$C$2015,AB$13,$D$15:$D$2015,"&gt;="&amp;AB178,$D$15:$D$2015,"&lt;"&amp;AB179))</f>
        <v/>
      </c>
      <c r="AD178" s="14" t="n"/>
    </row>
    <row r="179">
      <c r="A179" s="58" t="n"/>
      <c r="B179" s="59" t="n"/>
      <c r="C179" s="59" t="n"/>
      <c r="E179" s="16" t="n"/>
      <c r="F179" s="13" t="n"/>
      <c r="G179" s="16" t="n"/>
      <c r="H179" s="124">
        <f>IF(G179="","",COUNTIFS($C$15:$C$2015,G$13,$D$15:$D$2015,"&gt;="&amp;G179,$D$15:$D$2015,"&lt;"&amp;G180))</f>
        <v/>
      </c>
      <c r="I179" s="14" t="n"/>
      <c r="J179" s="16" t="n"/>
      <c r="K179" s="124">
        <f>IF(J179="","",COUNTIFS($C$15:$C$2015,J$13,$D$15:$D$2015,"&gt;="&amp;J179,$D$15:$D$2015,"&lt;"&amp;J180))</f>
        <v/>
      </c>
      <c r="L179" s="14" t="n"/>
      <c r="M179" s="16" t="n"/>
      <c r="N179" s="124">
        <f>IF(M179="","",COUNTIFS($C$15:$C$2015,M$13,$D$15:$D$2015,"&gt;="&amp;M179,$D$15:$D$2015,"&lt;"&amp;M180))</f>
        <v/>
      </c>
      <c r="O179" s="14" t="n"/>
      <c r="P179" s="16" t="n"/>
      <c r="Q179" s="124">
        <f>IF(P179="","",COUNTIFS($C$15:$C$2015,P$13,$D$15:$D$2015,"&gt;="&amp;P179,$D$15:$D$2015,"&lt;"&amp;P180))</f>
        <v/>
      </c>
      <c r="R179" s="14" t="n"/>
      <c r="S179" s="16" t="n"/>
      <c r="T179" s="124">
        <f>IF(S179="","",COUNTIFS($C$15:$C$2015,S$13,$D$15:$D$2015,"&gt;="&amp;S179,$D$15:$D$2015,"&lt;"&amp;S180))</f>
        <v/>
      </c>
      <c r="U179" s="14" t="n"/>
      <c r="V179" s="16" t="n"/>
      <c r="W179" s="124">
        <f>IF(V179="","",COUNTIFS($C$15:$C$2015,V$13,$D$15:$D$2015,"&gt;="&amp;V179,$D$15:$D$2015,"&lt;"&amp;V180))</f>
        <v/>
      </c>
      <c r="X179" s="14" t="n"/>
      <c r="Y179" s="16" t="n"/>
      <c r="Z179" s="124">
        <f>IF(Y179="","",COUNTIFS($C$15:$C$2015,Y$13,$D$15:$D$2015,"&gt;="&amp;Y179,$D$15:$D$2015,"&lt;"&amp;Y180))</f>
        <v/>
      </c>
      <c r="AA179" s="14" t="n"/>
      <c r="AB179" s="16" t="n"/>
      <c r="AC179" s="124">
        <f>IF(AB179="","",COUNTIFS($C$15:$C$2015,AB$13,$D$15:$D$2015,"&gt;="&amp;AB179,$D$15:$D$2015,"&lt;"&amp;AB180))</f>
        <v/>
      </c>
      <c r="AD179" s="14" t="n"/>
    </row>
    <row r="180">
      <c r="A180" s="56" t="n"/>
      <c r="B180" s="57" t="n"/>
      <c r="C180" s="59" t="n"/>
      <c r="E180" s="16" t="n"/>
      <c r="F180" s="13" t="n"/>
      <c r="G180" s="16" t="n"/>
      <c r="H180" s="124">
        <f>IF(G180="","",COUNTIFS($C$15:$C$2015,G$13,$D$15:$D$2015,"&gt;="&amp;G180,$D$15:$D$2015,"&lt;"&amp;G181))</f>
        <v/>
      </c>
      <c r="I180" s="14" t="n"/>
      <c r="J180" s="16" t="n"/>
      <c r="K180" s="124">
        <f>IF(J180="","",COUNTIFS($C$15:$C$2015,J$13,$D$15:$D$2015,"&gt;="&amp;J180,$D$15:$D$2015,"&lt;"&amp;J181))</f>
        <v/>
      </c>
      <c r="L180" s="14" t="n"/>
      <c r="M180" s="16" t="n"/>
      <c r="N180" s="124">
        <f>IF(M180="","",COUNTIFS($C$15:$C$2015,M$13,$D$15:$D$2015,"&gt;="&amp;M180,$D$15:$D$2015,"&lt;"&amp;M181))</f>
        <v/>
      </c>
      <c r="O180" s="14" t="n"/>
      <c r="P180" s="16" t="n"/>
      <c r="Q180" s="124">
        <f>IF(P180="","",COUNTIFS($C$15:$C$2015,P$13,$D$15:$D$2015,"&gt;="&amp;P180,$D$15:$D$2015,"&lt;"&amp;P181))</f>
        <v/>
      </c>
      <c r="R180" s="14" t="n"/>
      <c r="S180" s="16" t="n"/>
      <c r="T180" s="124">
        <f>IF(S180="","",COUNTIFS($C$15:$C$2015,S$13,$D$15:$D$2015,"&gt;="&amp;S180,$D$15:$D$2015,"&lt;"&amp;S181))</f>
        <v/>
      </c>
      <c r="U180" s="14" t="n"/>
      <c r="V180" s="16" t="n"/>
      <c r="W180" s="124">
        <f>IF(V180="","",COUNTIFS($C$15:$C$2015,V$13,$D$15:$D$2015,"&gt;="&amp;V180,$D$15:$D$2015,"&lt;"&amp;V181))</f>
        <v/>
      </c>
      <c r="X180" s="14" t="n"/>
      <c r="Y180" s="16" t="n"/>
      <c r="Z180" s="124">
        <f>IF(Y180="","",COUNTIFS($C$15:$C$2015,Y$13,$D$15:$D$2015,"&gt;="&amp;Y180,$D$15:$D$2015,"&lt;"&amp;Y181))</f>
        <v/>
      </c>
      <c r="AA180" s="14" t="n"/>
      <c r="AB180" s="16" t="n"/>
      <c r="AC180" s="124">
        <f>IF(AB180="","",COUNTIFS($C$15:$C$2015,AB$13,$D$15:$D$2015,"&gt;="&amp;AB180,$D$15:$D$2015,"&lt;"&amp;AB181))</f>
        <v/>
      </c>
      <c r="AD180" s="14" t="n"/>
    </row>
    <row r="181">
      <c r="A181" s="58" t="n"/>
      <c r="B181" s="59" t="n"/>
      <c r="C181" s="59" t="n"/>
      <c r="E181" s="16" t="n"/>
      <c r="F181" s="13" t="n"/>
      <c r="G181" s="16" t="n"/>
      <c r="H181" s="124">
        <f>IF(G181="","",COUNTIFS($C$15:$C$2015,G$13,$D$15:$D$2015,"&gt;="&amp;G181,$D$15:$D$2015,"&lt;"&amp;G182))</f>
        <v/>
      </c>
      <c r="I181" s="14" t="n"/>
      <c r="J181" s="16" t="n"/>
      <c r="K181" s="124">
        <f>IF(J181="","",COUNTIFS($C$15:$C$2015,J$13,$D$15:$D$2015,"&gt;="&amp;J181,$D$15:$D$2015,"&lt;"&amp;J182))</f>
        <v/>
      </c>
      <c r="L181" s="14" t="n"/>
      <c r="M181" s="16" t="n"/>
      <c r="N181" s="124">
        <f>IF(M181="","",COUNTIFS($C$15:$C$2015,M$13,$D$15:$D$2015,"&gt;="&amp;M181,$D$15:$D$2015,"&lt;"&amp;M182))</f>
        <v/>
      </c>
      <c r="O181" s="14" t="n"/>
      <c r="P181" s="16" t="n"/>
      <c r="Q181" s="124">
        <f>IF(P181="","",COUNTIFS($C$15:$C$2015,P$13,$D$15:$D$2015,"&gt;="&amp;P181,$D$15:$D$2015,"&lt;"&amp;P182))</f>
        <v/>
      </c>
      <c r="R181" s="14" t="n"/>
      <c r="S181" s="16" t="n"/>
      <c r="T181" s="124">
        <f>IF(S181="","",COUNTIFS($C$15:$C$2015,S$13,$D$15:$D$2015,"&gt;="&amp;S181,$D$15:$D$2015,"&lt;"&amp;S182))</f>
        <v/>
      </c>
      <c r="U181" s="14" t="n"/>
      <c r="V181" s="16" t="n"/>
      <c r="W181" s="124">
        <f>IF(V181="","",COUNTIFS($C$15:$C$2015,V$13,$D$15:$D$2015,"&gt;="&amp;V181,$D$15:$D$2015,"&lt;"&amp;V182))</f>
        <v/>
      </c>
      <c r="X181" s="14" t="n"/>
      <c r="Y181" s="16" t="n"/>
      <c r="Z181" s="124">
        <f>IF(Y181="","",COUNTIFS($C$15:$C$2015,Y$13,$D$15:$D$2015,"&gt;="&amp;Y181,$D$15:$D$2015,"&lt;"&amp;Y182))</f>
        <v/>
      </c>
      <c r="AA181" s="14" t="n"/>
      <c r="AB181" s="16" t="n"/>
      <c r="AC181" s="124">
        <f>IF(AB181="","",COUNTIFS($C$15:$C$2015,AB$13,$D$15:$D$2015,"&gt;="&amp;AB181,$D$15:$D$2015,"&lt;"&amp;AB182))</f>
        <v/>
      </c>
      <c r="AD181" s="14" t="n"/>
    </row>
    <row r="182">
      <c r="A182" s="56" t="n"/>
      <c r="B182" s="57" t="n"/>
      <c r="C182" s="59" t="n"/>
      <c r="E182" s="16" t="n"/>
      <c r="F182" s="13" t="n"/>
      <c r="G182" s="16" t="n"/>
      <c r="H182" s="124">
        <f>IF(G182="","",COUNTIFS($C$15:$C$2015,G$13,$D$15:$D$2015,"&gt;="&amp;G182,$D$15:$D$2015,"&lt;"&amp;G183))</f>
        <v/>
      </c>
      <c r="I182" s="14" t="n"/>
      <c r="J182" s="16" t="n"/>
      <c r="K182" s="124">
        <f>IF(J182="","",COUNTIFS($C$15:$C$2015,J$13,$D$15:$D$2015,"&gt;="&amp;J182,$D$15:$D$2015,"&lt;"&amp;J183))</f>
        <v/>
      </c>
      <c r="L182" s="14" t="n"/>
      <c r="M182" s="16" t="n"/>
      <c r="N182" s="124">
        <f>IF(M182="","",COUNTIFS($C$15:$C$2015,M$13,$D$15:$D$2015,"&gt;="&amp;M182,$D$15:$D$2015,"&lt;"&amp;M183))</f>
        <v/>
      </c>
      <c r="O182" s="14" t="n"/>
      <c r="P182" s="16" t="n"/>
      <c r="Q182" s="124">
        <f>IF(P182="","",COUNTIFS($C$15:$C$2015,P$13,$D$15:$D$2015,"&gt;="&amp;P182,$D$15:$D$2015,"&lt;"&amp;P183))</f>
        <v/>
      </c>
      <c r="R182" s="14" t="n"/>
      <c r="S182" s="16" t="n"/>
      <c r="T182" s="124">
        <f>IF(S182="","",COUNTIFS($C$15:$C$2015,S$13,$D$15:$D$2015,"&gt;="&amp;S182,$D$15:$D$2015,"&lt;"&amp;S183))</f>
        <v/>
      </c>
      <c r="U182" s="14" t="n"/>
      <c r="V182" s="16" t="n"/>
      <c r="W182" s="124">
        <f>IF(V182="","",COUNTIFS($C$15:$C$2015,V$13,$D$15:$D$2015,"&gt;="&amp;V182,$D$15:$D$2015,"&lt;"&amp;V183))</f>
        <v/>
      </c>
      <c r="X182" s="14" t="n"/>
      <c r="Y182" s="16" t="n"/>
      <c r="Z182" s="124">
        <f>IF(Y182="","",COUNTIFS($C$15:$C$2015,Y$13,$D$15:$D$2015,"&gt;="&amp;Y182,$D$15:$D$2015,"&lt;"&amp;Y183))</f>
        <v/>
      </c>
      <c r="AA182" s="14" t="n"/>
      <c r="AB182" s="16" t="n"/>
      <c r="AC182" s="124">
        <f>IF(AB182="","",COUNTIFS($C$15:$C$2015,AB$13,$D$15:$D$2015,"&gt;="&amp;AB182,$D$15:$D$2015,"&lt;"&amp;AB183))</f>
        <v/>
      </c>
      <c r="AD182" s="14" t="n"/>
    </row>
    <row r="183">
      <c r="A183" s="58" t="n"/>
      <c r="B183" s="59" t="n"/>
      <c r="C183" s="59" t="n"/>
      <c r="E183" s="16" t="n"/>
      <c r="F183" s="13" t="n"/>
      <c r="G183" s="16" t="n"/>
      <c r="H183" s="124">
        <f>IF(G183="","",COUNTIFS($C$15:$C$2015,G$13,$D$15:$D$2015,"&gt;="&amp;G183,$D$15:$D$2015,"&lt;"&amp;G184))</f>
        <v/>
      </c>
      <c r="I183" s="14" t="n"/>
      <c r="J183" s="16" t="n"/>
      <c r="K183" s="124">
        <f>IF(J183="","",COUNTIFS($C$15:$C$2015,J$13,$D$15:$D$2015,"&gt;="&amp;J183,$D$15:$D$2015,"&lt;"&amp;J184))</f>
        <v/>
      </c>
      <c r="L183" s="14" t="n"/>
      <c r="M183" s="16" t="n"/>
      <c r="N183" s="124">
        <f>IF(M183="","",COUNTIFS($C$15:$C$2015,M$13,$D$15:$D$2015,"&gt;="&amp;M183,$D$15:$D$2015,"&lt;"&amp;M184))</f>
        <v/>
      </c>
      <c r="O183" s="14" t="n"/>
      <c r="P183" s="16" t="n"/>
      <c r="Q183" s="124">
        <f>IF(P183="","",COUNTIFS($C$15:$C$2015,P$13,$D$15:$D$2015,"&gt;="&amp;P183,$D$15:$D$2015,"&lt;"&amp;P184))</f>
        <v/>
      </c>
      <c r="R183" s="14" t="n"/>
      <c r="S183" s="16" t="n"/>
      <c r="T183" s="124">
        <f>IF(S183="","",COUNTIFS($C$15:$C$2015,S$13,$D$15:$D$2015,"&gt;="&amp;S183,$D$15:$D$2015,"&lt;"&amp;S184))</f>
        <v/>
      </c>
      <c r="U183" s="14" t="n"/>
      <c r="V183" s="16" t="n"/>
      <c r="W183" s="124">
        <f>IF(V183="","",COUNTIFS($C$15:$C$2015,V$13,$D$15:$D$2015,"&gt;="&amp;V183,$D$15:$D$2015,"&lt;"&amp;V184))</f>
        <v/>
      </c>
      <c r="X183" s="14" t="n"/>
      <c r="Y183" s="16" t="n"/>
      <c r="Z183" s="124">
        <f>IF(Y183="","",COUNTIFS($C$15:$C$2015,Y$13,$D$15:$D$2015,"&gt;="&amp;Y183,$D$15:$D$2015,"&lt;"&amp;Y184))</f>
        <v/>
      </c>
      <c r="AA183" s="14" t="n"/>
      <c r="AB183" s="16" t="n"/>
      <c r="AC183" s="124">
        <f>IF(AB183="","",COUNTIFS($C$15:$C$2015,AB$13,$D$15:$D$2015,"&gt;="&amp;AB183,$D$15:$D$2015,"&lt;"&amp;AB184))</f>
        <v/>
      </c>
      <c r="AD183" s="14" t="n"/>
    </row>
    <row r="184">
      <c r="A184" s="56" t="n"/>
      <c r="B184" s="57" t="n"/>
      <c r="C184" s="59" t="n"/>
      <c r="E184" s="16" t="n"/>
      <c r="F184" s="13" t="n"/>
      <c r="G184" s="16" t="n"/>
      <c r="H184" s="124">
        <f>IF(G184="","",COUNTIFS($C$15:$C$2015,G$13,$D$15:$D$2015,"&gt;="&amp;G184,$D$15:$D$2015,"&lt;"&amp;G185))</f>
        <v/>
      </c>
      <c r="I184" s="14" t="n"/>
      <c r="J184" s="16" t="n"/>
      <c r="K184" s="124">
        <f>IF(J184="","",COUNTIFS($C$15:$C$2015,J$13,$D$15:$D$2015,"&gt;="&amp;J184,$D$15:$D$2015,"&lt;"&amp;J185))</f>
        <v/>
      </c>
      <c r="L184" s="14" t="n"/>
      <c r="M184" s="16" t="n"/>
      <c r="N184" s="124">
        <f>IF(M184="","",COUNTIFS($C$15:$C$2015,M$13,$D$15:$D$2015,"&gt;="&amp;M184,$D$15:$D$2015,"&lt;"&amp;M185))</f>
        <v/>
      </c>
      <c r="O184" s="14" t="n"/>
      <c r="P184" s="16" t="n"/>
      <c r="Q184" s="124">
        <f>IF(P184="","",COUNTIFS($C$15:$C$2015,P$13,$D$15:$D$2015,"&gt;="&amp;P184,$D$15:$D$2015,"&lt;"&amp;P185))</f>
        <v/>
      </c>
      <c r="R184" s="14" t="n"/>
      <c r="S184" s="16" t="n"/>
      <c r="T184" s="124">
        <f>IF(S184="","",COUNTIFS($C$15:$C$2015,S$13,$D$15:$D$2015,"&gt;="&amp;S184,$D$15:$D$2015,"&lt;"&amp;S185))</f>
        <v/>
      </c>
      <c r="U184" s="14" t="n"/>
      <c r="V184" s="16" t="n"/>
      <c r="W184" s="124">
        <f>IF(V184="","",COUNTIFS($C$15:$C$2015,V$13,$D$15:$D$2015,"&gt;="&amp;V184,$D$15:$D$2015,"&lt;"&amp;V185))</f>
        <v/>
      </c>
      <c r="X184" s="14" t="n"/>
      <c r="Y184" s="16" t="n"/>
      <c r="Z184" s="124">
        <f>IF(Y184="","",COUNTIFS($C$15:$C$2015,Y$13,$D$15:$D$2015,"&gt;="&amp;Y184,$D$15:$D$2015,"&lt;"&amp;Y185))</f>
        <v/>
      </c>
      <c r="AA184" s="14" t="n"/>
      <c r="AB184" s="16" t="n"/>
      <c r="AC184" s="124">
        <f>IF(AB184="","",COUNTIFS($C$15:$C$2015,AB$13,$D$15:$D$2015,"&gt;="&amp;AB184,$D$15:$D$2015,"&lt;"&amp;AB185))</f>
        <v/>
      </c>
      <c r="AD184" s="14" t="n"/>
    </row>
    <row r="185">
      <c r="A185" s="58" t="n"/>
      <c r="B185" s="59" t="n"/>
      <c r="C185" s="59" t="n"/>
      <c r="E185" s="16" t="n"/>
      <c r="F185" s="13" t="n"/>
      <c r="G185" s="16" t="n"/>
      <c r="H185" s="124">
        <f>IF(G185="","",COUNTIFS($C$15:$C$2015,G$13,$D$15:$D$2015,"&gt;="&amp;G185,$D$15:$D$2015,"&lt;"&amp;G186))</f>
        <v/>
      </c>
      <c r="I185" s="14" t="n"/>
      <c r="J185" s="16" t="n"/>
      <c r="K185" s="124">
        <f>IF(J185="","",COUNTIFS($C$15:$C$2015,J$13,$D$15:$D$2015,"&gt;="&amp;J185,$D$15:$D$2015,"&lt;"&amp;J186))</f>
        <v/>
      </c>
      <c r="L185" s="14" t="n"/>
      <c r="M185" s="16" t="n"/>
      <c r="N185" s="124">
        <f>IF(M185="","",COUNTIFS($C$15:$C$2015,M$13,$D$15:$D$2015,"&gt;="&amp;M185,$D$15:$D$2015,"&lt;"&amp;M186))</f>
        <v/>
      </c>
      <c r="O185" s="14" t="n"/>
      <c r="P185" s="16" t="n"/>
      <c r="Q185" s="124">
        <f>IF(P185="","",COUNTIFS($C$15:$C$2015,P$13,$D$15:$D$2015,"&gt;="&amp;P185,$D$15:$D$2015,"&lt;"&amp;P186))</f>
        <v/>
      </c>
      <c r="R185" s="14" t="n"/>
      <c r="S185" s="16" t="n"/>
      <c r="T185" s="124">
        <f>IF(S185="","",COUNTIFS($C$15:$C$2015,S$13,$D$15:$D$2015,"&gt;="&amp;S185,$D$15:$D$2015,"&lt;"&amp;S186))</f>
        <v/>
      </c>
      <c r="U185" s="14" t="n"/>
      <c r="V185" s="16" t="n"/>
      <c r="W185" s="124">
        <f>IF(V185="","",COUNTIFS($C$15:$C$2015,V$13,$D$15:$D$2015,"&gt;="&amp;V185,$D$15:$D$2015,"&lt;"&amp;V186))</f>
        <v/>
      </c>
      <c r="X185" s="14" t="n"/>
      <c r="Y185" s="16" t="n"/>
      <c r="Z185" s="124">
        <f>IF(Y185="","",COUNTIFS($C$15:$C$2015,Y$13,$D$15:$D$2015,"&gt;="&amp;Y185,$D$15:$D$2015,"&lt;"&amp;Y186))</f>
        <v/>
      </c>
      <c r="AA185" s="14" t="n"/>
      <c r="AB185" s="16" t="n"/>
      <c r="AC185" s="124">
        <f>IF(AB185="","",COUNTIFS($C$15:$C$2015,AB$13,$D$15:$D$2015,"&gt;="&amp;AB185,$D$15:$D$2015,"&lt;"&amp;AB186))</f>
        <v/>
      </c>
      <c r="AD185" s="14" t="n"/>
    </row>
    <row r="186">
      <c r="A186" s="56" t="n"/>
      <c r="B186" s="57" t="n"/>
      <c r="C186" s="59" t="n"/>
      <c r="E186" s="16" t="n"/>
      <c r="F186" s="13" t="n"/>
      <c r="G186" s="16" t="n"/>
      <c r="H186" s="124">
        <f>IF(G186="","",COUNTIFS($C$15:$C$2015,G$13,$D$15:$D$2015,"&gt;="&amp;G186,$D$15:$D$2015,"&lt;"&amp;G187))</f>
        <v/>
      </c>
      <c r="I186" s="14" t="n"/>
      <c r="J186" s="16" t="n"/>
      <c r="K186" s="124">
        <f>IF(J186="","",COUNTIFS($C$15:$C$2015,J$13,$D$15:$D$2015,"&gt;="&amp;J186,$D$15:$D$2015,"&lt;"&amp;J187))</f>
        <v/>
      </c>
      <c r="L186" s="14" t="n"/>
      <c r="M186" s="16" t="n"/>
      <c r="N186" s="124">
        <f>IF(M186="","",COUNTIFS($C$15:$C$2015,M$13,$D$15:$D$2015,"&gt;="&amp;M186,$D$15:$D$2015,"&lt;"&amp;M187))</f>
        <v/>
      </c>
      <c r="O186" s="14" t="n"/>
      <c r="P186" s="16" t="n"/>
      <c r="Q186" s="124">
        <f>IF(P186="","",COUNTIFS($C$15:$C$2015,P$13,$D$15:$D$2015,"&gt;="&amp;P186,$D$15:$D$2015,"&lt;"&amp;P187))</f>
        <v/>
      </c>
      <c r="R186" s="14" t="n"/>
      <c r="S186" s="16" t="n"/>
      <c r="T186" s="124">
        <f>IF(S186="","",COUNTIFS($C$15:$C$2015,S$13,$D$15:$D$2015,"&gt;="&amp;S186,$D$15:$D$2015,"&lt;"&amp;S187))</f>
        <v/>
      </c>
      <c r="U186" s="14" t="n"/>
      <c r="V186" s="16" t="n"/>
      <c r="W186" s="124">
        <f>IF(V186="","",COUNTIFS($C$15:$C$2015,V$13,$D$15:$D$2015,"&gt;="&amp;V186,$D$15:$D$2015,"&lt;"&amp;V187))</f>
        <v/>
      </c>
      <c r="X186" s="14" t="n"/>
      <c r="Y186" s="16" t="n"/>
      <c r="Z186" s="124">
        <f>IF(Y186="","",COUNTIFS($C$15:$C$2015,Y$13,$D$15:$D$2015,"&gt;="&amp;Y186,$D$15:$D$2015,"&lt;"&amp;Y187))</f>
        <v/>
      </c>
      <c r="AA186" s="14" t="n"/>
      <c r="AB186" s="16" t="n"/>
      <c r="AC186" s="124">
        <f>IF(AB186="","",COUNTIFS($C$15:$C$2015,AB$13,$D$15:$D$2015,"&gt;="&amp;AB186,$D$15:$D$2015,"&lt;"&amp;AB187))</f>
        <v/>
      </c>
      <c r="AD186" s="14" t="n"/>
    </row>
    <row r="187">
      <c r="A187" s="58" t="n"/>
      <c r="B187" s="59" t="n"/>
      <c r="C187" s="59" t="n"/>
      <c r="E187" s="16" t="n"/>
      <c r="F187" s="13" t="n"/>
      <c r="G187" s="16" t="n"/>
      <c r="H187" s="124">
        <f>IF(G187="","",COUNTIFS($C$15:$C$2015,G$13,$D$15:$D$2015,"&gt;="&amp;G187,$D$15:$D$2015,"&lt;"&amp;G188))</f>
        <v/>
      </c>
      <c r="I187" s="14" t="n"/>
      <c r="J187" s="16" t="n"/>
      <c r="K187" s="124">
        <f>IF(J187="","",COUNTIFS($C$15:$C$2015,J$13,$D$15:$D$2015,"&gt;="&amp;J187,$D$15:$D$2015,"&lt;"&amp;J188))</f>
        <v/>
      </c>
      <c r="L187" s="14" t="n"/>
      <c r="M187" s="16" t="n"/>
      <c r="N187" s="124">
        <f>IF(M187="","",COUNTIFS($C$15:$C$2015,M$13,$D$15:$D$2015,"&gt;="&amp;M187,$D$15:$D$2015,"&lt;"&amp;M188))</f>
        <v/>
      </c>
      <c r="O187" s="14" t="n"/>
      <c r="P187" s="16" t="n"/>
      <c r="Q187" s="124">
        <f>IF(P187="","",COUNTIFS($C$15:$C$2015,P$13,$D$15:$D$2015,"&gt;="&amp;P187,$D$15:$D$2015,"&lt;"&amp;P188))</f>
        <v/>
      </c>
      <c r="R187" s="14" t="n"/>
      <c r="S187" s="16" t="n"/>
      <c r="T187" s="124">
        <f>IF(S187="","",COUNTIFS($C$15:$C$2015,S$13,$D$15:$D$2015,"&gt;="&amp;S187,$D$15:$D$2015,"&lt;"&amp;S188))</f>
        <v/>
      </c>
      <c r="U187" s="14" t="n"/>
      <c r="V187" s="16" t="n"/>
      <c r="W187" s="124">
        <f>IF(V187="","",COUNTIFS($C$15:$C$2015,V$13,$D$15:$D$2015,"&gt;="&amp;V187,$D$15:$D$2015,"&lt;"&amp;V188))</f>
        <v/>
      </c>
      <c r="X187" s="14" t="n"/>
      <c r="Y187" s="16" t="n"/>
      <c r="Z187" s="124">
        <f>IF(Y187="","",COUNTIFS($C$15:$C$2015,Y$13,$D$15:$D$2015,"&gt;="&amp;Y187,$D$15:$D$2015,"&lt;"&amp;Y188))</f>
        <v/>
      </c>
      <c r="AA187" s="14" t="n"/>
      <c r="AB187" s="16" t="n"/>
      <c r="AC187" s="124">
        <f>IF(AB187="","",COUNTIFS($C$15:$C$2015,AB$13,$D$15:$D$2015,"&gt;="&amp;AB187,$D$15:$D$2015,"&lt;"&amp;AB188))</f>
        <v/>
      </c>
      <c r="AD187" s="14" t="n"/>
    </row>
    <row r="188">
      <c r="A188" s="56" t="n"/>
      <c r="B188" s="57" t="n"/>
      <c r="C188" s="59" t="n"/>
      <c r="E188" s="16" t="n"/>
      <c r="F188" s="13" t="n"/>
      <c r="G188" s="16" t="n"/>
      <c r="H188" s="124">
        <f>IF(G188="","",COUNTIFS($C$15:$C$2015,G$13,$D$15:$D$2015,"&gt;="&amp;G188,$D$15:$D$2015,"&lt;"&amp;G189))</f>
        <v/>
      </c>
      <c r="I188" s="14" t="n"/>
      <c r="J188" s="16" t="n"/>
      <c r="K188" s="124">
        <f>IF(J188="","",COUNTIFS($C$15:$C$2015,J$13,$D$15:$D$2015,"&gt;="&amp;J188,$D$15:$D$2015,"&lt;"&amp;J189))</f>
        <v/>
      </c>
      <c r="L188" s="14" t="n"/>
      <c r="M188" s="16" t="n"/>
      <c r="N188" s="124">
        <f>IF(M188="","",COUNTIFS($C$15:$C$2015,M$13,$D$15:$D$2015,"&gt;="&amp;M188,$D$15:$D$2015,"&lt;"&amp;M189))</f>
        <v/>
      </c>
      <c r="O188" s="14" t="n"/>
      <c r="P188" s="16" t="n"/>
      <c r="Q188" s="124">
        <f>IF(P188="","",COUNTIFS($C$15:$C$2015,P$13,$D$15:$D$2015,"&gt;="&amp;P188,$D$15:$D$2015,"&lt;"&amp;P189))</f>
        <v/>
      </c>
      <c r="R188" s="14" t="n"/>
      <c r="S188" s="16" t="n"/>
      <c r="T188" s="124">
        <f>IF(S188="","",COUNTIFS($C$15:$C$2015,S$13,$D$15:$D$2015,"&gt;="&amp;S188,$D$15:$D$2015,"&lt;"&amp;S189))</f>
        <v/>
      </c>
      <c r="U188" s="14" t="n"/>
      <c r="V188" s="16" t="n"/>
      <c r="W188" s="124">
        <f>IF(V188="","",COUNTIFS($C$15:$C$2015,V$13,$D$15:$D$2015,"&gt;="&amp;V188,$D$15:$D$2015,"&lt;"&amp;V189))</f>
        <v/>
      </c>
      <c r="X188" s="14" t="n"/>
      <c r="Y188" s="16" t="n"/>
      <c r="Z188" s="124">
        <f>IF(Y188="","",COUNTIFS($C$15:$C$2015,Y$13,$D$15:$D$2015,"&gt;="&amp;Y188,$D$15:$D$2015,"&lt;"&amp;Y189))</f>
        <v/>
      </c>
      <c r="AA188" s="14" t="n"/>
      <c r="AB188" s="16" t="n"/>
      <c r="AC188" s="124">
        <f>IF(AB188="","",COUNTIFS($C$15:$C$2015,AB$13,$D$15:$D$2015,"&gt;="&amp;AB188,$D$15:$D$2015,"&lt;"&amp;AB189))</f>
        <v/>
      </c>
      <c r="AD188" s="14" t="n"/>
    </row>
    <row r="189">
      <c r="A189" s="58" t="n"/>
      <c r="B189" s="59" t="n"/>
      <c r="C189" s="59" t="n"/>
      <c r="E189" s="16" t="n"/>
      <c r="F189" s="13" t="n"/>
      <c r="G189" s="16" t="n"/>
      <c r="H189" s="124">
        <f>IF(G189="","",COUNTIFS($C$15:$C$2015,G$13,$D$15:$D$2015,"&gt;="&amp;G189,$D$15:$D$2015,"&lt;"&amp;G190))</f>
        <v/>
      </c>
      <c r="I189" s="14" t="n"/>
      <c r="J189" s="16" t="n"/>
      <c r="K189" s="124">
        <f>IF(J189="","",COUNTIFS($C$15:$C$2015,J$13,$D$15:$D$2015,"&gt;="&amp;J189,$D$15:$D$2015,"&lt;"&amp;J190))</f>
        <v/>
      </c>
      <c r="L189" s="14" t="n"/>
      <c r="M189" s="16" t="n"/>
      <c r="N189" s="124">
        <f>IF(M189="","",COUNTIFS($C$15:$C$2015,M$13,$D$15:$D$2015,"&gt;="&amp;M189,$D$15:$D$2015,"&lt;"&amp;M190))</f>
        <v/>
      </c>
      <c r="O189" s="14" t="n"/>
      <c r="P189" s="16" t="n"/>
      <c r="Q189" s="124">
        <f>IF(P189="","",COUNTIFS($C$15:$C$2015,P$13,$D$15:$D$2015,"&gt;="&amp;P189,$D$15:$D$2015,"&lt;"&amp;P190))</f>
        <v/>
      </c>
      <c r="R189" s="14" t="n"/>
      <c r="S189" s="16" t="n"/>
      <c r="T189" s="124">
        <f>IF(S189="","",COUNTIFS($C$15:$C$2015,S$13,$D$15:$D$2015,"&gt;="&amp;S189,$D$15:$D$2015,"&lt;"&amp;S190))</f>
        <v/>
      </c>
      <c r="U189" s="14" t="n"/>
      <c r="V189" s="16" t="n"/>
      <c r="W189" s="124">
        <f>IF(V189="","",COUNTIFS($C$15:$C$2015,V$13,$D$15:$D$2015,"&gt;="&amp;V189,$D$15:$D$2015,"&lt;"&amp;V190))</f>
        <v/>
      </c>
      <c r="X189" s="14" t="n"/>
      <c r="Y189" s="16" t="n"/>
      <c r="Z189" s="124">
        <f>IF(Y189="","",COUNTIFS($C$15:$C$2015,Y$13,$D$15:$D$2015,"&gt;="&amp;Y189,$D$15:$D$2015,"&lt;"&amp;Y190))</f>
        <v/>
      </c>
      <c r="AA189" s="14" t="n"/>
      <c r="AB189" s="16" t="n"/>
      <c r="AC189" s="124">
        <f>IF(AB189="","",COUNTIFS($C$15:$C$2015,AB$13,$D$15:$D$2015,"&gt;="&amp;AB189,$D$15:$D$2015,"&lt;"&amp;AB190))</f>
        <v/>
      </c>
      <c r="AD189" s="14" t="n"/>
    </row>
    <row r="190">
      <c r="A190" s="56" t="n"/>
      <c r="B190" s="57" t="n"/>
      <c r="C190" s="59" t="n"/>
      <c r="E190" s="16" t="n"/>
      <c r="F190" s="13" t="n"/>
      <c r="G190" s="16" t="n"/>
      <c r="H190" s="124">
        <f>IF(G190="","",COUNTIFS($C$15:$C$2015,G$13,$D$15:$D$2015,"&gt;="&amp;G190,$D$15:$D$2015,"&lt;"&amp;G191))</f>
        <v/>
      </c>
      <c r="I190" s="14" t="n"/>
      <c r="J190" s="16" t="n"/>
      <c r="K190" s="124">
        <f>IF(J190="","",COUNTIFS($C$15:$C$2015,J$13,$D$15:$D$2015,"&gt;="&amp;J190,$D$15:$D$2015,"&lt;"&amp;J191))</f>
        <v/>
      </c>
      <c r="L190" s="14" t="n"/>
      <c r="M190" s="16" t="n"/>
      <c r="N190" s="124">
        <f>IF(M190="","",COUNTIFS($C$15:$C$2015,M$13,$D$15:$D$2015,"&gt;="&amp;M190,$D$15:$D$2015,"&lt;"&amp;M191))</f>
        <v/>
      </c>
      <c r="O190" s="14" t="n"/>
      <c r="P190" s="16" t="n"/>
      <c r="Q190" s="124">
        <f>IF(P190="","",COUNTIFS($C$15:$C$2015,P$13,$D$15:$D$2015,"&gt;="&amp;P190,$D$15:$D$2015,"&lt;"&amp;P191))</f>
        <v/>
      </c>
      <c r="R190" s="14" t="n"/>
      <c r="S190" s="16" t="n"/>
      <c r="T190" s="124">
        <f>IF(S190="","",COUNTIFS($C$15:$C$2015,S$13,$D$15:$D$2015,"&gt;="&amp;S190,$D$15:$D$2015,"&lt;"&amp;S191))</f>
        <v/>
      </c>
      <c r="U190" s="14" t="n"/>
      <c r="V190" s="16" t="n"/>
      <c r="W190" s="124">
        <f>IF(V190="","",COUNTIFS($C$15:$C$2015,V$13,$D$15:$D$2015,"&gt;="&amp;V190,$D$15:$D$2015,"&lt;"&amp;V191))</f>
        <v/>
      </c>
      <c r="X190" s="14" t="n"/>
      <c r="Y190" s="16" t="n"/>
      <c r="Z190" s="124">
        <f>IF(Y190="","",COUNTIFS($C$15:$C$2015,Y$13,$D$15:$D$2015,"&gt;="&amp;Y190,$D$15:$D$2015,"&lt;"&amp;Y191))</f>
        <v/>
      </c>
      <c r="AA190" s="14" t="n"/>
      <c r="AB190" s="16" t="n"/>
      <c r="AC190" s="124">
        <f>IF(AB190="","",COUNTIFS($C$15:$C$2015,AB$13,$D$15:$D$2015,"&gt;="&amp;AB190,$D$15:$D$2015,"&lt;"&amp;AB191))</f>
        <v/>
      </c>
      <c r="AD190" s="14" t="n"/>
    </row>
    <row r="191">
      <c r="A191" s="58" t="n"/>
      <c r="B191" s="59" t="n"/>
      <c r="C191" s="59" t="n"/>
      <c r="E191" s="16" t="n"/>
      <c r="F191" s="13" t="n"/>
      <c r="G191" s="16" t="n"/>
      <c r="H191" s="124">
        <f>IF(G191="","",COUNTIFS($C$15:$C$2015,G$13,$D$15:$D$2015,"&gt;="&amp;G191,$D$15:$D$2015,"&lt;"&amp;G192))</f>
        <v/>
      </c>
      <c r="I191" s="14" t="n"/>
      <c r="J191" s="16" t="n"/>
      <c r="K191" s="124">
        <f>IF(J191="","",COUNTIFS($C$15:$C$2015,J$13,$D$15:$D$2015,"&gt;="&amp;J191,$D$15:$D$2015,"&lt;"&amp;J192))</f>
        <v/>
      </c>
      <c r="L191" s="14" t="n"/>
      <c r="M191" s="16" t="n"/>
      <c r="N191" s="124">
        <f>IF(M191="","",COUNTIFS($C$15:$C$2015,M$13,$D$15:$D$2015,"&gt;="&amp;M191,$D$15:$D$2015,"&lt;"&amp;M192))</f>
        <v/>
      </c>
      <c r="O191" s="14" t="n"/>
      <c r="P191" s="16" t="n"/>
      <c r="Q191" s="124">
        <f>IF(P191="","",COUNTIFS($C$15:$C$2015,P$13,$D$15:$D$2015,"&gt;="&amp;P191,$D$15:$D$2015,"&lt;"&amp;P192))</f>
        <v/>
      </c>
      <c r="R191" s="14" t="n"/>
      <c r="S191" s="16" t="n"/>
      <c r="T191" s="124">
        <f>IF(S191="","",COUNTIFS($C$15:$C$2015,S$13,$D$15:$D$2015,"&gt;="&amp;S191,$D$15:$D$2015,"&lt;"&amp;S192))</f>
        <v/>
      </c>
      <c r="U191" s="14" t="n"/>
      <c r="V191" s="16" t="n"/>
      <c r="W191" s="124">
        <f>IF(V191="","",COUNTIFS($C$15:$C$2015,V$13,$D$15:$D$2015,"&gt;="&amp;V191,$D$15:$D$2015,"&lt;"&amp;V192))</f>
        <v/>
      </c>
      <c r="X191" s="14" t="n"/>
      <c r="Y191" s="16" t="n"/>
      <c r="Z191" s="124">
        <f>IF(Y191="","",COUNTIFS($C$15:$C$2015,Y$13,$D$15:$D$2015,"&gt;="&amp;Y191,$D$15:$D$2015,"&lt;"&amp;Y192))</f>
        <v/>
      </c>
      <c r="AA191" s="14" t="n"/>
      <c r="AB191" s="16" t="n"/>
      <c r="AC191" s="124">
        <f>IF(AB191="","",COUNTIFS($C$15:$C$2015,AB$13,$D$15:$D$2015,"&gt;="&amp;AB191,$D$15:$D$2015,"&lt;"&amp;AB192))</f>
        <v/>
      </c>
      <c r="AD191" s="14" t="n"/>
    </row>
    <row r="192">
      <c r="A192" s="56" t="n"/>
      <c r="B192" s="57" t="n"/>
      <c r="C192" s="59" t="n"/>
      <c r="E192" s="16" t="n"/>
      <c r="F192" s="13" t="n"/>
      <c r="G192" s="16" t="n"/>
      <c r="H192" s="124">
        <f>IF(G192="","",COUNTIFS($C$15:$C$2015,G$13,$D$15:$D$2015,"&gt;="&amp;G192,$D$15:$D$2015,"&lt;"&amp;G193))</f>
        <v/>
      </c>
      <c r="I192" s="14" t="n"/>
      <c r="J192" s="16" t="n"/>
      <c r="K192" s="124">
        <f>IF(J192="","",COUNTIFS($C$15:$C$2015,J$13,$D$15:$D$2015,"&gt;="&amp;J192,$D$15:$D$2015,"&lt;"&amp;J193))</f>
        <v/>
      </c>
      <c r="L192" s="14" t="n"/>
      <c r="M192" s="16" t="n"/>
      <c r="N192" s="124">
        <f>IF(M192="","",COUNTIFS($C$15:$C$2015,M$13,$D$15:$D$2015,"&gt;="&amp;M192,$D$15:$D$2015,"&lt;"&amp;M193))</f>
        <v/>
      </c>
      <c r="O192" s="14" t="n"/>
      <c r="P192" s="16" t="n"/>
      <c r="Q192" s="124">
        <f>IF(P192="","",COUNTIFS($C$15:$C$2015,P$13,$D$15:$D$2015,"&gt;="&amp;P192,$D$15:$D$2015,"&lt;"&amp;P193))</f>
        <v/>
      </c>
      <c r="R192" s="14" t="n"/>
      <c r="S192" s="16" t="n"/>
      <c r="T192" s="124">
        <f>IF(S192="","",COUNTIFS($C$15:$C$2015,S$13,$D$15:$D$2015,"&gt;="&amp;S192,$D$15:$D$2015,"&lt;"&amp;S193))</f>
        <v/>
      </c>
      <c r="U192" s="14" t="n"/>
      <c r="V192" s="16" t="n"/>
      <c r="W192" s="124">
        <f>IF(V192="","",COUNTIFS($C$15:$C$2015,V$13,$D$15:$D$2015,"&gt;="&amp;V192,$D$15:$D$2015,"&lt;"&amp;V193))</f>
        <v/>
      </c>
      <c r="X192" s="14" t="n"/>
      <c r="Y192" s="16" t="n"/>
      <c r="Z192" s="124">
        <f>IF(Y192="","",COUNTIFS($C$15:$C$2015,Y$13,$D$15:$D$2015,"&gt;="&amp;Y192,$D$15:$D$2015,"&lt;"&amp;Y193))</f>
        <v/>
      </c>
      <c r="AA192" s="14" t="n"/>
      <c r="AB192" s="16" t="n"/>
      <c r="AC192" s="124">
        <f>IF(AB192="","",COUNTIFS($C$15:$C$2015,AB$13,$D$15:$D$2015,"&gt;="&amp;AB192,$D$15:$D$2015,"&lt;"&amp;AB193))</f>
        <v/>
      </c>
      <c r="AD192" s="14" t="n"/>
    </row>
    <row r="193">
      <c r="A193" s="58" t="n"/>
      <c r="B193" s="59" t="n"/>
      <c r="C193" s="59" t="n"/>
      <c r="E193" s="16" t="n"/>
      <c r="F193" s="13" t="n"/>
      <c r="G193" s="16" t="n"/>
      <c r="H193" s="124">
        <f>IF(G193="","",COUNTIFS($C$15:$C$2015,G$13,$D$15:$D$2015,"&gt;="&amp;G193,$D$15:$D$2015,"&lt;"&amp;G194))</f>
        <v/>
      </c>
      <c r="I193" s="14" t="n"/>
      <c r="J193" s="16" t="n"/>
      <c r="K193" s="124">
        <f>IF(J193="","",COUNTIFS($C$15:$C$2015,J$13,$D$15:$D$2015,"&gt;="&amp;J193,$D$15:$D$2015,"&lt;"&amp;J194))</f>
        <v/>
      </c>
      <c r="L193" s="14" t="n"/>
      <c r="M193" s="16" t="n"/>
      <c r="N193" s="124">
        <f>IF(M193="","",COUNTIFS($C$15:$C$2015,M$13,$D$15:$D$2015,"&gt;="&amp;M193,$D$15:$D$2015,"&lt;"&amp;M194))</f>
        <v/>
      </c>
      <c r="O193" s="14" t="n"/>
      <c r="P193" s="16" t="n"/>
      <c r="Q193" s="124">
        <f>IF(P193="","",COUNTIFS($C$15:$C$2015,P$13,$D$15:$D$2015,"&gt;="&amp;P193,$D$15:$D$2015,"&lt;"&amp;P194))</f>
        <v/>
      </c>
      <c r="R193" s="14" t="n"/>
      <c r="S193" s="16" t="n"/>
      <c r="T193" s="124">
        <f>IF(S193="","",COUNTIFS($C$15:$C$2015,S$13,$D$15:$D$2015,"&gt;="&amp;S193,$D$15:$D$2015,"&lt;"&amp;S194))</f>
        <v/>
      </c>
      <c r="U193" s="14" t="n"/>
      <c r="V193" s="16" t="n"/>
      <c r="W193" s="124">
        <f>IF(V193="","",COUNTIFS($C$15:$C$2015,V$13,$D$15:$D$2015,"&gt;="&amp;V193,$D$15:$D$2015,"&lt;"&amp;V194))</f>
        <v/>
      </c>
      <c r="X193" s="14" t="n"/>
      <c r="Y193" s="16" t="n"/>
      <c r="Z193" s="124">
        <f>IF(Y193="","",COUNTIFS($C$15:$C$2015,Y$13,$D$15:$D$2015,"&gt;="&amp;Y193,$D$15:$D$2015,"&lt;"&amp;Y194))</f>
        <v/>
      </c>
      <c r="AA193" s="14" t="n"/>
      <c r="AB193" s="16" t="n"/>
      <c r="AC193" s="124">
        <f>IF(AB193="","",COUNTIFS($C$15:$C$2015,AB$13,$D$15:$D$2015,"&gt;="&amp;AB193,$D$15:$D$2015,"&lt;"&amp;AB194))</f>
        <v/>
      </c>
      <c r="AD193" s="14" t="n"/>
    </row>
    <row r="194">
      <c r="A194" s="56" t="n"/>
      <c r="B194" s="57" t="n"/>
      <c r="C194" s="59" t="n"/>
      <c r="E194" s="16" t="n"/>
      <c r="F194" s="13" t="n"/>
      <c r="G194" s="16" t="n"/>
      <c r="H194" s="124">
        <f>IF(G194="","",COUNTIFS($C$15:$C$2015,G$13,$D$15:$D$2015,"&gt;="&amp;G194,$D$15:$D$2015,"&lt;"&amp;G195))</f>
        <v/>
      </c>
      <c r="I194" s="14" t="n"/>
      <c r="J194" s="16" t="n"/>
      <c r="K194" s="124">
        <f>IF(J194="","",COUNTIFS($C$15:$C$2015,J$13,$D$15:$D$2015,"&gt;="&amp;J194,$D$15:$D$2015,"&lt;"&amp;J195))</f>
        <v/>
      </c>
      <c r="L194" s="14" t="n"/>
      <c r="M194" s="16" t="n"/>
      <c r="N194" s="124">
        <f>IF(M194="","",COUNTIFS($C$15:$C$2015,M$13,$D$15:$D$2015,"&gt;="&amp;M194,$D$15:$D$2015,"&lt;"&amp;M195))</f>
        <v/>
      </c>
      <c r="O194" s="14" t="n"/>
      <c r="P194" s="16" t="n"/>
      <c r="Q194" s="124">
        <f>IF(P194="","",COUNTIFS($C$15:$C$2015,P$13,$D$15:$D$2015,"&gt;="&amp;P194,$D$15:$D$2015,"&lt;"&amp;P195))</f>
        <v/>
      </c>
      <c r="R194" s="14" t="n"/>
      <c r="S194" s="16" t="n"/>
      <c r="T194" s="124">
        <f>IF(S194="","",COUNTIFS($C$15:$C$2015,S$13,$D$15:$D$2015,"&gt;="&amp;S194,$D$15:$D$2015,"&lt;"&amp;S195))</f>
        <v/>
      </c>
      <c r="U194" s="14" t="n"/>
      <c r="V194" s="16" t="n"/>
      <c r="W194" s="124">
        <f>IF(V194="","",COUNTIFS($C$15:$C$2015,V$13,$D$15:$D$2015,"&gt;="&amp;V194,$D$15:$D$2015,"&lt;"&amp;V195))</f>
        <v/>
      </c>
      <c r="X194" s="14" t="n"/>
      <c r="Y194" s="16" t="n"/>
      <c r="Z194" s="124">
        <f>IF(Y194="","",COUNTIFS($C$15:$C$2015,Y$13,$D$15:$D$2015,"&gt;="&amp;Y194,$D$15:$D$2015,"&lt;"&amp;Y195))</f>
        <v/>
      </c>
      <c r="AA194" s="14" t="n"/>
      <c r="AB194" s="16" t="n"/>
      <c r="AC194" s="124">
        <f>IF(AB194="","",COUNTIFS($C$15:$C$2015,AB$13,$D$15:$D$2015,"&gt;="&amp;AB194,$D$15:$D$2015,"&lt;"&amp;AB195))</f>
        <v/>
      </c>
      <c r="AD194" s="14" t="n"/>
    </row>
    <row r="195">
      <c r="A195" s="58" t="n"/>
      <c r="B195" s="59" t="n"/>
      <c r="C195" s="59" t="n"/>
      <c r="E195" s="16" t="n"/>
      <c r="F195" s="13" t="n"/>
      <c r="G195" s="16" t="n"/>
      <c r="H195" s="124">
        <f>IF(G195="","",COUNTIFS($C$15:$C$2015,G$13,$D$15:$D$2015,"&gt;="&amp;G195,$D$15:$D$2015,"&lt;"&amp;G196))</f>
        <v/>
      </c>
      <c r="I195" s="14" t="n"/>
      <c r="J195" s="16" t="n"/>
      <c r="K195" s="124">
        <f>IF(J195="","",COUNTIFS($C$15:$C$2015,J$13,$D$15:$D$2015,"&gt;="&amp;J195,$D$15:$D$2015,"&lt;"&amp;J196))</f>
        <v/>
      </c>
      <c r="L195" s="14" t="n"/>
      <c r="M195" s="16" t="n"/>
      <c r="N195" s="124">
        <f>IF(M195="","",COUNTIFS($C$15:$C$2015,M$13,$D$15:$D$2015,"&gt;="&amp;M195,$D$15:$D$2015,"&lt;"&amp;M196))</f>
        <v/>
      </c>
      <c r="O195" s="14" t="n"/>
      <c r="P195" s="16" t="n"/>
      <c r="Q195" s="124">
        <f>IF(P195="","",COUNTIFS($C$15:$C$2015,P$13,$D$15:$D$2015,"&gt;="&amp;P195,$D$15:$D$2015,"&lt;"&amp;P196))</f>
        <v/>
      </c>
      <c r="R195" s="14" t="n"/>
      <c r="S195" s="16" t="n"/>
      <c r="T195" s="124">
        <f>IF(S195="","",COUNTIFS($C$15:$C$2015,S$13,$D$15:$D$2015,"&gt;="&amp;S195,$D$15:$D$2015,"&lt;"&amp;S196))</f>
        <v/>
      </c>
      <c r="U195" s="14" t="n"/>
      <c r="V195" s="16" t="n"/>
      <c r="W195" s="124">
        <f>IF(V195="","",COUNTIFS($C$15:$C$2015,V$13,$D$15:$D$2015,"&gt;="&amp;V195,$D$15:$D$2015,"&lt;"&amp;V196))</f>
        <v/>
      </c>
      <c r="X195" s="14" t="n"/>
      <c r="Y195" s="16" t="n"/>
      <c r="Z195" s="124">
        <f>IF(Y195="","",COUNTIFS($C$15:$C$2015,Y$13,$D$15:$D$2015,"&gt;="&amp;Y195,$D$15:$D$2015,"&lt;"&amp;Y196))</f>
        <v/>
      </c>
      <c r="AA195" s="14" t="n"/>
      <c r="AB195" s="16" t="n"/>
      <c r="AC195" s="124">
        <f>IF(AB195="","",COUNTIFS($C$15:$C$2015,AB$13,$D$15:$D$2015,"&gt;="&amp;AB195,$D$15:$D$2015,"&lt;"&amp;AB196))</f>
        <v/>
      </c>
      <c r="AD195" s="14" t="n"/>
    </row>
    <row r="196">
      <c r="A196" s="56" t="n"/>
      <c r="B196" s="57" t="n"/>
      <c r="C196" s="59" t="n"/>
      <c r="E196" s="16" t="n"/>
      <c r="F196" s="13" t="n"/>
      <c r="G196" s="16" t="n"/>
      <c r="H196" s="124">
        <f>IF(G196="","",COUNTIFS($C$15:$C$2015,G$13,$D$15:$D$2015,"&gt;="&amp;G196,$D$15:$D$2015,"&lt;"&amp;G197))</f>
        <v/>
      </c>
      <c r="I196" s="14" t="n"/>
      <c r="J196" s="16" t="n"/>
      <c r="K196" s="124">
        <f>IF(J196="","",COUNTIFS($C$15:$C$2015,J$13,$D$15:$D$2015,"&gt;="&amp;J196,$D$15:$D$2015,"&lt;"&amp;J197))</f>
        <v/>
      </c>
      <c r="L196" s="14" t="n"/>
      <c r="M196" s="16" t="n"/>
      <c r="N196" s="124">
        <f>IF(M196="","",COUNTIFS($C$15:$C$2015,M$13,$D$15:$D$2015,"&gt;="&amp;M196,$D$15:$D$2015,"&lt;"&amp;M197))</f>
        <v/>
      </c>
      <c r="O196" s="14" t="n"/>
      <c r="P196" s="16" t="n"/>
      <c r="Q196" s="124">
        <f>IF(P196="","",COUNTIFS($C$15:$C$2015,P$13,$D$15:$D$2015,"&gt;="&amp;P196,$D$15:$D$2015,"&lt;"&amp;P197))</f>
        <v/>
      </c>
      <c r="R196" s="14" t="n"/>
      <c r="S196" s="16" t="n"/>
      <c r="T196" s="124">
        <f>IF(S196="","",COUNTIFS($C$15:$C$2015,S$13,$D$15:$D$2015,"&gt;="&amp;S196,$D$15:$D$2015,"&lt;"&amp;S197))</f>
        <v/>
      </c>
      <c r="U196" s="14" t="n"/>
      <c r="V196" s="16" t="n"/>
      <c r="W196" s="124">
        <f>IF(V196="","",COUNTIFS($C$15:$C$2015,V$13,$D$15:$D$2015,"&gt;="&amp;V196,$D$15:$D$2015,"&lt;"&amp;V197))</f>
        <v/>
      </c>
      <c r="X196" s="14" t="n"/>
      <c r="Y196" s="16" t="n"/>
      <c r="Z196" s="124">
        <f>IF(Y196="","",COUNTIFS($C$15:$C$2015,Y$13,$D$15:$D$2015,"&gt;="&amp;Y196,$D$15:$D$2015,"&lt;"&amp;Y197))</f>
        <v/>
      </c>
      <c r="AA196" s="14" t="n"/>
      <c r="AB196" s="16" t="n"/>
      <c r="AC196" s="124">
        <f>IF(AB196="","",COUNTIFS($C$15:$C$2015,AB$13,$D$15:$D$2015,"&gt;="&amp;AB196,$D$15:$D$2015,"&lt;"&amp;AB197))</f>
        <v/>
      </c>
      <c r="AD196" s="14" t="n"/>
    </row>
    <row r="197">
      <c r="A197" s="58" t="n"/>
      <c r="B197" s="59" t="n"/>
      <c r="C197" s="59" t="n"/>
      <c r="E197" s="16" t="n"/>
      <c r="F197" s="13" t="n"/>
      <c r="G197" s="16" t="n"/>
      <c r="H197" s="124">
        <f>IF(G197="","",COUNTIFS($C$15:$C$2015,G$13,$D$15:$D$2015,"&gt;="&amp;G197,$D$15:$D$2015,"&lt;"&amp;G198))</f>
        <v/>
      </c>
      <c r="I197" s="14" t="n"/>
      <c r="J197" s="16" t="n"/>
      <c r="K197" s="124">
        <f>IF(J197="","",COUNTIFS($C$15:$C$2015,J$13,$D$15:$D$2015,"&gt;="&amp;J197,$D$15:$D$2015,"&lt;"&amp;J198))</f>
        <v/>
      </c>
      <c r="L197" s="14" t="n"/>
      <c r="M197" s="16" t="n"/>
      <c r="N197" s="124">
        <f>IF(M197="","",COUNTIFS($C$15:$C$2015,M$13,$D$15:$D$2015,"&gt;="&amp;M197,$D$15:$D$2015,"&lt;"&amp;M198))</f>
        <v/>
      </c>
      <c r="O197" s="14" t="n"/>
      <c r="P197" s="16" t="n"/>
      <c r="Q197" s="124">
        <f>IF(P197="","",COUNTIFS($C$15:$C$2015,P$13,$D$15:$D$2015,"&gt;="&amp;P197,$D$15:$D$2015,"&lt;"&amp;P198))</f>
        <v/>
      </c>
      <c r="R197" s="14" t="n"/>
      <c r="S197" s="16" t="n"/>
      <c r="T197" s="124">
        <f>IF(S197="","",COUNTIFS($C$15:$C$2015,S$13,$D$15:$D$2015,"&gt;="&amp;S197,$D$15:$D$2015,"&lt;"&amp;S198))</f>
        <v/>
      </c>
      <c r="U197" s="14" t="n"/>
      <c r="V197" s="16" t="n"/>
      <c r="W197" s="124">
        <f>IF(V197="","",COUNTIFS($C$15:$C$2015,V$13,$D$15:$D$2015,"&gt;="&amp;V197,$D$15:$D$2015,"&lt;"&amp;V198))</f>
        <v/>
      </c>
      <c r="X197" s="14" t="n"/>
      <c r="Y197" s="16" t="n"/>
      <c r="Z197" s="124">
        <f>IF(Y197="","",COUNTIFS($C$15:$C$2015,Y$13,$D$15:$D$2015,"&gt;="&amp;Y197,$D$15:$D$2015,"&lt;"&amp;Y198))</f>
        <v/>
      </c>
      <c r="AA197" s="14" t="n"/>
      <c r="AB197" s="16" t="n"/>
      <c r="AC197" s="124">
        <f>IF(AB197="","",COUNTIFS($C$15:$C$2015,AB$13,$D$15:$D$2015,"&gt;="&amp;AB197,$D$15:$D$2015,"&lt;"&amp;AB198))</f>
        <v/>
      </c>
      <c r="AD197" s="14" t="n"/>
    </row>
    <row r="198">
      <c r="A198" s="56" t="n"/>
      <c r="B198" s="57" t="n"/>
      <c r="C198" s="59" t="n"/>
      <c r="E198" s="16" t="n"/>
      <c r="F198" s="13" t="n"/>
      <c r="G198" s="16" t="n"/>
      <c r="H198" s="124">
        <f>IF(G198="","",COUNTIFS($C$15:$C$2015,G$13,$D$15:$D$2015,"&gt;="&amp;G198,$D$15:$D$2015,"&lt;"&amp;G199))</f>
        <v/>
      </c>
      <c r="I198" s="14" t="n"/>
      <c r="J198" s="16" t="n"/>
      <c r="K198" s="124">
        <f>IF(J198="","",COUNTIFS($C$15:$C$2015,J$13,$D$15:$D$2015,"&gt;="&amp;J198,$D$15:$D$2015,"&lt;"&amp;J199))</f>
        <v/>
      </c>
      <c r="L198" s="14" t="n"/>
      <c r="M198" s="16" t="n"/>
      <c r="N198" s="124">
        <f>IF(M198="","",COUNTIFS($C$15:$C$2015,M$13,$D$15:$D$2015,"&gt;="&amp;M198,$D$15:$D$2015,"&lt;"&amp;M199))</f>
        <v/>
      </c>
      <c r="O198" s="14" t="n"/>
      <c r="P198" s="16" t="n"/>
      <c r="Q198" s="124">
        <f>IF(P198="","",COUNTIFS($C$15:$C$2015,P$13,$D$15:$D$2015,"&gt;="&amp;P198,$D$15:$D$2015,"&lt;"&amp;P199))</f>
        <v/>
      </c>
      <c r="R198" s="14" t="n"/>
      <c r="S198" s="16" t="n"/>
      <c r="T198" s="124">
        <f>IF(S198="","",COUNTIFS($C$15:$C$2015,S$13,$D$15:$D$2015,"&gt;="&amp;S198,$D$15:$D$2015,"&lt;"&amp;S199))</f>
        <v/>
      </c>
      <c r="U198" s="14" t="n"/>
      <c r="V198" s="16" t="n"/>
      <c r="W198" s="124">
        <f>IF(V198="","",COUNTIFS($C$15:$C$2015,V$13,$D$15:$D$2015,"&gt;="&amp;V198,$D$15:$D$2015,"&lt;"&amp;V199))</f>
        <v/>
      </c>
      <c r="X198" s="14" t="n"/>
      <c r="Y198" s="16" t="n"/>
      <c r="Z198" s="124">
        <f>IF(Y198="","",COUNTIFS($C$15:$C$2015,Y$13,$D$15:$D$2015,"&gt;="&amp;Y198,$D$15:$D$2015,"&lt;"&amp;Y199))</f>
        <v/>
      </c>
      <c r="AA198" s="14" t="n"/>
      <c r="AB198" s="16" t="n"/>
      <c r="AC198" s="124">
        <f>IF(AB198="","",COUNTIFS($C$15:$C$2015,AB$13,$D$15:$D$2015,"&gt;="&amp;AB198,$D$15:$D$2015,"&lt;"&amp;AB199))</f>
        <v/>
      </c>
      <c r="AD198" s="14" t="n"/>
    </row>
    <row r="199">
      <c r="A199" s="58" t="n"/>
      <c r="B199" s="59" t="n"/>
      <c r="C199" s="59" t="n"/>
      <c r="E199" s="16" t="n"/>
      <c r="F199" s="13" t="n"/>
      <c r="G199" s="16" t="n"/>
      <c r="H199" s="124">
        <f>IF(G199="","",COUNTIFS($C$15:$C$2015,G$13,$D$15:$D$2015,"&gt;="&amp;G199,$D$15:$D$2015,"&lt;"&amp;G200))</f>
        <v/>
      </c>
      <c r="I199" s="14" t="n"/>
      <c r="J199" s="16" t="n"/>
      <c r="K199" s="124">
        <f>IF(J199="","",COUNTIFS($C$15:$C$2015,J$13,$D$15:$D$2015,"&gt;="&amp;J199,$D$15:$D$2015,"&lt;"&amp;J200))</f>
        <v/>
      </c>
      <c r="L199" s="14" t="n"/>
      <c r="M199" s="16" t="n"/>
      <c r="N199" s="124">
        <f>IF(M199="","",COUNTIFS($C$15:$C$2015,M$13,$D$15:$D$2015,"&gt;="&amp;M199,$D$15:$D$2015,"&lt;"&amp;M200))</f>
        <v/>
      </c>
      <c r="O199" s="14" t="n"/>
      <c r="P199" s="16" t="n"/>
      <c r="Q199" s="124">
        <f>IF(P199="","",COUNTIFS($C$15:$C$2015,P$13,$D$15:$D$2015,"&gt;="&amp;P199,$D$15:$D$2015,"&lt;"&amp;P200))</f>
        <v/>
      </c>
      <c r="R199" s="14" t="n"/>
      <c r="S199" s="16" t="n"/>
      <c r="T199" s="124">
        <f>IF(S199="","",COUNTIFS($C$15:$C$2015,S$13,$D$15:$D$2015,"&gt;="&amp;S199,$D$15:$D$2015,"&lt;"&amp;S200))</f>
        <v/>
      </c>
      <c r="U199" s="14" t="n"/>
      <c r="V199" s="16" t="n"/>
      <c r="W199" s="124">
        <f>IF(V199="","",COUNTIFS($C$15:$C$2015,V$13,$D$15:$D$2015,"&gt;="&amp;V199,$D$15:$D$2015,"&lt;"&amp;V200))</f>
        <v/>
      </c>
      <c r="X199" s="14" t="n"/>
      <c r="Y199" s="16" t="n"/>
      <c r="Z199" s="124">
        <f>IF(Y199="","",COUNTIFS($C$15:$C$2015,Y$13,$D$15:$D$2015,"&gt;="&amp;Y199,$D$15:$D$2015,"&lt;"&amp;Y200))</f>
        <v/>
      </c>
      <c r="AA199" s="14" t="n"/>
      <c r="AB199" s="16" t="n"/>
      <c r="AC199" s="124">
        <f>IF(AB199="","",COUNTIFS($C$15:$C$2015,AB$13,$D$15:$D$2015,"&gt;="&amp;AB199,$D$15:$D$2015,"&lt;"&amp;AB200))</f>
        <v/>
      </c>
      <c r="AD199" s="14" t="n"/>
    </row>
    <row r="200">
      <c r="A200" s="56" t="n"/>
      <c r="B200" s="57" t="n"/>
      <c r="C200" s="59" t="n"/>
      <c r="E200" s="16" t="n"/>
      <c r="F200" s="13" t="n"/>
      <c r="G200" s="16" t="n"/>
      <c r="H200" s="124">
        <f>IF(G200="","",COUNTIFS($C$15:$C$2015,G$13,$D$15:$D$2015,"&gt;="&amp;G200,$D$15:$D$2015,"&lt;"&amp;G201))</f>
        <v/>
      </c>
      <c r="I200" s="14" t="n"/>
      <c r="J200" s="16" t="n"/>
      <c r="K200" s="124">
        <f>IF(J200="","",COUNTIFS($C$15:$C$2015,J$13,$D$15:$D$2015,"&gt;="&amp;J200,$D$15:$D$2015,"&lt;"&amp;J201))</f>
        <v/>
      </c>
      <c r="L200" s="14" t="n"/>
      <c r="M200" s="16" t="n"/>
      <c r="N200" s="124">
        <f>IF(M200="","",COUNTIFS($C$15:$C$2015,M$13,$D$15:$D$2015,"&gt;="&amp;M200,$D$15:$D$2015,"&lt;"&amp;M201))</f>
        <v/>
      </c>
      <c r="O200" s="14" t="n"/>
      <c r="P200" s="16" t="n"/>
      <c r="Q200" s="124">
        <f>IF(P200="","",COUNTIFS($C$15:$C$2015,P$13,$D$15:$D$2015,"&gt;="&amp;P200,$D$15:$D$2015,"&lt;"&amp;P201))</f>
        <v/>
      </c>
      <c r="R200" s="14" t="n"/>
      <c r="S200" s="16" t="n"/>
      <c r="T200" s="124">
        <f>IF(S200="","",COUNTIFS($C$15:$C$2015,S$13,$D$15:$D$2015,"&gt;="&amp;S200,$D$15:$D$2015,"&lt;"&amp;S201))</f>
        <v/>
      </c>
      <c r="U200" s="14" t="n"/>
      <c r="V200" s="16" t="n"/>
      <c r="W200" s="124">
        <f>IF(V200="","",COUNTIFS($C$15:$C$2015,V$13,$D$15:$D$2015,"&gt;="&amp;V200,$D$15:$D$2015,"&lt;"&amp;V201))</f>
        <v/>
      </c>
      <c r="X200" s="14" t="n"/>
      <c r="Y200" s="16" t="n"/>
      <c r="Z200" s="124">
        <f>IF(Y200="","",COUNTIFS($C$15:$C$2015,Y$13,$D$15:$D$2015,"&gt;="&amp;Y200,$D$15:$D$2015,"&lt;"&amp;Y201))</f>
        <v/>
      </c>
      <c r="AA200" s="14" t="n"/>
      <c r="AB200" s="16" t="n"/>
      <c r="AC200" s="124">
        <f>IF(AB200="","",COUNTIFS($C$15:$C$2015,AB$13,$D$15:$D$2015,"&gt;="&amp;AB200,$D$15:$D$2015,"&lt;"&amp;AB201))</f>
        <v/>
      </c>
      <c r="AD200" s="14" t="n"/>
    </row>
    <row r="201">
      <c r="A201" s="58" t="n"/>
      <c r="B201" s="59" t="n"/>
      <c r="C201" s="59" t="n"/>
      <c r="E201" s="16" t="n"/>
      <c r="F201" s="13" t="n"/>
      <c r="G201" s="16" t="n"/>
      <c r="H201" s="124">
        <f>IF(G201="","",COUNTIFS($C$15:$C$2015,G$13,$D$15:$D$2015,"&gt;="&amp;G201,$D$15:$D$2015,"&lt;"&amp;G202))</f>
        <v/>
      </c>
      <c r="I201" s="14" t="n"/>
      <c r="J201" s="16" t="n"/>
      <c r="K201" s="124">
        <f>IF(J201="","",COUNTIFS($C$15:$C$2015,J$13,$D$15:$D$2015,"&gt;="&amp;J201,$D$15:$D$2015,"&lt;"&amp;J202))</f>
        <v/>
      </c>
      <c r="L201" s="14" t="n"/>
      <c r="M201" s="16" t="n"/>
      <c r="N201" s="124">
        <f>IF(M201="","",COUNTIFS($C$15:$C$2015,M$13,$D$15:$D$2015,"&gt;="&amp;M201,$D$15:$D$2015,"&lt;"&amp;M202))</f>
        <v/>
      </c>
      <c r="O201" s="14" t="n"/>
      <c r="P201" s="16" t="n"/>
      <c r="Q201" s="124">
        <f>IF(P201="","",COUNTIFS($C$15:$C$2015,P$13,$D$15:$D$2015,"&gt;="&amp;P201,$D$15:$D$2015,"&lt;"&amp;P202))</f>
        <v/>
      </c>
      <c r="R201" s="14" t="n"/>
      <c r="S201" s="16" t="n"/>
      <c r="T201" s="124">
        <f>IF(S201="","",COUNTIFS($C$15:$C$2015,S$13,$D$15:$D$2015,"&gt;="&amp;S201,$D$15:$D$2015,"&lt;"&amp;S202))</f>
        <v/>
      </c>
      <c r="U201" s="14" t="n"/>
      <c r="V201" s="16" t="n"/>
      <c r="W201" s="124">
        <f>IF(V201="","",COUNTIFS($C$15:$C$2015,V$13,$D$15:$D$2015,"&gt;="&amp;V201,$D$15:$D$2015,"&lt;"&amp;V202))</f>
        <v/>
      </c>
      <c r="X201" s="14" t="n"/>
      <c r="Y201" s="16" t="n"/>
      <c r="Z201" s="124">
        <f>IF(Y201="","",COUNTIFS($C$15:$C$2015,Y$13,$D$15:$D$2015,"&gt;="&amp;Y201,$D$15:$D$2015,"&lt;"&amp;Y202))</f>
        <v/>
      </c>
      <c r="AA201" s="14" t="n"/>
      <c r="AB201" s="16" t="n"/>
      <c r="AC201" s="124">
        <f>IF(AB201="","",COUNTIFS($C$15:$C$2015,AB$13,$D$15:$D$2015,"&gt;="&amp;AB201,$D$15:$D$2015,"&lt;"&amp;AB202))</f>
        <v/>
      </c>
      <c r="AD201" s="14" t="n"/>
    </row>
    <row r="202">
      <c r="A202" s="56" t="n"/>
      <c r="B202" s="57" t="n"/>
      <c r="C202" s="59" t="n"/>
      <c r="E202" s="16" t="n"/>
      <c r="F202" s="13" t="n"/>
      <c r="G202" s="16" t="n"/>
      <c r="H202" s="124">
        <f>IF(G202="","",COUNTIFS($C$15:$C$2015,G$13,$D$15:$D$2015,"&gt;="&amp;G202,$D$15:$D$2015,"&lt;"&amp;G203))</f>
        <v/>
      </c>
      <c r="I202" s="14" t="n"/>
      <c r="J202" s="16" t="n"/>
      <c r="K202" s="124">
        <f>IF(J202="","",COUNTIFS($C$15:$C$2015,J$13,$D$15:$D$2015,"&gt;="&amp;J202,$D$15:$D$2015,"&lt;"&amp;J203))</f>
        <v/>
      </c>
      <c r="L202" s="14" t="n"/>
      <c r="M202" s="16" t="n"/>
      <c r="N202" s="124">
        <f>IF(M202="","",COUNTIFS($C$15:$C$2015,M$13,$D$15:$D$2015,"&gt;="&amp;M202,$D$15:$D$2015,"&lt;"&amp;M203))</f>
        <v/>
      </c>
      <c r="O202" s="14" t="n"/>
      <c r="P202" s="16" t="n"/>
      <c r="Q202" s="124">
        <f>IF(P202="","",COUNTIFS($C$15:$C$2015,P$13,$D$15:$D$2015,"&gt;="&amp;P202,$D$15:$D$2015,"&lt;"&amp;P203))</f>
        <v/>
      </c>
      <c r="R202" s="14" t="n"/>
      <c r="S202" s="16" t="n"/>
      <c r="T202" s="124">
        <f>IF(S202="","",COUNTIFS($C$15:$C$2015,S$13,$D$15:$D$2015,"&gt;="&amp;S202,$D$15:$D$2015,"&lt;"&amp;S203))</f>
        <v/>
      </c>
      <c r="U202" s="14" t="n"/>
      <c r="V202" s="16" t="n"/>
      <c r="W202" s="124">
        <f>IF(V202="","",COUNTIFS($C$15:$C$2015,V$13,$D$15:$D$2015,"&gt;="&amp;V202,$D$15:$D$2015,"&lt;"&amp;V203))</f>
        <v/>
      </c>
      <c r="X202" s="14" t="n"/>
      <c r="Y202" s="16" t="n"/>
      <c r="Z202" s="124">
        <f>IF(Y202="","",COUNTIFS($C$15:$C$2015,Y$13,$D$15:$D$2015,"&gt;="&amp;Y202,$D$15:$D$2015,"&lt;"&amp;Y203))</f>
        <v/>
      </c>
      <c r="AA202" s="14" t="n"/>
      <c r="AB202" s="16" t="n"/>
      <c r="AC202" s="124">
        <f>IF(AB202="","",COUNTIFS($C$15:$C$2015,AB$13,$D$15:$D$2015,"&gt;="&amp;AB202,$D$15:$D$2015,"&lt;"&amp;AB203))</f>
        <v/>
      </c>
      <c r="AD202" s="14" t="n"/>
    </row>
    <row r="203">
      <c r="A203" s="58" t="n"/>
      <c r="B203" s="59" t="n"/>
      <c r="C203" s="59" t="n"/>
      <c r="E203" s="16" t="n"/>
      <c r="F203" s="13" t="n"/>
      <c r="G203" s="16" t="n"/>
      <c r="H203" s="124">
        <f>IF(G203="","",COUNTIFS($C$15:$C$2015,G$13,$D$15:$D$2015,"&gt;="&amp;G203,$D$15:$D$2015,"&lt;"&amp;G204))</f>
        <v/>
      </c>
      <c r="I203" s="14" t="n"/>
      <c r="J203" s="16" t="n"/>
      <c r="K203" s="124">
        <f>IF(J203="","",COUNTIFS($C$15:$C$2015,J$13,$D$15:$D$2015,"&gt;="&amp;J203,$D$15:$D$2015,"&lt;"&amp;J204))</f>
        <v/>
      </c>
      <c r="L203" s="14" t="n"/>
      <c r="M203" s="16" t="n"/>
      <c r="N203" s="124">
        <f>IF(M203="","",COUNTIFS($C$15:$C$2015,M$13,$D$15:$D$2015,"&gt;="&amp;M203,$D$15:$D$2015,"&lt;"&amp;M204))</f>
        <v/>
      </c>
      <c r="O203" s="14" t="n"/>
      <c r="P203" s="16" t="n"/>
      <c r="Q203" s="124">
        <f>IF(P203="","",COUNTIFS($C$15:$C$2015,P$13,$D$15:$D$2015,"&gt;="&amp;P203,$D$15:$D$2015,"&lt;"&amp;P204))</f>
        <v/>
      </c>
      <c r="R203" s="14" t="n"/>
      <c r="S203" s="16" t="n"/>
      <c r="T203" s="124">
        <f>IF(S203="","",COUNTIFS($C$15:$C$2015,S$13,$D$15:$D$2015,"&gt;="&amp;S203,$D$15:$D$2015,"&lt;"&amp;S204))</f>
        <v/>
      </c>
      <c r="U203" s="14" t="n"/>
      <c r="V203" s="16" t="n"/>
      <c r="W203" s="124">
        <f>IF(V203="","",COUNTIFS($C$15:$C$2015,V$13,$D$15:$D$2015,"&gt;="&amp;V203,$D$15:$D$2015,"&lt;"&amp;V204))</f>
        <v/>
      </c>
      <c r="X203" s="14" t="n"/>
      <c r="Y203" s="16" t="n"/>
      <c r="Z203" s="124">
        <f>IF(Y203="","",COUNTIFS($C$15:$C$2015,Y$13,$D$15:$D$2015,"&gt;="&amp;Y203,$D$15:$D$2015,"&lt;"&amp;Y204))</f>
        <v/>
      </c>
      <c r="AA203" s="14" t="n"/>
      <c r="AB203" s="16" t="n"/>
      <c r="AC203" s="124">
        <f>IF(AB203="","",COUNTIFS($C$15:$C$2015,AB$13,$D$15:$D$2015,"&gt;="&amp;AB203,$D$15:$D$2015,"&lt;"&amp;AB204))</f>
        <v/>
      </c>
      <c r="AD203" s="14" t="n"/>
    </row>
    <row r="204">
      <c r="A204" s="56" t="n"/>
      <c r="B204" s="57" t="n"/>
      <c r="C204" s="59" t="n"/>
      <c r="E204" s="16" t="n"/>
      <c r="F204" s="13" t="n"/>
      <c r="G204" s="16" t="n"/>
      <c r="H204" s="124">
        <f>IF(G204="","",COUNTIFS($C$15:$C$2015,G$13,$D$15:$D$2015,"&gt;="&amp;G204,$D$15:$D$2015,"&lt;"&amp;G205))</f>
        <v/>
      </c>
      <c r="I204" s="14" t="n"/>
      <c r="J204" s="16" t="n"/>
      <c r="K204" s="124">
        <f>IF(J204="","",COUNTIFS($C$15:$C$2015,J$13,$D$15:$D$2015,"&gt;="&amp;J204,$D$15:$D$2015,"&lt;"&amp;J205))</f>
        <v/>
      </c>
      <c r="L204" s="14" t="n"/>
      <c r="M204" s="16" t="n"/>
      <c r="N204" s="124">
        <f>IF(M204="","",COUNTIFS($C$15:$C$2015,M$13,$D$15:$D$2015,"&gt;="&amp;M204,$D$15:$D$2015,"&lt;"&amp;M205))</f>
        <v/>
      </c>
      <c r="O204" s="14" t="n"/>
      <c r="P204" s="16" t="n"/>
      <c r="Q204" s="124">
        <f>IF(P204="","",COUNTIFS($C$15:$C$2015,P$13,$D$15:$D$2015,"&gt;="&amp;P204,$D$15:$D$2015,"&lt;"&amp;P205))</f>
        <v/>
      </c>
      <c r="R204" s="14" t="n"/>
      <c r="S204" s="16" t="n"/>
      <c r="T204" s="124">
        <f>IF(S204="","",COUNTIFS($C$15:$C$2015,S$13,$D$15:$D$2015,"&gt;="&amp;S204,$D$15:$D$2015,"&lt;"&amp;S205))</f>
        <v/>
      </c>
      <c r="U204" s="14" t="n"/>
      <c r="V204" s="16" t="n"/>
      <c r="W204" s="124">
        <f>IF(V204="","",COUNTIFS($C$15:$C$2015,V$13,$D$15:$D$2015,"&gt;="&amp;V204,$D$15:$D$2015,"&lt;"&amp;V205))</f>
        <v/>
      </c>
      <c r="X204" s="14" t="n"/>
      <c r="Y204" s="16" t="n"/>
      <c r="Z204" s="124">
        <f>IF(Y204="","",COUNTIFS($C$15:$C$2015,Y$13,$D$15:$D$2015,"&gt;="&amp;Y204,$D$15:$D$2015,"&lt;"&amp;Y205))</f>
        <v/>
      </c>
      <c r="AA204" s="14" t="n"/>
      <c r="AB204" s="16" t="n"/>
      <c r="AC204" s="124">
        <f>IF(AB204="","",COUNTIFS($C$15:$C$2015,AB$13,$D$15:$D$2015,"&gt;="&amp;AB204,$D$15:$D$2015,"&lt;"&amp;AB205))</f>
        <v/>
      </c>
      <c r="AD204" s="14" t="n"/>
    </row>
    <row r="205">
      <c r="A205" s="58" t="n"/>
      <c r="B205" s="59" t="n"/>
      <c r="C205" s="59" t="n"/>
      <c r="E205" s="16" t="n"/>
      <c r="F205" s="13" t="n"/>
      <c r="G205" s="16" t="n"/>
      <c r="H205" s="124">
        <f>IF(G205="","",COUNTIFS($C$15:$C$2015,G$13,$D$15:$D$2015,"&gt;="&amp;G205,$D$15:$D$2015,"&lt;"&amp;G206))</f>
        <v/>
      </c>
      <c r="I205" s="14" t="n"/>
      <c r="J205" s="16" t="n"/>
      <c r="K205" s="124">
        <f>IF(J205="","",COUNTIFS($C$15:$C$2015,J$13,$D$15:$D$2015,"&gt;="&amp;J205,$D$15:$D$2015,"&lt;"&amp;J206))</f>
        <v/>
      </c>
      <c r="L205" s="14" t="n"/>
      <c r="M205" s="16" t="n"/>
      <c r="N205" s="124">
        <f>IF(M205="","",COUNTIFS($C$15:$C$2015,M$13,$D$15:$D$2015,"&gt;="&amp;M205,$D$15:$D$2015,"&lt;"&amp;M206))</f>
        <v/>
      </c>
      <c r="O205" s="14" t="n"/>
      <c r="P205" s="16" t="n"/>
      <c r="Q205" s="124">
        <f>IF(P205="","",COUNTIFS($C$15:$C$2015,P$13,$D$15:$D$2015,"&gt;="&amp;P205,$D$15:$D$2015,"&lt;"&amp;P206))</f>
        <v/>
      </c>
      <c r="R205" s="14" t="n"/>
      <c r="S205" s="16" t="n"/>
      <c r="T205" s="124">
        <f>IF(S205="","",COUNTIFS($C$15:$C$2015,S$13,$D$15:$D$2015,"&gt;="&amp;S205,$D$15:$D$2015,"&lt;"&amp;S206))</f>
        <v/>
      </c>
      <c r="U205" s="14" t="n"/>
      <c r="V205" s="16" t="n"/>
      <c r="W205" s="124">
        <f>IF(V205="","",COUNTIFS($C$15:$C$2015,V$13,$D$15:$D$2015,"&gt;="&amp;V205,$D$15:$D$2015,"&lt;"&amp;V206))</f>
        <v/>
      </c>
      <c r="X205" s="14" t="n"/>
      <c r="Y205" s="16" t="n"/>
      <c r="Z205" s="124">
        <f>IF(Y205="","",COUNTIFS($C$15:$C$2015,Y$13,$D$15:$D$2015,"&gt;="&amp;Y205,$D$15:$D$2015,"&lt;"&amp;Y206))</f>
        <v/>
      </c>
      <c r="AA205" s="14" t="n"/>
      <c r="AB205" s="16" t="n"/>
      <c r="AC205" s="124">
        <f>IF(AB205="","",COUNTIFS($C$15:$C$2015,AB$13,$D$15:$D$2015,"&gt;="&amp;AB205,$D$15:$D$2015,"&lt;"&amp;AB206))</f>
        <v/>
      </c>
      <c r="AD205" s="14" t="n"/>
    </row>
    <row r="206">
      <c r="A206" s="56" t="n"/>
      <c r="B206" s="57" t="n"/>
      <c r="C206" s="59" t="n"/>
      <c r="E206" s="16" t="n"/>
      <c r="F206" s="13" t="n"/>
      <c r="G206" s="16" t="n"/>
      <c r="H206" s="124">
        <f>IF(G206="","",COUNTIFS($C$15:$C$2015,G$13,$D$15:$D$2015,"&gt;="&amp;G206,$D$15:$D$2015,"&lt;"&amp;G207))</f>
        <v/>
      </c>
      <c r="I206" s="14" t="n"/>
      <c r="J206" s="16" t="n"/>
      <c r="K206" s="124">
        <f>IF(J206="","",COUNTIFS($C$15:$C$2015,J$13,$D$15:$D$2015,"&gt;="&amp;J206,$D$15:$D$2015,"&lt;"&amp;J207))</f>
        <v/>
      </c>
      <c r="L206" s="14" t="n"/>
      <c r="M206" s="16" t="n"/>
      <c r="N206" s="124">
        <f>IF(M206="","",COUNTIFS($C$15:$C$2015,M$13,$D$15:$D$2015,"&gt;="&amp;M206,$D$15:$D$2015,"&lt;"&amp;M207))</f>
        <v/>
      </c>
      <c r="O206" s="14" t="n"/>
      <c r="P206" s="16" t="n"/>
      <c r="Q206" s="124">
        <f>IF(P206="","",COUNTIFS($C$15:$C$2015,P$13,$D$15:$D$2015,"&gt;="&amp;P206,$D$15:$D$2015,"&lt;"&amp;P207))</f>
        <v/>
      </c>
      <c r="R206" s="14" t="n"/>
      <c r="S206" s="16" t="n"/>
      <c r="T206" s="124">
        <f>IF(S206="","",COUNTIFS($C$15:$C$2015,S$13,$D$15:$D$2015,"&gt;="&amp;S206,$D$15:$D$2015,"&lt;"&amp;S207))</f>
        <v/>
      </c>
      <c r="U206" s="14" t="n"/>
      <c r="V206" s="16" t="n"/>
      <c r="W206" s="124">
        <f>IF(V206="","",COUNTIFS($C$15:$C$2015,V$13,$D$15:$D$2015,"&gt;="&amp;V206,$D$15:$D$2015,"&lt;"&amp;V207))</f>
        <v/>
      </c>
      <c r="X206" s="14" t="n"/>
      <c r="Y206" s="16" t="n"/>
      <c r="Z206" s="124">
        <f>IF(Y206="","",COUNTIFS($C$15:$C$2015,Y$13,$D$15:$D$2015,"&gt;="&amp;Y206,$D$15:$D$2015,"&lt;"&amp;Y207))</f>
        <v/>
      </c>
      <c r="AA206" s="14" t="n"/>
      <c r="AB206" s="16" t="n"/>
      <c r="AC206" s="124">
        <f>IF(AB206="","",COUNTIFS($C$15:$C$2015,AB$13,$D$15:$D$2015,"&gt;="&amp;AB206,$D$15:$D$2015,"&lt;"&amp;AB207))</f>
        <v/>
      </c>
      <c r="AD206" s="14" t="n"/>
    </row>
    <row r="207">
      <c r="A207" s="58" t="n"/>
      <c r="B207" s="59" t="n"/>
      <c r="C207" s="59" t="n"/>
      <c r="E207" s="16" t="n"/>
      <c r="F207" s="13" t="n"/>
      <c r="G207" s="16" t="n"/>
      <c r="H207" s="124">
        <f>IF(G207="","",COUNTIFS($C$15:$C$2015,G$13,$D$15:$D$2015,"&gt;="&amp;G207,$D$15:$D$2015,"&lt;"&amp;G208))</f>
        <v/>
      </c>
      <c r="I207" s="14" t="n"/>
      <c r="J207" s="16" t="n"/>
      <c r="K207" s="124">
        <f>IF(J207="","",COUNTIFS($C$15:$C$2015,J$13,$D$15:$D$2015,"&gt;="&amp;J207,$D$15:$D$2015,"&lt;"&amp;J208))</f>
        <v/>
      </c>
      <c r="L207" s="14" t="n"/>
      <c r="M207" s="16" t="n"/>
      <c r="N207" s="124">
        <f>IF(M207="","",COUNTIFS($C$15:$C$2015,M$13,$D$15:$D$2015,"&gt;="&amp;M207,$D$15:$D$2015,"&lt;"&amp;M208))</f>
        <v/>
      </c>
      <c r="O207" s="14" t="n"/>
      <c r="P207" s="16" t="n"/>
      <c r="Q207" s="124">
        <f>IF(P207="","",COUNTIFS($C$15:$C$2015,P$13,$D$15:$D$2015,"&gt;="&amp;P207,$D$15:$D$2015,"&lt;"&amp;P208))</f>
        <v/>
      </c>
      <c r="R207" s="14" t="n"/>
      <c r="S207" s="16" t="n"/>
      <c r="T207" s="124">
        <f>IF(S207="","",COUNTIFS($C$15:$C$2015,S$13,$D$15:$D$2015,"&gt;="&amp;S207,$D$15:$D$2015,"&lt;"&amp;S208))</f>
        <v/>
      </c>
      <c r="U207" s="14" t="n"/>
      <c r="V207" s="16" t="n"/>
      <c r="W207" s="124">
        <f>IF(V207="","",COUNTIFS($C$15:$C$2015,V$13,$D$15:$D$2015,"&gt;="&amp;V207,$D$15:$D$2015,"&lt;"&amp;V208))</f>
        <v/>
      </c>
      <c r="X207" s="14" t="n"/>
      <c r="Y207" s="16" t="n"/>
      <c r="Z207" s="124">
        <f>IF(Y207="","",COUNTIFS($C$15:$C$2015,Y$13,$D$15:$D$2015,"&gt;="&amp;Y207,$D$15:$D$2015,"&lt;"&amp;Y208))</f>
        <v/>
      </c>
      <c r="AA207" s="14" t="n"/>
      <c r="AB207" s="16" t="n"/>
      <c r="AC207" s="124">
        <f>IF(AB207="","",COUNTIFS($C$15:$C$2015,AB$13,$D$15:$D$2015,"&gt;="&amp;AB207,$D$15:$D$2015,"&lt;"&amp;AB208))</f>
        <v/>
      </c>
      <c r="AD207" s="14" t="n"/>
    </row>
    <row r="208">
      <c r="A208" s="56" t="n"/>
      <c r="B208" s="57" t="n"/>
      <c r="C208" s="59" t="n"/>
      <c r="E208" s="16" t="n"/>
      <c r="F208" s="13" t="n"/>
      <c r="G208" s="16" t="n"/>
      <c r="H208" s="124">
        <f>IF(G208="","",COUNTIFS($C$15:$C$2015,G$13,$D$15:$D$2015,"&gt;="&amp;G208,$D$15:$D$2015,"&lt;"&amp;G209))</f>
        <v/>
      </c>
      <c r="I208" s="14" t="n"/>
      <c r="J208" s="16" t="n"/>
      <c r="K208" s="124">
        <f>IF(J208="","",COUNTIFS($C$15:$C$2015,J$13,$D$15:$D$2015,"&gt;="&amp;J208,$D$15:$D$2015,"&lt;"&amp;J209))</f>
        <v/>
      </c>
      <c r="L208" s="14" t="n"/>
      <c r="M208" s="16" t="n"/>
      <c r="N208" s="124">
        <f>IF(M208="","",COUNTIFS($C$15:$C$2015,M$13,$D$15:$D$2015,"&gt;="&amp;M208,$D$15:$D$2015,"&lt;"&amp;M209))</f>
        <v/>
      </c>
      <c r="O208" s="14" t="n"/>
      <c r="P208" s="16" t="n"/>
      <c r="Q208" s="124">
        <f>IF(P208="","",COUNTIFS($C$15:$C$2015,P$13,$D$15:$D$2015,"&gt;="&amp;P208,$D$15:$D$2015,"&lt;"&amp;P209))</f>
        <v/>
      </c>
      <c r="R208" s="14" t="n"/>
      <c r="S208" s="16" t="n"/>
      <c r="T208" s="124">
        <f>IF(S208="","",COUNTIFS($C$15:$C$2015,S$13,$D$15:$D$2015,"&gt;="&amp;S208,$D$15:$D$2015,"&lt;"&amp;S209))</f>
        <v/>
      </c>
      <c r="U208" s="14" t="n"/>
      <c r="V208" s="16" t="n"/>
      <c r="W208" s="124">
        <f>IF(V208="","",COUNTIFS($C$15:$C$2015,V$13,$D$15:$D$2015,"&gt;="&amp;V208,$D$15:$D$2015,"&lt;"&amp;V209))</f>
        <v/>
      </c>
      <c r="X208" s="14" t="n"/>
      <c r="Y208" s="16" t="n"/>
      <c r="Z208" s="124">
        <f>IF(Y208="","",COUNTIFS($C$15:$C$2015,Y$13,$D$15:$D$2015,"&gt;="&amp;Y208,$D$15:$D$2015,"&lt;"&amp;Y209))</f>
        <v/>
      </c>
      <c r="AA208" s="14" t="n"/>
      <c r="AB208" s="16" t="n"/>
      <c r="AC208" s="124">
        <f>IF(AB208="","",COUNTIFS($C$15:$C$2015,AB$13,$D$15:$D$2015,"&gt;="&amp;AB208,$D$15:$D$2015,"&lt;"&amp;AB209))</f>
        <v/>
      </c>
      <c r="AD208" s="14" t="n"/>
    </row>
    <row r="209">
      <c r="A209" s="58" t="n"/>
      <c r="B209" s="59" t="n"/>
      <c r="C209" s="59" t="n"/>
      <c r="E209" s="16" t="n"/>
      <c r="F209" s="13" t="n"/>
      <c r="G209" s="16" t="n"/>
      <c r="H209" s="124">
        <f>IF(G209="","",COUNTIFS($C$15:$C$2015,G$13,$D$15:$D$2015,"&gt;="&amp;G209,$D$15:$D$2015,"&lt;"&amp;G210))</f>
        <v/>
      </c>
      <c r="I209" s="14" t="n"/>
      <c r="J209" s="16" t="n"/>
      <c r="K209" s="124">
        <f>IF(J209="","",COUNTIFS($C$15:$C$2015,J$13,$D$15:$D$2015,"&gt;="&amp;J209,$D$15:$D$2015,"&lt;"&amp;J210))</f>
        <v/>
      </c>
      <c r="L209" s="14" t="n"/>
      <c r="M209" s="16" t="n"/>
      <c r="N209" s="124">
        <f>IF(M209="","",COUNTIFS($C$15:$C$2015,M$13,$D$15:$D$2015,"&gt;="&amp;M209,$D$15:$D$2015,"&lt;"&amp;M210))</f>
        <v/>
      </c>
      <c r="O209" s="14" t="n"/>
      <c r="P209" s="16" t="n"/>
      <c r="Q209" s="124">
        <f>IF(P209="","",COUNTIFS($C$15:$C$2015,P$13,$D$15:$D$2015,"&gt;="&amp;P209,$D$15:$D$2015,"&lt;"&amp;P210))</f>
        <v/>
      </c>
      <c r="R209" s="14" t="n"/>
      <c r="S209" s="16" t="n"/>
      <c r="T209" s="124">
        <f>IF(S209="","",COUNTIFS($C$15:$C$2015,S$13,$D$15:$D$2015,"&gt;="&amp;S209,$D$15:$D$2015,"&lt;"&amp;S210))</f>
        <v/>
      </c>
      <c r="U209" s="14" t="n"/>
      <c r="V209" s="16" t="n"/>
      <c r="W209" s="124">
        <f>IF(V209="","",COUNTIFS($C$15:$C$2015,V$13,$D$15:$D$2015,"&gt;="&amp;V209,$D$15:$D$2015,"&lt;"&amp;V210))</f>
        <v/>
      </c>
      <c r="X209" s="14" t="n"/>
      <c r="Y209" s="16" t="n"/>
      <c r="Z209" s="124">
        <f>IF(Y209="","",COUNTIFS($C$15:$C$2015,Y$13,$D$15:$D$2015,"&gt;="&amp;Y209,$D$15:$D$2015,"&lt;"&amp;Y210))</f>
        <v/>
      </c>
      <c r="AA209" s="14" t="n"/>
      <c r="AB209" s="16" t="n"/>
      <c r="AC209" s="124">
        <f>IF(AB209="","",COUNTIFS($C$15:$C$2015,AB$13,$D$15:$D$2015,"&gt;="&amp;AB209,$D$15:$D$2015,"&lt;"&amp;AB210))</f>
        <v/>
      </c>
      <c r="AD209" s="14" t="n"/>
    </row>
    <row r="210">
      <c r="A210" s="56" t="n"/>
      <c r="B210" s="57" t="n"/>
      <c r="C210" s="59" t="n"/>
      <c r="E210" s="16" t="n"/>
      <c r="F210" s="13" t="n"/>
      <c r="G210" s="16" t="n"/>
      <c r="H210" s="124">
        <f>IF(G210="","",COUNTIFS($C$15:$C$2015,G$13,$D$15:$D$2015,"&gt;="&amp;G210,$D$15:$D$2015,"&lt;"&amp;G211))</f>
        <v/>
      </c>
      <c r="I210" s="14" t="n"/>
      <c r="J210" s="16" t="n"/>
      <c r="K210" s="124">
        <f>IF(J210="","",COUNTIFS($C$15:$C$2015,J$13,$D$15:$D$2015,"&gt;="&amp;J210,$D$15:$D$2015,"&lt;"&amp;J211))</f>
        <v/>
      </c>
      <c r="L210" s="14" t="n"/>
      <c r="M210" s="16" t="n"/>
      <c r="N210" s="124">
        <f>IF(M210="","",COUNTIFS($C$15:$C$2015,M$13,$D$15:$D$2015,"&gt;="&amp;M210,$D$15:$D$2015,"&lt;"&amp;M211))</f>
        <v/>
      </c>
      <c r="O210" s="14" t="n"/>
      <c r="P210" s="16" t="n"/>
      <c r="Q210" s="124">
        <f>IF(P210="","",COUNTIFS($C$15:$C$2015,P$13,$D$15:$D$2015,"&gt;="&amp;P210,$D$15:$D$2015,"&lt;"&amp;P211))</f>
        <v/>
      </c>
      <c r="R210" s="14" t="n"/>
      <c r="S210" s="16" t="n"/>
      <c r="T210" s="124">
        <f>IF(S210="","",COUNTIFS($C$15:$C$2015,S$13,$D$15:$D$2015,"&gt;="&amp;S210,$D$15:$D$2015,"&lt;"&amp;S211))</f>
        <v/>
      </c>
      <c r="U210" s="14" t="n"/>
      <c r="V210" s="16" t="n"/>
      <c r="W210" s="124">
        <f>IF(V210="","",COUNTIFS($C$15:$C$2015,V$13,$D$15:$D$2015,"&gt;="&amp;V210,$D$15:$D$2015,"&lt;"&amp;V211))</f>
        <v/>
      </c>
      <c r="X210" s="14" t="n"/>
      <c r="Y210" s="16" t="n"/>
      <c r="Z210" s="124">
        <f>IF(Y210="","",COUNTIFS($C$15:$C$2015,Y$13,$D$15:$D$2015,"&gt;="&amp;Y210,$D$15:$D$2015,"&lt;"&amp;Y211))</f>
        <v/>
      </c>
      <c r="AA210" s="14" t="n"/>
      <c r="AB210" s="16" t="n"/>
      <c r="AC210" s="124">
        <f>IF(AB210="","",COUNTIFS($C$15:$C$2015,AB$13,$D$15:$D$2015,"&gt;="&amp;AB210,$D$15:$D$2015,"&lt;"&amp;AB211))</f>
        <v/>
      </c>
      <c r="AD210" s="14" t="n"/>
    </row>
    <row r="211">
      <c r="A211" s="58" t="n"/>
      <c r="B211" s="59" t="n"/>
      <c r="C211" s="59" t="n"/>
      <c r="E211" s="16" t="n"/>
      <c r="F211" s="13" t="n"/>
      <c r="G211" s="16" t="n"/>
      <c r="H211" s="124">
        <f>IF(G211="","",COUNTIFS($C$15:$C$2015,G$13,$D$15:$D$2015,"&gt;="&amp;G211,$D$15:$D$2015,"&lt;"&amp;G212))</f>
        <v/>
      </c>
      <c r="I211" s="14" t="n"/>
      <c r="J211" s="16" t="n"/>
      <c r="K211" s="124">
        <f>IF(J211="","",COUNTIFS($C$15:$C$2015,J$13,$D$15:$D$2015,"&gt;="&amp;J211,$D$15:$D$2015,"&lt;"&amp;J212))</f>
        <v/>
      </c>
      <c r="L211" s="14" t="n"/>
      <c r="M211" s="16" t="n"/>
      <c r="N211" s="124">
        <f>IF(M211="","",COUNTIFS($C$15:$C$2015,M$13,$D$15:$D$2015,"&gt;="&amp;M211,$D$15:$D$2015,"&lt;"&amp;M212))</f>
        <v/>
      </c>
      <c r="O211" s="14" t="n"/>
      <c r="P211" s="16" t="n"/>
      <c r="Q211" s="124">
        <f>IF(P211="","",COUNTIFS($C$15:$C$2015,P$13,$D$15:$D$2015,"&gt;="&amp;P211,$D$15:$D$2015,"&lt;"&amp;P212))</f>
        <v/>
      </c>
      <c r="R211" s="14" t="n"/>
      <c r="S211" s="16" t="n"/>
      <c r="T211" s="124">
        <f>IF(S211="","",COUNTIFS($C$15:$C$2015,S$13,$D$15:$D$2015,"&gt;="&amp;S211,$D$15:$D$2015,"&lt;"&amp;S212))</f>
        <v/>
      </c>
      <c r="U211" s="14" t="n"/>
      <c r="V211" s="16" t="n"/>
      <c r="W211" s="124">
        <f>IF(V211="","",COUNTIFS($C$15:$C$2015,V$13,$D$15:$D$2015,"&gt;="&amp;V211,$D$15:$D$2015,"&lt;"&amp;V212))</f>
        <v/>
      </c>
      <c r="X211" s="14" t="n"/>
      <c r="Y211" s="16" t="n"/>
      <c r="Z211" s="124">
        <f>IF(Y211="","",COUNTIFS($C$15:$C$2015,Y$13,$D$15:$D$2015,"&gt;="&amp;Y211,$D$15:$D$2015,"&lt;"&amp;Y212))</f>
        <v/>
      </c>
      <c r="AA211" s="14" t="n"/>
      <c r="AB211" s="16" t="n"/>
      <c r="AC211" s="124">
        <f>IF(AB211="","",COUNTIFS($C$15:$C$2015,AB$13,$D$15:$D$2015,"&gt;="&amp;AB211,$D$15:$D$2015,"&lt;"&amp;AB212))</f>
        <v/>
      </c>
      <c r="AD211" s="14" t="n"/>
    </row>
    <row r="212">
      <c r="A212" s="56" t="n"/>
      <c r="B212" s="57" t="n"/>
      <c r="C212" s="59" t="n"/>
      <c r="E212" s="16" t="n"/>
      <c r="F212" s="13" t="n"/>
      <c r="G212" s="16" t="n"/>
      <c r="H212" s="124">
        <f>IF(G212="","",COUNTIFS($C$15:$C$2015,G$13,$D$15:$D$2015,"&gt;="&amp;G212,$D$15:$D$2015,"&lt;"&amp;G213))</f>
        <v/>
      </c>
      <c r="I212" s="14" t="n"/>
      <c r="J212" s="16" t="n"/>
      <c r="K212" s="124">
        <f>IF(J212="","",COUNTIFS($C$15:$C$2015,J$13,$D$15:$D$2015,"&gt;="&amp;J212,$D$15:$D$2015,"&lt;"&amp;J213))</f>
        <v/>
      </c>
      <c r="L212" s="14" t="n"/>
      <c r="M212" s="16" t="n"/>
      <c r="N212" s="124">
        <f>IF(M212="","",COUNTIFS($C$15:$C$2015,M$13,$D$15:$D$2015,"&gt;="&amp;M212,$D$15:$D$2015,"&lt;"&amp;M213))</f>
        <v/>
      </c>
      <c r="O212" s="14" t="n"/>
      <c r="P212" s="16" t="n"/>
      <c r="Q212" s="124">
        <f>IF(P212="","",COUNTIFS($C$15:$C$2015,P$13,$D$15:$D$2015,"&gt;="&amp;P212,$D$15:$D$2015,"&lt;"&amp;P213))</f>
        <v/>
      </c>
      <c r="R212" s="14" t="n"/>
      <c r="S212" s="16" t="n"/>
      <c r="T212" s="124">
        <f>IF(S212="","",COUNTIFS($C$15:$C$2015,S$13,$D$15:$D$2015,"&gt;="&amp;S212,$D$15:$D$2015,"&lt;"&amp;S213))</f>
        <v/>
      </c>
      <c r="U212" s="14" t="n"/>
      <c r="V212" s="16" t="n"/>
      <c r="W212" s="124">
        <f>IF(V212="","",COUNTIFS($C$15:$C$2015,V$13,$D$15:$D$2015,"&gt;="&amp;V212,$D$15:$D$2015,"&lt;"&amp;V213))</f>
        <v/>
      </c>
      <c r="X212" s="14" t="n"/>
      <c r="Y212" s="16" t="n"/>
      <c r="Z212" s="124">
        <f>IF(Y212="","",COUNTIFS($C$15:$C$2015,Y$13,$D$15:$D$2015,"&gt;="&amp;Y212,$D$15:$D$2015,"&lt;"&amp;Y213))</f>
        <v/>
      </c>
      <c r="AA212" s="14" t="n"/>
      <c r="AB212" s="16" t="n"/>
      <c r="AC212" s="124">
        <f>IF(AB212="","",COUNTIFS($C$15:$C$2015,AB$13,$D$15:$D$2015,"&gt;="&amp;AB212,$D$15:$D$2015,"&lt;"&amp;AB213))</f>
        <v/>
      </c>
      <c r="AD212" s="14" t="n"/>
    </row>
    <row r="213">
      <c r="A213" s="58" t="n"/>
      <c r="B213" s="59" t="n"/>
      <c r="C213" s="59" t="n"/>
      <c r="E213" s="16" t="n"/>
      <c r="F213" s="13" t="n"/>
      <c r="G213" s="16" t="n"/>
      <c r="H213" s="124">
        <f>IF(G213="","",COUNTIFS($C$15:$C$2015,G$13,$D$15:$D$2015,"&gt;="&amp;G213,$D$15:$D$2015,"&lt;"&amp;G214))</f>
        <v/>
      </c>
      <c r="I213" s="14" t="n"/>
      <c r="J213" s="16" t="n"/>
      <c r="K213" s="124">
        <f>IF(J213="","",COUNTIFS($C$15:$C$2015,J$13,$D$15:$D$2015,"&gt;="&amp;J213,$D$15:$D$2015,"&lt;"&amp;J214))</f>
        <v/>
      </c>
      <c r="L213" s="14" t="n"/>
      <c r="M213" s="16" t="n"/>
      <c r="N213" s="124">
        <f>IF(M213="","",COUNTIFS($C$15:$C$2015,M$13,$D$15:$D$2015,"&gt;="&amp;M213,$D$15:$D$2015,"&lt;"&amp;M214))</f>
        <v/>
      </c>
      <c r="O213" s="14" t="n"/>
      <c r="P213" s="16" t="n"/>
      <c r="Q213" s="124">
        <f>IF(P213="","",COUNTIFS($C$15:$C$2015,P$13,$D$15:$D$2015,"&gt;="&amp;P213,$D$15:$D$2015,"&lt;"&amp;P214))</f>
        <v/>
      </c>
      <c r="R213" s="14" t="n"/>
      <c r="S213" s="16" t="n"/>
      <c r="T213" s="124">
        <f>IF(S213="","",COUNTIFS($C$15:$C$2015,S$13,$D$15:$D$2015,"&gt;="&amp;S213,$D$15:$D$2015,"&lt;"&amp;S214))</f>
        <v/>
      </c>
      <c r="U213" s="14" t="n"/>
      <c r="V213" s="16" t="n"/>
      <c r="W213" s="124">
        <f>IF(V213="","",COUNTIFS($C$15:$C$2015,V$13,$D$15:$D$2015,"&gt;="&amp;V213,$D$15:$D$2015,"&lt;"&amp;V214))</f>
        <v/>
      </c>
      <c r="X213" s="14" t="n"/>
      <c r="Y213" s="16" t="n"/>
      <c r="Z213" s="124">
        <f>IF(Y213="","",COUNTIFS($C$15:$C$2015,Y$13,$D$15:$D$2015,"&gt;="&amp;Y213,$D$15:$D$2015,"&lt;"&amp;Y214))</f>
        <v/>
      </c>
      <c r="AA213" s="14" t="n"/>
      <c r="AB213" s="16" t="n"/>
      <c r="AC213" s="124">
        <f>IF(AB213="","",COUNTIFS($C$15:$C$2015,AB$13,$D$15:$D$2015,"&gt;="&amp;AB213,$D$15:$D$2015,"&lt;"&amp;AB214))</f>
        <v/>
      </c>
      <c r="AD213" s="14" t="n"/>
    </row>
    <row r="214">
      <c r="A214" s="56" t="n"/>
      <c r="B214" s="57" t="n"/>
      <c r="C214" s="59" t="n"/>
      <c r="E214" s="16" t="n"/>
      <c r="F214" s="13" t="n"/>
      <c r="G214" s="16" t="n"/>
      <c r="H214" s="124">
        <f>IF(G214="","",COUNTIFS($C$15:$C$2015,G$13,$D$15:$D$2015,"&gt;="&amp;G214,$D$15:$D$2015,"&lt;"&amp;G215))</f>
        <v/>
      </c>
      <c r="I214" s="14" t="n"/>
      <c r="J214" s="16" t="n"/>
      <c r="K214" s="124">
        <f>IF(J214="","",COUNTIFS($C$15:$C$2015,J$13,$D$15:$D$2015,"&gt;="&amp;J214,$D$15:$D$2015,"&lt;"&amp;J215))</f>
        <v/>
      </c>
      <c r="L214" s="14" t="n"/>
      <c r="M214" s="16" t="n"/>
      <c r="N214" s="124">
        <f>IF(M214="","",COUNTIFS($C$15:$C$2015,M$13,$D$15:$D$2015,"&gt;="&amp;M214,$D$15:$D$2015,"&lt;"&amp;M215))</f>
        <v/>
      </c>
      <c r="O214" s="14" t="n"/>
      <c r="P214" s="16" t="n"/>
      <c r="Q214" s="124">
        <f>IF(P214="","",COUNTIFS($C$15:$C$2015,P$13,$D$15:$D$2015,"&gt;="&amp;P214,$D$15:$D$2015,"&lt;"&amp;P215))</f>
        <v/>
      </c>
      <c r="R214" s="14" t="n"/>
      <c r="S214" s="16" t="n"/>
      <c r="T214" s="124">
        <f>IF(S214="","",COUNTIFS($C$15:$C$2015,S$13,$D$15:$D$2015,"&gt;="&amp;S214,$D$15:$D$2015,"&lt;"&amp;S215))</f>
        <v/>
      </c>
      <c r="U214" s="14" t="n"/>
      <c r="V214" s="16" t="n"/>
      <c r="W214" s="124">
        <f>IF(V214="","",COUNTIFS($C$15:$C$2015,V$13,$D$15:$D$2015,"&gt;="&amp;V214,$D$15:$D$2015,"&lt;"&amp;V215))</f>
        <v/>
      </c>
      <c r="X214" s="14" t="n"/>
      <c r="Y214" s="16" t="n"/>
      <c r="Z214" s="124">
        <f>IF(Y214="","",COUNTIFS($C$15:$C$2015,Y$13,$D$15:$D$2015,"&gt;="&amp;Y214,$D$15:$D$2015,"&lt;"&amp;Y215))</f>
        <v/>
      </c>
      <c r="AA214" s="14" t="n"/>
      <c r="AB214" s="16" t="n"/>
      <c r="AC214" s="124">
        <f>IF(AB214="","",COUNTIFS($C$15:$C$2015,AB$13,$D$15:$D$2015,"&gt;="&amp;AB214,$D$15:$D$2015,"&lt;"&amp;AB215))</f>
        <v/>
      </c>
      <c r="AD214" s="14" t="n"/>
    </row>
    <row r="215">
      <c r="A215" s="58" t="n"/>
      <c r="B215" s="59" t="n"/>
      <c r="C215" s="59" t="n"/>
      <c r="E215" s="16" t="n"/>
      <c r="F215" s="13" t="n"/>
      <c r="G215" s="16" t="n"/>
      <c r="H215" s="124">
        <f>IF(G215="","",COUNTIFS($C$15:$C$2015,G$13,$D$15:$D$2015,"&gt;="&amp;G215,$D$15:$D$2015,"&lt;"&amp;G216))</f>
        <v/>
      </c>
      <c r="I215" s="14" t="n"/>
      <c r="J215" s="16" t="n"/>
      <c r="K215" s="124">
        <f>IF(J215="","",COUNTIFS($C$15:$C$2015,J$13,$D$15:$D$2015,"&gt;="&amp;J215,$D$15:$D$2015,"&lt;"&amp;J216))</f>
        <v/>
      </c>
      <c r="L215" s="14" t="n"/>
      <c r="M215" s="16" t="n"/>
      <c r="N215" s="124">
        <f>IF(M215="","",COUNTIFS($C$15:$C$2015,M$13,$D$15:$D$2015,"&gt;="&amp;M215,$D$15:$D$2015,"&lt;"&amp;M216))</f>
        <v/>
      </c>
      <c r="O215" s="14" t="n"/>
      <c r="P215" s="16" t="n"/>
      <c r="Q215" s="124">
        <f>IF(P215="","",COUNTIFS($C$15:$C$2015,P$13,$D$15:$D$2015,"&gt;="&amp;P215,$D$15:$D$2015,"&lt;"&amp;P216))</f>
        <v/>
      </c>
      <c r="R215" s="14" t="n"/>
      <c r="S215" s="16" t="n"/>
      <c r="T215" s="124">
        <f>IF(S215="","",COUNTIFS($C$15:$C$2015,S$13,$D$15:$D$2015,"&gt;="&amp;S215,$D$15:$D$2015,"&lt;"&amp;S216))</f>
        <v/>
      </c>
      <c r="U215" s="14" t="n"/>
      <c r="V215" s="16" t="n"/>
      <c r="W215" s="124">
        <f>IF(V215="","",COUNTIFS($C$15:$C$2015,V$13,$D$15:$D$2015,"&gt;="&amp;V215,$D$15:$D$2015,"&lt;"&amp;V216))</f>
        <v/>
      </c>
      <c r="X215" s="14" t="n"/>
      <c r="Y215" s="16" t="n"/>
      <c r="Z215" s="124">
        <f>IF(Y215="","",COUNTIFS($C$15:$C$2015,Y$13,$D$15:$D$2015,"&gt;="&amp;Y215,$D$15:$D$2015,"&lt;"&amp;Y216))</f>
        <v/>
      </c>
      <c r="AA215" s="14" t="n"/>
      <c r="AB215" s="16" t="n"/>
      <c r="AC215" s="124">
        <f>IF(AB215="","",COUNTIFS($C$15:$C$2015,AB$13,$D$15:$D$2015,"&gt;="&amp;AB215,$D$15:$D$2015,"&lt;"&amp;AB216))</f>
        <v/>
      </c>
      <c r="AD215" s="14" t="n"/>
    </row>
    <row r="216">
      <c r="A216" s="56" t="n"/>
      <c r="B216" s="57" t="n"/>
      <c r="C216" s="59" t="n"/>
      <c r="E216" s="16" t="n"/>
      <c r="F216" s="13" t="n"/>
      <c r="G216" s="16" t="n"/>
      <c r="H216" s="124">
        <f>IF(G216="","",COUNTIFS($C$15:$C$2015,G$13,$D$15:$D$2015,"&gt;="&amp;G216,$D$15:$D$2015,"&lt;"&amp;G217))</f>
        <v/>
      </c>
      <c r="I216" s="14" t="n"/>
      <c r="J216" s="16" t="n"/>
      <c r="K216" s="124">
        <f>IF(J216="","",COUNTIFS($C$15:$C$2015,J$13,$D$15:$D$2015,"&gt;="&amp;J216,$D$15:$D$2015,"&lt;"&amp;J217))</f>
        <v/>
      </c>
      <c r="L216" s="14" t="n"/>
      <c r="M216" s="16" t="n"/>
      <c r="N216" s="124">
        <f>IF(M216="","",COUNTIFS($C$15:$C$2015,M$13,$D$15:$D$2015,"&gt;="&amp;M216,$D$15:$D$2015,"&lt;"&amp;M217))</f>
        <v/>
      </c>
      <c r="O216" s="14" t="n"/>
      <c r="P216" s="16" t="n"/>
      <c r="Q216" s="124">
        <f>IF(P216="","",COUNTIFS($C$15:$C$2015,P$13,$D$15:$D$2015,"&gt;="&amp;P216,$D$15:$D$2015,"&lt;"&amp;P217))</f>
        <v/>
      </c>
      <c r="R216" s="14" t="n"/>
      <c r="S216" s="16" t="n"/>
      <c r="T216" s="124">
        <f>IF(S216="","",COUNTIFS($C$15:$C$2015,S$13,$D$15:$D$2015,"&gt;="&amp;S216,$D$15:$D$2015,"&lt;"&amp;S217))</f>
        <v/>
      </c>
      <c r="U216" s="14" t="n"/>
      <c r="V216" s="16" t="n"/>
      <c r="W216" s="124">
        <f>IF(V216="","",COUNTIFS($C$15:$C$2015,V$13,$D$15:$D$2015,"&gt;="&amp;V216,$D$15:$D$2015,"&lt;"&amp;V217))</f>
        <v/>
      </c>
      <c r="X216" s="14" t="n"/>
      <c r="Y216" s="16" t="n"/>
      <c r="Z216" s="124">
        <f>IF(Y216="","",COUNTIFS($C$15:$C$2015,Y$13,$D$15:$D$2015,"&gt;="&amp;Y216,$D$15:$D$2015,"&lt;"&amp;Y217))</f>
        <v/>
      </c>
      <c r="AA216" s="14" t="n"/>
      <c r="AB216" s="16" t="n"/>
      <c r="AC216" s="124">
        <f>IF(AB216="","",COUNTIFS($C$15:$C$2015,AB$13,$D$15:$D$2015,"&gt;="&amp;AB216,$D$15:$D$2015,"&lt;"&amp;AB217))</f>
        <v/>
      </c>
      <c r="AD216" s="14" t="n"/>
    </row>
    <row r="217">
      <c r="A217" s="58" t="n"/>
      <c r="B217" s="59" t="n"/>
      <c r="C217" s="59" t="n"/>
      <c r="E217" s="16" t="n"/>
      <c r="F217" s="13" t="n"/>
      <c r="G217" s="16" t="n"/>
      <c r="H217" s="124">
        <f>IF(G217="","",COUNTIFS($C$15:$C$2015,G$13,$D$15:$D$2015,"&gt;="&amp;G217,$D$15:$D$2015,"&lt;"&amp;G218))</f>
        <v/>
      </c>
      <c r="I217" s="14" t="n"/>
      <c r="J217" s="16" t="n"/>
      <c r="K217" s="124">
        <f>IF(J217="","",COUNTIFS($C$15:$C$2015,J$13,$D$15:$D$2015,"&gt;="&amp;J217,$D$15:$D$2015,"&lt;"&amp;J218))</f>
        <v/>
      </c>
      <c r="L217" s="14" t="n"/>
      <c r="M217" s="16" t="n"/>
      <c r="N217" s="124">
        <f>IF(M217="","",COUNTIFS($C$15:$C$2015,M$13,$D$15:$D$2015,"&gt;="&amp;M217,$D$15:$D$2015,"&lt;"&amp;M218))</f>
        <v/>
      </c>
      <c r="O217" s="14" t="n"/>
      <c r="P217" s="16" t="n"/>
      <c r="Q217" s="124">
        <f>IF(P217="","",COUNTIFS($C$15:$C$2015,P$13,$D$15:$D$2015,"&gt;="&amp;P217,$D$15:$D$2015,"&lt;"&amp;P218))</f>
        <v/>
      </c>
      <c r="R217" s="14" t="n"/>
      <c r="S217" s="16" t="n"/>
      <c r="T217" s="124">
        <f>IF(S217="","",COUNTIFS($C$15:$C$2015,S$13,$D$15:$D$2015,"&gt;="&amp;S217,$D$15:$D$2015,"&lt;"&amp;S218))</f>
        <v/>
      </c>
      <c r="U217" s="14" t="n"/>
      <c r="V217" s="16" t="n"/>
      <c r="W217" s="124">
        <f>IF(V217="","",COUNTIFS($C$15:$C$2015,V$13,$D$15:$D$2015,"&gt;="&amp;V217,$D$15:$D$2015,"&lt;"&amp;V218))</f>
        <v/>
      </c>
      <c r="X217" s="14" t="n"/>
      <c r="Y217" s="16" t="n"/>
      <c r="Z217" s="124">
        <f>IF(Y217="","",COUNTIFS($C$15:$C$2015,Y$13,$D$15:$D$2015,"&gt;="&amp;Y217,$D$15:$D$2015,"&lt;"&amp;Y218))</f>
        <v/>
      </c>
      <c r="AA217" s="14" t="n"/>
      <c r="AB217" s="16" t="n"/>
      <c r="AC217" s="124">
        <f>IF(AB217="","",COUNTIFS($C$15:$C$2015,AB$13,$D$15:$D$2015,"&gt;="&amp;AB217,$D$15:$D$2015,"&lt;"&amp;AB218))</f>
        <v/>
      </c>
      <c r="AD217" s="14" t="n"/>
    </row>
    <row r="218">
      <c r="A218" s="56" t="n"/>
      <c r="B218" s="57" t="n"/>
      <c r="C218" s="59" t="n"/>
      <c r="E218" s="16" t="n"/>
      <c r="F218" s="13" t="n"/>
      <c r="G218" s="16" t="n"/>
      <c r="H218" s="124">
        <f>IF(G218="","",COUNTIFS($C$15:$C$2015,G$13,$D$15:$D$2015,"&gt;="&amp;G218,$D$15:$D$2015,"&lt;"&amp;G219))</f>
        <v/>
      </c>
      <c r="I218" s="14" t="n"/>
      <c r="J218" s="16" t="n"/>
      <c r="K218" s="124">
        <f>IF(J218="","",COUNTIFS($C$15:$C$2015,J$13,$D$15:$D$2015,"&gt;="&amp;J218,$D$15:$D$2015,"&lt;"&amp;J219))</f>
        <v/>
      </c>
      <c r="L218" s="14" t="n"/>
      <c r="M218" s="16" t="n"/>
      <c r="N218" s="124">
        <f>IF(M218="","",COUNTIFS($C$15:$C$2015,M$13,$D$15:$D$2015,"&gt;="&amp;M218,$D$15:$D$2015,"&lt;"&amp;M219))</f>
        <v/>
      </c>
      <c r="O218" s="14" t="n"/>
      <c r="P218" s="16" t="n"/>
      <c r="Q218" s="124">
        <f>IF(P218="","",COUNTIFS($C$15:$C$2015,P$13,$D$15:$D$2015,"&gt;="&amp;P218,$D$15:$D$2015,"&lt;"&amp;P219))</f>
        <v/>
      </c>
      <c r="R218" s="14" t="n"/>
      <c r="S218" s="16" t="n"/>
      <c r="T218" s="124">
        <f>IF(S218="","",COUNTIFS($C$15:$C$2015,S$13,$D$15:$D$2015,"&gt;="&amp;S218,$D$15:$D$2015,"&lt;"&amp;S219))</f>
        <v/>
      </c>
      <c r="U218" s="14" t="n"/>
      <c r="V218" s="16" t="n"/>
      <c r="W218" s="124">
        <f>IF(V218="","",COUNTIFS($C$15:$C$2015,V$13,$D$15:$D$2015,"&gt;="&amp;V218,$D$15:$D$2015,"&lt;"&amp;V219))</f>
        <v/>
      </c>
      <c r="X218" s="14" t="n"/>
      <c r="Y218" s="16" t="n"/>
      <c r="Z218" s="124">
        <f>IF(Y218="","",COUNTIFS($C$15:$C$2015,Y$13,$D$15:$D$2015,"&gt;="&amp;Y218,$D$15:$D$2015,"&lt;"&amp;Y219))</f>
        <v/>
      </c>
      <c r="AA218" s="14" t="n"/>
      <c r="AB218" s="16" t="n"/>
      <c r="AC218" s="124">
        <f>IF(AB218="","",COUNTIFS($C$15:$C$2015,AB$13,$D$15:$D$2015,"&gt;="&amp;AB218,$D$15:$D$2015,"&lt;"&amp;AB219))</f>
        <v/>
      </c>
      <c r="AD218" s="14" t="n"/>
    </row>
    <row r="219">
      <c r="A219" s="58" t="n"/>
      <c r="B219" s="59" t="n"/>
      <c r="C219" s="59" t="n"/>
      <c r="E219" s="16" t="n"/>
      <c r="F219" s="13" t="n"/>
      <c r="G219" s="16" t="n"/>
      <c r="H219" s="124">
        <f>IF(G219="","",COUNTIFS($C$15:$C$2015,G$13,$D$15:$D$2015,"&gt;="&amp;G219,$D$15:$D$2015,"&lt;"&amp;G220))</f>
        <v/>
      </c>
      <c r="I219" s="14" t="n"/>
      <c r="J219" s="16" t="n"/>
      <c r="K219" s="124">
        <f>IF(J219="","",COUNTIFS($C$15:$C$2015,J$13,$D$15:$D$2015,"&gt;="&amp;J219,$D$15:$D$2015,"&lt;"&amp;J220))</f>
        <v/>
      </c>
      <c r="L219" s="14" t="n"/>
      <c r="M219" s="16" t="n"/>
      <c r="N219" s="124">
        <f>IF(M219="","",COUNTIFS($C$15:$C$2015,M$13,$D$15:$D$2015,"&gt;="&amp;M219,$D$15:$D$2015,"&lt;"&amp;M220))</f>
        <v/>
      </c>
      <c r="O219" s="14" t="n"/>
      <c r="P219" s="16" t="n"/>
      <c r="Q219" s="124">
        <f>IF(P219="","",COUNTIFS($C$15:$C$2015,P$13,$D$15:$D$2015,"&gt;="&amp;P219,$D$15:$D$2015,"&lt;"&amp;P220))</f>
        <v/>
      </c>
      <c r="R219" s="14" t="n"/>
      <c r="S219" s="16" t="n"/>
      <c r="T219" s="124">
        <f>IF(S219="","",COUNTIFS($C$15:$C$2015,S$13,$D$15:$D$2015,"&gt;="&amp;S219,$D$15:$D$2015,"&lt;"&amp;S220))</f>
        <v/>
      </c>
      <c r="U219" s="14" t="n"/>
      <c r="V219" s="16" t="n"/>
      <c r="W219" s="124">
        <f>IF(V219="","",COUNTIFS($C$15:$C$2015,V$13,$D$15:$D$2015,"&gt;="&amp;V219,$D$15:$D$2015,"&lt;"&amp;V220))</f>
        <v/>
      </c>
      <c r="X219" s="14" t="n"/>
      <c r="Y219" s="16" t="n"/>
      <c r="Z219" s="124">
        <f>IF(Y219="","",COUNTIFS($C$15:$C$2015,Y$13,$D$15:$D$2015,"&gt;="&amp;Y219,$D$15:$D$2015,"&lt;"&amp;Y220))</f>
        <v/>
      </c>
      <c r="AA219" s="14" t="n"/>
      <c r="AB219" s="16" t="n"/>
      <c r="AC219" s="124">
        <f>IF(AB219="","",COUNTIFS($C$15:$C$2015,AB$13,$D$15:$D$2015,"&gt;="&amp;AB219,$D$15:$D$2015,"&lt;"&amp;AB220))</f>
        <v/>
      </c>
      <c r="AD219" s="14" t="n"/>
    </row>
    <row r="220">
      <c r="A220" s="56" t="n"/>
      <c r="B220" s="57" t="n"/>
      <c r="C220" s="59" t="n"/>
      <c r="E220" s="16" t="n"/>
      <c r="F220" s="13" t="n"/>
      <c r="G220" s="16" t="n"/>
      <c r="H220" s="124">
        <f>IF(G220="","",COUNTIFS($C$15:$C$2015,G$13,$D$15:$D$2015,"&gt;="&amp;G220,$D$15:$D$2015,"&lt;"&amp;G221))</f>
        <v/>
      </c>
      <c r="I220" s="14" t="n"/>
      <c r="J220" s="16" t="n"/>
      <c r="K220" s="124">
        <f>IF(J220="","",COUNTIFS($C$15:$C$2015,J$13,$D$15:$D$2015,"&gt;="&amp;J220,$D$15:$D$2015,"&lt;"&amp;J221))</f>
        <v/>
      </c>
      <c r="L220" s="14" t="n"/>
      <c r="M220" s="16" t="n"/>
      <c r="N220" s="124">
        <f>IF(M220="","",COUNTIFS($C$15:$C$2015,M$13,$D$15:$D$2015,"&gt;="&amp;M220,$D$15:$D$2015,"&lt;"&amp;M221))</f>
        <v/>
      </c>
      <c r="O220" s="14" t="n"/>
      <c r="P220" s="16" t="n"/>
      <c r="Q220" s="124">
        <f>IF(P220="","",COUNTIFS($C$15:$C$2015,P$13,$D$15:$D$2015,"&gt;="&amp;P220,$D$15:$D$2015,"&lt;"&amp;P221))</f>
        <v/>
      </c>
      <c r="R220" s="14" t="n"/>
      <c r="S220" s="16" t="n"/>
      <c r="T220" s="124">
        <f>IF(S220="","",COUNTIFS($C$15:$C$2015,S$13,$D$15:$D$2015,"&gt;="&amp;S220,$D$15:$D$2015,"&lt;"&amp;S221))</f>
        <v/>
      </c>
      <c r="U220" s="14" t="n"/>
      <c r="V220" s="16" t="n"/>
      <c r="W220" s="124">
        <f>IF(V220="","",COUNTIFS($C$15:$C$2015,V$13,$D$15:$D$2015,"&gt;="&amp;V220,$D$15:$D$2015,"&lt;"&amp;V221))</f>
        <v/>
      </c>
      <c r="X220" s="14" t="n"/>
      <c r="Y220" s="16" t="n"/>
      <c r="Z220" s="124">
        <f>IF(Y220="","",COUNTIFS($C$15:$C$2015,Y$13,$D$15:$D$2015,"&gt;="&amp;Y220,$D$15:$D$2015,"&lt;"&amp;Y221))</f>
        <v/>
      </c>
      <c r="AA220" s="14" t="n"/>
      <c r="AB220" s="16" t="n"/>
      <c r="AC220" s="124">
        <f>IF(AB220="","",COUNTIFS($C$15:$C$2015,AB$13,$D$15:$D$2015,"&gt;="&amp;AB220,$D$15:$D$2015,"&lt;"&amp;AB221))</f>
        <v/>
      </c>
      <c r="AD220" s="14" t="n"/>
    </row>
    <row r="221">
      <c r="A221" s="58" t="n"/>
      <c r="B221" s="59" t="n"/>
      <c r="C221" s="59" t="n"/>
      <c r="E221" s="16" t="n"/>
      <c r="F221" s="13" t="n"/>
      <c r="G221" s="16" t="n"/>
      <c r="H221" s="124">
        <f>IF(G221="","",COUNTIFS($C$15:$C$2015,G$13,$D$15:$D$2015,"&gt;="&amp;G221,$D$15:$D$2015,"&lt;"&amp;G222))</f>
        <v/>
      </c>
      <c r="I221" s="14" t="n"/>
      <c r="J221" s="16" t="n"/>
      <c r="K221" s="124">
        <f>IF(J221="","",COUNTIFS($C$15:$C$2015,J$13,$D$15:$D$2015,"&gt;="&amp;J221,$D$15:$D$2015,"&lt;"&amp;J222))</f>
        <v/>
      </c>
      <c r="L221" s="14" t="n"/>
      <c r="M221" s="16" t="n"/>
      <c r="N221" s="124">
        <f>IF(M221="","",COUNTIFS($C$15:$C$2015,M$13,$D$15:$D$2015,"&gt;="&amp;M221,$D$15:$D$2015,"&lt;"&amp;M222))</f>
        <v/>
      </c>
      <c r="O221" s="14" t="n"/>
      <c r="P221" s="16" t="n"/>
      <c r="Q221" s="124">
        <f>IF(P221="","",COUNTIFS($C$15:$C$2015,P$13,$D$15:$D$2015,"&gt;="&amp;P221,$D$15:$D$2015,"&lt;"&amp;P222))</f>
        <v/>
      </c>
      <c r="R221" s="14" t="n"/>
      <c r="S221" s="16" t="n"/>
      <c r="T221" s="124">
        <f>IF(S221="","",COUNTIFS($C$15:$C$2015,S$13,$D$15:$D$2015,"&gt;="&amp;S221,$D$15:$D$2015,"&lt;"&amp;S222))</f>
        <v/>
      </c>
      <c r="U221" s="14" t="n"/>
      <c r="V221" s="16" t="n"/>
      <c r="W221" s="124">
        <f>IF(V221="","",COUNTIFS($C$15:$C$2015,V$13,$D$15:$D$2015,"&gt;="&amp;V221,$D$15:$D$2015,"&lt;"&amp;V222))</f>
        <v/>
      </c>
      <c r="X221" s="14" t="n"/>
      <c r="Y221" s="16" t="n"/>
      <c r="Z221" s="124">
        <f>IF(Y221="","",COUNTIFS($C$15:$C$2015,Y$13,$D$15:$D$2015,"&gt;="&amp;Y221,$D$15:$D$2015,"&lt;"&amp;Y222))</f>
        <v/>
      </c>
      <c r="AA221" s="14" t="n"/>
      <c r="AB221" s="16" t="n"/>
      <c r="AC221" s="124">
        <f>IF(AB221="","",COUNTIFS($C$15:$C$2015,AB$13,$D$15:$D$2015,"&gt;="&amp;AB221,$D$15:$D$2015,"&lt;"&amp;AB222))</f>
        <v/>
      </c>
      <c r="AD221" s="14" t="n"/>
    </row>
    <row r="222">
      <c r="A222" s="56" t="n"/>
      <c r="B222" s="57" t="n"/>
      <c r="C222" s="59" t="n"/>
      <c r="E222" s="16" t="n"/>
      <c r="F222" s="13" t="n"/>
      <c r="G222" s="16" t="n"/>
      <c r="H222" s="124">
        <f>IF(G222="","",COUNTIFS($C$15:$C$2015,G$13,$D$15:$D$2015,"&gt;="&amp;G222,$D$15:$D$2015,"&lt;"&amp;G223))</f>
        <v/>
      </c>
      <c r="I222" s="14" t="n"/>
      <c r="J222" s="16" t="n"/>
      <c r="K222" s="124">
        <f>IF(J222="","",COUNTIFS($C$15:$C$2015,J$13,$D$15:$D$2015,"&gt;="&amp;J222,$D$15:$D$2015,"&lt;"&amp;J223))</f>
        <v/>
      </c>
      <c r="L222" s="14" t="n"/>
      <c r="M222" s="16" t="n"/>
      <c r="N222" s="124">
        <f>IF(M222="","",COUNTIFS($C$15:$C$2015,M$13,$D$15:$D$2015,"&gt;="&amp;M222,$D$15:$D$2015,"&lt;"&amp;M223))</f>
        <v/>
      </c>
      <c r="O222" s="14" t="n"/>
      <c r="P222" s="16" t="n"/>
      <c r="Q222" s="124">
        <f>IF(P222="","",COUNTIFS($C$15:$C$2015,P$13,$D$15:$D$2015,"&gt;="&amp;P222,$D$15:$D$2015,"&lt;"&amp;P223))</f>
        <v/>
      </c>
      <c r="R222" s="14" t="n"/>
      <c r="S222" s="16" t="n"/>
      <c r="T222" s="124">
        <f>IF(S222="","",COUNTIFS($C$15:$C$2015,S$13,$D$15:$D$2015,"&gt;="&amp;S222,$D$15:$D$2015,"&lt;"&amp;S223))</f>
        <v/>
      </c>
      <c r="U222" s="14" t="n"/>
      <c r="V222" s="16" t="n"/>
      <c r="W222" s="124">
        <f>IF(V222="","",COUNTIFS($C$15:$C$2015,V$13,$D$15:$D$2015,"&gt;="&amp;V222,$D$15:$D$2015,"&lt;"&amp;V223))</f>
        <v/>
      </c>
      <c r="X222" s="14" t="n"/>
      <c r="Y222" s="16" t="n"/>
      <c r="Z222" s="124">
        <f>IF(Y222="","",COUNTIFS($C$15:$C$2015,Y$13,$D$15:$D$2015,"&gt;="&amp;Y222,$D$15:$D$2015,"&lt;"&amp;Y223))</f>
        <v/>
      </c>
      <c r="AA222" s="14" t="n"/>
      <c r="AB222" s="16" t="n"/>
      <c r="AC222" s="124">
        <f>IF(AB222="","",COUNTIFS($C$15:$C$2015,AB$13,$D$15:$D$2015,"&gt;="&amp;AB222,$D$15:$D$2015,"&lt;"&amp;AB223))</f>
        <v/>
      </c>
      <c r="AD222" s="14" t="n"/>
    </row>
    <row r="223">
      <c r="A223" s="58" t="n"/>
      <c r="B223" s="59" t="n"/>
      <c r="C223" s="59" t="n"/>
      <c r="E223" s="16" t="n"/>
      <c r="F223" s="13" t="n"/>
      <c r="G223" s="16" t="n"/>
      <c r="H223" s="124">
        <f>IF(G223="","",COUNTIFS($C$15:$C$2015,G$13,$D$15:$D$2015,"&gt;="&amp;G223,$D$15:$D$2015,"&lt;"&amp;G224))</f>
        <v/>
      </c>
      <c r="I223" s="14" t="n"/>
      <c r="J223" s="16" t="n"/>
      <c r="K223" s="124">
        <f>IF(J223="","",COUNTIFS($C$15:$C$2015,J$13,$D$15:$D$2015,"&gt;="&amp;J223,$D$15:$D$2015,"&lt;"&amp;J224))</f>
        <v/>
      </c>
      <c r="L223" s="14" t="n"/>
      <c r="M223" s="16" t="n"/>
      <c r="N223" s="124">
        <f>IF(M223="","",COUNTIFS($C$15:$C$2015,M$13,$D$15:$D$2015,"&gt;="&amp;M223,$D$15:$D$2015,"&lt;"&amp;M224))</f>
        <v/>
      </c>
      <c r="O223" s="14" t="n"/>
      <c r="P223" s="16" t="n"/>
      <c r="Q223" s="124">
        <f>IF(P223="","",COUNTIFS($C$15:$C$2015,P$13,$D$15:$D$2015,"&gt;="&amp;P223,$D$15:$D$2015,"&lt;"&amp;P224))</f>
        <v/>
      </c>
      <c r="R223" s="14" t="n"/>
      <c r="S223" s="16" t="n"/>
      <c r="T223" s="124">
        <f>IF(S223="","",COUNTIFS($C$15:$C$2015,S$13,$D$15:$D$2015,"&gt;="&amp;S223,$D$15:$D$2015,"&lt;"&amp;S224))</f>
        <v/>
      </c>
      <c r="U223" s="14" t="n"/>
      <c r="V223" s="16" t="n"/>
      <c r="W223" s="124">
        <f>IF(V223="","",COUNTIFS($C$15:$C$2015,V$13,$D$15:$D$2015,"&gt;="&amp;V223,$D$15:$D$2015,"&lt;"&amp;V224))</f>
        <v/>
      </c>
      <c r="X223" s="14" t="n"/>
      <c r="Y223" s="16" t="n"/>
      <c r="Z223" s="124">
        <f>IF(Y223="","",COUNTIFS($C$15:$C$2015,Y$13,$D$15:$D$2015,"&gt;="&amp;Y223,$D$15:$D$2015,"&lt;"&amp;Y224))</f>
        <v/>
      </c>
      <c r="AA223" s="14" t="n"/>
      <c r="AB223" s="16" t="n"/>
      <c r="AC223" s="124">
        <f>IF(AB223="","",COUNTIFS($C$15:$C$2015,AB$13,$D$15:$D$2015,"&gt;="&amp;AB223,$D$15:$D$2015,"&lt;"&amp;AB224))</f>
        <v/>
      </c>
      <c r="AD223" s="14" t="n"/>
    </row>
    <row r="224">
      <c r="A224" s="56" t="n"/>
      <c r="B224" s="57" t="n"/>
      <c r="C224" s="59" t="n"/>
      <c r="E224" s="16" t="n"/>
      <c r="F224" s="13" t="n"/>
      <c r="G224" s="16" t="n"/>
      <c r="H224" s="124">
        <f>IF(G224="","",COUNTIFS($C$15:$C$2015,G$13,$D$15:$D$2015,"&gt;="&amp;G224,$D$15:$D$2015,"&lt;"&amp;G225))</f>
        <v/>
      </c>
      <c r="I224" s="14" t="n"/>
      <c r="J224" s="16" t="n"/>
      <c r="K224" s="124">
        <f>IF(J224="","",COUNTIFS($C$15:$C$2015,J$13,$D$15:$D$2015,"&gt;="&amp;J224,$D$15:$D$2015,"&lt;"&amp;J225))</f>
        <v/>
      </c>
      <c r="L224" s="14" t="n"/>
      <c r="M224" s="16" t="n"/>
      <c r="N224" s="124">
        <f>IF(M224="","",COUNTIFS($C$15:$C$2015,M$13,$D$15:$D$2015,"&gt;="&amp;M224,$D$15:$D$2015,"&lt;"&amp;M225))</f>
        <v/>
      </c>
      <c r="O224" s="14" t="n"/>
      <c r="P224" s="16" t="n"/>
      <c r="Q224" s="124">
        <f>IF(P224="","",COUNTIFS($C$15:$C$2015,P$13,$D$15:$D$2015,"&gt;="&amp;P224,$D$15:$D$2015,"&lt;"&amp;P225))</f>
        <v/>
      </c>
      <c r="R224" s="14" t="n"/>
      <c r="S224" s="16" t="n"/>
      <c r="T224" s="124">
        <f>IF(S224="","",COUNTIFS($C$15:$C$2015,S$13,$D$15:$D$2015,"&gt;="&amp;S224,$D$15:$D$2015,"&lt;"&amp;S225))</f>
        <v/>
      </c>
      <c r="U224" s="14" t="n"/>
      <c r="V224" s="16" t="n"/>
      <c r="W224" s="124">
        <f>IF(V224="","",COUNTIFS($C$15:$C$2015,V$13,$D$15:$D$2015,"&gt;="&amp;V224,$D$15:$D$2015,"&lt;"&amp;V225))</f>
        <v/>
      </c>
      <c r="X224" s="14" t="n"/>
      <c r="Y224" s="16" t="n"/>
      <c r="Z224" s="124">
        <f>IF(Y224="","",COUNTIFS($C$15:$C$2015,Y$13,$D$15:$D$2015,"&gt;="&amp;Y224,$D$15:$D$2015,"&lt;"&amp;Y225))</f>
        <v/>
      </c>
      <c r="AA224" s="14" t="n"/>
      <c r="AB224" s="16" t="n"/>
      <c r="AC224" s="124">
        <f>IF(AB224="","",COUNTIFS($C$15:$C$2015,AB$13,$D$15:$D$2015,"&gt;="&amp;AB224,$D$15:$D$2015,"&lt;"&amp;AB225))</f>
        <v/>
      </c>
      <c r="AD224" s="14" t="n"/>
    </row>
    <row r="225">
      <c r="A225" s="58" t="n"/>
      <c r="B225" s="59" t="n"/>
      <c r="C225" s="59" t="n"/>
      <c r="E225" s="16" t="n"/>
      <c r="F225" s="13" t="n"/>
      <c r="G225" s="16" t="n"/>
      <c r="H225" s="124">
        <f>IF(G225="","",COUNTIFS($C$15:$C$2015,G$13,$D$15:$D$2015,"&gt;="&amp;G225,$D$15:$D$2015,"&lt;"&amp;G226))</f>
        <v/>
      </c>
      <c r="I225" s="14" t="n"/>
      <c r="J225" s="16" t="n"/>
      <c r="K225" s="124">
        <f>IF(J225="","",COUNTIFS($C$15:$C$2015,J$13,$D$15:$D$2015,"&gt;="&amp;J225,$D$15:$D$2015,"&lt;"&amp;J226))</f>
        <v/>
      </c>
      <c r="L225" s="14" t="n"/>
      <c r="M225" s="16" t="n"/>
      <c r="N225" s="124">
        <f>IF(M225="","",COUNTIFS($C$15:$C$2015,M$13,$D$15:$D$2015,"&gt;="&amp;M225,$D$15:$D$2015,"&lt;"&amp;M226))</f>
        <v/>
      </c>
      <c r="O225" s="14" t="n"/>
      <c r="P225" s="16" t="n"/>
      <c r="Q225" s="124">
        <f>IF(P225="","",COUNTIFS($C$15:$C$2015,P$13,$D$15:$D$2015,"&gt;="&amp;P225,$D$15:$D$2015,"&lt;"&amp;P226))</f>
        <v/>
      </c>
      <c r="R225" s="14" t="n"/>
      <c r="S225" s="16" t="n"/>
      <c r="T225" s="124">
        <f>IF(S225="","",COUNTIFS($C$15:$C$2015,S$13,$D$15:$D$2015,"&gt;="&amp;S225,$D$15:$D$2015,"&lt;"&amp;S226))</f>
        <v/>
      </c>
      <c r="U225" s="14" t="n"/>
      <c r="V225" s="16" t="n"/>
      <c r="W225" s="124">
        <f>IF(V225="","",COUNTIFS($C$15:$C$2015,V$13,$D$15:$D$2015,"&gt;="&amp;V225,$D$15:$D$2015,"&lt;"&amp;V226))</f>
        <v/>
      </c>
      <c r="X225" s="14" t="n"/>
      <c r="Y225" s="16" t="n"/>
      <c r="Z225" s="124">
        <f>IF(Y225="","",COUNTIFS($C$15:$C$2015,Y$13,$D$15:$D$2015,"&gt;="&amp;Y225,$D$15:$D$2015,"&lt;"&amp;Y226))</f>
        <v/>
      </c>
      <c r="AA225" s="14" t="n"/>
      <c r="AB225" s="16" t="n"/>
      <c r="AC225" s="124">
        <f>IF(AB225="","",COUNTIFS($C$15:$C$2015,AB$13,$D$15:$D$2015,"&gt;="&amp;AB225,$D$15:$D$2015,"&lt;"&amp;AB226))</f>
        <v/>
      </c>
      <c r="AD225" s="14" t="n"/>
    </row>
    <row r="226">
      <c r="A226" s="56" t="n"/>
      <c r="B226" s="57" t="n"/>
      <c r="C226" s="59" t="n"/>
      <c r="E226" s="16" t="n"/>
      <c r="F226" s="13" t="n"/>
      <c r="G226" s="16" t="n"/>
      <c r="H226" s="124">
        <f>IF(G226="","",COUNTIFS($C$15:$C$2015,G$13,$D$15:$D$2015,"&gt;="&amp;G226,$D$15:$D$2015,"&lt;"&amp;G227))</f>
        <v/>
      </c>
      <c r="I226" s="14" t="n"/>
      <c r="J226" s="16" t="n"/>
      <c r="K226" s="124">
        <f>IF(J226="","",COUNTIFS($C$15:$C$2015,J$13,$D$15:$D$2015,"&gt;="&amp;J226,$D$15:$D$2015,"&lt;"&amp;J227))</f>
        <v/>
      </c>
      <c r="L226" s="14" t="n"/>
      <c r="M226" s="16" t="n"/>
      <c r="N226" s="124">
        <f>IF(M226="","",COUNTIFS($C$15:$C$2015,M$13,$D$15:$D$2015,"&gt;="&amp;M226,$D$15:$D$2015,"&lt;"&amp;M227))</f>
        <v/>
      </c>
      <c r="O226" s="14" t="n"/>
      <c r="P226" s="16" t="n"/>
      <c r="Q226" s="124">
        <f>IF(P226="","",COUNTIFS($C$15:$C$2015,P$13,$D$15:$D$2015,"&gt;="&amp;P226,$D$15:$D$2015,"&lt;"&amp;P227))</f>
        <v/>
      </c>
      <c r="R226" s="14" t="n"/>
      <c r="S226" s="16" t="n"/>
      <c r="T226" s="124">
        <f>IF(S226="","",COUNTIFS($C$15:$C$2015,S$13,$D$15:$D$2015,"&gt;="&amp;S226,$D$15:$D$2015,"&lt;"&amp;S227))</f>
        <v/>
      </c>
      <c r="U226" s="14" t="n"/>
      <c r="V226" s="16" t="n"/>
      <c r="W226" s="124">
        <f>IF(V226="","",COUNTIFS($C$15:$C$2015,V$13,$D$15:$D$2015,"&gt;="&amp;V226,$D$15:$D$2015,"&lt;"&amp;V227))</f>
        <v/>
      </c>
      <c r="X226" s="14" t="n"/>
      <c r="Y226" s="16" t="n"/>
      <c r="Z226" s="124">
        <f>IF(Y226="","",COUNTIFS($C$15:$C$2015,Y$13,$D$15:$D$2015,"&gt;="&amp;Y226,$D$15:$D$2015,"&lt;"&amp;Y227))</f>
        <v/>
      </c>
      <c r="AA226" s="14" t="n"/>
      <c r="AB226" s="16" t="n"/>
      <c r="AC226" s="124">
        <f>IF(AB226="","",COUNTIFS($C$15:$C$2015,AB$13,$D$15:$D$2015,"&gt;="&amp;AB226,$D$15:$D$2015,"&lt;"&amp;AB227))</f>
        <v/>
      </c>
      <c r="AD226" s="14" t="n"/>
    </row>
    <row r="227">
      <c r="A227" s="58" t="n"/>
      <c r="B227" s="59" t="n"/>
      <c r="C227" s="59" t="n"/>
      <c r="E227" s="16" t="n"/>
      <c r="F227" s="13" t="n"/>
      <c r="G227" s="16" t="n"/>
      <c r="H227" s="124">
        <f>IF(G227="","",COUNTIFS($C$15:$C$2015,G$13,$D$15:$D$2015,"&gt;="&amp;G227,$D$15:$D$2015,"&lt;"&amp;G228))</f>
        <v/>
      </c>
      <c r="I227" s="14" t="n"/>
      <c r="J227" s="16" t="n"/>
      <c r="K227" s="124">
        <f>IF(J227="","",COUNTIFS($C$15:$C$2015,J$13,$D$15:$D$2015,"&gt;="&amp;J227,$D$15:$D$2015,"&lt;"&amp;J228))</f>
        <v/>
      </c>
      <c r="L227" s="14" t="n"/>
      <c r="M227" s="16" t="n"/>
      <c r="N227" s="124">
        <f>IF(M227="","",COUNTIFS($C$15:$C$2015,M$13,$D$15:$D$2015,"&gt;="&amp;M227,$D$15:$D$2015,"&lt;"&amp;M228))</f>
        <v/>
      </c>
      <c r="O227" s="14" t="n"/>
      <c r="P227" s="16" t="n"/>
      <c r="Q227" s="124">
        <f>IF(P227="","",COUNTIFS($C$15:$C$2015,P$13,$D$15:$D$2015,"&gt;="&amp;P227,$D$15:$D$2015,"&lt;"&amp;P228))</f>
        <v/>
      </c>
      <c r="R227" s="14" t="n"/>
      <c r="S227" s="16" t="n"/>
      <c r="T227" s="124">
        <f>IF(S227="","",COUNTIFS($C$15:$C$2015,S$13,$D$15:$D$2015,"&gt;="&amp;S227,$D$15:$D$2015,"&lt;"&amp;S228))</f>
        <v/>
      </c>
      <c r="U227" s="14" t="n"/>
      <c r="V227" s="16" t="n"/>
      <c r="W227" s="124">
        <f>IF(V227="","",COUNTIFS($C$15:$C$2015,V$13,$D$15:$D$2015,"&gt;="&amp;V227,$D$15:$D$2015,"&lt;"&amp;V228))</f>
        <v/>
      </c>
      <c r="X227" s="14" t="n"/>
      <c r="Y227" s="16" t="n"/>
      <c r="Z227" s="124">
        <f>IF(Y227="","",COUNTIFS($C$15:$C$2015,Y$13,$D$15:$D$2015,"&gt;="&amp;Y227,$D$15:$D$2015,"&lt;"&amp;Y228))</f>
        <v/>
      </c>
      <c r="AA227" s="14" t="n"/>
      <c r="AB227" s="16" t="n"/>
      <c r="AC227" s="124">
        <f>IF(AB227="","",COUNTIFS($C$15:$C$2015,AB$13,$D$15:$D$2015,"&gt;="&amp;AB227,$D$15:$D$2015,"&lt;"&amp;AB228))</f>
        <v/>
      </c>
      <c r="AD227" s="14" t="n"/>
    </row>
    <row r="228">
      <c r="A228" s="56" t="n"/>
      <c r="B228" s="57" t="n"/>
      <c r="C228" s="59" t="n"/>
      <c r="E228" s="16" t="n"/>
      <c r="F228" s="13" t="n"/>
      <c r="G228" s="16" t="n"/>
      <c r="H228" s="124">
        <f>IF(G228="","",COUNTIFS($C$15:$C$2015,G$13,$D$15:$D$2015,"&gt;="&amp;G228,$D$15:$D$2015,"&lt;"&amp;G229))</f>
        <v/>
      </c>
      <c r="I228" s="14" t="n"/>
      <c r="J228" s="16" t="n"/>
      <c r="K228" s="124">
        <f>IF(J228="","",COUNTIFS($C$15:$C$2015,J$13,$D$15:$D$2015,"&gt;="&amp;J228,$D$15:$D$2015,"&lt;"&amp;J229))</f>
        <v/>
      </c>
      <c r="L228" s="14" t="n"/>
      <c r="M228" s="16" t="n"/>
      <c r="N228" s="124">
        <f>IF(M228="","",COUNTIFS($C$15:$C$2015,M$13,$D$15:$D$2015,"&gt;="&amp;M228,$D$15:$D$2015,"&lt;"&amp;M229))</f>
        <v/>
      </c>
      <c r="O228" s="14" t="n"/>
      <c r="P228" s="16" t="n"/>
      <c r="Q228" s="124">
        <f>IF(P228="","",COUNTIFS($C$15:$C$2015,P$13,$D$15:$D$2015,"&gt;="&amp;P228,$D$15:$D$2015,"&lt;"&amp;P229))</f>
        <v/>
      </c>
      <c r="R228" s="14" t="n"/>
      <c r="S228" s="16" t="n"/>
      <c r="T228" s="124">
        <f>IF(S228="","",COUNTIFS($C$15:$C$2015,S$13,$D$15:$D$2015,"&gt;="&amp;S228,$D$15:$D$2015,"&lt;"&amp;S229))</f>
        <v/>
      </c>
      <c r="U228" s="14" t="n"/>
      <c r="V228" s="16" t="n"/>
      <c r="W228" s="124">
        <f>IF(V228="","",COUNTIFS($C$15:$C$2015,V$13,$D$15:$D$2015,"&gt;="&amp;V228,$D$15:$D$2015,"&lt;"&amp;V229))</f>
        <v/>
      </c>
      <c r="X228" s="14" t="n"/>
      <c r="Y228" s="16" t="n"/>
      <c r="Z228" s="124">
        <f>IF(Y228="","",COUNTIFS($C$15:$C$2015,Y$13,$D$15:$D$2015,"&gt;="&amp;Y228,$D$15:$D$2015,"&lt;"&amp;Y229))</f>
        <v/>
      </c>
      <c r="AA228" s="14" t="n"/>
      <c r="AB228" s="16" t="n"/>
      <c r="AC228" s="124">
        <f>IF(AB228="","",COUNTIFS($C$15:$C$2015,AB$13,$D$15:$D$2015,"&gt;="&amp;AB228,$D$15:$D$2015,"&lt;"&amp;AB229))</f>
        <v/>
      </c>
      <c r="AD228" s="14" t="n"/>
    </row>
    <row r="229">
      <c r="A229" s="58" t="n"/>
      <c r="B229" s="59" t="n"/>
      <c r="C229" s="59" t="n"/>
      <c r="E229" s="16" t="n"/>
      <c r="F229" s="13" t="n"/>
      <c r="G229" s="16" t="n"/>
      <c r="H229" s="124">
        <f>IF(G229="","",COUNTIFS($C$15:$C$2015,G$13,$D$15:$D$2015,"&gt;="&amp;G229,$D$15:$D$2015,"&lt;"&amp;G230))</f>
        <v/>
      </c>
      <c r="I229" s="14" t="n"/>
      <c r="J229" s="16" t="n"/>
      <c r="K229" s="124">
        <f>IF(J229="","",COUNTIFS($C$15:$C$2015,J$13,$D$15:$D$2015,"&gt;="&amp;J229,$D$15:$D$2015,"&lt;"&amp;J230))</f>
        <v/>
      </c>
      <c r="L229" s="14" t="n"/>
      <c r="M229" s="16" t="n"/>
      <c r="N229" s="124">
        <f>IF(M229="","",COUNTIFS($C$15:$C$2015,M$13,$D$15:$D$2015,"&gt;="&amp;M229,$D$15:$D$2015,"&lt;"&amp;M230))</f>
        <v/>
      </c>
      <c r="O229" s="14" t="n"/>
      <c r="P229" s="16" t="n"/>
      <c r="Q229" s="124">
        <f>IF(P229="","",COUNTIFS($C$15:$C$2015,P$13,$D$15:$D$2015,"&gt;="&amp;P229,$D$15:$D$2015,"&lt;"&amp;P230))</f>
        <v/>
      </c>
      <c r="R229" s="14" t="n"/>
      <c r="S229" s="16" t="n"/>
      <c r="T229" s="124">
        <f>IF(S229="","",COUNTIFS($C$15:$C$2015,S$13,$D$15:$D$2015,"&gt;="&amp;S229,$D$15:$D$2015,"&lt;"&amp;S230))</f>
        <v/>
      </c>
      <c r="U229" s="14" t="n"/>
      <c r="V229" s="16" t="n"/>
      <c r="W229" s="124">
        <f>IF(V229="","",COUNTIFS($C$15:$C$2015,V$13,$D$15:$D$2015,"&gt;="&amp;V229,$D$15:$D$2015,"&lt;"&amp;V230))</f>
        <v/>
      </c>
      <c r="X229" s="14" t="n"/>
      <c r="Y229" s="16" t="n"/>
      <c r="Z229" s="124">
        <f>IF(Y229="","",COUNTIFS($C$15:$C$2015,Y$13,$D$15:$D$2015,"&gt;="&amp;Y229,$D$15:$D$2015,"&lt;"&amp;Y230))</f>
        <v/>
      </c>
      <c r="AA229" s="14" t="n"/>
      <c r="AB229" s="16" t="n"/>
      <c r="AC229" s="124">
        <f>IF(AB229="","",COUNTIFS($C$15:$C$2015,AB$13,$D$15:$D$2015,"&gt;="&amp;AB229,$D$15:$D$2015,"&lt;"&amp;AB230))</f>
        <v/>
      </c>
      <c r="AD229" s="14" t="n"/>
    </row>
    <row r="230">
      <c r="A230" s="56" t="n"/>
      <c r="B230" s="57" t="n"/>
      <c r="C230" s="59" t="n"/>
      <c r="E230" s="16" t="n"/>
      <c r="F230" s="13" t="n"/>
      <c r="G230" s="16" t="n"/>
      <c r="H230" s="124">
        <f>IF(G230="","",COUNTIFS($C$15:$C$2015,G$13,$D$15:$D$2015,"&gt;="&amp;G230,$D$15:$D$2015,"&lt;"&amp;G231))</f>
        <v/>
      </c>
      <c r="I230" s="14" t="n"/>
      <c r="J230" s="16" t="n"/>
      <c r="K230" s="124">
        <f>IF(J230="","",COUNTIFS($C$15:$C$2015,J$13,$D$15:$D$2015,"&gt;="&amp;J230,$D$15:$D$2015,"&lt;"&amp;J231))</f>
        <v/>
      </c>
      <c r="L230" s="14" t="n"/>
      <c r="M230" s="16" t="n"/>
      <c r="N230" s="124">
        <f>IF(M230="","",COUNTIFS($C$15:$C$2015,M$13,$D$15:$D$2015,"&gt;="&amp;M230,$D$15:$D$2015,"&lt;"&amp;M231))</f>
        <v/>
      </c>
      <c r="O230" s="14" t="n"/>
      <c r="P230" s="16" t="n"/>
      <c r="Q230" s="124">
        <f>IF(P230="","",COUNTIFS($C$15:$C$2015,P$13,$D$15:$D$2015,"&gt;="&amp;P230,$D$15:$D$2015,"&lt;"&amp;P231))</f>
        <v/>
      </c>
      <c r="R230" s="14" t="n"/>
      <c r="S230" s="16" t="n"/>
      <c r="T230" s="124">
        <f>IF(S230="","",COUNTIFS($C$15:$C$2015,S$13,$D$15:$D$2015,"&gt;="&amp;S230,$D$15:$D$2015,"&lt;"&amp;S231))</f>
        <v/>
      </c>
      <c r="U230" s="14" t="n"/>
      <c r="V230" s="16" t="n"/>
      <c r="W230" s="124">
        <f>IF(V230="","",COUNTIFS($C$15:$C$2015,V$13,$D$15:$D$2015,"&gt;="&amp;V230,$D$15:$D$2015,"&lt;"&amp;V231))</f>
        <v/>
      </c>
      <c r="X230" s="14" t="n"/>
      <c r="Y230" s="16" t="n"/>
      <c r="Z230" s="124">
        <f>IF(Y230="","",COUNTIFS($C$15:$C$2015,Y$13,$D$15:$D$2015,"&gt;="&amp;Y230,$D$15:$D$2015,"&lt;"&amp;Y231))</f>
        <v/>
      </c>
      <c r="AA230" s="14" t="n"/>
      <c r="AB230" s="16" t="n"/>
      <c r="AC230" s="124">
        <f>IF(AB230="","",COUNTIFS($C$15:$C$2015,AB$13,$D$15:$D$2015,"&gt;="&amp;AB230,$D$15:$D$2015,"&lt;"&amp;AB231))</f>
        <v/>
      </c>
      <c r="AD230" s="14" t="n"/>
    </row>
    <row r="231">
      <c r="A231" s="58" t="n"/>
      <c r="B231" s="59" t="n"/>
      <c r="C231" s="59" t="n"/>
      <c r="E231" s="16" t="n"/>
      <c r="F231" s="13" t="n"/>
      <c r="G231" s="16" t="n"/>
      <c r="H231" s="124">
        <f>IF(G231="","",COUNTIFS($C$15:$C$2015,G$13,$D$15:$D$2015,"&gt;="&amp;G231,$D$15:$D$2015,"&lt;"&amp;G232))</f>
        <v/>
      </c>
      <c r="I231" s="14" t="n"/>
      <c r="J231" s="16" t="n"/>
      <c r="K231" s="124">
        <f>IF(J231="","",COUNTIFS($C$15:$C$2015,J$13,$D$15:$D$2015,"&gt;="&amp;J231,$D$15:$D$2015,"&lt;"&amp;J232))</f>
        <v/>
      </c>
      <c r="L231" s="14" t="n"/>
      <c r="M231" s="16" t="n"/>
      <c r="N231" s="124">
        <f>IF(M231="","",COUNTIFS($C$15:$C$2015,M$13,$D$15:$D$2015,"&gt;="&amp;M231,$D$15:$D$2015,"&lt;"&amp;M232))</f>
        <v/>
      </c>
      <c r="O231" s="14" t="n"/>
      <c r="P231" s="16" t="n"/>
      <c r="Q231" s="124">
        <f>IF(P231="","",COUNTIFS($C$15:$C$2015,P$13,$D$15:$D$2015,"&gt;="&amp;P231,$D$15:$D$2015,"&lt;"&amp;P232))</f>
        <v/>
      </c>
      <c r="R231" s="14" t="n"/>
      <c r="S231" s="16" t="n"/>
      <c r="T231" s="124">
        <f>IF(S231="","",COUNTIFS($C$15:$C$2015,S$13,$D$15:$D$2015,"&gt;="&amp;S231,$D$15:$D$2015,"&lt;"&amp;S232))</f>
        <v/>
      </c>
      <c r="U231" s="14" t="n"/>
      <c r="V231" s="16" t="n"/>
      <c r="W231" s="124">
        <f>IF(V231="","",COUNTIFS($C$15:$C$2015,V$13,$D$15:$D$2015,"&gt;="&amp;V231,$D$15:$D$2015,"&lt;"&amp;V232))</f>
        <v/>
      </c>
      <c r="X231" s="14" t="n"/>
      <c r="Y231" s="16" t="n"/>
      <c r="Z231" s="124">
        <f>IF(Y231="","",COUNTIFS($C$15:$C$2015,Y$13,$D$15:$D$2015,"&gt;="&amp;Y231,$D$15:$D$2015,"&lt;"&amp;Y232))</f>
        <v/>
      </c>
      <c r="AA231" s="14" t="n"/>
      <c r="AB231" s="16" t="n"/>
      <c r="AC231" s="124">
        <f>IF(AB231="","",COUNTIFS($C$15:$C$2015,AB$13,$D$15:$D$2015,"&gt;="&amp;AB231,$D$15:$D$2015,"&lt;"&amp;AB232))</f>
        <v/>
      </c>
      <c r="AD231" s="14" t="n"/>
    </row>
    <row r="232">
      <c r="A232" s="56" t="n"/>
      <c r="B232" s="57" t="n"/>
      <c r="C232" s="59" t="n"/>
      <c r="E232" s="16" t="n"/>
      <c r="F232" s="13" t="n"/>
      <c r="G232" s="16" t="n"/>
      <c r="H232" s="124">
        <f>IF(G232="","",COUNTIFS($C$15:$C$2015,G$13,$D$15:$D$2015,"&gt;="&amp;G232,$D$15:$D$2015,"&lt;"&amp;G233))</f>
        <v/>
      </c>
      <c r="I232" s="14" t="n"/>
      <c r="J232" s="16" t="n"/>
      <c r="K232" s="124">
        <f>IF(J232="","",COUNTIFS($C$15:$C$2015,J$13,$D$15:$D$2015,"&gt;="&amp;J232,$D$15:$D$2015,"&lt;"&amp;J233))</f>
        <v/>
      </c>
      <c r="L232" s="14" t="n"/>
      <c r="M232" s="16" t="n"/>
      <c r="N232" s="124">
        <f>IF(M232="","",COUNTIFS($C$15:$C$2015,M$13,$D$15:$D$2015,"&gt;="&amp;M232,$D$15:$D$2015,"&lt;"&amp;M233))</f>
        <v/>
      </c>
      <c r="O232" s="14" t="n"/>
      <c r="P232" s="16" t="n"/>
      <c r="Q232" s="124">
        <f>IF(P232="","",COUNTIFS($C$15:$C$2015,P$13,$D$15:$D$2015,"&gt;="&amp;P232,$D$15:$D$2015,"&lt;"&amp;P233))</f>
        <v/>
      </c>
      <c r="R232" s="14" t="n"/>
      <c r="S232" s="16" t="n"/>
      <c r="T232" s="124">
        <f>IF(S232="","",COUNTIFS($C$15:$C$2015,S$13,$D$15:$D$2015,"&gt;="&amp;S232,$D$15:$D$2015,"&lt;"&amp;S233))</f>
        <v/>
      </c>
      <c r="U232" s="14" t="n"/>
      <c r="V232" s="16" t="n"/>
      <c r="W232" s="124">
        <f>IF(V232="","",COUNTIFS($C$15:$C$2015,V$13,$D$15:$D$2015,"&gt;="&amp;V232,$D$15:$D$2015,"&lt;"&amp;V233))</f>
        <v/>
      </c>
      <c r="X232" s="14" t="n"/>
      <c r="Y232" s="16" t="n"/>
      <c r="Z232" s="124">
        <f>IF(Y232="","",COUNTIFS($C$15:$C$2015,Y$13,$D$15:$D$2015,"&gt;="&amp;Y232,$D$15:$D$2015,"&lt;"&amp;Y233))</f>
        <v/>
      </c>
      <c r="AA232" s="14" t="n"/>
      <c r="AB232" s="16" t="n"/>
      <c r="AC232" s="124">
        <f>IF(AB232="","",COUNTIFS($C$15:$C$2015,AB$13,$D$15:$D$2015,"&gt;="&amp;AB232,$D$15:$D$2015,"&lt;"&amp;AB233))</f>
        <v/>
      </c>
      <c r="AD232" s="14" t="n"/>
    </row>
    <row r="233">
      <c r="A233" s="58" t="n"/>
      <c r="B233" s="59" t="n"/>
      <c r="C233" s="59" t="n"/>
      <c r="E233" s="16" t="n"/>
      <c r="F233" s="13" t="n"/>
      <c r="G233" s="16" t="n"/>
      <c r="H233" s="124">
        <f>IF(G233="","",COUNTIFS($C$15:$C$2015,G$13,$D$15:$D$2015,"&gt;="&amp;G233,$D$15:$D$2015,"&lt;"&amp;G234))</f>
        <v/>
      </c>
      <c r="I233" s="14" t="n"/>
      <c r="J233" s="16" t="n"/>
      <c r="K233" s="124">
        <f>IF(J233="","",COUNTIFS($C$15:$C$2015,J$13,$D$15:$D$2015,"&gt;="&amp;J233,$D$15:$D$2015,"&lt;"&amp;J234))</f>
        <v/>
      </c>
      <c r="L233" s="14" t="n"/>
      <c r="M233" s="16" t="n"/>
      <c r="N233" s="124">
        <f>IF(M233="","",COUNTIFS($C$15:$C$2015,M$13,$D$15:$D$2015,"&gt;="&amp;M233,$D$15:$D$2015,"&lt;"&amp;M234))</f>
        <v/>
      </c>
      <c r="O233" s="14" t="n"/>
      <c r="P233" s="16" t="n"/>
      <c r="Q233" s="124">
        <f>IF(P233="","",COUNTIFS($C$15:$C$2015,P$13,$D$15:$D$2015,"&gt;="&amp;P233,$D$15:$D$2015,"&lt;"&amp;P234))</f>
        <v/>
      </c>
      <c r="R233" s="14" t="n"/>
      <c r="S233" s="16" t="n"/>
      <c r="T233" s="124">
        <f>IF(S233="","",COUNTIFS($C$15:$C$2015,S$13,$D$15:$D$2015,"&gt;="&amp;S233,$D$15:$D$2015,"&lt;"&amp;S234))</f>
        <v/>
      </c>
      <c r="U233" s="14" t="n"/>
      <c r="V233" s="16" t="n"/>
      <c r="W233" s="124">
        <f>IF(V233="","",COUNTIFS($C$15:$C$2015,V$13,$D$15:$D$2015,"&gt;="&amp;V233,$D$15:$D$2015,"&lt;"&amp;V234))</f>
        <v/>
      </c>
      <c r="X233" s="14" t="n"/>
      <c r="Y233" s="16" t="n"/>
      <c r="Z233" s="124">
        <f>IF(Y233="","",COUNTIFS($C$15:$C$2015,Y$13,$D$15:$D$2015,"&gt;="&amp;Y233,$D$15:$D$2015,"&lt;"&amp;Y234))</f>
        <v/>
      </c>
      <c r="AA233" s="14" t="n"/>
      <c r="AB233" s="16" t="n"/>
      <c r="AC233" s="124">
        <f>IF(AB233="","",COUNTIFS($C$15:$C$2015,AB$13,$D$15:$D$2015,"&gt;="&amp;AB233,$D$15:$D$2015,"&lt;"&amp;AB234))</f>
        <v/>
      </c>
      <c r="AD233" s="14" t="n"/>
    </row>
    <row r="234">
      <c r="A234" s="56" t="n"/>
      <c r="B234" s="57" t="n"/>
      <c r="C234" s="59" t="n"/>
      <c r="E234" s="16" t="n"/>
      <c r="F234" s="13" t="n"/>
      <c r="G234" s="16" t="n"/>
      <c r="H234" s="124">
        <f>IF(G234="","",COUNTIFS($C$15:$C$2015,G$13,$D$15:$D$2015,"&gt;="&amp;G234,$D$15:$D$2015,"&lt;"&amp;G235))</f>
        <v/>
      </c>
      <c r="I234" s="14" t="n"/>
      <c r="J234" s="16" t="n"/>
      <c r="K234" s="124">
        <f>IF(J234="","",COUNTIFS($C$15:$C$2015,J$13,$D$15:$D$2015,"&gt;="&amp;J234,$D$15:$D$2015,"&lt;"&amp;J235))</f>
        <v/>
      </c>
      <c r="L234" s="14" t="n"/>
      <c r="M234" s="16" t="n"/>
      <c r="N234" s="124">
        <f>IF(M234="","",COUNTIFS($C$15:$C$2015,M$13,$D$15:$D$2015,"&gt;="&amp;M234,$D$15:$D$2015,"&lt;"&amp;M235))</f>
        <v/>
      </c>
      <c r="O234" s="14" t="n"/>
      <c r="P234" s="16" t="n"/>
      <c r="Q234" s="124">
        <f>IF(P234="","",COUNTIFS($C$15:$C$2015,P$13,$D$15:$D$2015,"&gt;="&amp;P234,$D$15:$D$2015,"&lt;"&amp;P235))</f>
        <v/>
      </c>
      <c r="R234" s="14" t="n"/>
      <c r="S234" s="16" t="n"/>
      <c r="T234" s="124">
        <f>IF(S234="","",COUNTIFS($C$15:$C$2015,S$13,$D$15:$D$2015,"&gt;="&amp;S234,$D$15:$D$2015,"&lt;"&amp;S235))</f>
        <v/>
      </c>
      <c r="U234" s="14" t="n"/>
      <c r="V234" s="16" t="n"/>
      <c r="W234" s="124">
        <f>IF(V234="","",COUNTIFS($C$15:$C$2015,V$13,$D$15:$D$2015,"&gt;="&amp;V234,$D$15:$D$2015,"&lt;"&amp;V235))</f>
        <v/>
      </c>
      <c r="X234" s="14" t="n"/>
      <c r="Y234" s="16" t="n"/>
      <c r="Z234" s="124">
        <f>IF(Y234="","",COUNTIFS($C$15:$C$2015,Y$13,$D$15:$D$2015,"&gt;="&amp;Y234,$D$15:$D$2015,"&lt;"&amp;Y235))</f>
        <v/>
      </c>
      <c r="AA234" s="14" t="n"/>
      <c r="AB234" s="16" t="n"/>
      <c r="AC234" s="124">
        <f>IF(AB234="","",COUNTIFS($C$15:$C$2015,AB$13,$D$15:$D$2015,"&gt;="&amp;AB234,$D$15:$D$2015,"&lt;"&amp;AB235))</f>
        <v/>
      </c>
      <c r="AD234" s="14" t="n"/>
    </row>
    <row r="235">
      <c r="A235" s="58" t="n"/>
      <c r="B235" s="59" t="n"/>
      <c r="C235" s="59" t="n"/>
      <c r="E235" s="16" t="n"/>
      <c r="F235" s="13" t="n"/>
      <c r="G235" s="16" t="n"/>
      <c r="H235" s="124">
        <f>IF(G235="","",COUNTIFS($C$15:$C$2015,G$13,$D$15:$D$2015,"&gt;="&amp;G235,$D$15:$D$2015,"&lt;"&amp;G236))</f>
        <v/>
      </c>
      <c r="I235" s="14" t="n"/>
      <c r="J235" s="16" t="n"/>
      <c r="K235" s="124">
        <f>IF(J235="","",COUNTIFS($C$15:$C$2015,J$13,$D$15:$D$2015,"&gt;="&amp;J235,$D$15:$D$2015,"&lt;"&amp;J236))</f>
        <v/>
      </c>
      <c r="L235" s="14" t="n"/>
      <c r="M235" s="16" t="n"/>
      <c r="N235" s="124">
        <f>IF(M235="","",COUNTIFS($C$15:$C$2015,M$13,$D$15:$D$2015,"&gt;="&amp;M235,$D$15:$D$2015,"&lt;"&amp;M236))</f>
        <v/>
      </c>
      <c r="O235" s="14" t="n"/>
      <c r="P235" s="16" t="n"/>
      <c r="Q235" s="124">
        <f>IF(P235="","",COUNTIFS($C$15:$C$2015,P$13,$D$15:$D$2015,"&gt;="&amp;P235,$D$15:$D$2015,"&lt;"&amp;P236))</f>
        <v/>
      </c>
      <c r="R235" s="14" t="n"/>
      <c r="S235" s="16" t="n"/>
      <c r="T235" s="124">
        <f>IF(S235="","",COUNTIFS($C$15:$C$2015,S$13,$D$15:$D$2015,"&gt;="&amp;S235,$D$15:$D$2015,"&lt;"&amp;S236))</f>
        <v/>
      </c>
      <c r="U235" s="14" t="n"/>
      <c r="V235" s="16" t="n"/>
      <c r="W235" s="124">
        <f>IF(V235="","",COUNTIFS($C$15:$C$2015,V$13,$D$15:$D$2015,"&gt;="&amp;V235,$D$15:$D$2015,"&lt;"&amp;V236))</f>
        <v/>
      </c>
      <c r="X235" s="14" t="n"/>
      <c r="Y235" s="16" t="n"/>
      <c r="Z235" s="124">
        <f>IF(Y235="","",COUNTIFS($C$15:$C$2015,Y$13,$D$15:$D$2015,"&gt;="&amp;Y235,$D$15:$D$2015,"&lt;"&amp;Y236))</f>
        <v/>
      </c>
      <c r="AA235" s="14" t="n"/>
      <c r="AB235" s="16" t="n"/>
      <c r="AC235" s="124">
        <f>IF(AB235="","",COUNTIFS($C$15:$C$2015,AB$13,$D$15:$D$2015,"&gt;="&amp;AB235,$D$15:$D$2015,"&lt;"&amp;AB236))</f>
        <v/>
      </c>
      <c r="AD235" s="14" t="n"/>
    </row>
    <row r="236">
      <c r="A236" s="56" t="n"/>
      <c r="B236" s="57" t="n"/>
      <c r="C236" s="59" t="n"/>
      <c r="E236" s="16" t="n"/>
      <c r="F236" s="13" t="n"/>
      <c r="G236" s="16" t="n"/>
      <c r="H236" s="124">
        <f>IF(G236="","",COUNTIFS($C$15:$C$2015,G$13,$D$15:$D$2015,"&gt;="&amp;G236,$D$15:$D$2015,"&lt;"&amp;G237))</f>
        <v/>
      </c>
      <c r="I236" s="14" t="n"/>
      <c r="J236" s="16" t="n"/>
      <c r="K236" s="124">
        <f>IF(J236="","",COUNTIFS($C$15:$C$2015,J$13,$D$15:$D$2015,"&gt;="&amp;J236,$D$15:$D$2015,"&lt;"&amp;J237))</f>
        <v/>
      </c>
      <c r="L236" s="14" t="n"/>
      <c r="M236" s="16" t="n"/>
      <c r="N236" s="124">
        <f>IF(M236="","",COUNTIFS($C$15:$C$2015,M$13,$D$15:$D$2015,"&gt;="&amp;M236,$D$15:$D$2015,"&lt;"&amp;M237))</f>
        <v/>
      </c>
      <c r="O236" s="14" t="n"/>
      <c r="P236" s="16" t="n"/>
      <c r="Q236" s="124">
        <f>IF(P236="","",COUNTIFS($C$15:$C$2015,P$13,$D$15:$D$2015,"&gt;="&amp;P236,$D$15:$D$2015,"&lt;"&amp;P237))</f>
        <v/>
      </c>
      <c r="R236" s="14" t="n"/>
      <c r="S236" s="16" t="n"/>
      <c r="T236" s="124">
        <f>IF(S236="","",COUNTIFS($C$15:$C$2015,S$13,$D$15:$D$2015,"&gt;="&amp;S236,$D$15:$D$2015,"&lt;"&amp;S237))</f>
        <v/>
      </c>
      <c r="U236" s="14" t="n"/>
      <c r="V236" s="16" t="n"/>
      <c r="W236" s="124">
        <f>IF(V236="","",COUNTIFS($C$15:$C$2015,V$13,$D$15:$D$2015,"&gt;="&amp;V236,$D$15:$D$2015,"&lt;"&amp;V237))</f>
        <v/>
      </c>
      <c r="X236" s="14" t="n"/>
      <c r="Y236" s="16" t="n"/>
      <c r="Z236" s="124">
        <f>IF(Y236="","",COUNTIFS($C$15:$C$2015,Y$13,$D$15:$D$2015,"&gt;="&amp;Y236,$D$15:$D$2015,"&lt;"&amp;Y237))</f>
        <v/>
      </c>
      <c r="AA236" s="14" t="n"/>
      <c r="AB236" s="16" t="n"/>
      <c r="AC236" s="124">
        <f>IF(AB236="","",COUNTIFS($C$15:$C$2015,AB$13,$D$15:$D$2015,"&gt;="&amp;AB236,$D$15:$D$2015,"&lt;"&amp;AB237))</f>
        <v/>
      </c>
      <c r="AD236" s="14" t="n"/>
    </row>
    <row r="237">
      <c r="A237" s="58" t="n"/>
      <c r="B237" s="59" t="n"/>
      <c r="C237" s="59" t="n"/>
      <c r="E237" s="16" t="n"/>
      <c r="F237" s="13" t="n"/>
      <c r="G237" s="16" t="n"/>
      <c r="H237" s="124">
        <f>IF(G237="","",COUNTIFS($C$15:$C$2015,G$13,$D$15:$D$2015,"&gt;="&amp;G237,$D$15:$D$2015,"&lt;"&amp;G238))</f>
        <v/>
      </c>
      <c r="I237" s="14" t="n"/>
      <c r="J237" s="16" t="n"/>
      <c r="K237" s="124">
        <f>IF(J237="","",COUNTIFS($C$15:$C$2015,J$13,$D$15:$D$2015,"&gt;="&amp;J237,$D$15:$D$2015,"&lt;"&amp;J238))</f>
        <v/>
      </c>
      <c r="L237" s="14" t="n"/>
      <c r="M237" s="16" t="n"/>
      <c r="N237" s="124">
        <f>IF(M237="","",COUNTIFS($C$15:$C$2015,M$13,$D$15:$D$2015,"&gt;="&amp;M237,$D$15:$D$2015,"&lt;"&amp;M238))</f>
        <v/>
      </c>
      <c r="O237" s="14" t="n"/>
      <c r="P237" s="16" t="n"/>
      <c r="Q237" s="124">
        <f>IF(P237="","",COUNTIFS($C$15:$C$2015,P$13,$D$15:$D$2015,"&gt;="&amp;P237,$D$15:$D$2015,"&lt;"&amp;P238))</f>
        <v/>
      </c>
      <c r="R237" s="14" t="n"/>
      <c r="S237" s="16" t="n"/>
      <c r="T237" s="124">
        <f>IF(S237="","",COUNTIFS($C$15:$C$2015,S$13,$D$15:$D$2015,"&gt;="&amp;S237,$D$15:$D$2015,"&lt;"&amp;S238))</f>
        <v/>
      </c>
      <c r="U237" s="14" t="n"/>
      <c r="V237" s="16" t="n"/>
      <c r="W237" s="124">
        <f>IF(V237="","",COUNTIFS($C$15:$C$2015,V$13,$D$15:$D$2015,"&gt;="&amp;V237,$D$15:$D$2015,"&lt;"&amp;V238))</f>
        <v/>
      </c>
      <c r="X237" s="14" t="n"/>
      <c r="Y237" s="16" t="n"/>
      <c r="Z237" s="124">
        <f>IF(Y237="","",COUNTIFS($C$15:$C$2015,Y$13,$D$15:$D$2015,"&gt;="&amp;Y237,$D$15:$D$2015,"&lt;"&amp;Y238))</f>
        <v/>
      </c>
      <c r="AA237" s="14" t="n"/>
      <c r="AB237" s="16" t="n"/>
      <c r="AC237" s="124">
        <f>IF(AB237="","",COUNTIFS($C$15:$C$2015,AB$13,$D$15:$D$2015,"&gt;="&amp;AB237,$D$15:$D$2015,"&lt;"&amp;AB238))</f>
        <v/>
      </c>
      <c r="AD237" s="14" t="n"/>
    </row>
    <row r="238">
      <c r="A238" s="56" t="n"/>
      <c r="B238" s="57" t="n"/>
      <c r="C238" s="59" t="n"/>
      <c r="E238" s="16" t="n"/>
      <c r="F238" s="13" t="n"/>
      <c r="G238" s="16" t="n"/>
      <c r="H238" s="124">
        <f>IF(G238="","",COUNTIFS($C$15:$C$2015,G$13,$D$15:$D$2015,"&gt;="&amp;G238,$D$15:$D$2015,"&lt;"&amp;G239))</f>
        <v/>
      </c>
      <c r="I238" s="14" t="n"/>
      <c r="J238" s="16" t="n"/>
      <c r="K238" s="124">
        <f>IF(J238="","",COUNTIFS($C$15:$C$2015,J$13,$D$15:$D$2015,"&gt;="&amp;J238,$D$15:$D$2015,"&lt;"&amp;J239))</f>
        <v/>
      </c>
      <c r="L238" s="14" t="n"/>
      <c r="M238" s="16" t="n"/>
      <c r="N238" s="124">
        <f>IF(M238="","",COUNTIFS($C$15:$C$2015,M$13,$D$15:$D$2015,"&gt;="&amp;M238,$D$15:$D$2015,"&lt;"&amp;M239))</f>
        <v/>
      </c>
      <c r="O238" s="14" t="n"/>
      <c r="P238" s="16" t="n"/>
      <c r="Q238" s="124">
        <f>IF(P238="","",COUNTIFS($C$15:$C$2015,P$13,$D$15:$D$2015,"&gt;="&amp;P238,$D$15:$D$2015,"&lt;"&amp;P239))</f>
        <v/>
      </c>
      <c r="R238" s="14" t="n"/>
      <c r="S238" s="16" t="n"/>
      <c r="T238" s="124">
        <f>IF(S238="","",COUNTIFS($C$15:$C$2015,S$13,$D$15:$D$2015,"&gt;="&amp;S238,$D$15:$D$2015,"&lt;"&amp;S239))</f>
        <v/>
      </c>
      <c r="U238" s="14" t="n"/>
      <c r="V238" s="16" t="n"/>
      <c r="W238" s="124">
        <f>IF(V238="","",COUNTIFS($C$15:$C$2015,V$13,$D$15:$D$2015,"&gt;="&amp;V238,$D$15:$D$2015,"&lt;"&amp;V239))</f>
        <v/>
      </c>
      <c r="X238" s="14" t="n"/>
      <c r="Y238" s="16" t="n"/>
      <c r="Z238" s="124">
        <f>IF(Y238="","",COUNTIFS($C$15:$C$2015,Y$13,$D$15:$D$2015,"&gt;="&amp;Y238,$D$15:$D$2015,"&lt;"&amp;Y239))</f>
        <v/>
      </c>
      <c r="AA238" s="14" t="n"/>
      <c r="AB238" s="16" t="n"/>
      <c r="AC238" s="124">
        <f>IF(AB238="","",COUNTIFS($C$15:$C$2015,AB$13,$D$15:$D$2015,"&gt;="&amp;AB238,$D$15:$D$2015,"&lt;"&amp;AB239))</f>
        <v/>
      </c>
      <c r="AD238" s="14" t="n"/>
    </row>
    <row r="239">
      <c r="A239" s="58" t="n"/>
      <c r="B239" s="59" t="n"/>
      <c r="C239" s="59" t="n"/>
      <c r="E239" s="16" t="n"/>
      <c r="F239" s="13" t="n"/>
      <c r="G239" s="16" t="n"/>
      <c r="H239" s="124">
        <f>IF(G239="","",COUNTIFS($C$15:$C$2015,G$13,$D$15:$D$2015,"&gt;="&amp;G239,$D$15:$D$2015,"&lt;"&amp;G240))</f>
        <v/>
      </c>
      <c r="I239" s="14" t="n"/>
      <c r="J239" s="16" t="n"/>
      <c r="K239" s="124">
        <f>IF(J239="","",COUNTIFS($C$15:$C$2015,J$13,$D$15:$D$2015,"&gt;="&amp;J239,$D$15:$D$2015,"&lt;"&amp;J240))</f>
        <v/>
      </c>
      <c r="L239" s="14" t="n"/>
      <c r="M239" s="16" t="n"/>
      <c r="N239" s="124">
        <f>IF(M239="","",COUNTIFS($C$15:$C$2015,M$13,$D$15:$D$2015,"&gt;="&amp;M239,$D$15:$D$2015,"&lt;"&amp;M240))</f>
        <v/>
      </c>
      <c r="O239" s="14" t="n"/>
      <c r="P239" s="16" t="n"/>
      <c r="Q239" s="124">
        <f>IF(P239="","",COUNTIFS($C$15:$C$2015,P$13,$D$15:$D$2015,"&gt;="&amp;P239,$D$15:$D$2015,"&lt;"&amp;P240))</f>
        <v/>
      </c>
      <c r="R239" s="14" t="n"/>
      <c r="S239" s="16" t="n"/>
      <c r="T239" s="124">
        <f>IF(S239="","",COUNTIFS($C$15:$C$2015,S$13,$D$15:$D$2015,"&gt;="&amp;S239,$D$15:$D$2015,"&lt;"&amp;S240))</f>
        <v/>
      </c>
      <c r="U239" s="14" t="n"/>
      <c r="V239" s="16" t="n"/>
      <c r="W239" s="124">
        <f>IF(V239="","",COUNTIFS($C$15:$C$2015,V$13,$D$15:$D$2015,"&gt;="&amp;V239,$D$15:$D$2015,"&lt;"&amp;V240))</f>
        <v/>
      </c>
      <c r="X239" s="14" t="n"/>
      <c r="Y239" s="16" t="n"/>
      <c r="Z239" s="124">
        <f>IF(Y239="","",COUNTIFS($C$15:$C$2015,Y$13,$D$15:$D$2015,"&gt;="&amp;Y239,$D$15:$D$2015,"&lt;"&amp;Y240))</f>
        <v/>
      </c>
      <c r="AA239" s="14" t="n"/>
      <c r="AB239" s="16" t="n"/>
      <c r="AC239" s="124">
        <f>IF(AB239="","",COUNTIFS($C$15:$C$2015,AB$13,$D$15:$D$2015,"&gt;="&amp;AB239,$D$15:$D$2015,"&lt;"&amp;AB240))</f>
        <v/>
      </c>
      <c r="AD239" s="14" t="n"/>
    </row>
    <row r="240">
      <c r="A240" s="56" t="n"/>
      <c r="B240" s="57" t="n"/>
      <c r="C240" s="59" t="n"/>
      <c r="E240" s="16" t="n"/>
      <c r="F240" s="13" t="n"/>
      <c r="G240" s="16" t="n"/>
      <c r="H240" s="124">
        <f>IF(G240="","",COUNTIFS($C$15:$C$2015,G$13,$D$15:$D$2015,"&gt;="&amp;G240,$D$15:$D$2015,"&lt;"&amp;G241))</f>
        <v/>
      </c>
      <c r="I240" s="14" t="n"/>
      <c r="J240" s="16" t="n"/>
      <c r="K240" s="124">
        <f>IF(J240="","",COUNTIFS($C$15:$C$2015,J$13,$D$15:$D$2015,"&gt;="&amp;J240,$D$15:$D$2015,"&lt;"&amp;J241))</f>
        <v/>
      </c>
      <c r="L240" s="14" t="n"/>
      <c r="M240" s="16" t="n"/>
      <c r="N240" s="124">
        <f>IF(M240="","",COUNTIFS($C$15:$C$2015,M$13,$D$15:$D$2015,"&gt;="&amp;M240,$D$15:$D$2015,"&lt;"&amp;M241))</f>
        <v/>
      </c>
      <c r="O240" s="14" t="n"/>
      <c r="P240" s="16" t="n"/>
      <c r="Q240" s="124">
        <f>IF(P240="","",COUNTIFS($C$15:$C$2015,P$13,$D$15:$D$2015,"&gt;="&amp;P240,$D$15:$D$2015,"&lt;"&amp;P241))</f>
        <v/>
      </c>
      <c r="R240" s="14" t="n"/>
      <c r="S240" s="16" t="n"/>
      <c r="T240" s="124">
        <f>IF(S240="","",COUNTIFS($C$15:$C$2015,S$13,$D$15:$D$2015,"&gt;="&amp;S240,$D$15:$D$2015,"&lt;"&amp;S241))</f>
        <v/>
      </c>
      <c r="U240" s="14" t="n"/>
      <c r="V240" s="16" t="n"/>
      <c r="W240" s="124">
        <f>IF(V240="","",COUNTIFS($C$15:$C$2015,V$13,$D$15:$D$2015,"&gt;="&amp;V240,$D$15:$D$2015,"&lt;"&amp;V241))</f>
        <v/>
      </c>
      <c r="X240" s="14" t="n"/>
      <c r="Y240" s="16" t="n"/>
      <c r="Z240" s="124">
        <f>IF(Y240="","",COUNTIFS($C$15:$C$2015,Y$13,$D$15:$D$2015,"&gt;="&amp;Y240,$D$15:$D$2015,"&lt;"&amp;Y241))</f>
        <v/>
      </c>
      <c r="AA240" s="14" t="n"/>
      <c r="AB240" s="16" t="n"/>
      <c r="AC240" s="124">
        <f>IF(AB240="","",COUNTIFS($C$15:$C$2015,AB$13,$D$15:$D$2015,"&gt;="&amp;AB240,$D$15:$D$2015,"&lt;"&amp;AB241))</f>
        <v/>
      </c>
      <c r="AD240" s="14" t="n"/>
    </row>
    <row r="241">
      <c r="A241" s="58" t="n"/>
      <c r="B241" s="59" t="n"/>
      <c r="C241" s="59" t="n"/>
      <c r="E241" s="16" t="n"/>
      <c r="F241" s="13" t="n"/>
      <c r="G241" s="16" t="n"/>
      <c r="H241" s="124">
        <f>IF(G241="","",COUNTIFS($C$15:$C$2015,G$13,$D$15:$D$2015,"&gt;="&amp;G241,$D$15:$D$2015,"&lt;"&amp;G242))</f>
        <v/>
      </c>
      <c r="I241" s="14" t="n"/>
      <c r="J241" s="16" t="n"/>
      <c r="K241" s="124">
        <f>IF(J241="","",COUNTIFS($C$15:$C$2015,J$13,$D$15:$D$2015,"&gt;="&amp;J241,$D$15:$D$2015,"&lt;"&amp;J242))</f>
        <v/>
      </c>
      <c r="L241" s="14" t="n"/>
      <c r="M241" s="16" t="n"/>
      <c r="N241" s="124">
        <f>IF(M241="","",COUNTIFS($C$15:$C$2015,M$13,$D$15:$D$2015,"&gt;="&amp;M241,$D$15:$D$2015,"&lt;"&amp;M242))</f>
        <v/>
      </c>
      <c r="O241" s="14" t="n"/>
      <c r="P241" s="16" t="n"/>
      <c r="Q241" s="124">
        <f>IF(P241="","",COUNTIFS($C$15:$C$2015,P$13,$D$15:$D$2015,"&gt;="&amp;P241,$D$15:$D$2015,"&lt;"&amp;P242))</f>
        <v/>
      </c>
      <c r="R241" s="14" t="n"/>
      <c r="S241" s="16" t="n"/>
      <c r="T241" s="124">
        <f>IF(S241="","",COUNTIFS($C$15:$C$2015,S$13,$D$15:$D$2015,"&gt;="&amp;S241,$D$15:$D$2015,"&lt;"&amp;S242))</f>
        <v/>
      </c>
      <c r="U241" s="14" t="n"/>
      <c r="V241" s="16" t="n"/>
      <c r="W241" s="124">
        <f>IF(V241="","",COUNTIFS($C$15:$C$2015,V$13,$D$15:$D$2015,"&gt;="&amp;V241,$D$15:$D$2015,"&lt;"&amp;V242))</f>
        <v/>
      </c>
      <c r="X241" s="14" t="n"/>
      <c r="Y241" s="16" t="n"/>
      <c r="Z241" s="124">
        <f>IF(Y241="","",COUNTIFS($C$15:$C$2015,Y$13,$D$15:$D$2015,"&gt;="&amp;Y241,$D$15:$D$2015,"&lt;"&amp;Y242))</f>
        <v/>
      </c>
      <c r="AA241" s="14" t="n"/>
      <c r="AB241" s="16" t="n"/>
      <c r="AC241" s="124">
        <f>IF(AB241="","",COUNTIFS($C$15:$C$2015,AB$13,$D$15:$D$2015,"&gt;="&amp;AB241,$D$15:$D$2015,"&lt;"&amp;AB242))</f>
        <v/>
      </c>
      <c r="AD241" s="14" t="n"/>
    </row>
    <row r="242">
      <c r="A242" s="56" t="n"/>
      <c r="B242" s="57" t="n"/>
      <c r="C242" s="59" t="n"/>
      <c r="E242" s="16" t="n"/>
      <c r="F242" s="13" t="n"/>
      <c r="G242" s="16" t="n"/>
      <c r="H242" s="124">
        <f>IF(G242="","",COUNTIFS($C$15:$C$2015,G$13,$D$15:$D$2015,"&gt;="&amp;G242,$D$15:$D$2015,"&lt;"&amp;G243))</f>
        <v/>
      </c>
      <c r="I242" s="14" t="n"/>
      <c r="J242" s="16" t="n"/>
      <c r="K242" s="124">
        <f>IF(J242="","",COUNTIFS($C$15:$C$2015,J$13,$D$15:$D$2015,"&gt;="&amp;J242,$D$15:$D$2015,"&lt;"&amp;J243))</f>
        <v/>
      </c>
      <c r="L242" s="14" t="n"/>
      <c r="M242" s="16" t="n"/>
      <c r="N242" s="124">
        <f>IF(M242="","",COUNTIFS($C$15:$C$2015,M$13,$D$15:$D$2015,"&gt;="&amp;M242,$D$15:$D$2015,"&lt;"&amp;M243))</f>
        <v/>
      </c>
      <c r="O242" s="14" t="n"/>
      <c r="P242" s="16" t="n"/>
      <c r="Q242" s="124">
        <f>IF(P242="","",COUNTIFS($C$15:$C$2015,P$13,$D$15:$D$2015,"&gt;="&amp;P242,$D$15:$D$2015,"&lt;"&amp;P243))</f>
        <v/>
      </c>
      <c r="R242" s="14" t="n"/>
      <c r="S242" s="16" t="n"/>
      <c r="T242" s="124">
        <f>IF(S242="","",COUNTIFS($C$15:$C$2015,S$13,$D$15:$D$2015,"&gt;="&amp;S242,$D$15:$D$2015,"&lt;"&amp;S243))</f>
        <v/>
      </c>
      <c r="U242" s="14" t="n"/>
      <c r="V242" s="16" t="n"/>
      <c r="W242" s="124">
        <f>IF(V242="","",COUNTIFS($C$15:$C$2015,V$13,$D$15:$D$2015,"&gt;="&amp;V242,$D$15:$D$2015,"&lt;"&amp;V243))</f>
        <v/>
      </c>
      <c r="X242" s="14" t="n"/>
      <c r="Y242" s="16" t="n"/>
      <c r="Z242" s="124">
        <f>IF(Y242="","",COUNTIFS($C$15:$C$2015,Y$13,$D$15:$D$2015,"&gt;="&amp;Y242,$D$15:$D$2015,"&lt;"&amp;Y243))</f>
        <v/>
      </c>
      <c r="AA242" s="14" t="n"/>
      <c r="AB242" s="16" t="n"/>
      <c r="AC242" s="124">
        <f>IF(AB242="","",COUNTIFS($C$15:$C$2015,AB$13,$D$15:$D$2015,"&gt;="&amp;AB242,$D$15:$D$2015,"&lt;"&amp;AB243))</f>
        <v/>
      </c>
      <c r="AD242" s="14" t="n"/>
    </row>
    <row r="243">
      <c r="A243" s="58" t="n"/>
      <c r="B243" s="59" t="n"/>
      <c r="C243" s="59" t="n"/>
      <c r="E243" s="16" t="n"/>
      <c r="F243" s="13" t="n"/>
      <c r="G243" s="16" t="n"/>
      <c r="H243" s="124">
        <f>IF(G243="","",COUNTIFS($C$15:$C$2015,G$13,$D$15:$D$2015,"&gt;="&amp;G243,$D$15:$D$2015,"&lt;"&amp;G244))</f>
        <v/>
      </c>
      <c r="I243" s="14" t="n"/>
      <c r="J243" s="16" t="n"/>
      <c r="K243" s="124">
        <f>IF(J243="","",COUNTIFS($C$15:$C$2015,J$13,$D$15:$D$2015,"&gt;="&amp;J243,$D$15:$D$2015,"&lt;"&amp;J244))</f>
        <v/>
      </c>
      <c r="L243" s="14" t="n"/>
      <c r="M243" s="16" t="n"/>
      <c r="N243" s="124">
        <f>IF(M243="","",COUNTIFS($C$15:$C$2015,M$13,$D$15:$D$2015,"&gt;="&amp;M243,$D$15:$D$2015,"&lt;"&amp;M244))</f>
        <v/>
      </c>
      <c r="O243" s="14" t="n"/>
      <c r="P243" s="16" t="n"/>
      <c r="Q243" s="124">
        <f>IF(P243="","",COUNTIFS($C$15:$C$2015,P$13,$D$15:$D$2015,"&gt;="&amp;P243,$D$15:$D$2015,"&lt;"&amp;P244))</f>
        <v/>
      </c>
      <c r="R243" s="14" t="n"/>
      <c r="S243" s="16" t="n"/>
      <c r="T243" s="124">
        <f>IF(S243="","",COUNTIFS($C$15:$C$2015,S$13,$D$15:$D$2015,"&gt;="&amp;S243,$D$15:$D$2015,"&lt;"&amp;S244))</f>
        <v/>
      </c>
      <c r="U243" s="14" t="n"/>
      <c r="V243" s="16" t="n"/>
      <c r="W243" s="124">
        <f>IF(V243="","",COUNTIFS($C$15:$C$2015,V$13,$D$15:$D$2015,"&gt;="&amp;V243,$D$15:$D$2015,"&lt;"&amp;V244))</f>
        <v/>
      </c>
      <c r="X243" s="14" t="n"/>
      <c r="Y243" s="16" t="n"/>
      <c r="Z243" s="124">
        <f>IF(Y243="","",COUNTIFS($C$15:$C$2015,Y$13,$D$15:$D$2015,"&gt;="&amp;Y243,$D$15:$D$2015,"&lt;"&amp;Y244))</f>
        <v/>
      </c>
      <c r="AA243" s="14" t="n"/>
      <c r="AB243" s="16" t="n"/>
      <c r="AC243" s="124">
        <f>IF(AB243="","",COUNTIFS($C$15:$C$2015,AB$13,$D$15:$D$2015,"&gt;="&amp;AB243,$D$15:$D$2015,"&lt;"&amp;AB244))</f>
        <v/>
      </c>
      <c r="AD243" s="14" t="n"/>
    </row>
    <row r="244">
      <c r="A244" s="56" t="n"/>
      <c r="B244" s="57" t="n"/>
      <c r="C244" s="59" t="n"/>
      <c r="E244" s="16" t="n"/>
      <c r="F244" s="13" t="n"/>
      <c r="G244" s="16" t="n"/>
      <c r="H244" s="124">
        <f>IF(G244="","",COUNTIFS($C$15:$C$2015,G$13,$D$15:$D$2015,"&gt;="&amp;G244,$D$15:$D$2015,"&lt;"&amp;G245))</f>
        <v/>
      </c>
      <c r="I244" s="14" t="n"/>
      <c r="J244" s="16" t="n"/>
      <c r="K244" s="124">
        <f>IF(J244="","",COUNTIFS($C$15:$C$2015,J$13,$D$15:$D$2015,"&gt;="&amp;J244,$D$15:$D$2015,"&lt;"&amp;J245))</f>
        <v/>
      </c>
      <c r="L244" s="14" t="n"/>
      <c r="M244" s="16" t="n"/>
      <c r="N244" s="124">
        <f>IF(M244="","",COUNTIFS($C$15:$C$2015,M$13,$D$15:$D$2015,"&gt;="&amp;M244,$D$15:$D$2015,"&lt;"&amp;M245))</f>
        <v/>
      </c>
      <c r="O244" s="14" t="n"/>
      <c r="P244" s="16" t="n"/>
      <c r="Q244" s="124">
        <f>IF(P244="","",COUNTIFS($C$15:$C$2015,P$13,$D$15:$D$2015,"&gt;="&amp;P244,$D$15:$D$2015,"&lt;"&amp;P245))</f>
        <v/>
      </c>
      <c r="R244" s="14" t="n"/>
      <c r="S244" s="16" t="n"/>
      <c r="T244" s="124">
        <f>IF(S244="","",COUNTIFS($C$15:$C$2015,S$13,$D$15:$D$2015,"&gt;="&amp;S244,$D$15:$D$2015,"&lt;"&amp;S245))</f>
        <v/>
      </c>
      <c r="U244" s="14" t="n"/>
      <c r="V244" s="16" t="n"/>
      <c r="W244" s="124">
        <f>IF(V244="","",COUNTIFS($C$15:$C$2015,V$13,$D$15:$D$2015,"&gt;="&amp;V244,$D$15:$D$2015,"&lt;"&amp;V245))</f>
        <v/>
      </c>
      <c r="X244" s="14" t="n"/>
      <c r="Y244" s="16" t="n"/>
      <c r="Z244" s="124">
        <f>IF(Y244="","",COUNTIFS($C$15:$C$2015,Y$13,$D$15:$D$2015,"&gt;="&amp;Y244,$D$15:$D$2015,"&lt;"&amp;Y245))</f>
        <v/>
      </c>
      <c r="AA244" s="14" t="n"/>
      <c r="AB244" s="16" t="n"/>
      <c r="AC244" s="124">
        <f>IF(AB244="","",COUNTIFS($C$15:$C$2015,AB$13,$D$15:$D$2015,"&gt;="&amp;AB244,$D$15:$D$2015,"&lt;"&amp;AB245))</f>
        <v/>
      </c>
      <c r="AD244" s="14" t="n"/>
    </row>
    <row r="245">
      <c r="A245" s="58" t="n"/>
      <c r="B245" s="59" t="n"/>
      <c r="C245" s="59" t="n"/>
      <c r="E245" s="16" t="n"/>
      <c r="F245" s="13" t="n"/>
      <c r="G245" s="16" t="n"/>
      <c r="H245" s="124">
        <f>IF(G245="","",COUNTIFS($C$15:$C$2015,G$13,$D$15:$D$2015,"&gt;="&amp;G245,$D$15:$D$2015,"&lt;"&amp;G246))</f>
        <v/>
      </c>
      <c r="I245" s="14" t="n"/>
      <c r="J245" s="16" t="n"/>
      <c r="K245" s="124">
        <f>IF(J245="","",COUNTIFS($C$15:$C$2015,J$13,$D$15:$D$2015,"&gt;="&amp;J245,$D$15:$D$2015,"&lt;"&amp;J246))</f>
        <v/>
      </c>
      <c r="L245" s="14" t="n"/>
      <c r="M245" s="16" t="n"/>
      <c r="N245" s="124">
        <f>IF(M245="","",COUNTIFS($C$15:$C$2015,M$13,$D$15:$D$2015,"&gt;="&amp;M245,$D$15:$D$2015,"&lt;"&amp;M246))</f>
        <v/>
      </c>
      <c r="O245" s="14" t="n"/>
      <c r="P245" s="16" t="n"/>
      <c r="Q245" s="124">
        <f>IF(P245="","",COUNTIFS($C$15:$C$2015,P$13,$D$15:$D$2015,"&gt;="&amp;P245,$D$15:$D$2015,"&lt;"&amp;P246))</f>
        <v/>
      </c>
      <c r="R245" s="14" t="n"/>
      <c r="S245" s="16" t="n"/>
      <c r="T245" s="124">
        <f>IF(S245="","",COUNTIFS($C$15:$C$2015,S$13,$D$15:$D$2015,"&gt;="&amp;S245,$D$15:$D$2015,"&lt;"&amp;S246))</f>
        <v/>
      </c>
      <c r="U245" s="14" t="n"/>
      <c r="V245" s="16" t="n"/>
      <c r="W245" s="124">
        <f>IF(V245="","",COUNTIFS($C$15:$C$2015,V$13,$D$15:$D$2015,"&gt;="&amp;V245,$D$15:$D$2015,"&lt;"&amp;V246))</f>
        <v/>
      </c>
      <c r="X245" s="14" t="n"/>
      <c r="Y245" s="16" t="n"/>
      <c r="Z245" s="124">
        <f>IF(Y245="","",COUNTIFS($C$15:$C$2015,Y$13,$D$15:$D$2015,"&gt;="&amp;Y245,$D$15:$D$2015,"&lt;"&amp;Y246))</f>
        <v/>
      </c>
      <c r="AA245" s="14" t="n"/>
      <c r="AB245" s="16" t="n"/>
      <c r="AC245" s="124">
        <f>IF(AB245="","",COUNTIFS($C$15:$C$2015,AB$13,$D$15:$D$2015,"&gt;="&amp;AB245,$D$15:$D$2015,"&lt;"&amp;AB246))</f>
        <v/>
      </c>
      <c r="AD245" s="14" t="n"/>
    </row>
    <row r="246">
      <c r="A246" s="56" t="n"/>
      <c r="B246" s="57" t="n"/>
      <c r="C246" s="59" t="n"/>
      <c r="E246" s="16" t="n"/>
      <c r="F246" s="13" t="n"/>
      <c r="G246" s="16" t="n"/>
      <c r="H246" s="124">
        <f>IF(G246="","",COUNTIFS($C$15:$C$2015,G$13,$D$15:$D$2015,"&gt;="&amp;G246,$D$15:$D$2015,"&lt;"&amp;G247))</f>
        <v/>
      </c>
      <c r="I246" s="14" t="n"/>
      <c r="J246" s="16" t="n"/>
      <c r="K246" s="124">
        <f>IF(J246="","",COUNTIFS($C$15:$C$2015,J$13,$D$15:$D$2015,"&gt;="&amp;J246,$D$15:$D$2015,"&lt;"&amp;J247))</f>
        <v/>
      </c>
      <c r="L246" s="14" t="n"/>
      <c r="M246" s="16" t="n"/>
      <c r="N246" s="124">
        <f>IF(M246="","",COUNTIFS($C$15:$C$2015,M$13,$D$15:$D$2015,"&gt;="&amp;M246,$D$15:$D$2015,"&lt;"&amp;M247))</f>
        <v/>
      </c>
      <c r="O246" s="14" t="n"/>
      <c r="P246" s="16" t="n"/>
      <c r="Q246" s="124">
        <f>IF(P246="","",COUNTIFS($C$15:$C$2015,P$13,$D$15:$D$2015,"&gt;="&amp;P246,$D$15:$D$2015,"&lt;"&amp;P247))</f>
        <v/>
      </c>
      <c r="R246" s="14" t="n"/>
      <c r="S246" s="16" t="n"/>
      <c r="T246" s="124">
        <f>IF(S246="","",COUNTIFS($C$15:$C$2015,S$13,$D$15:$D$2015,"&gt;="&amp;S246,$D$15:$D$2015,"&lt;"&amp;S247))</f>
        <v/>
      </c>
      <c r="U246" s="14" t="n"/>
      <c r="V246" s="16" t="n"/>
      <c r="W246" s="124">
        <f>IF(V246="","",COUNTIFS($C$15:$C$2015,V$13,$D$15:$D$2015,"&gt;="&amp;V246,$D$15:$D$2015,"&lt;"&amp;V247))</f>
        <v/>
      </c>
      <c r="X246" s="14" t="n"/>
      <c r="Y246" s="16" t="n"/>
      <c r="Z246" s="124">
        <f>IF(Y246="","",COUNTIFS($C$15:$C$2015,Y$13,$D$15:$D$2015,"&gt;="&amp;Y246,$D$15:$D$2015,"&lt;"&amp;Y247))</f>
        <v/>
      </c>
      <c r="AA246" s="14" t="n"/>
      <c r="AB246" s="16" t="n"/>
      <c r="AC246" s="124">
        <f>IF(AB246="","",COUNTIFS($C$15:$C$2015,AB$13,$D$15:$D$2015,"&gt;="&amp;AB246,$D$15:$D$2015,"&lt;"&amp;AB247))</f>
        <v/>
      </c>
      <c r="AD246" s="14" t="n"/>
    </row>
    <row r="247">
      <c r="A247" s="58" t="n"/>
      <c r="B247" s="59" t="n"/>
      <c r="C247" s="59" t="n"/>
      <c r="E247" s="16" t="n"/>
      <c r="F247" s="13" t="n"/>
      <c r="G247" s="16" t="n"/>
      <c r="H247" s="124">
        <f>IF(G247="","",COUNTIFS($C$15:$C$2015,G$13,$D$15:$D$2015,"&gt;="&amp;G247,$D$15:$D$2015,"&lt;"&amp;G248))</f>
        <v/>
      </c>
      <c r="I247" s="14" t="n"/>
      <c r="J247" s="16" t="n"/>
      <c r="K247" s="124">
        <f>IF(J247="","",COUNTIFS($C$15:$C$2015,J$13,$D$15:$D$2015,"&gt;="&amp;J247,$D$15:$D$2015,"&lt;"&amp;J248))</f>
        <v/>
      </c>
      <c r="L247" s="14" t="n"/>
      <c r="M247" s="16" t="n"/>
      <c r="N247" s="124">
        <f>IF(M247="","",COUNTIFS($C$15:$C$2015,M$13,$D$15:$D$2015,"&gt;="&amp;M247,$D$15:$D$2015,"&lt;"&amp;M248))</f>
        <v/>
      </c>
      <c r="O247" s="14" t="n"/>
      <c r="P247" s="16" t="n"/>
      <c r="Q247" s="124">
        <f>IF(P247="","",COUNTIFS($C$15:$C$2015,P$13,$D$15:$D$2015,"&gt;="&amp;P247,$D$15:$D$2015,"&lt;"&amp;P248))</f>
        <v/>
      </c>
      <c r="R247" s="14" t="n"/>
      <c r="S247" s="16" t="n"/>
      <c r="T247" s="124">
        <f>IF(S247="","",COUNTIFS($C$15:$C$2015,S$13,$D$15:$D$2015,"&gt;="&amp;S247,$D$15:$D$2015,"&lt;"&amp;S248))</f>
        <v/>
      </c>
      <c r="U247" s="14" t="n"/>
      <c r="V247" s="16" t="n"/>
      <c r="W247" s="124">
        <f>IF(V247="","",COUNTIFS($C$15:$C$2015,V$13,$D$15:$D$2015,"&gt;="&amp;V247,$D$15:$D$2015,"&lt;"&amp;V248))</f>
        <v/>
      </c>
      <c r="X247" s="14" t="n"/>
      <c r="Y247" s="16" t="n"/>
      <c r="Z247" s="124">
        <f>IF(Y247="","",COUNTIFS($C$15:$C$2015,Y$13,$D$15:$D$2015,"&gt;="&amp;Y247,$D$15:$D$2015,"&lt;"&amp;Y248))</f>
        <v/>
      </c>
      <c r="AA247" s="14" t="n"/>
      <c r="AB247" s="16" t="n"/>
      <c r="AC247" s="124">
        <f>IF(AB247="","",COUNTIFS($C$15:$C$2015,AB$13,$D$15:$D$2015,"&gt;="&amp;AB247,$D$15:$D$2015,"&lt;"&amp;AB248))</f>
        <v/>
      </c>
      <c r="AD247" s="14" t="n"/>
    </row>
    <row r="248">
      <c r="A248" s="56" t="n"/>
      <c r="B248" s="57" t="n"/>
      <c r="C248" s="59" t="n"/>
      <c r="E248" s="16" t="n"/>
      <c r="F248" s="13" t="n"/>
      <c r="G248" s="16" t="n"/>
      <c r="H248" s="124">
        <f>IF(G248="","",COUNTIFS($C$15:$C$2015,G$13,$D$15:$D$2015,"&gt;="&amp;G248,$D$15:$D$2015,"&lt;"&amp;G249))</f>
        <v/>
      </c>
      <c r="I248" s="14" t="n"/>
      <c r="J248" s="16" t="n"/>
      <c r="K248" s="124">
        <f>IF(J248="","",COUNTIFS($C$15:$C$2015,J$13,$D$15:$D$2015,"&gt;="&amp;J248,$D$15:$D$2015,"&lt;"&amp;J249))</f>
        <v/>
      </c>
      <c r="L248" s="14" t="n"/>
      <c r="M248" s="16" t="n"/>
      <c r="N248" s="124">
        <f>IF(M248="","",COUNTIFS($C$15:$C$2015,M$13,$D$15:$D$2015,"&gt;="&amp;M248,$D$15:$D$2015,"&lt;"&amp;M249))</f>
        <v/>
      </c>
      <c r="O248" s="14" t="n"/>
      <c r="P248" s="16" t="n"/>
      <c r="Q248" s="124">
        <f>IF(P248="","",COUNTIFS($C$15:$C$2015,P$13,$D$15:$D$2015,"&gt;="&amp;P248,$D$15:$D$2015,"&lt;"&amp;P249))</f>
        <v/>
      </c>
      <c r="R248" s="14" t="n"/>
      <c r="S248" s="16" t="n"/>
      <c r="T248" s="124">
        <f>IF(S248="","",COUNTIFS($C$15:$C$2015,S$13,$D$15:$D$2015,"&gt;="&amp;S248,$D$15:$D$2015,"&lt;"&amp;S249))</f>
        <v/>
      </c>
      <c r="U248" s="14" t="n"/>
      <c r="V248" s="16" t="n"/>
      <c r="W248" s="124">
        <f>IF(V248="","",COUNTIFS($C$15:$C$2015,V$13,$D$15:$D$2015,"&gt;="&amp;V248,$D$15:$D$2015,"&lt;"&amp;V249))</f>
        <v/>
      </c>
      <c r="X248" s="14" t="n"/>
      <c r="Y248" s="16" t="n"/>
      <c r="Z248" s="124">
        <f>IF(Y248="","",COUNTIFS($C$15:$C$2015,Y$13,$D$15:$D$2015,"&gt;="&amp;Y248,$D$15:$D$2015,"&lt;"&amp;Y249))</f>
        <v/>
      </c>
      <c r="AA248" s="14" t="n"/>
      <c r="AB248" s="16" t="n"/>
      <c r="AC248" s="124">
        <f>IF(AB248="","",COUNTIFS($C$15:$C$2015,AB$13,$D$15:$D$2015,"&gt;="&amp;AB248,$D$15:$D$2015,"&lt;"&amp;AB249))</f>
        <v/>
      </c>
      <c r="AD248" s="14" t="n"/>
    </row>
    <row r="249">
      <c r="A249" s="58" t="n"/>
      <c r="B249" s="59" t="n"/>
      <c r="C249" s="59" t="n"/>
      <c r="E249" s="16" t="n"/>
      <c r="F249" s="13" t="n"/>
      <c r="G249" s="16" t="n"/>
      <c r="H249" s="124">
        <f>IF(G249="","",COUNTIFS($C$15:$C$2015,G$13,$D$15:$D$2015,"&gt;="&amp;G249,$D$15:$D$2015,"&lt;"&amp;G250))</f>
        <v/>
      </c>
      <c r="I249" s="14" t="n"/>
      <c r="J249" s="16" t="n"/>
      <c r="K249" s="124">
        <f>IF(J249="","",COUNTIFS($C$15:$C$2015,J$13,$D$15:$D$2015,"&gt;="&amp;J249,$D$15:$D$2015,"&lt;"&amp;J250))</f>
        <v/>
      </c>
      <c r="L249" s="14" t="n"/>
      <c r="M249" s="16" t="n"/>
      <c r="N249" s="124">
        <f>IF(M249="","",COUNTIFS($C$15:$C$2015,M$13,$D$15:$D$2015,"&gt;="&amp;M249,$D$15:$D$2015,"&lt;"&amp;M250))</f>
        <v/>
      </c>
      <c r="O249" s="14" t="n"/>
      <c r="P249" s="16" t="n"/>
      <c r="Q249" s="124">
        <f>IF(P249="","",COUNTIFS($C$15:$C$2015,P$13,$D$15:$D$2015,"&gt;="&amp;P249,$D$15:$D$2015,"&lt;"&amp;P250))</f>
        <v/>
      </c>
      <c r="R249" s="14" t="n"/>
      <c r="S249" s="16" t="n"/>
      <c r="T249" s="124">
        <f>IF(S249="","",COUNTIFS($C$15:$C$2015,S$13,$D$15:$D$2015,"&gt;="&amp;S249,$D$15:$D$2015,"&lt;"&amp;S250))</f>
        <v/>
      </c>
      <c r="U249" s="14" t="n"/>
      <c r="V249" s="16" t="n"/>
      <c r="W249" s="124">
        <f>IF(V249="","",COUNTIFS($C$15:$C$2015,V$13,$D$15:$D$2015,"&gt;="&amp;V249,$D$15:$D$2015,"&lt;"&amp;V250))</f>
        <v/>
      </c>
      <c r="X249" s="14" t="n"/>
      <c r="Y249" s="16" t="n"/>
      <c r="Z249" s="124">
        <f>IF(Y249="","",COUNTIFS($C$15:$C$2015,Y$13,$D$15:$D$2015,"&gt;="&amp;Y249,$D$15:$D$2015,"&lt;"&amp;Y250))</f>
        <v/>
      </c>
      <c r="AA249" s="14" t="n"/>
      <c r="AB249" s="16" t="n"/>
      <c r="AC249" s="124">
        <f>IF(AB249="","",COUNTIFS($C$15:$C$2015,AB$13,$D$15:$D$2015,"&gt;="&amp;AB249,$D$15:$D$2015,"&lt;"&amp;AB250))</f>
        <v/>
      </c>
      <c r="AD249" s="14" t="n"/>
    </row>
    <row r="250">
      <c r="A250" s="56" t="n"/>
      <c r="B250" s="57" t="n"/>
      <c r="C250" s="59" t="n"/>
      <c r="E250" s="16" t="n"/>
      <c r="F250" s="13" t="n"/>
      <c r="G250" s="16" t="n"/>
      <c r="H250" s="124">
        <f>IF(G250="","",COUNTIFS($C$15:$C$2015,G$13,$D$15:$D$2015,"&gt;="&amp;G250,$D$15:$D$2015,"&lt;"&amp;G251))</f>
        <v/>
      </c>
      <c r="I250" s="14" t="n"/>
      <c r="J250" s="16" t="n"/>
      <c r="K250" s="124">
        <f>IF(J250="","",COUNTIFS($C$15:$C$2015,J$13,$D$15:$D$2015,"&gt;="&amp;J250,$D$15:$D$2015,"&lt;"&amp;J251))</f>
        <v/>
      </c>
      <c r="L250" s="14" t="n"/>
      <c r="M250" s="16" t="n"/>
      <c r="N250" s="124">
        <f>IF(M250="","",COUNTIFS($C$15:$C$2015,M$13,$D$15:$D$2015,"&gt;="&amp;M250,$D$15:$D$2015,"&lt;"&amp;M251))</f>
        <v/>
      </c>
      <c r="O250" s="14" t="n"/>
      <c r="P250" s="16" t="n"/>
      <c r="Q250" s="124">
        <f>IF(P250="","",COUNTIFS($C$15:$C$2015,P$13,$D$15:$D$2015,"&gt;="&amp;P250,$D$15:$D$2015,"&lt;"&amp;P251))</f>
        <v/>
      </c>
      <c r="R250" s="14" t="n"/>
      <c r="S250" s="16" t="n"/>
      <c r="T250" s="124">
        <f>IF(S250="","",COUNTIFS($C$15:$C$2015,S$13,$D$15:$D$2015,"&gt;="&amp;S250,$D$15:$D$2015,"&lt;"&amp;S251))</f>
        <v/>
      </c>
      <c r="U250" s="14" t="n"/>
      <c r="V250" s="16" t="n"/>
      <c r="W250" s="124">
        <f>IF(V250="","",COUNTIFS($C$15:$C$2015,V$13,$D$15:$D$2015,"&gt;="&amp;V250,$D$15:$D$2015,"&lt;"&amp;V251))</f>
        <v/>
      </c>
      <c r="X250" s="14" t="n"/>
      <c r="Y250" s="16" t="n"/>
      <c r="Z250" s="124">
        <f>IF(Y250="","",COUNTIFS($C$15:$C$2015,Y$13,$D$15:$D$2015,"&gt;="&amp;Y250,$D$15:$D$2015,"&lt;"&amp;Y251))</f>
        <v/>
      </c>
      <c r="AA250" s="14" t="n"/>
      <c r="AB250" s="16" t="n"/>
      <c r="AC250" s="124">
        <f>IF(AB250="","",COUNTIFS($C$15:$C$2015,AB$13,$D$15:$D$2015,"&gt;="&amp;AB250,$D$15:$D$2015,"&lt;"&amp;AB251))</f>
        <v/>
      </c>
      <c r="AD250" s="14" t="n"/>
    </row>
    <row r="251">
      <c r="A251" s="58" t="n"/>
      <c r="B251" s="59" t="n"/>
      <c r="C251" s="59" t="n"/>
      <c r="E251" s="16" t="n"/>
      <c r="F251" s="13" t="n"/>
      <c r="G251" s="16" t="n"/>
      <c r="H251" s="124">
        <f>IF(G251="","",COUNTIFS($C$15:$C$2015,G$13,$D$15:$D$2015,"&gt;="&amp;G251,$D$15:$D$2015,"&lt;"&amp;G252))</f>
        <v/>
      </c>
      <c r="I251" s="14" t="n"/>
      <c r="J251" s="16" t="n"/>
      <c r="K251" s="124">
        <f>IF(J251="","",COUNTIFS($C$15:$C$2015,J$13,$D$15:$D$2015,"&gt;="&amp;J251,$D$15:$D$2015,"&lt;"&amp;J252))</f>
        <v/>
      </c>
      <c r="L251" s="14" t="n"/>
      <c r="M251" s="16" t="n"/>
      <c r="N251" s="124">
        <f>IF(M251="","",COUNTIFS($C$15:$C$2015,M$13,$D$15:$D$2015,"&gt;="&amp;M251,$D$15:$D$2015,"&lt;"&amp;M252))</f>
        <v/>
      </c>
      <c r="O251" s="14" t="n"/>
      <c r="P251" s="16" t="n"/>
      <c r="Q251" s="124">
        <f>IF(P251="","",COUNTIFS($C$15:$C$2015,P$13,$D$15:$D$2015,"&gt;="&amp;P251,$D$15:$D$2015,"&lt;"&amp;P252))</f>
        <v/>
      </c>
      <c r="R251" s="14" t="n"/>
      <c r="S251" s="16" t="n"/>
      <c r="T251" s="124">
        <f>IF(S251="","",COUNTIFS($C$15:$C$2015,S$13,$D$15:$D$2015,"&gt;="&amp;S251,$D$15:$D$2015,"&lt;"&amp;S252))</f>
        <v/>
      </c>
      <c r="U251" s="14" t="n"/>
      <c r="V251" s="16" t="n"/>
      <c r="W251" s="124">
        <f>IF(V251="","",COUNTIFS($C$15:$C$2015,V$13,$D$15:$D$2015,"&gt;="&amp;V251,$D$15:$D$2015,"&lt;"&amp;V252))</f>
        <v/>
      </c>
      <c r="X251" s="14" t="n"/>
      <c r="Y251" s="16" t="n"/>
      <c r="Z251" s="124">
        <f>IF(Y251="","",COUNTIFS($C$15:$C$2015,Y$13,$D$15:$D$2015,"&gt;="&amp;Y251,$D$15:$D$2015,"&lt;"&amp;Y252))</f>
        <v/>
      </c>
      <c r="AA251" s="14" t="n"/>
      <c r="AB251" s="16" t="n"/>
      <c r="AC251" s="124">
        <f>IF(AB251="","",COUNTIFS($C$15:$C$2015,AB$13,$D$15:$D$2015,"&gt;="&amp;AB251,$D$15:$D$2015,"&lt;"&amp;AB252))</f>
        <v/>
      </c>
      <c r="AD251" s="14" t="n"/>
    </row>
    <row r="252">
      <c r="A252" s="56" t="n"/>
      <c r="B252" s="57" t="n"/>
      <c r="C252" s="59" t="n"/>
      <c r="E252" s="16" t="n"/>
      <c r="F252" s="13" t="n"/>
      <c r="G252" s="16" t="n"/>
      <c r="H252" s="124">
        <f>IF(G252="","",COUNTIFS($C$15:$C$2015,G$13,$D$15:$D$2015,"&gt;="&amp;G252,$D$15:$D$2015,"&lt;"&amp;G253))</f>
        <v/>
      </c>
      <c r="I252" s="14" t="n"/>
      <c r="J252" s="16" t="n"/>
      <c r="K252" s="124">
        <f>IF(J252="","",COUNTIFS($C$15:$C$2015,J$13,$D$15:$D$2015,"&gt;="&amp;J252,$D$15:$D$2015,"&lt;"&amp;J253))</f>
        <v/>
      </c>
      <c r="L252" s="14" t="n"/>
      <c r="M252" s="16" t="n"/>
      <c r="N252" s="124">
        <f>IF(M252="","",COUNTIFS($C$15:$C$2015,M$13,$D$15:$D$2015,"&gt;="&amp;M252,$D$15:$D$2015,"&lt;"&amp;M253))</f>
        <v/>
      </c>
      <c r="O252" s="14" t="n"/>
      <c r="P252" s="16" t="n"/>
      <c r="Q252" s="124">
        <f>IF(P252="","",COUNTIFS($C$15:$C$2015,P$13,$D$15:$D$2015,"&gt;="&amp;P252,$D$15:$D$2015,"&lt;"&amp;P253))</f>
        <v/>
      </c>
      <c r="R252" s="14" t="n"/>
      <c r="S252" s="16" t="n"/>
      <c r="T252" s="124">
        <f>IF(S252="","",COUNTIFS($C$15:$C$2015,S$13,$D$15:$D$2015,"&gt;="&amp;S252,$D$15:$D$2015,"&lt;"&amp;S253))</f>
        <v/>
      </c>
      <c r="U252" s="14" t="n"/>
      <c r="V252" s="16" t="n"/>
      <c r="W252" s="124">
        <f>IF(V252="","",COUNTIFS($C$15:$C$2015,V$13,$D$15:$D$2015,"&gt;="&amp;V252,$D$15:$D$2015,"&lt;"&amp;V253))</f>
        <v/>
      </c>
      <c r="X252" s="14" t="n"/>
      <c r="Y252" s="16" t="n"/>
      <c r="Z252" s="124">
        <f>IF(Y252="","",COUNTIFS($C$15:$C$2015,Y$13,$D$15:$D$2015,"&gt;="&amp;Y252,$D$15:$D$2015,"&lt;"&amp;Y253))</f>
        <v/>
      </c>
      <c r="AA252" s="14" t="n"/>
      <c r="AB252" s="16" t="n"/>
      <c r="AC252" s="124">
        <f>IF(AB252="","",COUNTIFS($C$15:$C$2015,AB$13,$D$15:$D$2015,"&gt;="&amp;AB252,$D$15:$D$2015,"&lt;"&amp;AB253))</f>
        <v/>
      </c>
      <c r="AD252" s="14" t="n"/>
    </row>
    <row r="253">
      <c r="A253" s="58" t="n"/>
      <c r="B253" s="59" t="n"/>
      <c r="C253" s="59" t="n"/>
      <c r="E253" s="16" t="n"/>
      <c r="F253" s="13" t="n"/>
      <c r="G253" s="16" t="n"/>
      <c r="H253" s="124">
        <f>IF(G253="","",COUNTIFS($C$15:$C$2015,G$13,$D$15:$D$2015,"&gt;="&amp;G253,$D$15:$D$2015,"&lt;"&amp;G254))</f>
        <v/>
      </c>
      <c r="I253" s="14" t="n"/>
      <c r="J253" s="16" t="n"/>
      <c r="K253" s="124">
        <f>IF(J253="","",COUNTIFS($C$15:$C$2015,J$13,$D$15:$D$2015,"&gt;="&amp;J253,$D$15:$D$2015,"&lt;"&amp;J254))</f>
        <v/>
      </c>
      <c r="L253" s="14" t="n"/>
      <c r="M253" s="16" t="n"/>
      <c r="N253" s="124">
        <f>IF(M253="","",COUNTIFS($C$15:$C$2015,M$13,$D$15:$D$2015,"&gt;="&amp;M253,$D$15:$D$2015,"&lt;"&amp;M254))</f>
        <v/>
      </c>
      <c r="O253" s="14" t="n"/>
      <c r="P253" s="16" t="n"/>
      <c r="Q253" s="124">
        <f>IF(P253="","",COUNTIFS($C$15:$C$2015,P$13,$D$15:$D$2015,"&gt;="&amp;P253,$D$15:$D$2015,"&lt;"&amp;P254))</f>
        <v/>
      </c>
      <c r="R253" s="14" t="n"/>
      <c r="S253" s="16" t="n"/>
      <c r="T253" s="124">
        <f>IF(S253="","",COUNTIFS($C$15:$C$2015,S$13,$D$15:$D$2015,"&gt;="&amp;S253,$D$15:$D$2015,"&lt;"&amp;S254))</f>
        <v/>
      </c>
      <c r="U253" s="14" t="n"/>
      <c r="V253" s="16" t="n"/>
      <c r="W253" s="124">
        <f>IF(V253="","",COUNTIFS($C$15:$C$2015,V$13,$D$15:$D$2015,"&gt;="&amp;V253,$D$15:$D$2015,"&lt;"&amp;V254))</f>
        <v/>
      </c>
      <c r="X253" s="14" t="n"/>
      <c r="Y253" s="16" t="n"/>
      <c r="Z253" s="124">
        <f>IF(Y253="","",COUNTIFS($C$15:$C$2015,Y$13,$D$15:$D$2015,"&gt;="&amp;Y253,$D$15:$D$2015,"&lt;"&amp;Y254))</f>
        <v/>
      </c>
      <c r="AA253" s="14" t="n"/>
      <c r="AB253" s="16" t="n"/>
      <c r="AC253" s="124">
        <f>IF(AB253="","",COUNTIFS($C$15:$C$2015,AB$13,$D$15:$D$2015,"&gt;="&amp;AB253,$D$15:$D$2015,"&lt;"&amp;AB254))</f>
        <v/>
      </c>
      <c r="AD253" s="14" t="n"/>
    </row>
    <row r="254">
      <c r="A254" s="56" t="n"/>
      <c r="B254" s="57" t="n"/>
      <c r="C254" s="59" t="n"/>
      <c r="E254" s="16" t="n"/>
      <c r="F254" s="13" t="n"/>
      <c r="G254" s="16" t="n"/>
      <c r="H254" s="124">
        <f>IF(G254="","",COUNTIFS($C$15:$C$2015,G$13,$D$15:$D$2015,"&gt;="&amp;G254,$D$15:$D$2015,"&lt;"&amp;G255))</f>
        <v/>
      </c>
      <c r="I254" s="14" t="n"/>
      <c r="J254" s="16" t="n"/>
      <c r="K254" s="124">
        <f>IF(J254="","",COUNTIFS($C$15:$C$2015,J$13,$D$15:$D$2015,"&gt;="&amp;J254,$D$15:$D$2015,"&lt;"&amp;J255))</f>
        <v/>
      </c>
      <c r="L254" s="14" t="n"/>
      <c r="M254" s="16" t="n"/>
      <c r="N254" s="124">
        <f>IF(M254="","",COUNTIFS($C$15:$C$2015,M$13,$D$15:$D$2015,"&gt;="&amp;M254,$D$15:$D$2015,"&lt;"&amp;M255))</f>
        <v/>
      </c>
      <c r="O254" s="14" t="n"/>
      <c r="P254" s="16" t="n"/>
      <c r="Q254" s="124">
        <f>IF(P254="","",COUNTIFS($C$15:$C$2015,P$13,$D$15:$D$2015,"&gt;="&amp;P254,$D$15:$D$2015,"&lt;"&amp;P255))</f>
        <v/>
      </c>
      <c r="R254" s="14" t="n"/>
      <c r="S254" s="16" t="n"/>
      <c r="T254" s="124">
        <f>IF(S254="","",COUNTIFS($C$15:$C$2015,S$13,$D$15:$D$2015,"&gt;="&amp;S254,$D$15:$D$2015,"&lt;"&amp;S255))</f>
        <v/>
      </c>
      <c r="U254" s="14" t="n"/>
      <c r="V254" s="16" t="n"/>
      <c r="W254" s="124">
        <f>IF(V254="","",COUNTIFS($C$15:$C$2015,V$13,$D$15:$D$2015,"&gt;="&amp;V254,$D$15:$D$2015,"&lt;"&amp;V255))</f>
        <v/>
      </c>
      <c r="X254" s="14" t="n"/>
      <c r="Y254" s="16" t="n"/>
      <c r="Z254" s="124">
        <f>IF(Y254="","",COUNTIFS($C$15:$C$2015,Y$13,$D$15:$D$2015,"&gt;="&amp;Y254,$D$15:$D$2015,"&lt;"&amp;Y255))</f>
        <v/>
      </c>
      <c r="AA254" s="14" t="n"/>
      <c r="AB254" s="16" t="n"/>
      <c r="AC254" s="124">
        <f>IF(AB254="","",COUNTIFS($C$15:$C$2015,AB$13,$D$15:$D$2015,"&gt;="&amp;AB254,$D$15:$D$2015,"&lt;"&amp;AB255))</f>
        <v/>
      </c>
      <c r="AD254" s="14" t="n"/>
    </row>
    <row r="255">
      <c r="A255" s="58" t="n"/>
      <c r="B255" s="59" t="n"/>
      <c r="C255" s="59" t="n"/>
      <c r="E255" s="16" t="n"/>
      <c r="F255" s="13" t="n"/>
      <c r="G255" s="16" t="n"/>
      <c r="H255" s="124">
        <f>IF(G255="","",COUNTIFS($C$15:$C$2015,G$13,$D$15:$D$2015,"&gt;="&amp;G255,$D$15:$D$2015,"&lt;"&amp;G256))</f>
        <v/>
      </c>
      <c r="I255" s="14" t="n"/>
      <c r="J255" s="16" t="n"/>
      <c r="K255" s="124">
        <f>IF(J255="","",COUNTIFS($C$15:$C$2015,J$13,$D$15:$D$2015,"&gt;="&amp;J255,$D$15:$D$2015,"&lt;"&amp;J256))</f>
        <v/>
      </c>
      <c r="L255" s="14" t="n"/>
      <c r="M255" s="16" t="n"/>
      <c r="N255" s="124">
        <f>IF(M255="","",COUNTIFS($C$15:$C$2015,M$13,$D$15:$D$2015,"&gt;="&amp;M255,$D$15:$D$2015,"&lt;"&amp;M256))</f>
        <v/>
      </c>
      <c r="O255" s="14" t="n"/>
      <c r="P255" s="16" t="n"/>
      <c r="Q255" s="124">
        <f>IF(P255="","",COUNTIFS($C$15:$C$2015,P$13,$D$15:$D$2015,"&gt;="&amp;P255,$D$15:$D$2015,"&lt;"&amp;P256))</f>
        <v/>
      </c>
      <c r="R255" s="14" t="n"/>
      <c r="S255" s="16" t="n"/>
      <c r="T255" s="124">
        <f>IF(S255="","",COUNTIFS($C$15:$C$2015,S$13,$D$15:$D$2015,"&gt;="&amp;S255,$D$15:$D$2015,"&lt;"&amp;S256))</f>
        <v/>
      </c>
      <c r="U255" s="14" t="n"/>
      <c r="V255" s="16" t="n"/>
      <c r="W255" s="124">
        <f>IF(V255="","",COUNTIFS($C$15:$C$2015,V$13,$D$15:$D$2015,"&gt;="&amp;V255,$D$15:$D$2015,"&lt;"&amp;V256))</f>
        <v/>
      </c>
      <c r="X255" s="14" t="n"/>
      <c r="Y255" s="16" t="n"/>
      <c r="Z255" s="124">
        <f>IF(Y255="","",COUNTIFS($C$15:$C$2015,Y$13,$D$15:$D$2015,"&gt;="&amp;Y255,$D$15:$D$2015,"&lt;"&amp;Y256))</f>
        <v/>
      </c>
      <c r="AA255" s="14" t="n"/>
      <c r="AB255" s="16" t="n"/>
      <c r="AC255" s="124">
        <f>IF(AB255="","",COUNTIFS($C$15:$C$2015,AB$13,$D$15:$D$2015,"&gt;="&amp;AB255,$D$15:$D$2015,"&lt;"&amp;AB256))</f>
        <v/>
      </c>
      <c r="AD255" s="14" t="n"/>
    </row>
    <row r="256">
      <c r="A256" s="56" t="n"/>
      <c r="B256" s="57" t="n"/>
      <c r="C256" s="59" t="n"/>
      <c r="E256" s="16" t="n"/>
      <c r="F256" s="13" t="n"/>
      <c r="G256" s="16" t="n"/>
      <c r="H256" s="124">
        <f>IF(G256="","",COUNTIFS($C$15:$C$2015,G$13,$D$15:$D$2015,"&gt;="&amp;G256,$D$15:$D$2015,"&lt;"&amp;G257))</f>
        <v/>
      </c>
      <c r="I256" s="14" t="n"/>
      <c r="J256" s="16" t="n"/>
      <c r="K256" s="124">
        <f>IF(J256="","",COUNTIFS($C$15:$C$2015,J$13,$D$15:$D$2015,"&gt;="&amp;J256,$D$15:$D$2015,"&lt;"&amp;J257))</f>
        <v/>
      </c>
      <c r="L256" s="14" t="n"/>
      <c r="M256" s="16" t="n"/>
      <c r="N256" s="124">
        <f>IF(M256="","",COUNTIFS($C$15:$C$2015,M$13,$D$15:$D$2015,"&gt;="&amp;M256,$D$15:$D$2015,"&lt;"&amp;M257))</f>
        <v/>
      </c>
      <c r="O256" s="14" t="n"/>
      <c r="P256" s="16" t="n"/>
      <c r="Q256" s="124">
        <f>IF(P256="","",COUNTIFS($C$15:$C$2015,P$13,$D$15:$D$2015,"&gt;="&amp;P256,$D$15:$D$2015,"&lt;"&amp;P257))</f>
        <v/>
      </c>
      <c r="R256" s="14" t="n"/>
      <c r="S256" s="16" t="n"/>
      <c r="T256" s="124">
        <f>IF(S256="","",COUNTIFS($C$15:$C$2015,S$13,$D$15:$D$2015,"&gt;="&amp;S256,$D$15:$D$2015,"&lt;"&amp;S257))</f>
        <v/>
      </c>
      <c r="U256" s="14" t="n"/>
      <c r="V256" s="16" t="n"/>
      <c r="W256" s="124">
        <f>IF(V256="","",COUNTIFS($C$15:$C$2015,V$13,$D$15:$D$2015,"&gt;="&amp;V256,$D$15:$D$2015,"&lt;"&amp;V257))</f>
        <v/>
      </c>
      <c r="X256" s="14" t="n"/>
      <c r="Y256" s="16" t="n"/>
      <c r="Z256" s="124">
        <f>IF(Y256="","",COUNTIFS($C$15:$C$2015,Y$13,$D$15:$D$2015,"&gt;="&amp;Y256,$D$15:$D$2015,"&lt;"&amp;Y257))</f>
        <v/>
      </c>
      <c r="AA256" s="14" t="n"/>
      <c r="AB256" s="16" t="n"/>
      <c r="AC256" s="124">
        <f>IF(AB256="","",COUNTIFS($C$15:$C$2015,AB$13,$D$15:$D$2015,"&gt;="&amp;AB256,$D$15:$D$2015,"&lt;"&amp;AB257))</f>
        <v/>
      </c>
      <c r="AD256" s="14" t="n"/>
    </row>
    <row r="257">
      <c r="A257" s="58" t="n"/>
      <c r="B257" s="59" t="n"/>
      <c r="C257" s="59" t="n"/>
      <c r="E257" s="16" t="n"/>
      <c r="F257" s="13" t="n"/>
      <c r="G257" s="16" t="n"/>
      <c r="H257" s="124">
        <f>IF(G257="","",COUNTIFS($C$15:$C$2015,G$13,$D$15:$D$2015,"&gt;="&amp;G257,$D$15:$D$2015,"&lt;"&amp;G258))</f>
        <v/>
      </c>
      <c r="I257" s="14" t="n"/>
      <c r="J257" s="16" t="n"/>
      <c r="K257" s="124">
        <f>IF(J257="","",COUNTIFS($C$15:$C$2015,J$13,$D$15:$D$2015,"&gt;="&amp;J257,$D$15:$D$2015,"&lt;"&amp;J258))</f>
        <v/>
      </c>
      <c r="L257" s="14" t="n"/>
      <c r="M257" s="16" t="n"/>
      <c r="N257" s="124">
        <f>IF(M257="","",COUNTIFS($C$15:$C$2015,M$13,$D$15:$D$2015,"&gt;="&amp;M257,$D$15:$D$2015,"&lt;"&amp;M258))</f>
        <v/>
      </c>
      <c r="O257" s="14" t="n"/>
      <c r="P257" s="16" t="n"/>
      <c r="Q257" s="124">
        <f>IF(P257="","",COUNTIFS($C$15:$C$2015,P$13,$D$15:$D$2015,"&gt;="&amp;P257,$D$15:$D$2015,"&lt;"&amp;P258))</f>
        <v/>
      </c>
      <c r="R257" s="14" t="n"/>
      <c r="S257" s="16" t="n"/>
      <c r="T257" s="124">
        <f>IF(S257="","",COUNTIFS($C$15:$C$2015,S$13,$D$15:$D$2015,"&gt;="&amp;S257,$D$15:$D$2015,"&lt;"&amp;S258))</f>
        <v/>
      </c>
      <c r="U257" s="14" t="n"/>
      <c r="V257" s="16" t="n"/>
      <c r="W257" s="124">
        <f>IF(V257="","",COUNTIFS($C$15:$C$2015,V$13,$D$15:$D$2015,"&gt;="&amp;V257,$D$15:$D$2015,"&lt;"&amp;V258))</f>
        <v/>
      </c>
      <c r="X257" s="14" t="n"/>
      <c r="Y257" s="16" t="n"/>
      <c r="Z257" s="124">
        <f>IF(Y257="","",COUNTIFS($C$15:$C$2015,Y$13,$D$15:$D$2015,"&gt;="&amp;Y257,$D$15:$D$2015,"&lt;"&amp;Y258))</f>
        <v/>
      </c>
      <c r="AA257" s="14" t="n"/>
      <c r="AB257" s="16" t="n"/>
      <c r="AC257" s="124">
        <f>IF(AB257="","",COUNTIFS($C$15:$C$2015,AB$13,$D$15:$D$2015,"&gt;="&amp;AB257,$D$15:$D$2015,"&lt;"&amp;AB258))</f>
        <v/>
      </c>
      <c r="AD257" s="14" t="n"/>
    </row>
    <row r="258">
      <c r="A258" s="56" t="n"/>
      <c r="B258" s="57" t="n"/>
      <c r="C258" s="59" t="n"/>
      <c r="E258" s="16" t="n"/>
      <c r="F258" s="13" t="n"/>
      <c r="G258" s="16" t="n"/>
      <c r="H258" s="124">
        <f>IF(G258="","",COUNTIFS($C$15:$C$2015,G$13,$D$15:$D$2015,"&gt;="&amp;G258,$D$15:$D$2015,"&lt;"&amp;G259))</f>
        <v/>
      </c>
      <c r="I258" s="14" t="n"/>
      <c r="J258" s="16" t="n"/>
      <c r="K258" s="124">
        <f>IF(J258="","",COUNTIFS($C$15:$C$2015,J$13,$D$15:$D$2015,"&gt;="&amp;J258,$D$15:$D$2015,"&lt;"&amp;J259))</f>
        <v/>
      </c>
      <c r="L258" s="14" t="n"/>
      <c r="M258" s="16" t="n"/>
      <c r="N258" s="124">
        <f>IF(M258="","",COUNTIFS($C$15:$C$2015,M$13,$D$15:$D$2015,"&gt;="&amp;M258,$D$15:$D$2015,"&lt;"&amp;M259))</f>
        <v/>
      </c>
      <c r="O258" s="14" t="n"/>
      <c r="P258" s="16" t="n"/>
      <c r="Q258" s="124">
        <f>IF(P258="","",COUNTIFS($C$15:$C$2015,P$13,$D$15:$D$2015,"&gt;="&amp;P258,$D$15:$D$2015,"&lt;"&amp;P259))</f>
        <v/>
      </c>
      <c r="R258" s="14" t="n"/>
      <c r="S258" s="16" t="n"/>
      <c r="T258" s="124">
        <f>IF(S258="","",COUNTIFS($C$15:$C$2015,S$13,$D$15:$D$2015,"&gt;="&amp;S258,$D$15:$D$2015,"&lt;"&amp;S259))</f>
        <v/>
      </c>
      <c r="U258" s="14" t="n"/>
      <c r="V258" s="16" t="n"/>
      <c r="W258" s="124">
        <f>IF(V258="","",COUNTIFS($C$15:$C$2015,V$13,$D$15:$D$2015,"&gt;="&amp;V258,$D$15:$D$2015,"&lt;"&amp;V259))</f>
        <v/>
      </c>
      <c r="X258" s="14" t="n"/>
      <c r="Y258" s="16" t="n"/>
      <c r="Z258" s="124">
        <f>IF(Y258="","",COUNTIFS($C$15:$C$2015,Y$13,$D$15:$D$2015,"&gt;="&amp;Y258,$D$15:$D$2015,"&lt;"&amp;Y259))</f>
        <v/>
      </c>
      <c r="AA258" s="14" t="n"/>
      <c r="AB258" s="16" t="n"/>
      <c r="AC258" s="124">
        <f>IF(AB258="","",COUNTIFS($C$15:$C$2015,AB$13,$D$15:$D$2015,"&gt;="&amp;AB258,$D$15:$D$2015,"&lt;"&amp;AB259))</f>
        <v/>
      </c>
      <c r="AD258" s="14" t="n"/>
    </row>
    <row r="259">
      <c r="A259" s="58" t="n"/>
      <c r="B259" s="59" t="n"/>
      <c r="C259" s="59" t="n"/>
      <c r="E259" s="16" t="n"/>
      <c r="F259" s="13" t="n"/>
      <c r="G259" s="16" t="n"/>
      <c r="H259" s="124">
        <f>IF(G259="","",COUNTIFS($C$15:$C$2015,G$13,$D$15:$D$2015,"&gt;="&amp;G259,$D$15:$D$2015,"&lt;"&amp;G260))</f>
        <v/>
      </c>
      <c r="I259" s="14" t="n"/>
      <c r="J259" s="16" t="n"/>
      <c r="K259" s="124">
        <f>IF(J259="","",COUNTIFS($C$15:$C$2015,J$13,$D$15:$D$2015,"&gt;="&amp;J259,$D$15:$D$2015,"&lt;"&amp;J260))</f>
        <v/>
      </c>
      <c r="L259" s="14" t="n"/>
      <c r="M259" s="16" t="n"/>
      <c r="N259" s="124">
        <f>IF(M259="","",COUNTIFS($C$15:$C$2015,M$13,$D$15:$D$2015,"&gt;="&amp;M259,$D$15:$D$2015,"&lt;"&amp;M260))</f>
        <v/>
      </c>
      <c r="O259" s="14" t="n"/>
      <c r="P259" s="16" t="n"/>
      <c r="Q259" s="124">
        <f>IF(P259="","",COUNTIFS($C$15:$C$2015,P$13,$D$15:$D$2015,"&gt;="&amp;P259,$D$15:$D$2015,"&lt;"&amp;P260))</f>
        <v/>
      </c>
      <c r="R259" s="14" t="n"/>
      <c r="S259" s="16" t="n"/>
      <c r="T259" s="124">
        <f>IF(S259="","",COUNTIFS($C$15:$C$2015,S$13,$D$15:$D$2015,"&gt;="&amp;S259,$D$15:$D$2015,"&lt;"&amp;S260))</f>
        <v/>
      </c>
      <c r="U259" s="14" t="n"/>
      <c r="V259" s="16" t="n"/>
      <c r="W259" s="124">
        <f>IF(V259="","",COUNTIFS($C$15:$C$2015,V$13,$D$15:$D$2015,"&gt;="&amp;V259,$D$15:$D$2015,"&lt;"&amp;V260))</f>
        <v/>
      </c>
      <c r="X259" s="14" t="n"/>
      <c r="Y259" s="16" t="n"/>
      <c r="Z259" s="124">
        <f>IF(Y259="","",COUNTIFS($C$15:$C$2015,Y$13,$D$15:$D$2015,"&gt;="&amp;Y259,$D$15:$D$2015,"&lt;"&amp;Y260))</f>
        <v/>
      </c>
      <c r="AA259" s="14" t="n"/>
      <c r="AB259" s="16" t="n"/>
      <c r="AC259" s="124">
        <f>IF(AB259="","",COUNTIFS($C$15:$C$2015,AB$13,$D$15:$D$2015,"&gt;="&amp;AB259,$D$15:$D$2015,"&lt;"&amp;AB260))</f>
        <v/>
      </c>
      <c r="AD259" s="14" t="n"/>
    </row>
    <row r="260">
      <c r="A260" s="56" t="n"/>
      <c r="B260" s="57" t="n"/>
      <c r="C260" s="59" t="n"/>
      <c r="E260" s="16" t="n"/>
      <c r="F260" s="13" t="n"/>
      <c r="G260" s="16" t="n"/>
      <c r="H260" s="124">
        <f>IF(G260="","",COUNTIFS($C$15:$C$2015,G$13,$D$15:$D$2015,"&gt;="&amp;G260,$D$15:$D$2015,"&lt;"&amp;G261))</f>
        <v/>
      </c>
      <c r="I260" s="14" t="n"/>
      <c r="J260" s="16" t="n"/>
      <c r="K260" s="124">
        <f>IF(J260="","",COUNTIFS($C$15:$C$2015,J$13,$D$15:$D$2015,"&gt;="&amp;J260,$D$15:$D$2015,"&lt;"&amp;J261))</f>
        <v/>
      </c>
      <c r="L260" s="14" t="n"/>
      <c r="M260" s="16" t="n"/>
      <c r="N260" s="124">
        <f>IF(M260="","",COUNTIFS($C$15:$C$2015,M$13,$D$15:$D$2015,"&gt;="&amp;M260,$D$15:$D$2015,"&lt;"&amp;M261))</f>
        <v/>
      </c>
      <c r="O260" s="14" t="n"/>
      <c r="P260" s="16" t="n"/>
      <c r="Q260" s="124">
        <f>IF(P260="","",COUNTIFS($C$15:$C$2015,P$13,$D$15:$D$2015,"&gt;="&amp;P260,$D$15:$D$2015,"&lt;"&amp;P261))</f>
        <v/>
      </c>
      <c r="R260" s="14" t="n"/>
      <c r="S260" s="16" t="n"/>
      <c r="T260" s="124">
        <f>IF(S260="","",COUNTIFS($C$15:$C$2015,S$13,$D$15:$D$2015,"&gt;="&amp;S260,$D$15:$D$2015,"&lt;"&amp;S261))</f>
        <v/>
      </c>
      <c r="U260" s="14" t="n"/>
      <c r="V260" s="16" t="n"/>
      <c r="W260" s="124">
        <f>IF(V260="","",COUNTIFS($C$15:$C$2015,V$13,$D$15:$D$2015,"&gt;="&amp;V260,$D$15:$D$2015,"&lt;"&amp;V261))</f>
        <v/>
      </c>
      <c r="X260" s="14" t="n"/>
      <c r="Y260" s="16" t="n"/>
      <c r="Z260" s="124">
        <f>IF(Y260="","",COUNTIFS($C$15:$C$2015,Y$13,$D$15:$D$2015,"&gt;="&amp;Y260,$D$15:$D$2015,"&lt;"&amp;Y261))</f>
        <v/>
      </c>
      <c r="AA260" s="14" t="n"/>
      <c r="AB260" s="16" t="n"/>
      <c r="AC260" s="124">
        <f>IF(AB260="","",COUNTIFS($C$15:$C$2015,AB$13,$D$15:$D$2015,"&gt;="&amp;AB260,$D$15:$D$2015,"&lt;"&amp;AB261))</f>
        <v/>
      </c>
      <c r="AD260" s="14" t="n"/>
    </row>
    <row r="261">
      <c r="A261" s="58" t="n"/>
      <c r="B261" s="59" t="n"/>
      <c r="C261" s="59" t="n"/>
      <c r="E261" s="16" t="n"/>
      <c r="F261" s="13" t="n"/>
      <c r="G261" s="16" t="n"/>
      <c r="H261" s="124">
        <f>IF(G261="","",COUNTIFS($C$15:$C$2015,G$13,$D$15:$D$2015,"&gt;="&amp;G261,$D$15:$D$2015,"&lt;"&amp;G262))</f>
        <v/>
      </c>
      <c r="I261" s="14" t="n"/>
      <c r="J261" s="16" t="n"/>
      <c r="K261" s="124">
        <f>IF(J261="","",COUNTIFS($C$15:$C$2015,J$13,$D$15:$D$2015,"&gt;="&amp;J261,$D$15:$D$2015,"&lt;"&amp;J262))</f>
        <v/>
      </c>
      <c r="L261" s="14" t="n"/>
      <c r="M261" s="16" t="n"/>
      <c r="N261" s="124">
        <f>IF(M261="","",COUNTIFS($C$15:$C$2015,M$13,$D$15:$D$2015,"&gt;="&amp;M261,$D$15:$D$2015,"&lt;"&amp;M262))</f>
        <v/>
      </c>
      <c r="O261" s="14" t="n"/>
      <c r="P261" s="16" t="n"/>
      <c r="Q261" s="124">
        <f>IF(P261="","",COUNTIFS($C$15:$C$2015,P$13,$D$15:$D$2015,"&gt;="&amp;P261,$D$15:$D$2015,"&lt;"&amp;P262))</f>
        <v/>
      </c>
      <c r="R261" s="14" t="n"/>
      <c r="S261" s="16" t="n"/>
      <c r="T261" s="124">
        <f>IF(S261="","",COUNTIFS($C$15:$C$2015,S$13,$D$15:$D$2015,"&gt;="&amp;S261,$D$15:$D$2015,"&lt;"&amp;S262))</f>
        <v/>
      </c>
      <c r="U261" s="14" t="n"/>
      <c r="V261" s="16" t="n"/>
      <c r="W261" s="124">
        <f>IF(V261="","",COUNTIFS($C$15:$C$2015,V$13,$D$15:$D$2015,"&gt;="&amp;V261,$D$15:$D$2015,"&lt;"&amp;V262))</f>
        <v/>
      </c>
      <c r="X261" s="14" t="n"/>
      <c r="Y261" s="16" t="n"/>
      <c r="Z261" s="124">
        <f>IF(Y261="","",COUNTIFS($C$15:$C$2015,Y$13,$D$15:$D$2015,"&gt;="&amp;Y261,$D$15:$D$2015,"&lt;"&amp;Y262))</f>
        <v/>
      </c>
      <c r="AA261" s="14" t="n"/>
      <c r="AB261" s="16" t="n"/>
      <c r="AC261" s="124">
        <f>IF(AB261="","",COUNTIFS($C$15:$C$2015,AB$13,$D$15:$D$2015,"&gt;="&amp;AB261,$D$15:$D$2015,"&lt;"&amp;AB262))</f>
        <v/>
      </c>
      <c r="AD261" s="14" t="n"/>
    </row>
    <row r="262">
      <c r="A262" s="56" t="n"/>
      <c r="B262" s="57" t="n"/>
      <c r="C262" s="59" t="n"/>
      <c r="E262" s="16" t="n"/>
      <c r="F262" s="13" t="n"/>
      <c r="G262" s="16" t="n"/>
      <c r="H262" s="124">
        <f>IF(G262="","",COUNTIFS($C$15:$C$2015,G$13,$D$15:$D$2015,"&gt;="&amp;G262,$D$15:$D$2015,"&lt;"&amp;G263))</f>
        <v/>
      </c>
      <c r="I262" s="14" t="n"/>
      <c r="J262" s="16" t="n"/>
      <c r="K262" s="124">
        <f>IF(J262="","",COUNTIFS($C$15:$C$2015,J$13,$D$15:$D$2015,"&gt;="&amp;J262,$D$15:$D$2015,"&lt;"&amp;J263))</f>
        <v/>
      </c>
      <c r="L262" s="14" t="n"/>
      <c r="M262" s="16" t="n"/>
      <c r="N262" s="124">
        <f>IF(M262="","",COUNTIFS($C$15:$C$2015,M$13,$D$15:$D$2015,"&gt;="&amp;M262,$D$15:$D$2015,"&lt;"&amp;M263))</f>
        <v/>
      </c>
      <c r="O262" s="14" t="n"/>
      <c r="P262" s="16" t="n"/>
      <c r="Q262" s="124">
        <f>IF(P262="","",COUNTIFS($C$15:$C$2015,P$13,$D$15:$D$2015,"&gt;="&amp;P262,$D$15:$D$2015,"&lt;"&amp;P263))</f>
        <v/>
      </c>
      <c r="R262" s="14" t="n"/>
      <c r="S262" s="16" t="n"/>
      <c r="T262" s="124">
        <f>IF(S262="","",COUNTIFS($C$15:$C$2015,S$13,$D$15:$D$2015,"&gt;="&amp;S262,$D$15:$D$2015,"&lt;"&amp;S263))</f>
        <v/>
      </c>
      <c r="U262" s="14" t="n"/>
      <c r="V262" s="16" t="n"/>
      <c r="W262" s="124">
        <f>IF(V262="","",COUNTIFS($C$15:$C$2015,V$13,$D$15:$D$2015,"&gt;="&amp;V262,$D$15:$D$2015,"&lt;"&amp;V263))</f>
        <v/>
      </c>
      <c r="X262" s="14" t="n"/>
      <c r="Y262" s="16" t="n"/>
      <c r="Z262" s="124">
        <f>IF(Y262="","",COUNTIFS($C$15:$C$2015,Y$13,$D$15:$D$2015,"&gt;="&amp;Y262,$D$15:$D$2015,"&lt;"&amp;Y263))</f>
        <v/>
      </c>
      <c r="AA262" s="14" t="n"/>
      <c r="AB262" s="16" t="n"/>
      <c r="AC262" s="124">
        <f>IF(AB262="","",COUNTIFS($C$15:$C$2015,AB$13,$D$15:$D$2015,"&gt;="&amp;AB262,$D$15:$D$2015,"&lt;"&amp;AB263))</f>
        <v/>
      </c>
      <c r="AD262" s="14" t="n"/>
    </row>
    <row r="263">
      <c r="A263" s="58" t="n"/>
      <c r="B263" s="59" t="n"/>
      <c r="C263" s="59" t="n"/>
      <c r="E263" s="16" t="n"/>
      <c r="F263" s="13" t="n"/>
      <c r="G263" s="16" t="n"/>
      <c r="H263" s="124">
        <f>IF(G263="","",COUNTIFS($C$15:$C$2015,G$13,$D$15:$D$2015,"&gt;="&amp;G263,$D$15:$D$2015,"&lt;"&amp;G264))</f>
        <v/>
      </c>
      <c r="I263" s="14" t="n"/>
      <c r="J263" s="16" t="n"/>
      <c r="K263" s="124">
        <f>IF(J263="","",COUNTIFS($C$15:$C$2015,J$13,$D$15:$D$2015,"&gt;="&amp;J263,$D$15:$D$2015,"&lt;"&amp;J264))</f>
        <v/>
      </c>
      <c r="L263" s="14" t="n"/>
      <c r="M263" s="16" t="n"/>
      <c r="N263" s="124">
        <f>IF(M263="","",COUNTIFS($C$15:$C$2015,M$13,$D$15:$D$2015,"&gt;="&amp;M263,$D$15:$D$2015,"&lt;"&amp;M264))</f>
        <v/>
      </c>
      <c r="O263" s="14" t="n"/>
      <c r="P263" s="16" t="n"/>
      <c r="Q263" s="124">
        <f>IF(P263="","",COUNTIFS($C$15:$C$2015,P$13,$D$15:$D$2015,"&gt;="&amp;P263,$D$15:$D$2015,"&lt;"&amp;P264))</f>
        <v/>
      </c>
      <c r="R263" s="14" t="n"/>
      <c r="S263" s="16" t="n"/>
      <c r="T263" s="124">
        <f>IF(S263="","",COUNTIFS($C$15:$C$2015,S$13,$D$15:$D$2015,"&gt;="&amp;S263,$D$15:$D$2015,"&lt;"&amp;S264))</f>
        <v/>
      </c>
      <c r="U263" s="14" t="n"/>
      <c r="V263" s="16" t="n"/>
      <c r="W263" s="124">
        <f>IF(V263="","",COUNTIFS($C$15:$C$2015,V$13,$D$15:$D$2015,"&gt;="&amp;V263,$D$15:$D$2015,"&lt;"&amp;V264))</f>
        <v/>
      </c>
      <c r="X263" s="14" t="n"/>
      <c r="Y263" s="16" t="n"/>
      <c r="Z263" s="124">
        <f>IF(Y263="","",COUNTIFS($C$15:$C$2015,Y$13,$D$15:$D$2015,"&gt;="&amp;Y263,$D$15:$D$2015,"&lt;"&amp;Y264))</f>
        <v/>
      </c>
      <c r="AA263" s="14" t="n"/>
      <c r="AB263" s="16" t="n"/>
      <c r="AC263" s="124">
        <f>IF(AB263="","",COUNTIFS($C$15:$C$2015,AB$13,$D$15:$D$2015,"&gt;="&amp;AB263,$D$15:$D$2015,"&lt;"&amp;AB264))</f>
        <v/>
      </c>
      <c r="AD263" s="14" t="n"/>
    </row>
    <row r="264">
      <c r="A264" s="56" t="n"/>
      <c r="B264" s="57" t="n"/>
      <c r="C264" s="59" t="n"/>
      <c r="E264" s="16" t="n"/>
      <c r="F264" s="13" t="n"/>
      <c r="G264" s="16" t="n"/>
      <c r="H264" s="124">
        <f>IF(G264="","",COUNTIFS($C$15:$C$2015,G$13,$D$15:$D$2015,"&gt;="&amp;G264,$D$15:$D$2015,"&lt;"&amp;G265))</f>
        <v/>
      </c>
      <c r="I264" s="14" t="n"/>
      <c r="J264" s="16" t="n"/>
      <c r="K264" s="124">
        <f>IF(J264="","",COUNTIFS($C$15:$C$2015,J$13,$D$15:$D$2015,"&gt;="&amp;J264,$D$15:$D$2015,"&lt;"&amp;J265))</f>
        <v/>
      </c>
      <c r="L264" s="14" t="n"/>
      <c r="M264" s="16" t="n"/>
      <c r="N264" s="124">
        <f>IF(M264="","",COUNTIFS($C$15:$C$2015,M$13,$D$15:$D$2015,"&gt;="&amp;M264,$D$15:$D$2015,"&lt;"&amp;M265))</f>
        <v/>
      </c>
      <c r="O264" s="14" t="n"/>
      <c r="P264" s="16" t="n"/>
      <c r="Q264" s="124">
        <f>IF(P264="","",COUNTIFS($C$15:$C$2015,P$13,$D$15:$D$2015,"&gt;="&amp;P264,$D$15:$D$2015,"&lt;"&amp;P265))</f>
        <v/>
      </c>
      <c r="R264" s="14" t="n"/>
      <c r="S264" s="16" t="n"/>
      <c r="T264" s="124">
        <f>IF(S264="","",COUNTIFS($C$15:$C$2015,S$13,$D$15:$D$2015,"&gt;="&amp;S264,$D$15:$D$2015,"&lt;"&amp;S265))</f>
        <v/>
      </c>
      <c r="U264" s="14" t="n"/>
      <c r="V264" s="16" t="n"/>
      <c r="W264" s="124">
        <f>IF(V264="","",COUNTIFS($C$15:$C$2015,V$13,$D$15:$D$2015,"&gt;="&amp;V264,$D$15:$D$2015,"&lt;"&amp;V265))</f>
        <v/>
      </c>
      <c r="X264" s="14" t="n"/>
      <c r="Y264" s="16" t="n"/>
      <c r="Z264" s="124">
        <f>IF(Y264="","",COUNTIFS($C$15:$C$2015,Y$13,$D$15:$D$2015,"&gt;="&amp;Y264,$D$15:$D$2015,"&lt;"&amp;Y265))</f>
        <v/>
      </c>
      <c r="AA264" s="14" t="n"/>
      <c r="AB264" s="16" t="n"/>
      <c r="AC264" s="124">
        <f>IF(AB264="","",COUNTIFS($C$15:$C$2015,AB$13,$D$15:$D$2015,"&gt;="&amp;AB264,$D$15:$D$2015,"&lt;"&amp;AB265))</f>
        <v/>
      </c>
      <c r="AD264" s="14" t="n"/>
    </row>
    <row r="265">
      <c r="A265" s="58" t="n"/>
      <c r="B265" s="59" t="n"/>
      <c r="C265" s="59" t="n"/>
      <c r="E265" s="16" t="n"/>
      <c r="F265" s="13" t="n"/>
      <c r="G265" s="16" t="n"/>
      <c r="H265" s="125" t="n"/>
      <c r="I265" s="14" t="n"/>
      <c r="J265" s="16" t="n"/>
      <c r="K265" s="125" t="n"/>
      <c r="L265" s="14" t="n"/>
      <c r="M265" s="16" t="n"/>
      <c r="N265" s="125" t="n"/>
      <c r="O265" s="14" t="n"/>
      <c r="P265" s="16" t="n"/>
      <c r="Q265" s="125" t="n"/>
      <c r="R265" s="14" t="n"/>
      <c r="S265" s="16" t="n"/>
      <c r="T265" s="125" t="n"/>
      <c r="U265" s="14" t="n"/>
      <c r="V265" s="16" t="n"/>
      <c r="W265" s="125" t="n"/>
      <c r="X265" s="14" t="n"/>
      <c r="Y265" s="16" t="n"/>
      <c r="Z265" s="125" t="n"/>
      <c r="AA265" s="14" t="n"/>
      <c r="AB265" s="16" t="n"/>
      <c r="AC265" s="125" t="n"/>
      <c r="AD265" s="14" t="n"/>
    </row>
    <row r="266">
      <c r="A266" s="56" t="n"/>
      <c r="B266" s="57" t="n"/>
      <c r="C266" s="59" t="n"/>
      <c r="E266" s="16" t="n"/>
      <c r="F266" s="13" t="n"/>
      <c r="G266" s="16" t="n"/>
      <c r="H266" s="125" t="n"/>
      <c r="I266" s="14" t="n"/>
      <c r="J266" s="16" t="n"/>
      <c r="K266" s="125" t="n"/>
      <c r="L266" s="14" t="n"/>
      <c r="M266" s="16" t="n"/>
      <c r="N266" s="125" t="n"/>
      <c r="O266" s="14" t="n"/>
      <c r="P266" s="16" t="n"/>
      <c r="Q266" s="125" t="n"/>
      <c r="R266" s="14" t="n"/>
      <c r="S266" s="16" t="n"/>
      <c r="T266" s="125" t="n"/>
      <c r="U266" s="14" t="n"/>
      <c r="V266" s="16" t="n"/>
      <c r="W266" s="125" t="n"/>
      <c r="X266" s="14" t="n"/>
      <c r="Y266" s="16" t="n"/>
      <c r="Z266" s="125" t="n"/>
      <c r="AA266" s="14" t="n"/>
      <c r="AB266" s="16" t="n"/>
      <c r="AC266" s="125" t="n"/>
      <c r="AD266" s="14" t="n"/>
    </row>
    <row r="267">
      <c r="A267" s="58" t="n"/>
      <c r="B267" s="59" t="n"/>
      <c r="C267" s="59" t="n"/>
      <c r="E267" s="16" t="n"/>
      <c r="F267" s="13" t="n"/>
      <c r="G267" s="16" t="n"/>
      <c r="H267" s="125" t="n"/>
      <c r="I267" s="14" t="n"/>
      <c r="J267" s="16" t="n"/>
      <c r="K267" s="125" t="n"/>
      <c r="L267" s="14" t="n"/>
      <c r="M267" s="16" t="n"/>
      <c r="N267" s="125" t="n"/>
      <c r="O267" s="14" t="n"/>
      <c r="P267" s="16" t="n"/>
      <c r="Q267" s="125" t="n"/>
      <c r="R267" s="14" t="n"/>
      <c r="S267" s="16" t="n"/>
      <c r="T267" s="125" t="n"/>
      <c r="U267" s="14" t="n"/>
      <c r="V267" s="16" t="n"/>
      <c r="W267" s="125" t="n"/>
      <c r="X267" s="14" t="n"/>
      <c r="Y267" s="16" t="n"/>
      <c r="Z267" s="125" t="n"/>
      <c r="AA267" s="14" t="n"/>
      <c r="AB267" s="16" t="n"/>
      <c r="AC267" s="125" t="n"/>
      <c r="AD267" s="14" t="n"/>
    </row>
    <row r="268">
      <c r="A268" s="56" t="n"/>
      <c r="B268" s="57" t="n"/>
      <c r="C268" s="59" t="n"/>
      <c r="E268" s="16" t="n"/>
      <c r="F268" s="13" t="n"/>
      <c r="G268" s="16" t="n"/>
      <c r="H268" s="125" t="n"/>
      <c r="I268" s="14" t="n"/>
      <c r="J268" s="16" t="n"/>
      <c r="K268" s="125" t="n"/>
      <c r="L268" s="14" t="n"/>
      <c r="M268" s="16" t="n"/>
      <c r="N268" s="125" t="n"/>
      <c r="O268" s="14" t="n"/>
      <c r="P268" s="16" t="n"/>
      <c r="Q268" s="125" t="n"/>
      <c r="R268" s="14" t="n"/>
      <c r="S268" s="16" t="n"/>
      <c r="T268" s="125" t="n"/>
      <c r="U268" s="14" t="n"/>
      <c r="V268" s="16" t="n"/>
      <c r="W268" s="125" t="n"/>
      <c r="X268" s="14" t="n"/>
      <c r="Y268" s="16" t="n"/>
      <c r="Z268" s="125" t="n"/>
      <c r="AA268" s="14" t="n"/>
      <c r="AB268" s="16" t="n"/>
      <c r="AC268" s="125" t="n"/>
      <c r="AD268" s="14" t="n"/>
    </row>
    <row r="269">
      <c r="A269" s="58" t="n"/>
      <c r="B269" s="59" t="n"/>
      <c r="C269" s="59" t="n"/>
      <c r="E269" s="16" t="n"/>
      <c r="F269" s="13" t="n"/>
      <c r="G269" s="16" t="n"/>
      <c r="H269" s="125" t="n"/>
      <c r="I269" s="14" t="n"/>
      <c r="J269" s="16" t="n"/>
      <c r="K269" s="125" t="n"/>
      <c r="L269" s="14" t="n"/>
      <c r="M269" s="16" t="n"/>
      <c r="N269" s="125" t="n"/>
      <c r="O269" s="14" t="n"/>
      <c r="P269" s="16" t="n"/>
      <c r="Q269" s="125" t="n"/>
      <c r="R269" s="14" t="n"/>
      <c r="S269" s="16" t="n"/>
      <c r="T269" s="125" t="n"/>
      <c r="U269" s="14" t="n"/>
      <c r="V269" s="16" t="n"/>
      <c r="W269" s="125" t="n"/>
      <c r="X269" s="14" t="n"/>
      <c r="Y269" s="16" t="n"/>
      <c r="Z269" s="125" t="n"/>
      <c r="AA269" s="14" t="n"/>
      <c r="AB269" s="16" t="n"/>
      <c r="AC269" s="125" t="n"/>
      <c r="AD269" s="14" t="n"/>
    </row>
    <row r="270">
      <c r="A270" s="56" t="n"/>
      <c r="B270" s="57" t="n"/>
      <c r="C270" s="59" t="n"/>
      <c r="E270" s="16" t="n"/>
      <c r="F270" s="13" t="n"/>
      <c r="G270" s="16" t="n"/>
      <c r="H270" s="125" t="n"/>
      <c r="I270" s="14" t="n"/>
      <c r="J270" s="16" t="n"/>
      <c r="K270" s="125" t="n"/>
      <c r="L270" s="14" t="n"/>
      <c r="M270" s="16" t="n"/>
      <c r="N270" s="125" t="n"/>
      <c r="O270" s="14" t="n"/>
      <c r="P270" s="16" t="n"/>
      <c r="Q270" s="125" t="n"/>
      <c r="R270" s="14" t="n"/>
      <c r="S270" s="16" t="n"/>
      <c r="T270" s="125" t="n"/>
      <c r="U270" s="14" t="n"/>
      <c r="V270" s="16" t="n"/>
      <c r="W270" s="125" t="n"/>
      <c r="X270" s="14" t="n"/>
      <c r="Y270" s="16" t="n"/>
      <c r="Z270" s="125" t="n"/>
      <c r="AA270" s="14" t="n"/>
      <c r="AB270" s="16" t="n"/>
      <c r="AC270" s="125" t="n"/>
      <c r="AD270" s="14" t="n"/>
    </row>
    <row r="271">
      <c r="A271" s="58" t="n"/>
      <c r="B271" s="59" t="n"/>
      <c r="C271" s="59" t="n"/>
      <c r="E271" s="16" t="n"/>
      <c r="F271" s="13" t="n"/>
      <c r="G271" s="16" t="n"/>
      <c r="H271" s="125" t="n"/>
      <c r="I271" s="14" t="n"/>
      <c r="J271" s="16" t="n"/>
      <c r="K271" s="125" t="n"/>
      <c r="L271" s="14" t="n"/>
      <c r="M271" s="16" t="n"/>
      <c r="N271" s="125" t="n"/>
      <c r="O271" s="14" t="n"/>
      <c r="P271" s="16" t="n"/>
      <c r="Q271" s="125" t="n"/>
      <c r="R271" s="14" t="n"/>
      <c r="S271" s="16" t="n"/>
      <c r="T271" s="125" t="n"/>
      <c r="U271" s="14" t="n"/>
      <c r="V271" s="16" t="n"/>
      <c r="W271" s="125" t="n"/>
      <c r="X271" s="14" t="n"/>
      <c r="Y271" s="16" t="n"/>
      <c r="Z271" s="125" t="n"/>
      <c r="AA271" s="14" t="n"/>
      <c r="AB271" s="16" t="n"/>
      <c r="AC271" s="125" t="n"/>
      <c r="AD271" s="14" t="n"/>
    </row>
    <row r="272">
      <c r="A272" s="56" t="n"/>
      <c r="B272" s="57" t="n"/>
      <c r="C272" s="59" t="n"/>
      <c r="E272" s="16" t="n"/>
      <c r="F272" s="13" t="n"/>
      <c r="G272" s="16" t="n"/>
      <c r="H272" s="125" t="n"/>
      <c r="I272" s="14" t="n"/>
      <c r="J272" s="16" t="n"/>
      <c r="K272" s="125" t="n"/>
      <c r="L272" s="14" t="n"/>
      <c r="M272" s="16" t="n"/>
      <c r="N272" s="125" t="n"/>
      <c r="O272" s="14" t="n"/>
      <c r="P272" s="16" t="n"/>
      <c r="Q272" s="125" t="n"/>
      <c r="R272" s="14" t="n"/>
      <c r="S272" s="16" t="n"/>
      <c r="T272" s="125" t="n"/>
      <c r="U272" s="14" t="n"/>
      <c r="V272" s="16" t="n"/>
      <c r="W272" s="125" t="n"/>
      <c r="X272" s="14" t="n"/>
      <c r="Y272" s="16" t="n"/>
      <c r="Z272" s="125" t="n"/>
      <c r="AA272" s="14" t="n"/>
      <c r="AB272" s="16" t="n"/>
      <c r="AC272" s="125" t="n"/>
      <c r="AD272" s="14" t="n"/>
    </row>
    <row r="273">
      <c r="A273" s="58" t="n"/>
      <c r="B273" s="59" t="n"/>
      <c r="C273" s="59" t="n"/>
      <c r="E273" s="16" t="n"/>
      <c r="F273" s="13" t="n"/>
      <c r="G273" s="16" t="n"/>
      <c r="H273" s="125" t="n"/>
      <c r="I273" s="14" t="n"/>
      <c r="J273" s="16" t="n"/>
      <c r="K273" s="125" t="n"/>
      <c r="L273" s="14" t="n"/>
      <c r="M273" s="16" t="n"/>
      <c r="N273" s="125" t="n"/>
      <c r="O273" s="14" t="n"/>
      <c r="P273" s="16" t="n"/>
      <c r="Q273" s="125" t="n"/>
      <c r="R273" s="14" t="n"/>
      <c r="S273" s="16" t="n"/>
      <c r="T273" s="125" t="n"/>
      <c r="U273" s="14" t="n"/>
      <c r="V273" s="16" t="n"/>
      <c r="W273" s="125" t="n"/>
      <c r="X273" s="14" t="n"/>
      <c r="Y273" s="16" t="n"/>
      <c r="Z273" s="125" t="n"/>
      <c r="AA273" s="14" t="n"/>
      <c r="AB273" s="16" t="n"/>
      <c r="AC273" s="125" t="n"/>
      <c r="AD273" s="14" t="n"/>
    </row>
    <row r="274">
      <c r="A274" s="56" t="n"/>
      <c r="B274" s="57" t="n"/>
      <c r="C274" s="59" t="n"/>
      <c r="E274" s="16" t="n"/>
      <c r="F274" s="13" t="n"/>
      <c r="G274" s="16" t="n"/>
      <c r="H274" s="125" t="n"/>
      <c r="I274" s="14" t="n"/>
      <c r="J274" s="16" t="n"/>
      <c r="K274" s="125" t="n"/>
      <c r="L274" s="14" t="n"/>
      <c r="M274" s="16" t="n"/>
      <c r="N274" s="125" t="n"/>
      <c r="O274" s="14" t="n"/>
      <c r="P274" s="16" t="n"/>
      <c r="Q274" s="125" t="n"/>
      <c r="R274" s="14" t="n"/>
      <c r="S274" s="16" t="n"/>
      <c r="T274" s="125" t="n"/>
      <c r="U274" s="14" t="n"/>
      <c r="V274" s="16" t="n"/>
      <c r="W274" s="125" t="n"/>
      <c r="X274" s="14" t="n"/>
      <c r="Y274" s="16" t="n"/>
      <c r="Z274" s="125" t="n"/>
      <c r="AA274" s="14" t="n"/>
      <c r="AB274" s="16" t="n"/>
      <c r="AC274" s="125" t="n"/>
      <c r="AD274" s="14" t="n"/>
    </row>
    <row r="275">
      <c r="A275" s="58" t="n"/>
      <c r="B275" s="59" t="n"/>
      <c r="C275" s="59" t="n"/>
      <c r="E275" s="16" t="n"/>
      <c r="F275" s="13" t="n"/>
      <c r="G275" s="16" t="n"/>
      <c r="H275" s="125" t="n"/>
      <c r="I275" s="14" t="n"/>
      <c r="J275" s="16" t="n"/>
      <c r="K275" s="125" t="n"/>
      <c r="L275" s="14" t="n"/>
      <c r="M275" s="16" t="n"/>
      <c r="N275" s="125" t="n"/>
      <c r="O275" s="14" t="n"/>
      <c r="P275" s="16" t="n"/>
      <c r="Q275" s="125" t="n"/>
      <c r="R275" s="14" t="n"/>
      <c r="S275" s="16" t="n"/>
      <c r="T275" s="125" t="n"/>
      <c r="U275" s="14" t="n"/>
      <c r="V275" s="16" t="n"/>
      <c r="W275" s="125" t="n"/>
      <c r="X275" s="14" t="n"/>
      <c r="Y275" s="16" t="n"/>
      <c r="Z275" s="125" t="n"/>
      <c r="AA275" s="14" t="n"/>
      <c r="AB275" s="16" t="n"/>
      <c r="AC275" s="125" t="n"/>
      <c r="AD275" s="14" t="n"/>
    </row>
    <row r="276">
      <c r="A276" s="56" t="n"/>
      <c r="B276" s="57" t="n"/>
      <c r="C276" s="59" t="n"/>
      <c r="E276" s="16" t="n"/>
      <c r="F276" s="13" t="n"/>
      <c r="G276" s="16" t="n"/>
      <c r="H276" s="125" t="n"/>
      <c r="I276" s="14" t="n"/>
      <c r="J276" s="16" t="n"/>
      <c r="K276" s="125" t="n"/>
      <c r="L276" s="14" t="n"/>
      <c r="M276" s="16" t="n"/>
      <c r="N276" s="125" t="n"/>
      <c r="O276" s="14" t="n"/>
      <c r="P276" s="16" t="n"/>
      <c r="Q276" s="125" t="n"/>
      <c r="R276" s="14" t="n"/>
      <c r="S276" s="16" t="n"/>
      <c r="T276" s="125" t="n"/>
      <c r="U276" s="14" t="n"/>
      <c r="V276" s="16" t="n"/>
      <c r="W276" s="125" t="n"/>
      <c r="X276" s="14" t="n"/>
      <c r="Y276" s="16" t="n"/>
      <c r="Z276" s="125" t="n"/>
      <c r="AA276" s="14" t="n"/>
      <c r="AB276" s="16" t="n"/>
      <c r="AC276" s="125" t="n"/>
      <c r="AD276" s="14" t="n"/>
    </row>
    <row r="277">
      <c r="A277" s="58" t="n"/>
      <c r="B277" s="59" t="n"/>
      <c r="C277" s="59" t="n"/>
      <c r="E277" s="16" t="n"/>
      <c r="F277" s="13" t="n"/>
      <c r="G277" s="16" t="n"/>
      <c r="H277" s="125" t="n"/>
      <c r="I277" s="14" t="n"/>
      <c r="J277" s="16" t="n"/>
      <c r="K277" s="125" t="n"/>
      <c r="L277" s="14" t="n"/>
      <c r="M277" s="16" t="n"/>
      <c r="N277" s="125" t="n"/>
      <c r="O277" s="14" t="n"/>
      <c r="P277" s="16" t="n"/>
      <c r="Q277" s="125" t="n"/>
      <c r="R277" s="14" t="n"/>
      <c r="S277" s="16" t="n"/>
      <c r="T277" s="125" t="n"/>
      <c r="U277" s="14" t="n"/>
      <c r="V277" s="16" t="n"/>
      <c r="W277" s="125" t="n"/>
      <c r="X277" s="14" t="n"/>
      <c r="Y277" s="16" t="n"/>
      <c r="Z277" s="125" t="n"/>
      <c r="AA277" s="14" t="n"/>
      <c r="AB277" s="16" t="n"/>
      <c r="AC277" s="125" t="n"/>
      <c r="AD277" s="14" t="n"/>
    </row>
    <row r="278">
      <c r="A278" s="56" t="n"/>
      <c r="B278" s="57" t="n"/>
      <c r="C278" s="59" t="n"/>
      <c r="E278" s="16" t="n"/>
      <c r="F278" s="13" t="n"/>
      <c r="G278" s="16" t="n"/>
      <c r="H278" s="125" t="n"/>
      <c r="I278" s="14" t="n"/>
      <c r="J278" s="16" t="n"/>
      <c r="K278" s="125" t="n"/>
      <c r="L278" s="14" t="n"/>
      <c r="M278" s="16" t="n"/>
      <c r="N278" s="125" t="n"/>
      <c r="O278" s="14" t="n"/>
      <c r="P278" s="16" t="n"/>
      <c r="Q278" s="125" t="n"/>
      <c r="R278" s="14" t="n"/>
      <c r="S278" s="16" t="n"/>
      <c r="T278" s="125" t="n"/>
      <c r="U278" s="14" t="n"/>
      <c r="V278" s="16" t="n"/>
      <c r="W278" s="125" t="n"/>
      <c r="X278" s="14" t="n"/>
      <c r="Y278" s="16" t="n"/>
      <c r="Z278" s="125" t="n"/>
      <c r="AA278" s="14" t="n"/>
      <c r="AB278" s="16" t="n"/>
      <c r="AC278" s="125" t="n"/>
      <c r="AD278" s="14" t="n"/>
    </row>
    <row r="279">
      <c r="A279" s="58" t="n"/>
      <c r="B279" s="59" t="n"/>
      <c r="C279" s="59" t="n"/>
      <c r="E279" s="16" t="n"/>
      <c r="F279" s="13" t="n"/>
      <c r="G279" s="16" t="n"/>
      <c r="H279" s="125" t="n"/>
      <c r="I279" s="14" t="n"/>
      <c r="J279" s="16" t="n"/>
      <c r="K279" s="125" t="n"/>
      <c r="L279" s="14" t="n"/>
      <c r="M279" s="16" t="n"/>
      <c r="N279" s="125" t="n"/>
      <c r="O279" s="14" t="n"/>
      <c r="P279" s="16" t="n"/>
      <c r="Q279" s="125" t="n"/>
      <c r="R279" s="14" t="n"/>
      <c r="S279" s="16" t="n"/>
      <c r="T279" s="125" t="n"/>
      <c r="U279" s="14" t="n"/>
      <c r="V279" s="16" t="n"/>
      <c r="W279" s="125" t="n"/>
      <c r="X279" s="14" t="n"/>
      <c r="Y279" s="16" t="n"/>
      <c r="Z279" s="125" t="n"/>
      <c r="AA279" s="14" t="n"/>
      <c r="AB279" s="16" t="n"/>
      <c r="AC279" s="125" t="n"/>
      <c r="AD279" s="14" t="n"/>
    </row>
    <row r="280">
      <c r="A280" s="56" t="n"/>
      <c r="B280" s="57" t="n"/>
      <c r="C280" s="59" t="n"/>
      <c r="E280" s="16" t="n"/>
      <c r="F280" s="13" t="n"/>
      <c r="G280" s="16" t="n"/>
      <c r="H280" s="125" t="n"/>
      <c r="I280" s="14" t="n"/>
      <c r="J280" s="16" t="n"/>
      <c r="K280" s="125" t="n"/>
      <c r="L280" s="14" t="n"/>
      <c r="M280" s="16" t="n"/>
      <c r="N280" s="125" t="n"/>
      <c r="O280" s="14" t="n"/>
      <c r="P280" s="16" t="n"/>
      <c r="Q280" s="125" t="n"/>
      <c r="R280" s="14" t="n"/>
      <c r="S280" s="16" t="n"/>
      <c r="T280" s="125" t="n"/>
      <c r="U280" s="14" t="n"/>
      <c r="V280" s="16" t="n"/>
      <c r="W280" s="125" t="n"/>
      <c r="X280" s="14" t="n"/>
      <c r="Y280" s="16" t="n"/>
      <c r="Z280" s="125" t="n"/>
      <c r="AA280" s="14" t="n"/>
      <c r="AB280" s="16" t="n"/>
      <c r="AC280" s="125" t="n"/>
      <c r="AD280" s="14" t="n"/>
    </row>
    <row r="281">
      <c r="A281" s="58" t="n"/>
      <c r="B281" s="59" t="n"/>
      <c r="C281" s="59" t="n"/>
      <c r="E281" s="16" t="n"/>
      <c r="F281" s="13" t="n"/>
      <c r="G281" s="16" t="n"/>
      <c r="H281" s="125" t="n"/>
      <c r="I281" s="14" t="n"/>
      <c r="J281" s="16" t="n"/>
      <c r="K281" s="125" t="n"/>
      <c r="L281" s="14" t="n"/>
      <c r="M281" s="16" t="n"/>
      <c r="N281" s="125" t="n"/>
      <c r="O281" s="14" t="n"/>
      <c r="P281" s="16" t="n"/>
      <c r="Q281" s="125" t="n"/>
      <c r="R281" s="14" t="n"/>
      <c r="S281" s="16" t="n"/>
      <c r="T281" s="125" t="n"/>
      <c r="U281" s="14" t="n"/>
      <c r="V281" s="16" t="n"/>
      <c r="W281" s="125" t="n"/>
      <c r="X281" s="14" t="n"/>
      <c r="Y281" s="16" t="n"/>
      <c r="Z281" s="125" t="n"/>
      <c r="AA281" s="14" t="n"/>
      <c r="AB281" s="16" t="n"/>
      <c r="AC281" s="125" t="n"/>
      <c r="AD281" s="14" t="n"/>
    </row>
    <row r="282">
      <c r="A282" s="56" t="n"/>
      <c r="B282" s="57" t="n"/>
      <c r="C282" s="59" t="n"/>
      <c r="E282" s="16" t="n"/>
      <c r="F282" s="13" t="n"/>
      <c r="G282" s="16" t="n"/>
      <c r="H282" s="125" t="n"/>
      <c r="I282" s="14" t="n"/>
      <c r="J282" s="16" t="n"/>
      <c r="K282" s="125" t="n"/>
      <c r="L282" s="14" t="n"/>
      <c r="M282" s="16" t="n"/>
      <c r="N282" s="125" t="n"/>
      <c r="O282" s="14" t="n"/>
      <c r="P282" s="16" t="n"/>
      <c r="Q282" s="125" t="n"/>
      <c r="R282" s="14" t="n"/>
      <c r="S282" s="16" t="n"/>
      <c r="T282" s="125" t="n"/>
      <c r="U282" s="14" t="n"/>
      <c r="V282" s="16" t="n"/>
      <c r="W282" s="125" t="n"/>
      <c r="X282" s="14" t="n"/>
      <c r="Y282" s="16" t="n"/>
      <c r="Z282" s="125" t="n"/>
      <c r="AA282" s="14" t="n"/>
      <c r="AB282" s="16" t="n"/>
      <c r="AC282" s="125" t="n"/>
      <c r="AD282" s="14" t="n"/>
    </row>
    <row r="283">
      <c r="A283" s="58" t="n"/>
      <c r="B283" s="59" t="n"/>
      <c r="C283" s="59" t="n"/>
      <c r="E283" s="16" t="n"/>
      <c r="F283" s="13" t="n"/>
      <c r="G283" s="16" t="n"/>
      <c r="H283" s="125" t="n"/>
      <c r="I283" s="14" t="n"/>
      <c r="J283" s="16" t="n"/>
      <c r="K283" s="125" t="n"/>
      <c r="L283" s="14" t="n"/>
      <c r="M283" s="16" t="n"/>
      <c r="N283" s="125" t="n"/>
      <c r="O283" s="14" t="n"/>
      <c r="P283" s="16" t="n"/>
      <c r="Q283" s="125" t="n"/>
      <c r="R283" s="14" t="n"/>
      <c r="S283" s="16" t="n"/>
      <c r="T283" s="125" t="n"/>
      <c r="U283" s="14" t="n"/>
      <c r="V283" s="16" t="n"/>
      <c r="W283" s="125" t="n"/>
      <c r="X283" s="14" t="n"/>
      <c r="Y283" s="16" t="n"/>
      <c r="Z283" s="125" t="n"/>
      <c r="AA283" s="14" t="n"/>
      <c r="AB283" s="16" t="n"/>
      <c r="AC283" s="125" t="n"/>
      <c r="AD283" s="14" t="n"/>
    </row>
    <row r="284">
      <c r="A284" s="56" t="n"/>
      <c r="B284" s="57" t="n"/>
      <c r="C284" s="59" t="n"/>
      <c r="E284" s="16" t="n"/>
      <c r="F284" s="13" t="n"/>
      <c r="G284" s="16" t="n"/>
      <c r="H284" s="125" t="n"/>
      <c r="I284" s="14" t="n"/>
      <c r="J284" s="16" t="n"/>
      <c r="K284" s="125" t="n"/>
      <c r="L284" s="14" t="n"/>
      <c r="M284" s="16" t="n"/>
      <c r="N284" s="125" t="n"/>
      <c r="O284" s="14" t="n"/>
      <c r="P284" s="16" t="n"/>
      <c r="Q284" s="125" t="n"/>
      <c r="R284" s="14" t="n"/>
      <c r="S284" s="16" t="n"/>
      <c r="T284" s="125" t="n"/>
      <c r="U284" s="14" t="n"/>
      <c r="V284" s="16" t="n"/>
      <c r="W284" s="125" t="n"/>
      <c r="X284" s="14" t="n"/>
      <c r="Y284" s="16" t="n"/>
      <c r="Z284" s="125" t="n"/>
      <c r="AA284" s="14" t="n"/>
      <c r="AB284" s="16" t="n"/>
      <c r="AC284" s="125" t="n"/>
      <c r="AD284" s="14" t="n"/>
    </row>
    <row r="285">
      <c r="A285" s="58" t="n"/>
      <c r="B285" s="59" t="n"/>
      <c r="C285" s="59" t="n"/>
      <c r="E285" s="16" t="n"/>
      <c r="F285" s="13" t="n"/>
      <c r="G285" s="16" t="n"/>
      <c r="H285" s="125" t="n"/>
      <c r="I285" s="14" t="n"/>
      <c r="J285" s="16" t="n"/>
      <c r="K285" s="125" t="n"/>
      <c r="L285" s="14" t="n"/>
      <c r="M285" s="16" t="n"/>
      <c r="N285" s="125" t="n"/>
      <c r="O285" s="14" t="n"/>
      <c r="P285" s="16" t="n"/>
      <c r="Q285" s="125" t="n"/>
      <c r="R285" s="14" t="n"/>
      <c r="S285" s="16" t="n"/>
      <c r="T285" s="125" t="n"/>
      <c r="U285" s="14" t="n"/>
      <c r="V285" s="16" t="n"/>
      <c r="W285" s="125" t="n"/>
      <c r="X285" s="14" t="n"/>
      <c r="Y285" s="16" t="n"/>
      <c r="Z285" s="125" t="n"/>
      <c r="AA285" s="14" t="n"/>
      <c r="AB285" s="16" t="n"/>
      <c r="AC285" s="125" t="n"/>
      <c r="AD285" s="14" t="n"/>
    </row>
    <row r="286">
      <c r="A286" s="56" t="n"/>
      <c r="B286" s="57" t="n"/>
      <c r="C286" s="59" t="n"/>
      <c r="E286" s="16" t="n"/>
      <c r="F286" s="13" t="n"/>
      <c r="G286" s="16" t="n"/>
      <c r="H286" s="125" t="n"/>
      <c r="I286" s="14" t="n"/>
      <c r="J286" s="16" t="n"/>
      <c r="K286" s="125" t="n"/>
      <c r="L286" s="14" t="n"/>
      <c r="M286" s="16" t="n"/>
      <c r="N286" s="125" t="n"/>
      <c r="O286" s="14" t="n"/>
      <c r="P286" s="16" t="n"/>
      <c r="Q286" s="125" t="n"/>
      <c r="R286" s="14" t="n"/>
      <c r="S286" s="16" t="n"/>
      <c r="T286" s="125" t="n"/>
      <c r="U286" s="14" t="n"/>
      <c r="V286" s="16" t="n"/>
      <c r="W286" s="125" t="n"/>
      <c r="X286" s="14" t="n"/>
      <c r="Y286" s="16" t="n"/>
      <c r="Z286" s="125" t="n"/>
      <c r="AA286" s="14" t="n"/>
      <c r="AB286" s="16" t="n"/>
      <c r="AC286" s="125" t="n"/>
      <c r="AD286" s="14" t="n"/>
    </row>
    <row r="287">
      <c r="A287" s="58" t="n"/>
      <c r="B287" s="59" t="n"/>
      <c r="C287" s="59" t="n"/>
      <c r="E287" s="16" t="n"/>
      <c r="F287" s="13" t="n"/>
      <c r="G287" s="16" t="n"/>
      <c r="H287" s="125" t="n"/>
      <c r="I287" s="14" t="n"/>
      <c r="J287" s="16" t="n"/>
      <c r="K287" s="125" t="n"/>
      <c r="L287" s="14" t="n"/>
      <c r="M287" s="16" t="n"/>
      <c r="N287" s="125" t="n"/>
      <c r="O287" s="14" t="n"/>
      <c r="P287" s="16" t="n"/>
      <c r="Q287" s="125" t="n"/>
      <c r="R287" s="14" t="n"/>
      <c r="S287" s="16" t="n"/>
      <c r="T287" s="125" t="n"/>
      <c r="U287" s="14" t="n"/>
      <c r="V287" s="16" t="n"/>
      <c r="W287" s="125" t="n"/>
      <c r="X287" s="14" t="n"/>
      <c r="Y287" s="16" t="n"/>
      <c r="Z287" s="125" t="n"/>
      <c r="AA287" s="14" t="n"/>
      <c r="AB287" s="16" t="n"/>
      <c r="AC287" s="125" t="n"/>
      <c r="AD287" s="14" t="n"/>
    </row>
    <row r="288">
      <c r="A288" s="56" t="n"/>
      <c r="B288" s="57" t="n"/>
      <c r="C288" s="59" t="n"/>
      <c r="E288" s="16" t="n"/>
      <c r="F288" s="13" t="n"/>
      <c r="G288" s="16" t="n"/>
      <c r="H288" s="125" t="n"/>
      <c r="I288" s="14" t="n"/>
      <c r="J288" s="16" t="n"/>
      <c r="K288" s="125" t="n"/>
      <c r="L288" s="14" t="n"/>
      <c r="M288" s="16" t="n"/>
      <c r="N288" s="125" t="n"/>
      <c r="O288" s="14" t="n"/>
      <c r="P288" s="16" t="n"/>
      <c r="Q288" s="125" t="n"/>
      <c r="R288" s="14" t="n"/>
      <c r="S288" s="16" t="n"/>
      <c r="T288" s="125" t="n"/>
      <c r="U288" s="14" t="n"/>
      <c r="V288" s="16" t="n"/>
      <c r="W288" s="125" t="n"/>
      <c r="X288" s="14" t="n"/>
      <c r="Y288" s="16" t="n"/>
      <c r="Z288" s="125" t="n"/>
      <c r="AA288" s="14" t="n"/>
      <c r="AB288" s="16" t="n"/>
      <c r="AC288" s="125" t="n"/>
      <c r="AD288" s="14" t="n"/>
    </row>
    <row r="289">
      <c r="A289" s="58" t="n"/>
      <c r="B289" s="59" t="n"/>
      <c r="C289" s="59" t="n"/>
      <c r="E289" s="16" t="n"/>
      <c r="F289" s="13" t="n"/>
      <c r="G289" s="16" t="n"/>
      <c r="H289" s="125" t="n"/>
      <c r="I289" s="14" t="n"/>
      <c r="J289" s="16" t="n"/>
      <c r="K289" s="125" t="n"/>
      <c r="L289" s="14" t="n"/>
      <c r="M289" s="16" t="n"/>
      <c r="N289" s="125" t="n"/>
      <c r="O289" s="14" t="n"/>
      <c r="P289" s="16" t="n"/>
      <c r="Q289" s="125" t="n"/>
      <c r="R289" s="14" t="n"/>
      <c r="S289" s="16" t="n"/>
      <c r="T289" s="125" t="n"/>
      <c r="U289" s="14" t="n"/>
      <c r="V289" s="16" t="n"/>
      <c r="W289" s="125" t="n"/>
      <c r="X289" s="14" t="n"/>
      <c r="Y289" s="16" t="n"/>
      <c r="Z289" s="125" t="n"/>
      <c r="AA289" s="14" t="n"/>
      <c r="AB289" s="16" t="n"/>
      <c r="AC289" s="125" t="n"/>
      <c r="AD289" s="14" t="n"/>
    </row>
    <row r="290">
      <c r="A290" s="56" t="n"/>
      <c r="B290" s="57" t="n"/>
      <c r="C290" s="59" t="n"/>
      <c r="E290" s="16" t="n"/>
      <c r="F290" s="13" t="n"/>
      <c r="G290" s="16" t="n"/>
      <c r="H290" s="125" t="n"/>
      <c r="I290" s="14" t="n"/>
      <c r="J290" s="16" t="n"/>
      <c r="K290" s="125" t="n"/>
      <c r="L290" s="14" t="n"/>
      <c r="M290" s="16" t="n"/>
      <c r="N290" s="125" t="n"/>
      <c r="O290" s="14" t="n"/>
      <c r="P290" s="16" t="n"/>
      <c r="Q290" s="125" t="n"/>
      <c r="R290" s="14" t="n"/>
      <c r="S290" s="16" t="n"/>
      <c r="T290" s="125" t="n"/>
      <c r="U290" s="14" t="n"/>
      <c r="V290" s="16" t="n"/>
      <c r="W290" s="125" t="n"/>
      <c r="X290" s="14" t="n"/>
      <c r="Y290" s="16" t="n"/>
      <c r="Z290" s="125" t="n"/>
      <c r="AA290" s="14" t="n"/>
      <c r="AB290" s="16" t="n"/>
      <c r="AC290" s="125" t="n"/>
      <c r="AD290" s="14" t="n"/>
    </row>
    <row r="291">
      <c r="A291" s="58" t="n"/>
      <c r="B291" s="59" t="n"/>
      <c r="C291" s="59" t="n"/>
      <c r="E291" s="16" t="n"/>
      <c r="F291" s="13" t="n"/>
      <c r="G291" s="16" t="n"/>
      <c r="H291" s="125" t="n"/>
      <c r="I291" s="14" t="n"/>
      <c r="J291" s="16" t="n"/>
      <c r="K291" s="125" t="n"/>
      <c r="L291" s="14" t="n"/>
      <c r="M291" s="16" t="n"/>
      <c r="N291" s="125" t="n"/>
      <c r="O291" s="14" t="n"/>
      <c r="P291" s="16" t="n"/>
      <c r="Q291" s="125" t="n"/>
      <c r="R291" s="14" t="n"/>
      <c r="S291" s="16" t="n"/>
      <c r="T291" s="125" t="n"/>
      <c r="U291" s="14" t="n"/>
      <c r="V291" s="16" t="n"/>
      <c r="W291" s="125" t="n"/>
      <c r="X291" s="14" t="n"/>
      <c r="Y291" s="16" t="n"/>
      <c r="Z291" s="125" t="n"/>
      <c r="AA291" s="14" t="n"/>
      <c r="AB291" s="16" t="n"/>
      <c r="AC291" s="125" t="n"/>
      <c r="AD291" s="14" t="n"/>
    </row>
    <row r="292">
      <c r="A292" s="56" t="n"/>
      <c r="B292" s="57" t="n"/>
      <c r="C292" s="59" t="n"/>
      <c r="E292" s="16" t="n"/>
      <c r="F292" s="13" t="n"/>
      <c r="G292" s="16" t="n"/>
      <c r="H292" s="125" t="n"/>
      <c r="I292" s="14" t="n"/>
      <c r="J292" s="16" t="n"/>
      <c r="K292" s="125" t="n"/>
      <c r="L292" s="14" t="n"/>
      <c r="M292" s="16" t="n"/>
      <c r="N292" s="125" t="n"/>
      <c r="O292" s="14" t="n"/>
      <c r="P292" s="16" t="n"/>
      <c r="Q292" s="125" t="n"/>
      <c r="R292" s="14" t="n"/>
      <c r="S292" s="16" t="n"/>
      <c r="T292" s="125" t="n"/>
      <c r="U292" s="14" t="n"/>
      <c r="V292" s="16" t="n"/>
      <c r="W292" s="125" t="n"/>
      <c r="X292" s="14" t="n"/>
      <c r="Y292" s="16" t="n"/>
      <c r="Z292" s="125" t="n"/>
      <c r="AA292" s="14" t="n"/>
      <c r="AB292" s="16" t="n"/>
      <c r="AC292" s="125" t="n"/>
      <c r="AD292" s="14" t="n"/>
    </row>
    <row r="293">
      <c r="A293" s="58" t="n"/>
      <c r="B293" s="59" t="n"/>
      <c r="C293" s="59" t="n"/>
      <c r="E293" s="16" t="n"/>
      <c r="F293" s="13" t="n"/>
      <c r="G293" s="16" t="n"/>
      <c r="H293" s="125" t="n"/>
      <c r="I293" s="14" t="n"/>
      <c r="J293" s="16" t="n"/>
      <c r="K293" s="125" t="n"/>
      <c r="L293" s="14" t="n"/>
      <c r="M293" s="16" t="n"/>
      <c r="N293" s="125" t="n"/>
      <c r="O293" s="14" t="n"/>
      <c r="P293" s="16" t="n"/>
      <c r="Q293" s="125" t="n"/>
      <c r="R293" s="14" t="n"/>
      <c r="S293" s="16" t="n"/>
      <c r="T293" s="125" t="n"/>
      <c r="U293" s="14" t="n"/>
      <c r="V293" s="16" t="n"/>
      <c r="W293" s="125" t="n"/>
      <c r="X293" s="14" t="n"/>
      <c r="Y293" s="16" t="n"/>
      <c r="Z293" s="125" t="n"/>
      <c r="AA293" s="14" t="n"/>
      <c r="AB293" s="16" t="n"/>
      <c r="AC293" s="125" t="n"/>
      <c r="AD293" s="14" t="n"/>
    </row>
    <row r="294">
      <c r="A294" s="56" t="n"/>
      <c r="B294" s="57" t="n"/>
      <c r="C294" s="59" t="n"/>
      <c r="E294" s="16" t="n"/>
      <c r="F294" s="13" t="n"/>
      <c r="G294" s="16" t="n"/>
      <c r="H294" s="125" t="n"/>
      <c r="I294" s="14" t="n"/>
      <c r="J294" s="16" t="n"/>
      <c r="K294" s="125" t="n"/>
      <c r="L294" s="14" t="n"/>
      <c r="M294" s="16" t="n"/>
      <c r="N294" s="125" t="n"/>
      <c r="O294" s="14" t="n"/>
      <c r="P294" s="16" t="n"/>
      <c r="Q294" s="125" t="n"/>
      <c r="R294" s="14" t="n"/>
      <c r="S294" s="16" t="n"/>
      <c r="T294" s="125" t="n"/>
      <c r="U294" s="14" t="n"/>
      <c r="V294" s="16" t="n"/>
      <c r="W294" s="125" t="n"/>
      <c r="X294" s="14" t="n"/>
      <c r="Y294" s="16" t="n"/>
      <c r="Z294" s="125" t="n"/>
      <c r="AA294" s="14" t="n"/>
      <c r="AB294" s="16" t="n"/>
      <c r="AC294" s="125" t="n"/>
      <c r="AD294" s="14" t="n"/>
    </row>
    <row r="295">
      <c r="A295" s="58" t="n"/>
      <c r="B295" s="59" t="n"/>
      <c r="C295" s="59" t="n"/>
      <c r="E295" s="16" t="n"/>
      <c r="F295" s="13" t="n"/>
      <c r="G295" s="16" t="n"/>
      <c r="H295" s="125" t="n"/>
      <c r="I295" s="14" t="n"/>
      <c r="J295" s="16" t="n"/>
      <c r="K295" s="125" t="n"/>
      <c r="L295" s="14" t="n"/>
      <c r="M295" s="16" t="n"/>
      <c r="N295" s="125" t="n"/>
      <c r="O295" s="14" t="n"/>
      <c r="P295" s="16" t="n"/>
      <c r="Q295" s="125" t="n"/>
      <c r="R295" s="14" t="n"/>
      <c r="S295" s="16" t="n"/>
      <c r="T295" s="125" t="n"/>
      <c r="U295" s="14" t="n"/>
      <c r="V295" s="16" t="n"/>
      <c r="W295" s="125" t="n"/>
      <c r="X295" s="14" t="n"/>
      <c r="Y295" s="16" t="n"/>
      <c r="Z295" s="125" t="n"/>
      <c r="AA295" s="14" t="n"/>
      <c r="AB295" s="16" t="n"/>
      <c r="AC295" s="125" t="n"/>
      <c r="AD295" s="14" t="n"/>
    </row>
    <row r="296">
      <c r="A296" s="56" t="n"/>
      <c r="B296" s="57" t="n"/>
      <c r="C296" s="59" t="n"/>
      <c r="E296" s="16" t="n"/>
      <c r="F296" s="13" t="n"/>
      <c r="G296" s="16" t="n"/>
      <c r="H296" s="125" t="n"/>
      <c r="I296" s="14" t="n"/>
      <c r="J296" s="16" t="n"/>
      <c r="K296" s="125" t="n"/>
      <c r="L296" s="14" t="n"/>
      <c r="M296" s="16" t="n"/>
      <c r="N296" s="125" t="n"/>
      <c r="O296" s="14" t="n"/>
      <c r="P296" s="16" t="n"/>
      <c r="Q296" s="125" t="n"/>
      <c r="R296" s="14" t="n"/>
      <c r="S296" s="16" t="n"/>
      <c r="T296" s="125" t="n"/>
      <c r="U296" s="14" t="n"/>
      <c r="V296" s="16" t="n"/>
      <c r="W296" s="125" t="n"/>
      <c r="X296" s="14" t="n"/>
      <c r="Y296" s="16" t="n"/>
      <c r="Z296" s="125" t="n"/>
      <c r="AA296" s="14" t="n"/>
      <c r="AB296" s="16" t="n"/>
      <c r="AC296" s="125" t="n"/>
      <c r="AD296" s="14" t="n"/>
    </row>
    <row r="297">
      <c r="A297" s="58" t="n"/>
      <c r="B297" s="59" t="n"/>
      <c r="C297" s="59" t="n"/>
      <c r="E297" s="16" t="n"/>
      <c r="F297" s="13" t="n"/>
      <c r="G297" s="16" t="n"/>
      <c r="H297" s="125" t="n"/>
      <c r="I297" s="14" t="n"/>
      <c r="J297" s="16" t="n"/>
      <c r="K297" s="125" t="n"/>
      <c r="L297" s="14" t="n"/>
      <c r="M297" s="16" t="n"/>
      <c r="N297" s="125" t="n"/>
      <c r="O297" s="14" t="n"/>
      <c r="P297" s="16" t="n"/>
      <c r="Q297" s="125" t="n"/>
      <c r="R297" s="14" t="n"/>
      <c r="S297" s="16" t="n"/>
      <c r="T297" s="125" t="n"/>
      <c r="U297" s="14" t="n"/>
      <c r="V297" s="16" t="n"/>
      <c r="W297" s="125" t="n"/>
      <c r="X297" s="14" t="n"/>
      <c r="Y297" s="16" t="n"/>
      <c r="Z297" s="125" t="n"/>
      <c r="AA297" s="14" t="n"/>
      <c r="AB297" s="16" t="n"/>
      <c r="AC297" s="125" t="n"/>
      <c r="AD297" s="14" t="n"/>
    </row>
    <row r="298">
      <c r="A298" s="56" t="n"/>
      <c r="B298" s="57" t="n"/>
      <c r="C298" s="59" t="n"/>
      <c r="E298" s="16" t="n"/>
      <c r="F298" s="13" t="n"/>
      <c r="G298" s="16" t="n"/>
      <c r="H298" s="125" t="n"/>
      <c r="I298" s="14" t="n"/>
      <c r="J298" s="16" t="n"/>
      <c r="K298" s="125" t="n"/>
      <c r="L298" s="14" t="n"/>
      <c r="M298" s="16" t="n"/>
      <c r="N298" s="125" t="n"/>
      <c r="O298" s="14" t="n"/>
      <c r="P298" s="16" t="n"/>
      <c r="Q298" s="125" t="n"/>
      <c r="R298" s="14" t="n"/>
      <c r="S298" s="16" t="n"/>
      <c r="T298" s="125" t="n"/>
      <c r="U298" s="14" t="n"/>
      <c r="V298" s="16" t="n"/>
      <c r="W298" s="125" t="n"/>
      <c r="X298" s="14" t="n"/>
      <c r="Y298" s="16" t="n"/>
      <c r="Z298" s="125" t="n"/>
      <c r="AA298" s="14" t="n"/>
      <c r="AB298" s="16" t="n"/>
      <c r="AC298" s="125" t="n"/>
      <c r="AD298" s="14" t="n"/>
    </row>
    <row r="299">
      <c r="A299" s="58" t="n"/>
      <c r="B299" s="59" t="n"/>
      <c r="C299" s="59" t="n"/>
      <c r="E299" s="16" t="n"/>
      <c r="F299" s="13" t="n"/>
      <c r="G299" s="16" t="n"/>
      <c r="H299" s="125" t="n"/>
      <c r="I299" s="14" t="n"/>
      <c r="J299" s="16" t="n"/>
      <c r="K299" s="125" t="n"/>
      <c r="L299" s="14" t="n"/>
      <c r="M299" s="16" t="n"/>
      <c r="N299" s="125" t="n"/>
      <c r="O299" s="14" t="n"/>
      <c r="P299" s="16" t="n"/>
      <c r="Q299" s="125" t="n"/>
      <c r="R299" s="14" t="n"/>
      <c r="S299" s="16" t="n"/>
      <c r="T299" s="125" t="n"/>
      <c r="U299" s="14" t="n"/>
      <c r="V299" s="16" t="n"/>
      <c r="W299" s="125" t="n"/>
      <c r="X299" s="14" t="n"/>
      <c r="Y299" s="16" t="n"/>
      <c r="Z299" s="125" t="n"/>
      <c r="AA299" s="14" t="n"/>
      <c r="AB299" s="16" t="n"/>
      <c r="AC299" s="125" t="n"/>
      <c r="AD299" s="14" t="n"/>
    </row>
    <row r="300">
      <c r="A300" s="56" t="n"/>
      <c r="B300" s="57" t="n"/>
      <c r="C300" s="59" t="n"/>
      <c r="E300" s="16" t="n"/>
      <c r="F300" s="13" t="n"/>
      <c r="G300" s="16" t="n"/>
      <c r="H300" s="125" t="n"/>
      <c r="I300" s="14" t="n"/>
      <c r="J300" s="16" t="n"/>
      <c r="K300" s="125" t="n"/>
      <c r="L300" s="14" t="n"/>
      <c r="M300" s="16" t="n"/>
      <c r="N300" s="125" t="n"/>
      <c r="O300" s="14" t="n"/>
      <c r="P300" s="16" t="n"/>
      <c r="Q300" s="125" t="n"/>
      <c r="R300" s="14" t="n"/>
      <c r="S300" s="16" t="n"/>
      <c r="T300" s="125" t="n"/>
      <c r="U300" s="14" t="n"/>
      <c r="V300" s="16" t="n"/>
      <c r="W300" s="125" t="n"/>
      <c r="X300" s="14" t="n"/>
      <c r="Y300" s="16" t="n"/>
      <c r="Z300" s="125" t="n"/>
      <c r="AA300" s="14" t="n"/>
      <c r="AB300" s="16" t="n"/>
      <c r="AC300" s="125" t="n"/>
      <c r="AD300" s="14" t="n"/>
    </row>
    <row r="301">
      <c r="A301" s="58" t="n"/>
      <c r="B301" s="59" t="n"/>
      <c r="C301" s="59" t="n"/>
      <c r="E301" s="16" t="n"/>
      <c r="F301" s="13" t="n"/>
      <c r="G301" s="16" t="n"/>
      <c r="H301" s="125" t="n"/>
      <c r="I301" s="14" t="n"/>
      <c r="J301" s="16" t="n"/>
      <c r="K301" s="125" t="n"/>
      <c r="L301" s="14" t="n"/>
      <c r="M301" s="16" t="n"/>
      <c r="N301" s="125" t="n"/>
      <c r="O301" s="14" t="n"/>
      <c r="P301" s="16" t="n"/>
      <c r="Q301" s="125" t="n"/>
      <c r="R301" s="14" t="n"/>
      <c r="S301" s="16" t="n"/>
      <c r="T301" s="125" t="n"/>
      <c r="U301" s="14" t="n"/>
      <c r="V301" s="16" t="n"/>
      <c r="W301" s="125" t="n"/>
      <c r="X301" s="14" t="n"/>
      <c r="Y301" s="16" t="n"/>
      <c r="Z301" s="125" t="n"/>
      <c r="AA301" s="14" t="n"/>
      <c r="AB301" s="16" t="n"/>
      <c r="AC301" s="125" t="n"/>
      <c r="AD301" s="14" t="n"/>
    </row>
    <row r="302">
      <c r="A302" s="56" t="n"/>
      <c r="B302" s="57" t="n"/>
      <c r="C302" s="59" t="n"/>
      <c r="E302" s="16" t="n"/>
      <c r="F302" s="13" t="n"/>
      <c r="G302" s="16" t="n"/>
      <c r="H302" s="125" t="n"/>
      <c r="I302" s="14" t="n"/>
      <c r="J302" s="16" t="n"/>
      <c r="K302" s="125" t="n"/>
      <c r="L302" s="14" t="n"/>
      <c r="M302" s="16" t="n"/>
      <c r="N302" s="125" t="n"/>
      <c r="O302" s="14" t="n"/>
      <c r="P302" s="16" t="n"/>
      <c r="Q302" s="125" t="n"/>
      <c r="R302" s="14" t="n"/>
      <c r="S302" s="16" t="n"/>
      <c r="T302" s="125" t="n"/>
      <c r="U302" s="14" t="n"/>
      <c r="V302" s="16" t="n"/>
      <c r="W302" s="125" t="n"/>
      <c r="X302" s="14" t="n"/>
      <c r="Y302" s="16" t="n"/>
      <c r="Z302" s="125" t="n"/>
      <c r="AA302" s="14" t="n"/>
      <c r="AB302" s="16" t="n"/>
      <c r="AC302" s="125" t="n"/>
      <c r="AD302" s="14" t="n"/>
    </row>
    <row r="303">
      <c r="A303" s="58" t="n"/>
      <c r="B303" s="59" t="n"/>
      <c r="C303" s="59" t="n"/>
      <c r="E303" s="16" t="n"/>
      <c r="F303" s="13" t="n"/>
      <c r="G303" s="16" t="n"/>
      <c r="H303" s="125" t="n"/>
      <c r="I303" s="14" t="n"/>
      <c r="J303" s="16" t="n"/>
      <c r="K303" s="125" t="n"/>
      <c r="L303" s="14" t="n"/>
      <c r="M303" s="16" t="n"/>
      <c r="N303" s="125" t="n"/>
      <c r="O303" s="14" t="n"/>
      <c r="P303" s="16" t="n"/>
      <c r="Q303" s="125" t="n"/>
      <c r="R303" s="14" t="n"/>
      <c r="S303" s="16" t="n"/>
      <c r="T303" s="125" t="n"/>
      <c r="U303" s="14" t="n"/>
      <c r="V303" s="16" t="n"/>
      <c r="W303" s="125" t="n"/>
      <c r="X303" s="14" t="n"/>
      <c r="Y303" s="16" t="n"/>
      <c r="Z303" s="125" t="n"/>
      <c r="AA303" s="14" t="n"/>
      <c r="AB303" s="16" t="n"/>
      <c r="AC303" s="125" t="n"/>
      <c r="AD303" s="14" t="n"/>
    </row>
    <row r="304">
      <c r="A304" s="56" t="n"/>
      <c r="B304" s="57" t="n"/>
      <c r="C304" s="59" t="n"/>
      <c r="E304" s="16" t="n"/>
      <c r="F304" s="13" t="n"/>
      <c r="G304" s="16" t="n"/>
      <c r="H304" s="125" t="n"/>
      <c r="I304" s="14" t="n"/>
      <c r="J304" s="16" t="n"/>
      <c r="K304" s="125" t="n"/>
      <c r="L304" s="14" t="n"/>
      <c r="M304" s="16" t="n"/>
      <c r="N304" s="125" t="n"/>
      <c r="O304" s="14" t="n"/>
      <c r="P304" s="16" t="n"/>
      <c r="Q304" s="125" t="n"/>
      <c r="R304" s="14" t="n"/>
      <c r="S304" s="16" t="n"/>
      <c r="T304" s="125" t="n"/>
      <c r="U304" s="14" t="n"/>
      <c r="V304" s="16" t="n"/>
      <c r="W304" s="125" t="n"/>
      <c r="X304" s="14" t="n"/>
      <c r="Y304" s="16" t="n"/>
      <c r="Z304" s="125" t="n"/>
      <c r="AA304" s="14" t="n"/>
      <c r="AB304" s="16" t="n"/>
      <c r="AC304" s="125" t="n"/>
      <c r="AD304" s="14" t="n"/>
    </row>
    <row r="305">
      <c r="A305" s="58" t="n"/>
      <c r="B305" s="59" t="n"/>
      <c r="C305" s="59" t="n"/>
      <c r="E305" s="16" t="n"/>
      <c r="F305" s="13" t="n"/>
      <c r="G305" s="16" t="n"/>
      <c r="H305" s="125" t="n"/>
      <c r="I305" s="14" t="n"/>
      <c r="J305" s="16" t="n"/>
      <c r="K305" s="125" t="n"/>
      <c r="L305" s="14" t="n"/>
      <c r="M305" s="16" t="n"/>
      <c r="N305" s="125" t="n"/>
      <c r="O305" s="14" t="n"/>
      <c r="P305" s="16" t="n"/>
      <c r="Q305" s="125" t="n"/>
      <c r="R305" s="14" t="n"/>
      <c r="S305" s="16" t="n"/>
      <c r="T305" s="125" t="n"/>
      <c r="U305" s="14" t="n"/>
      <c r="V305" s="16" t="n"/>
      <c r="W305" s="125" t="n"/>
      <c r="X305" s="14" t="n"/>
      <c r="Y305" s="16" t="n"/>
      <c r="Z305" s="125" t="n"/>
      <c r="AA305" s="14" t="n"/>
      <c r="AB305" s="16" t="n"/>
      <c r="AC305" s="125" t="n"/>
      <c r="AD305" s="14" t="n"/>
    </row>
    <row r="306">
      <c r="A306" s="56" t="n"/>
      <c r="B306" s="57" t="n"/>
      <c r="C306" s="59" t="n"/>
      <c r="E306" s="16" t="n"/>
      <c r="F306" s="13" t="n"/>
      <c r="G306" s="16" t="n"/>
      <c r="H306" s="125" t="n"/>
      <c r="I306" s="14" t="n"/>
      <c r="J306" s="16" t="n"/>
      <c r="K306" s="125" t="n"/>
      <c r="L306" s="14" t="n"/>
      <c r="M306" s="16" t="n"/>
      <c r="N306" s="125" t="n"/>
      <c r="O306" s="14" t="n"/>
      <c r="P306" s="16" t="n"/>
      <c r="Q306" s="125" t="n"/>
      <c r="R306" s="14" t="n"/>
      <c r="S306" s="16" t="n"/>
      <c r="T306" s="125" t="n"/>
      <c r="U306" s="14" t="n"/>
      <c r="V306" s="16" t="n"/>
      <c r="W306" s="125" t="n"/>
      <c r="X306" s="14" t="n"/>
      <c r="Y306" s="16" t="n"/>
      <c r="Z306" s="125" t="n"/>
      <c r="AA306" s="14" t="n"/>
      <c r="AB306" s="16" t="n"/>
      <c r="AC306" s="125" t="n"/>
      <c r="AD306" s="14" t="n"/>
    </row>
    <row r="307">
      <c r="A307" s="58" t="n"/>
      <c r="B307" s="59" t="n"/>
      <c r="C307" s="59" t="n"/>
      <c r="E307" s="16" t="n"/>
      <c r="F307" s="13" t="n"/>
      <c r="G307" s="16" t="n"/>
      <c r="H307" s="125" t="n"/>
      <c r="I307" s="14" t="n"/>
      <c r="J307" s="16" t="n"/>
      <c r="K307" s="125" t="n"/>
      <c r="L307" s="14" t="n"/>
      <c r="M307" s="16" t="n"/>
      <c r="N307" s="125" t="n"/>
      <c r="O307" s="14" t="n"/>
      <c r="P307" s="16" t="n"/>
      <c r="Q307" s="125" t="n"/>
      <c r="R307" s="14" t="n"/>
      <c r="S307" s="16" t="n"/>
      <c r="T307" s="125" t="n"/>
      <c r="U307" s="14" t="n"/>
      <c r="V307" s="16" t="n"/>
      <c r="W307" s="125" t="n"/>
      <c r="X307" s="14" t="n"/>
      <c r="Y307" s="16" t="n"/>
      <c r="Z307" s="125" t="n"/>
      <c r="AA307" s="14" t="n"/>
      <c r="AB307" s="16" t="n"/>
      <c r="AC307" s="125" t="n"/>
      <c r="AD307" s="14" t="n"/>
    </row>
    <row r="308">
      <c r="A308" s="56" t="n"/>
      <c r="B308" s="57" t="n"/>
      <c r="C308" s="59" t="n"/>
      <c r="E308" s="16" t="n"/>
      <c r="F308" s="13" t="n"/>
      <c r="G308" s="16" t="n"/>
      <c r="H308" s="125" t="n"/>
      <c r="I308" s="14" t="n"/>
      <c r="J308" s="16" t="n"/>
      <c r="K308" s="125" t="n"/>
      <c r="L308" s="14" t="n"/>
      <c r="M308" s="16" t="n"/>
      <c r="N308" s="125" t="n"/>
      <c r="O308" s="14" t="n"/>
      <c r="P308" s="16" t="n"/>
      <c r="Q308" s="125" t="n"/>
      <c r="R308" s="14" t="n"/>
      <c r="S308" s="16" t="n"/>
      <c r="T308" s="125" t="n"/>
      <c r="U308" s="14" t="n"/>
      <c r="V308" s="16" t="n"/>
      <c r="W308" s="125" t="n"/>
      <c r="X308" s="14" t="n"/>
      <c r="Y308" s="16" t="n"/>
      <c r="Z308" s="125" t="n"/>
      <c r="AA308" s="14" t="n"/>
      <c r="AB308" s="16" t="n"/>
      <c r="AC308" s="125" t="n"/>
      <c r="AD308" s="14" t="n"/>
    </row>
    <row r="309">
      <c r="A309" s="58" t="n"/>
      <c r="B309" s="59" t="n"/>
      <c r="C309" s="59" t="n"/>
      <c r="E309" s="16" t="n"/>
      <c r="F309" s="13" t="n"/>
      <c r="G309" s="16" t="n"/>
      <c r="H309" s="125" t="n"/>
      <c r="I309" s="14" t="n"/>
      <c r="J309" s="16" t="n"/>
      <c r="K309" s="125" t="n"/>
      <c r="L309" s="14" t="n"/>
      <c r="M309" s="16" t="n"/>
      <c r="N309" s="125" t="n"/>
      <c r="O309" s="14" t="n"/>
      <c r="P309" s="16" t="n"/>
      <c r="Q309" s="125" t="n"/>
      <c r="R309" s="14" t="n"/>
      <c r="S309" s="16" t="n"/>
      <c r="T309" s="125" t="n"/>
      <c r="U309" s="14" t="n"/>
      <c r="V309" s="16" t="n"/>
      <c r="W309" s="125" t="n"/>
      <c r="X309" s="14" t="n"/>
      <c r="Y309" s="16" t="n"/>
      <c r="Z309" s="125" t="n"/>
      <c r="AA309" s="14" t="n"/>
      <c r="AB309" s="16" t="n"/>
      <c r="AC309" s="125" t="n"/>
      <c r="AD309" s="14" t="n"/>
    </row>
    <row r="310">
      <c r="A310" s="56" t="n"/>
      <c r="B310" s="57" t="n"/>
      <c r="C310" s="59" t="n"/>
      <c r="E310" s="16" t="n"/>
      <c r="F310" s="13" t="n"/>
      <c r="G310" s="16" t="n"/>
      <c r="H310" s="125" t="n"/>
      <c r="I310" s="14" t="n"/>
      <c r="J310" s="16" t="n"/>
      <c r="K310" s="125" t="n"/>
      <c r="L310" s="14" t="n"/>
      <c r="M310" s="16" t="n"/>
      <c r="N310" s="125" t="n"/>
      <c r="O310" s="14" t="n"/>
      <c r="P310" s="16" t="n"/>
      <c r="Q310" s="125" t="n"/>
      <c r="R310" s="14" t="n"/>
      <c r="S310" s="16" t="n"/>
      <c r="T310" s="125" t="n"/>
      <c r="U310" s="14" t="n"/>
      <c r="V310" s="16" t="n"/>
      <c r="W310" s="125" t="n"/>
      <c r="X310" s="14" t="n"/>
      <c r="Y310" s="16" t="n"/>
      <c r="Z310" s="125" t="n"/>
      <c r="AA310" s="14" t="n"/>
      <c r="AB310" s="16" t="n"/>
      <c r="AC310" s="125" t="n"/>
      <c r="AD310" s="14" t="n"/>
    </row>
    <row r="311">
      <c r="A311" s="58" t="n"/>
      <c r="B311" s="59" t="n"/>
      <c r="C311" s="59" t="n"/>
      <c r="E311" s="16" t="n"/>
      <c r="F311" s="13" t="n"/>
      <c r="G311" s="16" t="n"/>
      <c r="H311" s="125" t="n"/>
      <c r="I311" s="14" t="n"/>
      <c r="J311" s="16" t="n"/>
      <c r="K311" s="125" t="n"/>
      <c r="L311" s="14" t="n"/>
      <c r="M311" s="16" t="n"/>
      <c r="N311" s="125" t="n"/>
      <c r="O311" s="14" t="n"/>
      <c r="P311" s="16" t="n"/>
      <c r="Q311" s="125" t="n"/>
      <c r="R311" s="14" t="n"/>
      <c r="S311" s="16" t="n"/>
      <c r="T311" s="125" t="n"/>
      <c r="U311" s="14" t="n"/>
      <c r="V311" s="16" t="n"/>
      <c r="W311" s="125" t="n"/>
      <c r="X311" s="14" t="n"/>
      <c r="Y311" s="16" t="n"/>
      <c r="Z311" s="125" t="n"/>
      <c r="AA311" s="14" t="n"/>
      <c r="AB311" s="16" t="n"/>
      <c r="AC311" s="125" t="n"/>
      <c r="AD311" s="14" t="n"/>
    </row>
    <row r="312">
      <c r="A312" s="56" t="n"/>
      <c r="B312" s="57" t="n"/>
      <c r="C312" s="59" t="n"/>
      <c r="E312" s="16" t="n"/>
      <c r="F312" s="13" t="n"/>
      <c r="G312" s="16" t="n"/>
      <c r="H312" s="125" t="n"/>
      <c r="I312" s="14" t="n"/>
      <c r="J312" s="16" t="n"/>
      <c r="K312" s="125" t="n"/>
      <c r="L312" s="14" t="n"/>
      <c r="M312" s="16" t="n"/>
      <c r="N312" s="125" t="n"/>
      <c r="O312" s="14" t="n"/>
      <c r="P312" s="16" t="n"/>
      <c r="Q312" s="125" t="n"/>
      <c r="R312" s="14" t="n"/>
      <c r="S312" s="16" t="n"/>
      <c r="T312" s="125" t="n"/>
      <c r="U312" s="14" t="n"/>
      <c r="V312" s="16" t="n"/>
      <c r="W312" s="125" t="n"/>
      <c r="X312" s="14" t="n"/>
      <c r="Y312" s="16" t="n"/>
      <c r="Z312" s="125" t="n"/>
      <c r="AA312" s="14" t="n"/>
      <c r="AB312" s="16" t="n"/>
      <c r="AC312" s="125" t="n"/>
      <c r="AD312" s="14" t="n"/>
    </row>
    <row r="313">
      <c r="A313" s="58" t="n"/>
      <c r="B313" s="59" t="n"/>
      <c r="C313" s="59" t="n"/>
      <c r="E313" s="16" t="n"/>
      <c r="F313" s="13" t="n"/>
      <c r="G313" s="16" t="n"/>
      <c r="H313" s="125" t="n"/>
      <c r="I313" s="14" t="n"/>
      <c r="J313" s="16" t="n"/>
      <c r="K313" s="125" t="n"/>
      <c r="L313" s="14" t="n"/>
      <c r="M313" s="16" t="n"/>
      <c r="N313" s="125" t="n"/>
      <c r="O313" s="14" t="n"/>
      <c r="P313" s="16" t="n"/>
      <c r="Q313" s="125" t="n"/>
      <c r="R313" s="14" t="n"/>
      <c r="S313" s="16" t="n"/>
      <c r="T313" s="125" t="n"/>
      <c r="U313" s="14" t="n"/>
      <c r="V313" s="16" t="n"/>
      <c r="W313" s="125" t="n"/>
      <c r="X313" s="14" t="n"/>
      <c r="Y313" s="16" t="n"/>
      <c r="Z313" s="125" t="n"/>
      <c r="AA313" s="14" t="n"/>
      <c r="AB313" s="16" t="n"/>
      <c r="AC313" s="125" t="n"/>
      <c r="AD313" s="14" t="n"/>
    </row>
    <row r="314">
      <c r="A314" s="56" t="n"/>
      <c r="B314" s="57" t="n"/>
      <c r="C314" s="59" t="n"/>
      <c r="E314" s="16" t="n"/>
      <c r="F314" s="13" t="n"/>
      <c r="G314" s="16" t="n"/>
      <c r="H314" s="125" t="n"/>
      <c r="I314" s="14" t="n"/>
      <c r="J314" s="16" t="n"/>
      <c r="K314" s="125" t="n"/>
      <c r="L314" s="14" t="n"/>
      <c r="M314" s="16" t="n"/>
      <c r="N314" s="125" t="n"/>
      <c r="O314" s="14" t="n"/>
      <c r="P314" s="16" t="n"/>
      <c r="Q314" s="125" t="n"/>
      <c r="R314" s="14" t="n"/>
      <c r="S314" s="16" t="n"/>
      <c r="T314" s="125" t="n"/>
      <c r="U314" s="14" t="n"/>
      <c r="V314" s="16" t="n"/>
      <c r="W314" s="125" t="n"/>
      <c r="X314" s="14" t="n"/>
      <c r="Y314" s="16" t="n"/>
      <c r="Z314" s="125" t="n"/>
      <c r="AA314" s="14" t="n"/>
      <c r="AB314" s="16" t="n"/>
      <c r="AC314" s="125" t="n"/>
      <c r="AD314" s="14" t="n"/>
    </row>
  </sheetData>
  <autoFilter ref="A14:E14"/>
  <conditionalFormatting sqref="E15:E314">
    <cfRule type="cellIs" priority="438" operator="greaterThan" dxfId="3">
      <formula>0</formula>
    </cfRule>
  </conditionalFormatting>
  <conditionalFormatting sqref="G15:G215">
    <cfRule type="expression" priority="378" dxfId="2">
      <formula>AND(NOT(ISBLANK(G15)),G15&lt;H$7)</formula>
    </cfRule>
    <cfRule type="expression" priority="379" dxfId="1">
      <formula>AND(G15&lt;=(H$7),(G15+H$5)&gt;(H$7))</formula>
    </cfRule>
    <cfRule type="expression" priority="380" dxfId="0">
      <formula>AND(NOT(ISBLANK(G15)),G15&gt;H$7)</formula>
    </cfRule>
  </conditionalFormatting>
  <conditionalFormatting sqref="G15:G264">
    <cfRule type="cellIs" priority="413" operator="greaterThan" dxfId="3">
      <formula>0</formula>
    </cfRule>
  </conditionalFormatting>
  <conditionalFormatting sqref="H2">
    <cfRule type="iconSet" priority="153">
      <iconSet iconSet="3Symbols2">
        <cfvo type="percent" val="0"/>
        <cfvo type="num" val="30" gte="0"/>
        <cfvo type="num" val="50" gte="0"/>
      </iconSet>
    </cfRule>
  </conditionalFormatting>
  <conditionalFormatting sqref="H15:H264">
    <cfRule type="dataBar" priority="405">
      <dataBar>
        <cfvo type="num" val="0"/>
        <cfvo type="max"/>
        <color rgb="FF638EC6"/>
      </dataBar>
    </cfRule>
  </conditionalFormatting>
  <conditionalFormatting sqref="J15:J215">
    <cfRule type="expression" priority="45" dxfId="2">
      <formula>AND(NOT(ISBLANK(J15)),J15&lt;K$7)</formula>
    </cfRule>
    <cfRule type="expression" priority="46" dxfId="1">
      <formula>AND(J15&lt;=(K$7),(J15+K$5)&gt;(K$7))</formula>
    </cfRule>
    <cfRule type="expression" priority="47" dxfId="0">
      <formula>AND(NOT(ISBLANK(J15)),J15&gt;K$7)</formula>
    </cfRule>
  </conditionalFormatting>
  <conditionalFormatting sqref="J15:J264">
    <cfRule type="cellIs" priority="49" operator="greaterThan" dxfId="3">
      <formula>0</formula>
    </cfRule>
  </conditionalFormatting>
  <conditionalFormatting sqref="K2">
    <cfRule type="iconSet" priority="44">
      <iconSet iconSet="3Symbols2">
        <cfvo type="percent" val="0"/>
        <cfvo type="num" val="30" gte="0"/>
        <cfvo type="num" val="50" gte="0"/>
      </iconSet>
    </cfRule>
  </conditionalFormatting>
  <conditionalFormatting sqref="K15:K264">
    <cfRule type="dataBar" priority="48">
      <dataBar>
        <cfvo type="num" val="0"/>
        <cfvo type="max"/>
        <color rgb="FF638EC6"/>
      </dataBar>
    </cfRule>
  </conditionalFormatting>
  <conditionalFormatting sqref="M15:M215">
    <cfRule type="expression" priority="38" dxfId="2">
      <formula>AND(NOT(ISBLANK(M15)),M15&lt;N$7)</formula>
    </cfRule>
    <cfRule type="expression" priority="39" dxfId="1">
      <formula>AND(M15&lt;=(N$7),(M15+N$5)&gt;(N$7))</formula>
    </cfRule>
    <cfRule type="expression" priority="40" dxfId="0">
      <formula>AND(NOT(ISBLANK(M15)),M15&gt;N$7)</formula>
    </cfRule>
  </conditionalFormatting>
  <conditionalFormatting sqref="M15:M264">
    <cfRule type="cellIs" priority="42" operator="greaterThan" dxfId="3">
      <formula>0</formula>
    </cfRule>
  </conditionalFormatting>
  <conditionalFormatting sqref="N2">
    <cfRule type="iconSet" priority="37">
      <iconSet iconSet="3Symbols2">
        <cfvo type="percent" val="0"/>
        <cfvo type="num" val="30" gte="0"/>
        <cfvo type="num" val="50" gte="0"/>
      </iconSet>
    </cfRule>
  </conditionalFormatting>
  <conditionalFormatting sqref="N15:N264">
    <cfRule type="dataBar" priority="41">
      <dataBar>
        <cfvo type="num" val="0"/>
        <cfvo type="max"/>
        <color rgb="FF638EC6"/>
      </dataBar>
    </cfRule>
  </conditionalFormatting>
  <conditionalFormatting sqref="P15:P215">
    <cfRule type="expression" priority="31" dxfId="2">
      <formula>AND(NOT(ISBLANK(P15)),P15&lt;Q$7)</formula>
    </cfRule>
    <cfRule type="expression" priority="32" dxfId="1">
      <formula>AND(P15&lt;=(Q$7),(P15+Q$5)&gt;(Q$7))</formula>
    </cfRule>
    <cfRule type="expression" priority="33" dxfId="0">
      <formula>AND(NOT(ISBLANK(P15)),P15&gt;Q$7)</formula>
    </cfRule>
  </conditionalFormatting>
  <conditionalFormatting sqref="P15:P264">
    <cfRule type="cellIs" priority="35" operator="greaterThan" dxfId="3">
      <formula>0</formula>
    </cfRule>
  </conditionalFormatting>
  <conditionalFormatting sqref="Q2">
    <cfRule type="iconSet" priority="30">
      <iconSet iconSet="3Symbols2">
        <cfvo type="percent" val="0"/>
        <cfvo type="num" val="30" gte="0"/>
        <cfvo type="num" val="50" gte="0"/>
      </iconSet>
    </cfRule>
  </conditionalFormatting>
  <conditionalFormatting sqref="Q15:Q264">
    <cfRule type="dataBar" priority="34">
      <dataBar>
        <cfvo type="num" val="0"/>
        <cfvo type="max"/>
        <color rgb="FF638EC6"/>
      </dataBar>
    </cfRule>
  </conditionalFormatting>
  <conditionalFormatting sqref="S15:S215">
    <cfRule type="expression" priority="24" dxfId="2">
      <formula>AND(NOT(ISBLANK(S15)),S15&lt;T$7)</formula>
    </cfRule>
    <cfRule type="expression" priority="25" dxfId="1">
      <formula>AND(S15&lt;=(T$7),(S15+T$5)&gt;(T$7))</formula>
    </cfRule>
    <cfRule type="expression" priority="26" dxfId="0">
      <formula>AND(NOT(ISBLANK(S15)),S15&gt;T$7)</formula>
    </cfRule>
  </conditionalFormatting>
  <conditionalFormatting sqref="S15:S264">
    <cfRule type="cellIs" priority="28" operator="greaterThan" dxfId="3">
      <formula>0</formula>
    </cfRule>
  </conditionalFormatting>
  <conditionalFormatting sqref="T2">
    <cfRule type="iconSet" priority="23">
      <iconSet iconSet="3Symbols2">
        <cfvo type="percent" val="0"/>
        <cfvo type="num" val="30" gte="0"/>
        <cfvo type="num" val="50" gte="0"/>
      </iconSet>
    </cfRule>
  </conditionalFormatting>
  <conditionalFormatting sqref="T15:T264">
    <cfRule type="dataBar" priority="27">
      <dataBar>
        <cfvo type="num" val="0"/>
        <cfvo type="max"/>
        <color rgb="FF638EC6"/>
      </dataBar>
    </cfRule>
  </conditionalFormatting>
  <conditionalFormatting sqref="V15:V215">
    <cfRule type="expression" priority="17" dxfId="2">
      <formula>AND(NOT(ISBLANK(V15)),V15&lt;W$7)</formula>
    </cfRule>
    <cfRule type="expression" priority="18" dxfId="1">
      <formula>AND(V15&lt;=(W$7),(V15+W$5)&gt;(W$7))</formula>
    </cfRule>
    <cfRule type="expression" priority="19" dxfId="0">
      <formula>AND(NOT(ISBLANK(V15)),V15&gt;W$7)</formula>
    </cfRule>
  </conditionalFormatting>
  <conditionalFormatting sqref="V15:V264">
    <cfRule type="cellIs" priority="21" operator="greaterThan" dxfId="3">
      <formula>0</formula>
    </cfRule>
  </conditionalFormatting>
  <conditionalFormatting sqref="W2">
    <cfRule type="iconSet" priority="16">
      <iconSet iconSet="3Symbols2">
        <cfvo type="percent" val="0"/>
        <cfvo type="num" val="30" gte="0"/>
        <cfvo type="num" val="50" gte="0"/>
      </iconSet>
    </cfRule>
  </conditionalFormatting>
  <conditionalFormatting sqref="W15:W264">
    <cfRule type="dataBar" priority="20">
      <dataBar>
        <cfvo type="num" val="0"/>
        <cfvo type="max"/>
        <color rgb="FF638EC6"/>
      </dataBar>
    </cfRule>
  </conditionalFormatting>
  <conditionalFormatting sqref="Y15:Y215">
    <cfRule type="expression" priority="10" dxfId="2">
      <formula>AND(NOT(ISBLANK(Y15)),Y15&lt;Z$7)</formula>
    </cfRule>
    <cfRule type="expression" priority="11" dxfId="1">
      <formula>AND(Y15&lt;=(Z$7),(Y15+Z$5)&gt;(Z$7))</formula>
    </cfRule>
    <cfRule type="expression" priority="12" dxfId="0">
      <formula>AND(NOT(ISBLANK(Y15)),Y15&gt;Z$7)</formula>
    </cfRule>
  </conditionalFormatting>
  <conditionalFormatting sqref="Y15:Y264">
    <cfRule type="cellIs" priority="14" operator="greaterThan" dxfId="3">
      <formula>0</formula>
    </cfRule>
  </conditionalFormatting>
  <conditionalFormatting sqref="Z2">
    <cfRule type="iconSet" priority="9">
      <iconSet iconSet="3Symbols2">
        <cfvo type="percent" val="0"/>
        <cfvo type="num" val="30" gte="0"/>
        <cfvo type="num" val="50" gte="0"/>
      </iconSet>
    </cfRule>
  </conditionalFormatting>
  <conditionalFormatting sqref="Z15:Z264">
    <cfRule type="dataBar" priority="13">
      <dataBar>
        <cfvo type="num" val="0"/>
        <cfvo type="max"/>
        <color rgb="FF638EC6"/>
      </dataBar>
    </cfRule>
  </conditionalFormatting>
  <conditionalFormatting sqref="AB15:AB215">
    <cfRule type="expression" priority="3" dxfId="2">
      <formula>AND(NOT(ISBLANK(AB15)),AB15&lt;AC$7)</formula>
    </cfRule>
    <cfRule type="expression" priority="4" dxfId="1">
      <formula>AND(AB15&lt;=(AC$7),(AB15+AC$5)&gt;(AC$7))</formula>
    </cfRule>
    <cfRule type="expression" priority="5" dxfId="0">
      <formula>AND(NOT(ISBLANK(AB15)),AB15&gt;AC$7)</formula>
    </cfRule>
  </conditionalFormatting>
  <conditionalFormatting sqref="AB15:AB264">
    <cfRule type="cellIs" priority="7" operator="greaterThan" dxfId="3">
      <formula>0</formula>
    </cfRule>
  </conditionalFormatting>
  <conditionalFormatting sqref="AC2">
    <cfRule type="iconSet" priority="2">
      <iconSet iconSet="3Symbols2">
        <cfvo type="percent" val="0"/>
        <cfvo type="num" val="30" gte="0"/>
        <cfvo type="num" val="50" gte="0"/>
      </iconSet>
    </cfRule>
  </conditionalFormatting>
  <conditionalFormatting sqref="AC15:AC264">
    <cfRule type="dataBar" priority="6">
      <dataBar>
        <cfvo type="num" val="0"/>
        <cfvo type="max"/>
        <color rgb="FF638EC6"/>
      </dataBar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rgb="FF00B0F0"/>
    <outlinePr summaryBelow="1" summaryRight="1"/>
    <pageSetUpPr/>
  </sheetPr>
  <dimension ref="A1:AE357"/>
  <sheetViews>
    <sheetView showGridLines="0" showZeros="0" zoomScale="70" zoomScaleNormal="70" workbookViewId="0">
      <selection activeCell="A15" sqref="A15:D1081"/>
    </sheetView>
  </sheetViews>
  <sheetFormatPr baseColWidth="8" defaultRowHeight="14.4"/>
  <cols>
    <col width="8.44140625" customWidth="1" style="113" min="1" max="1"/>
    <col width="11.88671875" customWidth="1" style="113" min="2" max="2"/>
    <col width="7.109375" customWidth="1" style="113" min="3" max="3"/>
    <col width="8.5546875" customWidth="1" style="113" min="4" max="4"/>
    <col width="4.5546875" bestFit="1" customWidth="1" style="113" min="5" max="5"/>
    <col width="2.6640625" customWidth="1" style="113" min="6" max="6"/>
    <col width="11.5546875" customWidth="1" style="113" min="7" max="8"/>
    <col width="2.33203125" customWidth="1" style="113" min="9" max="9"/>
    <col width="11.5546875" customWidth="1" style="113" min="10" max="11"/>
    <col width="2.33203125" customWidth="1" style="113" min="12" max="12"/>
    <col width="11.5546875" customWidth="1" style="113" min="13" max="14"/>
    <col width="2.33203125" customWidth="1" style="113" min="15" max="15"/>
    <col width="11.5546875" customWidth="1" style="113" min="16" max="17"/>
    <col width="2.33203125" customWidth="1" style="113" min="18" max="18"/>
    <col width="11.5546875" customWidth="1" style="113" min="19" max="20"/>
    <col width="2.33203125" customWidth="1" style="113" min="21" max="21"/>
    <col width="11.5546875" customWidth="1" style="113" min="22" max="23"/>
    <col width="2.33203125" customWidth="1" style="113" min="24" max="24"/>
    <col width="11.5546875" customWidth="1" style="113" min="25" max="26"/>
    <col width="2.33203125" customWidth="1" style="113" min="27" max="27"/>
    <col width="11.5546875" customWidth="1" style="113" min="28" max="29"/>
    <col width="2.33203125" customWidth="1" style="113" min="30" max="30"/>
  </cols>
  <sheetData>
    <row r="1">
      <c r="D1" s="114" t="n"/>
      <c r="E1" s="115" t="n"/>
      <c r="F1" s="31" t="n"/>
      <c r="G1" s="36">
        <f>FAO!B1&amp;" max ="</f>
        <v/>
      </c>
      <c r="H1" s="116">
        <f>+FAO!B10</f>
        <v/>
      </c>
      <c r="I1" s="32" t="n"/>
      <c r="J1" s="36">
        <f>FAO!E1&amp;" max ="</f>
        <v/>
      </c>
      <c r="K1" s="116">
        <f>+FAO!E10</f>
        <v/>
      </c>
      <c r="L1" s="32" t="n"/>
      <c r="M1" s="36">
        <f>FAO!H1&amp;" max ="</f>
        <v/>
      </c>
      <c r="N1" s="116">
        <f>+FAO!H10</f>
        <v/>
      </c>
      <c r="O1" s="32" t="n"/>
      <c r="P1" s="36">
        <f>FAO!K1&amp;" max ="</f>
        <v/>
      </c>
      <c r="Q1" s="116">
        <f>+FAO!K10</f>
        <v/>
      </c>
      <c r="R1" s="32" t="n"/>
      <c r="S1" s="36">
        <f>FAO!N1&amp;" max ="</f>
        <v/>
      </c>
      <c r="T1" s="116">
        <f>+FAO!N10</f>
        <v/>
      </c>
      <c r="U1" s="32" t="n"/>
      <c r="V1" s="36">
        <f>FAO!Q1&amp;" max ="</f>
        <v/>
      </c>
      <c r="W1" s="116">
        <f>+FAO!Q10</f>
        <v/>
      </c>
      <c r="X1" s="32" t="n"/>
      <c r="Y1" s="36">
        <f>FAO!T1&amp;" max ="</f>
        <v/>
      </c>
      <c r="Z1" s="116">
        <f>+FAO!T10</f>
        <v/>
      </c>
      <c r="AA1" s="32" t="n"/>
      <c r="AB1" s="36">
        <f>FAO!W1&amp;" max ="</f>
        <v/>
      </c>
      <c r="AC1" s="116">
        <f>+FAO!W10</f>
        <v/>
      </c>
      <c r="AD1" s="32" t="n"/>
    </row>
    <row r="2">
      <c r="D2" s="114" t="n"/>
      <c r="E2" s="115" t="n"/>
      <c r="F2" s="31" t="n"/>
      <c r="G2" s="48" t="inlineStr">
        <is>
          <t>obs n =</t>
        </is>
      </c>
      <c r="H2">
        <f>COUNTIF($C$18:$C$1003,G13)</f>
        <v/>
      </c>
      <c r="I2" s="32" t="n"/>
      <c r="J2" s="48" t="inlineStr">
        <is>
          <t>obs n =</t>
        </is>
      </c>
      <c r="K2">
        <f>COUNTIF($C$18:$C$1003,J13)</f>
        <v/>
      </c>
      <c r="L2" s="32" t="n"/>
      <c r="M2" s="48" t="inlineStr">
        <is>
          <t>obs n =</t>
        </is>
      </c>
      <c r="N2">
        <f>COUNTIF($C$18:$C$1003,M13)</f>
        <v/>
      </c>
      <c r="O2" s="32" t="n"/>
      <c r="P2" s="48" t="inlineStr">
        <is>
          <t>obs n =</t>
        </is>
      </c>
      <c r="Q2">
        <f>COUNTIF($C$18:$C$1003,P13)</f>
        <v/>
      </c>
      <c r="R2" s="32" t="n"/>
      <c r="S2" s="48" t="inlineStr">
        <is>
          <t>obs n =</t>
        </is>
      </c>
      <c r="T2">
        <f>COUNTIF($C$18:$C$1003,S13)</f>
        <v/>
      </c>
      <c r="U2" s="32" t="n"/>
      <c r="V2" s="48" t="inlineStr">
        <is>
          <t>obs n =</t>
        </is>
      </c>
      <c r="W2">
        <f>COUNTIF($C$18:$C$1003,V13)</f>
        <v/>
      </c>
      <c r="X2" s="32" t="n"/>
      <c r="Y2" s="48" t="inlineStr">
        <is>
          <t>obs n =</t>
        </is>
      </c>
      <c r="Z2">
        <f>COUNTIF($C$18:$C$1003,Y13)</f>
        <v/>
      </c>
      <c r="AA2" s="32" t="n"/>
      <c r="AB2" s="48" t="inlineStr">
        <is>
          <t>obs n =</t>
        </is>
      </c>
      <c r="AC2">
        <f>COUNTIF($C$18:$C$1003,AB13)</f>
        <v/>
      </c>
      <c r="AD2" s="32" t="n"/>
    </row>
    <row r="3">
      <c r="D3" s="114" t="n"/>
      <c r="E3" s="115" t="n"/>
      <c r="F3" s="31" t="n"/>
      <c r="G3" s="48" t="inlineStr">
        <is>
          <t xml:space="preserve">freq n= </t>
        </is>
      </c>
      <c r="H3">
        <f>+SUM(H15:H1003)</f>
        <v/>
      </c>
      <c r="I3" s="32" t="n"/>
      <c r="J3" s="48" t="inlineStr">
        <is>
          <t xml:space="preserve">freq n= </t>
        </is>
      </c>
      <c r="K3">
        <f>+SUM(K15:K1003)</f>
        <v/>
      </c>
      <c r="L3" s="32" t="n"/>
      <c r="M3" s="48" t="inlineStr">
        <is>
          <t xml:space="preserve">freq n= </t>
        </is>
      </c>
      <c r="N3">
        <f>+SUM(N15:N1003)</f>
        <v/>
      </c>
      <c r="O3" s="32" t="n"/>
      <c r="P3" s="48" t="inlineStr">
        <is>
          <t xml:space="preserve">freq n= </t>
        </is>
      </c>
      <c r="Q3">
        <f>+SUM(Q15:Q1003)</f>
        <v/>
      </c>
      <c r="R3" s="32" t="n"/>
      <c r="S3" s="48" t="inlineStr">
        <is>
          <t xml:space="preserve">freq n= </t>
        </is>
      </c>
      <c r="T3">
        <f>+SUM(T15:T1003)</f>
        <v/>
      </c>
      <c r="U3" s="32" t="n"/>
      <c r="V3" s="48" t="inlineStr">
        <is>
          <t xml:space="preserve">freq n= </t>
        </is>
      </c>
      <c r="W3">
        <f>+SUM(W15:W1003)</f>
        <v/>
      </c>
      <c r="X3" s="32" t="n"/>
      <c r="Y3" s="48" t="inlineStr">
        <is>
          <t xml:space="preserve">freq n= </t>
        </is>
      </c>
      <c r="Z3">
        <f>+SUM(Z15:Z1003)</f>
        <v/>
      </c>
      <c r="AA3" s="32" t="n"/>
      <c r="AB3" s="48" t="inlineStr">
        <is>
          <t xml:space="preserve">freq n= </t>
        </is>
      </c>
      <c r="AC3">
        <f>+SUM(AC15:AC1003)</f>
        <v/>
      </c>
      <c r="AD3" s="32" t="n"/>
    </row>
    <row r="4">
      <c r="D4" s="114" t="n"/>
      <c r="E4" s="115" t="n"/>
      <c r="F4" s="31" t="n"/>
      <c r="G4" s="48" t="inlineStr">
        <is>
          <t>first bin =</t>
        </is>
      </c>
      <c r="H4" t="n">
        <v>10</v>
      </c>
      <c r="I4" s="32" t="n"/>
      <c r="J4" s="48" t="inlineStr">
        <is>
          <t>first bin =</t>
        </is>
      </c>
      <c r="K4" t="n">
        <v>10</v>
      </c>
      <c r="L4" s="32" t="n"/>
      <c r="M4" s="48" t="inlineStr">
        <is>
          <t>first bin =</t>
        </is>
      </c>
      <c r="N4" t="n">
        <v>10</v>
      </c>
      <c r="O4" s="32" t="n"/>
      <c r="P4" s="48" t="inlineStr">
        <is>
          <t>first bin =</t>
        </is>
      </c>
      <c r="Q4" t="n">
        <v>10</v>
      </c>
      <c r="R4" s="32" t="n"/>
      <c r="S4" s="48" t="inlineStr">
        <is>
          <t>first bin =</t>
        </is>
      </c>
      <c r="T4" t="n">
        <v>10</v>
      </c>
      <c r="U4" s="32" t="n"/>
      <c r="V4" s="48" t="inlineStr">
        <is>
          <t>first bin =</t>
        </is>
      </c>
      <c r="W4" t="n">
        <v>10</v>
      </c>
      <c r="X4" s="32" t="n"/>
      <c r="Y4" s="48" t="inlineStr">
        <is>
          <t>first bin =</t>
        </is>
      </c>
      <c r="Z4" t="n">
        <v>10</v>
      </c>
      <c r="AA4" s="32" t="n"/>
      <c r="AB4" s="48" t="inlineStr">
        <is>
          <t>first bin =</t>
        </is>
      </c>
      <c r="AC4" t="n">
        <v>10</v>
      </c>
      <c r="AD4" s="32" t="n"/>
    </row>
    <row r="5">
      <c r="D5" s="114" t="n"/>
      <c r="E5" s="115" t="n"/>
      <c r="F5" s="31" t="n"/>
      <c r="G5" s="48" t="inlineStr">
        <is>
          <t>increment =</t>
        </is>
      </c>
      <c r="H5">
        <f>+FAO!B14</f>
        <v/>
      </c>
      <c r="I5" s="32" t="n"/>
      <c r="J5" s="48" t="inlineStr">
        <is>
          <t>increment =</t>
        </is>
      </c>
      <c r="K5">
        <f>+FAO!E14</f>
        <v/>
      </c>
      <c r="L5" s="32" t="n"/>
      <c r="M5" s="48" t="inlineStr">
        <is>
          <t>increment =</t>
        </is>
      </c>
      <c r="N5">
        <f>+FAO!H14</f>
        <v/>
      </c>
      <c r="O5" s="32" t="n"/>
      <c r="P5" s="48" t="inlineStr">
        <is>
          <t>increment =</t>
        </is>
      </c>
      <c r="Q5">
        <f>+FAO!K14</f>
        <v/>
      </c>
      <c r="R5" s="32" t="n"/>
      <c r="S5" s="48" t="inlineStr">
        <is>
          <t>increment =</t>
        </is>
      </c>
      <c r="T5">
        <f>+FAO!N14</f>
        <v/>
      </c>
      <c r="U5" s="32" t="n"/>
      <c r="V5" s="48" t="inlineStr">
        <is>
          <t>increment =</t>
        </is>
      </c>
      <c r="W5">
        <f>+FAO!Q14</f>
        <v/>
      </c>
      <c r="X5" s="32" t="n"/>
      <c r="Y5" s="48" t="inlineStr">
        <is>
          <t>increment =</t>
        </is>
      </c>
      <c r="Z5">
        <f>+FAO!T14</f>
        <v/>
      </c>
      <c r="AA5" s="32" t="n"/>
      <c r="AB5" s="48" t="inlineStr">
        <is>
          <t>increment =</t>
        </is>
      </c>
      <c r="AC5">
        <f>+FAO!W14</f>
        <v/>
      </c>
      <c r="AD5" s="32" t="n"/>
    </row>
    <row r="6">
      <c r="D6" s="114" t="n"/>
      <c r="E6" s="115" t="n"/>
      <c r="F6" s="31" t="n"/>
      <c r="G6" s="48" t="inlineStr">
        <is>
          <t>Complete =</t>
        </is>
      </c>
      <c r="H6">
        <f>COUNTIFS($C$18:$C$2015,G$13,$D$18:$D$2015,"&gt;5")/COUNTIF($C$18:$C$2015,G$13)*100</f>
        <v/>
      </c>
      <c r="I6" s="32" t="n"/>
      <c r="J6" s="48" t="inlineStr">
        <is>
          <t>Complete =</t>
        </is>
      </c>
      <c r="K6">
        <f>COUNTIFS($C$18:$C$2015,J$13,$D$18:$D$2015,"&gt;5")/COUNTIF($C$18:$C$2015,J$13)*100</f>
        <v/>
      </c>
      <c r="L6" s="32" t="n"/>
      <c r="M6" s="48" t="inlineStr">
        <is>
          <t>Complete =</t>
        </is>
      </c>
      <c r="N6">
        <f>COUNTIFS($C$18:$C$2015,M$13,$D$18:$D$2015,"&gt;5")/COUNTIF($C$18:$C$2015,M$13)*100</f>
        <v/>
      </c>
      <c r="O6" s="32" t="n"/>
      <c r="P6" s="48" t="inlineStr">
        <is>
          <t>Complete =</t>
        </is>
      </c>
      <c r="Q6">
        <f>COUNTIFS($C$18:$C$2015,P$13,$D$18:$D$2015,"&gt;5")/COUNTIF($C$18:$C$2015,P$13)*100</f>
        <v/>
      </c>
      <c r="R6" s="32" t="n"/>
      <c r="S6" s="48" t="inlineStr">
        <is>
          <t>Complete =</t>
        </is>
      </c>
      <c r="T6">
        <f>COUNTIFS($C$18:$C$2015,S$13,$D$18:$D$2015,"&gt;5")/COUNTIF($C$18:$C$2015,S$13)*100</f>
        <v/>
      </c>
      <c r="U6" s="32" t="n"/>
      <c r="V6" s="48" t="inlineStr">
        <is>
          <t>Complete =</t>
        </is>
      </c>
      <c r="W6">
        <f>COUNTIFS($C$18:$C$2015,V$13,$D$18:$D$2015,"&gt;5")/COUNTIF($C$18:$C$2015,V$13)*100</f>
        <v/>
      </c>
      <c r="X6" s="32" t="n"/>
      <c r="Y6" s="48" t="inlineStr">
        <is>
          <t>Complete =</t>
        </is>
      </c>
      <c r="Z6">
        <f>COUNTIFS($C$18:$C$2015,Y$13,$D$18:$D$2015,"&gt;5")/COUNTIF($C$18:$C$2015,Y$13)*100</f>
        <v/>
      </c>
      <c r="AA6" s="32" t="n"/>
      <c r="AB6" s="48" t="inlineStr">
        <is>
          <t>Complete =</t>
        </is>
      </c>
      <c r="AC6">
        <f>COUNTIFS($C$18:$C$2015,AB$13,$D$18:$D$2015,"&gt;5")/COUNTIF($C$18:$C$2015,AB$13)*100</f>
        <v/>
      </c>
      <c r="AD6" s="32" t="n"/>
    </row>
    <row r="7">
      <c r="D7" s="114" t="n"/>
      <c r="E7" s="115" t="n"/>
      <c r="F7" s="31" t="n"/>
      <c r="G7" s="48" t="inlineStr">
        <is>
          <t>L50 (cm) =</t>
        </is>
      </c>
      <c r="H7">
        <f>+FAO!B11</f>
        <v/>
      </c>
      <c r="I7" s="32" t="n"/>
      <c r="J7" s="48" t="inlineStr">
        <is>
          <t>L50 (cm) =</t>
        </is>
      </c>
      <c r="K7">
        <f>+FAO!E11</f>
        <v/>
      </c>
      <c r="L7" s="32" t="n"/>
      <c r="M7" s="48" t="inlineStr">
        <is>
          <t>L50 (cm) =</t>
        </is>
      </c>
      <c r="N7">
        <f>+FAO!H11</f>
        <v/>
      </c>
      <c r="O7" s="32" t="n"/>
      <c r="P7" s="48" t="inlineStr">
        <is>
          <t>L50 (cm) =</t>
        </is>
      </c>
      <c r="Q7">
        <f>+FAO!K11</f>
        <v/>
      </c>
      <c r="R7" s="32" t="n"/>
      <c r="S7" s="48" t="inlineStr">
        <is>
          <t>L50 (cm) =</t>
        </is>
      </c>
      <c r="T7">
        <f>+FAO!N11</f>
        <v/>
      </c>
      <c r="U7" s="32" t="n"/>
      <c r="V7" s="48" t="inlineStr">
        <is>
          <t>L50 (cm) =</t>
        </is>
      </c>
      <c r="W7">
        <f>+FAO!Q11</f>
        <v/>
      </c>
      <c r="X7" s="32" t="n"/>
      <c r="Y7" s="48" t="inlineStr">
        <is>
          <t>L50 (cm) =</t>
        </is>
      </c>
      <c r="Z7">
        <f>+FAO!T11</f>
        <v/>
      </c>
      <c r="AA7" s="32" t="n"/>
      <c r="AB7" s="48" t="inlineStr">
        <is>
          <t>L50 (cm) =</t>
        </is>
      </c>
      <c r="AC7">
        <f>+FAO!W11</f>
        <v/>
      </c>
      <c r="AD7" s="32" t="n"/>
    </row>
    <row r="8">
      <c r="D8" s="114" t="n"/>
      <c r="E8" s="115" t="n"/>
      <c r="F8" s="31" t="n"/>
      <c r="G8" s="48" t="inlineStr">
        <is>
          <t>Juven. (%) =</t>
        </is>
      </c>
      <c r="H8">
        <f>+ROUND(COUNTIFS($C$18:$C$2015,G$13,$D$18:$D$2015,"&lt;"&amp;H7)/COUNTIF($C$18:$C$2015,G$13)*100,0)</f>
        <v/>
      </c>
      <c r="I8" s="32" t="n"/>
      <c r="J8" s="48" t="inlineStr">
        <is>
          <t>Juven. (%) =</t>
        </is>
      </c>
      <c r="K8">
        <f>+ROUND(COUNTIFS($C$18:$C$2015,J$13,$D$18:$D$2015,"&lt;"&amp;K7)/COUNTIF($C$18:$C$2015,J$13)*100,0)</f>
        <v/>
      </c>
      <c r="L8" s="32" t="n"/>
      <c r="M8" s="48" t="inlineStr">
        <is>
          <t>Juven. (%) =</t>
        </is>
      </c>
      <c r="N8">
        <f>+ROUND(COUNTIFS($C$18:$C$2015,M$13,$D$18:$D$2015,"&lt;"&amp;N7)/COUNTIF($C$18:$C$2015,M$13)*100,0)</f>
        <v/>
      </c>
      <c r="O8" s="32" t="n"/>
      <c r="P8" s="48" t="inlineStr">
        <is>
          <t>Juven. (%) =</t>
        </is>
      </c>
      <c r="Q8">
        <f>+ROUND(COUNTIFS($C$18:$C$2015,P$13,$D$18:$D$2015,"&lt;"&amp;Q7)/COUNTIF($C$18:$C$2015,P$13)*100,0)</f>
        <v/>
      </c>
      <c r="R8" s="32" t="n"/>
      <c r="S8" s="48" t="inlineStr">
        <is>
          <t>Juven. (%) =</t>
        </is>
      </c>
      <c r="T8">
        <f>+ROUND(COUNTIFS($C$18:$C$2015,S$13,$D$18:$D$2015,"&lt;"&amp;T7)/COUNTIF($C$18:$C$2015,S$13)*100,0)</f>
        <v/>
      </c>
      <c r="U8" s="32" t="n"/>
      <c r="V8" s="48" t="inlineStr">
        <is>
          <t>Juven. (%) =</t>
        </is>
      </c>
      <c r="W8">
        <f>+ROUND(COUNTIFS($C$18:$C$2015,V$13,$D$18:$D$2015,"&lt;"&amp;W7)/COUNTIF($C$18:$C$2015,V$13)*100,0)</f>
        <v/>
      </c>
      <c r="X8" s="32" t="n"/>
      <c r="Y8" s="48" t="inlineStr">
        <is>
          <t>Juven. (%) =</t>
        </is>
      </c>
      <c r="Z8">
        <f>+ROUND(COUNTIFS($C$18:$C$2015,Y$13,$D$18:$D$2015,"&lt;"&amp;Z7)/COUNTIF($C$18:$C$2015,Y$13)*100,0)</f>
        <v/>
      </c>
      <c r="AA8" s="32" t="n"/>
      <c r="AB8" s="48" t="inlineStr">
        <is>
          <t>Juven. (%) =</t>
        </is>
      </c>
      <c r="AC8">
        <f>+ROUND(COUNTIFS($C$18:$C$2015,AB$13,$D$18:$D$2015,"&lt;"&amp;AC7)/COUNTIF($C$18:$C$2015,AB$13)*100,0)</f>
        <v/>
      </c>
      <c r="AD8" s="32" t="n"/>
    </row>
    <row r="9" customFormat="1" s="17">
      <c r="D9" s="114" t="n"/>
      <c r="E9" s="18" t="n"/>
      <c r="F9" s="31" t="n"/>
      <c r="G9" s="20">
        <f>+FAO!B6</f>
        <v/>
      </c>
      <c r="H9" s="117" t="n"/>
      <c r="I9" s="32" t="n"/>
      <c r="J9" s="20">
        <f>+FAO!E6</f>
        <v/>
      </c>
      <c r="K9" s="117" t="n"/>
      <c r="L9" s="32" t="n"/>
      <c r="M9" s="20">
        <f>+FAO!H6</f>
        <v/>
      </c>
      <c r="N9" s="117" t="n"/>
      <c r="O9" s="32" t="n"/>
      <c r="P9" s="20">
        <f>+FAO!K6</f>
        <v/>
      </c>
      <c r="Q9" s="117" t="n"/>
      <c r="R9" s="32" t="n"/>
      <c r="S9" s="20">
        <f>+FAO!N6</f>
        <v/>
      </c>
      <c r="T9" s="117" t="n"/>
      <c r="U9" s="32" t="n"/>
      <c r="V9" s="20">
        <f>+FAO!Q6</f>
        <v/>
      </c>
      <c r="W9" s="117" t="n"/>
      <c r="X9" s="32" t="n"/>
      <c r="Y9" s="20">
        <f>+FAO!T6</f>
        <v/>
      </c>
      <c r="Z9" s="117" t="n"/>
      <c r="AA9" s="32" t="n"/>
      <c r="AB9" s="20">
        <f>+FAO!W6</f>
        <v/>
      </c>
      <c r="AC9" s="117" t="n"/>
      <c r="AD9" s="32" t="n"/>
    </row>
    <row r="10" customFormat="1" s="1">
      <c r="D10" s="114" t="n"/>
      <c r="E10" s="33" t="n"/>
      <c r="F10" s="31" t="n"/>
      <c r="G10" s="20">
        <f>+FAO!B7</f>
        <v/>
      </c>
      <c r="H10" s="118" t="n"/>
      <c r="I10" s="32" t="n"/>
      <c r="J10" s="20">
        <f>+FAO!E7</f>
        <v/>
      </c>
      <c r="K10" s="118" t="n"/>
      <c r="L10" s="32" t="n"/>
      <c r="M10" s="20">
        <f>+FAO!H7</f>
        <v/>
      </c>
      <c r="N10" s="118" t="n"/>
      <c r="O10" s="32" t="n"/>
      <c r="P10" s="20">
        <f>+FAO!K7</f>
        <v/>
      </c>
      <c r="Q10" s="118" t="n"/>
      <c r="R10" s="32" t="n"/>
      <c r="S10" s="20">
        <f>+FAO!N7</f>
        <v/>
      </c>
      <c r="T10" s="118" t="n"/>
      <c r="U10" s="32" t="n"/>
      <c r="V10" s="20">
        <f>+FAO!Q7</f>
        <v/>
      </c>
      <c r="W10" s="118" t="n"/>
      <c r="X10" s="32" t="n"/>
      <c r="Y10" s="20">
        <f>+FAO!T7</f>
        <v/>
      </c>
      <c r="Z10" s="118" t="n"/>
      <c r="AA10" s="32" t="n"/>
      <c r="AB10" s="20">
        <f>+FAO!W7</f>
        <v/>
      </c>
      <c r="AC10" s="118" t="n"/>
      <c r="AD10" s="32" t="n"/>
    </row>
    <row r="11" customFormat="1" s="1">
      <c r="D11" s="114" t="n"/>
      <c r="E11" s="19" t="n"/>
      <c r="F11" s="31" t="n"/>
      <c r="G11" s="34">
        <f>+FAO!B9</f>
        <v/>
      </c>
      <c r="H11" s="119" t="n"/>
      <c r="I11" s="32" t="n"/>
      <c r="J11" s="34">
        <f>+FAO!E9</f>
        <v/>
      </c>
      <c r="K11" s="119" t="n"/>
      <c r="L11" s="32" t="n"/>
      <c r="M11" s="34">
        <f>+FAO!H9</f>
        <v/>
      </c>
      <c r="N11" s="119" t="n"/>
      <c r="O11" s="32" t="n"/>
      <c r="P11" s="34">
        <f>+FAO!K9</f>
        <v/>
      </c>
      <c r="Q11" s="119" t="n"/>
      <c r="R11" s="32" t="n"/>
      <c r="S11" s="34">
        <f>+FAO!N9</f>
        <v/>
      </c>
      <c r="T11" s="119" t="n"/>
      <c r="U11" s="32" t="n"/>
      <c r="V11" s="34">
        <f>+FAO!Q9</f>
        <v/>
      </c>
      <c r="W11" s="119" t="n"/>
      <c r="X11" s="32" t="n"/>
      <c r="Y11" s="34">
        <f>+FAO!T9</f>
        <v/>
      </c>
      <c r="Z11" s="119" t="n"/>
      <c r="AA11" s="32" t="n"/>
      <c r="AB11" s="34">
        <f>+FAO!W9</f>
        <v/>
      </c>
      <c r="AC11" s="119" t="n"/>
      <c r="AD11" s="32" t="n"/>
    </row>
    <row r="12">
      <c r="D12" s="114" t="n"/>
      <c r="E12" s="115" t="n"/>
      <c r="F12" s="31" t="n"/>
      <c r="G12" s="34">
        <f>+FAO!B5</f>
        <v/>
      </c>
      <c r="H12" s="120" t="n"/>
      <c r="I12" s="32" t="n"/>
      <c r="J12" s="34">
        <f>+FAO!E5</f>
        <v/>
      </c>
      <c r="K12" s="120" t="n"/>
      <c r="L12" s="32" t="n"/>
      <c r="M12" s="34">
        <f>+FAO!H5</f>
        <v/>
      </c>
      <c r="N12" s="120" t="n"/>
      <c r="O12" s="32" t="n"/>
      <c r="P12" s="34">
        <f>+FAO!K5</f>
        <v/>
      </c>
      <c r="Q12" s="120" t="n"/>
      <c r="R12" s="32" t="n"/>
      <c r="S12" s="34">
        <f>+FAO!N5</f>
        <v/>
      </c>
      <c r="T12" s="120" t="n"/>
      <c r="U12" s="32" t="n"/>
      <c r="V12" s="34">
        <f>+FAO!Q5</f>
        <v/>
      </c>
      <c r="W12" s="120" t="n"/>
      <c r="X12" s="32" t="n"/>
      <c r="Y12" s="34">
        <f>+FAO!T5</f>
        <v/>
      </c>
      <c r="Z12" s="120" t="n"/>
      <c r="AA12" s="32" t="n"/>
      <c r="AB12" s="34">
        <f>+FAO!W5</f>
        <v/>
      </c>
      <c r="AC12" s="120" t="n"/>
      <c r="AD12" s="32" t="n"/>
    </row>
    <row r="13" ht="39" customHeight="1" s="113">
      <c r="B13" s="49" t="n"/>
      <c r="D13" t="e">
        <v>#VALUE!</v>
      </c>
      <c r="E13" s="51">
        <f>COUNTA(C15:C1003)</f>
        <v/>
      </c>
      <c r="F13" s="31" t="n"/>
      <c r="G13" s="35">
        <f>+FAO!B1</f>
        <v/>
      </c>
      <c r="H13" s="121">
        <f>+FAO!B3</f>
        <v/>
      </c>
      <c r="I13" s="32" t="n"/>
      <c r="J13" s="35">
        <f>+FAO!E1</f>
        <v/>
      </c>
      <c r="K13" s="121">
        <f>+FAO!E3</f>
        <v/>
      </c>
      <c r="L13" s="32" t="n"/>
      <c r="M13" s="35">
        <f>+FAO!H1</f>
        <v/>
      </c>
      <c r="N13" s="121">
        <f>+FAO!H3</f>
        <v/>
      </c>
      <c r="O13" s="32" t="n"/>
      <c r="P13" s="35">
        <f>+FAO!K1</f>
        <v/>
      </c>
      <c r="Q13" s="121">
        <f>+FAO!K3</f>
        <v/>
      </c>
      <c r="R13" s="32" t="n"/>
      <c r="S13" s="35">
        <f>+FAO!N1</f>
        <v/>
      </c>
      <c r="T13" s="121">
        <f>+FAO!N3</f>
        <v/>
      </c>
      <c r="U13" s="32" t="n"/>
      <c r="V13" s="35">
        <f>+FAO!Q1</f>
        <v/>
      </c>
      <c r="W13" s="121">
        <f>+FAO!Q3</f>
        <v/>
      </c>
      <c r="X13" s="32" t="n"/>
      <c r="Y13" s="35">
        <f>+FAO!T1</f>
        <v/>
      </c>
      <c r="Z13" s="121">
        <f>+FAO!T3</f>
        <v/>
      </c>
      <c r="AA13" s="32" t="n"/>
      <c r="AB13" s="35">
        <f>+FAO!W1</f>
        <v/>
      </c>
      <c r="AC13" s="121">
        <f>+FAO!W3</f>
        <v/>
      </c>
      <c r="AD13" s="32" t="n"/>
    </row>
    <row r="14" customFormat="1" s="54">
      <c r="A14" s="99" t="inlineStr">
        <is>
          <t>TRIP</t>
        </is>
      </c>
      <c r="B14" s="99" t="inlineStr">
        <is>
          <t>DATE</t>
        </is>
      </c>
      <c r="C14" s="99" t="inlineStr">
        <is>
          <t>FAO</t>
        </is>
      </c>
      <c r="D14" s="122" t="inlineStr">
        <is>
          <t>OBS</t>
        </is>
      </c>
      <c r="E14" s="99" t="inlineStr">
        <is>
          <t>ID</t>
        </is>
      </c>
      <c r="F14" s="52" t="n"/>
      <c r="G14" s="50">
        <f>"LC-"&amp;G13</f>
        <v/>
      </c>
      <c r="H14" s="123">
        <f>"FQ-"&amp;G13</f>
        <v/>
      </c>
      <c r="I14" s="53" t="n"/>
      <c r="J14" s="50">
        <f>"LC-"&amp;J13</f>
        <v/>
      </c>
      <c r="K14" s="123">
        <f>"FQ-"&amp;J13</f>
        <v/>
      </c>
      <c r="L14" s="53" t="n"/>
      <c r="M14" s="50">
        <f>"LC-"&amp;M13</f>
        <v/>
      </c>
      <c r="N14" s="123">
        <f>"FQ-"&amp;M13</f>
        <v/>
      </c>
      <c r="O14" s="53" t="n"/>
      <c r="P14" s="50">
        <f>"LC-"&amp;P13</f>
        <v/>
      </c>
      <c r="Q14" s="123">
        <f>"FQ-"&amp;P13</f>
        <v/>
      </c>
      <c r="R14" s="53" t="n"/>
      <c r="S14" s="50">
        <f>"LC-"&amp;S13</f>
        <v/>
      </c>
      <c r="T14" s="123">
        <f>"FQ-"&amp;S13</f>
        <v/>
      </c>
      <c r="U14" s="53" t="n"/>
      <c r="V14" s="50">
        <f>"LC-"&amp;V13</f>
        <v/>
      </c>
      <c r="W14" s="123">
        <f>"FQ-"&amp;V13</f>
        <v/>
      </c>
      <c r="X14" s="53" t="n"/>
      <c r="Y14" s="50">
        <f>"LC-"&amp;Y13</f>
        <v/>
      </c>
      <c r="Z14" s="123">
        <f>"FQ-"&amp;Y13</f>
        <v/>
      </c>
      <c r="AA14" s="53" t="n"/>
      <c r="AB14" s="50">
        <f>"LC-"&amp;AB13</f>
        <v/>
      </c>
      <c r="AC14" s="123">
        <f>"FQ-"&amp;AB13</f>
        <v/>
      </c>
      <c r="AD14" s="53" t="n"/>
    </row>
    <row r="15">
      <c r="A15" s="58" t="n"/>
      <c r="B15" s="59" t="n"/>
      <c r="C15" s="59" t="n"/>
      <c r="E15" s="16">
        <f t="array" ref="E15">+_xlfn.SEQUENCE(E13,1,1)</f>
        <v/>
      </c>
      <c r="F15" s="13" t="n"/>
      <c r="G15" s="16">
        <f t="array" ref="G15:G85">_xlfn.SEQUENCE(((H1-H4)/H5)+1, 1, H4, H5)</f>
        <v/>
      </c>
      <c r="H15" s="124">
        <f>IF(G15="","",COUNTIFS($C$18:$C$2015,G$13,$D$18:$D$2015,"&gt;="&amp;G15,$D$18:$D$2015,"&lt;"&amp;G16))</f>
        <v/>
      </c>
      <c r="I15" s="14" t="n"/>
      <c r="J15" s="16">
        <f t="array" ref="J15:J43">_xlfn.SEQUENCE(((K1-K4)/K5)+1, 1, K4, K5)</f>
        <v/>
      </c>
      <c r="K15" s="124">
        <f>IF(J15="","",COUNTIFS($C$18:$C$2015,J$13,$D$18:$D$2015,"&gt;="&amp;J15,$D$18:$D$2015,"&lt;"&amp;J16))</f>
        <v/>
      </c>
      <c r="L15" s="14" t="n"/>
      <c r="M15" s="16">
        <f t="array" ref="M15:M55">_xlfn.SEQUENCE(((N1-N4)/N5)+1, 1, N4, N5)</f>
        <v/>
      </c>
      <c r="N15" s="124">
        <f>IF(M15="","",COUNTIFS($C$18:$C$2015,M$13,$D$18:$D$2015,"&gt;="&amp;M15,$D$18:$D$2015,"&lt;"&amp;M16))</f>
        <v/>
      </c>
      <c r="O15" s="14" t="n"/>
      <c r="P15" s="16">
        <f t="array" ref="P15:P85">_xlfn.SEQUENCE(((Q1-Q4)/Q5)+1, 1, Q4, Q5)</f>
        <v/>
      </c>
      <c r="Q15" s="124">
        <f>IF(P15="","",COUNTIFS($C$18:$C$2015,P$13,$D$18:$D$2015,"&gt;="&amp;P15,$D$18:$D$2015,"&lt;"&amp;P16))</f>
        <v/>
      </c>
      <c r="R15" s="14" t="n"/>
      <c r="S15" s="16">
        <f t="array" ref="S15:S60">_xlfn.SEQUENCE(((T1-T4)/T5)+1, 1, T4, T5)</f>
        <v/>
      </c>
      <c r="T15" s="124">
        <f>IF(S15="","",COUNTIFS($C$18:$C$2015,S$13,$D$18:$D$2015,"&gt;="&amp;S15,$D$18:$D$2015,"&lt;"&amp;S16))</f>
        <v/>
      </c>
      <c r="U15" s="14" t="n"/>
      <c r="V15" s="16">
        <f t="array" ref="V15:V50">_xlfn.SEQUENCE(((W1-W4)/W5)+1, 1, W4, W5)</f>
        <v/>
      </c>
      <c r="W15" s="124">
        <f>IF(V15="","",COUNTIFS($C$18:$C$2015,V$13,$D$18:$D$2015,"&gt;="&amp;V15,$D$18:$D$2015,"&lt;"&amp;V16))</f>
        <v/>
      </c>
      <c r="X15" s="14" t="n"/>
      <c r="Y15" s="16">
        <f t="array" ref="Y15:Y50">_xlfn.SEQUENCE(((Z1-Z4)/Z5)+1, 1, Z4, Z5)</f>
        <v/>
      </c>
      <c r="Z15" s="124">
        <f>IF(Y15="","",COUNTIFS($C$18:$C$2015,Y$13,$D$18:$D$2015,"&gt;="&amp;Y15,$D$18:$D$2015,"&lt;"&amp;Y16))</f>
        <v/>
      </c>
      <c r="AA15" s="14" t="n"/>
      <c r="AB15" s="16">
        <f t="array" ref="AB15:AB67">_xlfn.SEQUENCE(((AC1-AC4)/AC5)+1, 1, AC4, AC5)</f>
        <v/>
      </c>
      <c r="AC15" s="124">
        <f>IF(AB15="","",COUNTIFS($C$18:$C$2015,AB$13,$D$18:$D$2015,"&gt;="&amp;AB15,$D$18:$D$2015,"&lt;"&amp;AB16))</f>
        <v/>
      </c>
      <c r="AD15" s="14" t="n"/>
    </row>
    <row r="16">
      <c r="A16" s="56" t="n"/>
      <c r="B16" s="57" t="n"/>
      <c r="C16" s="59" t="n"/>
      <c r="E16" s="16" t="n"/>
      <c r="F16" s="13" t="n"/>
      <c r="G16" s="16" t="n">
        <v>11</v>
      </c>
      <c r="H16" s="124">
        <f>IF(G16="","",COUNTIFS($C$18:$C$2015,G$13,$D$18:$D$2015,"&gt;="&amp;G16,$D$18:$D$2015,"&lt;"&amp;G17))</f>
        <v/>
      </c>
      <c r="I16" s="14" t="n"/>
      <c r="J16" s="16" t="n">
        <v>15</v>
      </c>
      <c r="K16" s="124">
        <f>IF(J16="","",COUNTIFS($C$18:$C$2015,J$13,$D$18:$D$2015,"&gt;="&amp;J16,$D$18:$D$2015,"&lt;"&amp;J17))</f>
        <v/>
      </c>
      <c r="L16" s="14" t="n"/>
      <c r="M16" s="16" t="n">
        <v>12</v>
      </c>
      <c r="N16" s="124">
        <f>IF(M16="","",COUNTIFS($C$18:$C$2015,M$13,$D$18:$D$2015,"&gt;="&amp;M16,$D$18:$D$2015,"&lt;"&amp;M17))</f>
        <v/>
      </c>
      <c r="O16" s="14" t="n"/>
      <c r="P16" s="16" t="n">
        <v>11</v>
      </c>
      <c r="Q16" s="124">
        <f>IF(P16="","",COUNTIFS($C$18:$C$2015,P$13,$D$18:$D$2015,"&gt;="&amp;P16,$D$18:$D$2015,"&lt;"&amp;P17))</f>
        <v/>
      </c>
      <c r="R16" s="14" t="n"/>
      <c r="S16" s="16" t="n">
        <v>12</v>
      </c>
      <c r="T16" s="124">
        <f>IF(S16="","",COUNTIFS($C$18:$C$2015,S$13,$D$18:$D$2015,"&gt;="&amp;S16,$D$18:$D$2015,"&lt;"&amp;S17))</f>
        <v/>
      </c>
      <c r="U16" s="14" t="n"/>
      <c r="V16" s="16" t="n">
        <v>12</v>
      </c>
      <c r="W16" s="124">
        <f>IF(V16="","",COUNTIFS($C$18:$C$2015,V$13,$D$18:$D$2015,"&gt;="&amp;V16,$D$18:$D$2015,"&lt;"&amp;V17))</f>
        <v/>
      </c>
      <c r="X16" s="14" t="n"/>
      <c r="Y16" s="16" t="n">
        <v>12</v>
      </c>
      <c r="Z16" s="124">
        <f>IF(Y16="","",COUNTIFS($C$18:$C$2015,Y$13,$D$18:$D$2015,"&gt;="&amp;Y16,$D$18:$D$2015,"&lt;"&amp;Y17))</f>
        <v/>
      </c>
      <c r="AA16" s="14" t="n"/>
      <c r="AB16" s="16" t="n">
        <v>11</v>
      </c>
      <c r="AC16" s="124">
        <f>IF(AB16="","",COUNTIFS($C$18:$C$2015,AB$13,$D$18:$D$2015,"&gt;="&amp;AB16,$D$18:$D$2015,"&lt;"&amp;AB17))</f>
        <v/>
      </c>
      <c r="AD16" s="14" t="n"/>
    </row>
    <row r="17">
      <c r="A17" s="58" t="n"/>
      <c r="B17" s="59" t="n"/>
      <c r="C17" s="59" t="n"/>
      <c r="E17" s="16" t="n"/>
      <c r="F17" s="13" t="n"/>
      <c r="G17" s="16" t="n">
        <v>12</v>
      </c>
      <c r="H17" s="124">
        <f>IF(G17="","",COUNTIFS($C$18:$C$2015,G$13,$D$18:$D$2015,"&gt;="&amp;G17,$D$18:$D$2015,"&lt;"&amp;G18))</f>
        <v/>
      </c>
      <c r="I17" s="14" t="n"/>
      <c r="J17" s="16" t="n">
        <v>20</v>
      </c>
      <c r="K17" s="124">
        <f>IF(J17="","",COUNTIFS($C$18:$C$2015,J$13,$D$18:$D$2015,"&gt;="&amp;J17,$D$18:$D$2015,"&lt;"&amp;J18))</f>
        <v/>
      </c>
      <c r="L17" s="14" t="n"/>
      <c r="M17" s="16" t="n">
        <v>14</v>
      </c>
      <c r="N17" s="124">
        <f>IF(M17="","",COUNTIFS($C$18:$C$2015,M$13,$D$18:$D$2015,"&gt;="&amp;M17,$D$18:$D$2015,"&lt;"&amp;M18))</f>
        <v/>
      </c>
      <c r="O17" s="14" t="n"/>
      <c r="P17" s="16" t="n">
        <v>12</v>
      </c>
      <c r="Q17" s="124">
        <f>IF(P17="","",COUNTIFS($C$18:$C$2015,P$13,$D$18:$D$2015,"&gt;="&amp;P17,$D$18:$D$2015,"&lt;"&amp;P18))</f>
        <v/>
      </c>
      <c r="R17" s="14" t="n"/>
      <c r="S17" s="16" t="n">
        <v>14</v>
      </c>
      <c r="T17" s="124">
        <f>IF(S17="","",COUNTIFS($C$18:$C$2015,S$13,$D$18:$D$2015,"&gt;="&amp;S17,$D$18:$D$2015,"&lt;"&amp;S18))</f>
        <v/>
      </c>
      <c r="U17" s="14" t="n"/>
      <c r="V17" s="16" t="n">
        <v>14</v>
      </c>
      <c r="W17" s="124">
        <f>IF(V17="","",COUNTIFS($C$18:$C$2015,V$13,$D$18:$D$2015,"&gt;="&amp;V17,$D$18:$D$2015,"&lt;"&amp;V18))</f>
        <v/>
      </c>
      <c r="X17" s="14" t="n"/>
      <c r="Y17" s="16" t="n">
        <v>14</v>
      </c>
      <c r="Z17" s="124">
        <f>IF(Y17="","",COUNTIFS($C$18:$C$2015,Y$13,$D$18:$D$2015,"&gt;="&amp;Y17,$D$18:$D$2015,"&lt;"&amp;Y18))</f>
        <v/>
      </c>
      <c r="AA17" s="14" t="n"/>
      <c r="AB17" s="16" t="n">
        <v>12</v>
      </c>
      <c r="AC17" s="124">
        <f>IF(AB17="","",COUNTIFS($C$18:$C$2015,AB$13,$D$18:$D$2015,"&gt;="&amp;AB17,$D$18:$D$2015,"&lt;"&amp;AB18))</f>
        <v/>
      </c>
      <c r="AD17" s="14" t="n"/>
    </row>
    <row r="18">
      <c r="A18" s="56" t="n"/>
      <c r="B18" s="57" t="n"/>
      <c r="C18" s="59" t="n"/>
      <c r="E18" s="16" t="n"/>
      <c r="F18" s="13" t="n"/>
      <c r="G18" s="16" t="n">
        <v>13</v>
      </c>
      <c r="H18" s="124">
        <f>IF(G18="","",COUNTIFS($C$18:$C$2015,G$13,$D$18:$D$2015,"&gt;="&amp;G18,$D$18:$D$2015,"&lt;"&amp;G19))</f>
        <v/>
      </c>
      <c r="I18" s="14" t="n"/>
      <c r="J18" s="16" t="n">
        <v>25</v>
      </c>
      <c r="K18" s="124">
        <f>IF(J18="","",COUNTIFS($C$18:$C$2015,J$13,$D$18:$D$2015,"&gt;="&amp;J18,$D$18:$D$2015,"&lt;"&amp;J19))</f>
        <v/>
      </c>
      <c r="L18" s="14" t="n"/>
      <c r="M18" s="16" t="n">
        <v>16</v>
      </c>
      <c r="N18" s="124">
        <f>IF(M18="","",COUNTIFS($C$18:$C$2015,M$13,$D$18:$D$2015,"&gt;="&amp;M18,$D$18:$D$2015,"&lt;"&amp;M19))</f>
        <v/>
      </c>
      <c r="O18" s="14" t="n"/>
      <c r="P18" s="16" t="n">
        <v>13</v>
      </c>
      <c r="Q18" s="124">
        <f>IF(P18="","",COUNTIFS($C$18:$C$2015,P$13,$D$18:$D$2015,"&gt;="&amp;P18,$D$18:$D$2015,"&lt;"&amp;P19))</f>
        <v/>
      </c>
      <c r="R18" s="14" t="n"/>
      <c r="S18" s="16" t="n">
        <v>16</v>
      </c>
      <c r="T18" s="124">
        <f>IF(S18="","",COUNTIFS($C$18:$C$2015,S$13,$D$18:$D$2015,"&gt;="&amp;S18,$D$18:$D$2015,"&lt;"&amp;S19))</f>
        <v/>
      </c>
      <c r="U18" s="14" t="n"/>
      <c r="V18" s="16" t="n">
        <v>16</v>
      </c>
      <c r="W18" s="124">
        <f>IF(V18="","",COUNTIFS($C$18:$C$2015,V$13,$D$18:$D$2015,"&gt;="&amp;V18,$D$18:$D$2015,"&lt;"&amp;V19))</f>
        <v/>
      </c>
      <c r="X18" s="14" t="n"/>
      <c r="Y18" s="16" t="n">
        <v>16</v>
      </c>
      <c r="Z18" s="124">
        <f>IF(Y18="","",COUNTIFS($C$18:$C$2015,Y$13,$D$18:$D$2015,"&gt;="&amp;Y18,$D$18:$D$2015,"&lt;"&amp;Y19))</f>
        <v/>
      </c>
      <c r="AA18" s="14" t="n"/>
      <c r="AB18" s="16" t="n">
        <v>13</v>
      </c>
      <c r="AC18" s="124">
        <f>IF(AB18="","",COUNTIFS($C$18:$C$2015,AB$13,$D$18:$D$2015,"&gt;="&amp;AB18,$D$18:$D$2015,"&lt;"&amp;AB19))</f>
        <v/>
      </c>
      <c r="AD18" s="14" t="n"/>
    </row>
    <row r="19">
      <c r="A19" s="58" t="n"/>
      <c r="B19" s="59" t="n"/>
      <c r="C19" s="59" t="n"/>
      <c r="E19" s="16" t="n"/>
      <c r="F19" s="13" t="n"/>
      <c r="G19" s="16" t="n">
        <v>14</v>
      </c>
      <c r="H19" s="124">
        <f>IF(G19="","",COUNTIFS($C$18:$C$2015,G$13,$D$18:$D$2015,"&gt;="&amp;G19,$D$18:$D$2015,"&lt;"&amp;G20))</f>
        <v/>
      </c>
      <c r="I19" s="14" t="n"/>
      <c r="J19" s="16" t="n">
        <v>30</v>
      </c>
      <c r="K19" s="124">
        <f>IF(J19="","",COUNTIFS($C$18:$C$2015,J$13,$D$18:$D$2015,"&gt;="&amp;J19,$D$18:$D$2015,"&lt;"&amp;J20))</f>
        <v/>
      </c>
      <c r="L19" s="14" t="n"/>
      <c r="M19" s="16" t="n">
        <v>18</v>
      </c>
      <c r="N19" s="124">
        <f>IF(M19="","",COUNTIFS($C$18:$C$2015,M$13,$D$18:$D$2015,"&gt;="&amp;M19,$D$18:$D$2015,"&lt;"&amp;M20))</f>
        <v/>
      </c>
      <c r="O19" s="14" t="n"/>
      <c r="P19" s="16" t="n">
        <v>14</v>
      </c>
      <c r="Q19" s="124">
        <f>IF(P19="","",COUNTIFS($C$18:$C$2015,P$13,$D$18:$D$2015,"&gt;="&amp;P19,$D$18:$D$2015,"&lt;"&amp;P20))</f>
        <v/>
      </c>
      <c r="R19" s="14" t="n"/>
      <c r="S19" s="16" t="n">
        <v>18</v>
      </c>
      <c r="T19" s="124">
        <f>IF(S19="","",COUNTIFS($C$18:$C$2015,S$13,$D$18:$D$2015,"&gt;="&amp;S19,$D$18:$D$2015,"&lt;"&amp;S20))</f>
        <v/>
      </c>
      <c r="U19" s="14" t="n"/>
      <c r="V19" s="16" t="n">
        <v>18</v>
      </c>
      <c r="W19" s="124">
        <f>IF(V19="","",COUNTIFS($C$18:$C$2015,V$13,$D$18:$D$2015,"&gt;="&amp;V19,$D$18:$D$2015,"&lt;"&amp;V20))</f>
        <v/>
      </c>
      <c r="X19" s="14" t="n"/>
      <c r="Y19" s="16" t="n">
        <v>18</v>
      </c>
      <c r="Z19" s="124">
        <f>IF(Y19="","",COUNTIFS($C$18:$C$2015,Y$13,$D$18:$D$2015,"&gt;="&amp;Y19,$D$18:$D$2015,"&lt;"&amp;Y20))</f>
        <v/>
      </c>
      <c r="AA19" s="14" t="n"/>
      <c r="AB19" s="16" t="n">
        <v>14</v>
      </c>
      <c r="AC19" s="124">
        <f>IF(AB19="","",COUNTIFS($C$18:$C$2015,AB$13,$D$18:$D$2015,"&gt;="&amp;AB19,$D$18:$D$2015,"&lt;"&amp;AB20))</f>
        <v/>
      </c>
      <c r="AD19" s="14" t="n"/>
    </row>
    <row r="20">
      <c r="A20" s="56" t="n"/>
      <c r="B20" s="57" t="n"/>
      <c r="C20" s="59" t="n"/>
      <c r="E20" s="16" t="n"/>
      <c r="F20" s="13" t="n"/>
      <c r="G20" s="16" t="n">
        <v>15</v>
      </c>
      <c r="H20" s="124">
        <f>IF(G20="","",COUNTIFS($C$18:$C$2015,G$13,$D$18:$D$2015,"&gt;="&amp;G20,$D$18:$D$2015,"&lt;"&amp;G21))</f>
        <v/>
      </c>
      <c r="I20" s="14" t="n"/>
      <c r="J20" s="16" t="n">
        <v>35</v>
      </c>
      <c r="K20" s="124">
        <f>IF(J20="","",COUNTIFS($C$18:$C$2015,J$13,$D$18:$D$2015,"&gt;="&amp;J20,$D$18:$D$2015,"&lt;"&amp;J21))</f>
        <v/>
      </c>
      <c r="L20" s="14" t="n"/>
      <c r="M20" s="16" t="n">
        <v>20</v>
      </c>
      <c r="N20" s="124">
        <f>IF(M20="","",COUNTIFS($C$18:$C$2015,M$13,$D$18:$D$2015,"&gt;="&amp;M20,$D$18:$D$2015,"&lt;"&amp;M21))</f>
        <v/>
      </c>
      <c r="O20" s="14" t="n"/>
      <c r="P20" s="16" t="n">
        <v>15</v>
      </c>
      <c r="Q20" s="124">
        <f>IF(P20="","",COUNTIFS($C$18:$C$2015,P$13,$D$18:$D$2015,"&gt;="&amp;P20,$D$18:$D$2015,"&lt;"&amp;P21))</f>
        <v/>
      </c>
      <c r="R20" s="14" t="n"/>
      <c r="S20" s="16" t="n">
        <v>20</v>
      </c>
      <c r="T20" s="124">
        <f>IF(S20="","",COUNTIFS($C$18:$C$2015,S$13,$D$18:$D$2015,"&gt;="&amp;S20,$D$18:$D$2015,"&lt;"&amp;S21))</f>
        <v/>
      </c>
      <c r="U20" s="14" t="n"/>
      <c r="V20" s="16" t="n">
        <v>20</v>
      </c>
      <c r="W20" s="124">
        <f>IF(V20="","",COUNTIFS($C$18:$C$2015,V$13,$D$18:$D$2015,"&gt;="&amp;V20,$D$18:$D$2015,"&lt;"&amp;V21))</f>
        <v/>
      </c>
      <c r="X20" s="14" t="n"/>
      <c r="Y20" s="16" t="n">
        <v>20</v>
      </c>
      <c r="Z20" s="124">
        <f>IF(Y20="","",COUNTIFS($C$18:$C$2015,Y$13,$D$18:$D$2015,"&gt;="&amp;Y20,$D$18:$D$2015,"&lt;"&amp;Y21))</f>
        <v/>
      </c>
      <c r="AA20" s="14" t="n"/>
      <c r="AB20" s="16" t="n">
        <v>15</v>
      </c>
      <c r="AC20" s="124">
        <f>IF(AB20="","",COUNTIFS($C$18:$C$2015,AB$13,$D$18:$D$2015,"&gt;="&amp;AB20,$D$18:$D$2015,"&lt;"&amp;AB21))</f>
        <v/>
      </c>
      <c r="AD20" s="14" t="n"/>
    </row>
    <row r="21">
      <c r="A21" s="58" t="n"/>
      <c r="B21" s="59" t="n"/>
      <c r="C21" s="59" t="n"/>
      <c r="E21" s="16" t="n"/>
      <c r="F21" s="13" t="n"/>
      <c r="G21" s="16" t="n">
        <v>16</v>
      </c>
      <c r="H21" s="124">
        <f>IF(G21="","",COUNTIFS($C$18:$C$2015,G$13,$D$18:$D$2015,"&gt;="&amp;G21,$D$18:$D$2015,"&lt;"&amp;G22))</f>
        <v/>
      </c>
      <c r="I21" s="14" t="n"/>
      <c r="J21" s="16" t="n">
        <v>40</v>
      </c>
      <c r="K21" s="124">
        <f>IF(J21="","",COUNTIFS($C$18:$C$2015,J$13,$D$18:$D$2015,"&gt;="&amp;J21,$D$18:$D$2015,"&lt;"&amp;J22))</f>
        <v/>
      </c>
      <c r="L21" s="14" t="n"/>
      <c r="M21" s="16" t="n">
        <v>22</v>
      </c>
      <c r="N21" s="124">
        <f>IF(M21="","",COUNTIFS($C$18:$C$2015,M$13,$D$18:$D$2015,"&gt;="&amp;M21,$D$18:$D$2015,"&lt;"&amp;M22))</f>
        <v/>
      </c>
      <c r="O21" s="14" t="n"/>
      <c r="P21" s="16" t="n">
        <v>16</v>
      </c>
      <c r="Q21" s="124">
        <f>IF(P21="","",COUNTIFS($C$18:$C$2015,P$13,$D$18:$D$2015,"&gt;="&amp;P21,$D$18:$D$2015,"&lt;"&amp;P22))</f>
        <v/>
      </c>
      <c r="R21" s="14" t="n"/>
      <c r="S21" s="16" t="n">
        <v>22</v>
      </c>
      <c r="T21" s="124">
        <f>IF(S21="","",COUNTIFS($C$18:$C$2015,S$13,$D$18:$D$2015,"&gt;="&amp;S21,$D$18:$D$2015,"&lt;"&amp;S22))</f>
        <v/>
      </c>
      <c r="U21" s="14" t="n"/>
      <c r="V21" s="16" t="n">
        <v>22</v>
      </c>
      <c r="W21" s="124">
        <f>IF(V21="","",COUNTIFS($C$18:$C$2015,V$13,$D$18:$D$2015,"&gt;="&amp;V21,$D$18:$D$2015,"&lt;"&amp;V22))</f>
        <v/>
      </c>
      <c r="X21" s="14" t="n"/>
      <c r="Y21" s="16" t="n">
        <v>22</v>
      </c>
      <c r="Z21" s="124">
        <f>IF(Y21="","",COUNTIFS($C$18:$C$2015,Y$13,$D$18:$D$2015,"&gt;="&amp;Y21,$D$18:$D$2015,"&lt;"&amp;Y22))</f>
        <v/>
      </c>
      <c r="AA21" s="14" t="n"/>
      <c r="AB21" s="16" t="n">
        <v>16</v>
      </c>
      <c r="AC21" s="124">
        <f>IF(AB21="","",COUNTIFS($C$18:$C$2015,AB$13,$D$18:$D$2015,"&gt;="&amp;AB21,$D$18:$D$2015,"&lt;"&amp;AB22))</f>
        <v/>
      </c>
      <c r="AD21" s="14" t="n"/>
    </row>
    <row r="22">
      <c r="A22" s="56" t="n"/>
      <c r="B22" s="57" t="n"/>
      <c r="C22" s="59" t="n"/>
      <c r="E22" s="16" t="n"/>
      <c r="F22" s="13" t="n"/>
      <c r="G22" s="16" t="n">
        <v>17</v>
      </c>
      <c r="H22" s="124">
        <f>IF(G22="","",COUNTIFS($C$18:$C$2015,G$13,$D$18:$D$2015,"&gt;="&amp;G22,$D$18:$D$2015,"&lt;"&amp;G23))</f>
        <v/>
      </c>
      <c r="I22" s="14" t="n"/>
      <c r="J22" s="16" t="n">
        <v>45</v>
      </c>
      <c r="K22" s="124">
        <f>IF(J22="","",COUNTIFS($C$18:$C$2015,J$13,$D$18:$D$2015,"&gt;="&amp;J22,$D$18:$D$2015,"&lt;"&amp;J23))</f>
        <v/>
      </c>
      <c r="L22" s="14" t="n"/>
      <c r="M22" s="16" t="n">
        <v>24</v>
      </c>
      <c r="N22" s="124">
        <f>IF(M22="","",COUNTIFS($C$18:$C$2015,M$13,$D$18:$D$2015,"&gt;="&amp;M22,$D$18:$D$2015,"&lt;"&amp;M23))</f>
        <v/>
      </c>
      <c r="O22" s="14" t="n"/>
      <c r="P22" s="16" t="n">
        <v>17</v>
      </c>
      <c r="Q22" s="124">
        <f>IF(P22="","",COUNTIFS($C$18:$C$2015,P$13,$D$18:$D$2015,"&gt;="&amp;P22,$D$18:$D$2015,"&lt;"&amp;P23))</f>
        <v/>
      </c>
      <c r="R22" s="14" t="n"/>
      <c r="S22" s="16" t="n">
        <v>24</v>
      </c>
      <c r="T22" s="124">
        <f>IF(S22="","",COUNTIFS($C$18:$C$2015,S$13,$D$18:$D$2015,"&gt;="&amp;S22,$D$18:$D$2015,"&lt;"&amp;S23))</f>
        <v/>
      </c>
      <c r="U22" s="14" t="n"/>
      <c r="V22" s="16" t="n">
        <v>24</v>
      </c>
      <c r="W22" s="124">
        <f>IF(V22="","",COUNTIFS($C$18:$C$2015,V$13,$D$18:$D$2015,"&gt;="&amp;V22,$D$18:$D$2015,"&lt;"&amp;V23))</f>
        <v/>
      </c>
      <c r="X22" s="14" t="n"/>
      <c r="Y22" s="16" t="n">
        <v>24</v>
      </c>
      <c r="Z22" s="124">
        <f>IF(Y22="","",COUNTIFS($C$18:$C$2015,Y$13,$D$18:$D$2015,"&gt;="&amp;Y22,$D$18:$D$2015,"&lt;"&amp;Y23))</f>
        <v/>
      </c>
      <c r="AA22" s="14" t="n"/>
      <c r="AB22" s="16" t="n">
        <v>17</v>
      </c>
      <c r="AC22" s="124">
        <f>IF(AB22="","",COUNTIFS($C$18:$C$2015,AB$13,$D$18:$D$2015,"&gt;="&amp;AB22,$D$18:$D$2015,"&lt;"&amp;AB23))</f>
        <v/>
      </c>
      <c r="AD22" s="14" t="n"/>
    </row>
    <row r="23">
      <c r="A23" s="58" t="n"/>
      <c r="B23" s="59" t="n"/>
      <c r="C23" s="59" t="n"/>
      <c r="E23" s="16" t="n"/>
      <c r="F23" s="13" t="n"/>
      <c r="G23" s="16" t="n">
        <v>18</v>
      </c>
      <c r="H23" s="124">
        <f>IF(G23="","",COUNTIFS($C$18:$C$2015,G$13,$D$18:$D$2015,"&gt;="&amp;G23,$D$18:$D$2015,"&lt;"&amp;G24))</f>
        <v/>
      </c>
      <c r="I23" s="14" t="n"/>
      <c r="J23" s="16" t="n">
        <v>50</v>
      </c>
      <c r="K23" s="124">
        <f>IF(J23="","",COUNTIFS($C$18:$C$2015,J$13,$D$18:$D$2015,"&gt;="&amp;J23,$D$18:$D$2015,"&lt;"&amp;J24))</f>
        <v/>
      </c>
      <c r="L23" s="14" t="n"/>
      <c r="M23" s="16" t="n">
        <v>26</v>
      </c>
      <c r="N23" s="124">
        <f>IF(M23="","",COUNTIFS($C$18:$C$2015,M$13,$D$18:$D$2015,"&gt;="&amp;M23,$D$18:$D$2015,"&lt;"&amp;M24))</f>
        <v/>
      </c>
      <c r="O23" s="14" t="n"/>
      <c r="P23" s="16" t="n">
        <v>18</v>
      </c>
      <c r="Q23" s="124">
        <f>IF(P23="","",COUNTIFS($C$18:$C$2015,P$13,$D$18:$D$2015,"&gt;="&amp;P23,$D$18:$D$2015,"&lt;"&amp;P24))</f>
        <v/>
      </c>
      <c r="R23" s="14" t="n"/>
      <c r="S23" s="16" t="n">
        <v>26</v>
      </c>
      <c r="T23" s="124">
        <f>IF(S23="","",COUNTIFS($C$18:$C$2015,S$13,$D$18:$D$2015,"&gt;="&amp;S23,$D$18:$D$2015,"&lt;"&amp;S24))</f>
        <v/>
      </c>
      <c r="U23" s="14" t="n"/>
      <c r="V23" s="16" t="n">
        <v>26</v>
      </c>
      <c r="W23" s="124">
        <f>IF(V23="","",COUNTIFS($C$18:$C$2015,V$13,$D$18:$D$2015,"&gt;="&amp;V23,$D$18:$D$2015,"&lt;"&amp;V24))</f>
        <v/>
      </c>
      <c r="X23" s="14" t="n"/>
      <c r="Y23" s="16" t="n">
        <v>26</v>
      </c>
      <c r="Z23" s="124">
        <f>IF(Y23="","",COUNTIFS($C$18:$C$2015,Y$13,$D$18:$D$2015,"&gt;="&amp;Y23,$D$18:$D$2015,"&lt;"&amp;Y24))</f>
        <v/>
      </c>
      <c r="AA23" s="14" t="n"/>
      <c r="AB23" s="16" t="n">
        <v>18</v>
      </c>
      <c r="AC23" s="124">
        <f>IF(AB23="","",COUNTIFS($C$18:$C$2015,AB$13,$D$18:$D$2015,"&gt;="&amp;AB23,$D$18:$D$2015,"&lt;"&amp;AB24))</f>
        <v/>
      </c>
      <c r="AD23" s="14" t="n"/>
    </row>
    <row r="24">
      <c r="A24" s="56" t="n"/>
      <c r="B24" s="57" t="n"/>
      <c r="C24" s="59" t="n"/>
      <c r="E24" s="16" t="n"/>
      <c r="F24" s="13" t="n"/>
      <c r="G24" s="16" t="n">
        <v>19</v>
      </c>
      <c r="H24" s="124">
        <f>IF(G24="","",COUNTIFS($C$18:$C$2015,G$13,$D$18:$D$2015,"&gt;="&amp;G24,$D$18:$D$2015,"&lt;"&amp;G25))</f>
        <v/>
      </c>
      <c r="I24" s="14" t="n"/>
      <c r="J24" s="16" t="n">
        <v>55</v>
      </c>
      <c r="K24" s="124">
        <f>IF(J24="","",COUNTIFS($C$18:$C$2015,J$13,$D$18:$D$2015,"&gt;="&amp;J24,$D$18:$D$2015,"&lt;"&amp;J25))</f>
        <v/>
      </c>
      <c r="L24" s="14" t="n"/>
      <c r="M24" s="16" t="n">
        <v>28</v>
      </c>
      <c r="N24" s="124">
        <f>IF(M24="","",COUNTIFS($C$18:$C$2015,M$13,$D$18:$D$2015,"&gt;="&amp;M24,$D$18:$D$2015,"&lt;"&amp;M25))</f>
        <v/>
      </c>
      <c r="O24" s="14" t="n"/>
      <c r="P24" s="16" t="n">
        <v>19</v>
      </c>
      <c r="Q24" s="124">
        <f>IF(P24="","",COUNTIFS($C$18:$C$2015,P$13,$D$18:$D$2015,"&gt;="&amp;P24,$D$18:$D$2015,"&lt;"&amp;P25))</f>
        <v/>
      </c>
      <c r="R24" s="14" t="n"/>
      <c r="S24" s="16" t="n">
        <v>28</v>
      </c>
      <c r="T24" s="124">
        <f>IF(S24="","",COUNTIFS($C$18:$C$2015,S$13,$D$18:$D$2015,"&gt;="&amp;S24,$D$18:$D$2015,"&lt;"&amp;S25))</f>
        <v/>
      </c>
      <c r="U24" s="14" t="n"/>
      <c r="V24" s="16" t="n">
        <v>28</v>
      </c>
      <c r="W24" s="124">
        <f>IF(V24="","",COUNTIFS($C$18:$C$2015,V$13,$D$18:$D$2015,"&gt;="&amp;V24,$D$18:$D$2015,"&lt;"&amp;V25))</f>
        <v/>
      </c>
      <c r="X24" s="14" t="n"/>
      <c r="Y24" s="16" t="n">
        <v>28</v>
      </c>
      <c r="Z24" s="124">
        <f>IF(Y24="","",COUNTIFS($C$18:$C$2015,Y$13,$D$18:$D$2015,"&gt;="&amp;Y24,$D$18:$D$2015,"&lt;"&amp;Y25))</f>
        <v/>
      </c>
      <c r="AA24" s="14" t="n"/>
      <c r="AB24" s="16" t="n">
        <v>19</v>
      </c>
      <c r="AC24" s="124">
        <f>IF(AB24="","",COUNTIFS($C$18:$C$2015,AB$13,$D$18:$D$2015,"&gt;="&amp;AB24,$D$18:$D$2015,"&lt;"&amp;AB25))</f>
        <v/>
      </c>
      <c r="AD24" s="14" t="n"/>
    </row>
    <row r="25">
      <c r="A25" s="58" t="n"/>
      <c r="B25" s="59" t="n"/>
      <c r="C25" s="59" t="n"/>
      <c r="E25" s="16" t="n"/>
      <c r="F25" s="13" t="n"/>
      <c r="G25" s="16" t="n">
        <v>20</v>
      </c>
      <c r="H25" s="124">
        <f>IF(G25="","",COUNTIFS($C$18:$C$2015,G$13,$D$18:$D$2015,"&gt;="&amp;G25,$D$18:$D$2015,"&lt;"&amp;G26))</f>
        <v/>
      </c>
      <c r="I25" s="14" t="n"/>
      <c r="J25" s="16" t="n">
        <v>60</v>
      </c>
      <c r="K25" s="124">
        <f>IF(J25="","",COUNTIFS($C$18:$C$2015,J$13,$D$18:$D$2015,"&gt;="&amp;J25,$D$18:$D$2015,"&lt;"&amp;J26))</f>
        <v/>
      </c>
      <c r="L25" s="14" t="n"/>
      <c r="M25" s="16" t="n">
        <v>30</v>
      </c>
      <c r="N25" s="124">
        <f>IF(M25="","",COUNTIFS($C$18:$C$2015,M$13,$D$18:$D$2015,"&gt;="&amp;M25,$D$18:$D$2015,"&lt;"&amp;M26))</f>
        <v/>
      </c>
      <c r="O25" s="14" t="n"/>
      <c r="P25" s="16" t="n">
        <v>20</v>
      </c>
      <c r="Q25" s="124">
        <f>IF(P25="","",COUNTIFS($C$18:$C$2015,P$13,$D$18:$D$2015,"&gt;="&amp;P25,$D$18:$D$2015,"&lt;"&amp;P26))</f>
        <v/>
      </c>
      <c r="R25" s="14" t="n"/>
      <c r="S25" s="16" t="n">
        <v>30</v>
      </c>
      <c r="T25" s="124">
        <f>IF(S25="","",COUNTIFS($C$18:$C$2015,S$13,$D$18:$D$2015,"&gt;="&amp;S25,$D$18:$D$2015,"&lt;"&amp;S26))</f>
        <v/>
      </c>
      <c r="U25" s="14" t="n"/>
      <c r="V25" s="16" t="n">
        <v>30</v>
      </c>
      <c r="W25" s="124">
        <f>IF(V25="","",COUNTIFS($C$18:$C$2015,V$13,$D$18:$D$2015,"&gt;="&amp;V25,$D$18:$D$2015,"&lt;"&amp;V26))</f>
        <v/>
      </c>
      <c r="X25" s="14" t="n"/>
      <c r="Y25" s="16" t="n">
        <v>30</v>
      </c>
      <c r="Z25" s="124">
        <f>IF(Y25="","",COUNTIFS($C$18:$C$2015,Y$13,$D$18:$D$2015,"&gt;="&amp;Y25,$D$18:$D$2015,"&lt;"&amp;Y26))</f>
        <v/>
      </c>
      <c r="AA25" s="14" t="n"/>
      <c r="AB25" s="16" t="n">
        <v>20</v>
      </c>
      <c r="AC25" s="124">
        <f>IF(AB25="","",COUNTIFS($C$18:$C$2015,AB$13,$D$18:$D$2015,"&gt;="&amp;AB25,$D$18:$D$2015,"&lt;"&amp;AB26))</f>
        <v/>
      </c>
      <c r="AD25" s="14" t="n"/>
    </row>
    <row r="26">
      <c r="A26" s="56" t="n"/>
      <c r="B26" s="57" t="n"/>
      <c r="C26" s="59" t="n"/>
      <c r="E26" s="16" t="n"/>
      <c r="F26" s="13" t="n"/>
      <c r="G26" s="16" t="n">
        <v>21</v>
      </c>
      <c r="H26" s="124">
        <f>IF(G26="","",COUNTIFS($C$18:$C$2015,G$13,$D$18:$D$2015,"&gt;="&amp;G26,$D$18:$D$2015,"&lt;"&amp;G27))</f>
        <v/>
      </c>
      <c r="I26" s="14" t="n"/>
      <c r="J26" s="16" t="n">
        <v>65</v>
      </c>
      <c r="K26" s="124">
        <f>IF(J26="","",COUNTIFS($C$18:$C$2015,J$13,$D$18:$D$2015,"&gt;="&amp;J26,$D$18:$D$2015,"&lt;"&amp;J27))</f>
        <v/>
      </c>
      <c r="L26" s="14" t="n"/>
      <c r="M26" s="16" t="n">
        <v>32</v>
      </c>
      <c r="N26" s="124">
        <f>IF(M26="","",COUNTIFS($C$18:$C$2015,M$13,$D$18:$D$2015,"&gt;="&amp;M26,$D$18:$D$2015,"&lt;"&amp;M27))</f>
        <v/>
      </c>
      <c r="O26" s="14" t="n"/>
      <c r="P26" s="16" t="n">
        <v>21</v>
      </c>
      <c r="Q26" s="124">
        <f>IF(P26="","",COUNTIFS($C$18:$C$2015,P$13,$D$18:$D$2015,"&gt;="&amp;P26,$D$18:$D$2015,"&lt;"&amp;P27))</f>
        <v/>
      </c>
      <c r="R26" s="14" t="n"/>
      <c r="S26" s="16" t="n">
        <v>32</v>
      </c>
      <c r="T26" s="124">
        <f>IF(S26="","",COUNTIFS($C$18:$C$2015,S$13,$D$18:$D$2015,"&gt;="&amp;S26,$D$18:$D$2015,"&lt;"&amp;S27))</f>
        <v/>
      </c>
      <c r="U26" s="14" t="n"/>
      <c r="V26" s="16" t="n">
        <v>32</v>
      </c>
      <c r="W26" s="124">
        <f>IF(V26="","",COUNTIFS($C$18:$C$2015,V$13,$D$18:$D$2015,"&gt;="&amp;V26,$D$18:$D$2015,"&lt;"&amp;V27))</f>
        <v/>
      </c>
      <c r="X26" s="14" t="n"/>
      <c r="Y26" s="16" t="n">
        <v>32</v>
      </c>
      <c r="Z26" s="124">
        <f>IF(Y26="","",COUNTIFS($C$18:$C$2015,Y$13,$D$18:$D$2015,"&gt;="&amp;Y26,$D$18:$D$2015,"&lt;"&amp;Y27))</f>
        <v/>
      </c>
      <c r="AA26" s="14" t="n"/>
      <c r="AB26" s="16" t="n">
        <v>21</v>
      </c>
      <c r="AC26" s="124">
        <f>IF(AB26="","",COUNTIFS($C$18:$C$2015,AB$13,$D$18:$D$2015,"&gt;="&amp;AB26,$D$18:$D$2015,"&lt;"&amp;AB27))</f>
        <v/>
      </c>
      <c r="AD26" s="14" t="n"/>
    </row>
    <row r="27">
      <c r="A27" s="58" t="n"/>
      <c r="B27" s="59" t="n"/>
      <c r="C27" s="59" t="n"/>
      <c r="E27" s="16" t="n"/>
      <c r="F27" s="13" t="n"/>
      <c r="G27" s="16" t="n">
        <v>22</v>
      </c>
      <c r="H27" s="124">
        <f>IF(G27="","",COUNTIFS($C$18:$C$2015,G$13,$D$18:$D$2015,"&gt;="&amp;G27,$D$18:$D$2015,"&lt;"&amp;G28))</f>
        <v/>
      </c>
      <c r="I27" s="14" t="n"/>
      <c r="J27" s="16" t="n">
        <v>70</v>
      </c>
      <c r="K27" s="124">
        <f>IF(J27="","",COUNTIFS($C$18:$C$2015,J$13,$D$18:$D$2015,"&gt;="&amp;J27,$D$18:$D$2015,"&lt;"&amp;J28))</f>
        <v/>
      </c>
      <c r="L27" s="14" t="n"/>
      <c r="M27" s="16" t="n">
        <v>34</v>
      </c>
      <c r="N27" s="124">
        <f>IF(M27="","",COUNTIFS($C$18:$C$2015,M$13,$D$18:$D$2015,"&gt;="&amp;M27,$D$18:$D$2015,"&lt;"&amp;M28))</f>
        <v/>
      </c>
      <c r="O27" s="14" t="n"/>
      <c r="P27" s="16" t="n">
        <v>22</v>
      </c>
      <c r="Q27" s="124">
        <f>IF(P27="","",COUNTIFS($C$18:$C$2015,P$13,$D$18:$D$2015,"&gt;="&amp;P27,$D$18:$D$2015,"&lt;"&amp;P28))</f>
        <v/>
      </c>
      <c r="R27" s="14" t="n"/>
      <c r="S27" s="16" t="n">
        <v>34</v>
      </c>
      <c r="T27" s="124">
        <f>IF(S27="","",COUNTIFS($C$18:$C$2015,S$13,$D$18:$D$2015,"&gt;="&amp;S27,$D$18:$D$2015,"&lt;"&amp;S28))</f>
        <v/>
      </c>
      <c r="U27" s="14" t="n"/>
      <c r="V27" s="16" t="n">
        <v>34</v>
      </c>
      <c r="W27" s="124">
        <f>IF(V27="","",COUNTIFS($C$18:$C$2015,V$13,$D$18:$D$2015,"&gt;="&amp;V27,$D$18:$D$2015,"&lt;"&amp;V28))</f>
        <v/>
      </c>
      <c r="X27" s="14" t="n"/>
      <c r="Y27" s="16" t="n">
        <v>34</v>
      </c>
      <c r="Z27" s="124">
        <f>IF(Y27="","",COUNTIFS($C$18:$C$2015,Y$13,$D$18:$D$2015,"&gt;="&amp;Y27,$D$18:$D$2015,"&lt;"&amp;Y28))</f>
        <v/>
      </c>
      <c r="AA27" s="14" t="n"/>
      <c r="AB27" s="16" t="n">
        <v>22</v>
      </c>
      <c r="AC27" s="124">
        <f>IF(AB27="","",COUNTIFS($C$18:$C$2015,AB$13,$D$18:$D$2015,"&gt;="&amp;AB27,$D$18:$D$2015,"&lt;"&amp;AB28))</f>
        <v/>
      </c>
      <c r="AD27" s="14" t="n"/>
    </row>
    <row r="28">
      <c r="A28" s="56" t="n"/>
      <c r="B28" s="57" t="n"/>
      <c r="C28" s="59" t="n"/>
      <c r="E28" s="16" t="n"/>
      <c r="F28" s="13" t="n"/>
      <c r="G28" s="16" t="n">
        <v>23</v>
      </c>
      <c r="H28" s="124">
        <f>IF(G28="","",COUNTIFS($C$18:$C$2015,G$13,$D$18:$D$2015,"&gt;="&amp;G28,$D$18:$D$2015,"&lt;"&amp;G29))</f>
        <v/>
      </c>
      <c r="I28" s="14" t="n"/>
      <c r="J28" s="16" t="n">
        <v>75</v>
      </c>
      <c r="K28" s="124">
        <f>IF(J28="","",COUNTIFS($C$18:$C$2015,J$13,$D$18:$D$2015,"&gt;="&amp;J28,$D$18:$D$2015,"&lt;"&amp;J29))</f>
        <v/>
      </c>
      <c r="L28" s="14" t="n"/>
      <c r="M28" s="16" t="n">
        <v>36</v>
      </c>
      <c r="N28" s="124">
        <f>IF(M28="","",COUNTIFS($C$18:$C$2015,M$13,$D$18:$D$2015,"&gt;="&amp;M28,$D$18:$D$2015,"&lt;"&amp;M29))</f>
        <v/>
      </c>
      <c r="O28" s="14" t="n"/>
      <c r="P28" s="16" t="n">
        <v>23</v>
      </c>
      <c r="Q28" s="124">
        <f>IF(P28="","",COUNTIFS($C$18:$C$2015,P$13,$D$18:$D$2015,"&gt;="&amp;P28,$D$18:$D$2015,"&lt;"&amp;P29))</f>
        <v/>
      </c>
      <c r="R28" s="14" t="n"/>
      <c r="S28" s="16" t="n">
        <v>36</v>
      </c>
      <c r="T28" s="124">
        <f>IF(S28="","",COUNTIFS($C$18:$C$2015,S$13,$D$18:$D$2015,"&gt;="&amp;S28,$D$18:$D$2015,"&lt;"&amp;S29))</f>
        <v/>
      </c>
      <c r="U28" s="14" t="n"/>
      <c r="V28" s="16" t="n">
        <v>36</v>
      </c>
      <c r="W28" s="124">
        <f>IF(V28="","",COUNTIFS($C$18:$C$2015,V$13,$D$18:$D$2015,"&gt;="&amp;V28,$D$18:$D$2015,"&lt;"&amp;V29))</f>
        <v/>
      </c>
      <c r="X28" s="14" t="n"/>
      <c r="Y28" s="16" t="n">
        <v>36</v>
      </c>
      <c r="Z28" s="124">
        <f>IF(Y28="","",COUNTIFS($C$18:$C$2015,Y$13,$D$18:$D$2015,"&gt;="&amp;Y28,$D$18:$D$2015,"&lt;"&amp;Y29))</f>
        <v/>
      </c>
      <c r="AA28" s="14" t="n"/>
      <c r="AB28" s="16" t="n">
        <v>23</v>
      </c>
      <c r="AC28" s="124">
        <f>IF(AB28="","",COUNTIFS($C$18:$C$2015,AB$13,$D$18:$D$2015,"&gt;="&amp;AB28,$D$18:$D$2015,"&lt;"&amp;AB29))</f>
        <v/>
      </c>
      <c r="AD28" s="14" t="n"/>
    </row>
    <row r="29">
      <c r="A29" s="58" t="n"/>
      <c r="B29" s="59" t="n"/>
      <c r="C29" s="59" t="n"/>
      <c r="E29" s="16" t="n"/>
      <c r="F29" s="13" t="n"/>
      <c r="G29" s="16" t="n">
        <v>24</v>
      </c>
      <c r="H29" s="124">
        <f>IF(G29="","",COUNTIFS($C$18:$C$2015,G$13,$D$18:$D$2015,"&gt;="&amp;G29,$D$18:$D$2015,"&lt;"&amp;G30))</f>
        <v/>
      </c>
      <c r="I29" s="14" t="n"/>
      <c r="J29" s="16" t="n">
        <v>80</v>
      </c>
      <c r="K29" s="124">
        <f>IF(J29="","",COUNTIFS($C$18:$C$2015,J$13,$D$18:$D$2015,"&gt;="&amp;J29,$D$18:$D$2015,"&lt;"&amp;J30))</f>
        <v/>
      </c>
      <c r="L29" s="14" t="n"/>
      <c r="M29" s="16" t="n">
        <v>38</v>
      </c>
      <c r="N29" s="124">
        <f>IF(M29="","",COUNTIFS($C$18:$C$2015,M$13,$D$18:$D$2015,"&gt;="&amp;M29,$D$18:$D$2015,"&lt;"&amp;M30))</f>
        <v/>
      </c>
      <c r="O29" s="14" t="n"/>
      <c r="P29" s="16" t="n">
        <v>24</v>
      </c>
      <c r="Q29" s="124">
        <f>IF(P29="","",COUNTIFS($C$18:$C$2015,P$13,$D$18:$D$2015,"&gt;="&amp;P29,$D$18:$D$2015,"&lt;"&amp;P30))</f>
        <v/>
      </c>
      <c r="R29" s="14" t="n"/>
      <c r="S29" s="16" t="n">
        <v>38</v>
      </c>
      <c r="T29" s="124">
        <f>IF(S29="","",COUNTIFS($C$18:$C$2015,S$13,$D$18:$D$2015,"&gt;="&amp;S29,$D$18:$D$2015,"&lt;"&amp;S30))</f>
        <v/>
      </c>
      <c r="U29" s="14" t="n"/>
      <c r="V29" s="16" t="n">
        <v>38</v>
      </c>
      <c r="W29" s="124">
        <f>IF(V29="","",COUNTIFS($C$18:$C$2015,V$13,$D$18:$D$2015,"&gt;="&amp;V29,$D$18:$D$2015,"&lt;"&amp;V30))</f>
        <v/>
      </c>
      <c r="X29" s="14" t="n"/>
      <c r="Y29" s="16" t="n">
        <v>38</v>
      </c>
      <c r="Z29" s="124">
        <f>IF(Y29="","",COUNTIFS($C$18:$C$2015,Y$13,$D$18:$D$2015,"&gt;="&amp;Y29,$D$18:$D$2015,"&lt;"&amp;Y30))</f>
        <v/>
      </c>
      <c r="AA29" s="14" t="n"/>
      <c r="AB29" s="16" t="n">
        <v>24</v>
      </c>
      <c r="AC29" s="124">
        <f>IF(AB29="","",COUNTIFS($C$18:$C$2015,AB$13,$D$18:$D$2015,"&gt;="&amp;AB29,$D$18:$D$2015,"&lt;"&amp;AB30))</f>
        <v/>
      </c>
      <c r="AD29" s="14" t="n"/>
    </row>
    <row r="30">
      <c r="A30" s="56" t="n"/>
      <c r="B30" s="57" t="n"/>
      <c r="C30" s="59" t="n"/>
      <c r="E30" s="16" t="n"/>
      <c r="F30" s="13" t="n"/>
      <c r="G30" s="16" t="n">
        <v>25</v>
      </c>
      <c r="H30" s="124">
        <f>IF(G30="","",COUNTIFS($C$18:$C$2015,G$13,$D$18:$D$2015,"&gt;="&amp;G30,$D$18:$D$2015,"&lt;"&amp;G31))</f>
        <v/>
      </c>
      <c r="I30" s="14" t="n"/>
      <c r="J30" s="16" t="n">
        <v>85</v>
      </c>
      <c r="K30" s="124">
        <f>IF(J30="","",COUNTIFS($C$18:$C$2015,J$13,$D$18:$D$2015,"&gt;="&amp;J30,$D$18:$D$2015,"&lt;"&amp;J31))</f>
        <v/>
      </c>
      <c r="L30" s="14" t="n"/>
      <c r="M30" s="16" t="n">
        <v>40</v>
      </c>
      <c r="N30" s="124">
        <f>IF(M30="","",COUNTIFS($C$18:$C$2015,M$13,$D$18:$D$2015,"&gt;="&amp;M30,$D$18:$D$2015,"&lt;"&amp;M31))</f>
        <v/>
      </c>
      <c r="O30" s="14" t="n"/>
      <c r="P30" s="16" t="n">
        <v>25</v>
      </c>
      <c r="Q30" s="124">
        <f>IF(P30="","",COUNTIFS($C$18:$C$2015,P$13,$D$18:$D$2015,"&gt;="&amp;P30,$D$18:$D$2015,"&lt;"&amp;P31))</f>
        <v/>
      </c>
      <c r="R30" s="14" t="n"/>
      <c r="S30" s="16" t="n">
        <v>40</v>
      </c>
      <c r="T30" s="124">
        <f>IF(S30="","",COUNTIFS($C$18:$C$2015,S$13,$D$18:$D$2015,"&gt;="&amp;S30,$D$18:$D$2015,"&lt;"&amp;S31))</f>
        <v/>
      </c>
      <c r="U30" s="14" t="n"/>
      <c r="V30" s="16" t="n">
        <v>40</v>
      </c>
      <c r="W30" s="124">
        <f>IF(V30="","",COUNTIFS($C$18:$C$2015,V$13,$D$18:$D$2015,"&gt;="&amp;V30,$D$18:$D$2015,"&lt;"&amp;V31))</f>
        <v/>
      </c>
      <c r="X30" s="14" t="n"/>
      <c r="Y30" s="16" t="n">
        <v>40</v>
      </c>
      <c r="Z30" s="124">
        <f>IF(Y30="","",COUNTIFS($C$18:$C$2015,Y$13,$D$18:$D$2015,"&gt;="&amp;Y30,$D$18:$D$2015,"&lt;"&amp;Y31))</f>
        <v/>
      </c>
      <c r="AA30" s="14" t="n"/>
      <c r="AB30" s="16" t="n">
        <v>25</v>
      </c>
      <c r="AC30" s="124">
        <f>IF(AB30="","",COUNTIFS($C$18:$C$2015,AB$13,$D$18:$D$2015,"&gt;="&amp;AB30,$D$18:$D$2015,"&lt;"&amp;AB31))</f>
        <v/>
      </c>
      <c r="AD30" s="14" t="n"/>
    </row>
    <row r="31">
      <c r="A31" s="58" t="n"/>
      <c r="B31" s="59" t="n"/>
      <c r="C31" s="59" t="n"/>
      <c r="E31" s="16" t="n"/>
      <c r="F31" s="13" t="n"/>
      <c r="G31" s="16" t="n">
        <v>26</v>
      </c>
      <c r="H31" s="124">
        <f>IF(G31="","",COUNTIFS($C$18:$C$2015,G$13,$D$18:$D$2015,"&gt;="&amp;G31,$D$18:$D$2015,"&lt;"&amp;G32))</f>
        <v/>
      </c>
      <c r="I31" s="14" t="n"/>
      <c r="J31" s="16" t="n">
        <v>90</v>
      </c>
      <c r="K31" s="124">
        <f>IF(J31="","",COUNTIFS($C$18:$C$2015,J$13,$D$18:$D$2015,"&gt;="&amp;J31,$D$18:$D$2015,"&lt;"&amp;J32))</f>
        <v/>
      </c>
      <c r="L31" s="14" t="n"/>
      <c r="M31" s="16" t="n">
        <v>42</v>
      </c>
      <c r="N31" s="124">
        <f>IF(M31="","",COUNTIFS($C$18:$C$2015,M$13,$D$18:$D$2015,"&gt;="&amp;M31,$D$18:$D$2015,"&lt;"&amp;M32))</f>
        <v/>
      </c>
      <c r="O31" s="14" t="n"/>
      <c r="P31" s="16" t="n">
        <v>26</v>
      </c>
      <c r="Q31" s="124">
        <f>IF(P31="","",COUNTIFS($C$18:$C$2015,P$13,$D$18:$D$2015,"&gt;="&amp;P31,$D$18:$D$2015,"&lt;"&amp;P32))</f>
        <v/>
      </c>
      <c r="R31" s="14" t="n"/>
      <c r="S31" s="16" t="n">
        <v>42</v>
      </c>
      <c r="T31" s="124">
        <f>IF(S31="","",COUNTIFS($C$18:$C$2015,S$13,$D$18:$D$2015,"&gt;="&amp;S31,$D$18:$D$2015,"&lt;"&amp;S32))</f>
        <v/>
      </c>
      <c r="U31" s="14" t="n"/>
      <c r="V31" s="16" t="n">
        <v>42</v>
      </c>
      <c r="W31" s="124">
        <f>IF(V31="","",COUNTIFS($C$18:$C$2015,V$13,$D$18:$D$2015,"&gt;="&amp;V31,$D$18:$D$2015,"&lt;"&amp;V32))</f>
        <v/>
      </c>
      <c r="X31" s="14" t="n"/>
      <c r="Y31" s="16" t="n">
        <v>42</v>
      </c>
      <c r="Z31" s="124">
        <f>IF(Y31="","",COUNTIFS($C$18:$C$2015,Y$13,$D$18:$D$2015,"&gt;="&amp;Y31,$D$18:$D$2015,"&lt;"&amp;Y32))</f>
        <v/>
      </c>
      <c r="AA31" s="14" t="n"/>
      <c r="AB31" s="16" t="n">
        <v>26</v>
      </c>
      <c r="AC31" s="124">
        <f>IF(AB31="","",COUNTIFS($C$18:$C$2015,AB$13,$D$18:$D$2015,"&gt;="&amp;AB31,$D$18:$D$2015,"&lt;"&amp;AB32))</f>
        <v/>
      </c>
      <c r="AD31" s="14" t="n"/>
    </row>
    <row r="32">
      <c r="A32" s="56" t="n"/>
      <c r="B32" s="57" t="n"/>
      <c r="C32" s="59" t="n"/>
      <c r="E32" s="16" t="n"/>
      <c r="F32" s="13" t="n"/>
      <c r="G32" s="16" t="n">
        <v>27</v>
      </c>
      <c r="H32" s="124">
        <f>IF(G32="","",COUNTIFS($C$18:$C$2015,G$13,$D$18:$D$2015,"&gt;="&amp;G32,$D$18:$D$2015,"&lt;"&amp;G33))</f>
        <v/>
      </c>
      <c r="I32" s="14" t="n"/>
      <c r="J32" s="16" t="n">
        <v>95</v>
      </c>
      <c r="K32" s="124">
        <f>IF(J32="","",COUNTIFS($C$18:$C$2015,J$13,$D$18:$D$2015,"&gt;="&amp;J32,$D$18:$D$2015,"&lt;"&amp;J33))</f>
        <v/>
      </c>
      <c r="L32" s="14" t="n"/>
      <c r="M32" s="16" t="n">
        <v>44</v>
      </c>
      <c r="N32" s="124">
        <f>IF(M32="","",COUNTIFS($C$18:$C$2015,M$13,$D$18:$D$2015,"&gt;="&amp;M32,$D$18:$D$2015,"&lt;"&amp;M33))</f>
        <v/>
      </c>
      <c r="O32" s="14" t="n"/>
      <c r="P32" s="16" t="n">
        <v>27</v>
      </c>
      <c r="Q32" s="124">
        <f>IF(P32="","",COUNTIFS($C$18:$C$2015,P$13,$D$18:$D$2015,"&gt;="&amp;P32,$D$18:$D$2015,"&lt;"&amp;P33))</f>
        <v/>
      </c>
      <c r="R32" s="14" t="n"/>
      <c r="S32" s="16" t="n">
        <v>44</v>
      </c>
      <c r="T32" s="124">
        <f>IF(S32="","",COUNTIFS($C$18:$C$2015,S$13,$D$18:$D$2015,"&gt;="&amp;S32,$D$18:$D$2015,"&lt;"&amp;S33))</f>
        <v/>
      </c>
      <c r="U32" s="14" t="n"/>
      <c r="V32" s="16" t="n">
        <v>44</v>
      </c>
      <c r="W32" s="124">
        <f>IF(V32="","",COUNTIFS($C$18:$C$2015,V$13,$D$18:$D$2015,"&gt;="&amp;V32,$D$18:$D$2015,"&lt;"&amp;V33))</f>
        <v/>
      </c>
      <c r="X32" s="14" t="n"/>
      <c r="Y32" s="16" t="n">
        <v>44</v>
      </c>
      <c r="Z32" s="124">
        <f>IF(Y32="","",COUNTIFS($C$18:$C$2015,Y$13,$D$18:$D$2015,"&gt;="&amp;Y32,$D$18:$D$2015,"&lt;"&amp;Y33))</f>
        <v/>
      </c>
      <c r="AA32" s="14" t="n"/>
      <c r="AB32" s="16" t="n">
        <v>27</v>
      </c>
      <c r="AC32" s="124">
        <f>IF(AB32="","",COUNTIFS($C$18:$C$2015,AB$13,$D$18:$D$2015,"&gt;="&amp;AB32,$D$18:$D$2015,"&lt;"&amp;AB33))</f>
        <v/>
      </c>
      <c r="AD32" s="14" t="n"/>
    </row>
    <row r="33">
      <c r="A33" s="58" t="n"/>
      <c r="B33" s="59" t="n"/>
      <c r="C33" s="59" t="n"/>
      <c r="E33" s="16" t="n"/>
      <c r="F33" s="13" t="n"/>
      <c r="G33" s="16" t="n">
        <v>28</v>
      </c>
      <c r="H33" s="124">
        <f>IF(G33="","",COUNTIFS($C$18:$C$2015,G$13,$D$18:$D$2015,"&gt;="&amp;G33,$D$18:$D$2015,"&lt;"&amp;G34))</f>
        <v/>
      </c>
      <c r="I33" s="14" t="n"/>
      <c r="J33" s="16" t="n">
        <v>100</v>
      </c>
      <c r="K33" s="124">
        <f>IF(J33="","",COUNTIFS($C$18:$C$2015,J$13,$D$18:$D$2015,"&gt;="&amp;J33,$D$18:$D$2015,"&lt;"&amp;J34))</f>
        <v/>
      </c>
      <c r="L33" s="14" t="n"/>
      <c r="M33" s="16" t="n">
        <v>46</v>
      </c>
      <c r="N33" s="124">
        <f>IF(M33="","",COUNTIFS($C$18:$C$2015,M$13,$D$18:$D$2015,"&gt;="&amp;M33,$D$18:$D$2015,"&lt;"&amp;M34))</f>
        <v/>
      </c>
      <c r="O33" s="14" t="n"/>
      <c r="P33" s="16" t="n">
        <v>28</v>
      </c>
      <c r="Q33" s="124">
        <f>IF(P33="","",COUNTIFS($C$18:$C$2015,P$13,$D$18:$D$2015,"&gt;="&amp;P33,$D$18:$D$2015,"&lt;"&amp;P34))</f>
        <v/>
      </c>
      <c r="R33" s="14" t="n"/>
      <c r="S33" s="16" t="n">
        <v>46</v>
      </c>
      <c r="T33" s="124">
        <f>IF(S33="","",COUNTIFS($C$18:$C$2015,S$13,$D$18:$D$2015,"&gt;="&amp;S33,$D$18:$D$2015,"&lt;"&amp;S34))</f>
        <v/>
      </c>
      <c r="U33" s="14" t="n"/>
      <c r="V33" s="16" t="n">
        <v>46</v>
      </c>
      <c r="W33" s="124">
        <f>IF(V33="","",COUNTIFS($C$18:$C$2015,V$13,$D$18:$D$2015,"&gt;="&amp;V33,$D$18:$D$2015,"&lt;"&amp;V34))</f>
        <v/>
      </c>
      <c r="X33" s="14" t="n"/>
      <c r="Y33" s="16" t="n">
        <v>46</v>
      </c>
      <c r="Z33" s="124">
        <f>IF(Y33="","",COUNTIFS($C$18:$C$2015,Y$13,$D$18:$D$2015,"&gt;="&amp;Y33,$D$18:$D$2015,"&lt;"&amp;Y34))</f>
        <v/>
      </c>
      <c r="AA33" s="14" t="n"/>
      <c r="AB33" s="16" t="n">
        <v>28</v>
      </c>
      <c r="AC33" s="124">
        <f>IF(AB33="","",COUNTIFS($C$18:$C$2015,AB$13,$D$18:$D$2015,"&gt;="&amp;AB33,$D$18:$D$2015,"&lt;"&amp;AB34))</f>
        <v/>
      </c>
      <c r="AD33" s="14" t="n"/>
    </row>
    <row r="34">
      <c r="A34" s="56" t="n"/>
      <c r="B34" s="57" t="n"/>
      <c r="C34" s="59" t="n"/>
      <c r="E34" s="16" t="n"/>
      <c r="F34" s="13" t="n"/>
      <c r="G34" s="16" t="n">
        <v>29</v>
      </c>
      <c r="H34" s="124">
        <f>IF(G34="","",COUNTIFS($C$18:$C$2015,G$13,$D$18:$D$2015,"&gt;="&amp;G34,$D$18:$D$2015,"&lt;"&amp;G35))</f>
        <v/>
      </c>
      <c r="I34" s="14" t="n"/>
      <c r="J34" s="16" t="n">
        <v>105</v>
      </c>
      <c r="K34" s="124">
        <f>IF(J34="","",COUNTIFS($C$18:$C$2015,J$13,$D$18:$D$2015,"&gt;="&amp;J34,$D$18:$D$2015,"&lt;"&amp;J35))</f>
        <v/>
      </c>
      <c r="L34" s="14" t="n"/>
      <c r="M34" s="16" t="n">
        <v>48</v>
      </c>
      <c r="N34" s="124">
        <f>IF(M34="","",COUNTIFS($C$18:$C$2015,M$13,$D$18:$D$2015,"&gt;="&amp;M34,$D$18:$D$2015,"&lt;"&amp;M35))</f>
        <v/>
      </c>
      <c r="O34" s="14" t="n"/>
      <c r="P34" s="16" t="n">
        <v>29</v>
      </c>
      <c r="Q34" s="124">
        <f>IF(P34="","",COUNTIFS($C$18:$C$2015,P$13,$D$18:$D$2015,"&gt;="&amp;P34,$D$18:$D$2015,"&lt;"&amp;P35))</f>
        <v/>
      </c>
      <c r="R34" s="14" t="n"/>
      <c r="S34" s="16" t="n">
        <v>48</v>
      </c>
      <c r="T34" s="124">
        <f>IF(S34="","",COUNTIFS($C$18:$C$2015,S$13,$D$18:$D$2015,"&gt;="&amp;S34,$D$18:$D$2015,"&lt;"&amp;S35))</f>
        <v/>
      </c>
      <c r="U34" s="14" t="n"/>
      <c r="V34" s="16" t="n">
        <v>48</v>
      </c>
      <c r="W34" s="124">
        <f>IF(V34="","",COUNTIFS($C$18:$C$2015,V$13,$D$18:$D$2015,"&gt;="&amp;V34,$D$18:$D$2015,"&lt;"&amp;V35))</f>
        <v/>
      </c>
      <c r="X34" s="14" t="n"/>
      <c r="Y34" s="16" t="n">
        <v>48</v>
      </c>
      <c r="Z34" s="124">
        <f>IF(Y34="","",COUNTIFS($C$18:$C$2015,Y$13,$D$18:$D$2015,"&gt;="&amp;Y34,$D$18:$D$2015,"&lt;"&amp;Y35))</f>
        <v/>
      </c>
      <c r="AA34" s="14" t="n"/>
      <c r="AB34" s="16" t="n">
        <v>29</v>
      </c>
      <c r="AC34" s="124">
        <f>IF(AB34="","",COUNTIFS($C$18:$C$2015,AB$13,$D$18:$D$2015,"&gt;="&amp;AB34,$D$18:$D$2015,"&lt;"&amp;AB35))</f>
        <v/>
      </c>
      <c r="AD34" s="14" t="n"/>
    </row>
    <row r="35">
      <c r="A35" s="58" t="n"/>
      <c r="B35" s="59" t="n"/>
      <c r="C35" s="59" t="n"/>
      <c r="E35" s="16" t="n"/>
      <c r="F35" s="13" t="n"/>
      <c r="G35" s="16" t="n">
        <v>30</v>
      </c>
      <c r="H35" s="124">
        <f>IF(G35="","",COUNTIFS($C$18:$C$2015,G$13,$D$18:$D$2015,"&gt;="&amp;G35,$D$18:$D$2015,"&lt;"&amp;G36))</f>
        <v/>
      </c>
      <c r="I35" s="14" t="n"/>
      <c r="J35" s="16" t="n">
        <v>110</v>
      </c>
      <c r="K35" s="124">
        <f>IF(J35="","",COUNTIFS($C$18:$C$2015,J$13,$D$18:$D$2015,"&gt;="&amp;J35,$D$18:$D$2015,"&lt;"&amp;J36))</f>
        <v/>
      </c>
      <c r="L35" s="14" t="n"/>
      <c r="M35" s="16" t="n">
        <v>50</v>
      </c>
      <c r="N35" s="124">
        <f>IF(M35="","",COUNTIFS($C$18:$C$2015,M$13,$D$18:$D$2015,"&gt;="&amp;M35,$D$18:$D$2015,"&lt;"&amp;M36))</f>
        <v/>
      </c>
      <c r="O35" s="14" t="n"/>
      <c r="P35" s="16" t="n">
        <v>30</v>
      </c>
      <c r="Q35" s="124">
        <f>IF(P35="","",COUNTIFS($C$18:$C$2015,P$13,$D$18:$D$2015,"&gt;="&amp;P35,$D$18:$D$2015,"&lt;"&amp;P36))</f>
        <v/>
      </c>
      <c r="R35" s="14" t="n"/>
      <c r="S35" s="16" t="n">
        <v>50</v>
      </c>
      <c r="T35" s="124">
        <f>IF(S35="","",COUNTIFS($C$18:$C$2015,S$13,$D$18:$D$2015,"&gt;="&amp;S35,$D$18:$D$2015,"&lt;"&amp;S36))</f>
        <v/>
      </c>
      <c r="U35" s="14" t="n"/>
      <c r="V35" s="16" t="n">
        <v>50</v>
      </c>
      <c r="W35" s="124">
        <f>IF(V35="","",COUNTIFS($C$18:$C$2015,V$13,$D$18:$D$2015,"&gt;="&amp;V35,$D$18:$D$2015,"&lt;"&amp;V36))</f>
        <v/>
      </c>
      <c r="X35" s="14" t="n"/>
      <c r="Y35" s="16" t="n">
        <v>50</v>
      </c>
      <c r="Z35" s="124">
        <f>IF(Y35="","",COUNTIFS($C$18:$C$2015,Y$13,$D$18:$D$2015,"&gt;="&amp;Y35,$D$18:$D$2015,"&lt;"&amp;Y36))</f>
        <v/>
      </c>
      <c r="AA35" s="14" t="n"/>
      <c r="AB35" s="16" t="n">
        <v>30</v>
      </c>
      <c r="AC35" s="124">
        <f>IF(AB35="","",COUNTIFS($C$18:$C$2015,AB$13,$D$18:$D$2015,"&gt;="&amp;AB35,$D$18:$D$2015,"&lt;"&amp;AB36))</f>
        <v/>
      </c>
      <c r="AD35" s="14" t="n"/>
    </row>
    <row r="36">
      <c r="A36" s="56" t="n"/>
      <c r="B36" s="57" t="n"/>
      <c r="C36" s="59" t="n"/>
      <c r="E36" s="16" t="n"/>
      <c r="F36" s="13" t="n"/>
      <c r="G36" s="16" t="n">
        <v>31</v>
      </c>
      <c r="H36" s="124">
        <f>IF(G36="","",COUNTIFS($C$18:$C$2015,G$13,$D$18:$D$2015,"&gt;="&amp;G36,$D$18:$D$2015,"&lt;"&amp;G37))</f>
        <v/>
      </c>
      <c r="I36" s="14" t="n"/>
      <c r="J36" s="16" t="n">
        <v>115</v>
      </c>
      <c r="K36" s="124">
        <f>IF(J36="","",COUNTIFS($C$18:$C$2015,J$13,$D$18:$D$2015,"&gt;="&amp;J36,$D$18:$D$2015,"&lt;"&amp;J37))</f>
        <v/>
      </c>
      <c r="L36" s="14" t="n"/>
      <c r="M36" s="16" t="n">
        <v>52</v>
      </c>
      <c r="N36" s="124">
        <f>IF(M36="","",COUNTIFS($C$18:$C$2015,M$13,$D$18:$D$2015,"&gt;="&amp;M36,$D$18:$D$2015,"&lt;"&amp;M37))</f>
        <v/>
      </c>
      <c r="O36" s="14" t="n"/>
      <c r="P36" s="16" t="n">
        <v>31</v>
      </c>
      <c r="Q36" s="124">
        <f>IF(P36="","",COUNTIFS($C$18:$C$2015,P$13,$D$18:$D$2015,"&gt;="&amp;P36,$D$18:$D$2015,"&lt;"&amp;P37))</f>
        <v/>
      </c>
      <c r="R36" s="14" t="n"/>
      <c r="S36" s="16" t="n">
        <v>52</v>
      </c>
      <c r="T36" s="124">
        <f>IF(S36="","",COUNTIFS($C$18:$C$2015,S$13,$D$18:$D$2015,"&gt;="&amp;S36,$D$18:$D$2015,"&lt;"&amp;S37))</f>
        <v/>
      </c>
      <c r="U36" s="14" t="n"/>
      <c r="V36" s="16" t="n">
        <v>52</v>
      </c>
      <c r="W36" s="124">
        <f>IF(V36="","",COUNTIFS($C$18:$C$2015,V$13,$D$18:$D$2015,"&gt;="&amp;V36,$D$18:$D$2015,"&lt;"&amp;V37))</f>
        <v/>
      </c>
      <c r="X36" s="14" t="n"/>
      <c r="Y36" s="16" t="n">
        <v>52</v>
      </c>
      <c r="Z36" s="124">
        <f>IF(Y36="","",COUNTIFS($C$18:$C$2015,Y$13,$D$18:$D$2015,"&gt;="&amp;Y36,$D$18:$D$2015,"&lt;"&amp;Y37))</f>
        <v/>
      </c>
      <c r="AA36" s="14" t="n"/>
      <c r="AB36" s="16" t="n">
        <v>31</v>
      </c>
      <c r="AC36" s="124">
        <f>IF(AB36="","",COUNTIFS($C$18:$C$2015,AB$13,$D$18:$D$2015,"&gt;="&amp;AB36,$D$18:$D$2015,"&lt;"&amp;AB37))</f>
        <v/>
      </c>
      <c r="AD36" s="14" t="n"/>
    </row>
    <row r="37">
      <c r="A37" s="58" t="n"/>
      <c r="B37" s="59" t="n"/>
      <c r="C37" s="59" t="n"/>
      <c r="E37" s="16" t="n"/>
      <c r="F37" s="13" t="n"/>
      <c r="G37" s="16" t="n">
        <v>32</v>
      </c>
      <c r="H37" s="124">
        <f>IF(G37="","",COUNTIFS($C$18:$C$2015,G$13,$D$18:$D$2015,"&gt;="&amp;G37,$D$18:$D$2015,"&lt;"&amp;G38))</f>
        <v/>
      </c>
      <c r="I37" s="14" t="n"/>
      <c r="J37" s="16" t="n">
        <v>120</v>
      </c>
      <c r="K37" s="124">
        <f>IF(J37="","",COUNTIFS($C$18:$C$2015,J$13,$D$18:$D$2015,"&gt;="&amp;J37,$D$18:$D$2015,"&lt;"&amp;J38))</f>
        <v/>
      </c>
      <c r="L37" s="14" t="n"/>
      <c r="M37" s="16" t="n">
        <v>54</v>
      </c>
      <c r="N37" s="124">
        <f>IF(M37="","",COUNTIFS($C$18:$C$2015,M$13,$D$18:$D$2015,"&gt;="&amp;M37,$D$18:$D$2015,"&lt;"&amp;M38))</f>
        <v/>
      </c>
      <c r="O37" s="14" t="n"/>
      <c r="P37" s="16" t="n">
        <v>32</v>
      </c>
      <c r="Q37" s="124">
        <f>IF(P37="","",COUNTIFS($C$18:$C$2015,P$13,$D$18:$D$2015,"&gt;="&amp;P37,$D$18:$D$2015,"&lt;"&amp;P38))</f>
        <v/>
      </c>
      <c r="R37" s="14" t="n"/>
      <c r="S37" s="16" t="n">
        <v>54</v>
      </c>
      <c r="T37" s="124">
        <f>IF(S37="","",COUNTIFS($C$18:$C$2015,S$13,$D$18:$D$2015,"&gt;="&amp;S37,$D$18:$D$2015,"&lt;"&amp;S38))</f>
        <v/>
      </c>
      <c r="U37" s="14" t="n"/>
      <c r="V37" s="16" t="n">
        <v>54</v>
      </c>
      <c r="W37" s="124">
        <f>IF(V37="","",COUNTIFS($C$18:$C$2015,V$13,$D$18:$D$2015,"&gt;="&amp;V37,$D$18:$D$2015,"&lt;"&amp;V38))</f>
        <v/>
      </c>
      <c r="X37" s="14" t="n"/>
      <c r="Y37" s="16" t="n">
        <v>54</v>
      </c>
      <c r="Z37" s="124">
        <f>IF(Y37="","",COUNTIFS($C$18:$C$2015,Y$13,$D$18:$D$2015,"&gt;="&amp;Y37,$D$18:$D$2015,"&lt;"&amp;Y38))</f>
        <v/>
      </c>
      <c r="AA37" s="14" t="n"/>
      <c r="AB37" s="16" t="n">
        <v>32</v>
      </c>
      <c r="AC37" s="124">
        <f>IF(AB37="","",COUNTIFS($C$18:$C$2015,AB$13,$D$18:$D$2015,"&gt;="&amp;AB37,$D$18:$D$2015,"&lt;"&amp;AB38))</f>
        <v/>
      </c>
      <c r="AD37" s="14" t="n"/>
    </row>
    <row r="38">
      <c r="A38" s="56" t="n"/>
      <c r="B38" s="57" t="n"/>
      <c r="C38" s="59" t="n"/>
      <c r="E38" s="16" t="n"/>
      <c r="F38" s="13" t="n"/>
      <c r="G38" s="16" t="n">
        <v>33</v>
      </c>
      <c r="H38" s="124">
        <f>IF(G38="","",COUNTIFS($C$18:$C$2015,G$13,$D$18:$D$2015,"&gt;="&amp;G38,$D$18:$D$2015,"&lt;"&amp;G39))</f>
        <v/>
      </c>
      <c r="I38" s="14" t="n"/>
      <c r="J38" s="16" t="n">
        <v>125</v>
      </c>
      <c r="K38" s="124">
        <f>IF(J38="","",COUNTIFS($C$18:$C$2015,J$13,$D$18:$D$2015,"&gt;="&amp;J38,$D$18:$D$2015,"&lt;"&amp;J39))</f>
        <v/>
      </c>
      <c r="L38" s="14" t="n"/>
      <c r="M38" s="16" t="n">
        <v>56</v>
      </c>
      <c r="N38" s="124">
        <f>IF(M38="","",COUNTIFS($C$18:$C$2015,M$13,$D$18:$D$2015,"&gt;="&amp;M38,$D$18:$D$2015,"&lt;"&amp;M39))</f>
        <v/>
      </c>
      <c r="O38" s="14" t="n"/>
      <c r="P38" s="16" t="n">
        <v>33</v>
      </c>
      <c r="Q38" s="124">
        <f>IF(P38="","",COUNTIFS($C$18:$C$2015,P$13,$D$18:$D$2015,"&gt;="&amp;P38,$D$18:$D$2015,"&lt;"&amp;P39))</f>
        <v/>
      </c>
      <c r="R38" s="14" t="n"/>
      <c r="S38" s="16" t="n">
        <v>56</v>
      </c>
      <c r="T38" s="124">
        <f>IF(S38="","",COUNTIFS($C$18:$C$2015,S$13,$D$18:$D$2015,"&gt;="&amp;S38,$D$18:$D$2015,"&lt;"&amp;S39))</f>
        <v/>
      </c>
      <c r="U38" s="14" t="n"/>
      <c r="V38" s="16" t="n">
        <v>56</v>
      </c>
      <c r="W38" s="124">
        <f>IF(V38="","",COUNTIFS($C$18:$C$2015,V$13,$D$18:$D$2015,"&gt;="&amp;V38,$D$18:$D$2015,"&lt;"&amp;V39))</f>
        <v/>
      </c>
      <c r="X38" s="14" t="n"/>
      <c r="Y38" s="16" t="n">
        <v>56</v>
      </c>
      <c r="Z38" s="124">
        <f>IF(Y38="","",COUNTIFS($C$18:$C$2015,Y$13,$D$18:$D$2015,"&gt;="&amp;Y38,$D$18:$D$2015,"&lt;"&amp;Y39))</f>
        <v/>
      </c>
      <c r="AA38" s="14" t="n"/>
      <c r="AB38" s="16" t="n">
        <v>33</v>
      </c>
      <c r="AC38" s="124">
        <f>IF(AB38="","",COUNTIFS($C$18:$C$2015,AB$13,$D$18:$D$2015,"&gt;="&amp;AB38,$D$18:$D$2015,"&lt;"&amp;AB39))</f>
        <v/>
      </c>
      <c r="AD38" s="14" t="n"/>
    </row>
    <row r="39">
      <c r="A39" s="58" t="n"/>
      <c r="B39" s="59" t="n"/>
      <c r="C39" s="59" t="n"/>
      <c r="E39" s="16" t="n"/>
      <c r="F39" s="13" t="n"/>
      <c r="G39" s="16" t="n">
        <v>34</v>
      </c>
      <c r="H39" s="124">
        <f>IF(G39="","",COUNTIFS($C$18:$C$2015,G$13,$D$18:$D$2015,"&gt;="&amp;G39,$D$18:$D$2015,"&lt;"&amp;G40))</f>
        <v/>
      </c>
      <c r="I39" s="14" t="n"/>
      <c r="J39" s="16" t="n">
        <v>130</v>
      </c>
      <c r="K39" s="124">
        <f>IF(J39="","",COUNTIFS($C$18:$C$2015,J$13,$D$18:$D$2015,"&gt;="&amp;J39,$D$18:$D$2015,"&lt;"&amp;J40))</f>
        <v/>
      </c>
      <c r="L39" s="14" t="n"/>
      <c r="M39" s="16" t="n">
        <v>58</v>
      </c>
      <c r="N39" s="124">
        <f>IF(M39="","",COUNTIFS($C$18:$C$2015,M$13,$D$18:$D$2015,"&gt;="&amp;M39,$D$18:$D$2015,"&lt;"&amp;M40))</f>
        <v/>
      </c>
      <c r="O39" s="14" t="n"/>
      <c r="P39" s="16" t="n">
        <v>34</v>
      </c>
      <c r="Q39" s="124">
        <f>IF(P39="","",COUNTIFS($C$18:$C$2015,P$13,$D$18:$D$2015,"&gt;="&amp;P39,$D$18:$D$2015,"&lt;"&amp;P40))</f>
        <v/>
      </c>
      <c r="R39" s="14" t="n"/>
      <c r="S39" s="16" t="n">
        <v>58</v>
      </c>
      <c r="T39" s="124">
        <f>IF(S39="","",COUNTIFS($C$18:$C$2015,S$13,$D$18:$D$2015,"&gt;="&amp;S39,$D$18:$D$2015,"&lt;"&amp;S40))</f>
        <v/>
      </c>
      <c r="U39" s="14" t="n"/>
      <c r="V39" s="16" t="n">
        <v>58</v>
      </c>
      <c r="W39" s="124">
        <f>IF(V39="","",COUNTIFS($C$18:$C$2015,V$13,$D$18:$D$2015,"&gt;="&amp;V39,$D$18:$D$2015,"&lt;"&amp;V40))</f>
        <v/>
      </c>
      <c r="X39" s="14" t="n"/>
      <c r="Y39" s="16" t="n">
        <v>58</v>
      </c>
      <c r="Z39" s="124">
        <f>IF(Y39="","",COUNTIFS($C$18:$C$2015,Y$13,$D$18:$D$2015,"&gt;="&amp;Y39,$D$18:$D$2015,"&lt;"&amp;Y40))</f>
        <v/>
      </c>
      <c r="AA39" s="14" t="n"/>
      <c r="AB39" s="16" t="n">
        <v>34</v>
      </c>
      <c r="AC39" s="124">
        <f>IF(AB39="","",COUNTIFS($C$18:$C$2015,AB$13,$D$18:$D$2015,"&gt;="&amp;AB39,$D$18:$D$2015,"&lt;"&amp;AB40))</f>
        <v/>
      </c>
      <c r="AD39" s="14" t="n"/>
    </row>
    <row r="40">
      <c r="A40" s="56" t="n"/>
      <c r="B40" s="57" t="n"/>
      <c r="C40" s="59" t="n"/>
      <c r="E40" s="16" t="n"/>
      <c r="F40" s="13" t="n"/>
      <c r="G40" s="16" t="n">
        <v>35</v>
      </c>
      <c r="H40" s="124">
        <f>IF(G40="","",COUNTIFS($C$18:$C$2015,G$13,$D$18:$D$2015,"&gt;="&amp;G40,$D$18:$D$2015,"&lt;"&amp;G41))</f>
        <v/>
      </c>
      <c r="I40" s="14" t="n"/>
      <c r="J40" s="16" t="n">
        <v>135</v>
      </c>
      <c r="K40" s="124">
        <f>IF(J40="","",COUNTIFS($C$18:$C$2015,J$13,$D$18:$D$2015,"&gt;="&amp;J40,$D$18:$D$2015,"&lt;"&amp;J41))</f>
        <v/>
      </c>
      <c r="L40" s="14" t="n"/>
      <c r="M40" s="16" t="n">
        <v>60</v>
      </c>
      <c r="N40" s="124">
        <f>IF(M40="","",COUNTIFS($C$18:$C$2015,M$13,$D$18:$D$2015,"&gt;="&amp;M40,$D$18:$D$2015,"&lt;"&amp;M41))</f>
        <v/>
      </c>
      <c r="O40" s="14" t="n"/>
      <c r="P40" s="16" t="n">
        <v>35</v>
      </c>
      <c r="Q40" s="124">
        <f>IF(P40="","",COUNTIFS($C$18:$C$2015,P$13,$D$18:$D$2015,"&gt;="&amp;P40,$D$18:$D$2015,"&lt;"&amp;P41))</f>
        <v/>
      </c>
      <c r="R40" s="14" t="n"/>
      <c r="S40" s="16" t="n">
        <v>60</v>
      </c>
      <c r="T40" s="124">
        <f>IF(S40="","",COUNTIFS($C$18:$C$2015,S$13,$D$18:$D$2015,"&gt;="&amp;S40,$D$18:$D$2015,"&lt;"&amp;S41))</f>
        <v/>
      </c>
      <c r="U40" s="14" t="n"/>
      <c r="V40" s="16" t="n">
        <v>60</v>
      </c>
      <c r="W40" s="124">
        <f>IF(V40="","",COUNTIFS($C$18:$C$2015,V$13,$D$18:$D$2015,"&gt;="&amp;V40,$D$18:$D$2015,"&lt;"&amp;V41))</f>
        <v/>
      </c>
      <c r="X40" s="14" t="n"/>
      <c r="Y40" s="16" t="n">
        <v>60</v>
      </c>
      <c r="Z40" s="124">
        <f>IF(Y40="","",COUNTIFS($C$18:$C$2015,Y$13,$D$18:$D$2015,"&gt;="&amp;Y40,$D$18:$D$2015,"&lt;"&amp;Y41))</f>
        <v/>
      </c>
      <c r="AA40" s="14" t="n"/>
      <c r="AB40" s="16" t="n">
        <v>35</v>
      </c>
      <c r="AC40" s="124">
        <f>IF(AB40="","",COUNTIFS($C$18:$C$2015,AB$13,$D$18:$D$2015,"&gt;="&amp;AB40,$D$18:$D$2015,"&lt;"&amp;AB41))</f>
        <v/>
      </c>
      <c r="AD40" s="14" t="n"/>
    </row>
    <row r="41">
      <c r="A41" s="58" t="n"/>
      <c r="B41" s="59" t="n"/>
      <c r="C41" s="59" t="n"/>
      <c r="E41" s="16" t="n"/>
      <c r="F41" s="13" t="n"/>
      <c r="G41" s="16" t="n">
        <v>36</v>
      </c>
      <c r="H41" s="124">
        <f>IF(G41="","",COUNTIFS($C$18:$C$2015,G$13,$D$18:$D$2015,"&gt;="&amp;G41,$D$18:$D$2015,"&lt;"&amp;G42))</f>
        <v/>
      </c>
      <c r="I41" s="14" t="n"/>
      <c r="J41" s="16" t="n">
        <v>140</v>
      </c>
      <c r="K41" s="124">
        <f>IF(J41="","",COUNTIFS($C$18:$C$2015,J$13,$D$18:$D$2015,"&gt;="&amp;J41,$D$18:$D$2015,"&lt;"&amp;J42))</f>
        <v/>
      </c>
      <c r="L41" s="14" t="n"/>
      <c r="M41" s="16" t="n">
        <v>62</v>
      </c>
      <c r="N41" s="124">
        <f>IF(M41="","",COUNTIFS($C$18:$C$2015,M$13,$D$18:$D$2015,"&gt;="&amp;M41,$D$18:$D$2015,"&lt;"&amp;M42))</f>
        <v/>
      </c>
      <c r="O41" s="14" t="n"/>
      <c r="P41" s="16" t="n">
        <v>36</v>
      </c>
      <c r="Q41" s="124">
        <f>IF(P41="","",COUNTIFS($C$18:$C$2015,P$13,$D$18:$D$2015,"&gt;="&amp;P41,$D$18:$D$2015,"&lt;"&amp;P42))</f>
        <v/>
      </c>
      <c r="R41" s="14" t="n"/>
      <c r="S41" s="16" t="n">
        <v>62</v>
      </c>
      <c r="T41" s="124">
        <f>IF(S41="","",COUNTIFS($C$18:$C$2015,S$13,$D$18:$D$2015,"&gt;="&amp;S41,$D$18:$D$2015,"&lt;"&amp;S42))</f>
        <v/>
      </c>
      <c r="U41" s="14" t="n"/>
      <c r="V41" s="16" t="n">
        <v>62</v>
      </c>
      <c r="W41" s="124">
        <f>IF(V41="","",COUNTIFS($C$18:$C$2015,V$13,$D$18:$D$2015,"&gt;="&amp;V41,$D$18:$D$2015,"&lt;"&amp;V42))</f>
        <v/>
      </c>
      <c r="X41" s="14" t="n"/>
      <c r="Y41" s="16" t="n">
        <v>62</v>
      </c>
      <c r="Z41" s="124">
        <f>IF(Y41="","",COUNTIFS($C$18:$C$2015,Y$13,$D$18:$D$2015,"&gt;="&amp;Y41,$D$18:$D$2015,"&lt;"&amp;Y42))</f>
        <v/>
      </c>
      <c r="AA41" s="14" t="n"/>
      <c r="AB41" s="16" t="n">
        <v>36</v>
      </c>
      <c r="AC41" s="124">
        <f>IF(AB41="","",COUNTIFS($C$18:$C$2015,AB$13,$D$18:$D$2015,"&gt;="&amp;AB41,$D$18:$D$2015,"&lt;"&amp;AB42))</f>
        <v/>
      </c>
      <c r="AD41" s="14" t="n"/>
    </row>
    <row r="42">
      <c r="A42" s="56" t="n"/>
      <c r="B42" s="57" t="n"/>
      <c r="C42" s="59" t="n"/>
      <c r="E42" s="16" t="n"/>
      <c r="F42" s="13" t="n"/>
      <c r="G42" s="16" t="n">
        <v>37</v>
      </c>
      <c r="H42" s="124">
        <f>IF(G42="","",COUNTIFS($C$18:$C$2015,G$13,$D$18:$D$2015,"&gt;="&amp;G42,$D$18:$D$2015,"&lt;"&amp;G43))</f>
        <v/>
      </c>
      <c r="I42" s="14" t="n"/>
      <c r="J42" s="16" t="n">
        <v>145</v>
      </c>
      <c r="K42" s="124">
        <f>IF(J42="","",COUNTIFS($C$18:$C$2015,J$13,$D$18:$D$2015,"&gt;="&amp;J42,$D$18:$D$2015,"&lt;"&amp;J43))</f>
        <v/>
      </c>
      <c r="L42" s="14" t="n"/>
      <c r="M42" s="16" t="n">
        <v>64</v>
      </c>
      <c r="N42" s="124">
        <f>IF(M42="","",COUNTIFS($C$18:$C$2015,M$13,$D$18:$D$2015,"&gt;="&amp;M42,$D$18:$D$2015,"&lt;"&amp;M43))</f>
        <v/>
      </c>
      <c r="O42" s="14" t="n"/>
      <c r="P42" s="16" t="n">
        <v>37</v>
      </c>
      <c r="Q42" s="124">
        <f>IF(P42="","",COUNTIFS($C$18:$C$2015,P$13,$D$18:$D$2015,"&gt;="&amp;P42,$D$18:$D$2015,"&lt;"&amp;P43))</f>
        <v/>
      </c>
      <c r="R42" s="14" t="n"/>
      <c r="S42" s="16" t="n">
        <v>64</v>
      </c>
      <c r="T42" s="124">
        <f>IF(S42="","",COUNTIFS($C$18:$C$2015,S$13,$D$18:$D$2015,"&gt;="&amp;S42,$D$18:$D$2015,"&lt;"&amp;S43))</f>
        <v/>
      </c>
      <c r="U42" s="14" t="n"/>
      <c r="V42" s="16" t="n">
        <v>64</v>
      </c>
      <c r="W42" s="124">
        <f>IF(V42="","",COUNTIFS($C$18:$C$2015,V$13,$D$18:$D$2015,"&gt;="&amp;V42,$D$18:$D$2015,"&lt;"&amp;V43))</f>
        <v/>
      </c>
      <c r="X42" s="14" t="n"/>
      <c r="Y42" s="16" t="n">
        <v>64</v>
      </c>
      <c r="Z42" s="124">
        <f>IF(Y42="","",COUNTIFS($C$18:$C$2015,Y$13,$D$18:$D$2015,"&gt;="&amp;Y42,$D$18:$D$2015,"&lt;"&amp;Y43))</f>
        <v/>
      </c>
      <c r="AA42" s="14" t="n"/>
      <c r="AB42" s="16" t="n">
        <v>37</v>
      </c>
      <c r="AC42" s="124">
        <f>IF(AB42="","",COUNTIFS($C$18:$C$2015,AB$13,$D$18:$D$2015,"&gt;="&amp;AB42,$D$18:$D$2015,"&lt;"&amp;AB43))</f>
        <v/>
      </c>
      <c r="AD42" s="14" t="n"/>
    </row>
    <row r="43">
      <c r="A43" s="58" t="n"/>
      <c r="B43" s="59" t="n"/>
      <c r="C43" s="59" t="n"/>
      <c r="E43" s="16" t="n"/>
      <c r="F43" s="13" t="n"/>
      <c r="G43" s="16" t="n">
        <v>38</v>
      </c>
      <c r="H43" s="124">
        <f>IF(G43="","",COUNTIFS($C$18:$C$2015,G$13,$D$18:$D$2015,"&gt;="&amp;G43,$D$18:$D$2015,"&lt;"&amp;G44))</f>
        <v/>
      </c>
      <c r="I43" s="14" t="n"/>
      <c r="J43" s="16" t="n">
        <v>150</v>
      </c>
      <c r="K43" s="124">
        <f>IF(J43="","",COUNTIFS($C$18:$C$2015,J$13,$D$18:$D$2015,"&gt;="&amp;J43,$D$18:$D$2015,"&lt;"&amp;J44))</f>
        <v/>
      </c>
      <c r="L43" s="14" t="n"/>
      <c r="M43" s="16" t="n">
        <v>66</v>
      </c>
      <c r="N43" s="124">
        <f>IF(M43="","",COUNTIFS($C$18:$C$2015,M$13,$D$18:$D$2015,"&gt;="&amp;M43,$D$18:$D$2015,"&lt;"&amp;M44))</f>
        <v/>
      </c>
      <c r="O43" s="14" t="n"/>
      <c r="P43" s="16" t="n">
        <v>38</v>
      </c>
      <c r="Q43" s="124">
        <f>IF(P43="","",COUNTIFS($C$18:$C$2015,P$13,$D$18:$D$2015,"&gt;="&amp;P43,$D$18:$D$2015,"&lt;"&amp;P44))</f>
        <v/>
      </c>
      <c r="R43" s="14" t="n"/>
      <c r="S43" s="16" t="n">
        <v>66</v>
      </c>
      <c r="T43" s="124">
        <f>IF(S43="","",COUNTIFS($C$18:$C$2015,S$13,$D$18:$D$2015,"&gt;="&amp;S43,$D$18:$D$2015,"&lt;"&amp;S44))</f>
        <v/>
      </c>
      <c r="U43" s="14" t="n"/>
      <c r="V43" s="16" t="n">
        <v>66</v>
      </c>
      <c r="W43" s="124">
        <f>IF(V43="","",COUNTIFS($C$18:$C$2015,V$13,$D$18:$D$2015,"&gt;="&amp;V43,$D$18:$D$2015,"&lt;"&amp;V44))</f>
        <v/>
      </c>
      <c r="X43" s="14" t="n"/>
      <c r="Y43" s="16" t="n">
        <v>66</v>
      </c>
      <c r="Z43" s="124">
        <f>IF(Y43="","",COUNTIFS($C$18:$C$2015,Y$13,$D$18:$D$2015,"&gt;="&amp;Y43,$D$18:$D$2015,"&lt;"&amp;Y44))</f>
        <v/>
      </c>
      <c r="AA43" s="14" t="n"/>
      <c r="AB43" s="16" t="n">
        <v>38</v>
      </c>
      <c r="AC43" s="124">
        <f>IF(AB43="","",COUNTIFS($C$18:$C$2015,AB$13,$D$18:$D$2015,"&gt;="&amp;AB43,$D$18:$D$2015,"&lt;"&amp;AB44))</f>
        <v/>
      </c>
      <c r="AD43" s="14" t="n"/>
    </row>
    <row r="44">
      <c r="A44" s="56" t="n"/>
      <c r="B44" s="57" t="n"/>
      <c r="C44" s="59" t="n"/>
      <c r="E44" s="16" t="n"/>
      <c r="F44" s="13" t="n"/>
      <c r="G44" s="16" t="n">
        <v>39</v>
      </c>
      <c r="H44" s="124">
        <f>IF(G44="","",COUNTIFS($C$18:$C$2015,G$13,$D$18:$D$2015,"&gt;="&amp;G44,$D$18:$D$2015,"&lt;"&amp;G45))</f>
        <v/>
      </c>
      <c r="I44" s="14" t="n"/>
      <c r="J44" s="16" t="n"/>
      <c r="K44" s="124">
        <f>IF(J44="","",COUNTIFS($C$18:$C$2015,J$13,$D$18:$D$2015,"&gt;="&amp;J44,$D$18:$D$2015,"&lt;"&amp;J45))</f>
        <v/>
      </c>
      <c r="L44" s="14" t="n"/>
      <c r="M44" s="16" t="n">
        <v>68</v>
      </c>
      <c r="N44" s="124">
        <f>IF(M44="","",COUNTIFS($C$18:$C$2015,M$13,$D$18:$D$2015,"&gt;="&amp;M44,$D$18:$D$2015,"&lt;"&amp;M45))</f>
        <v/>
      </c>
      <c r="O44" s="14" t="n"/>
      <c r="P44" s="16" t="n">
        <v>39</v>
      </c>
      <c r="Q44" s="124">
        <f>IF(P44="","",COUNTIFS($C$18:$C$2015,P$13,$D$18:$D$2015,"&gt;="&amp;P44,$D$18:$D$2015,"&lt;"&amp;P45))</f>
        <v/>
      </c>
      <c r="R44" s="14" t="n"/>
      <c r="S44" s="16" t="n">
        <v>68</v>
      </c>
      <c r="T44" s="124">
        <f>IF(S44="","",COUNTIFS($C$18:$C$2015,S$13,$D$18:$D$2015,"&gt;="&amp;S44,$D$18:$D$2015,"&lt;"&amp;S45))</f>
        <v/>
      </c>
      <c r="U44" s="14" t="n"/>
      <c r="V44" s="16" t="n">
        <v>68</v>
      </c>
      <c r="W44" s="124">
        <f>IF(V44="","",COUNTIFS($C$18:$C$2015,V$13,$D$18:$D$2015,"&gt;="&amp;V44,$D$18:$D$2015,"&lt;"&amp;V45))</f>
        <v/>
      </c>
      <c r="X44" s="14" t="n"/>
      <c r="Y44" s="16" t="n">
        <v>68</v>
      </c>
      <c r="Z44" s="124">
        <f>IF(Y44="","",COUNTIFS($C$18:$C$2015,Y$13,$D$18:$D$2015,"&gt;="&amp;Y44,$D$18:$D$2015,"&lt;"&amp;Y45))</f>
        <v/>
      </c>
      <c r="AA44" s="14" t="n"/>
      <c r="AB44" s="16" t="n">
        <v>39</v>
      </c>
      <c r="AC44" s="124">
        <f>IF(AB44="","",COUNTIFS($C$18:$C$2015,AB$13,$D$18:$D$2015,"&gt;="&amp;AB44,$D$18:$D$2015,"&lt;"&amp;AB45))</f>
        <v/>
      </c>
      <c r="AD44" s="14" t="n"/>
    </row>
    <row r="45">
      <c r="A45" s="58" t="n"/>
      <c r="B45" s="59" t="n"/>
      <c r="C45" s="59" t="n"/>
      <c r="E45" s="16" t="n"/>
      <c r="F45" s="13" t="n"/>
      <c r="G45" s="16" t="n">
        <v>40</v>
      </c>
      <c r="H45" s="124">
        <f>IF(G45="","",COUNTIFS($C$18:$C$2015,G$13,$D$18:$D$2015,"&gt;="&amp;G45,$D$18:$D$2015,"&lt;"&amp;G46))</f>
        <v/>
      </c>
      <c r="I45" s="14" t="n"/>
      <c r="J45" s="16" t="n"/>
      <c r="K45" s="124">
        <f>IF(J45="","",COUNTIFS($C$18:$C$2015,J$13,$D$18:$D$2015,"&gt;="&amp;J45,$D$18:$D$2015,"&lt;"&amp;J46))</f>
        <v/>
      </c>
      <c r="L45" s="14" t="n"/>
      <c r="M45" s="16" t="n">
        <v>70</v>
      </c>
      <c r="N45" s="124">
        <f>IF(M45="","",COUNTIFS($C$18:$C$2015,M$13,$D$18:$D$2015,"&gt;="&amp;M45,$D$18:$D$2015,"&lt;"&amp;M46))</f>
        <v/>
      </c>
      <c r="O45" s="14" t="n"/>
      <c r="P45" s="16" t="n">
        <v>40</v>
      </c>
      <c r="Q45" s="124">
        <f>IF(P45="","",COUNTIFS($C$18:$C$2015,P$13,$D$18:$D$2015,"&gt;="&amp;P45,$D$18:$D$2015,"&lt;"&amp;P46))</f>
        <v/>
      </c>
      <c r="R45" s="14" t="n"/>
      <c r="S45" s="16" t="n">
        <v>70</v>
      </c>
      <c r="T45" s="124">
        <f>IF(S45="","",COUNTIFS($C$18:$C$2015,S$13,$D$18:$D$2015,"&gt;="&amp;S45,$D$18:$D$2015,"&lt;"&amp;S46))</f>
        <v/>
      </c>
      <c r="U45" s="14" t="n"/>
      <c r="V45" s="16" t="n">
        <v>70</v>
      </c>
      <c r="W45" s="124">
        <f>IF(V45="","",COUNTIFS($C$18:$C$2015,V$13,$D$18:$D$2015,"&gt;="&amp;V45,$D$18:$D$2015,"&lt;"&amp;V46))</f>
        <v/>
      </c>
      <c r="X45" s="14" t="n"/>
      <c r="Y45" s="16" t="n">
        <v>70</v>
      </c>
      <c r="Z45" s="124">
        <f>IF(Y45="","",COUNTIFS($C$18:$C$2015,Y$13,$D$18:$D$2015,"&gt;="&amp;Y45,$D$18:$D$2015,"&lt;"&amp;Y46))</f>
        <v/>
      </c>
      <c r="AA45" s="14" t="n"/>
      <c r="AB45" s="16" t="n">
        <v>40</v>
      </c>
      <c r="AC45" s="124">
        <f>IF(AB45="","",COUNTIFS($C$18:$C$2015,AB$13,$D$18:$D$2015,"&gt;="&amp;AB45,$D$18:$D$2015,"&lt;"&amp;AB46))</f>
        <v/>
      </c>
      <c r="AD45" s="14" t="n"/>
    </row>
    <row r="46">
      <c r="A46" s="56" t="n"/>
      <c r="B46" s="57" t="n"/>
      <c r="C46" s="59" t="n"/>
      <c r="E46" s="16" t="n"/>
      <c r="F46" s="13" t="n"/>
      <c r="G46" s="16" t="n">
        <v>41</v>
      </c>
      <c r="H46" s="124">
        <f>IF(G46="","",COUNTIFS($C$18:$C$2015,G$13,$D$18:$D$2015,"&gt;="&amp;G46,$D$18:$D$2015,"&lt;"&amp;G47))</f>
        <v/>
      </c>
      <c r="I46" s="14" t="n"/>
      <c r="J46" s="16" t="n"/>
      <c r="K46" s="124">
        <f>IF(J46="","",COUNTIFS($C$18:$C$2015,J$13,$D$18:$D$2015,"&gt;="&amp;J46,$D$18:$D$2015,"&lt;"&amp;J47))</f>
        <v/>
      </c>
      <c r="L46" s="14" t="n"/>
      <c r="M46" s="16" t="n">
        <v>72</v>
      </c>
      <c r="N46" s="124">
        <f>IF(M46="","",COUNTIFS($C$18:$C$2015,M$13,$D$18:$D$2015,"&gt;="&amp;M46,$D$18:$D$2015,"&lt;"&amp;M47))</f>
        <v/>
      </c>
      <c r="O46" s="14" t="n"/>
      <c r="P46" s="16" t="n">
        <v>41</v>
      </c>
      <c r="Q46" s="124">
        <f>IF(P46="","",COUNTIFS($C$18:$C$2015,P$13,$D$18:$D$2015,"&gt;="&amp;P46,$D$18:$D$2015,"&lt;"&amp;P47))</f>
        <v/>
      </c>
      <c r="R46" s="14" t="n"/>
      <c r="S46" s="16" t="n">
        <v>72</v>
      </c>
      <c r="T46" s="124">
        <f>IF(S46="","",COUNTIFS($C$18:$C$2015,S$13,$D$18:$D$2015,"&gt;="&amp;S46,$D$18:$D$2015,"&lt;"&amp;S47))</f>
        <v/>
      </c>
      <c r="U46" s="14" t="n"/>
      <c r="V46" s="16" t="n">
        <v>72</v>
      </c>
      <c r="W46" s="124">
        <f>IF(V46="","",COUNTIFS($C$18:$C$2015,V$13,$D$18:$D$2015,"&gt;="&amp;V46,$D$18:$D$2015,"&lt;"&amp;V47))</f>
        <v/>
      </c>
      <c r="X46" s="14" t="n"/>
      <c r="Y46" s="16" t="n">
        <v>72</v>
      </c>
      <c r="Z46" s="124">
        <f>IF(Y46="","",COUNTIFS($C$18:$C$2015,Y$13,$D$18:$D$2015,"&gt;="&amp;Y46,$D$18:$D$2015,"&lt;"&amp;Y47))</f>
        <v/>
      </c>
      <c r="AA46" s="14" t="n"/>
      <c r="AB46" s="16" t="n">
        <v>41</v>
      </c>
      <c r="AC46" s="124">
        <f>IF(AB46="","",COUNTIFS($C$18:$C$2015,AB$13,$D$18:$D$2015,"&gt;="&amp;AB46,$D$18:$D$2015,"&lt;"&amp;AB47))</f>
        <v/>
      </c>
      <c r="AD46" s="14" t="n"/>
    </row>
    <row r="47">
      <c r="A47" s="58" t="n"/>
      <c r="B47" s="59" t="n"/>
      <c r="C47" s="59" t="n"/>
      <c r="E47" s="16" t="n"/>
      <c r="F47" s="13" t="n"/>
      <c r="G47" s="16" t="n">
        <v>42</v>
      </c>
      <c r="H47" s="124">
        <f>IF(G47="","",COUNTIFS($C$18:$C$2015,G$13,$D$18:$D$2015,"&gt;="&amp;G47,$D$18:$D$2015,"&lt;"&amp;G48))</f>
        <v/>
      </c>
      <c r="I47" s="14" t="n"/>
      <c r="J47" s="16" t="n"/>
      <c r="K47" s="124">
        <f>IF(J47="","",COUNTIFS($C$18:$C$2015,J$13,$D$18:$D$2015,"&gt;="&amp;J47,$D$18:$D$2015,"&lt;"&amp;J48))</f>
        <v/>
      </c>
      <c r="L47" s="14" t="n"/>
      <c r="M47" s="16" t="n">
        <v>74</v>
      </c>
      <c r="N47" s="124">
        <f>IF(M47="","",COUNTIFS($C$18:$C$2015,M$13,$D$18:$D$2015,"&gt;="&amp;M47,$D$18:$D$2015,"&lt;"&amp;M48))</f>
        <v/>
      </c>
      <c r="O47" s="14" t="n"/>
      <c r="P47" s="16" t="n">
        <v>42</v>
      </c>
      <c r="Q47" s="124">
        <f>IF(P47="","",COUNTIFS($C$18:$C$2015,P$13,$D$18:$D$2015,"&gt;="&amp;P47,$D$18:$D$2015,"&lt;"&amp;P48))</f>
        <v/>
      </c>
      <c r="R47" s="14" t="n"/>
      <c r="S47" s="16" t="n">
        <v>74</v>
      </c>
      <c r="T47" s="124">
        <f>IF(S47="","",COUNTIFS($C$18:$C$2015,S$13,$D$18:$D$2015,"&gt;="&amp;S47,$D$18:$D$2015,"&lt;"&amp;S48))</f>
        <v/>
      </c>
      <c r="U47" s="14" t="n"/>
      <c r="V47" s="16" t="n">
        <v>74</v>
      </c>
      <c r="W47" s="124">
        <f>IF(V47="","",COUNTIFS($C$18:$C$2015,V$13,$D$18:$D$2015,"&gt;="&amp;V47,$D$18:$D$2015,"&lt;"&amp;V48))</f>
        <v/>
      </c>
      <c r="X47" s="14" t="n"/>
      <c r="Y47" s="16" t="n">
        <v>74</v>
      </c>
      <c r="Z47" s="124">
        <f>IF(Y47="","",COUNTIFS($C$18:$C$2015,Y$13,$D$18:$D$2015,"&gt;="&amp;Y47,$D$18:$D$2015,"&lt;"&amp;Y48))</f>
        <v/>
      </c>
      <c r="AA47" s="14" t="n"/>
      <c r="AB47" s="16" t="n">
        <v>42</v>
      </c>
      <c r="AC47" s="124">
        <f>IF(AB47="","",COUNTIFS($C$18:$C$2015,AB$13,$D$18:$D$2015,"&gt;="&amp;AB47,$D$18:$D$2015,"&lt;"&amp;AB48))</f>
        <v/>
      </c>
      <c r="AD47" s="14" t="n"/>
    </row>
    <row r="48">
      <c r="A48" s="56" t="n"/>
      <c r="B48" s="57" t="n"/>
      <c r="C48" s="59" t="n"/>
      <c r="E48" s="16" t="n"/>
      <c r="F48" s="13" t="n"/>
      <c r="G48" s="16" t="n">
        <v>43</v>
      </c>
      <c r="H48" s="124">
        <f>IF(G48="","",COUNTIFS($C$18:$C$2015,G$13,$D$18:$D$2015,"&gt;="&amp;G48,$D$18:$D$2015,"&lt;"&amp;G49))</f>
        <v/>
      </c>
      <c r="I48" s="14" t="n"/>
      <c r="J48" s="16" t="n"/>
      <c r="K48" s="124">
        <f>IF(J48="","",COUNTIFS($C$18:$C$2015,J$13,$D$18:$D$2015,"&gt;="&amp;J48,$D$18:$D$2015,"&lt;"&amp;J49))</f>
        <v/>
      </c>
      <c r="L48" s="14" t="n"/>
      <c r="M48" s="16" t="n">
        <v>76</v>
      </c>
      <c r="N48" s="124">
        <f>IF(M48="","",COUNTIFS($C$18:$C$2015,M$13,$D$18:$D$2015,"&gt;="&amp;M48,$D$18:$D$2015,"&lt;"&amp;M49))</f>
        <v/>
      </c>
      <c r="O48" s="14" t="n"/>
      <c r="P48" s="16" t="n">
        <v>43</v>
      </c>
      <c r="Q48" s="124">
        <f>IF(P48="","",COUNTIFS($C$18:$C$2015,P$13,$D$18:$D$2015,"&gt;="&amp;P48,$D$18:$D$2015,"&lt;"&amp;P49))</f>
        <v/>
      </c>
      <c r="R48" s="14" t="n"/>
      <c r="S48" s="16" t="n">
        <v>76</v>
      </c>
      <c r="T48" s="124">
        <f>IF(S48="","",COUNTIFS($C$18:$C$2015,S$13,$D$18:$D$2015,"&gt;="&amp;S48,$D$18:$D$2015,"&lt;"&amp;S49))</f>
        <v/>
      </c>
      <c r="U48" s="14" t="n"/>
      <c r="V48" s="16" t="n">
        <v>76</v>
      </c>
      <c r="W48" s="124">
        <f>IF(V48="","",COUNTIFS($C$18:$C$2015,V$13,$D$18:$D$2015,"&gt;="&amp;V48,$D$18:$D$2015,"&lt;"&amp;V49))</f>
        <v/>
      </c>
      <c r="X48" s="14" t="n"/>
      <c r="Y48" s="16" t="n">
        <v>76</v>
      </c>
      <c r="Z48" s="124">
        <f>IF(Y48="","",COUNTIFS($C$18:$C$2015,Y$13,$D$18:$D$2015,"&gt;="&amp;Y48,$D$18:$D$2015,"&lt;"&amp;Y49))</f>
        <v/>
      </c>
      <c r="AA48" s="14" t="n"/>
      <c r="AB48" s="16" t="n">
        <v>43</v>
      </c>
      <c r="AC48" s="124">
        <f>IF(AB48="","",COUNTIFS($C$18:$C$2015,AB$13,$D$18:$D$2015,"&gt;="&amp;AB48,$D$18:$D$2015,"&lt;"&amp;AB49))</f>
        <v/>
      </c>
      <c r="AD48" s="14" t="n"/>
    </row>
    <row r="49">
      <c r="A49" s="58" t="n"/>
      <c r="B49" s="59" t="n"/>
      <c r="C49" s="59" t="n"/>
      <c r="E49" s="16" t="n"/>
      <c r="F49" s="13" t="n"/>
      <c r="G49" s="16" t="n">
        <v>44</v>
      </c>
      <c r="H49" s="124">
        <f>IF(G49="","",COUNTIFS($C$18:$C$2015,G$13,$D$18:$D$2015,"&gt;="&amp;G49,$D$18:$D$2015,"&lt;"&amp;G50))</f>
        <v/>
      </c>
      <c r="I49" s="14" t="n"/>
      <c r="J49" s="16" t="n"/>
      <c r="K49" s="124">
        <f>IF(J49="","",COUNTIFS($C$18:$C$2015,J$13,$D$18:$D$2015,"&gt;="&amp;J49,$D$18:$D$2015,"&lt;"&amp;J50))</f>
        <v/>
      </c>
      <c r="L49" s="14" t="n"/>
      <c r="M49" s="16" t="n">
        <v>78</v>
      </c>
      <c r="N49" s="124">
        <f>IF(M49="","",COUNTIFS($C$18:$C$2015,M$13,$D$18:$D$2015,"&gt;="&amp;M49,$D$18:$D$2015,"&lt;"&amp;M50))</f>
        <v/>
      </c>
      <c r="O49" s="14" t="n"/>
      <c r="P49" s="16" t="n">
        <v>44</v>
      </c>
      <c r="Q49" s="124">
        <f>IF(P49="","",COUNTIFS($C$18:$C$2015,P$13,$D$18:$D$2015,"&gt;="&amp;P49,$D$18:$D$2015,"&lt;"&amp;P50))</f>
        <v/>
      </c>
      <c r="R49" s="14" t="n"/>
      <c r="S49" s="16" t="n">
        <v>78</v>
      </c>
      <c r="T49" s="124">
        <f>IF(S49="","",COUNTIFS($C$18:$C$2015,S$13,$D$18:$D$2015,"&gt;="&amp;S49,$D$18:$D$2015,"&lt;"&amp;S50))</f>
        <v/>
      </c>
      <c r="U49" s="14" t="n"/>
      <c r="V49" s="16" t="n">
        <v>78</v>
      </c>
      <c r="W49" s="124">
        <f>IF(V49="","",COUNTIFS($C$18:$C$2015,V$13,$D$18:$D$2015,"&gt;="&amp;V49,$D$18:$D$2015,"&lt;"&amp;V50))</f>
        <v/>
      </c>
      <c r="X49" s="14" t="n"/>
      <c r="Y49" s="16" t="n">
        <v>78</v>
      </c>
      <c r="Z49" s="124">
        <f>IF(Y49="","",COUNTIFS($C$18:$C$2015,Y$13,$D$18:$D$2015,"&gt;="&amp;Y49,$D$18:$D$2015,"&lt;"&amp;Y50))</f>
        <v/>
      </c>
      <c r="AA49" s="14" t="n"/>
      <c r="AB49" s="16" t="n">
        <v>44</v>
      </c>
      <c r="AC49" s="124">
        <f>IF(AB49="","",COUNTIFS($C$18:$C$2015,AB$13,$D$18:$D$2015,"&gt;="&amp;AB49,$D$18:$D$2015,"&lt;"&amp;AB50))</f>
        <v/>
      </c>
      <c r="AD49" s="14" t="n"/>
    </row>
    <row r="50">
      <c r="A50" s="56" t="n"/>
      <c r="B50" s="57" t="n"/>
      <c r="C50" s="59" t="n"/>
      <c r="E50" s="16" t="n"/>
      <c r="F50" s="13" t="n"/>
      <c r="G50" s="16" t="n">
        <v>45</v>
      </c>
      <c r="H50" s="124">
        <f>IF(G50="","",COUNTIFS($C$18:$C$2015,G$13,$D$18:$D$2015,"&gt;="&amp;G50,$D$18:$D$2015,"&lt;"&amp;G51))</f>
        <v/>
      </c>
      <c r="I50" s="14" t="n"/>
      <c r="J50" s="16" t="n"/>
      <c r="K50" s="124">
        <f>IF(J50="","",COUNTIFS($C$18:$C$2015,J$13,$D$18:$D$2015,"&gt;="&amp;J50,$D$18:$D$2015,"&lt;"&amp;J51))</f>
        <v/>
      </c>
      <c r="L50" s="14" t="n"/>
      <c r="M50" s="16" t="n">
        <v>80</v>
      </c>
      <c r="N50" s="124">
        <f>IF(M50="","",COUNTIFS($C$18:$C$2015,M$13,$D$18:$D$2015,"&gt;="&amp;M50,$D$18:$D$2015,"&lt;"&amp;M51))</f>
        <v/>
      </c>
      <c r="O50" s="14" t="n"/>
      <c r="P50" s="16" t="n">
        <v>45</v>
      </c>
      <c r="Q50" s="124">
        <f>IF(P50="","",COUNTIFS($C$18:$C$2015,P$13,$D$18:$D$2015,"&gt;="&amp;P50,$D$18:$D$2015,"&lt;"&amp;P51))</f>
        <v/>
      </c>
      <c r="R50" s="14" t="n"/>
      <c r="S50" s="16" t="n">
        <v>80</v>
      </c>
      <c r="T50" s="124">
        <f>IF(S50="","",COUNTIFS($C$18:$C$2015,S$13,$D$18:$D$2015,"&gt;="&amp;S50,$D$18:$D$2015,"&lt;"&amp;S51))</f>
        <v/>
      </c>
      <c r="U50" s="14" t="n"/>
      <c r="V50" s="16" t="n">
        <v>80</v>
      </c>
      <c r="W50" s="124">
        <f>IF(V50="","",COUNTIFS($C$18:$C$2015,V$13,$D$18:$D$2015,"&gt;="&amp;V50,$D$18:$D$2015,"&lt;"&amp;V51))</f>
        <v/>
      </c>
      <c r="X50" s="14" t="n"/>
      <c r="Y50" s="16" t="n">
        <v>80</v>
      </c>
      <c r="Z50" s="124">
        <f>IF(Y50="","",COUNTIFS($C$18:$C$2015,Y$13,$D$18:$D$2015,"&gt;="&amp;Y50,$D$18:$D$2015,"&lt;"&amp;Y51))</f>
        <v/>
      </c>
      <c r="AA50" s="14" t="n"/>
      <c r="AB50" s="16" t="n">
        <v>45</v>
      </c>
      <c r="AC50" s="124">
        <f>IF(AB50="","",COUNTIFS($C$18:$C$2015,AB$13,$D$18:$D$2015,"&gt;="&amp;AB50,$D$18:$D$2015,"&lt;"&amp;AB51))</f>
        <v/>
      </c>
      <c r="AD50" s="14" t="n"/>
    </row>
    <row r="51">
      <c r="A51" s="58" t="n"/>
      <c r="B51" s="59" t="n"/>
      <c r="C51" s="59" t="n"/>
      <c r="E51" s="16" t="n"/>
      <c r="F51" s="13" t="n"/>
      <c r="G51" s="16" t="n">
        <v>46</v>
      </c>
      <c r="H51" s="124">
        <f>IF(G51="","",COUNTIFS($C$18:$C$2015,G$13,$D$18:$D$2015,"&gt;="&amp;G51,$D$18:$D$2015,"&lt;"&amp;G52))</f>
        <v/>
      </c>
      <c r="I51" s="14" t="n"/>
      <c r="J51" s="16" t="n"/>
      <c r="K51" s="124">
        <f>IF(J51="","",COUNTIFS($C$18:$C$2015,J$13,$D$18:$D$2015,"&gt;="&amp;J51,$D$18:$D$2015,"&lt;"&amp;J52))</f>
        <v/>
      </c>
      <c r="L51" s="14" t="n"/>
      <c r="M51" s="16" t="n">
        <v>82</v>
      </c>
      <c r="N51" s="124">
        <f>IF(M51="","",COUNTIFS($C$18:$C$2015,M$13,$D$18:$D$2015,"&gt;="&amp;M51,$D$18:$D$2015,"&lt;"&amp;M52))</f>
        <v/>
      </c>
      <c r="O51" s="14" t="n"/>
      <c r="P51" s="16" t="n">
        <v>46</v>
      </c>
      <c r="Q51" s="124">
        <f>IF(P51="","",COUNTIFS($C$18:$C$2015,P$13,$D$18:$D$2015,"&gt;="&amp;P51,$D$18:$D$2015,"&lt;"&amp;P52))</f>
        <v/>
      </c>
      <c r="R51" s="14" t="n"/>
      <c r="S51" s="16" t="n">
        <v>82</v>
      </c>
      <c r="T51" s="124">
        <f>IF(S51="","",COUNTIFS($C$18:$C$2015,S$13,$D$18:$D$2015,"&gt;="&amp;S51,$D$18:$D$2015,"&lt;"&amp;S52))</f>
        <v/>
      </c>
      <c r="U51" s="14" t="n"/>
      <c r="V51" s="16" t="n"/>
      <c r="W51" s="124">
        <f>IF(V51="","",COUNTIFS($C$18:$C$2015,V$13,$D$18:$D$2015,"&gt;="&amp;V51,$D$18:$D$2015,"&lt;"&amp;V52))</f>
        <v/>
      </c>
      <c r="X51" s="14" t="n"/>
      <c r="Y51" s="16" t="n"/>
      <c r="Z51" s="124">
        <f>IF(Y51="","",COUNTIFS($C$18:$C$2015,Y$13,$D$18:$D$2015,"&gt;="&amp;Y51,$D$18:$D$2015,"&lt;"&amp;Y52))</f>
        <v/>
      </c>
      <c r="AA51" s="14" t="n"/>
      <c r="AB51" s="16" t="n">
        <v>46</v>
      </c>
      <c r="AC51" s="124">
        <f>IF(AB51="","",COUNTIFS($C$18:$C$2015,AB$13,$D$18:$D$2015,"&gt;="&amp;AB51,$D$18:$D$2015,"&lt;"&amp;AB52))</f>
        <v/>
      </c>
      <c r="AD51" s="14" t="n"/>
    </row>
    <row r="52">
      <c r="A52" s="56" t="n"/>
      <c r="B52" s="57" t="n"/>
      <c r="C52" s="59" t="n"/>
      <c r="E52" s="16" t="n"/>
      <c r="F52" s="13" t="n"/>
      <c r="G52" s="16" t="n">
        <v>47</v>
      </c>
      <c r="H52" s="124">
        <f>IF(G52="","",COUNTIFS($C$18:$C$2015,G$13,$D$18:$D$2015,"&gt;="&amp;G52,$D$18:$D$2015,"&lt;"&amp;G53))</f>
        <v/>
      </c>
      <c r="I52" s="14" t="n"/>
      <c r="J52" s="16" t="n"/>
      <c r="K52" s="124">
        <f>IF(J52="","",COUNTIFS($C$18:$C$2015,J$13,$D$18:$D$2015,"&gt;="&amp;J52,$D$18:$D$2015,"&lt;"&amp;J53))</f>
        <v/>
      </c>
      <c r="L52" s="14" t="n"/>
      <c r="M52" s="16" t="n">
        <v>84</v>
      </c>
      <c r="N52" s="124">
        <f>IF(M52="","",COUNTIFS($C$18:$C$2015,M$13,$D$18:$D$2015,"&gt;="&amp;M52,$D$18:$D$2015,"&lt;"&amp;M53))</f>
        <v/>
      </c>
      <c r="O52" s="14" t="n"/>
      <c r="P52" s="16" t="n">
        <v>47</v>
      </c>
      <c r="Q52" s="124">
        <f>IF(P52="","",COUNTIFS($C$18:$C$2015,P$13,$D$18:$D$2015,"&gt;="&amp;P52,$D$18:$D$2015,"&lt;"&amp;P53))</f>
        <v/>
      </c>
      <c r="R52" s="14" t="n"/>
      <c r="S52" s="16" t="n">
        <v>84</v>
      </c>
      <c r="T52" s="124">
        <f>IF(S52="","",COUNTIFS($C$18:$C$2015,S$13,$D$18:$D$2015,"&gt;="&amp;S52,$D$18:$D$2015,"&lt;"&amp;S53))</f>
        <v/>
      </c>
      <c r="U52" s="14" t="n"/>
      <c r="V52" s="16" t="n"/>
      <c r="W52" s="124">
        <f>IF(V52="","",COUNTIFS($C$18:$C$2015,V$13,$D$18:$D$2015,"&gt;="&amp;V52,$D$18:$D$2015,"&lt;"&amp;V53))</f>
        <v/>
      </c>
      <c r="X52" s="14" t="n"/>
      <c r="Y52" s="16" t="n"/>
      <c r="Z52" s="124">
        <f>IF(Y52="","",COUNTIFS($C$18:$C$2015,Y$13,$D$18:$D$2015,"&gt;="&amp;Y52,$D$18:$D$2015,"&lt;"&amp;Y53))</f>
        <v/>
      </c>
      <c r="AA52" s="14" t="n"/>
      <c r="AB52" s="16" t="n">
        <v>47</v>
      </c>
      <c r="AC52" s="124">
        <f>IF(AB52="","",COUNTIFS($C$18:$C$2015,AB$13,$D$18:$D$2015,"&gt;="&amp;AB52,$D$18:$D$2015,"&lt;"&amp;AB53))</f>
        <v/>
      </c>
      <c r="AD52" s="14" t="n"/>
    </row>
    <row r="53">
      <c r="A53" s="58" t="n"/>
      <c r="B53" s="59" t="n"/>
      <c r="C53" s="59" t="n"/>
      <c r="E53" s="16" t="n"/>
      <c r="F53" s="13" t="n"/>
      <c r="G53" s="16" t="n">
        <v>48</v>
      </c>
      <c r="H53" s="124">
        <f>IF(G53="","",COUNTIFS($C$18:$C$2015,G$13,$D$18:$D$2015,"&gt;="&amp;G53,$D$18:$D$2015,"&lt;"&amp;G54))</f>
        <v/>
      </c>
      <c r="I53" s="14" t="n"/>
      <c r="J53" s="16" t="n"/>
      <c r="K53" s="124">
        <f>IF(J53="","",COUNTIFS($C$18:$C$2015,J$13,$D$18:$D$2015,"&gt;="&amp;J53,$D$18:$D$2015,"&lt;"&amp;J54))</f>
        <v/>
      </c>
      <c r="L53" s="14" t="n"/>
      <c r="M53" s="16" t="n">
        <v>86</v>
      </c>
      <c r="N53" s="124">
        <f>IF(M53="","",COUNTIFS($C$18:$C$2015,M$13,$D$18:$D$2015,"&gt;="&amp;M53,$D$18:$D$2015,"&lt;"&amp;M54))</f>
        <v/>
      </c>
      <c r="O53" s="14" t="n"/>
      <c r="P53" s="16" t="n">
        <v>48</v>
      </c>
      <c r="Q53" s="124">
        <f>IF(P53="","",COUNTIFS($C$18:$C$2015,P$13,$D$18:$D$2015,"&gt;="&amp;P53,$D$18:$D$2015,"&lt;"&amp;P54))</f>
        <v/>
      </c>
      <c r="R53" s="14" t="n"/>
      <c r="S53" s="16" t="n">
        <v>86</v>
      </c>
      <c r="T53" s="124">
        <f>IF(S53="","",COUNTIFS($C$18:$C$2015,S$13,$D$18:$D$2015,"&gt;="&amp;S53,$D$18:$D$2015,"&lt;"&amp;S54))</f>
        <v/>
      </c>
      <c r="U53" s="14" t="n"/>
      <c r="V53" s="16" t="n"/>
      <c r="W53" s="124">
        <f>IF(V53="","",COUNTIFS($C$18:$C$2015,V$13,$D$18:$D$2015,"&gt;="&amp;V53,$D$18:$D$2015,"&lt;"&amp;V54))</f>
        <v/>
      </c>
      <c r="X53" s="14" t="n"/>
      <c r="Y53" s="16" t="n"/>
      <c r="Z53" s="124">
        <f>IF(Y53="","",COUNTIFS($C$18:$C$2015,Y$13,$D$18:$D$2015,"&gt;="&amp;Y53,$D$18:$D$2015,"&lt;"&amp;Y54))</f>
        <v/>
      </c>
      <c r="AA53" s="14" t="n"/>
      <c r="AB53" s="16" t="n">
        <v>48</v>
      </c>
      <c r="AC53" s="124">
        <f>IF(AB53="","",COUNTIFS($C$18:$C$2015,AB$13,$D$18:$D$2015,"&gt;="&amp;AB53,$D$18:$D$2015,"&lt;"&amp;AB54))</f>
        <v/>
      </c>
      <c r="AD53" s="14" t="n"/>
    </row>
    <row r="54">
      <c r="A54" s="56" t="n"/>
      <c r="B54" s="57" t="n"/>
      <c r="C54" s="59" t="n"/>
      <c r="E54" s="16" t="n"/>
      <c r="F54" s="13" t="n"/>
      <c r="G54" s="16" t="n">
        <v>49</v>
      </c>
      <c r="H54" s="124">
        <f>IF(G54="","",COUNTIFS($C$18:$C$2015,G$13,$D$18:$D$2015,"&gt;="&amp;G54,$D$18:$D$2015,"&lt;"&amp;G55))</f>
        <v/>
      </c>
      <c r="I54" s="14" t="n"/>
      <c r="J54" s="16" t="n"/>
      <c r="K54" s="124">
        <f>IF(J54="","",COUNTIFS($C$18:$C$2015,J$13,$D$18:$D$2015,"&gt;="&amp;J54,$D$18:$D$2015,"&lt;"&amp;J55))</f>
        <v/>
      </c>
      <c r="L54" s="14" t="n"/>
      <c r="M54" s="16" t="n">
        <v>88</v>
      </c>
      <c r="N54" s="124">
        <f>IF(M54="","",COUNTIFS($C$18:$C$2015,M$13,$D$18:$D$2015,"&gt;="&amp;M54,$D$18:$D$2015,"&lt;"&amp;M55))</f>
        <v/>
      </c>
      <c r="O54" s="14" t="n"/>
      <c r="P54" s="16" t="n">
        <v>49</v>
      </c>
      <c r="Q54" s="124">
        <f>IF(P54="","",COUNTIFS($C$18:$C$2015,P$13,$D$18:$D$2015,"&gt;="&amp;P54,$D$18:$D$2015,"&lt;"&amp;P55))</f>
        <v/>
      </c>
      <c r="R54" s="14" t="n"/>
      <c r="S54" s="16" t="n">
        <v>88</v>
      </c>
      <c r="T54" s="124">
        <f>IF(S54="","",COUNTIFS($C$18:$C$2015,S$13,$D$18:$D$2015,"&gt;="&amp;S54,$D$18:$D$2015,"&lt;"&amp;S55))</f>
        <v/>
      </c>
      <c r="U54" s="14" t="n"/>
      <c r="V54" s="16" t="n"/>
      <c r="W54" s="124">
        <f>IF(V54="","",COUNTIFS($C$18:$C$2015,V$13,$D$18:$D$2015,"&gt;="&amp;V54,$D$18:$D$2015,"&lt;"&amp;V55))</f>
        <v/>
      </c>
      <c r="X54" s="14" t="n"/>
      <c r="Y54" s="16" t="n"/>
      <c r="Z54" s="124">
        <f>IF(Y54="","",COUNTIFS($C$18:$C$2015,Y$13,$D$18:$D$2015,"&gt;="&amp;Y54,$D$18:$D$2015,"&lt;"&amp;Y55))</f>
        <v/>
      </c>
      <c r="AA54" s="14" t="n"/>
      <c r="AB54" s="16" t="n">
        <v>49</v>
      </c>
      <c r="AC54" s="124">
        <f>IF(AB54="","",COUNTIFS($C$18:$C$2015,AB$13,$D$18:$D$2015,"&gt;="&amp;AB54,$D$18:$D$2015,"&lt;"&amp;AB55))</f>
        <v/>
      </c>
      <c r="AD54" s="14" t="n"/>
    </row>
    <row r="55">
      <c r="A55" s="58" t="n"/>
      <c r="B55" s="59" t="n"/>
      <c r="C55" s="59" t="n"/>
      <c r="E55" s="16" t="n"/>
      <c r="F55" s="13" t="n"/>
      <c r="G55" s="16" t="n">
        <v>50</v>
      </c>
      <c r="H55" s="124">
        <f>IF(G55="","",COUNTIFS($C$18:$C$2015,G$13,$D$18:$D$2015,"&gt;="&amp;G55,$D$18:$D$2015,"&lt;"&amp;G56))</f>
        <v/>
      </c>
      <c r="I55" s="14" t="n"/>
      <c r="J55" s="16" t="n"/>
      <c r="K55" s="124">
        <f>IF(J55="","",COUNTIFS($C$18:$C$2015,J$13,$D$18:$D$2015,"&gt;="&amp;J55,$D$18:$D$2015,"&lt;"&amp;J56))</f>
        <v/>
      </c>
      <c r="L55" s="14" t="n"/>
      <c r="M55" s="16" t="n">
        <v>90</v>
      </c>
      <c r="N55" s="124">
        <f>IF(M55="","",COUNTIFS($C$18:$C$2015,M$13,$D$18:$D$2015,"&gt;="&amp;M55,$D$18:$D$2015,"&lt;"&amp;M56))</f>
        <v/>
      </c>
      <c r="O55" s="14" t="n"/>
      <c r="P55" s="16" t="n">
        <v>50</v>
      </c>
      <c r="Q55" s="124">
        <f>IF(P55="","",COUNTIFS($C$18:$C$2015,P$13,$D$18:$D$2015,"&gt;="&amp;P55,$D$18:$D$2015,"&lt;"&amp;P56))</f>
        <v/>
      </c>
      <c r="R55" s="14" t="n"/>
      <c r="S55" s="16" t="n">
        <v>90</v>
      </c>
      <c r="T55" s="124">
        <f>IF(S55="","",COUNTIFS($C$18:$C$2015,S$13,$D$18:$D$2015,"&gt;="&amp;S55,$D$18:$D$2015,"&lt;"&amp;S56))</f>
        <v/>
      </c>
      <c r="U55" s="14" t="n"/>
      <c r="V55" s="16" t="n"/>
      <c r="W55" s="124">
        <f>IF(V55="","",COUNTIFS($C$18:$C$2015,V$13,$D$18:$D$2015,"&gt;="&amp;V55,$D$18:$D$2015,"&lt;"&amp;V56))</f>
        <v/>
      </c>
      <c r="X55" s="14" t="n"/>
      <c r="Y55" s="16" t="n"/>
      <c r="Z55" s="124">
        <f>IF(Y55="","",COUNTIFS($C$18:$C$2015,Y$13,$D$18:$D$2015,"&gt;="&amp;Y55,$D$18:$D$2015,"&lt;"&amp;Y56))</f>
        <v/>
      </c>
      <c r="AA55" s="14" t="n"/>
      <c r="AB55" s="16" t="n">
        <v>50</v>
      </c>
      <c r="AC55" s="124">
        <f>IF(AB55="","",COUNTIFS($C$18:$C$2015,AB$13,$D$18:$D$2015,"&gt;="&amp;AB55,$D$18:$D$2015,"&lt;"&amp;AB56))</f>
        <v/>
      </c>
      <c r="AD55" s="14" t="n"/>
    </row>
    <row r="56">
      <c r="A56" s="56" t="n"/>
      <c r="B56" s="57" t="n"/>
      <c r="C56" s="59" t="n"/>
      <c r="E56" s="16" t="n"/>
      <c r="F56" s="13" t="n"/>
      <c r="G56" s="16" t="n">
        <v>51</v>
      </c>
      <c r="H56" s="124">
        <f>IF(G56="","",COUNTIFS($C$18:$C$2015,G$13,$D$18:$D$2015,"&gt;="&amp;G56,$D$18:$D$2015,"&lt;"&amp;G57))</f>
        <v/>
      </c>
      <c r="I56" s="14" t="n"/>
      <c r="J56" s="16" t="n"/>
      <c r="K56" s="124">
        <f>IF(J56="","",COUNTIFS($C$18:$C$2015,J$13,$D$18:$D$2015,"&gt;="&amp;J56,$D$18:$D$2015,"&lt;"&amp;J57))</f>
        <v/>
      </c>
      <c r="L56" s="14" t="n"/>
      <c r="M56" s="16" t="n"/>
      <c r="N56" s="124">
        <f>IF(M56="","",COUNTIFS($C$18:$C$2015,M$13,$D$18:$D$2015,"&gt;="&amp;M56,$D$18:$D$2015,"&lt;"&amp;M57))</f>
        <v/>
      </c>
      <c r="O56" s="14" t="n"/>
      <c r="P56" s="16" t="n">
        <v>51</v>
      </c>
      <c r="Q56" s="124">
        <f>IF(P56="","",COUNTIFS($C$18:$C$2015,P$13,$D$18:$D$2015,"&gt;="&amp;P56,$D$18:$D$2015,"&lt;"&amp;P57))</f>
        <v/>
      </c>
      <c r="R56" s="14" t="n"/>
      <c r="S56" s="16" t="n">
        <v>92</v>
      </c>
      <c r="T56" s="124">
        <f>IF(S56="","",COUNTIFS($C$18:$C$2015,S$13,$D$18:$D$2015,"&gt;="&amp;S56,$D$18:$D$2015,"&lt;"&amp;S57))</f>
        <v/>
      </c>
      <c r="U56" s="14" t="n"/>
      <c r="V56" s="16" t="n"/>
      <c r="W56" s="124">
        <f>IF(V56="","",COUNTIFS($C$18:$C$2015,V$13,$D$18:$D$2015,"&gt;="&amp;V56,$D$18:$D$2015,"&lt;"&amp;V57))</f>
        <v/>
      </c>
      <c r="X56" s="14" t="n"/>
      <c r="Y56" s="16" t="n"/>
      <c r="Z56" s="124">
        <f>IF(Y56="","",COUNTIFS($C$18:$C$2015,Y$13,$D$18:$D$2015,"&gt;="&amp;Y56,$D$18:$D$2015,"&lt;"&amp;Y57))</f>
        <v/>
      </c>
      <c r="AA56" s="14" t="n"/>
      <c r="AB56" s="16" t="n">
        <v>51</v>
      </c>
      <c r="AC56" s="124">
        <f>IF(AB56="","",COUNTIFS($C$18:$C$2015,AB$13,$D$18:$D$2015,"&gt;="&amp;AB56,$D$18:$D$2015,"&lt;"&amp;AB57))</f>
        <v/>
      </c>
      <c r="AD56" s="14" t="n"/>
    </row>
    <row r="57">
      <c r="A57" s="58" t="n"/>
      <c r="B57" s="59" t="n"/>
      <c r="C57" s="59" t="n"/>
      <c r="E57" s="16" t="n"/>
      <c r="F57" s="13" t="n"/>
      <c r="G57" s="16" t="n">
        <v>52</v>
      </c>
      <c r="H57" s="124">
        <f>IF(G57="","",COUNTIFS($C$18:$C$2015,G$13,$D$18:$D$2015,"&gt;="&amp;G57,$D$18:$D$2015,"&lt;"&amp;G58))</f>
        <v/>
      </c>
      <c r="I57" s="14" t="n"/>
      <c r="J57" s="16" t="n"/>
      <c r="K57" s="124">
        <f>IF(J57="","",COUNTIFS($C$18:$C$2015,J$13,$D$18:$D$2015,"&gt;="&amp;J57,$D$18:$D$2015,"&lt;"&amp;J58))</f>
        <v/>
      </c>
      <c r="L57" s="14" t="n"/>
      <c r="M57" s="16" t="n"/>
      <c r="N57" s="124">
        <f>IF(M57="","",COUNTIFS($C$18:$C$2015,M$13,$D$18:$D$2015,"&gt;="&amp;M57,$D$18:$D$2015,"&lt;"&amp;M58))</f>
        <v/>
      </c>
      <c r="O57" s="14" t="n"/>
      <c r="P57" s="16" t="n">
        <v>52</v>
      </c>
      <c r="Q57" s="124">
        <f>IF(P57="","",COUNTIFS($C$18:$C$2015,P$13,$D$18:$D$2015,"&gt;="&amp;P57,$D$18:$D$2015,"&lt;"&amp;P58))</f>
        <v/>
      </c>
      <c r="R57" s="14" t="n"/>
      <c r="S57" s="16" t="n">
        <v>94</v>
      </c>
      <c r="T57" s="124">
        <f>IF(S57="","",COUNTIFS($C$18:$C$2015,S$13,$D$18:$D$2015,"&gt;="&amp;S57,$D$18:$D$2015,"&lt;"&amp;S58))</f>
        <v/>
      </c>
      <c r="U57" s="14" t="n"/>
      <c r="V57" s="16" t="n"/>
      <c r="W57" s="124">
        <f>IF(V57="","",COUNTIFS($C$18:$C$2015,V$13,$D$18:$D$2015,"&gt;="&amp;V57,$D$18:$D$2015,"&lt;"&amp;V58))</f>
        <v/>
      </c>
      <c r="X57" s="14" t="n"/>
      <c r="Y57" s="16" t="n"/>
      <c r="Z57" s="124">
        <f>IF(Y57="","",COUNTIFS($C$18:$C$2015,Y$13,$D$18:$D$2015,"&gt;="&amp;Y57,$D$18:$D$2015,"&lt;"&amp;Y58))</f>
        <v/>
      </c>
      <c r="AA57" s="14" t="n"/>
      <c r="AB57" s="16" t="n">
        <v>52</v>
      </c>
      <c r="AC57" s="124">
        <f>IF(AB57="","",COUNTIFS($C$18:$C$2015,AB$13,$D$18:$D$2015,"&gt;="&amp;AB57,$D$18:$D$2015,"&lt;"&amp;AB58))</f>
        <v/>
      </c>
      <c r="AD57" s="14" t="n"/>
    </row>
    <row r="58">
      <c r="A58" s="56" t="n"/>
      <c r="B58" s="57" t="n"/>
      <c r="C58" s="59" t="n"/>
      <c r="E58" s="16" t="n"/>
      <c r="F58" s="13" t="n"/>
      <c r="G58" s="16" t="n">
        <v>53</v>
      </c>
      <c r="H58" s="124">
        <f>IF(G58="","",COUNTIFS($C$18:$C$2015,G$13,$D$18:$D$2015,"&gt;="&amp;G58,$D$18:$D$2015,"&lt;"&amp;G59))</f>
        <v/>
      </c>
      <c r="I58" s="14" t="n"/>
      <c r="J58" s="16" t="n"/>
      <c r="K58" s="124">
        <f>IF(J58="","",COUNTIFS($C$18:$C$2015,J$13,$D$18:$D$2015,"&gt;="&amp;J58,$D$18:$D$2015,"&lt;"&amp;J59))</f>
        <v/>
      </c>
      <c r="L58" s="14" t="n"/>
      <c r="M58" s="16" t="n"/>
      <c r="N58" s="124">
        <f>IF(M58="","",COUNTIFS($C$18:$C$2015,M$13,$D$18:$D$2015,"&gt;="&amp;M58,$D$18:$D$2015,"&lt;"&amp;M59))</f>
        <v/>
      </c>
      <c r="O58" s="14" t="n"/>
      <c r="P58" s="16" t="n">
        <v>53</v>
      </c>
      <c r="Q58" s="124">
        <f>IF(P58="","",COUNTIFS($C$18:$C$2015,P$13,$D$18:$D$2015,"&gt;="&amp;P58,$D$18:$D$2015,"&lt;"&amp;P59))</f>
        <v/>
      </c>
      <c r="R58" s="14" t="n"/>
      <c r="S58" s="16" t="n">
        <v>96</v>
      </c>
      <c r="T58" s="124">
        <f>IF(S58="","",COUNTIFS($C$18:$C$2015,S$13,$D$18:$D$2015,"&gt;="&amp;S58,$D$18:$D$2015,"&lt;"&amp;S59))</f>
        <v/>
      </c>
      <c r="U58" s="14" t="n"/>
      <c r="V58" s="16" t="n"/>
      <c r="W58" s="124">
        <f>IF(V58="","",COUNTIFS($C$18:$C$2015,V$13,$D$18:$D$2015,"&gt;="&amp;V58,$D$18:$D$2015,"&lt;"&amp;V59))</f>
        <v/>
      </c>
      <c r="X58" s="14" t="n"/>
      <c r="Y58" s="16" t="n"/>
      <c r="Z58" s="124">
        <f>IF(Y58="","",COUNTIFS($C$18:$C$2015,Y$13,$D$18:$D$2015,"&gt;="&amp;Y58,$D$18:$D$2015,"&lt;"&amp;Y59))</f>
        <v/>
      </c>
      <c r="AA58" s="14" t="n"/>
      <c r="AB58" s="16" t="n">
        <v>53</v>
      </c>
      <c r="AC58" s="124">
        <f>IF(AB58="","",COUNTIFS($C$18:$C$2015,AB$13,$D$18:$D$2015,"&gt;="&amp;AB58,$D$18:$D$2015,"&lt;"&amp;AB59))</f>
        <v/>
      </c>
      <c r="AD58" s="14" t="n"/>
    </row>
    <row r="59">
      <c r="A59" s="58" t="n"/>
      <c r="B59" s="59" t="n"/>
      <c r="C59" s="59" t="n"/>
      <c r="E59" s="16" t="n"/>
      <c r="F59" s="13" t="n"/>
      <c r="G59" s="16" t="n">
        <v>54</v>
      </c>
      <c r="H59" s="124">
        <f>IF(G59="","",COUNTIFS($C$18:$C$2015,G$13,$D$18:$D$2015,"&gt;="&amp;G59,$D$18:$D$2015,"&lt;"&amp;G60))</f>
        <v/>
      </c>
      <c r="I59" s="14" t="n"/>
      <c r="J59" s="16" t="n"/>
      <c r="K59" s="124">
        <f>IF(J59="","",COUNTIFS($C$18:$C$2015,J$13,$D$18:$D$2015,"&gt;="&amp;J59,$D$18:$D$2015,"&lt;"&amp;J60))</f>
        <v/>
      </c>
      <c r="L59" s="14" t="n"/>
      <c r="M59" s="16" t="n"/>
      <c r="N59" s="124">
        <f>IF(M59="","",COUNTIFS($C$18:$C$2015,M$13,$D$18:$D$2015,"&gt;="&amp;M59,$D$18:$D$2015,"&lt;"&amp;M60))</f>
        <v/>
      </c>
      <c r="O59" s="14" t="n"/>
      <c r="P59" s="16" t="n">
        <v>54</v>
      </c>
      <c r="Q59" s="124">
        <f>IF(P59="","",COUNTIFS($C$18:$C$2015,P$13,$D$18:$D$2015,"&gt;="&amp;P59,$D$18:$D$2015,"&lt;"&amp;P60))</f>
        <v/>
      </c>
      <c r="R59" s="14" t="n"/>
      <c r="S59" s="16" t="n">
        <v>98</v>
      </c>
      <c r="T59" s="124">
        <f>IF(S59="","",COUNTIFS($C$18:$C$2015,S$13,$D$18:$D$2015,"&gt;="&amp;S59,$D$18:$D$2015,"&lt;"&amp;S60))</f>
        <v/>
      </c>
      <c r="U59" s="14" t="n"/>
      <c r="V59" s="16" t="n"/>
      <c r="W59" s="124">
        <f>IF(V59="","",COUNTIFS($C$18:$C$2015,V$13,$D$18:$D$2015,"&gt;="&amp;V59,$D$18:$D$2015,"&lt;"&amp;V60))</f>
        <v/>
      </c>
      <c r="X59" s="14" t="n"/>
      <c r="Y59" s="16" t="n"/>
      <c r="Z59" s="124">
        <f>IF(Y59="","",COUNTIFS($C$18:$C$2015,Y$13,$D$18:$D$2015,"&gt;="&amp;Y59,$D$18:$D$2015,"&lt;"&amp;Y60))</f>
        <v/>
      </c>
      <c r="AA59" s="14" t="n"/>
      <c r="AB59" s="16" t="n">
        <v>54</v>
      </c>
      <c r="AC59" s="124">
        <f>IF(AB59="","",COUNTIFS($C$18:$C$2015,AB$13,$D$18:$D$2015,"&gt;="&amp;AB59,$D$18:$D$2015,"&lt;"&amp;AB60))</f>
        <v/>
      </c>
      <c r="AD59" s="14" t="n"/>
    </row>
    <row r="60">
      <c r="A60" s="56" t="n"/>
      <c r="B60" s="57" t="n"/>
      <c r="C60" s="59" t="n"/>
      <c r="E60" s="16" t="n"/>
      <c r="F60" s="13" t="n"/>
      <c r="G60" s="16" t="n">
        <v>55</v>
      </c>
      <c r="H60" s="124">
        <f>IF(G60="","",COUNTIFS($C$18:$C$2015,G$13,$D$18:$D$2015,"&gt;="&amp;G60,$D$18:$D$2015,"&lt;"&amp;G61))</f>
        <v/>
      </c>
      <c r="I60" s="14" t="n"/>
      <c r="J60" s="16" t="n"/>
      <c r="K60" s="124">
        <f>IF(J60="","",COUNTIFS($C$18:$C$2015,J$13,$D$18:$D$2015,"&gt;="&amp;J60,$D$18:$D$2015,"&lt;"&amp;J61))</f>
        <v/>
      </c>
      <c r="L60" s="14" t="n"/>
      <c r="M60" s="16" t="n"/>
      <c r="N60" s="124">
        <f>IF(M60="","",COUNTIFS($C$18:$C$2015,M$13,$D$18:$D$2015,"&gt;="&amp;M60,$D$18:$D$2015,"&lt;"&amp;M61))</f>
        <v/>
      </c>
      <c r="O60" s="14" t="n"/>
      <c r="P60" s="16" t="n">
        <v>55</v>
      </c>
      <c r="Q60" s="124">
        <f>IF(P60="","",COUNTIFS($C$18:$C$2015,P$13,$D$18:$D$2015,"&gt;="&amp;P60,$D$18:$D$2015,"&lt;"&amp;P61))</f>
        <v/>
      </c>
      <c r="R60" s="14" t="n"/>
      <c r="S60" s="16" t="n">
        <v>100</v>
      </c>
      <c r="T60" s="124">
        <f>IF(S60="","",COUNTIFS($C$18:$C$2015,S$13,$D$18:$D$2015,"&gt;="&amp;S60,$D$18:$D$2015,"&lt;"&amp;S61))</f>
        <v/>
      </c>
      <c r="U60" s="14" t="n"/>
      <c r="V60" s="16" t="n"/>
      <c r="W60" s="124">
        <f>IF(V60="","",COUNTIFS($C$18:$C$2015,V$13,$D$18:$D$2015,"&gt;="&amp;V60,$D$18:$D$2015,"&lt;"&amp;V61))</f>
        <v/>
      </c>
      <c r="X60" s="14" t="n"/>
      <c r="Y60" s="16" t="n"/>
      <c r="Z60" s="124">
        <f>IF(Y60="","",COUNTIFS($C$18:$C$2015,Y$13,$D$18:$D$2015,"&gt;="&amp;Y60,$D$18:$D$2015,"&lt;"&amp;Y61))</f>
        <v/>
      </c>
      <c r="AA60" s="14" t="n"/>
      <c r="AB60" s="16" t="n">
        <v>55</v>
      </c>
      <c r="AC60" s="124">
        <f>IF(AB60="","",COUNTIFS($C$18:$C$2015,AB$13,$D$18:$D$2015,"&gt;="&amp;AB60,$D$18:$D$2015,"&lt;"&amp;AB61))</f>
        <v/>
      </c>
      <c r="AD60" s="14" t="n"/>
    </row>
    <row r="61">
      <c r="A61" s="58" t="n"/>
      <c r="B61" s="59" t="n"/>
      <c r="C61" s="59" t="n"/>
      <c r="E61" s="16" t="n"/>
      <c r="F61" s="13" t="n"/>
      <c r="G61" s="16" t="n">
        <v>56</v>
      </c>
      <c r="H61" s="124">
        <f>IF(G61="","",COUNTIFS($C$18:$C$2015,G$13,$D$18:$D$2015,"&gt;="&amp;G61,$D$18:$D$2015,"&lt;"&amp;G62))</f>
        <v/>
      </c>
      <c r="I61" s="14" t="n"/>
      <c r="J61" s="16" t="n"/>
      <c r="K61" s="124">
        <f>IF(J61="","",COUNTIFS($C$18:$C$2015,J$13,$D$18:$D$2015,"&gt;="&amp;J61,$D$18:$D$2015,"&lt;"&amp;J62))</f>
        <v/>
      </c>
      <c r="L61" s="14" t="n"/>
      <c r="M61" s="16" t="n"/>
      <c r="N61" s="124">
        <f>IF(M61="","",COUNTIFS($C$18:$C$2015,M$13,$D$18:$D$2015,"&gt;="&amp;M61,$D$18:$D$2015,"&lt;"&amp;M62))</f>
        <v/>
      </c>
      <c r="O61" s="14" t="n"/>
      <c r="P61" s="16" t="n">
        <v>56</v>
      </c>
      <c r="Q61" s="124">
        <f>IF(P61="","",COUNTIFS($C$18:$C$2015,P$13,$D$18:$D$2015,"&gt;="&amp;P61,$D$18:$D$2015,"&lt;"&amp;P62))</f>
        <v/>
      </c>
      <c r="R61" s="14" t="n"/>
      <c r="S61" s="16" t="n"/>
      <c r="T61" s="124">
        <f>IF(S61="","",COUNTIFS($C$18:$C$2015,S$13,$D$18:$D$2015,"&gt;="&amp;S61,$D$18:$D$2015,"&lt;"&amp;S62))</f>
        <v/>
      </c>
      <c r="U61" s="14" t="n"/>
      <c r="V61" s="16" t="n"/>
      <c r="W61" s="124">
        <f>IF(V61="","",COUNTIFS($C$18:$C$2015,V$13,$D$18:$D$2015,"&gt;="&amp;V61,$D$18:$D$2015,"&lt;"&amp;V62))</f>
        <v/>
      </c>
      <c r="X61" s="14" t="n"/>
      <c r="Y61" s="16" t="n"/>
      <c r="Z61" s="124">
        <f>IF(Y61="","",COUNTIFS($C$18:$C$2015,Y$13,$D$18:$D$2015,"&gt;="&amp;Y61,$D$18:$D$2015,"&lt;"&amp;Y62))</f>
        <v/>
      </c>
      <c r="AA61" s="14" t="n"/>
      <c r="AB61" s="16" t="n">
        <v>56</v>
      </c>
      <c r="AC61" s="124">
        <f>IF(AB61="","",COUNTIFS($C$18:$C$2015,AB$13,$D$18:$D$2015,"&gt;="&amp;AB61,$D$18:$D$2015,"&lt;"&amp;AB62))</f>
        <v/>
      </c>
      <c r="AD61" s="14" t="n"/>
    </row>
    <row r="62">
      <c r="A62" s="56" t="n"/>
      <c r="B62" s="57" t="n"/>
      <c r="C62" s="59" t="n"/>
      <c r="E62" s="16" t="n"/>
      <c r="F62" s="13" t="n"/>
      <c r="G62" s="16" t="n">
        <v>57</v>
      </c>
      <c r="H62" s="124">
        <f>IF(G62="","",COUNTIFS($C$18:$C$2015,G$13,$D$18:$D$2015,"&gt;="&amp;G62,$D$18:$D$2015,"&lt;"&amp;G63))</f>
        <v/>
      </c>
      <c r="I62" s="14" t="n"/>
      <c r="J62" s="16" t="n"/>
      <c r="K62" s="124">
        <f>IF(J62="","",COUNTIFS($C$18:$C$2015,J$13,$D$18:$D$2015,"&gt;="&amp;J62,$D$18:$D$2015,"&lt;"&amp;J63))</f>
        <v/>
      </c>
      <c r="L62" s="14" t="n"/>
      <c r="M62" s="16" t="n"/>
      <c r="N62" s="124">
        <f>IF(M62="","",COUNTIFS($C$18:$C$2015,M$13,$D$18:$D$2015,"&gt;="&amp;M62,$D$18:$D$2015,"&lt;"&amp;M63))</f>
        <v/>
      </c>
      <c r="O62" s="14" t="n"/>
      <c r="P62" s="16" t="n">
        <v>57</v>
      </c>
      <c r="Q62" s="124">
        <f>IF(P62="","",COUNTIFS($C$18:$C$2015,P$13,$D$18:$D$2015,"&gt;="&amp;P62,$D$18:$D$2015,"&lt;"&amp;P63))</f>
        <v/>
      </c>
      <c r="R62" s="14" t="n"/>
      <c r="S62" s="16" t="n"/>
      <c r="T62" s="124">
        <f>IF(S62="","",COUNTIFS($C$18:$C$2015,S$13,$D$18:$D$2015,"&gt;="&amp;S62,$D$18:$D$2015,"&lt;"&amp;S63))</f>
        <v/>
      </c>
      <c r="U62" s="14" t="n"/>
      <c r="V62" s="16" t="n"/>
      <c r="W62" s="124">
        <f>IF(V62="","",COUNTIFS($C$18:$C$2015,V$13,$D$18:$D$2015,"&gt;="&amp;V62,$D$18:$D$2015,"&lt;"&amp;V63))</f>
        <v/>
      </c>
      <c r="X62" s="14" t="n"/>
      <c r="Y62" s="16" t="n"/>
      <c r="Z62" s="124">
        <f>IF(Y62="","",COUNTIFS($C$18:$C$2015,Y$13,$D$18:$D$2015,"&gt;="&amp;Y62,$D$18:$D$2015,"&lt;"&amp;Y63))</f>
        <v/>
      </c>
      <c r="AA62" s="14" t="n"/>
      <c r="AB62" s="16" t="n">
        <v>57</v>
      </c>
      <c r="AC62" s="124">
        <f>IF(AB62="","",COUNTIFS($C$18:$C$2015,AB$13,$D$18:$D$2015,"&gt;="&amp;AB62,$D$18:$D$2015,"&lt;"&amp;AB63))</f>
        <v/>
      </c>
      <c r="AD62" s="14" t="n"/>
    </row>
    <row r="63">
      <c r="A63" s="58" t="n"/>
      <c r="B63" s="59" t="n"/>
      <c r="C63" s="59" t="n"/>
      <c r="E63" s="16" t="n"/>
      <c r="F63" s="13" t="n"/>
      <c r="G63" s="16" t="n">
        <v>58</v>
      </c>
      <c r="H63" s="124">
        <f>IF(G63="","",COUNTIFS($C$18:$C$2015,G$13,$D$18:$D$2015,"&gt;="&amp;G63,$D$18:$D$2015,"&lt;"&amp;G64))</f>
        <v/>
      </c>
      <c r="I63" s="14" t="n"/>
      <c r="J63" s="16" t="n"/>
      <c r="K63" s="124">
        <f>IF(J63="","",COUNTIFS($C$18:$C$2015,J$13,$D$18:$D$2015,"&gt;="&amp;J63,$D$18:$D$2015,"&lt;"&amp;J64))</f>
        <v/>
      </c>
      <c r="L63" s="14" t="n"/>
      <c r="M63" s="16" t="n"/>
      <c r="N63" s="124">
        <f>IF(M63="","",COUNTIFS($C$18:$C$2015,M$13,$D$18:$D$2015,"&gt;="&amp;M63,$D$18:$D$2015,"&lt;"&amp;M64))</f>
        <v/>
      </c>
      <c r="O63" s="14" t="n"/>
      <c r="P63" s="16" t="n">
        <v>58</v>
      </c>
      <c r="Q63" s="124">
        <f>IF(P63="","",COUNTIFS($C$18:$C$2015,P$13,$D$18:$D$2015,"&gt;="&amp;P63,$D$18:$D$2015,"&lt;"&amp;P64))</f>
        <v/>
      </c>
      <c r="R63" s="14" t="n"/>
      <c r="S63" s="16" t="n"/>
      <c r="T63" s="124">
        <f>IF(S63="","",COUNTIFS($C$18:$C$2015,S$13,$D$18:$D$2015,"&gt;="&amp;S63,$D$18:$D$2015,"&lt;"&amp;S64))</f>
        <v/>
      </c>
      <c r="U63" s="14" t="n"/>
      <c r="V63" s="16" t="n"/>
      <c r="W63" s="124">
        <f>IF(V63="","",COUNTIFS($C$18:$C$2015,V$13,$D$18:$D$2015,"&gt;="&amp;V63,$D$18:$D$2015,"&lt;"&amp;V64))</f>
        <v/>
      </c>
      <c r="X63" s="14" t="n"/>
      <c r="Y63" s="16" t="n"/>
      <c r="Z63" s="124">
        <f>IF(Y63="","",COUNTIFS($C$18:$C$2015,Y$13,$D$18:$D$2015,"&gt;="&amp;Y63,$D$18:$D$2015,"&lt;"&amp;Y64))</f>
        <v/>
      </c>
      <c r="AA63" s="14" t="n"/>
      <c r="AB63" s="16" t="n">
        <v>58</v>
      </c>
      <c r="AC63" s="124">
        <f>IF(AB63="","",COUNTIFS($C$18:$C$2015,AB$13,$D$18:$D$2015,"&gt;="&amp;AB63,$D$18:$D$2015,"&lt;"&amp;AB64))</f>
        <v/>
      </c>
      <c r="AD63" s="14" t="n"/>
    </row>
    <row r="64">
      <c r="A64" s="56" t="n"/>
      <c r="B64" s="57" t="n"/>
      <c r="C64" s="59" t="n"/>
      <c r="E64" s="16" t="n"/>
      <c r="F64" s="13" t="n"/>
      <c r="G64" s="16" t="n">
        <v>59</v>
      </c>
      <c r="H64" s="124">
        <f>IF(G64="","",COUNTIFS($C$18:$C$2015,G$13,$D$18:$D$2015,"&gt;="&amp;G64,$D$18:$D$2015,"&lt;"&amp;G65))</f>
        <v/>
      </c>
      <c r="I64" s="14" t="n"/>
      <c r="J64" s="16" t="n"/>
      <c r="K64" s="124">
        <f>IF(J64="","",COUNTIFS($C$18:$C$2015,J$13,$D$18:$D$2015,"&gt;="&amp;J64,$D$18:$D$2015,"&lt;"&amp;J65))</f>
        <v/>
      </c>
      <c r="L64" s="14" t="n"/>
      <c r="M64" s="16" t="n"/>
      <c r="N64" s="124">
        <f>IF(M64="","",COUNTIFS($C$18:$C$2015,M$13,$D$18:$D$2015,"&gt;="&amp;M64,$D$18:$D$2015,"&lt;"&amp;M65))</f>
        <v/>
      </c>
      <c r="O64" s="14" t="n"/>
      <c r="P64" s="16" t="n">
        <v>59</v>
      </c>
      <c r="Q64" s="124">
        <f>IF(P64="","",COUNTIFS($C$18:$C$2015,P$13,$D$18:$D$2015,"&gt;="&amp;P64,$D$18:$D$2015,"&lt;"&amp;P65))</f>
        <v/>
      </c>
      <c r="R64" s="14" t="n"/>
      <c r="S64" s="16" t="n"/>
      <c r="T64" s="124">
        <f>IF(S64="","",COUNTIFS($C$18:$C$2015,S$13,$D$18:$D$2015,"&gt;="&amp;S64,$D$18:$D$2015,"&lt;"&amp;S65))</f>
        <v/>
      </c>
      <c r="U64" s="14" t="n"/>
      <c r="V64" s="16" t="n"/>
      <c r="W64" s="124">
        <f>IF(V64="","",COUNTIFS($C$18:$C$2015,V$13,$D$18:$D$2015,"&gt;="&amp;V64,$D$18:$D$2015,"&lt;"&amp;V65))</f>
        <v/>
      </c>
      <c r="X64" s="14" t="n"/>
      <c r="Y64" s="16" t="n"/>
      <c r="Z64" s="124">
        <f>IF(Y64="","",COUNTIFS($C$18:$C$2015,Y$13,$D$18:$D$2015,"&gt;="&amp;Y64,$D$18:$D$2015,"&lt;"&amp;Y65))</f>
        <v/>
      </c>
      <c r="AA64" s="14" t="n"/>
      <c r="AB64" s="16" t="n">
        <v>59</v>
      </c>
      <c r="AC64" s="124">
        <f>IF(AB64="","",COUNTIFS($C$18:$C$2015,AB$13,$D$18:$D$2015,"&gt;="&amp;AB64,$D$18:$D$2015,"&lt;"&amp;AB65))</f>
        <v/>
      </c>
      <c r="AD64" s="14" t="n"/>
    </row>
    <row r="65">
      <c r="A65" s="58" t="n"/>
      <c r="B65" s="59" t="n"/>
      <c r="C65" s="59" t="n"/>
      <c r="E65" s="16" t="n"/>
      <c r="F65" s="13" t="n"/>
      <c r="G65" s="16" t="n">
        <v>60</v>
      </c>
      <c r="H65" s="124">
        <f>IF(G65="","",COUNTIFS($C$18:$C$2015,G$13,$D$18:$D$2015,"&gt;="&amp;G65,$D$18:$D$2015,"&lt;"&amp;G66))</f>
        <v/>
      </c>
      <c r="I65" s="14" t="n"/>
      <c r="J65" s="16" t="n"/>
      <c r="K65" s="124">
        <f>IF(J65="","",COUNTIFS($C$18:$C$2015,J$13,$D$18:$D$2015,"&gt;="&amp;J65,$D$18:$D$2015,"&lt;"&amp;J66))</f>
        <v/>
      </c>
      <c r="L65" s="14" t="n"/>
      <c r="M65" s="16" t="n"/>
      <c r="N65" s="124">
        <f>IF(M65="","",COUNTIFS($C$18:$C$2015,M$13,$D$18:$D$2015,"&gt;="&amp;M65,$D$18:$D$2015,"&lt;"&amp;M66))</f>
        <v/>
      </c>
      <c r="O65" s="14" t="n"/>
      <c r="P65" s="16" t="n">
        <v>60</v>
      </c>
      <c r="Q65" s="124">
        <f>IF(P65="","",COUNTIFS($C$18:$C$2015,P$13,$D$18:$D$2015,"&gt;="&amp;P65,$D$18:$D$2015,"&lt;"&amp;P66))</f>
        <v/>
      </c>
      <c r="R65" s="14" t="n"/>
      <c r="S65" s="16" t="n"/>
      <c r="T65" s="124">
        <f>IF(S65="","",COUNTIFS($C$18:$C$2015,S$13,$D$18:$D$2015,"&gt;="&amp;S65,$D$18:$D$2015,"&lt;"&amp;S66))</f>
        <v/>
      </c>
      <c r="U65" s="14" t="n"/>
      <c r="V65" s="16" t="n"/>
      <c r="W65" s="124">
        <f>IF(V65="","",COUNTIFS($C$18:$C$2015,V$13,$D$18:$D$2015,"&gt;="&amp;V65,$D$18:$D$2015,"&lt;"&amp;V66))</f>
        <v/>
      </c>
      <c r="X65" s="14" t="n"/>
      <c r="Y65" s="16" t="n"/>
      <c r="Z65" s="124">
        <f>IF(Y65="","",COUNTIFS($C$18:$C$2015,Y$13,$D$18:$D$2015,"&gt;="&amp;Y65,$D$18:$D$2015,"&lt;"&amp;Y66))</f>
        <v/>
      </c>
      <c r="AA65" s="14" t="n"/>
      <c r="AB65" s="16" t="n">
        <v>60</v>
      </c>
      <c r="AC65" s="124">
        <f>IF(AB65="","",COUNTIFS($C$18:$C$2015,AB$13,$D$18:$D$2015,"&gt;="&amp;AB65,$D$18:$D$2015,"&lt;"&amp;AB66))</f>
        <v/>
      </c>
      <c r="AD65" s="14" t="n"/>
    </row>
    <row r="66">
      <c r="A66" s="56" t="n"/>
      <c r="B66" s="57" t="n"/>
      <c r="C66" s="59" t="n"/>
      <c r="E66" s="16" t="n"/>
      <c r="F66" s="13" t="n"/>
      <c r="G66" s="16" t="n">
        <v>61</v>
      </c>
      <c r="H66" s="124">
        <f>IF(G66="","",COUNTIFS($C$18:$C$2015,G$13,$D$18:$D$2015,"&gt;="&amp;G66,$D$18:$D$2015,"&lt;"&amp;G67))</f>
        <v/>
      </c>
      <c r="I66" s="14" t="n"/>
      <c r="J66" s="16" t="n"/>
      <c r="K66" s="124">
        <f>IF(J66="","",COUNTIFS($C$18:$C$2015,J$13,$D$18:$D$2015,"&gt;="&amp;J66,$D$18:$D$2015,"&lt;"&amp;J67))</f>
        <v/>
      </c>
      <c r="L66" s="14" t="n"/>
      <c r="M66" s="16" t="n"/>
      <c r="N66" s="124">
        <f>IF(M66="","",COUNTIFS($C$18:$C$2015,M$13,$D$18:$D$2015,"&gt;="&amp;M66,$D$18:$D$2015,"&lt;"&amp;M67))</f>
        <v/>
      </c>
      <c r="O66" s="14" t="n"/>
      <c r="P66" s="16" t="n">
        <v>61</v>
      </c>
      <c r="Q66" s="124">
        <f>IF(P66="","",COUNTIFS($C$18:$C$2015,P$13,$D$18:$D$2015,"&gt;="&amp;P66,$D$18:$D$2015,"&lt;"&amp;P67))</f>
        <v/>
      </c>
      <c r="R66" s="14" t="n"/>
      <c r="S66" s="16" t="n"/>
      <c r="T66" s="124">
        <f>IF(S66="","",COUNTIFS($C$18:$C$2015,S$13,$D$18:$D$2015,"&gt;="&amp;S66,$D$18:$D$2015,"&lt;"&amp;S67))</f>
        <v/>
      </c>
      <c r="U66" s="14" t="n"/>
      <c r="V66" s="16" t="n"/>
      <c r="W66" s="124">
        <f>IF(V66="","",COUNTIFS($C$18:$C$2015,V$13,$D$18:$D$2015,"&gt;="&amp;V66,$D$18:$D$2015,"&lt;"&amp;V67))</f>
        <v/>
      </c>
      <c r="X66" s="14" t="n"/>
      <c r="Y66" s="16" t="n"/>
      <c r="Z66" s="124">
        <f>IF(Y66="","",COUNTIFS($C$18:$C$2015,Y$13,$D$18:$D$2015,"&gt;="&amp;Y66,$D$18:$D$2015,"&lt;"&amp;Y67))</f>
        <v/>
      </c>
      <c r="AA66" s="14" t="n"/>
      <c r="AB66" s="16" t="n">
        <v>61</v>
      </c>
      <c r="AC66" s="124">
        <f>IF(AB66="","",COUNTIFS($C$18:$C$2015,AB$13,$D$18:$D$2015,"&gt;="&amp;AB66,$D$18:$D$2015,"&lt;"&amp;AB67))</f>
        <v/>
      </c>
      <c r="AD66" s="14" t="n"/>
    </row>
    <row r="67">
      <c r="A67" s="58" t="n"/>
      <c r="B67" s="59" t="n"/>
      <c r="C67" s="59" t="n"/>
      <c r="E67" s="16" t="n"/>
      <c r="F67" s="13" t="n"/>
      <c r="G67" s="16" t="n">
        <v>62</v>
      </c>
      <c r="H67" s="124">
        <f>IF(G67="","",COUNTIFS($C$18:$C$2015,G$13,$D$18:$D$2015,"&gt;="&amp;G67,$D$18:$D$2015,"&lt;"&amp;G68))</f>
        <v/>
      </c>
      <c r="I67" s="14" t="n"/>
      <c r="J67" s="16" t="n"/>
      <c r="K67" s="124">
        <f>IF(J67="","",COUNTIFS($C$18:$C$2015,J$13,$D$18:$D$2015,"&gt;="&amp;J67,$D$18:$D$2015,"&lt;"&amp;J68))</f>
        <v/>
      </c>
      <c r="L67" s="14" t="n"/>
      <c r="M67" s="16" t="n"/>
      <c r="N67" s="124">
        <f>IF(M67="","",COUNTIFS($C$18:$C$2015,M$13,$D$18:$D$2015,"&gt;="&amp;M67,$D$18:$D$2015,"&lt;"&amp;M68))</f>
        <v/>
      </c>
      <c r="O67" s="14" t="n"/>
      <c r="P67" s="16" t="n">
        <v>62</v>
      </c>
      <c r="Q67" s="124">
        <f>IF(P67="","",COUNTIFS($C$18:$C$2015,P$13,$D$18:$D$2015,"&gt;="&amp;P67,$D$18:$D$2015,"&lt;"&amp;P68))</f>
        <v/>
      </c>
      <c r="R67" s="14" t="n"/>
      <c r="S67" s="16" t="n"/>
      <c r="T67" s="124">
        <f>IF(S67="","",COUNTIFS($C$18:$C$2015,S$13,$D$18:$D$2015,"&gt;="&amp;S67,$D$18:$D$2015,"&lt;"&amp;S68))</f>
        <v/>
      </c>
      <c r="U67" s="14" t="n"/>
      <c r="V67" s="16" t="n"/>
      <c r="W67" s="124">
        <f>IF(V67="","",COUNTIFS($C$18:$C$2015,V$13,$D$18:$D$2015,"&gt;="&amp;V67,$D$18:$D$2015,"&lt;"&amp;V68))</f>
        <v/>
      </c>
      <c r="X67" s="14" t="n"/>
      <c r="Y67" s="16" t="n"/>
      <c r="Z67" s="124">
        <f>IF(Y67="","",COUNTIFS($C$18:$C$2015,Y$13,$D$18:$D$2015,"&gt;="&amp;Y67,$D$18:$D$2015,"&lt;"&amp;Y68))</f>
        <v/>
      </c>
      <c r="AA67" s="14" t="n"/>
      <c r="AB67" s="16" t="n">
        <v>62</v>
      </c>
      <c r="AC67" s="124">
        <f>IF(AB67="","",COUNTIFS($C$18:$C$2015,AB$13,$D$18:$D$2015,"&gt;="&amp;AB67,$D$18:$D$2015,"&lt;"&amp;AB68))</f>
        <v/>
      </c>
      <c r="AD67" s="14" t="n"/>
    </row>
    <row r="68">
      <c r="A68" s="56" t="n"/>
      <c r="B68" s="57" t="n"/>
      <c r="C68" s="59" t="n"/>
      <c r="E68" s="16" t="n"/>
      <c r="F68" s="13" t="n"/>
      <c r="G68" s="16" t="n">
        <v>63</v>
      </c>
      <c r="H68" s="124">
        <f>IF(G68="","",COUNTIFS($C$18:$C$2015,G$13,$D$18:$D$2015,"&gt;="&amp;G68,$D$18:$D$2015,"&lt;"&amp;G69))</f>
        <v/>
      </c>
      <c r="I68" s="14" t="n"/>
      <c r="J68" s="16" t="n"/>
      <c r="K68" s="124">
        <f>IF(J68="","",COUNTIFS($C$18:$C$2015,J$13,$D$18:$D$2015,"&gt;="&amp;J68,$D$18:$D$2015,"&lt;"&amp;J69))</f>
        <v/>
      </c>
      <c r="L68" s="14" t="n"/>
      <c r="M68" s="16" t="n"/>
      <c r="N68" s="124">
        <f>IF(M68="","",COUNTIFS($C$18:$C$2015,M$13,$D$18:$D$2015,"&gt;="&amp;M68,$D$18:$D$2015,"&lt;"&amp;M69))</f>
        <v/>
      </c>
      <c r="O68" s="14" t="n"/>
      <c r="P68" s="16" t="n">
        <v>63</v>
      </c>
      <c r="Q68" s="124">
        <f>IF(P68="","",COUNTIFS($C$18:$C$2015,P$13,$D$18:$D$2015,"&gt;="&amp;P68,$D$18:$D$2015,"&lt;"&amp;P69))</f>
        <v/>
      </c>
      <c r="R68" s="14" t="n"/>
      <c r="S68" s="16" t="n"/>
      <c r="T68" s="124">
        <f>IF(S68="","",COUNTIFS($C$18:$C$2015,S$13,$D$18:$D$2015,"&gt;="&amp;S68,$D$18:$D$2015,"&lt;"&amp;S69))</f>
        <v/>
      </c>
      <c r="U68" s="14" t="n"/>
      <c r="V68" s="16" t="n"/>
      <c r="W68" s="124">
        <f>IF(V68="","",COUNTIFS($C$18:$C$2015,V$13,$D$18:$D$2015,"&gt;="&amp;V68,$D$18:$D$2015,"&lt;"&amp;V69))</f>
        <v/>
      </c>
      <c r="X68" s="14" t="n"/>
      <c r="Y68" s="16" t="n"/>
      <c r="Z68" s="124">
        <f>IF(Y68="","",COUNTIFS($C$18:$C$2015,Y$13,$D$18:$D$2015,"&gt;="&amp;Y68,$D$18:$D$2015,"&lt;"&amp;Y69))</f>
        <v/>
      </c>
      <c r="AA68" s="14" t="n"/>
      <c r="AB68" s="16" t="n"/>
      <c r="AC68" s="124">
        <f>IF(AB68="","",COUNTIFS($C$18:$C$2015,AB$13,$D$18:$D$2015,"&gt;="&amp;AB68,$D$18:$D$2015,"&lt;"&amp;AB69))</f>
        <v/>
      </c>
      <c r="AD68" s="14" t="n"/>
    </row>
    <row r="69">
      <c r="A69" s="58" t="n"/>
      <c r="B69" s="59" t="n"/>
      <c r="C69" s="59" t="n"/>
      <c r="E69" s="16" t="n"/>
      <c r="F69" s="13" t="n"/>
      <c r="G69" s="16" t="n">
        <v>64</v>
      </c>
      <c r="H69" s="124">
        <f>IF(G69="","",COUNTIFS($C$18:$C$2015,G$13,$D$18:$D$2015,"&gt;="&amp;G69,$D$18:$D$2015,"&lt;"&amp;G70))</f>
        <v/>
      </c>
      <c r="I69" s="14" t="n"/>
      <c r="J69" s="16" t="n"/>
      <c r="K69" s="124">
        <f>IF(J69="","",COUNTIFS($C$18:$C$2015,J$13,$D$18:$D$2015,"&gt;="&amp;J69,$D$18:$D$2015,"&lt;"&amp;J70))</f>
        <v/>
      </c>
      <c r="L69" s="14" t="n"/>
      <c r="M69" s="16" t="n"/>
      <c r="N69" s="124">
        <f>IF(M69="","",COUNTIFS($C$18:$C$2015,M$13,$D$18:$D$2015,"&gt;="&amp;M69,$D$18:$D$2015,"&lt;"&amp;M70))</f>
        <v/>
      </c>
      <c r="O69" s="14" t="n"/>
      <c r="P69" s="16" t="n">
        <v>64</v>
      </c>
      <c r="Q69" s="124">
        <f>IF(P69="","",COUNTIFS($C$18:$C$2015,P$13,$D$18:$D$2015,"&gt;="&amp;P69,$D$18:$D$2015,"&lt;"&amp;P70))</f>
        <v/>
      </c>
      <c r="R69" s="14" t="n"/>
      <c r="S69" s="16" t="n"/>
      <c r="T69" s="124">
        <f>IF(S69="","",COUNTIFS($C$18:$C$2015,S$13,$D$18:$D$2015,"&gt;="&amp;S69,$D$18:$D$2015,"&lt;"&amp;S70))</f>
        <v/>
      </c>
      <c r="U69" s="14" t="n"/>
      <c r="V69" s="16" t="n"/>
      <c r="W69" s="124">
        <f>IF(V69="","",COUNTIFS($C$18:$C$2015,V$13,$D$18:$D$2015,"&gt;="&amp;V69,$D$18:$D$2015,"&lt;"&amp;V70))</f>
        <v/>
      </c>
      <c r="X69" s="14" t="n"/>
      <c r="Y69" s="16" t="n"/>
      <c r="Z69" s="124">
        <f>IF(Y69="","",COUNTIFS($C$18:$C$2015,Y$13,$D$18:$D$2015,"&gt;="&amp;Y69,$D$18:$D$2015,"&lt;"&amp;Y70))</f>
        <v/>
      </c>
      <c r="AA69" s="14" t="n"/>
      <c r="AB69" s="16" t="n"/>
      <c r="AC69" s="124">
        <f>IF(AB69="","",COUNTIFS($C$18:$C$2015,AB$13,$D$18:$D$2015,"&gt;="&amp;AB69,$D$18:$D$2015,"&lt;"&amp;AB70))</f>
        <v/>
      </c>
      <c r="AD69" s="14" t="n"/>
    </row>
    <row r="70">
      <c r="A70" s="56" t="n"/>
      <c r="B70" s="57" t="n"/>
      <c r="C70" s="59" t="n"/>
      <c r="E70" s="16" t="n"/>
      <c r="F70" s="13" t="n"/>
      <c r="G70" s="16" t="n">
        <v>65</v>
      </c>
      <c r="H70" s="124">
        <f>IF(G70="","",COUNTIFS($C$18:$C$2015,G$13,$D$18:$D$2015,"&gt;="&amp;G70,$D$18:$D$2015,"&lt;"&amp;G71))</f>
        <v/>
      </c>
      <c r="I70" s="14" t="n"/>
      <c r="J70" s="16" t="n"/>
      <c r="K70" s="124">
        <f>IF(J70="","",COUNTIFS($C$18:$C$2015,J$13,$D$18:$D$2015,"&gt;="&amp;J70,$D$18:$D$2015,"&lt;"&amp;J71))</f>
        <v/>
      </c>
      <c r="L70" s="14" t="n"/>
      <c r="M70" s="16" t="n"/>
      <c r="N70" s="124">
        <f>IF(M70="","",COUNTIFS($C$18:$C$2015,M$13,$D$18:$D$2015,"&gt;="&amp;M70,$D$18:$D$2015,"&lt;"&amp;M71))</f>
        <v/>
      </c>
      <c r="O70" s="14" t="n"/>
      <c r="P70" s="16" t="n">
        <v>65</v>
      </c>
      <c r="Q70" s="124">
        <f>IF(P70="","",COUNTIFS($C$18:$C$2015,P$13,$D$18:$D$2015,"&gt;="&amp;P70,$D$18:$D$2015,"&lt;"&amp;P71))</f>
        <v/>
      </c>
      <c r="R70" s="14" t="n"/>
      <c r="S70" s="16" t="n"/>
      <c r="T70" s="124">
        <f>IF(S70="","",COUNTIFS($C$18:$C$2015,S$13,$D$18:$D$2015,"&gt;="&amp;S70,$D$18:$D$2015,"&lt;"&amp;S71))</f>
        <v/>
      </c>
      <c r="U70" s="14" t="n"/>
      <c r="V70" s="16" t="n"/>
      <c r="W70" s="124">
        <f>IF(V70="","",COUNTIFS($C$18:$C$2015,V$13,$D$18:$D$2015,"&gt;="&amp;V70,$D$18:$D$2015,"&lt;"&amp;V71))</f>
        <v/>
      </c>
      <c r="X70" s="14" t="n"/>
      <c r="Y70" s="16" t="n"/>
      <c r="Z70" s="124">
        <f>IF(Y70="","",COUNTIFS($C$18:$C$2015,Y$13,$D$18:$D$2015,"&gt;="&amp;Y70,$D$18:$D$2015,"&lt;"&amp;Y71))</f>
        <v/>
      </c>
      <c r="AA70" s="14" t="n"/>
      <c r="AB70" s="16" t="n"/>
      <c r="AC70" s="124">
        <f>IF(AB70="","",COUNTIFS($C$18:$C$2015,AB$13,$D$18:$D$2015,"&gt;="&amp;AB70,$D$18:$D$2015,"&lt;"&amp;AB71))</f>
        <v/>
      </c>
      <c r="AD70" s="14" t="n"/>
    </row>
    <row r="71">
      <c r="A71" s="58" t="n"/>
      <c r="B71" s="59" t="n"/>
      <c r="C71" s="59" t="n"/>
      <c r="E71" s="16" t="n"/>
      <c r="F71" s="13" t="n"/>
      <c r="G71" s="16" t="n">
        <v>66</v>
      </c>
      <c r="H71" s="124">
        <f>IF(G71="","",COUNTIFS($C$18:$C$2015,G$13,$D$18:$D$2015,"&gt;="&amp;G71,$D$18:$D$2015,"&lt;"&amp;G72))</f>
        <v/>
      </c>
      <c r="I71" s="14" t="n"/>
      <c r="J71" s="16" t="n"/>
      <c r="K71" s="124">
        <f>IF(J71="","",COUNTIFS($C$18:$C$2015,J$13,$D$18:$D$2015,"&gt;="&amp;J71,$D$18:$D$2015,"&lt;"&amp;J72))</f>
        <v/>
      </c>
      <c r="L71" s="14" t="n"/>
      <c r="M71" s="16" t="n"/>
      <c r="N71" s="124">
        <f>IF(M71="","",COUNTIFS($C$18:$C$2015,M$13,$D$18:$D$2015,"&gt;="&amp;M71,$D$18:$D$2015,"&lt;"&amp;M72))</f>
        <v/>
      </c>
      <c r="O71" s="14" t="n"/>
      <c r="P71" s="16" t="n">
        <v>66</v>
      </c>
      <c r="Q71" s="124">
        <f>IF(P71="","",COUNTIFS($C$18:$C$2015,P$13,$D$18:$D$2015,"&gt;="&amp;P71,$D$18:$D$2015,"&lt;"&amp;P72))</f>
        <v/>
      </c>
      <c r="R71" s="14" t="n"/>
      <c r="S71" s="16" t="n"/>
      <c r="T71" s="124">
        <f>IF(S71="","",COUNTIFS($C$18:$C$2015,S$13,$D$18:$D$2015,"&gt;="&amp;S71,$D$18:$D$2015,"&lt;"&amp;S72))</f>
        <v/>
      </c>
      <c r="U71" s="14" t="n"/>
      <c r="V71" s="16" t="n"/>
      <c r="W71" s="124">
        <f>IF(V71="","",COUNTIFS($C$18:$C$2015,V$13,$D$18:$D$2015,"&gt;="&amp;V71,$D$18:$D$2015,"&lt;"&amp;V72))</f>
        <v/>
      </c>
      <c r="X71" s="14" t="n"/>
      <c r="Y71" s="16" t="n"/>
      <c r="Z71" s="124">
        <f>IF(Y71="","",COUNTIFS($C$18:$C$2015,Y$13,$D$18:$D$2015,"&gt;="&amp;Y71,$D$18:$D$2015,"&lt;"&amp;Y72))</f>
        <v/>
      </c>
      <c r="AA71" s="14" t="n"/>
      <c r="AB71" s="16" t="n"/>
      <c r="AC71" s="124">
        <f>IF(AB71="","",COUNTIFS($C$18:$C$2015,AB$13,$D$18:$D$2015,"&gt;="&amp;AB71,$D$18:$D$2015,"&lt;"&amp;AB72))</f>
        <v/>
      </c>
      <c r="AD71" s="14" t="n"/>
    </row>
    <row r="72">
      <c r="A72" s="56" t="n"/>
      <c r="B72" s="57" t="n"/>
      <c r="C72" s="59" t="n"/>
      <c r="E72" s="16" t="n"/>
      <c r="F72" s="13" t="n"/>
      <c r="G72" s="16" t="n">
        <v>67</v>
      </c>
      <c r="H72" s="124">
        <f>IF(G72="","",COUNTIFS($C$18:$C$2015,G$13,$D$18:$D$2015,"&gt;="&amp;G72,$D$18:$D$2015,"&lt;"&amp;G73))</f>
        <v/>
      </c>
      <c r="I72" s="14" t="n"/>
      <c r="J72" s="16" t="n"/>
      <c r="K72" s="124">
        <f>IF(J72="","",COUNTIFS($C$18:$C$2015,J$13,$D$18:$D$2015,"&gt;="&amp;J72,$D$18:$D$2015,"&lt;"&amp;J73))</f>
        <v/>
      </c>
      <c r="L72" s="14" t="n"/>
      <c r="M72" s="16" t="n"/>
      <c r="N72" s="124">
        <f>IF(M72="","",COUNTIFS($C$18:$C$2015,M$13,$D$18:$D$2015,"&gt;="&amp;M72,$D$18:$D$2015,"&lt;"&amp;M73))</f>
        <v/>
      </c>
      <c r="O72" s="14" t="n"/>
      <c r="P72" s="16" t="n">
        <v>67</v>
      </c>
      <c r="Q72" s="124">
        <f>IF(P72="","",COUNTIFS($C$18:$C$2015,P$13,$D$18:$D$2015,"&gt;="&amp;P72,$D$18:$D$2015,"&lt;"&amp;P73))</f>
        <v/>
      </c>
      <c r="R72" s="14" t="n"/>
      <c r="S72" s="16" t="n"/>
      <c r="T72" s="124">
        <f>IF(S72="","",COUNTIFS($C$18:$C$2015,S$13,$D$18:$D$2015,"&gt;="&amp;S72,$D$18:$D$2015,"&lt;"&amp;S73))</f>
        <v/>
      </c>
      <c r="U72" s="14" t="n"/>
      <c r="V72" s="16" t="n"/>
      <c r="W72" s="124">
        <f>IF(V72="","",COUNTIFS($C$18:$C$2015,V$13,$D$18:$D$2015,"&gt;="&amp;V72,$D$18:$D$2015,"&lt;"&amp;V73))</f>
        <v/>
      </c>
      <c r="X72" s="14" t="n"/>
      <c r="Y72" s="16" t="n"/>
      <c r="Z72" s="124">
        <f>IF(Y72="","",COUNTIFS($C$18:$C$2015,Y$13,$D$18:$D$2015,"&gt;="&amp;Y72,$D$18:$D$2015,"&lt;"&amp;Y73))</f>
        <v/>
      </c>
      <c r="AA72" s="14" t="n"/>
      <c r="AB72" s="16" t="n"/>
      <c r="AC72" s="124">
        <f>IF(AB72="","",COUNTIFS($C$18:$C$2015,AB$13,$D$18:$D$2015,"&gt;="&amp;AB72,$D$18:$D$2015,"&lt;"&amp;AB73))</f>
        <v/>
      </c>
      <c r="AD72" s="14" t="n"/>
    </row>
    <row r="73">
      <c r="A73" s="58" t="n"/>
      <c r="B73" s="59" t="n"/>
      <c r="C73" s="59" t="n"/>
      <c r="E73" s="16" t="n"/>
      <c r="F73" s="13" t="n"/>
      <c r="G73" s="16" t="n">
        <v>68</v>
      </c>
      <c r="H73" s="124">
        <f>IF(G73="","",COUNTIFS($C$18:$C$2015,G$13,$D$18:$D$2015,"&gt;="&amp;G73,$D$18:$D$2015,"&lt;"&amp;G74))</f>
        <v/>
      </c>
      <c r="I73" s="14" t="n"/>
      <c r="J73" s="16" t="n"/>
      <c r="K73" s="124">
        <f>IF(J73="","",COUNTIFS($C$18:$C$2015,J$13,$D$18:$D$2015,"&gt;="&amp;J73,$D$18:$D$2015,"&lt;"&amp;J74))</f>
        <v/>
      </c>
      <c r="L73" s="14" t="n"/>
      <c r="M73" s="16" t="n"/>
      <c r="N73" s="124">
        <f>IF(M73="","",COUNTIFS($C$18:$C$2015,M$13,$D$18:$D$2015,"&gt;="&amp;M73,$D$18:$D$2015,"&lt;"&amp;M74))</f>
        <v/>
      </c>
      <c r="O73" s="14" t="n"/>
      <c r="P73" s="16" t="n">
        <v>68</v>
      </c>
      <c r="Q73" s="124">
        <f>IF(P73="","",COUNTIFS($C$18:$C$2015,P$13,$D$18:$D$2015,"&gt;="&amp;P73,$D$18:$D$2015,"&lt;"&amp;P74))</f>
        <v/>
      </c>
      <c r="R73" s="14" t="n"/>
      <c r="S73" s="16" t="n"/>
      <c r="T73" s="124">
        <f>IF(S73="","",COUNTIFS($C$18:$C$2015,S$13,$D$18:$D$2015,"&gt;="&amp;S73,$D$18:$D$2015,"&lt;"&amp;S74))</f>
        <v/>
      </c>
      <c r="U73" s="14" t="n"/>
      <c r="V73" s="16" t="n"/>
      <c r="W73" s="124">
        <f>IF(V73="","",COUNTIFS($C$18:$C$2015,V$13,$D$18:$D$2015,"&gt;="&amp;V73,$D$18:$D$2015,"&lt;"&amp;V74))</f>
        <v/>
      </c>
      <c r="X73" s="14" t="n"/>
      <c r="Y73" s="16" t="n"/>
      <c r="Z73" s="124">
        <f>IF(Y73="","",COUNTIFS($C$18:$C$2015,Y$13,$D$18:$D$2015,"&gt;="&amp;Y73,$D$18:$D$2015,"&lt;"&amp;Y74))</f>
        <v/>
      </c>
      <c r="AA73" s="14" t="n"/>
      <c r="AB73" s="16" t="n"/>
      <c r="AC73" s="124">
        <f>IF(AB73="","",COUNTIFS($C$18:$C$2015,AB$13,$D$18:$D$2015,"&gt;="&amp;AB73,$D$18:$D$2015,"&lt;"&amp;AB74))</f>
        <v/>
      </c>
      <c r="AD73" s="14" t="n"/>
    </row>
    <row r="74">
      <c r="A74" s="56" t="n"/>
      <c r="B74" s="57" t="n"/>
      <c r="C74" s="59" t="n"/>
      <c r="E74" s="16" t="n"/>
      <c r="F74" s="13" t="n"/>
      <c r="G74" s="16" t="n">
        <v>69</v>
      </c>
      <c r="H74" s="124">
        <f>IF(G74="","",COUNTIFS($C$18:$C$2015,G$13,$D$18:$D$2015,"&gt;="&amp;G74,$D$18:$D$2015,"&lt;"&amp;G75))</f>
        <v/>
      </c>
      <c r="I74" s="14" t="n"/>
      <c r="J74" s="16" t="n"/>
      <c r="K74" s="124">
        <f>IF(J74="","",COUNTIFS($C$18:$C$2015,J$13,$D$18:$D$2015,"&gt;="&amp;J74,$D$18:$D$2015,"&lt;"&amp;J75))</f>
        <v/>
      </c>
      <c r="L74" s="14" t="n"/>
      <c r="M74" s="16" t="n"/>
      <c r="N74" s="124">
        <f>IF(M74="","",COUNTIFS($C$18:$C$2015,M$13,$D$18:$D$2015,"&gt;="&amp;M74,$D$18:$D$2015,"&lt;"&amp;M75))</f>
        <v/>
      </c>
      <c r="O74" s="14" t="n"/>
      <c r="P74" s="16" t="n">
        <v>69</v>
      </c>
      <c r="Q74" s="124">
        <f>IF(P74="","",COUNTIFS($C$18:$C$2015,P$13,$D$18:$D$2015,"&gt;="&amp;P74,$D$18:$D$2015,"&lt;"&amp;P75))</f>
        <v/>
      </c>
      <c r="R74" s="14" t="n"/>
      <c r="S74" s="16" t="n"/>
      <c r="T74" s="124">
        <f>IF(S74="","",COUNTIFS($C$18:$C$2015,S$13,$D$18:$D$2015,"&gt;="&amp;S74,$D$18:$D$2015,"&lt;"&amp;S75))</f>
        <v/>
      </c>
      <c r="U74" s="14" t="n"/>
      <c r="V74" s="16" t="n"/>
      <c r="W74" s="124">
        <f>IF(V74="","",COUNTIFS($C$18:$C$2015,V$13,$D$18:$D$2015,"&gt;="&amp;V74,$D$18:$D$2015,"&lt;"&amp;V75))</f>
        <v/>
      </c>
      <c r="X74" s="14" t="n"/>
      <c r="Y74" s="16" t="n"/>
      <c r="Z74" s="124">
        <f>IF(Y74="","",COUNTIFS($C$18:$C$2015,Y$13,$D$18:$D$2015,"&gt;="&amp;Y74,$D$18:$D$2015,"&lt;"&amp;Y75))</f>
        <v/>
      </c>
      <c r="AA74" s="14" t="n"/>
      <c r="AB74" s="16" t="n"/>
      <c r="AC74" s="124">
        <f>IF(AB74="","",COUNTIFS($C$18:$C$2015,AB$13,$D$18:$D$2015,"&gt;="&amp;AB74,$D$18:$D$2015,"&lt;"&amp;AB75))</f>
        <v/>
      </c>
      <c r="AD74" s="14" t="n"/>
    </row>
    <row r="75">
      <c r="A75" s="58" t="n"/>
      <c r="B75" s="59" t="n"/>
      <c r="C75" s="59" t="n"/>
      <c r="E75" s="16" t="n"/>
      <c r="F75" s="13" t="n"/>
      <c r="G75" s="16" t="n">
        <v>70</v>
      </c>
      <c r="H75" s="124">
        <f>IF(G75="","",COUNTIFS($C$18:$C$2015,G$13,$D$18:$D$2015,"&gt;="&amp;G75,$D$18:$D$2015,"&lt;"&amp;G76))</f>
        <v/>
      </c>
      <c r="I75" s="14" t="n"/>
      <c r="J75" s="16" t="n"/>
      <c r="K75" s="124">
        <f>IF(J75="","",COUNTIFS($C$18:$C$2015,J$13,$D$18:$D$2015,"&gt;="&amp;J75,$D$18:$D$2015,"&lt;"&amp;J76))</f>
        <v/>
      </c>
      <c r="L75" s="14" t="n"/>
      <c r="M75" s="16" t="n"/>
      <c r="N75" s="124">
        <f>IF(M75="","",COUNTIFS($C$18:$C$2015,M$13,$D$18:$D$2015,"&gt;="&amp;M75,$D$18:$D$2015,"&lt;"&amp;M76))</f>
        <v/>
      </c>
      <c r="O75" s="14" t="n"/>
      <c r="P75" s="16" t="n">
        <v>70</v>
      </c>
      <c r="Q75" s="124">
        <f>IF(P75="","",COUNTIFS($C$18:$C$2015,P$13,$D$18:$D$2015,"&gt;="&amp;P75,$D$18:$D$2015,"&lt;"&amp;P76))</f>
        <v/>
      </c>
      <c r="R75" s="14" t="n"/>
      <c r="S75" s="16" t="n"/>
      <c r="T75" s="124">
        <f>IF(S75="","",COUNTIFS($C$18:$C$2015,S$13,$D$18:$D$2015,"&gt;="&amp;S75,$D$18:$D$2015,"&lt;"&amp;S76))</f>
        <v/>
      </c>
      <c r="U75" s="14" t="n"/>
      <c r="V75" s="16" t="n"/>
      <c r="W75" s="124">
        <f>IF(V75="","",COUNTIFS($C$18:$C$2015,V$13,$D$18:$D$2015,"&gt;="&amp;V75,$D$18:$D$2015,"&lt;"&amp;V76))</f>
        <v/>
      </c>
      <c r="X75" s="14" t="n"/>
      <c r="Y75" s="16" t="n"/>
      <c r="Z75" s="124">
        <f>IF(Y75="","",COUNTIFS($C$18:$C$2015,Y$13,$D$18:$D$2015,"&gt;="&amp;Y75,$D$18:$D$2015,"&lt;"&amp;Y76))</f>
        <v/>
      </c>
      <c r="AA75" s="14" t="n"/>
      <c r="AB75" s="16" t="n"/>
      <c r="AC75" s="124">
        <f>IF(AB75="","",COUNTIFS($C$18:$C$2015,AB$13,$D$18:$D$2015,"&gt;="&amp;AB75,$D$18:$D$2015,"&lt;"&amp;AB76))</f>
        <v/>
      </c>
      <c r="AD75" s="14" t="n"/>
    </row>
    <row r="76">
      <c r="A76" s="56" t="n"/>
      <c r="B76" s="57" t="n"/>
      <c r="C76" s="59" t="n"/>
      <c r="E76" s="16" t="n"/>
      <c r="F76" s="13" t="n"/>
      <c r="G76" s="16" t="n">
        <v>71</v>
      </c>
      <c r="H76" s="124">
        <f>IF(G76="","",COUNTIFS($C$18:$C$2015,G$13,$D$18:$D$2015,"&gt;="&amp;G76,$D$18:$D$2015,"&lt;"&amp;G77))</f>
        <v/>
      </c>
      <c r="I76" s="14" t="n"/>
      <c r="J76" s="16" t="n"/>
      <c r="K76" s="124">
        <f>IF(J76="","",COUNTIFS($C$18:$C$2015,J$13,$D$18:$D$2015,"&gt;="&amp;J76,$D$18:$D$2015,"&lt;"&amp;J77))</f>
        <v/>
      </c>
      <c r="L76" s="14" t="n"/>
      <c r="M76" s="16" t="n"/>
      <c r="N76" s="124">
        <f>IF(M76="","",COUNTIFS($C$18:$C$2015,M$13,$D$18:$D$2015,"&gt;="&amp;M76,$D$18:$D$2015,"&lt;"&amp;M77))</f>
        <v/>
      </c>
      <c r="O76" s="14" t="n"/>
      <c r="P76" s="16" t="n">
        <v>71</v>
      </c>
      <c r="Q76" s="124">
        <f>IF(P76="","",COUNTIFS($C$18:$C$2015,P$13,$D$18:$D$2015,"&gt;="&amp;P76,$D$18:$D$2015,"&lt;"&amp;P77))</f>
        <v/>
      </c>
      <c r="R76" s="14" t="n"/>
      <c r="S76" s="16" t="n"/>
      <c r="T76" s="124">
        <f>IF(S76="","",COUNTIFS($C$18:$C$2015,S$13,$D$18:$D$2015,"&gt;="&amp;S76,$D$18:$D$2015,"&lt;"&amp;S77))</f>
        <v/>
      </c>
      <c r="U76" s="14" t="n"/>
      <c r="V76" s="16" t="n"/>
      <c r="W76" s="124">
        <f>IF(V76="","",COUNTIFS($C$18:$C$2015,V$13,$D$18:$D$2015,"&gt;="&amp;V76,$D$18:$D$2015,"&lt;"&amp;V77))</f>
        <v/>
      </c>
      <c r="X76" s="14" t="n"/>
      <c r="Y76" s="16" t="n"/>
      <c r="Z76" s="124">
        <f>IF(Y76="","",COUNTIFS($C$18:$C$2015,Y$13,$D$18:$D$2015,"&gt;="&amp;Y76,$D$18:$D$2015,"&lt;"&amp;Y77))</f>
        <v/>
      </c>
      <c r="AA76" s="14" t="n"/>
      <c r="AB76" s="16" t="n"/>
      <c r="AC76" s="124">
        <f>IF(AB76="","",COUNTIFS($C$18:$C$2015,AB$13,$D$18:$D$2015,"&gt;="&amp;AB76,$D$18:$D$2015,"&lt;"&amp;AB77))</f>
        <v/>
      </c>
      <c r="AD76" s="14" t="n"/>
    </row>
    <row r="77">
      <c r="A77" s="58" t="n"/>
      <c r="B77" s="59" t="n"/>
      <c r="C77" s="59" t="n"/>
      <c r="E77" s="16" t="n"/>
      <c r="F77" s="13" t="n"/>
      <c r="G77" s="16" t="n">
        <v>72</v>
      </c>
      <c r="H77" s="124">
        <f>IF(G77="","",COUNTIFS($C$18:$C$2015,G$13,$D$18:$D$2015,"&gt;="&amp;G77,$D$18:$D$2015,"&lt;"&amp;G78))</f>
        <v/>
      </c>
      <c r="I77" s="14" t="n"/>
      <c r="J77" s="16" t="n"/>
      <c r="K77" s="124">
        <f>IF(J77="","",COUNTIFS($C$18:$C$2015,J$13,$D$18:$D$2015,"&gt;="&amp;J77,$D$18:$D$2015,"&lt;"&amp;J78))</f>
        <v/>
      </c>
      <c r="L77" s="14" t="n"/>
      <c r="M77" s="16" t="n"/>
      <c r="N77" s="124">
        <f>IF(M77="","",COUNTIFS($C$18:$C$2015,M$13,$D$18:$D$2015,"&gt;="&amp;M77,$D$18:$D$2015,"&lt;"&amp;M78))</f>
        <v/>
      </c>
      <c r="O77" s="14" t="n"/>
      <c r="P77" s="16" t="n">
        <v>72</v>
      </c>
      <c r="Q77" s="124">
        <f>IF(P77="","",COUNTIFS($C$18:$C$2015,P$13,$D$18:$D$2015,"&gt;="&amp;P77,$D$18:$D$2015,"&lt;"&amp;P78))</f>
        <v/>
      </c>
      <c r="R77" s="14" t="n"/>
      <c r="S77" s="16" t="n"/>
      <c r="T77" s="124">
        <f>IF(S77="","",COUNTIFS($C$18:$C$2015,S$13,$D$18:$D$2015,"&gt;="&amp;S77,$D$18:$D$2015,"&lt;"&amp;S78))</f>
        <v/>
      </c>
      <c r="U77" s="14" t="n"/>
      <c r="V77" s="16" t="n"/>
      <c r="W77" s="124">
        <f>IF(V77="","",COUNTIFS($C$18:$C$2015,V$13,$D$18:$D$2015,"&gt;="&amp;V77,$D$18:$D$2015,"&lt;"&amp;V78))</f>
        <v/>
      </c>
      <c r="X77" s="14" t="n"/>
      <c r="Y77" s="16" t="n"/>
      <c r="Z77" s="124">
        <f>IF(Y77="","",COUNTIFS($C$18:$C$2015,Y$13,$D$18:$D$2015,"&gt;="&amp;Y77,$D$18:$D$2015,"&lt;"&amp;Y78))</f>
        <v/>
      </c>
      <c r="AA77" s="14" t="n"/>
      <c r="AB77" s="16" t="n"/>
      <c r="AC77" s="124">
        <f>IF(AB77="","",COUNTIFS($C$18:$C$2015,AB$13,$D$18:$D$2015,"&gt;="&amp;AB77,$D$18:$D$2015,"&lt;"&amp;AB78))</f>
        <v/>
      </c>
      <c r="AD77" s="14" t="n"/>
    </row>
    <row r="78">
      <c r="A78" s="56" t="n"/>
      <c r="B78" s="57" t="n"/>
      <c r="C78" s="59" t="n"/>
      <c r="E78" s="16" t="n"/>
      <c r="F78" s="13" t="n"/>
      <c r="G78" s="16" t="n">
        <v>73</v>
      </c>
      <c r="H78" s="124">
        <f>IF(G78="","",COUNTIFS($C$18:$C$2015,G$13,$D$18:$D$2015,"&gt;="&amp;G78,$D$18:$D$2015,"&lt;"&amp;G79))</f>
        <v/>
      </c>
      <c r="I78" s="14" t="n"/>
      <c r="J78" s="16" t="n"/>
      <c r="K78" s="124">
        <f>IF(J78="","",COUNTIFS($C$18:$C$2015,J$13,$D$18:$D$2015,"&gt;="&amp;J78,$D$18:$D$2015,"&lt;"&amp;J79))</f>
        <v/>
      </c>
      <c r="L78" s="14" t="n"/>
      <c r="M78" s="16" t="n"/>
      <c r="N78" s="124">
        <f>IF(M78="","",COUNTIFS($C$18:$C$2015,M$13,$D$18:$D$2015,"&gt;="&amp;M78,$D$18:$D$2015,"&lt;"&amp;M79))</f>
        <v/>
      </c>
      <c r="O78" s="14" t="n"/>
      <c r="P78" s="16" t="n">
        <v>73</v>
      </c>
      <c r="Q78" s="124">
        <f>IF(P78="","",COUNTIFS($C$18:$C$2015,P$13,$D$18:$D$2015,"&gt;="&amp;P78,$D$18:$D$2015,"&lt;"&amp;P79))</f>
        <v/>
      </c>
      <c r="R78" s="14" t="n"/>
      <c r="S78" s="16" t="n"/>
      <c r="T78" s="124">
        <f>IF(S78="","",COUNTIFS($C$18:$C$2015,S$13,$D$18:$D$2015,"&gt;="&amp;S78,$D$18:$D$2015,"&lt;"&amp;S79))</f>
        <v/>
      </c>
      <c r="U78" s="14" t="n"/>
      <c r="V78" s="16" t="n"/>
      <c r="W78" s="124">
        <f>IF(V78="","",COUNTIFS($C$18:$C$2015,V$13,$D$18:$D$2015,"&gt;="&amp;V78,$D$18:$D$2015,"&lt;"&amp;V79))</f>
        <v/>
      </c>
      <c r="X78" s="14" t="n"/>
      <c r="Y78" s="16" t="n"/>
      <c r="Z78" s="124">
        <f>IF(Y78="","",COUNTIFS($C$18:$C$2015,Y$13,$D$18:$D$2015,"&gt;="&amp;Y78,$D$18:$D$2015,"&lt;"&amp;Y79))</f>
        <v/>
      </c>
      <c r="AA78" s="14" t="n"/>
      <c r="AB78" s="16" t="n"/>
      <c r="AC78" s="124">
        <f>IF(AB78="","",COUNTIFS($C$18:$C$2015,AB$13,$D$18:$D$2015,"&gt;="&amp;AB78,$D$18:$D$2015,"&lt;"&amp;AB79))</f>
        <v/>
      </c>
      <c r="AD78" s="14" t="n"/>
    </row>
    <row r="79">
      <c r="A79" s="58" t="n"/>
      <c r="B79" s="59" t="n"/>
      <c r="C79" s="59" t="n"/>
      <c r="E79" s="16" t="n"/>
      <c r="F79" s="13" t="n"/>
      <c r="G79" s="16" t="n">
        <v>74</v>
      </c>
      <c r="H79" s="124">
        <f>IF(G79="","",COUNTIFS($C$18:$C$2015,G$13,$D$18:$D$2015,"&gt;="&amp;G79,$D$18:$D$2015,"&lt;"&amp;G80))</f>
        <v/>
      </c>
      <c r="I79" s="14" t="n"/>
      <c r="J79" s="16" t="n"/>
      <c r="K79" s="124">
        <f>IF(J79="","",COUNTIFS($C$18:$C$2015,J$13,$D$18:$D$2015,"&gt;="&amp;J79,$D$18:$D$2015,"&lt;"&amp;J80))</f>
        <v/>
      </c>
      <c r="L79" s="14" t="n"/>
      <c r="M79" s="16" t="n"/>
      <c r="N79" s="124">
        <f>IF(M79="","",COUNTIFS($C$18:$C$2015,M$13,$D$18:$D$2015,"&gt;="&amp;M79,$D$18:$D$2015,"&lt;"&amp;M80))</f>
        <v/>
      </c>
      <c r="O79" s="14" t="n"/>
      <c r="P79" s="16" t="n">
        <v>74</v>
      </c>
      <c r="Q79" s="124">
        <f>IF(P79="","",COUNTIFS($C$18:$C$2015,P$13,$D$18:$D$2015,"&gt;="&amp;P79,$D$18:$D$2015,"&lt;"&amp;P80))</f>
        <v/>
      </c>
      <c r="R79" s="14" t="n"/>
      <c r="S79" s="16" t="n"/>
      <c r="T79" s="124">
        <f>IF(S79="","",COUNTIFS($C$18:$C$2015,S$13,$D$18:$D$2015,"&gt;="&amp;S79,$D$18:$D$2015,"&lt;"&amp;S80))</f>
        <v/>
      </c>
      <c r="U79" s="14" t="n"/>
      <c r="V79" s="16" t="n"/>
      <c r="W79" s="124">
        <f>IF(V79="","",COUNTIFS($C$18:$C$2015,V$13,$D$18:$D$2015,"&gt;="&amp;V79,$D$18:$D$2015,"&lt;"&amp;V80))</f>
        <v/>
      </c>
      <c r="X79" s="14" t="n"/>
      <c r="Y79" s="16" t="n"/>
      <c r="Z79" s="124">
        <f>IF(Y79="","",COUNTIFS($C$18:$C$2015,Y$13,$D$18:$D$2015,"&gt;="&amp;Y79,$D$18:$D$2015,"&lt;"&amp;Y80))</f>
        <v/>
      </c>
      <c r="AA79" s="14" t="n"/>
      <c r="AB79" s="16" t="n"/>
      <c r="AC79" s="124">
        <f>IF(AB79="","",COUNTIFS($C$18:$C$2015,AB$13,$D$18:$D$2015,"&gt;="&amp;AB79,$D$18:$D$2015,"&lt;"&amp;AB80))</f>
        <v/>
      </c>
      <c r="AD79" s="14" t="n"/>
    </row>
    <row r="80">
      <c r="A80" s="56" t="n"/>
      <c r="B80" s="57" t="n"/>
      <c r="C80" s="59" t="n"/>
      <c r="E80" s="16" t="n"/>
      <c r="F80" s="13" t="n"/>
      <c r="G80" s="16" t="n">
        <v>75</v>
      </c>
      <c r="H80" s="124">
        <f>IF(G80="","",COUNTIFS($C$18:$C$2015,G$13,$D$18:$D$2015,"&gt;="&amp;G80,$D$18:$D$2015,"&lt;"&amp;G81))</f>
        <v/>
      </c>
      <c r="I80" s="14" t="n"/>
      <c r="J80" s="16" t="n"/>
      <c r="K80" s="124">
        <f>IF(J80="","",COUNTIFS($C$18:$C$2015,J$13,$D$18:$D$2015,"&gt;="&amp;J80,$D$18:$D$2015,"&lt;"&amp;J81))</f>
        <v/>
      </c>
      <c r="L80" s="14" t="n"/>
      <c r="M80" s="16" t="n"/>
      <c r="N80" s="124">
        <f>IF(M80="","",COUNTIFS($C$18:$C$2015,M$13,$D$18:$D$2015,"&gt;="&amp;M80,$D$18:$D$2015,"&lt;"&amp;M81))</f>
        <v/>
      </c>
      <c r="O80" s="14" t="n"/>
      <c r="P80" s="16" t="n">
        <v>75</v>
      </c>
      <c r="Q80" s="124">
        <f>IF(P80="","",COUNTIFS($C$18:$C$2015,P$13,$D$18:$D$2015,"&gt;="&amp;P80,$D$18:$D$2015,"&lt;"&amp;P81))</f>
        <v/>
      </c>
      <c r="R80" s="14" t="n"/>
      <c r="S80" s="16" t="n"/>
      <c r="T80" s="124">
        <f>IF(S80="","",COUNTIFS($C$18:$C$2015,S$13,$D$18:$D$2015,"&gt;="&amp;S80,$D$18:$D$2015,"&lt;"&amp;S81))</f>
        <v/>
      </c>
      <c r="U80" s="14" t="n"/>
      <c r="V80" s="16" t="n"/>
      <c r="W80" s="124">
        <f>IF(V80="","",COUNTIFS($C$18:$C$2015,V$13,$D$18:$D$2015,"&gt;="&amp;V80,$D$18:$D$2015,"&lt;"&amp;V81))</f>
        <v/>
      </c>
      <c r="X80" s="14" t="n"/>
      <c r="Y80" s="16" t="n"/>
      <c r="Z80" s="124">
        <f>IF(Y80="","",COUNTIFS($C$18:$C$2015,Y$13,$D$18:$D$2015,"&gt;="&amp;Y80,$D$18:$D$2015,"&lt;"&amp;Y81))</f>
        <v/>
      </c>
      <c r="AA80" s="14" t="n"/>
      <c r="AB80" s="16" t="n"/>
      <c r="AC80" s="124">
        <f>IF(AB80="","",COUNTIFS($C$18:$C$2015,AB$13,$D$18:$D$2015,"&gt;="&amp;AB80,$D$18:$D$2015,"&lt;"&amp;AB81))</f>
        <v/>
      </c>
      <c r="AD80" s="14" t="n"/>
    </row>
    <row r="81">
      <c r="A81" s="58" t="n"/>
      <c r="B81" s="59" t="n"/>
      <c r="C81" s="59" t="n"/>
      <c r="E81" s="16" t="n"/>
      <c r="F81" s="13" t="n"/>
      <c r="G81" s="16" t="n">
        <v>76</v>
      </c>
      <c r="H81" s="124">
        <f>IF(G81="","",COUNTIFS($C$18:$C$2015,G$13,$D$18:$D$2015,"&gt;="&amp;G81,$D$18:$D$2015,"&lt;"&amp;G82))</f>
        <v/>
      </c>
      <c r="I81" s="14" t="n"/>
      <c r="J81" s="16" t="n"/>
      <c r="K81" s="124">
        <f>IF(J81="","",COUNTIFS($C$18:$C$2015,J$13,$D$18:$D$2015,"&gt;="&amp;J81,$D$18:$D$2015,"&lt;"&amp;J82))</f>
        <v/>
      </c>
      <c r="L81" s="14" t="n"/>
      <c r="M81" s="16" t="n"/>
      <c r="N81" s="124">
        <f>IF(M81="","",COUNTIFS($C$18:$C$2015,M$13,$D$18:$D$2015,"&gt;="&amp;M81,$D$18:$D$2015,"&lt;"&amp;M82))</f>
        <v/>
      </c>
      <c r="O81" s="14" t="n"/>
      <c r="P81" s="16" t="n">
        <v>76</v>
      </c>
      <c r="Q81" s="124">
        <f>IF(P81="","",COUNTIFS($C$18:$C$2015,P$13,$D$18:$D$2015,"&gt;="&amp;P81,$D$18:$D$2015,"&lt;"&amp;P82))</f>
        <v/>
      </c>
      <c r="R81" s="14" t="n"/>
      <c r="S81" s="16" t="n"/>
      <c r="T81" s="124">
        <f>IF(S81="","",COUNTIFS($C$18:$C$2015,S$13,$D$18:$D$2015,"&gt;="&amp;S81,$D$18:$D$2015,"&lt;"&amp;S82))</f>
        <v/>
      </c>
      <c r="U81" s="14" t="n"/>
      <c r="V81" s="16" t="n"/>
      <c r="W81" s="124">
        <f>IF(V81="","",COUNTIFS($C$18:$C$2015,V$13,$D$18:$D$2015,"&gt;="&amp;V81,$D$18:$D$2015,"&lt;"&amp;V82))</f>
        <v/>
      </c>
      <c r="X81" s="14" t="n"/>
      <c r="Y81" s="16" t="n"/>
      <c r="Z81" s="124">
        <f>IF(Y81="","",COUNTIFS($C$18:$C$2015,Y$13,$D$18:$D$2015,"&gt;="&amp;Y81,$D$18:$D$2015,"&lt;"&amp;Y82))</f>
        <v/>
      </c>
      <c r="AA81" s="14" t="n"/>
      <c r="AB81" s="16" t="n"/>
      <c r="AC81" s="124">
        <f>IF(AB81="","",COUNTIFS($C$18:$C$2015,AB$13,$D$18:$D$2015,"&gt;="&amp;AB81,$D$18:$D$2015,"&lt;"&amp;AB82))</f>
        <v/>
      </c>
      <c r="AD81" s="14" t="n"/>
    </row>
    <row r="82">
      <c r="A82" s="56" t="n"/>
      <c r="B82" s="57" t="n"/>
      <c r="C82" s="59" t="n"/>
      <c r="E82" s="16" t="n"/>
      <c r="F82" s="13" t="n"/>
      <c r="G82" s="16" t="n">
        <v>77</v>
      </c>
      <c r="H82" s="124">
        <f>IF(G82="","",COUNTIFS($C$18:$C$2015,G$13,$D$18:$D$2015,"&gt;="&amp;G82,$D$18:$D$2015,"&lt;"&amp;G83))</f>
        <v/>
      </c>
      <c r="I82" s="14" t="n"/>
      <c r="J82" s="16" t="n"/>
      <c r="K82" s="124">
        <f>IF(J82="","",COUNTIFS($C$18:$C$2015,J$13,$D$18:$D$2015,"&gt;="&amp;J82,$D$18:$D$2015,"&lt;"&amp;J83))</f>
        <v/>
      </c>
      <c r="L82" s="14" t="n"/>
      <c r="M82" s="16" t="n"/>
      <c r="N82" s="124">
        <f>IF(M82="","",COUNTIFS($C$18:$C$2015,M$13,$D$18:$D$2015,"&gt;="&amp;M82,$D$18:$D$2015,"&lt;"&amp;M83))</f>
        <v/>
      </c>
      <c r="O82" s="14" t="n"/>
      <c r="P82" s="16" t="n">
        <v>77</v>
      </c>
      <c r="Q82" s="124">
        <f>IF(P82="","",COUNTIFS($C$18:$C$2015,P$13,$D$18:$D$2015,"&gt;="&amp;P82,$D$18:$D$2015,"&lt;"&amp;P83))</f>
        <v/>
      </c>
      <c r="R82" s="14" t="n"/>
      <c r="S82" s="16" t="n"/>
      <c r="T82" s="124">
        <f>IF(S82="","",COUNTIFS($C$18:$C$2015,S$13,$D$18:$D$2015,"&gt;="&amp;S82,$D$18:$D$2015,"&lt;"&amp;S83))</f>
        <v/>
      </c>
      <c r="U82" s="14" t="n"/>
      <c r="V82" s="16" t="n"/>
      <c r="W82" s="124">
        <f>IF(V82="","",COUNTIFS($C$18:$C$2015,V$13,$D$18:$D$2015,"&gt;="&amp;V82,$D$18:$D$2015,"&lt;"&amp;V83))</f>
        <v/>
      </c>
      <c r="X82" s="14" t="n"/>
      <c r="Y82" s="16" t="n"/>
      <c r="Z82" s="124">
        <f>IF(Y82="","",COUNTIFS($C$18:$C$2015,Y$13,$D$18:$D$2015,"&gt;="&amp;Y82,$D$18:$D$2015,"&lt;"&amp;Y83))</f>
        <v/>
      </c>
      <c r="AA82" s="14" t="n"/>
      <c r="AB82" s="16" t="n"/>
      <c r="AC82" s="124">
        <f>IF(AB82="","",COUNTIFS($C$18:$C$2015,AB$13,$D$18:$D$2015,"&gt;="&amp;AB82,$D$18:$D$2015,"&lt;"&amp;AB83))</f>
        <v/>
      </c>
      <c r="AD82" s="14" t="n"/>
    </row>
    <row r="83">
      <c r="A83" s="58" t="n"/>
      <c r="B83" s="59" t="n"/>
      <c r="C83" s="59" t="n"/>
      <c r="E83" s="16" t="n"/>
      <c r="F83" s="13" t="n"/>
      <c r="G83" s="16" t="n">
        <v>78</v>
      </c>
      <c r="H83" s="124">
        <f>IF(G83="","",COUNTIFS($C$18:$C$2015,G$13,$D$18:$D$2015,"&gt;="&amp;G83,$D$18:$D$2015,"&lt;"&amp;G84))</f>
        <v/>
      </c>
      <c r="I83" s="14" t="n"/>
      <c r="J83" s="16" t="n"/>
      <c r="K83" s="124">
        <f>IF(J83="","",COUNTIFS($C$18:$C$2015,J$13,$D$18:$D$2015,"&gt;="&amp;J83,$D$18:$D$2015,"&lt;"&amp;J84))</f>
        <v/>
      </c>
      <c r="L83" s="14" t="n"/>
      <c r="M83" s="16" t="n"/>
      <c r="N83" s="124">
        <f>IF(M83="","",COUNTIFS($C$18:$C$2015,M$13,$D$18:$D$2015,"&gt;="&amp;M83,$D$18:$D$2015,"&lt;"&amp;M84))</f>
        <v/>
      </c>
      <c r="O83" s="14" t="n"/>
      <c r="P83" s="16" t="n">
        <v>78</v>
      </c>
      <c r="Q83" s="124">
        <f>IF(P83="","",COUNTIFS($C$18:$C$2015,P$13,$D$18:$D$2015,"&gt;="&amp;P83,$D$18:$D$2015,"&lt;"&amp;P84))</f>
        <v/>
      </c>
      <c r="R83" s="14" t="n"/>
      <c r="S83" s="16" t="n"/>
      <c r="T83" s="124">
        <f>IF(S83="","",COUNTIFS($C$18:$C$2015,S$13,$D$18:$D$2015,"&gt;="&amp;S83,$D$18:$D$2015,"&lt;"&amp;S84))</f>
        <v/>
      </c>
      <c r="U83" s="14" t="n"/>
      <c r="V83" s="16" t="n"/>
      <c r="W83" s="124">
        <f>IF(V83="","",COUNTIFS($C$18:$C$2015,V$13,$D$18:$D$2015,"&gt;="&amp;V83,$D$18:$D$2015,"&lt;"&amp;V84))</f>
        <v/>
      </c>
      <c r="X83" s="14" t="n"/>
      <c r="Y83" s="16" t="n"/>
      <c r="Z83" s="124">
        <f>IF(Y83="","",COUNTIFS($C$18:$C$2015,Y$13,$D$18:$D$2015,"&gt;="&amp;Y83,$D$18:$D$2015,"&lt;"&amp;Y84))</f>
        <v/>
      </c>
      <c r="AA83" s="14" t="n"/>
      <c r="AB83" s="16" t="n"/>
      <c r="AC83" s="124">
        <f>IF(AB83="","",COUNTIFS($C$18:$C$2015,AB$13,$D$18:$D$2015,"&gt;="&amp;AB83,$D$18:$D$2015,"&lt;"&amp;AB84))</f>
        <v/>
      </c>
      <c r="AD83" s="14" t="n"/>
    </row>
    <row r="84">
      <c r="A84" s="56" t="n"/>
      <c r="B84" s="57" t="n"/>
      <c r="C84" s="59" t="n"/>
      <c r="E84" s="16" t="n"/>
      <c r="F84" s="13" t="n"/>
      <c r="G84" s="16" t="n">
        <v>79</v>
      </c>
      <c r="H84" s="124">
        <f>IF(G84="","",COUNTIFS($C$18:$C$2015,G$13,$D$18:$D$2015,"&gt;="&amp;G84,$D$18:$D$2015,"&lt;"&amp;G85))</f>
        <v/>
      </c>
      <c r="I84" s="14" t="n"/>
      <c r="J84" s="16" t="n"/>
      <c r="K84" s="124">
        <f>IF(J84="","",COUNTIFS($C$18:$C$2015,J$13,$D$18:$D$2015,"&gt;="&amp;J84,$D$18:$D$2015,"&lt;"&amp;J85))</f>
        <v/>
      </c>
      <c r="L84" s="14" t="n"/>
      <c r="M84" s="16" t="n"/>
      <c r="N84" s="124">
        <f>IF(M84="","",COUNTIFS($C$18:$C$2015,M$13,$D$18:$D$2015,"&gt;="&amp;M84,$D$18:$D$2015,"&lt;"&amp;M85))</f>
        <v/>
      </c>
      <c r="O84" s="14" t="n"/>
      <c r="P84" s="16" t="n">
        <v>79</v>
      </c>
      <c r="Q84" s="124">
        <f>IF(P84="","",COUNTIFS($C$18:$C$2015,P$13,$D$18:$D$2015,"&gt;="&amp;P84,$D$18:$D$2015,"&lt;"&amp;P85))</f>
        <v/>
      </c>
      <c r="R84" s="14" t="n"/>
      <c r="S84" s="16" t="n"/>
      <c r="T84" s="124">
        <f>IF(S84="","",COUNTIFS($C$18:$C$2015,S$13,$D$18:$D$2015,"&gt;="&amp;S84,$D$18:$D$2015,"&lt;"&amp;S85))</f>
        <v/>
      </c>
      <c r="U84" s="14" t="n"/>
      <c r="V84" s="16" t="n"/>
      <c r="W84" s="124">
        <f>IF(V84="","",COUNTIFS($C$18:$C$2015,V$13,$D$18:$D$2015,"&gt;="&amp;V84,$D$18:$D$2015,"&lt;"&amp;V85))</f>
        <v/>
      </c>
      <c r="X84" s="14" t="n"/>
      <c r="Y84" s="16" t="n"/>
      <c r="Z84" s="124">
        <f>IF(Y84="","",COUNTIFS($C$18:$C$2015,Y$13,$D$18:$D$2015,"&gt;="&amp;Y84,$D$18:$D$2015,"&lt;"&amp;Y85))</f>
        <v/>
      </c>
      <c r="AA84" s="14" t="n"/>
      <c r="AB84" s="16" t="n"/>
      <c r="AC84" s="124">
        <f>IF(AB84="","",COUNTIFS($C$18:$C$2015,AB$13,$D$18:$D$2015,"&gt;="&amp;AB84,$D$18:$D$2015,"&lt;"&amp;AB85))</f>
        <v/>
      </c>
      <c r="AD84" s="14" t="n"/>
    </row>
    <row r="85">
      <c r="A85" s="58" t="n"/>
      <c r="B85" s="59" t="n"/>
      <c r="C85" s="59" t="n"/>
      <c r="E85" s="16" t="n"/>
      <c r="F85" s="13" t="n"/>
      <c r="G85" s="16" t="n">
        <v>80</v>
      </c>
      <c r="H85" s="124">
        <f>IF(G85="","",COUNTIFS($C$18:$C$2015,G$13,$D$18:$D$2015,"&gt;="&amp;G85,$D$18:$D$2015,"&lt;"&amp;G86))</f>
        <v/>
      </c>
      <c r="I85" s="14" t="n"/>
      <c r="J85" s="16" t="n"/>
      <c r="K85" s="124">
        <f>IF(J85="","",COUNTIFS($C$18:$C$2015,J$13,$D$18:$D$2015,"&gt;="&amp;J85,$D$18:$D$2015,"&lt;"&amp;J86))</f>
        <v/>
      </c>
      <c r="L85" s="14" t="n"/>
      <c r="M85" s="16" t="n"/>
      <c r="N85" s="124">
        <f>IF(M85="","",COUNTIFS($C$18:$C$2015,M$13,$D$18:$D$2015,"&gt;="&amp;M85,$D$18:$D$2015,"&lt;"&amp;M86))</f>
        <v/>
      </c>
      <c r="O85" s="14" t="n"/>
      <c r="P85" s="16" t="n">
        <v>80</v>
      </c>
      <c r="Q85" s="124">
        <f>IF(P85="","",COUNTIFS($C$18:$C$2015,P$13,$D$18:$D$2015,"&gt;="&amp;P85,$D$18:$D$2015,"&lt;"&amp;P86))</f>
        <v/>
      </c>
      <c r="R85" s="14" t="n"/>
      <c r="S85" s="16" t="n"/>
      <c r="T85" s="124">
        <f>IF(S85="","",COUNTIFS($C$18:$C$2015,S$13,$D$18:$D$2015,"&gt;="&amp;S85,$D$18:$D$2015,"&lt;"&amp;S86))</f>
        <v/>
      </c>
      <c r="U85" s="14" t="n"/>
      <c r="V85" s="16" t="n"/>
      <c r="W85" s="124">
        <f>IF(V85="","",COUNTIFS($C$18:$C$2015,V$13,$D$18:$D$2015,"&gt;="&amp;V85,$D$18:$D$2015,"&lt;"&amp;V86))</f>
        <v/>
      </c>
      <c r="X85" s="14" t="n"/>
      <c r="Y85" s="16" t="n"/>
      <c r="Z85" s="124">
        <f>IF(Y85="","",COUNTIFS($C$18:$C$2015,Y$13,$D$18:$D$2015,"&gt;="&amp;Y85,$D$18:$D$2015,"&lt;"&amp;Y86))</f>
        <v/>
      </c>
      <c r="AA85" s="14" t="n"/>
      <c r="AB85" s="16" t="n"/>
      <c r="AC85" s="124">
        <f>IF(AB85="","",COUNTIFS($C$18:$C$2015,AB$13,$D$18:$D$2015,"&gt;="&amp;AB85,$D$18:$D$2015,"&lt;"&amp;AB86))</f>
        <v/>
      </c>
      <c r="AD85" s="14" t="n"/>
    </row>
    <row r="86">
      <c r="A86" s="56" t="n"/>
      <c r="B86" s="57" t="n"/>
      <c r="C86" s="59" t="n"/>
      <c r="E86" s="16" t="n"/>
      <c r="F86" s="13" t="n"/>
      <c r="G86" s="16" t="n"/>
      <c r="H86" s="124">
        <f>IF(G86="","",COUNTIFS($C$18:$C$2015,G$13,$D$18:$D$2015,"&gt;="&amp;G86,$D$18:$D$2015,"&lt;"&amp;G87))</f>
        <v/>
      </c>
      <c r="I86" s="14" t="n"/>
      <c r="J86" s="16" t="n"/>
      <c r="K86" s="124">
        <f>IF(J86="","",COUNTIFS($C$18:$C$2015,J$13,$D$18:$D$2015,"&gt;="&amp;J86,$D$18:$D$2015,"&lt;"&amp;J87))</f>
        <v/>
      </c>
      <c r="L86" s="14" t="n"/>
      <c r="M86" s="16" t="n"/>
      <c r="N86" s="124">
        <f>IF(M86="","",COUNTIFS($C$18:$C$2015,M$13,$D$18:$D$2015,"&gt;="&amp;M86,$D$18:$D$2015,"&lt;"&amp;M87))</f>
        <v/>
      </c>
      <c r="O86" s="14" t="n"/>
      <c r="P86" s="16" t="n"/>
      <c r="Q86" s="124">
        <f>IF(P86="","",COUNTIFS($C$18:$C$2015,P$13,$D$18:$D$2015,"&gt;="&amp;P86,$D$18:$D$2015,"&lt;"&amp;P87))</f>
        <v/>
      </c>
      <c r="R86" s="14" t="n"/>
      <c r="S86" s="16" t="n"/>
      <c r="T86" s="124">
        <f>IF(S86="","",COUNTIFS($C$18:$C$2015,S$13,$D$18:$D$2015,"&gt;="&amp;S86,$D$18:$D$2015,"&lt;"&amp;S87))</f>
        <v/>
      </c>
      <c r="U86" s="14" t="n"/>
      <c r="V86" s="16" t="n"/>
      <c r="W86" s="124">
        <f>IF(V86="","",COUNTIFS($C$18:$C$2015,V$13,$D$18:$D$2015,"&gt;="&amp;V86,$D$18:$D$2015,"&lt;"&amp;V87))</f>
        <v/>
      </c>
      <c r="X86" s="14" t="n"/>
      <c r="Y86" s="16" t="n"/>
      <c r="Z86" s="124">
        <f>IF(Y86="","",COUNTIFS($C$18:$C$2015,Y$13,$D$18:$D$2015,"&gt;="&amp;Y86,$D$18:$D$2015,"&lt;"&amp;Y87))</f>
        <v/>
      </c>
      <c r="AA86" s="14" t="n"/>
      <c r="AB86" s="16" t="n"/>
      <c r="AC86" s="124">
        <f>IF(AB86="","",COUNTIFS($C$18:$C$2015,AB$13,$D$18:$D$2015,"&gt;="&amp;AB86,$D$18:$D$2015,"&lt;"&amp;AB87))</f>
        <v/>
      </c>
      <c r="AD86" s="14" t="n"/>
    </row>
    <row r="87">
      <c r="A87" s="58" t="n"/>
      <c r="B87" s="59" t="n"/>
      <c r="C87" s="59" t="n"/>
      <c r="E87" s="16" t="n"/>
      <c r="F87" s="13" t="n"/>
      <c r="G87" s="16" t="n"/>
      <c r="H87" s="124">
        <f>IF(G87="","",COUNTIFS($C$18:$C$2015,G$13,$D$18:$D$2015,"&gt;="&amp;G87,$D$18:$D$2015,"&lt;"&amp;G88))</f>
        <v/>
      </c>
      <c r="I87" s="14" t="n"/>
      <c r="J87" s="16" t="n"/>
      <c r="K87" s="124">
        <f>IF(J87="","",COUNTIFS($C$18:$C$2015,J$13,$D$18:$D$2015,"&gt;="&amp;J87,$D$18:$D$2015,"&lt;"&amp;J88))</f>
        <v/>
      </c>
      <c r="L87" s="14" t="n"/>
      <c r="M87" s="16" t="n"/>
      <c r="N87" s="124">
        <f>IF(M87="","",COUNTIFS($C$18:$C$2015,M$13,$D$18:$D$2015,"&gt;="&amp;M87,$D$18:$D$2015,"&lt;"&amp;M88))</f>
        <v/>
      </c>
      <c r="O87" s="14" t="n"/>
      <c r="P87" s="16" t="n"/>
      <c r="Q87" s="124">
        <f>IF(P87="","",COUNTIFS($C$18:$C$2015,P$13,$D$18:$D$2015,"&gt;="&amp;P87,$D$18:$D$2015,"&lt;"&amp;P88))</f>
        <v/>
      </c>
      <c r="R87" s="14" t="n"/>
      <c r="S87" s="16" t="n"/>
      <c r="T87" s="124">
        <f>IF(S87="","",COUNTIFS($C$18:$C$2015,S$13,$D$18:$D$2015,"&gt;="&amp;S87,$D$18:$D$2015,"&lt;"&amp;S88))</f>
        <v/>
      </c>
      <c r="U87" s="14" t="n"/>
      <c r="V87" s="16" t="n"/>
      <c r="W87" s="124">
        <f>IF(V87="","",COUNTIFS($C$18:$C$2015,V$13,$D$18:$D$2015,"&gt;="&amp;V87,$D$18:$D$2015,"&lt;"&amp;V88))</f>
        <v/>
      </c>
      <c r="X87" s="14" t="n"/>
      <c r="Y87" s="16" t="n"/>
      <c r="Z87" s="124">
        <f>IF(Y87="","",COUNTIFS($C$18:$C$2015,Y$13,$D$18:$D$2015,"&gt;="&amp;Y87,$D$18:$D$2015,"&lt;"&amp;Y88))</f>
        <v/>
      </c>
      <c r="AA87" s="14" t="n"/>
      <c r="AB87" s="16" t="n"/>
      <c r="AC87" s="124">
        <f>IF(AB87="","",COUNTIFS($C$18:$C$2015,AB$13,$D$18:$D$2015,"&gt;="&amp;AB87,$D$18:$D$2015,"&lt;"&amp;AB88))</f>
        <v/>
      </c>
      <c r="AD87" s="14" t="n"/>
    </row>
    <row r="88">
      <c r="A88" s="56" t="n"/>
      <c r="B88" s="57" t="n"/>
      <c r="C88" s="59" t="n"/>
      <c r="E88" s="16" t="n"/>
      <c r="F88" s="13" t="n"/>
      <c r="G88" s="16" t="n"/>
      <c r="H88" s="124">
        <f>IF(G88="","",COUNTIFS($C$18:$C$2015,G$13,$D$18:$D$2015,"&gt;="&amp;G88,$D$18:$D$2015,"&lt;"&amp;G89))</f>
        <v/>
      </c>
      <c r="I88" s="14" t="n"/>
      <c r="J88" s="16" t="n"/>
      <c r="K88" s="124">
        <f>IF(J88="","",COUNTIFS($C$18:$C$2015,J$13,$D$18:$D$2015,"&gt;="&amp;J88,$D$18:$D$2015,"&lt;"&amp;J89))</f>
        <v/>
      </c>
      <c r="L88" s="14" t="n"/>
      <c r="M88" s="16" t="n"/>
      <c r="N88" s="124">
        <f>IF(M88="","",COUNTIFS($C$18:$C$2015,M$13,$D$18:$D$2015,"&gt;="&amp;M88,$D$18:$D$2015,"&lt;"&amp;M89))</f>
        <v/>
      </c>
      <c r="O88" s="14" t="n"/>
      <c r="P88" s="16" t="n"/>
      <c r="Q88" s="124">
        <f>IF(P88="","",COUNTIFS($C$18:$C$2015,P$13,$D$18:$D$2015,"&gt;="&amp;P88,$D$18:$D$2015,"&lt;"&amp;P89))</f>
        <v/>
      </c>
      <c r="R88" s="14" t="n"/>
      <c r="S88" s="16" t="n"/>
      <c r="T88" s="124">
        <f>IF(S88="","",COUNTIFS($C$18:$C$2015,S$13,$D$18:$D$2015,"&gt;="&amp;S88,$D$18:$D$2015,"&lt;"&amp;S89))</f>
        <v/>
      </c>
      <c r="U88" s="14" t="n"/>
      <c r="V88" s="16" t="n"/>
      <c r="W88" s="124">
        <f>IF(V88="","",COUNTIFS($C$18:$C$2015,V$13,$D$18:$D$2015,"&gt;="&amp;V88,$D$18:$D$2015,"&lt;"&amp;V89))</f>
        <v/>
      </c>
      <c r="X88" s="14" t="n"/>
      <c r="Y88" s="16" t="n"/>
      <c r="Z88" s="124">
        <f>IF(Y88="","",COUNTIFS($C$18:$C$2015,Y$13,$D$18:$D$2015,"&gt;="&amp;Y88,$D$18:$D$2015,"&lt;"&amp;Y89))</f>
        <v/>
      </c>
      <c r="AA88" s="14" t="n"/>
      <c r="AB88" s="16" t="n"/>
      <c r="AC88" s="124">
        <f>IF(AB88="","",COUNTIFS($C$18:$C$2015,AB$13,$D$18:$D$2015,"&gt;="&amp;AB88,$D$18:$D$2015,"&lt;"&amp;AB89))</f>
        <v/>
      </c>
      <c r="AD88" s="14" t="n"/>
    </row>
    <row r="89">
      <c r="A89" s="58" t="n"/>
      <c r="B89" s="59" t="n"/>
      <c r="C89" s="59" t="n"/>
      <c r="E89" s="16" t="n"/>
      <c r="F89" s="13" t="n"/>
      <c r="G89" s="16" t="n"/>
      <c r="H89" s="124">
        <f>IF(G89="","",COUNTIFS($C$18:$C$2015,G$13,$D$18:$D$2015,"&gt;="&amp;G89,$D$18:$D$2015,"&lt;"&amp;G90))</f>
        <v/>
      </c>
      <c r="I89" s="14" t="n"/>
      <c r="J89" s="16" t="n"/>
      <c r="K89" s="124">
        <f>IF(J89="","",COUNTIFS($C$18:$C$2015,J$13,$D$18:$D$2015,"&gt;="&amp;J89,$D$18:$D$2015,"&lt;"&amp;J90))</f>
        <v/>
      </c>
      <c r="L89" s="14" t="n"/>
      <c r="M89" s="16" t="n"/>
      <c r="N89" s="124">
        <f>IF(M89="","",COUNTIFS($C$18:$C$2015,M$13,$D$18:$D$2015,"&gt;="&amp;M89,$D$18:$D$2015,"&lt;"&amp;M90))</f>
        <v/>
      </c>
      <c r="O89" s="14" t="n"/>
      <c r="P89" s="16" t="n"/>
      <c r="Q89" s="124">
        <f>IF(P89="","",COUNTIFS($C$18:$C$2015,P$13,$D$18:$D$2015,"&gt;="&amp;P89,$D$18:$D$2015,"&lt;"&amp;P90))</f>
        <v/>
      </c>
      <c r="R89" s="14" t="n"/>
      <c r="S89" s="16" t="n"/>
      <c r="T89" s="124">
        <f>IF(S89="","",COUNTIFS($C$18:$C$2015,S$13,$D$18:$D$2015,"&gt;="&amp;S89,$D$18:$D$2015,"&lt;"&amp;S90))</f>
        <v/>
      </c>
      <c r="U89" s="14" t="n"/>
      <c r="V89" s="16" t="n"/>
      <c r="W89" s="124">
        <f>IF(V89="","",COUNTIFS($C$18:$C$2015,V$13,$D$18:$D$2015,"&gt;="&amp;V89,$D$18:$D$2015,"&lt;"&amp;V90))</f>
        <v/>
      </c>
      <c r="X89" s="14" t="n"/>
      <c r="Y89" s="16" t="n"/>
      <c r="Z89" s="124">
        <f>IF(Y89="","",COUNTIFS($C$18:$C$2015,Y$13,$D$18:$D$2015,"&gt;="&amp;Y89,$D$18:$D$2015,"&lt;"&amp;Y90))</f>
        <v/>
      </c>
      <c r="AA89" s="14" t="n"/>
      <c r="AB89" s="16" t="n"/>
      <c r="AC89" s="124">
        <f>IF(AB89="","",COUNTIFS($C$18:$C$2015,AB$13,$D$18:$D$2015,"&gt;="&amp;AB89,$D$18:$D$2015,"&lt;"&amp;AB90))</f>
        <v/>
      </c>
      <c r="AD89" s="14" t="n"/>
    </row>
    <row r="90">
      <c r="A90" s="56" t="n"/>
      <c r="B90" s="57" t="n"/>
      <c r="C90" s="59" t="n"/>
      <c r="E90" s="16" t="n"/>
      <c r="F90" s="13" t="n"/>
      <c r="G90" s="16" t="n"/>
      <c r="H90" s="124">
        <f>IF(G90="","",COUNTIFS($C$18:$C$2015,G$13,$D$18:$D$2015,"&gt;="&amp;G90,$D$18:$D$2015,"&lt;"&amp;G91))</f>
        <v/>
      </c>
      <c r="I90" s="14" t="n"/>
      <c r="J90" s="16" t="n"/>
      <c r="K90" s="124">
        <f>IF(J90="","",COUNTIFS($C$18:$C$2015,J$13,$D$18:$D$2015,"&gt;="&amp;J90,$D$18:$D$2015,"&lt;"&amp;J91))</f>
        <v/>
      </c>
      <c r="L90" s="14" t="n"/>
      <c r="M90" s="16" t="n"/>
      <c r="N90" s="124">
        <f>IF(M90="","",COUNTIFS($C$18:$C$2015,M$13,$D$18:$D$2015,"&gt;="&amp;M90,$D$18:$D$2015,"&lt;"&amp;M91))</f>
        <v/>
      </c>
      <c r="O90" s="14" t="n"/>
      <c r="P90" s="16" t="n"/>
      <c r="Q90" s="124">
        <f>IF(P90="","",COUNTIFS($C$18:$C$2015,P$13,$D$18:$D$2015,"&gt;="&amp;P90,$D$18:$D$2015,"&lt;"&amp;P91))</f>
        <v/>
      </c>
      <c r="R90" s="14" t="n"/>
      <c r="S90" s="16" t="n"/>
      <c r="T90" s="124">
        <f>IF(S90="","",COUNTIFS($C$18:$C$2015,S$13,$D$18:$D$2015,"&gt;="&amp;S90,$D$18:$D$2015,"&lt;"&amp;S91))</f>
        <v/>
      </c>
      <c r="U90" s="14" t="n"/>
      <c r="V90" s="16" t="n"/>
      <c r="W90" s="124">
        <f>IF(V90="","",COUNTIFS($C$18:$C$2015,V$13,$D$18:$D$2015,"&gt;="&amp;V90,$D$18:$D$2015,"&lt;"&amp;V91))</f>
        <v/>
      </c>
      <c r="X90" s="14" t="n"/>
      <c r="Y90" s="16" t="n"/>
      <c r="Z90" s="124">
        <f>IF(Y90="","",COUNTIFS($C$18:$C$2015,Y$13,$D$18:$D$2015,"&gt;="&amp;Y90,$D$18:$D$2015,"&lt;"&amp;Y91))</f>
        <v/>
      </c>
      <c r="AA90" s="14" t="n"/>
      <c r="AB90" s="16" t="n"/>
      <c r="AC90" s="124">
        <f>IF(AB90="","",COUNTIFS($C$18:$C$2015,AB$13,$D$18:$D$2015,"&gt;="&amp;AB90,$D$18:$D$2015,"&lt;"&amp;AB91))</f>
        <v/>
      </c>
      <c r="AD90" s="14" t="n"/>
    </row>
    <row r="91">
      <c r="A91" s="58" t="n"/>
      <c r="B91" s="59" t="n"/>
      <c r="C91" s="59" t="n"/>
      <c r="E91" s="16" t="n"/>
      <c r="F91" s="13" t="n"/>
      <c r="G91" s="16" t="n"/>
      <c r="H91" s="124">
        <f>IF(G91="","",COUNTIFS($C$18:$C$2015,G$13,$D$18:$D$2015,"&gt;="&amp;G91,$D$18:$D$2015,"&lt;"&amp;G92))</f>
        <v/>
      </c>
      <c r="I91" s="14" t="n"/>
      <c r="J91" s="16" t="n"/>
      <c r="K91" s="124">
        <f>IF(J91="","",COUNTIFS($C$18:$C$2015,J$13,$D$18:$D$2015,"&gt;="&amp;J91,$D$18:$D$2015,"&lt;"&amp;J92))</f>
        <v/>
      </c>
      <c r="L91" s="14" t="n"/>
      <c r="M91" s="16" t="n"/>
      <c r="N91" s="124">
        <f>IF(M91="","",COUNTIFS($C$18:$C$2015,M$13,$D$18:$D$2015,"&gt;="&amp;M91,$D$18:$D$2015,"&lt;"&amp;M92))</f>
        <v/>
      </c>
      <c r="O91" s="14" t="n"/>
      <c r="P91" s="16" t="n"/>
      <c r="Q91" s="124">
        <f>IF(P91="","",COUNTIFS($C$18:$C$2015,P$13,$D$18:$D$2015,"&gt;="&amp;P91,$D$18:$D$2015,"&lt;"&amp;P92))</f>
        <v/>
      </c>
      <c r="R91" s="14" t="n"/>
      <c r="S91" s="16" t="n"/>
      <c r="T91" s="124">
        <f>IF(S91="","",COUNTIFS($C$18:$C$2015,S$13,$D$18:$D$2015,"&gt;="&amp;S91,$D$18:$D$2015,"&lt;"&amp;S92))</f>
        <v/>
      </c>
      <c r="U91" s="14" t="n"/>
      <c r="V91" s="16" t="n"/>
      <c r="W91" s="124">
        <f>IF(V91="","",COUNTIFS($C$18:$C$2015,V$13,$D$18:$D$2015,"&gt;="&amp;V91,$D$18:$D$2015,"&lt;"&amp;V92))</f>
        <v/>
      </c>
      <c r="X91" s="14" t="n"/>
      <c r="Y91" s="16" t="n"/>
      <c r="Z91" s="124">
        <f>IF(Y91="","",COUNTIFS($C$18:$C$2015,Y$13,$D$18:$D$2015,"&gt;="&amp;Y91,$D$18:$D$2015,"&lt;"&amp;Y92))</f>
        <v/>
      </c>
      <c r="AA91" s="14" t="n"/>
      <c r="AB91" s="16" t="n"/>
      <c r="AC91" s="124">
        <f>IF(AB91="","",COUNTIFS($C$18:$C$2015,AB$13,$D$18:$D$2015,"&gt;="&amp;AB91,$D$18:$D$2015,"&lt;"&amp;AB92))</f>
        <v/>
      </c>
      <c r="AD91" s="14" t="n"/>
    </row>
    <row r="92">
      <c r="A92" s="56" t="n"/>
      <c r="B92" s="57" t="n"/>
      <c r="C92" s="59" t="n"/>
      <c r="E92" s="16" t="n"/>
      <c r="F92" s="13" t="n"/>
      <c r="G92" s="16" t="n"/>
      <c r="H92" s="124">
        <f>IF(G92="","",COUNTIFS($C$18:$C$2015,G$13,$D$18:$D$2015,"&gt;="&amp;G92,$D$18:$D$2015,"&lt;"&amp;G93))</f>
        <v/>
      </c>
      <c r="I92" s="14" t="n"/>
      <c r="J92" s="16" t="n"/>
      <c r="K92" s="124">
        <f>IF(J92="","",COUNTIFS($C$18:$C$2015,J$13,$D$18:$D$2015,"&gt;="&amp;J92,$D$18:$D$2015,"&lt;"&amp;J93))</f>
        <v/>
      </c>
      <c r="L92" s="14" t="n"/>
      <c r="M92" s="16" t="n"/>
      <c r="N92" s="124">
        <f>IF(M92="","",COUNTIFS($C$18:$C$2015,M$13,$D$18:$D$2015,"&gt;="&amp;M92,$D$18:$D$2015,"&lt;"&amp;M93))</f>
        <v/>
      </c>
      <c r="O92" s="14" t="n"/>
      <c r="P92" s="16" t="n"/>
      <c r="Q92" s="124">
        <f>IF(P92="","",COUNTIFS($C$18:$C$2015,P$13,$D$18:$D$2015,"&gt;="&amp;P92,$D$18:$D$2015,"&lt;"&amp;P93))</f>
        <v/>
      </c>
      <c r="R92" s="14" t="n"/>
      <c r="S92" s="16" t="n"/>
      <c r="T92" s="124">
        <f>IF(S92="","",COUNTIFS($C$18:$C$2015,S$13,$D$18:$D$2015,"&gt;="&amp;S92,$D$18:$D$2015,"&lt;"&amp;S93))</f>
        <v/>
      </c>
      <c r="U92" s="14" t="n"/>
      <c r="V92" s="16" t="n"/>
      <c r="W92" s="124">
        <f>IF(V92="","",COUNTIFS($C$18:$C$2015,V$13,$D$18:$D$2015,"&gt;="&amp;V92,$D$18:$D$2015,"&lt;"&amp;V93))</f>
        <v/>
      </c>
      <c r="X92" s="14" t="n"/>
      <c r="Y92" s="16" t="n"/>
      <c r="Z92" s="124">
        <f>IF(Y92="","",COUNTIFS($C$18:$C$2015,Y$13,$D$18:$D$2015,"&gt;="&amp;Y92,$D$18:$D$2015,"&lt;"&amp;Y93))</f>
        <v/>
      </c>
      <c r="AA92" s="14" t="n"/>
      <c r="AB92" s="16" t="n"/>
      <c r="AC92" s="124">
        <f>IF(AB92="","",COUNTIFS($C$18:$C$2015,AB$13,$D$18:$D$2015,"&gt;="&amp;AB92,$D$18:$D$2015,"&lt;"&amp;AB93))</f>
        <v/>
      </c>
      <c r="AD92" s="14" t="n"/>
    </row>
    <row r="93">
      <c r="A93" s="58" t="n"/>
      <c r="B93" s="59" t="n"/>
      <c r="C93" s="59" t="n"/>
      <c r="E93" s="16" t="n"/>
      <c r="F93" s="13" t="n"/>
      <c r="G93" s="16" t="n"/>
      <c r="H93" s="124">
        <f>IF(G93="","",COUNTIFS($C$18:$C$2015,G$13,$D$18:$D$2015,"&gt;="&amp;G93,$D$18:$D$2015,"&lt;"&amp;G94))</f>
        <v/>
      </c>
      <c r="I93" s="14" t="n"/>
      <c r="J93" s="16" t="n"/>
      <c r="K93" s="124">
        <f>IF(J93="","",COUNTIFS($C$18:$C$2015,J$13,$D$18:$D$2015,"&gt;="&amp;J93,$D$18:$D$2015,"&lt;"&amp;J94))</f>
        <v/>
      </c>
      <c r="L93" s="14" t="n"/>
      <c r="M93" s="16" t="n"/>
      <c r="N93" s="124">
        <f>IF(M93="","",COUNTIFS($C$18:$C$2015,M$13,$D$18:$D$2015,"&gt;="&amp;M93,$D$18:$D$2015,"&lt;"&amp;M94))</f>
        <v/>
      </c>
      <c r="O93" s="14" t="n"/>
      <c r="P93" s="16" t="n"/>
      <c r="Q93" s="124">
        <f>IF(P93="","",COUNTIFS($C$18:$C$2015,P$13,$D$18:$D$2015,"&gt;="&amp;P93,$D$18:$D$2015,"&lt;"&amp;P94))</f>
        <v/>
      </c>
      <c r="R93" s="14" t="n"/>
      <c r="S93" s="16" t="n"/>
      <c r="T93" s="124">
        <f>IF(S93="","",COUNTIFS($C$18:$C$2015,S$13,$D$18:$D$2015,"&gt;="&amp;S93,$D$18:$D$2015,"&lt;"&amp;S94))</f>
        <v/>
      </c>
      <c r="U93" s="14" t="n"/>
      <c r="V93" s="16" t="n"/>
      <c r="W93" s="124">
        <f>IF(V93="","",COUNTIFS($C$18:$C$2015,V$13,$D$18:$D$2015,"&gt;="&amp;V93,$D$18:$D$2015,"&lt;"&amp;V94))</f>
        <v/>
      </c>
      <c r="X93" s="14" t="n"/>
      <c r="Y93" s="16" t="n"/>
      <c r="Z93" s="124">
        <f>IF(Y93="","",COUNTIFS($C$18:$C$2015,Y$13,$D$18:$D$2015,"&gt;="&amp;Y93,$D$18:$D$2015,"&lt;"&amp;Y94))</f>
        <v/>
      </c>
      <c r="AA93" s="14" t="n"/>
      <c r="AB93" s="16" t="n"/>
      <c r="AC93" s="124">
        <f>IF(AB93="","",COUNTIFS($C$18:$C$2015,AB$13,$D$18:$D$2015,"&gt;="&amp;AB93,$D$18:$D$2015,"&lt;"&amp;AB94))</f>
        <v/>
      </c>
      <c r="AD93" s="14" t="n"/>
    </row>
    <row r="94">
      <c r="A94" s="56" t="n"/>
      <c r="B94" s="57" t="n"/>
      <c r="C94" s="59" t="n"/>
      <c r="E94" s="16" t="n"/>
      <c r="F94" s="13" t="n"/>
      <c r="G94" s="16" t="n"/>
      <c r="H94" s="124">
        <f>IF(G94="","",COUNTIFS($C$18:$C$2015,G$13,$D$18:$D$2015,"&gt;="&amp;G94,$D$18:$D$2015,"&lt;"&amp;G95))</f>
        <v/>
      </c>
      <c r="I94" s="14" t="n"/>
      <c r="J94" s="16" t="n"/>
      <c r="K94" s="124">
        <f>IF(J94="","",COUNTIFS($C$18:$C$2015,J$13,$D$18:$D$2015,"&gt;="&amp;J94,$D$18:$D$2015,"&lt;"&amp;J95))</f>
        <v/>
      </c>
      <c r="L94" s="14" t="n"/>
      <c r="M94" s="16" t="n"/>
      <c r="N94" s="124">
        <f>IF(M94="","",COUNTIFS($C$18:$C$2015,M$13,$D$18:$D$2015,"&gt;="&amp;M94,$D$18:$D$2015,"&lt;"&amp;M95))</f>
        <v/>
      </c>
      <c r="O94" s="14" t="n"/>
      <c r="P94" s="16" t="n"/>
      <c r="Q94" s="124">
        <f>IF(P94="","",COUNTIFS($C$18:$C$2015,P$13,$D$18:$D$2015,"&gt;="&amp;P94,$D$18:$D$2015,"&lt;"&amp;P95))</f>
        <v/>
      </c>
      <c r="R94" s="14" t="n"/>
      <c r="S94" s="16" t="n"/>
      <c r="T94" s="124">
        <f>IF(S94="","",COUNTIFS($C$18:$C$2015,S$13,$D$18:$D$2015,"&gt;="&amp;S94,$D$18:$D$2015,"&lt;"&amp;S95))</f>
        <v/>
      </c>
      <c r="U94" s="14" t="n"/>
      <c r="V94" s="16" t="n"/>
      <c r="W94" s="124">
        <f>IF(V94="","",COUNTIFS($C$18:$C$2015,V$13,$D$18:$D$2015,"&gt;="&amp;V94,$D$18:$D$2015,"&lt;"&amp;V95))</f>
        <v/>
      </c>
      <c r="X94" s="14" t="n"/>
      <c r="Y94" s="16" t="n"/>
      <c r="Z94" s="124">
        <f>IF(Y94="","",COUNTIFS($C$18:$C$2015,Y$13,$D$18:$D$2015,"&gt;="&amp;Y94,$D$18:$D$2015,"&lt;"&amp;Y95))</f>
        <v/>
      </c>
      <c r="AA94" s="14" t="n"/>
      <c r="AB94" s="16" t="n"/>
      <c r="AC94" s="124">
        <f>IF(AB94="","",COUNTIFS($C$18:$C$2015,AB$13,$D$18:$D$2015,"&gt;="&amp;AB94,$D$18:$D$2015,"&lt;"&amp;AB95))</f>
        <v/>
      </c>
      <c r="AD94" s="14" t="n"/>
    </row>
    <row r="95">
      <c r="A95" s="58" t="n"/>
      <c r="B95" s="59" t="n"/>
      <c r="C95" s="59" t="n"/>
      <c r="E95" s="16" t="n"/>
      <c r="F95" s="13" t="n"/>
      <c r="G95" s="16" t="n"/>
      <c r="H95" s="124">
        <f>IF(G95="","",COUNTIFS($C$18:$C$2015,G$13,$D$18:$D$2015,"&gt;="&amp;G95,$D$18:$D$2015,"&lt;"&amp;G96))</f>
        <v/>
      </c>
      <c r="I95" s="14" t="n"/>
      <c r="J95" s="16" t="n"/>
      <c r="K95" s="124">
        <f>IF(J95="","",COUNTIFS($C$18:$C$2015,J$13,$D$18:$D$2015,"&gt;="&amp;J95,$D$18:$D$2015,"&lt;"&amp;J96))</f>
        <v/>
      </c>
      <c r="L95" s="14" t="n"/>
      <c r="M95" s="16" t="n"/>
      <c r="N95" s="124">
        <f>IF(M95="","",COUNTIFS($C$18:$C$2015,M$13,$D$18:$D$2015,"&gt;="&amp;M95,$D$18:$D$2015,"&lt;"&amp;M96))</f>
        <v/>
      </c>
      <c r="O95" s="14" t="n"/>
      <c r="P95" s="16" t="n"/>
      <c r="Q95" s="124">
        <f>IF(P95="","",COUNTIFS($C$18:$C$2015,P$13,$D$18:$D$2015,"&gt;="&amp;P95,$D$18:$D$2015,"&lt;"&amp;P96))</f>
        <v/>
      </c>
      <c r="R95" s="14" t="n"/>
      <c r="S95" s="16" t="n"/>
      <c r="T95" s="124">
        <f>IF(S95="","",COUNTIFS($C$18:$C$2015,S$13,$D$18:$D$2015,"&gt;="&amp;S95,$D$18:$D$2015,"&lt;"&amp;S96))</f>
        <v/>
      </c>
      <c r="U95" s="14" t="n"/>
      <c r="V95" s="16" t="n"/>
      <c r="W95" s="124">
        <f>IF(V95="","",COUNTIFS($C$18:$C$2015,V$13,$D$18:$D$2015,"&gt;="&amp;V95,$D$18:$D$2015,"&lt;"&amp;V96))</f>
        <v/>
      </c>
      <c r="X95" s="14" t="n"/>
      <c r="Y95" s="16" t="n"/>
      <c r="Z95" s="124">
        <f>IF(Y95="","",COUNTIFS($C$18:$C$2015,Y$13,$D$18:$D$2015,"&gt;="&amp;Y95,$D$18:$D$2015,"&lt;"&amp;Y96))</f>
        <v/>
      </c>
      <c r="AA95" s="14" t="n"/>
      <c r="AB95" s="16" t="n"/>
      <c r="AC95" s="124">
        <f>IF(AB95="","",COUNTIFS($C$18:$C$2015,AB$13,$D$18:$D$2015,"&gt;="&amp;AB95,$D$18:$D$2015,"&lt;"&amp;AB96))</f>
        <v/>
      </c>
      <c r="AD95" s="14" t="n"/>
    </row>
    <row r="96">
      <c r="A96" s="56" t="n"/>
      <c r="B96" s="57" t="n"/>
      <c r="C96" s="59" t="n"/>
      <c r="E96" s="16" t="n"/>
      <c r="F96" s="13" t="n"/>
      <c r="G96" s="16" t="n"/>
      <c r="H96" s="124">
        <f>IF(G96="","",COUNTIFS($C$18:$C$2015,G$13,$D$18:$D$2015,"&gt;="&amp;G96,$D$18:$D$2015,"&lt;"&amp;G97))</f>
        <v/>
      </c>
      <c r="I96" s="14" t="n"/>
      <c r="J96" s="16" t="n"/>
      <c r="K96" s="124">
        <f>IF(J96="","",COUNTIFS($C$18:$C$2015,J$13,$D$18:$D$2015,"&gt;="&amp;J96,$D$18:$D$2015,"&lt;"&amp;J97))</f>
        <v/>
      </c>
      <c r="L96" s="14" t="n"/>
      <c r="M96" s="16" t="n"/>
      <c r="N96" s="124">
        <f>IF(M96="","",COUNTIFS($C$18:$C$2015,M$13,$D$18:$D$2015,"&gt;="&amp;M96,$D$18:$D$2015,"&lt;"&amp;M97))</f>
        <v/>
      </c>
      <c r="O96" s="14" t="n"/>
      <c r="P96" s="16" t="n"/>
      <c r="Q96" s="124">
        <f>IF(P96="","",COUNTIFS($C$18:$C$2015,P$13,$D$18:$D$2015,"&gt;="&amp;P96,$D$18:$D$2015,"&lt;"&amp;P97))</f>
        <v/>
      </c>
      <c r="R96" s="14" t="n"/>
      <c r="S96" s="16" t="n"/>
      <c r="T96" s="124">
        <f>IF(S96="","",COUNTIFS($C$18:$C$2015,S$13,$D$18:$D$2015,"&gt;="&amp;S96,$D$18:$D$2015,"&lt;"&amp;S97))</f>
        <v/>
      </c>
      <c r="U96" s="14" t="n"/>
      <c r="V96" s="16" t="n"/>
      <c r="W96" s="124">
        <f>IF(V96="","",COUNTIFS($C$18:$C$2015,V$13,$D$18:$D$2015,"&gt;="&amp;V96,$D$18:$D$2015,"&lt;"&amp;V97))</f>
        <v/>
      </c>
      <c r="X96" s="14" t="n"/>
      <c r="Y96" s="16" t="n"/>
      <c r="Z96" s="124">
        <f>IF(Y96="","",COUNTIFS($C$18:$C$2015,Y$13,$D$18:$D$2015,"&gt;="&amp;Y96,$D$18:$D$2015,"&lt;"&amp;Y97))</f>
        <v/>
      </c>
      <c r="AA96" s="14" t="n"/>
      <c r="AB96" s="16" t="n"/>
      <c r="AC96" s="124">
        <f>IF(AB96="","",COUNTIFS($C$18:$C$2015,AB$13,$D$18:$D$2015,"&gt;="&amp;AB96,$D$18:$D$2015,"&lt;"&amp;AB97))</f>
        <v/>
      </c>
      <c r="AD96" s="14" t="n"/>
    </row>
    <row r="97">
      <c r="A97" s="58" t="n"/>
      <c r="B97" s="59" t="n"/>
      <c r="C97" s="59" t="n"/>
      <c r="E97" s="16" t="n"/>
      <c r="F97" s="13" t="n"/>
      <c r="G97" s="16" t="n"/>
      <c r="H97" s="124">
        <f>IF(G97="","",COUNTIFS($C$18:$C$2015,G$13,$D$18:$D$2015,"&gt;="&amp;G97,$D$18:$D$2015,"&lt;"&amp;G98))</f>
        <v/>
      </c>
      <c r="I97" s="14" t="n"/>
      <c r="J97" s="16" t="n"/>
      <c r="K97" s="124">
        <f>IF(J97="","",COUNTIFS($C$18:$C$2015,J$13,$D$18:$D$2015,"&gt;="&amp;J97,$D$18:$D$2015,"&lt;"&amp;J98))</f>
        <v/>
      </c>
      <c r="L97" s="14" t="n"/>
      <c r="M97" s="16" t="n"/>
      <c r="N97" s="124">
        <f>IF(M97="","",COUNTIFS($C$18:$C$2015,M$13,$D$18:$D$2015,"&gt;="&amp;M97,$D$18:$D$2015,"&lt;"&amp;M98))</f>
        <v/>
      </c>
      <c r="O97" s="14" t="n"/>
      <c r="P97" s="16" t="n"/>
      <c r="Q97" s="124">
        <f>IF(P97="","",COUNTIFS($C$18:$C$2015,P$13,$D$18:$D$2015,"&gt;="&amp;P97,$D$18:$D$2015,"&lt;"&amp;P98))</f>
        <v/>
      </c>
      <c r="R97" s="14" t="n"/>
      <c r="S97" s="16" t="n"/>
      <c r="T97" s="124">
        <f>IF(S97="","",COUNTIFS($C$18:$C$2015,S$13,$D$18:$D$2015,"&gt;="&amp;S97,$D$18:$D$2015,"&lt;"&amp;S98))</f>
        <v/>
      </c>
      <c r="U97" s="14" t="n"/>
      <c r="V97" s="16" t="n"/>
      <c r="W97" s="124">
        <f>IF(V97="","",COUNTIFS($C$18:$C$2015,V$13,$D$18:$D$2015,"&gt;="&amp;V97,$D$18:$D$2015,"&lt;"&amp;V98))</f>
        <v/>
      </c>
      <c r="X97" s="14" t="n"/>
      <c r="Y97" s="16" t="n"/>
      <c r="Z97" s="124">
        <f>IF(Y97="","",COUNTIFS($C$18:$C$2015,Y$13,$D$18:$D$2015,"&gt;="&amp;Y97,$D$18:$D$2015,"&lt;"&amp;Y98))</f>
        <v/>
      </c>
      <c r="AA97" s="14" t="n"/>
      <c r="AB97" s="16" t="n"/>
      <c r="AC97" s="124">
        <f>IF(AB97="","",COUNTIFS($C$18:$C$2015,AB$13,$D$18:$D$2015,"&gt;="&amp;AB97,$D$18:$D$2015,"&lt;"&amp;AB98))</f>
        <v/>
      </c>
      <c r="AD97" s="14" t="n"/>
    </row>
    <row r="98">
      <c r="A98" s="56" t="n"/>
      <c r="B98" s="57" t="n"/>
      <c r="C98" s="59" t="n"/>
      <c r="E98" s="16" t="n"/>
      <c r="F98" s="13" t="n"/>
      <c r="G98" s="16" t="n"/>
      <c r="H98" s="124">
        <f>IF(G98="","",COUNTIFS($C$18:$C$2015,G$13,$D$18:$D$2015,"&gt;="&amp;G98,$D$18:$D$2015,"&lt;"&amp;G99))</f>
        <v/>
      </c>
      <c r="I98" s="14" t="n"/>
      <c r="J98" s="16" t="n"/>
      <c r="K98" s="124">
        <f>IF(J98="","",COUNTIFS($C$18:$C$2015,J$13,$D$18:$D$2015,"&gt;="&amp;J98,$D$18:$D$2015,"&lt;"&amp;J99))</f>
        <v/>
      </c>
      <c r="L98" s="14" t="n"/>
      <c r="M98" s="16" t="n"/>
      <c r="N98" s="124">
        <f>IF(M98="","",COUNTIFS($C$18:$C$2015,M$13,$D$18:$D$2015,"&gt;="&amp;M98,$D$18:$D$2015,"&lt;"&amp;M99))</f>
        <v/>
      </c>
      <c r="O98" s="14" t="n"/>
      <c r="P98" s="16" t="n"/>
      <c r="Q98" s="124">
        <f>IF(P98="","",COUNTIFS($C$18:$C$2015,P$13,$D$18:$D$2015,"&gt;="&amp;P98,$D$18:$D$2015,"&lt;"&amp;P99))</f>
        <v/>
      </c>
      <c r="R98" s="14" t="n"/>
      <c r="S98" s="16" t="n"/>
      <c r="T98" s="124">
        <f>IF(S98="","",COUNTIFS($C$18:$C$2015,S$13,$D$18:$D$2015,"&gt;="&amp;S98,$D$18:$D$2015,"&lt;"&amp;S99))</f>
        <v/>
      </c>
      <c r="U98" s="14" t="n"/>
      <c r="V98" s="16" t="n"/>
      <c r="W98" s="124">
        <f>IF(V98="","",COUNTIFS($C$18:$C$2015,V$13,$D$18:$D$2015,"&gt;="&amp;V98,$D$18:$D$2015,"&lt;"&amp;V99))</f>
        <v/>
      </c>
      <c r="X98" s="14" t="n"/>
      <c r="Y98" s="16" t="n"/>
      <c r="Z98" s="124">
        <f>IF(Y98="","",COUNTIFS($C$18:$C$2015,Y$13,$D$18:$D$2015,"&gt;="&amp;Y98,$D$18:$D$2015,"&lt;"&amp;Y99))</f>
        <v/>
      </c>
      <c r="AA98" s="14" t="n"/>
      <c r="AB98" s="16" t="n"/>
      <c r="AC98" s="124">
        <f>IF(AB98="","",COUNTIFS($C$18:$C$2015,AB$13,$D$18:$D$2015,"&gt;="&amp;AB98,$D$18:$D$2015,"&lt;"&amp;AB99))</f>
        <v/>
      </c>
      <c r="AD98" s="14" t="n"/>
    </row>
    <row r="99">
      <c r="A99" s="58" t="n"/>
      <c r="B99" s="59" t="n"/>
      <c r="C99" s="59" t="n"/>
      <c r="E99" s="16" t="n"/>
      <c r="F99" s="13" t="n"/>
      <c r="G99" s="16" t="n"/>
      <c r="H99" s="124">
        <f>IF(G99="","",COUNTIFS($C$18:$C$2015,G$13,$D$18:$D$2015,"&gt;="&amp;G99,$D$18:$D$2015,"&lt;"&amp;G100))</f>
        <v/>
      </c>
      <c r="I99" s="14" t="n"/>
      <c r="J99" s="16" t="n"/>
      <c r="K99" s="124">
        <f>IF(J99="","",COUNTIFS($C$18:$C$2015,J$13,$D$18:$D$2015,"&gt;="&amp;J99,$D$18:$D$2015,"&lt;"&amp;J100))</f>
        <v/>
      </c>
      <c r="L99" s="14" t="n"/>
      <c r="M99" s="16" t="n"/>
      <c r="N99" s="124">
        <f>IF(M99="","",COUNTIFS($C$18:$C$2015,M$13,$D$18:$D$2015,"&gt;="&amp;M99,$D$18:$D$2015,"&lt;"&amp;M100))</f>
        <v/>
      </c>
      <c r="O99" s="14" t="n"/>
      <c r="P99" s="16" t="n"/>
      <c r="Q99" s="124">
        <f>IF(P99="","",COUNTIFS($C$18:$C$2015,P$13,$D$18:$D$2015,"&gt;="&amp;P99,$D$18:$D$2015,"&lt;"&amp;P100))</f>
        <v/>
      </c>
      <c r="R99" s="14" t="n"/>
      <c r="S99" s="16" t="n"/>
      <c r="T99" s="124">
        <f>IF(S99="","",COUNTIFS($C$18:$C$2015,S$13,$D$18:$D$2015,"&gt;="&amp;S99,$D$18:$D$2015,"&lt;"&amp;S100))</f>
        <v/>
      </c>
      <c r="U99" s="14" t="n"/>
      <c r="V99" s="16" t="n"/>
      <c r="W99" s="124">
        <f>IF(V99="","",COUNTIFS($C$18:$C$2015,V$13,$D$18:$D$2015,"&gt;="&amp;V99,$D$18:$D$2015,"&lt;"&amp;V100))</f>
        <v/>
      </c>
      <c r="X99" s="14" t="n"/>
      <c r="Y99" s="16" t="n"/>
      <c r="Z99" s="124">
        <f>IF(Y99="","",COUNTIFS($C$18:$C$2015,Y$13,$D$18:$D$2015,"&gt;="&amp;Y99,$D$18:$D$2015,"&lt;"&amp;Y100))</f>
        <v/>
      </c>
      <c r="AA99" s="14" t="n"/>
      <c r="AB99" s="16" t="n"/>
      <c r="AC99" s="124">
        <f>IF(AB99="","",COUNTIFS($C$18:$C$2015,AB$13,$D$18:$D$2015,"&gt;="&amp;AB99,$D$18:$D$2015,"&lt;"&amp;AB100))</f>
        <v/>
      </c>
      <c r="AD99" s="14" t="n"/>
    </row>
    <row r="100">
      <c r="A100" s="56" t="n"/>
      <c r="B100" s="57" t="n"/>
      <c r="C100" s="59" t="n"/>
      <c r="E100" s="16" t="n"/>
      <c r="F100" s="13" t="n"/>
      <c r="G100" s="16" t="n"/>
      <c r="H100" s="124">
        <f>IF(G100="","",COUNTIFS($C$18:$C$2015,G$13,$D$18:$D$2015,"&gt;="&amp;G100,$D$18:$D$2015,"&lt;"&amp;G101))</f>
        <v/>
      </c>
      <c r="I100" s="14" t="n"/>
      <c r="J100" s="16" t="n"/>
      <c r="K100" s="124">
        <f>IF(J100="","",COUNTIFS($C$18:$C$2015,J$13,$D$18:$D$2015,"&gt;="&amp;J100,$D$18:$D$2015,"&lt;"&amp;J101))</f>
        <v/>
      </c>
      <c r="L100" s="14" t="n"/>
      <c r="M100" s="16" t="n"/>
      <c r="N100" s="124">
        <f>IF(M100="","",COUNTIFS($C$18:$C$2015,M$13,$D$18:$D$2015,"&gt;="&amp;M100,$D$18:$D$2015,"&lt;"&amp;M101))</f>
        <v/>
      </c>
      <c r="O100" s="14" t="n"/>
      <c r="P100" s="16" t="n"/>
      <c r="Q100" s="124">
        <f>IF(P100="","",COUNTIFS($C$18:$C$2015,P$13,$D$18:$D$2015,"&gt;="&amp;P100,$D$18:$D$2015,"&lt;"&amp;P101))</f>
        <v/>
      </c>
      <c r="R100" s="14" t="n"/>
      <c r="S100" s="16" t="n"/>
      <c r="T100" s="124">
        <f>IF(S100="","",COUNTIFS($C$18:$C$2015,S$13,$D$18:$D$2015,"&gt;="&amp;S100,$D$18:$D$2015,"&lt;"&amp;S101))</f>
        <v/>
      </c>
      <c r="U100" s="14" t="n"/>
      <c r="V100" s="16" t="n"/>
      <c r="W100" s="124">
        <f>IF(V100="","",COUNTIFS($C$18:$C$2015,V$13,$D$18:$D$2015,"&gt;="&amp;V100,$D$18:$D$2015,"&lt;"&amp;V101))</f>
        <v/>
      </c>
      <c r="X100" s="14" t="n"/>
      <c r="Y100" s="16" t="n"/>
      <c r="Z100" s="124">
        <f>IF(Y100="","",COUNTIFS($C$18:$C$2015,Y$13,$D$18:$D$2015,"&gt;="&amp;Y100,$D$18:$D$2015,"&lt;"&amp;Y101))</f>
        <v/>
      </c>
      <c r="AA100" s="14" t="n"/>
      <c r="AB100" s="16" t="n"/>
      <c r="AC100" s="124">
        <f>IF(AB100="","",COUNTIFS($C$18:$C$2015,AB$13,$D$18:$D$2015,"&gt;="&amp;AB100,$D$18:$D$2015,"&lt;"&amp;AB101))</f>
        <v/>
      </c>
      <c r="AD100" s="14" t="n"/>
    </row>
    <row r="101">
      <c r="A101" s="58" t="n"/>
      <c r="B101" s="59" t="n"/>
      <c r="C101" s="59" t="n"/>
      <c r="E101" s="16" t="n"/>
      <c r="F101" s="13" t="n"/>
      <c r="G101" s="16" t="n"/>
      <c r="H101" s="124">
        <f>IF(G101="","",COUNTIFS($C$18:$C$2015,G$13,$D$18:$D$2015,"&gt;="&amp;G101,$D$18:$D$2015,"&lt;"&amp;G102))</f>
        <v/>
      </c>
      <c r="I101" s="14" t="n"/>
      <c r="J101" s="16" t="n"/>
      <c r="K101" s="124">
        <f>IF(J101="","",COUNTIFS($C$18:$C$2015,J$13,$D$18:$D$2015,"&gt;="&amp;J101,$D$18:$D$2015,"&lt;"&amp;J102))</f>
        <v/>
      </c>
      <c r="L101" s="14" t="n"/>
      <c r="M101" s="16" t="n"/>
      <c r="N101" s="124">
        <f>IF(M101="","",COUNTIFS($C$18:$C$2015,M$13,$D$18:$D$2015,"&gt;="&amp;M101,$D$18:$D$2015,"&lt;"&amp;M102))</f>
        <v/>
      </c>
      <c r="O101" s="14" t="n"/>
      <c r="P101" s="16" t="n"/>
      <c r="Q101" s="124">
        <f>IF(P101="","",COUNTIFS($C$18:$C$2015,P$13,$D$18:$D$2015,"&gt;="&amp;P101,$D$18:$D$2015,"&lt;"&amp;P102))</f>
        <v/>
      </c>
      <c r="R101" s="14" t="n"/>
      <c r="S101" s="16" t="n"/>
      <c r="T101" s="124">
        <f>IF(S101="","",COUNTIFS($C$18:$C$2015,S$13,$D$18:$D$2015,"&gt;="&amp;S101,$D$18:$D$2015,"&lt;"&amp;S102))</f>
        <v/>
      </c>
      <c r="U101" s="14" t="n"/>
      <c r="V101" s="16" t="n"/>
      <c r="W101" s="124">
        <f>IF(V101="","",COUNTIFS($C$18:$C$2015,V$13,$D$18:$D$2015,"&gt;="&amp;V101,$D$18:$D$2015,"&lt;"&amp;V102))</f>
        <v/>
      </c>
      <c r="X101" s="14" t="n"/>
      <c r="Y101" s="16" t="n"/>
      <c r="Z101" s="124">
        <f>IF(Y101="","",COUNTIFS($C$18:$C$2015,Y$13,$D$18:$D$2015,"&gt;="&amp;Y101,$D$18:$D$2015,"&lt;"&amp;Y102))</f>
        <v/>
      </c>
      <c r="AA101" s="14" t="n"/>
      <c r="AB101" s="16" t="n"/>
      <c r="AC101" s="124">
        <f>IF(AB101="","",COUNTIFS($C$18:$C$2015,AB$13,$D$18:$D$2015,"&gt;="&amp;AB101,$D$18:$D$2015,"&lt;"&amp;AB102))</f>
        <v/>
      </c>
      <c r="AD101" s="14" t="n"/>
    </row>
    <row r="102">
      <c r="A102" s="56" t="n"/>
      <c r="B102" s="57" t="n"/>
      <c r="C102" s="59" t="n"/>
      <c r="E102" s="16" t="n"/>
      <c r="F102" s="13" t="n"/>
      <c r="G102" s="16" t="n"/>
      <c r="H102" s="124">
        <f>IF(G102="","",COUNTIFS($C$18:$C$2015,G$13,$D$18:$D$2015,"&gt;="&amp;G102,$D$18:$D$2015,"&lt;"&amp;G103))</f>
        <v/>
      </c>
      <c r="I102" s="14" t="n"/>
      <c r="J102" s="16" t="n"/>
      <c r="K102" s="124">
        <f>IF(J102="","",COUNTIFS($C$18:$C$2015,J$13,$D$18:$D$2015,"&gt;="&amp;J102,$D$18:$D$2015,"&lt;"&amp;J103))</f>
        <v/>
      </c>
      <c r="L102" s="14" t="n"/>
      <c r="M102" s="16" t="n"/>
      <c r="N102" s="124">
        <f>IF(M102="","",COUNTIFS($C$18:$C$2015,M$13,$D$18:$D$2015,"&gt;="&amp;M102,$D$18:$D$2015,"&lt;"&amp;M103))</f>
        <v/>
      </c>
      <c r="O102" s="14" t="n"/>
      <c r="P102" s="16" t="n"/>
      <c r="Q102" s="124">
        <f>IF(P102="","",COUNTIFS($C$18:$C$2015,P$13,$D$18:$D$2015,"&gt;="&amp;P102,$D$18:$D$2015,"&lt;"&amp;P103))</f>
        <v/>
      </c>
      <c r="R102" s="14" t="n"/>
      <c r="S102" s="16" t="n"/>
      <c r="T102" s="124">
        <f>IF(S102="","",COUNTIFS($C$18:$C$2015,S$13,$D$18:$D$2015,"&gt;="&amp;S102,$D$18:$D$2015,"&lt;"&amp;S103))</f>
        <v/>
      </c>
      <c r="U102" s="14" t="n"/>
      <c r="V102" s="16" t="n"/>
      <c r="W102" s="124">
        <f>IF(V102="","",COUNTIFS($C$18:$C$2015,V$13,$D$18:$D$2015,"&gt;="&amp;V102,$D$18:$D$2015,"&lt;"&amp;V103))</f>
        <v/>
      </c>
      <c r="X102" s="14" t="n"/>
      <c r="Y102" s="16" t="n"/>
      <c r="Z102" s="124">
        <f>IF(Y102="","",COUNTIFS($C$18:$C$2015,Y$13,$D$18:$D$2015,"&gt;="&amp;Y102,$D$18:$D$2015,"&lt;"&amp;Y103))</f>
        <v/>
      </c>
      <c r="AA102" s="14" t="n"/>
      <c r="AB102" s="16" t="n"/>
      <c r="AC102" s="124">
        <f>IF(AB102="","",COUNTIFS($C$18:$C$2015,AB$13,$D$18:$D$2015,"&gt;="&amp;AB102,$D$18:$D$2015,"&lt;"&amp;AB103))</f>
        <v/>
      </c>
      <c r="AD102" s="14" t="n"/>
    </row>
    <row r="103">
      <c r="A103" s="58" t="n"/>
      <c r="B103" s="59" t="n"/>
      <c r="C103" s="59" t="n"/>
      <c r="E103" s="16" t="n"/>
      <c r="F103" s="13" t="n"/>
      <c r="G103" s="16" t="n"/>
      <c r="H103" s="124">
        <f>IF(G103="","",COUNTIFS($C$18:$C$2015,G$13,$D$18:$D$2015,"&gt;="&amp;G103,$D$18:$D$2015,"&lt;"&amp;G104))</f>
        <v/>
      </c>
      <c r="I103" s="14" t="n"/>
      <c r="J103" s="16" t="n"/>
      <c r="K103" s="124">
        <f>IF(J103="","",COUNTIFS($C$18:$C$2015,J$13,$D$18:$D$2015,"&gt;="&amp;J103,$D$18:$D$2015,"&lt;"&amp;J104))</f>
        <v/>
      </c>
      <c r="L103" s="14" t="n"/>
      <c r="M103" s="16" t="n"/>
      <c r="N103" s="124">
        <f>IF(M103="","",COUNTIFS($C$18:$C$2015,M$13,$D$18:$D$2015,"&gt;="&amp;M103,$D$18:$D$2015,"&lt;"&amp;M104))</f>
        <v/>
      </c>
      <c r="O103" s="14" t="n"/>
      <c r="P103" s="16" t="n"/>
      <c r="Q103" s="124">
        <f>IF(P103="","",COUNTIFS($C$18:$C$2015,P$13,$D$18:$D$2015,"&gt;="&amp;P103,$D$18:$D$2015,"&lt;"&amp;P104))</f>
        <v/>
      </c>
      <c r="R103" s="14" t="n"/>
      <c r="S103" s="16" t="n"/>
      <c r="T103" s="124">
        <f>IF(S103="","",COUNTIFS($C$18:$C$2015,S$13,$D$18:$D$2015,"&gt;="&amp;S103,$D$18:$D$2015,"&lt;"&amp;S104))</f>
        <v/>
      </c>
      <c r="U103" s="14" t="n"/>
      <c r="V103" s="16" t="n"/>
      <c r="W103" s="124">
        <f>IF(V103="","",COUNTIFS($C$18:$C$2015,V$13,$D$18:$D$2015,"&gt;="&amp;V103,$D$18:$D$2015,"&lt;"&amp;V104))</f>
        <v/>
      </c>
      <c r="X103" s="14" t="n"/>
      <c r="Y103" s="16" t="n"/>
      <c r="Z103" s="124">
        <f>IF(Y103="","",COUNTIFS($C$18:$C$2015,Y$13,$D$18:$D$2015,"&gt;="&amp;Y103,$D$18:$D$2015,"&lt;"&amp;Y104))</f>
        <v/>
      </c>
      <c r="AA103" s="14" t="n"/>
      <c r="AB103" s="16" t="n"/>
      <c r="AC103" s="124">
        <f>IF(AB103="","",COUNTIFS($C$18:$C$2015,AB$13,$D$18:$D$2015,"&gt;="&amp;AB103,$D$18:$D$2015,"&lt;"&amp;AB104))</f>
        <v/>
      </c>
      <c r="AD103" s="14" t="n"/>
    </row>
    <row r="104">
      <c r="A104" s="56" t="n"/>
      <c r="B104" s="57" t="n"/>
      <c r="C104" s="59" t="n"/>
      <c r="E104" s="16" t="n"/>
      <c r="F104" s="13" t="n"/>
      <c r="G104" s="16" t="n"/>
      <c r="H104" s="124">
        <f>IF(G104="","",COUNTIFS($C$18:$C$2015,G$13,$D$18:$D$2015,"&gt;="&amp;G104,$D$18:$D$2015,"&lt;"&amp;G105))</f>
        <v/>
      </c>
      <c r="I104" s="14" t="n"/>
      <c r="J104" s="16" t="n"/>
      <c r="K104" s="124">
        <f>IF(J104="","",COUNTIFS($C$18:$C$2015,J$13,$D$18:$D$2015,"&gt;="&amp;J104,$D$18:$D$2015,"&lt;"&amp;J105))</f>
        <v/>
      </c>
      <c r="L104" s="14" t="n"/>
      <c r="M104" s="16" t="n"/>
      <c r="N104" s="124">
        <f>IF(M104="","",COUNTIFS($C$18:$C$2015,M$13,$D$18:$D$2015,"&gt;="&amp;M104,$D$18:$D$2015,"&lt;"&amp;M105))</f>
        <v/>
      </c>
      <c r="O104" s="14" t="n"/>
      <c r="P104" s="16" t="n"/>
      <c r="Q104" s="124">
        <f>IF(P104="","",COUNTIFS($C$18:$C$2015,P$13,$D$18:$D$2015,"&gt;="&amp;P104,$D$18:$D$2015,"&lt;"&amp;P105))</f>
        <v/>
      </c>
      <c r="R104" s="14" t="n"/>
      <c r="S104" s="16" t="n"/>
      <c r="T104" s="124">
        <f>IF(S104="","",COUNTIFS($C$18:$C$2015,S$13,$D$18:$D$2015,"&gt;="&amp;S104,$D$18:$D$2015,"&lt;"&amp;S105))</f>
        <v/>
      </c>
      <c r="U104" s="14" t="n"/>
      <c r="V104" s="16" t="n"/>
      <c r="W104" s="124">
        <f>IF(V104="","",COUNTIFS($C$18:$C$2015,V$13,$D$18:$D$2015,"&gt;="&amp;V104,$D$18:$D$2015,"&lt;"&amp;V105))</f>
        <v/>
      </c>
      <c r="X104" s="14" t="n"/>
      <c r="Y104" s="16" t="n"/>
      <c r="Z104" s="124">
        <f>IF(Y104="","",COUNTIFS($C$18:$C$2015,Y$13,$D$18:$D$2015,"&gt;="&amp;Y104,$D$18:$D$2015,"&lt;"&amp;Y105))</f>
        <v/>
      </c>
      <c r="AA104" s="14" t="n"/>
      <c r="AB104" s="16" t="n"/>
      <c r="AC104" s="124">
        <f>IF(AB104="","",COUNTIFS($C$18:$C$2015,AB$13,$D$18:$D$2015,"&gt;="&amp;AB104,$D$18:$D$2015,"&lt;"&amp;AB105))</f>
        <v/>
      </c>
      <c r="AD104" s="14" t="n"/>
    </row>
    <row r="105">
      <c r="A105" s="58" t="n"/>
      <c r="B105" s="59" t="n"/>
      <c r="C105" s="59" t="n"/>
      <c r="E105" s="16" t="n"/>
      <c r="F105" s="13" t="n"/>
      <c r="G105" s="16" t="n"/>
      <c r="H105" s="124">
        <f>IF(G105="","",COUNTIFS($C$18:$C$2015,G$13,$D$18:$D$2015,"&gt;="&amp;G105,$D$18:$D$2015,"&lt;"&amp;G106))</f>
        <v/>
      </c>
      <c r="I105" s="14" t="n"/>
      <c r="J105" s="16" t="n"/>
      <c r="K105" s="124">
        <f>IF(J105="","",COUNTIFS($C$18:$C$2015,J$13,$D$18:$D$2015,"&gt;="&amp;J105,$D$18:$D$2015,"&lt;"&amp;J106))</f>
        <v/>
      </c>
      <c r="L105" s="14" t="n"/>
      <c r="M105" s="16" t="n"/>
      <c r="N105" s="124">
        <f>IF(M105="","",COUNTIFS($C$18:$C$2015,M$13,$D$18:$D$2015,"&gt;="&amp;M105,$D$18:$D$2015,"&lt;"&amp;M106))</f>
        <v/>
      </c>
      <c r="O105" s="14" t="n"/>
      <c r="P105" s="16" t="n"/>
      <c r="Q105" s="124">
        <f>IF(P105="","",COUNTIFS($C$18:$C$2015,P$13,$D$18:$D$2015,"&gt;="&amp;P105,$D$18:$D$2015,"&lt;"&amp;P106))</f>
        <v/>
      </c>
      <c r="R105" s="14" t="n"/>
      <c r="S105" s="16" t="n"/>
      <c r="T105" s="124">
        <f>IF(S105="","",COUNTIFS($C$18:$C$2015,S$13,$D$18:$D$2015,"&gt;="&amp;S105,$D$18:$D$2015,"&lt;"&amp;S106))</f>
        <v/>
      </c>
      <c r="U105" s="14" t="n"/>
      <c r="V105" s="16" t="n"/>
      <c r="W105" s="124">
        <f>IF(V105="","",COUNTIFS($C$18:$C$2015,V$13,$D$18:$D$2015,"&gt;="&amp;V105,$D$18:$D$2015,"&lt;"&amp;V106))</f>
        <v/>
      </c>
      <c r="X105" s="14" t="n"/>
      <c r="Y105" s="16" t="n"/>
      <c r="Z105" s="124">
        <f>IF(Y105="","",COUNTIFS($C$18:$C$2015,Y$13,$D$18:$D$2015,"&gt;="&amp;Y105,$D$18:$D$2015,"&lt;"&amp;Y106))</f>
        <v/>
      </c>
      <c r="AA105" s="14" t="n"/>
      <c r="AB105" s="16" t="n"/>
      <c r="AC105" s="124">
        <f>IF(AB105="","",COUNTIFS($C$18:$C$2015,AB$13,$D$18:$D$2015,"&gt;="&amp;AB105,$D$18:$D$2015,"&lt;"&amp;AB106))</f>
        <v/>
      </c>
      <c r="AD105" s="14" t="n"/>
    </row>
    <row r="106">
      <c r="A106" s="56" t="n"/>
      <c r="B106" s="57" t="n"/>
      <c r="C106" s="59" t="n"/>
      <c r="E106" s="16" t="n"/>
      <c r="F106" s="13" t="n"/>
      <c r="G106" s="16" t="n"/>
      <c r="H106" s="124">
        <f>IF(G106="","",COUNTIFS($C$18:$C$2015,G$13,$D$18:$D$2015,"&gt;="&amp;G106,$D$18:$D$2015,"&lt;"&amp;G107))</f>
        <v/>
      </c>
      <c r="I106" s="14" t="n"/>
      <c r="J106" s="16" t="n"/>
      <c r="K106" s="124">
        <f>IF(J106="","",COUNTIFS($C$18:$C$2015,J$13,$D$18:$D$2015,"&gt;="&amp;J106,$D$18:$D$2015,"&lt;"&amp;J107))</f>
        <v/>
      </c>
      <c r="L106" s="14" t="n"/>
      <c r="M106" s="16" t="n"/>
      <c r="N106" s="124">
        <f>IF(M106="","",COUNTIFS($C$18:$C$2015,M$13,$D$18:$D$2015,"&gt;="&amp;M106,$D$18:$D$2015,"&lt;"&amp;M107))</f>
        <v/>
      </c>
      <c r="O106" s="14" t="n"/>
      <c r="P106" s="16" t="n"/>
      <c r="Q106" s="124">
        <f>IF(P106="","",COUNTIFS($C$18:$C$2015,P$13,$D$18:$D$2015,"&gt;="&amp;P106,$D$18:$D$2015,"&lt;"&amp;P107))</f>
        <v/>
      </c>
      <c r="R106" s="14" t="n"/>
      <c r="S106" s="16" t="n"/>
      <c r="T106" s="124">
        <f>IF(S106="","",COUNTIFS($C$18:$C$2015,S$13,$D$18:$D$2015,"&gt;="&amp;S106,$D$18:$D$2015,"&lt;"&amp;S107))</f>
        <v/>
      </c>
      <c r="U106" s="14" t="n"/>
      <c r="V106" s="16" t="n"/>
      <c r="W106" s="124">
        <f>IF(V106="","",COUNTIFS($C$18:$C$2015,V$13,$D$18:$D$2015,"&gt;="&amp;V106,$D$18:$D$2015,"&lt;"&amp;V107))</f>
        <v/>
      </c>
      <c r="X106" s="14" t="n"/>
      <c r="Y106" s="16" t="n"/>
      <c r="Z106" s="124">
        <f>IF(Y106="","",COUNTIFS($C$18:$C$2015,Y$13,$D$18:$D$2015,"&gt;="&amp;Y106,$D$18:$D$2015,"&lt;"&amp;Y107))</f>
        <v/>
      </c>
      <c r="AA106" s="14" t="n"/>
      <c r="AB106" s="16" t="n"/>
      <c r="AC106" s="124">
        <f>IF(AB106="","",COUNTIFS($C$18:$C$2015,AB$13,$D$18:$D$2015,"&gt;="&amp;AB106,$D$18:$D$2015,"&lt;"&amp;AB107))</f>
        <v/>
      </c>
      <c r="AD106" s="14" t="n"/>
    </row>
    <row r="107">
      <c r="A107" s="58" t="n"/>
      <c r="B107" s="59" t="n"/>
      <c r="C107" s="59" t="n"/>
      <c r="E107" s="16" t="n"/>
      <c r="F107" s="13" t="n"/>
      <c r="G107" s="16" t="n"/>
      <c r="H107" s="124">
        <f>IF(G107="","",COUNTIFS($C$18:$C$2015,G$13,$D$18:$D$2015,"&gt;="&amp;G107,$D$18:$D$2015,"&lt;"&amp;G108))</f>
        <v/>
      </c>
      <c r="I107" s="14" t="n"/>
      <c r="J107" s="16" t="n"/>
      <c r="K107" s="124">
        <f>IF(J107="","",COUNTIFS($C$18:$C$2015,J$13,$D$18:$D$2015,"&gt;="&amp;J107,$D$18:$D$2015,"&lt;"&amp;J108))</f>
        <v/>
      </c>
      <c r="L107" s="14" t="n"/>
      <c r="M107" s="16" t="n"/>
      <c r="N107" s="124">
        <f>IF(M107="","",COUNTIFS($C$18:$C$2015,M$13,$D$18:$D$2015,"&gt;="&amp;M107,$D$18:$D$2015,"&lt;"&amp;M108))</f>
        <v/>
      </c>
      <c r="O107" s="14" t="n"/>
      <c r="P107" s="16" t="n"/>
      <c r="Q107" s="124">
        <f>IF(P107="","",COUNTIFS($C$18:$C$2015,P$13,$D$18:$D$2015,"&gt;="&amp;P107,$D$18:$D$2015,"&lt;"&amp;P108))</f>
        <v/>
      </c>
      <c r="R107" s="14" t="n"/>
      <c r="S107" s="16" t="n"/>
      <c r="T107" s="124">
        <f>IF(S107="","",COUNTIFS($C$18:$C$2015,S$13,$D$18:$D$2015,"&gt;="&amp;S107,$D$18:$D$2015,"&lt;"&amp;S108))</f>
        <v/>
      </c>
      <c r="U107" s="14" t="n"/>
      <c r="V107" s="16" t="n"/>
      <c r="W107" s="124">
        <f>IF(V107="","",COUNTIFS($C$18:$C$2015,V$13,$D$18:$D$2015,"&gt;="&amp;V107,$D$18:$D$2015,"&lt;"&amp;V108))</f>
        <v/>
      </c>
      <c r="X107" s="14" t="n"/>
      <c r="Y107" s="16" t="n"/>
      <c r="Z107" s="124">
        <f>IF(Y107="","",COUNTIFS($C$18:$C$2015,Y$13,$D$18:$D$2015,"&gt;="&amp;Y107,$D$18:$D$2015,"&lt;"&amp;Y108))</f>
        <v/>
      </c>
      <c r="AA107" s="14" t="n"/>
      <c r="AB107" s="16" t="n"/>
      <c r="AC107" s="124">
        <f>IF(AB107="","",COUNTIFS($C$18:$C$2015,AB$13,$D$18:$D$2015,"&gt;="&amp;AB107,$D$18:$D$2015,"&lt;"&amp;AB108))</f>
        <v/>
      </c>
      <c r="AD107" s="14" t="n"/>
    </row>
    <row r="108">
      <c r="A108" s="56" t="n"/>
      <c r="B108" s="57" t="n"/>
      <c r="C108" s="59" t="n"/>
      <c r="E108" s="16" t="n"/>
      <c r="F108" s="13" t="n"/>
      <c r="G108" s="16" t="n"/>
      <c r="H108" s="124">
        <f>IF(G108="","",COUNTIFS($C$18:$C$2015,G$13,$D$18:$D$2015,"&gt;="&amp;G108,$D$18:$D$2015,"&lt;"&amp;G109))</f>
        <v/>
      </c>
      <c r="I108" s="14" t="n"/>
      <c r="J108" s="16" t="n"/>
      <c r="K108" s="124">
        <f>IF(J108="","",COUNTIFS($C$18:$C$2015,J$13,$D$18:$D$2015,"&gt;="&amp;J108,$D$18:$D$2015,"&lt;"&amp;J109))</f>
        <v/>
      </c>
      <c r="L108" s="14" t="n"/>
      <c r="M108" s="16" t="n"/>
      <c r="N108" s="124">
        <f>IF(M108="","",COUNTIFS($C$18:$C$2015,M$13,$D$18:$D$2015,"&gt;="&amp;M108,$D$18:$D$2015,"&lt;"&amp;M109))</f>
        <v/>
      </c>
      <c r="O108" s="14" t="n"/>
      <c r="P108" s="16" t="n"/>
      <c r="Q108" s="124">
        <f>IF(P108="","",COUNTIFS($C$18:$C$2015,P$13,$D$18:$D$2015,"&gt;="&amp;P108,$D$18:$D$2015,"&lt;"&amp;P109))</f>
        <v/>
      </c>
      <c r="R108" s="14" t="n"/>
      <c r="S108" s="16" t="n"/>
      <c r="T108" s="124">
        <f>IF(S108="","",COUNTIFS($C$18:$C$2015,S$13,$D$18:$D$2015,"&gt;="&amp;S108,$D$18:$D$2015,"&lt;"&amp;S109))</f>
        <v/>
      </c>
      <c r="U108" s="14" t="n"/>
      <c r="V108" s="16" t="n"/>
      <c r="W108" s="124">
        <f>IF(V108="","",COUNTIFS($C$18:$C$2015,V$13,$D$18:$D$2015,"&gt;="&amp;V108,$D$18:$D$2015,"&lt;"&amp;V109))</f>
        <v/>
      </c>
      <c r="X108" s="14" t="n"/>
      <c r="Y108" s="16" t="n"/>
      <c r="Z108" s="124">
        <f>IF(Y108="","",COUNTIFS($C$18:$C$2015,Y$13,$D$18:$D$2015,"&gt;="&amp;Y108,$D$18:$D$2015,"&lt;"&amp;Y109))</f>
        <v/>
      </c>
      <c r="AA108" s="14" t="n"/>
      <c r="AB108" s="16" t="n"/>
      <c r="AC108" s="124">
        <f>IF(AB108="","",COUNTIFS($C$18:$C$2015,AB$13,$D$18:$D$2015,"&gt;="&amp;AB108,$D$18:$D$2015,"&lt;"&amp;AB109))</f>
        <v/>
      </c>
      <c r="AD108" s="14" t="n"/>
    </row>
    <row r="109">
      <c r="A109" s="58" t="n"/>
      <c r="B109" s="59" t="n"/>
      <c r="C109" s="59" t="n"/>
      <c r="E109" s="16" t="n"/>
      <c r="F109" s="13" t="n"/>
      <c r="G109" s="16" t="n"/>
      <c r="H109" s="124">
        <f>IF(G109="","",COUNTIFS($C$18:$C$2015,G$13,$D$18:$D$2015,"&gt;="&amp;G109,$D$18:$D$2015,"&lt;"&amp;G110))</f>
        <v/>
      </c>
      <c r="I109" s="14" t="n"/>
      <c r="J109" s="16" t="n"/>
      <c r="K109" s="124">
        <f>IF(J109="","",COUNTIFS($C$18:$C$2015,J$13,$D$18:$D$2015,"&gt;="&amp;J109,$D$18:$D$2015,"&lt;"&amp;J110))</f>
        <v/>
      </c>
      <c r="L109" s="14" t="n"/>
      <c r="M109" s="16" t="n"/>
      <c r="N109" s="124">
        <f>IF(M109="","",COUNTIFS($C$18:$C$2015,M$13,$D$18:$D$2015,"&gt;="&amp;M109,$D$18:$D$2015,"&lt;"&amp;M110))</f>
        <v/>
      </c>
      <c r="O109" s="14" t="n"/>
      <c r="P109" s="16" t="n"/>
      <c r="Q109" s="124">
        <f>IF(P109="","",COUNTIFS($C$18:$C$2015,P$13,$D$18:$D$2015,"&gt;="&amp;P109,$D$18:$D$2015,"&lt;"&amp;P110))</f>
        <v/>
      </c>
      <c r="R109" s="14" t="n"/>
      <c r="S109" s="16" t="n"/>
      <c r="T109" s="124">
        <f>IF(S109="","",COUNTIFS($C$18:$C$2015,S$13,$D$18:$D$2015,"&gt;="&amp;S109,$D$18:$D$2015,"&lt;"&amp;S110))</f>
        <v/>
      </c>
      <c r="U109" s="14" t="n"/>
      <c r="V109" s="16" t="n"/>
      <c r="W109" s="124">
        <f>IF(V109="","",COUNTIFS($C$18:$C$2015,V$13,$D$18:$D$2015,"&gt;="&amp;V109,$D$18:$D$2015,"&lt;"&amp;V110))</f>
        <v/>
      </c>
      <c r="X109" s="14" t="n"/>
      <c r="Y109" s="16" t="n"/>
      <c r="Z109" s="124">
        <f>IF(Y109="","",COUNTIFS($C$18:$C$2015,Y$13,$D$18:$D$2015,"&gt;="&amp;Y109,$D$18:$D$2015,"&lt;"&amp;Y110))</f>
        <v/>
      </c>
      <c r="AA109" s="14" t="n"/>
      <c r="AB109" s="16" t="n"/>
      <c r="AC109" s="124">
        <f>IF(AB109="","",COUNTIFS($C$18:$C$2015,AB$13,$D$18:$D$2015,"&gt;="&amp;AB109,$D$18:$D$2015,"&lt;"&amp;AB110))</f>
        <v/>
      </c>
      <c r="AD109" s="14" t="n"/>
    </row>
    <row r="110">
      <c r="A110" s="56" t="n"/>
      <c r="B110" s="57" t="n"/>
      <c r="C110" s="59" t="n"/>
      <c r="E110" s="16" t="n"/>
      <c r="F110" s="13" t="n"/>
      <c r="G110" s="16" t="n"/>
      <c r="H110" s="124">
        <f>IF(G110="","",COUNTIFS($C$18:$C$2015,G$13,$D$18:$D$2015,"&gt;="&amp;G110,$D$18:$D$2015,"&lt;"&amp;G111))</f>
        <v/>
      </c>
      <c r="I110" s="14" t="n"/>
      <c r="J110" s="16" t="n"/>
      <c r="K110" s="124">
        <f>IF(J110="","",COUNTIFS($C$18:$C$2015,J$13,$D$18:$D$2015,"&gt;="&amp;J110,$D$18:$D$2015,"&lt;"&amp;J111))</f>
        <v/>
      </c>
      <c r="L110" s="14" t="n"/>
      <c r="M110" s="16" t="n"/>
      <c r="N110" s="124">
        <f>IF(M110="","",COUNTIFS($C$18:$C$2015,M$13,$D$18:$D$2015,"&gt;="&amp;M110,$D$18:$D$2015,"&lt;"&amp;M111))</f>
        <v/>
      </c>
      <c r="O110" s="14" t="n"/>
      <c r="P110" s="16" t="n"/>
      <c r="Q110" s="124">
        <f>IF(P110="","",COUNTIFS($C$18:$C$2015,P$13,$D$18:$D$2015,"&gt;="&amp;P110,$D$18:$D$2015,"&lt;"&amp;P111))</f>
        <v/>
      </c>
      <c r="R110" s="14" t="n"/>
      <c r="S110" s="16" t="n"/>
      <c r="T110" s="124">
        <f>IF(S110="","",COUNTIFS($C$18:$C$2015,S$13,$D$18:$D$2015,"&gt;="&amp;S110,$D$18:$D$2015,"&lt;"&amp;S111))</f>
        <v/>
      </c>
      <c r="U110" s="14" t="n"/>
      <c r="V110" s="16" t="n"/>
      <c r="W110" s="124">
        <f>IF(V110="","",COUNTIFS($C$18:$C$2015,V$13,$D$18:$D$2015,"&gt;="&amp;V110,$D$18:$D$2015,"&lt;"&amp;V111))</f>
        <v/>
      </c>
      <c r="X110" s="14" t="n"/>
      <c r="Y110" s="16" t="n"/>
      <c r="Z110" s="124">
        <f>IF(Y110="","",COUNTIFS($C$18:$C$2015,Y$13,$D$18:$D$2015,"&gt;="&amp;Y110,$D$18:$D$2015,"&lt;"&amp;Y111))</f>
        <v/>
      </c>
      <c r="AA110" s="14" t="n"/>
      <c r="AB110" s="16" t="n"/>
      <c r="AC110" s="124">
        <f>IF(AB110="","",COUNTIFS($C$18:$C$2015,AB$13,$D$18:$D$2015,"&gt;="&amp;AB110,$D$18:$D$2015,"&lt;"&amp;AB111))</f>
        <v/>
      </c>
      <c r="AD110" s="14" t="n"/>
    </row>
    <row r="111">
      <c r="A111" s="58" t="n"/>
      <c r="B111" s="59" t="n"/>
      <c r="C111" s="59" t="n"/>
      <c r="E111" s="16" t="n"/>
      <c r="F111" s="13" t="n"/>
      <c r="G111" s="16" t="n"/>
      <c r="H111" s="124">
        <f>IF(G111="","",COUNTIFS($C$18:$C$2015,G$13,$D$18:$D$2015,"&gt;="&amp;G111,$D$18:$D$2015,"&lt;"&amp;G112))</f>
        <v/>
      </c>
      <c r="I111" s="14" t="n"/>
      <c r="J111" s="16" t="n"/>
      <c r="K111" s="124">
        <f>IF(J111="","",COUNTIFS($C$18:$C$2015,J$13,$D$18:$D$2015,"&gt;="&amp;J111,$D$18:$D$2015,"&lt;"&amp;J112))</f>
        <v/>
      </c>
      <c r="L111" s="14" t="n"/>
      <c r="M111" s="16" t="n"/>
      <c r="N111" s="124">
        <f>IF(M111="","",COUNTIFS($C$18:$C$2015,M$13,$D$18:$D$2015,"&gt;="&amp;M111,$D$18:$D$2015,"&lt;"&amp;M112))</f>
        <v/>
      </c>
      <c r="O111" s="14" t="n"/>
      <c r="P111" s="16" t="n"/>
      <c r="Q111" s="124">
        <f>IF(P111="","",COUNTIFS($C$18:$C$2015,P$13,$D$18:$D$2015,"&gt;="&amp;P111,$D$18:$D$2015,"&lt;"&amp;P112))</f>
        <v/>
      </c>
      <c r="R111" s="14" t="n"/>
      <c r="S111" s="16" t="n"/>
      <c r="T111" s="124">
        <f>IF(S111="","",COUNTIFS($C$18:$C$2015,S$13,$D$18:$D$2015,"&gt;="&amp;S111,$D$18:$D$2015,"&lt;"&amp;S112))</f>
        <v/>
      </c>
      <c r="U111" s="14" t="n"/>
      <c r="V111" s="16" t="n"/>
      <c r="W111" s="124">
        <f>IF(V111="","",COUNTIFS($C$18:$C$2015,V$13,$D$18:$D$2015,"&gt;="&amp;V111,$D$18:$D$2015,"&lt;"&amp;V112))</f>
        <v/>
      </c>
      <c r="X111" s="14" t="n"/>
      <c r="Y111" s="16" t="n"/>
      <c r="Z111" s="124">
        <f>IF(Y111="","",COUNTIFS($C$18:$C$2015,Y$13,$D$18:$D$2015,"&gt;="&amp;Y111,$D$18:$D$2015,"&lt;"&amp;Y112))</f>
        <v/>
      </c>
      <c r="AA111" s="14" t="n"/>
      <c r="AB111" s="16" t="n"/>
      <c r="AC111" s="124">
        <f>IF(AB111="","",COUNTIFS($C$18:$C$2015,AB$13,$D$18:$D$2015,"&gt;="&amp;AB111,$D$18:$D$2015,"&lt;"&amp;AB112))</f>
        <v/>
      </c>
      <c r="AD111" s="14" t="n"/>
    </row>
    <row r="112">
      <c r="A112" s="56" t="n"/>
      <c r="B112" s="57" t="n"/>
      <c r="C112" s="59" t="n"/>
      <c r="E112" s="16" t="n"/>
      <c r="F112" s="13" t="n"/>
      <c r="G112" s="16" t="n"/>
      <c r="H112" s="124">
        <f>IF(G112="","",COUNTIFS($C$18:$C$2015,G$13,$D$18:$D$2015,"&gt;="&amp;G112,$D$18:$D$2015,"&lt;"&amp;G113))</f>
        <v/>
      </c>
      <c r="I112" s="14" t="n"/>
      <c r="J112" s="16" t="n"/>
      <c r="K112" s="124">
        <f>IF(J112="","",COUNTIFS($C$18:$C$2015,J$13,$D$18:$D$2015,"&gt;="&amp;J112,$D$18:$D$2015,"&lt;"&amp;J113))</f>
        <v/>
      </c>
      <c r="L112" s="14" t="n"/>
      <c r="M112" s="16" t="n"/>
      <c r="N112" s="124">
        <f>IF(M112="","",COUNTIFS($C$18:$C$2015,M$13,$D$18:$D$2015,"&gt;="&amp;M112,$D$18:$D$2015,"&lt;"&amp;M113))</f>
        <v/>
      </c>
      <c r="O112" s="14" t="n"/>
      <c r="P112" s="16" t="n"/>
      <c r="Q112" s="124">
        <f>IF(P112="","",COUNTIFS($C$18:$C$2015,P$13,$D$18:$D$2015,"&gt;="&amp;P112,$D$18:$D$2015,"&lt;"&amp;P113))</f>
        <v/>
      </c>
      <c r="R112" s="14" t="n"/>
      <c r="S112" s="16" t="n"/>
      <c r="T112" s="124">
        <f>IF(S112="","",COUNTIFS($C$18:$C$2015,S$13,$D$18:$D$2015,"&gt;="&amp;S112,$D$18:$D$2015,"&lt;"&amp;S113))</f>
        <v/>
      </c>
      <c r="U112" s="14" t="n"/>
      <c r="V112" s="16" t="n"/>
      <c r="W112" s="124">
        <f>IF(V112="","",COUNTIFS($C$18:$C$2015,V$13,$D$18:$D$2015,"&gt;="&amp;V112,$D$18:$D$2015,"&lt;"&amp;V113))</f>
        <v/>
      </c>
      <c r="X112" s="14" t="n"/>
      <c r="Y112" s="16" t="n"/>
      <c r="Z112" s="124">
        <f>IF(Y112="","",COUNTIFS($C$18:$C$2015,Y$13,$D$18:$D$2015,"&gt;="&amp;Y112,$D$18:$D$2015,"&lt;"&amp;Y113))</f>
        <v/>
      </c>
      <c r="AA112" s="14" t="n"/>
      <c r="AB112" s="16" t="n"/>
      <c r="AC112" s="124">
        <f>IF(AB112="","",COUNTIFS($C$18:$C$2015,AB$13,$D$18:$D$2015,"&gt;="&amp;AB112,$D$18:$D$2015,"&lt;"&amp;AB113))</f>
        <v/>
      </c>
      <c r="AD112" s="14" t="n"/>
    </row>
    <row r="113">
      <c r="A113" s="58" t="n"/>
      <c r="B113" s="59" t="n"/>
      <c r="C113" s="59" t="n"/>
      <c r="E113" s="16" t="n"/>
      <c r="F113" s="13" t="n"/>
      <c r="G113" s="16" t="n"/>
      <c r="H113" s="124">
        <f>IF(G113="","",COUNTIFS($C$18:$C$2015,G$13,$D$18:$D$2015,"&gt;="&amp;G113,$D$18:$D$2015,"&lt;"&amp;G114))</f>
        <v/>
      </c>
      <c r="I113" s="14" t="n"/>
      <c r="J113" s="16" t="n"/>
      <c r="K113" s="124">
        <f>IF(J113="","",COUNTIFS($C$18:$C$2015,J$13,$D$18:$D$2015,"&gt;="&amp;J113,$D$18:$D$2015,"&lt;"&amp;J114))</f>
        <v/>
      </c>
      <c r="L113" s="14" t="n"/>
      <c r="M113" s="16" t="n"/>
      <c r="N113" s="124">
        <f>IF(M113="","",COUNTIFS($C$18:$C$2015,M$13,$D$18:$D$2015,"&gt;="&amp;M113,$D$18:$D$2015,"&lt;"&amp;M114))</f>
        <v/>
      </c>
      <c r="O113" s="14" t="n"/>
      <c r="P113" s="16" t="n"/>
      <c r="Q113" s="124">
        <f>IF(P113="","",COUNTIFS($C$18:$C$2015,P$13,$D$18:$D$2015,"&gt;="&amp;P113,$D$18:$D$2015,"&lt;"&amp;P114))</f>
        <v/>
      </c>
      <c r="R113" s="14" t="n"/>
      <c r="S113" s="16" t="n"/>
      <c r="T113" s="124">
        <f>IF(S113="","",COUNTIFS($C$18:$C$2015,S$13,$D$18:$D$2015,"&gt;="&amp;S113,$D$18:$D$2015,"&lt;"&amp;S114))</f>
        <v/>
      </c>
      <c r="U113" s="14" t="n"/>
      <c r="V113" s="16" t="n"/>
      <c r="W113" s="124">
        <f>IF(V113="","",COUNTIFS($C$18:$C$2015,V$13,$D$18:$D$2015,"&gt;="&amp;V113,$D$18:$D$2015,"&lt;"&amp;V114))</f>
        <v/>
      </c>
      <c r="X113" s="14" t="n"/>
      <c r="Y113" s="16" t="n"/>
      <c r="Z113" s="124">
        <f>IF(Y113="","",COUNTIFS($C$18:$C$2015,Y$13,$D$18:$D$2015,"&gt;="&amp;Y113,$D$18:$D$2015,"&lt;"&amp;Y114))</f>
        <v/>
      </c>
      <c r="AA113" s="14" t="n"/>
      <c r="AB113" s="16" t="n"/>
      <c r="AC113" s="124">
        <f>IF(AB113="","",COUNTIFS($C$18:$C$2015,AB$13,$D$18:$D$2015,"&gt;="&amp;AB113,$D$18:$D$2015,"&lt;"&amp;AB114))</f>
        <v/>
      </c>
      <c r="AD113" s="14" t="n"/>
    </row>
    <row r="114">
      <c r="A114" s="56" t="n"/>
      <c r="B114" s="57" t="n"/>
      <c r="C114" s="59" t="n"/>
      <c r="E114" s="16" t="n"/>
      <c r="F114" s="13" t="n"/>
      <c r="G114" s="16" t="n"/>
      <c r="H114" s="124">
        <f>IF(G114="","",COUNTIFS($C$18:$C$2015,G$13,$D$18:$D$2015,"&gt;="&amp;G114,$D$18:$D$2015,"&lt;"&amp;G115))</f>
        <v/>
      </c>
      <c r="I114" s="14" t="n"/>
      <c r="J114" s="16" t="n"/>
      <c r="K114" s="124">
        <f>IF(J114="","",COUNTIFS($C$18:$C$2015,J$13,$D$18:$D$2015,"&gt;="&amp;J114,$D$18:$D$2015,"&lt;"&amp;J115))</f>
        <v/>
      </c>
      <c r="L114" s="14" t="n"/>
      <c r="M114" s="16" t="n"/>
      <c r="N114" s="124">
        <f>IF(M114="","",COUNTIFS($C$18:$C$2015,M$13,$D$18:$D$2015,"&gt;="&amp;M114,$D$18:$D$2015,"&lt;"&amp;M115))</f>
        <v/>
      </c>
      <c r="O114" s="14" t="n"/>
      <c r="P114" s="16" t="n"/>
      <c r="Q114" s="124">
        <f>IF(P114="","",COUNTIFS($C$18:$C$2015,P$13,$D$18:$D$2015,"&gt;="&amp;P114,$D$18:$D$2015,"&lt;"&amp;P115))</f>
        <v/>
      </c>
      <c r="R114" s="14" t="n"/>
      <c r="S114" s="16" t="n"/>
      <c r="T114" s="124">
        <f>IF(S114="","",COUNTIFS($C$18:$C$2015,S$13,$D$18:$D$2015,"&gt;="&amp;S114,$D$18:$D$2015,"&lt;"&amp;S115))</f>
        <v/>
      </c>
      <c r="U114" s="14" t="n"/>
      <c r="V114" s="16" t="n"/>
      <c r="W114" s="124">
        <f>IF(V114="","",COUNTIFS($C$18:$C$2015,V$13,$D$18:$D$2015,"&gt;="&amp;V114,$D$18:$D$2015,"&lt;"&amp;V115))</f>
        <v/>
      </c>
      <c r="X114" s="14" t="n"/>
      <c r="Y114" s="16" t="n"/>
      <c r="Z114" s="124">
        <f>IF(Y114="","",COUNTIFS($C$18:$C$2015,Y$13,$D$18:$D$2015,"&gt;="&amp;Y114,$D$18:$D$2015,"&lt;"&amp;Y115))</f>
        <v/>
      </c>
      <c r="AA114" s="14" t="n"/>
      <c r="AB114" s="16" t="n"/>
      <c r="AC114" s="124">
        <f>IF(AB114="","",COUNTIFS($C$18:$C$2015,AB$13,$D$18:$D$2015,"&gt;="&amp;AB114,$D$18:$D$2015,"&lt;"&amp;AB115))</f>
        <v/>
      </c>
      <c r="AD114" s="14" t="n"/>
    </row>
    <row r="115">
      <c r="A115" s="58" t="n"/>
      <c r="B115" s="59" t="n"/>
      <c r="C115" s="59" t="n"/>
      <c r="E115" s="16" t="n"/>
      <c r="F115" s="13" t="n"/>
      <c r="G115" s="16" t="n"/>
      <c r="H115" s="124">
        <f>IF(G115="","",COUNTIFS($C$18:$C$2015,G$13,$D$18:$D$2015,"&gt;="&amp;G115,$D$18:$D$2015,"&lt;"&amp;G116))</f>
        <v/>
      </c>
      <c r="I115" s="14" t="n"/>
      <c r="J115" s="16" t="n"/>
      <c r="K115" s="124">
        <f>IF(J115="","",COUNTIFS($C$18:$C$2015,J$13,$D$18:$D$2015,"&gt;="&amp;J115,$D$18:$D$2015,"&lt;"&amp;J116))</f>
        <v/>
      </c>
      <c r="L115" s="14" t="n"/>
      <c r="M115" s="16" t="n"/>
      <c r="N115" s="124">
        <f>IF(M115="","",COUNTIFS($C$18:$C$2015,M$13,$D$18:$D$2015,"&gt;="&amp;M115,$D$18:$D$2015,"&lt;"&amp;M116))</f>
        <v/>
      </c>
      <c r="O115" s="14" t="n"/>
      <c r="P115" s="16" t="n"/>
      <c r="Q115" s="124">
        <f>IF(P115="","",COUNTIFS($C$18:$C$2015,P$13,$D$18:$D$2015,"&gt;="&amp;P115,$D$18:$D$2015,"&lt;"&amp;P116))</f>
        <v/>
      </c>
      <c r="R115" s="14" t="n"/>
      <c r="S115" s="16" t="n"/>
      <c r="T115" s="124">
        <f>IF(S115="","",COUNTIFS($C$18:$C$2015,S$13,$D$18:$D$2015,"&gt;="&amp;S115,$D$18:$D$2015,"&lt;"&amp;S116))</f>
        <v/>
      </c>
      <c r="U115" s="14" t="n"/>
      <c r="V115" s="16" t="n"/>
      <c r="W115" s="124">
        <f>IF(V115="","",COUNTIFS($C$18:$C$2015,V$13,$D$18:$D$2015,"&gt;="&amp;V115,$D$18:$D$2015,"&lt;"&amp;V116))</f>
        <v/>
      </c>
      <c r="X115" s="14" t="n"/>
      <c r="Y115" s="16" t="n"/>
      <c r="Z115" s="124">
        <f>IF(Y115="","",COUNTIFS($C$18:$C$2015,Y$13,$D$18:$D$2015,"&gt;="&amp;Y115,$D$18:$D$2015,"&lt;"&amp;Y116))</f>
        <v/>
      </c>
      <c r="AA115" s="14" t="n"/>
      <c r="AB115" s="16" t="n"/>
      <c r="AC115" s="124">
        <f>IF(AB115="","",COUNTIFS($C$18:$C$2015,AB$13,$D$18:$D$2015,"&gt;="&amp;AB115,$D$18:$D$2015,"&lt;"&amp;AB116))</f>
        <v/>
      </c>
      <c r="AD115" s="14" t="n"/>
    </row>
    <row r="116">
      <c r="A116" s="56" t="n"/>
      <c r="B116" s="57" t="n"/>
      <c r="C116" s="59" t="n"/>
      <c r="E116" s="16" t="n"/>
      <c r="F116" s="13" t="n"/>
      <c r="G116" s="16" t="n"/>
      <c r="H116" s="124">
        <f>IF(G116="","",COUNTIFS($C$18:$C$2015,G$13,$D$18:$D$2015,"&gt;="&amp;G116,$D$18:$D$2015,"&lt;"&amp;G117))</f>
        <v/>
      </c>
      <c r="I116" s="14" t="n"/>
      <c r="J116" s="16" t="n"/>
      <c r="K116" s="124">
        <f>IF(J116="","",COUNTIFS($C$18:$C$2015,J$13,$D$18:$D$2015,"&gt;="&amp;J116,$D$18:$D$2015,"&lt;"&amp;J117))</f>
        <v/>
      </c>
      <c r="L116" s="14" t="n"/>
      <c r="M116" s="16" t="n"/>
      <c r="N116" s="124">
        <f>IF(M116="","",COUNTIFS($C$18:$C$2015,M$13,$D$18:$D$2015,"&gt;="&amp;M116,$D$18:$D$2015,"&lt;"&amp;M117))</f>
        <v/>
      </c>
      <c r="O116" s="14" t="n"/>
      <c r="P116" s="16" t="n"/>
      <c r="Q116" s="124">
        <f>IF(P116="","",COUNTIFS($C$18:$C$2015,P$13,$D$18:$D$2015,"&gt;="&amp;P116,$D$18:$D$2015,"&lt;"&amp;P117))</f>
        <v/>
      </c>
      <c r="R116" s="14" t="n"/>
      <c r="S116" s="16" t="n"/>
      <c r="T116" s="124">
        <f>IF(S116="","",COUNTIFS($C$18:$C$2015,S$13,$D$18:$D$2015,"&gt;="&amp;S116,$D$18:$D$2015,"&lt;"&amp;S117))</f>
        <v/>
      </c>
      <c r="U116" s="14" t="n"/>
      <c r="V116" s="16" t="n"/>
      <c r="W116" s="124">
        <f>IF(V116="","",COUNTIFS($C$18:$C$2015,V$13,$D$18:$D$2015,"&gt;="&amp;V116,$D$18:$D$2015,"&lt;"&amp;V117))</f>
        <v/>
      </c>
      <c r="X116" s="14" t="n"/>
      <c r="Y116" s="16" t="n"/>
      <c r="Z116" s="124">
        <f>IF(Y116="","",COUNTIFS($C$18:$C$2015,Y$13,$D$18:$D$2015,"&gt;="&amp;Y116,$D$18:$D$2015,"&lt;"&amp;Y117))</f>
        <v/>
      </c>
      <c r="AA116" s="14" t="n"/>
      <c r="AB116" s="16" t="n"/>
      <c r="AC116" s="124">
        <f>IF(AB116="","",COUNTIFS($C$18:$C$2015,AB$13,$D$18:$D$2015,"&gt;="&amp;AB116,$D$18:$D$2015,"&lt;"&amp;AB117))</f>
        <v/>
      </c>
      <c r="AD116" s="14" t="n"/>
    </row>
    <row r="117">
      <c r="A117" s="58" t="n"/>
      <c r="B117" s="59" t="n"/>
      <c r="C117" s="59" t="n"/>
      <c r="E117" s="16" t="n"/>
      <c r="F117" s="13" t="n"/>
      <c r="G117" s="16" t="n"/>
      <c r="H117" s="124">
        <f>IF(G117="","",COUNTIFS($C$18:$C$2015,G$13,$D$18:$D$2015,"&gt;="&amp;G117,$D$18:$D$2015,"&lt;"&amp;G118))</f>
        <v/>
      </c>
      <c r="I117" s="14" t="n"/>
      <c r="J117" s="16" t="n"/>
      <c r="K117" s="124">
        <f>IF(J117="","",COUNTIFS($C$18:$C$2015,J$13,$D$18:$D$2015,"&gt;="&amp;J117,$D$18:$D$2015,"&lt;"&amp;J118))</f>
        <v/>
      </c>
      <c r="L117" s="14" t="n"/>
      <c r="M117" s="16" t="n"/>
      <c r="N117" s="124">
        <f>IF(M117="","",COUNTIFS($C$18:$C$2015,M$13,$D$18:$D$2015,"&gt;="&amp;M117,$D$18:$D$2015,"&lt;"&amp;M118))</f>
        <v/>
      </c>
      <c r="O117" s="14" t="n"/>
      <c r="P117" s="16" t="n"/>
      <c r="Q117" s="124">
        <f>IF(P117="","",COUNTIFS($C$18:$C$2015,P$13,$D$18:$D$2015,"&gt;="&amp;P117,$D$18:$D$2015,"&lt;"&amp;P118))</f>
        <v/>
      </c>
      <c r="R117" s="14" t="n"/>
      <c r="S117" s="16" t="n"/>
      <c r="T117" s="124">
        <f>IF(S117="","",COUNTIFS($C$18:$C$2015,S$13,$D$18:$D$2015,"&gt;="&amp;S117,$D$18:$D$2015,"&lt;"&amp;S118))</f>
        <v/>
      </c>
      <c r="U117" s="14" t="n"/>
      <c r="V117" s="16" t="n"/>
      <c r="W117" s="124">
        <f>IF(V117="","",COUNTIFS($C$18:$C$2015,V$13,$D$18:$D$2015,"&gt;="&amp;V117,$D$18:$D$2015,"&lt;"&amp;V118))</f>
        <v/>
      </c>
      <c r="X117" s="14" t="n"/>
      <c r="Y117" s="16" t="n"/>
      <c r="Z117" s="124">
        <f>IF(Y117="","",COUNTIFS($C$18:$C$2015,Y$13,$D$18:$D$2015,"&gt;="&amp;Y117,$D$18:$D$2015,"&lt;"&amp;Y118))</f>
        <v/>
      </c>
      <c r="AA117" s="14" t="n"/>
      <c r="AB117" s="16" t="n"/>
      <c r="AC117" s="124">
        <f>IF(AB117="","",COUNTIFS($C$18:$C$2015,AB$13,$D$18:$D$2015,"&gt;="&amp;AB117,$D$18:$D$2015,"&lt;"&amp;AB118))</f>
        <v/>
      </c>
      <c r="AD117" s="14" t="n"/>
    </row>
    <row r="118">
      <c r="A118" s="56" t="n"/>
      <c r="B118" s="57" t="n"/>
      <c r="C118" s="59" t="n"/>
      <c r="E118" s="16" t="n"/>
      <c r="F118" s="13" t="n"/>
      <c r="G118" s="16" t="n"/>
      <c r="H118" s="124">
        <f>IF(G118="","",COUNTIFS($C$18:$C$2015,G$13,$D$18:$D$2015,"&gt;="&amp;G118,$D$18:$D$2015,"&lt;"&amp;G119))</f>
        <v/>
      </c>
      <c r="I118" s="14" t="n"/>
      <c r="J118" s="16" t="n"/>
      <c r="K118" s="124">
        <f>IF(J118="","",COUNTIFS($C$18:$C$2015,J$13,$D$18:$D$2015,"&gt;="&amp;J118,$D$18:$D$2015,"&lt;"&amp;J119))</f>
        <v/>
      </c>
      <c r="L118" s="14" t="n"/>
      <c r="M118" s="16" t="n"/>
      <c r="N118" s="124">
        <f>IF(M118="","",COUNTIFS($C$18:$C$2015,M$13,$D$18:$D$2015,"&gt;="&amp;M118,$D$18:$D$2015,"&lt;"&amp;M119))</f>
        <v/>
      </c>
      <c r="O118" s="14" t="n"/>
      <c r="P118" s="16" t="n"/>
      <c r="Q118" s="124">
        <f>IF(P118="","",COUNTIFS($C$18:$C$2015,P$13,$D$18:$D$2015,"&gt;="&amp;P118,$D$18:$D$2015,"&lt;"&amp;P119))</f>
        <v/>
      </c>
      <c r="R118" s="14" t="n"/>
      <c r="S118" s="16" t="n"/>
      <c r="T118" s="124">
        <f>IF(S118="","",COUNTIFS($C$18:$C$2015,S$13,$D$18:$D$2015,"&gt;="&amp;S118,$D$18:$D$2015,"&lt;"&amp;S119))</f>
        <v/>
      </c>
      <c r="U118" s="14" t="n"/>
      <c r="V118" s="16" t="n"/>
      <c r="W118" s="124">
        <f>IF(V118="","",COUNTIFS($C$18:$C$2015,V$13,$D$18:$D$2015,"&gt;="&amp;V118,$D$18:$D$2015,"&lt;"&amp;V119))</f>
        <v/>
      </c>
      <c r="X118" s="14" t="n"/>
      <c r="Y118" s="16" t="n"/>
      <c r="Z118" s="124">
        <f>IF(Y118="","",COUNTIFS($C$18:$C$2015,Y$13,$D$18:$D$2015,"&gt;="&amp;Y118,$D$18:$D$2015,"&lt;"&amp;Y119))</f>
        <v/>
      </c>
      <c r="AA118" s="14" t="n"/>
      <c r="AB118" s="16" t="n"/>
      <c r="AC118" s="124">
        <f>IF(AB118="","",COUNTIFS($C$18:$C$2015,AB$13,$D$18:$D$2015,"&gt;="&amp;AB118,$D$18:$D$2015,"&lt;"&amp;AB119))</f>
        <v/>
      </c>
      <c r="AD118" s="14" t="n"/>
    </row>
    <row r="119">
      <c r="A119" s="58" t="n"/>
      <c r="B119" s="59" t="n"/>
      <c r="C119" s="59" t="n"/>
      <c r="E119" s="16" t="n"/>
      <c r="F119" s="13" t="n"/>
      <c r="G119" s="16" t="n"/>
      <c r="H119" s="124">
        <f>IF(G119="","",COUNTIFS($C$18:$C$2015,G$13,$D$18:$D$2015,"&gt;="&amp;G119,$D$18:$D$2015,"&lt;"&amp;G120))</f>
        <v/>
      </c>
      <c r="I119" s="14" t="n"/>
      <c r="J119" s="16" t="n"/>
      <c r="K119" s="124">
        <f>IF(J119="","",COUNTIFS($C$18:$C$2015,J$13,$D$18:$D$2015,"&gt;="&amp;J119,$D$18:$D$2015,"&lt;"&amp;J120))</f>
        <v/>
      </c>
      <c r="L119" s="14" t="n"/>
      <c r="M119" s="16" t="n"/>
      <c r="N119" s="124">
        <f>IF(M119="","",COUNTIFS($C$18:$C$2015,M$13,$D$18:$D$2015,"&gt;="&amp;M119,$D$18:$D$2015,"&lt;"&amp;M120))</f>
        <v/>
      </c>
      <c r="O119" s="14" t="n"/>
      <c r="P119" s="16" t="n"/>
      <c r="Q119" s="124">
        <f>IF(P119="","",COUNTIFS($C$18:$C$2015,P$13,$D$18:$D$2015,"&gt;="&amp;P119,$D$18:$D$2015,"&lt;"&amp;P120))</f>
        <v/>
      </c>
      <c r="R119" s="14" t="n"/>
      <c r="S119" s="16" t="n"/>
      <c r="T119" s="124">
        <f>IF(S119="","",COUNTIFS($C$18:$C$2015,S$13,$D$18:$D$2015,"&gt;="&amp;S119,$D$18:$D$2015,"&lt;"&amp;S120))</f>
        <v/>
      </c>
      <c r="U119" s="14" t="n"/>
      <c r="V119" s="16" t="n"/>
      <c r="W119" s="124">
        <f>IF(V119="","",COUNTIFS($C$18:$C$2015,V$13,$D$18:$D$2015,"&gt;="&amp;V119,$D$18:$D$2015,"&lt;"&amp;V120))</f>
        <v/>
      </c>
      <c r="X119" s="14" t="n"/>
      <c r="Y119" s="16" t="n"/>
      <c r="Z119" s="124">
        <f>IF(Y119="","",COUNTIFS($C$18:$C$2015,Y$13,$D$18:$D$2015,"&gt;="&amp;Y119,$D$18:$D$2015,"&lt;"&amp;Y120))</f>
        <v/>
      </c>
      <c r="AA119" s="14" t="n"/>
      <c r="AB119" s="16" t="n"/>
      <c r="AC119" s="124">
        <f>IF(AB119="","",COUNTIFS($C$18:$C$2015,AB$13,$D$18:$D$2015,"&gt;="&amp;AB119,$D$18:$D$2015,"&lt;"&amp;AB120))</f>
        <v/>
      </c>
      <c r="AD119" s="14" t="n"/>
    </row>
    <row r="120">
      <c r="A120" s="56" t="n"/>
      <c r="B120" s="57" t="n"/>
      <c r="C120" s="59" t="n"/>
      <c r="E120" s="16" t="n"/>
      <c r="F120" s="13" t="n"/>
      <c r="G120" s="16" t="n"/>
      <c r="H120" s="124">
        <f>IF(G120="","",COUNTIFS($C$18:$C$2015,G$13,$D$18:$D$2015,"&gt;="&amp;G120,$D$18:$D$2015,"&lt;"&amp;G121))</f>
        <v/>
      </c>
      <c r="I120" s="14" t="n"/>
      <c r="J120" s="16" t="n"/>
      <c r="K120" s="124">
        <f>IF(J120="","",COUNTIFS($C$18:$C$2015,J$13,$D$18:$D$2015,"&gt;="&amp;J120,$D$18:$D$2015,"&lt;"&amp;J121))</f>
        <v/>
      </c>
      <c r="L120" s="14" t="n"/>
      <c r="M120" s="16" t="n"/>
      <c r="N120" s="124">
        <f>IF(M120="","",COUNTIFS($C$18:$C$2015,M$13,$D$18:$D$2015,"&gt;="&amp;M120,$D$18:$D$2015,"&lt;"&amp;M121))</f>
        <v/>
      </c>
      <c r="O120" s="14" t="n"/>
      <c r="P120" s="16" t="n"/>
      <c r="Q120" s="124">
        <f>IF(P120="","",COUNTIFS($C$18:$C$2015,P$13,$D$18:$D$2015,"&gt;="&amp;P120,$D$18:$D$2015,"&lt;"&amp;P121))</f>
        <v/>
      </c>
      <c r="R120" s="14" t="n"/>
      <c r="S120" s="16" t="n"/>
      <c r="T120" s="124">
        <f>IF(S120="","",COUNTIFS($C$18:$C$2015,S$13,$D$18:$D$2015,"&gt;="&amp;S120,$D$18:$D$2015,"&lt;"&amp;S121))</f>
        <v/>
      </c>
      <c r="U120" s="14" t="n"/>
      <c r="V120" s="16" t="n"/>
      <c r="W120" s="124">
        <f>IF(V120="","",COUNTIFS($C$18:$C$2015,V$13,$D$18:$D$2015,"&gt;="&amp;V120,$D$18:$D$2015,"&lt;"&amp;V121))</f>
        <v/>
      </c>
      <c r="X120" s="14" t="n"/>
      <c r="Y120" s="16" t="n"/>
      <c r="Z120" s="124">
        <f>IF(Y120="","",COUNTIFS($C$18:$C$2015,Y$13,$D$18:$D$2015,"&gt;="&amp;Y120,$D$18:$D$2015,"&lt;"&amp;Y121))</f>
        <v/>
      </c>
      <c r="AA120" s="14" t="n"/>
      <c r="AB120" s="16" t="n"/>
      <c r="AC120" s="124">
        <f>IF(AB120="","",COUNTIFS($C$18:$C$2015,AB$13,$D$18:$D$2015,"&gt;="&amp;AB120,$D$18:$D$2015,"&lt;"&amp;AB121))</f>
        <v/>
      </c>
      <c r="AD120" s="14" t="n"/>
    </row>
    <row r="121">
      <c r="A121" s="58" t="n"/>
      <c r="B121" s="59" t="n"/>
      <c r="C121" s="59" t="n"/>
      <c r="E121" s="16" t="n"/>
      <c r="F121" s="13" t="n"/>
      <c r="G121" s="16" t="n"/>
      <c r="H121" s="124">
        <f>IF(G121="","",COUNTIFS($C$18:$C$2015,G$13,$D$18:$D$2015,"&gt;="&amp;G121,$D$18:$D$2015,"&lt;"&amp;G122))</f>
        <v/>
      </c>
      <c r="I121" s="14" t="n"/>
      <c r="J121" s="16" t="n"/>
      <c r="K121" s="124">
        <f>IF(J121="","",COUNTIFS($C$18:$C$2015,J$13,$D$18:$D$2015,"&gt;="&amp;J121,$D$18:$D$2015,"&lt;"&amp;J122))</f>
        <v/>
      </c>
      <c r="L121" s="14" t="n"/>
      <c r="M121" s="16" t="n"/>
      <c r="N121" s="124">
        <f>IF(M121="","",COUNTIFS($C$18:$C$2015,M$13,$D$18:$D$2015,"&gt;="&amp;M121,$D$18:$D$2015,"&lt;"&amp;M122))</f>
        <v/>
      </c>
      <c r="O121" s="14" t="n"/>
      <c r="P121" s="16" t="n"/>
      <c r="Q121" s="124">
        <f>IF(P121="","",COUNTIFS($C$18:$C$2015,P$13,$D$18:$D$2015,"&gt;="&amp;P121,$D$18:$D$2015,"&lt;"&amp;P122))</f>
        <v/>
      </c>
      <c r="R121" s="14" t="n"/>
      <c r="S121" s="16" t="n"/>
      <c r="T121" s="124">
        <f>IF(S121="","",COUNTIFS($C$18:$C$2015,S$13,$D$18:$D$2015,"&gt;="&amp;S121,$D$18:$D$2015,"&lt;"&amp;S122))</f>
        <v/>
      </c>
      <c r="U121" s="14" t="n"/>
      <c r="V121" s="16" t="n"/>
      <c r="W121" s="124">
        <f>IF(V121="","",COUNTIFS($C$18:$C$2015,V$13,$D$18:$D$2015,"&gt;="&amp;V121,$D$18:$D$2015,"&lt;"&amp;V122))</f>
        <v/>
      </c>
      <c r="X121" s="14" t="n"/>
      <c r="Y121" s="16" t="n"/>
      <c r="Z121" s="124">
        <f>IF(Y121="","",COUNTIFS($C$18:$C$2015,Y$13,$D$18:$D$2015,"&gt;="&amp;Y121,$D$18:$D$2015,"&lt;"&amp;Y122))</f>
        <v/>
      </c>
      <c r="AA121" s="14" t="n"/>
      <c r="AB121" s="16" t="n"/>
      <c r="AC121" s="124">
        <f>IF(AB121="","",COUNTIFS($C$18:$C$2015,AB$13,$D$18:$D$2015,"&gt;="&amp;AB121,$D$18:$D$2015,"&lt;"&amp;AB122))</f>
        <v/>
      </c>
      <c r="AD121" s="14" t="n"/>
    </row>
    <row r="122">
      <c r="A122" s="56" t="n"/>
      <c r="B122" s="57" t="n"/>
      <c r="C122" s="59" t="n"/>
      <c r="E122" s="16" t="n"/>
      <c r="F122" s="13" t="n"/>
      <c r="G122" s="16" t="n"/>
      <c r="H122" s="124">
        <f>IF(G122="","",COUNTIFS($C$18:$C$2015,G$13,$D$18:$D$2015,"&gt;="&amp;G122,$D$18:$D$2015,"&lt;"&amp;G123))</f>
        <v/>
      </c>
      <c r="I122" s="14" t="n"/>
      <c r="J122" s="16" t="n"/>
      <c r="K122" s="124">
        <f>IF(J122="","",COUNTIFS($C$18:$C$2015,J$13,$D$18:$D$2015,"&gt;="&amp;J122,$D$18:$D$2015,"&lt;"&amp;J123))</f>
        <v/>
      </c>
      <c r="L122" s="14" t="n"/>
      <c r="M122" s="16" t="n"/>
      <c r="N122" s="124">
        <f>IF(M122="","",COUNTIFS($C$18:$C$2015,M$13,$D$18:$D$2015,"&gt;="&amp;M122,$D$18:$D$2015,"&lt;"&amp;M123))</f>
        <v/>
      </c>
      <c r="O122" s="14" t="n"/>
      <c r="P122" s="16" t="n"/>
      <c r="Q122" s="124">
        <f>IF(P122="","",COUNTIFS($C$18:$C$2015,P$13,$D$18:$D$2015,"&gt;="&amp;P122,$D$18:$D$2015,"&lt;"&amp;P123))</f>
        <v/>
      </c>
      <c r="R122" s="14" t="n"/>
      <c r="S122" s="16" t="n"/>
      <c r="T122" s="124">
        <f>IF(S122="","",COUNTIFS($C$18:$C$2015,S$13,$D$18:$D$2015,"&gt;="&amp;S122,$D$18:$D$2015,"&lt;"&amp;S123))</f>
        <v/>
      </c>
      <c r="U122" s="14" t="n"/>
      <c r="V122" s="16" t="n"/>
      <c r="W122" s="124">
        <f>IF(V122="","",COUNTIFS($C$18:$C$2015,V$13,$D$18:$D$2015,"&gt;="&amp;V122,$D$18:$D$2015,"&lt;"&amp;V123))</f>
        <v/>
      </c>
      <c r="X122" s="14" t="n"/>
      <c r="Y122" s="16" t="n"/>
      <c r="Z122" s="124">
        <f>IF(Y122="","",COUNTIFS($C$18:$C$2015,Y$13,$D$18:$D$2015,"&gt;="&amp;Y122,$D$18:$D$2015,"&lt;"&amp;Y123))</f>
        <v/>
      </c>
      <c r="AA122" s="14" t="n"/>
      <c r="AB122" s="16" t="n"/>
      <c r="AC122" s="124">
        <f>IF(AB122="","",COUNTIFS($C$18:$C$2015,AB$13,$D$18:$D$2015,"&gt;="&amp;AB122,$D$18:$D$2015,"&lt;"&amp;AB123))</f>
        <v/>
      </c>
      <c r="AD122" s="14" t="n"/>
    </row>
    <row r="123">
      <c r="A123" s="58" t="n"/>
      <c r="B123" s="59" t="n"/>
      <c r="C123" s="59" t="n"/>
      <c r="E123" s="16" t="n"/>
      <c r="F123" s="13" t="n"/>
      <c r="G123" s="16" t="n"/>
      <c r="H123" s="124">
        <f>IF(G123="","",COUNTIFS($C$18:$C$2015,G$13,$D$18:$D$2015,"&gt;="&amp;G123,$D$18:$D$2015,"&lt;"&amp;G124))</f>
        <v/>
      </c>
      <c r="I123" s="14" t="n"/>
      <c r="J123" s="16" t="n"/>
      <c r="K123" s="124">
        <f>IF(J123="","",COUNTIFS($C$18:$C$2015,J$13,$D$18:$D$2015,"&gt;="&amp;J123,$D$18:$D$2015,"&lt;"&amp;J124))</f>
        <v/>
      </c>
      <c r="L123" s="14" t="n"/>
      <c r="M123" s="16" t="n"/>
      <c r="N123" s="124">
        <f>IF(M123="","",COUNTIFS($C$18:$C$2015,M$13,$D$18:$D$2015,"&gt;="&amp;M123,$D$18:$D$2015,"&lt;"&amp;M124))</f>
        <v/>
      </c>
      <c r="O123" s="14" t="n"/>
      <c r="P123" s="16" t="n"/>
      <c r="Q123" s="124">
        <f>IF(P123="","",COUNTIFS($C$18:$C$2015,P$13,$D$18:$D$2015,"&gt;="&amp;P123,$D$18:$D$2015,"&lt;"&amp;P124))</f>
        <v/>
      </c>
      <c r="R123" s="14" t="n"/>
      <c r="S123" s="16" t="n"/>
      <c r="T123" s="124">
        <f>IF(S123="","",COUNTIFS($C$18:$C$2015,S$13,$D$18:$D$2015,"&gt;="&amp;S123,$D$18:$D$2015,"&lt;"&amp;S124))</f>
        <v/>
      </c>
      <c r="U123" s="14" t="n"/>
      <c r="V123" s="16" t="n"/>
      <c r="W123" s="124">
        <f>IF(V123="","",COUNTIFS($C$18:$C$2015,V$13,$D$18:$D$2015,"&gt;="&amp;V123,$D$18:$D$2015,"&lt;"&amp;V124))</f>
        <v/>
      </c>
      <c r="X123" s="14" t="n"/>
      <c r="Y123" s="16" t="n"/>
      <c r="Z123" s="124">
        <f>IF(Y123="","",COUNTIFS($C$18:$C$2015,Y$13,$D$18:$D$2015,"&gt;="&amp;Y123,$D$18:$D$2015,"&lt;"&amp;Y124))</f>
        <v/>
      </c>
      <c r="AA123" s="14" t="n"/>
      <c r="AB123" s="16" t="n"/>
      <c r="AC123" s="124">
        <f>IF(AB123="","",COUNTIFS($C$18:$C$2015,AB$13,$D$18:$D$2015,"&gt;="&amp;AB123,$D$18:$D$2015,"&lt;"&amp;AB124))</f>
        <v/>
      </c>
      <c r="AD123" s="14" t="n"/>
    </row>
    <row r="124">
      <c r="A124" s="56" t="n"/>
      <c r="B124" s="57" t="n"/>
      <c r="C124" s="59" t="n"/>
      <c r="E124" s="16" t="n"/>
      <c r="F124" s="13" t="n"/>
      <c r="G124" s="16" t="n"/>
      <c r="H124" s="124">
        <f>IF(G124="","",COUNTIFS($C$18:$C$2015,G$13,$D$18:$D$2015,"&gt;="&amp;G124,$D$18:$D$2015,"&lt;"&amp;G125))</f>
        <v/>
      </c>
      <c r="I124" s="14" t="n"/>
      <c r="J124" s="16" t="n"/>
      <c r="K124" s="124">
        <f>IF(J124="","",COUNTIFS($C$18:$C$2015,J$13,$D$18:$D$2015,"&gt;="&amp;J124,$D$18:$D$2015,"&lt;"&amp;J125))</f>
        <v/>
      </c>
      <c r="L124" s="14" t="n"/>
      <c r="M124" s="16" t="n"/>
      <c r="N124" s="124">
        <f>IF(M124="","",COUNTIFS($C$18:$C$2015,M$13,$D$18:$D$2015,"&gt;="&amp;M124,$D$18:$D$2015,"&lt;"&amp;M125))</f>
        <v/>
      </c>
      <c r="O124" s="14" t="n"/>
      <c r="P124" s="16" t="n"/>
      <c r="Q124" s="124">
        <f>IF(P124="","",COUNTIFS($C$18:$C$2015,P$13,$D$18:$D$2015,"&gt;="&amp;P124,$D$18:$D$2015,"&lt;"&amp;P125))</f>
        <v/>
      </c>
      <c r="R124" s="14" t="n"/>
      <c r="S124" s="16" t="n"/>
      <c r="T124" s="124">
        <f>IF(S124="","",COUNTIFS($C$18:$C$2015,S$13,$D$18:$D$2015,"&gt;="&amp;S124,$D$18:$D$2015,"&lt;"&amp;S125))</f>
        <v/>
      </c>
      <c r="U124" s="14" t="n"/>
      <c r="V124" s="16" t="n"/>
      <c r="W124" s="124">
        <f>IF(V124="","",COUNTIFS($C$18:$C$2015,V$13,$D$18:$D$2015,"&gt;="&amp;V124,$D$18:$D$2015,"&lt;"&amp;V125))</f>
        <v/>
      </c>
      <c r="X124" s="14" t="n"/>
      <c r="Y124" s="16" t="n"/>
      <c r="Z124" s="124">
        <f>IF(Y124="","",COUNTIFS($C$18:$C$2015,Y$13,$D$18:$D$2015,"&gt;="&amp;Y124,$D$18:$D$2015,"&lt;"&amp;Y125))</f>
        <v/>
      </c>
      <c r="AA124" s="14" t="n"/>
      <c r="AB124" s="16" t="n"/>
      <c r="AC124" s="124">
        <f>IF(AB124="","",COUNTIFS($C$18:$C$2015,AB$13,$D$18:$D$2015,"&gt;="&amp;AB124,$D$18:$D$2015,"&lt;"&amp;AB125))</f>
        <v/>
      </c>
      <c r="AD124" s="14" t="n"/>
    </row>
    <row r="125">
      <c r="A125" s="58" t="n"/>
      <c r="B125" s="59" t="n"/>
      <c r="C125" s="59" t="n"/>
      <c r="E125" s="16" t="n"/>
      <c r="F125" s="13" t="n"/>
      <c r="G125" s="16" t="n"/>
      <c r="H125" s="124">
        <f>IF(G125="","",COUNTIFS($C$18:$C$2015,G$13,$D$18:$D$2015,"&gt;="&amp;G125,$D$18:$D$2015,"&lt;"&amp;G126))</f>
        <v/>
      </c>
      <c r="I125" s="14" t="n"/>
      <c r="J125" s="16" t="n"/>
      <c r="K125" s="124">
        <f>IF(J125="","",COUNTIFS($C$18:$C$2015,J$13,$D$18:$D$2015,"&gt;="&amp;J125,$D$18:$D$2015,"&lt;"&amp;J126))</f>
        <v/>
      </c>
      <c r="L125" s="14" t="n"/>
      <c r="M125" s="16" t="n"/>
      <c r="N125" s="124">
        <f>IF(M125="","",COUNTIFS($C$18:$C$2015,M$13,$D$18:$D$2015,"&gt;="&amp;M125,$D$18:$D$2015,"&lt;"&amp;M126))</f>
        <v/>
      </c>
      <c r="O125" s="14" t="n"/>
      <c r="P125" s="16" t="n"/>
      <c r="Q125" s="124">
        <f>IF(P125="","",COUNTIFS($C$18:$C$2015,P$13,$D$18:$D$2015,"&gt;="&amp;P125,$D$18:$D$2015,"&lt;"&amp;P126))</f>
        <v/>
      </c>
      <c r="R125" s="14" t="n"/>
      <c r="S125" s="16" t="n"/>
      <c r="T125" s="124">
        <f>IF(S125="","",COUNTIFS($C$18:$C$2015,S$13,$D$18:$D$2015,"&gt;="&amp;S125,$D$18:$D$2015,"&lt;"&amp;S126))</f>
        <v/>
      </c>
      <c r="U125" s="14" t="n"/>
      <c r="V125" s="16" t="n"/>
      <c r="W125" s="124">
        <f>IF(V125="","",COUNTIFS($C$18:$C$2015,V$13,$D$18:$D$2015,"&gt;="&amp;V125,$D$18:$D$2015,"&lt;"&amp;V126))</f>
        <v/>
      </c>
      <c r="X125" s="14" t="n"/>
      <c r="Y125" s="16" t="n"/>
      <c r="Z125" s="124">
        <f>IF(Y125="","",COUNTIFS($C$18:$C$2015,Y$13,$D$18:$D$2015,"&gt;="&amp;Y125,$D$18:$D$2015,"&lt;"&amp;Y126))</f>
        <v/>
      </c>
      <c r="AA125" s="14" t="n"/>
      <c r="AB125" s="16" t="n"/>
      <c r="AC125" s="124">
        <f>IF(AB125="","",COUNTIFS($C$18:$C$2015,AB$13,$D$18:$D$2015,"&gt;="&amp;AB125,$D$18:$D$2015,"&lt;"&amp;AB126))</f>
        <v/>
      </c>
      <c r="AD125" s="14" t="n"/>
    </row>
    <row r="126">
      <c r="A126" s="56" t="n"/>
      <c r="B126" s="57" t="n"/>
      <c r="C126" s="59" t="n"/>
      <c r="E126" s="16" t="n"/>
      <c r="F126" s="13" t="n"/>
      <c r="G126" s="16" t="n"/>
      <c r="H126" s="124">
        <f>IF(G126="","",COUNTIFS($C$18:$C$2015,G$13,$D$18:$D$2015,"&gt;="&amp;G126,$D$18:$D$2015,"&lt;"&amp;G127))</f>
        <v/>
      </c>
      <c r="I126" s="14" t="n"/>
      <c r="J126" s="16" t="n"/>
      <c r="K126" s="124">
        <f>IF(J126="","",COUNTIFS($C$18:$C$2015,J$13,$D$18:$D$2015,"&gt;="&amp;J126,$D$18:$D$2015,"&lt;"&amp;J127))</f>
        <v/>
      </c>
      <c r="L126" s="14" t="n"/>
      <c r="M126" s="16" t="n"/>
      <c r="N126" s="124">
        <f>IF(M126="","",COUNTIFS($C$18:$C$2015,M$13,$D$18:$D$2015,"&gt;="&amp;M126,$D$18:$D$2015,"&lt;"&amp;M127))</f>
        <v/>
      </c>
      <c r="O126" s="14" t="n"/>
      <c r="P126" s="16" t="n"/>
      <c r="Q126" s="124">
        <f>IF(P126="","",COUNTIFS($C$18:$C$2015,P$13,$D$18:$D$2015,"&gt;="&amp;P126,$D$18:$D$2015,"&lt;"&amp;P127))</f>
        <v/>
      </c>
      <c r="R126" s="14" t="n"/>
      <c r="S126" s="16" t="n"/>
      <c r="T126" s="124">
        <f>IF(S126="","",COUNTIFS($C$18:$C$2015,S$13,$D$18:$D$2015,"&gt;="&amp;S126,$D$18:$D$2015,"&lt;"&amp;S127))</f>
        <v/>
      </c>
      <c r="U126" s="14" t="n"/>
      <c r="V126" s="16" t="n"/>
      <c r="W126" s="124">
        <f>IF(V126="","",COUNTIFS($C$18:$C$2015,V$13,$D$18:$D$2015,"&gt;="&amp;V126,$D$18:$D$2015,"&lt;"&amp;V127))</f>
        <v/>
      </c>
      <c r="X126" s="14" t="n"/>
      <c r="Y126" s="16" t="n"/>
      <c r="Z126" s="124">
        <f>IF(Y126="","",COUNTIFS($C$18:$C$2015,Y$13,$D$18:$D$2015,"&gt;="&amp;Y126,$D$18:$D$2015,"&lt;"&amp;Y127))</f>
        <v/>
      </c>
      <c r="AA126" s="14" t="n"/>
      <c r="AB126" s="16" t="n"/>
      <c r="AC126" s="124">
        <f>IF(AB126="","",COUNTIFS($C$18:$C$2015,AB$13,$D$18:$D$2015,"&gt;="&amp;AB126,$D$18:$D$2015,"&lt;"&amp;AB127))</f>
        <v/>
      </c>
      <c r="AD126" s="14" t="n"/>
    </row>
    <row r="127">
      <c r="A127" s="58" t="n"/>
      <c r="B127" s="59" t="n"/>
      <c r="C127" s="59" t="n"/>
      <c r="E127" s="16" t="n"/>
      <c r="F127" s="13" t="n"/>
      <c r="G127" s="16" t="n"/>
      <c r="H127" s="124">
        <f>IF(G127="","",COUNTIFS($C$18:$C$2015,G$13,$D$18:$D$2015,"&gt;="&amp;G127,$D$18:$D$2015,"&lt;"&amp;G128))</f>
        <v/>
      </c>
      <c r="I127" s="14" t="n"/>
      <c r="J127" s="16" t="n"/>
      <c r="K127" s="124">
        <f>IF(J127="","",COUNTIFS($C$18:$C$2015,J$13,$D$18:$D$2015,"&gt;="&amp;J127,$D$18:$D$2015,"&lt;"&amp;J128))</f>
        <v/>
      </c>
      <c r="L127" s="14" t="n"/>
      <c r="M127" s="16" t="n"/>
      <c r="N127" s="124">
        <f>IF(M127="","",COUNTIFS($C$18:$C$2015,M$13,$D$18:$D$2015,"&gt;="&amp;M127,$D$18:$D$2015,"&lt;"&amp;M128))</f>
        <v/>
      </c>
      <c r="O127" s="14" t="n"/>
      <c r="P127" s="16" t="n"/>
      <c r="Q127" s="124">
        <f>IF(P127="","",COUNTIFS($C$18:$C$2015,P$13,$D$18:$D$2015,"&gt;="&amp;P127,$D$18:$D$2015,"&lt;"&amp;P128))</f>
        <v/>
      </c>
      <c r="R127" s="14" t="n"/>
      <c r="S127" s="16" t="n"/>
      <c r="T127" s="124">
        <f>IF(S127="","",COUNTIFS($C$18:$C$2015,S$13,$D$18:$D$2015,"&gt;="&amp;S127,$D$18:$D$2015,"&lt;"&amp;S128))</f>
        <v/>
      </c>
      <c r="U127" s="14" t="n"/>
      <c r="V127" s="16" t="n"/>
      <c r="W127" s="124">
        <f>IF(V127="","",COUNTIFS($C$18:$C$2015,V$13,$D$18:$D$2015,"&gt;="&amp;V127,$D$18:$D$2015,"&lt;"&amp;V128))</f>
        <v/>
      </c>
      <c r="X127" s="14" t="n"/>
      <c r="Y127" s="16" t="n"/>
      <c r="Z127" s="124">
        <f>IF(Y127="","",COUNTIFS($C$18:$C$2015,Y$13,$D$18:$D$2015,"&gt;="&amp;Y127,$D$18:$D$2015,"&lt;"&amp;Y128))</f>
        <v/>
      </c>
      <c r="AA127" s="14" t="n"/>
      <c r="AB127" s="16" t="n"/>
      <c r="AC127" s="124">
        <f>IF(AB127="","",COUNTIFS($C$18:$C$2015,AB$13,$D$18:$D$2015,"&gt;="&amp;AB127,$D$18:$D$2015,"&lt;"&amp;AB128))</f>
        <v/>
      </c>
      <c r="AD127" s="14" t="n"/>
    </row>
    <row r="128">
      <c r="A128" s="56" t="n"/>
      <c r="B128" s="57" t="n"/>
      <c r="C128" s="59" t="n"/>
      <c r="E128" s="16" t="n"/>
      <c r="F128" s="13" t="n"/>
      <c r="G128" s="16" t="n"/>
      <c r="H128" s="124">
        <f>IF(G128="","",COUNTIFS($C$18:$C$2015,G$13,$D$18:$D$2015,"&gt;="&amp;G128,$D$18:$D$2015,"&lt;"&amp;G129))</f>
        <v/>
      </c>
      <c r="I128" s="14" t="n"/>
      <c r="J128" s="16" t="n"/>
      <c r="K128" s="124">
        <f>IF(J128="","",COUNTIFS($C$18:$C$2015,J$13,$D$18:$D$2015,"&gt;="&amp;J128,$D$18:$D$2015,"&lt;"&amp;J129))</f>
        <v/>
      </c>
      <c r="L128" s="14" t="n"/>
      <c r="M128" s="16" t="n"/>
      <c r="N128" s="124">
        <f>IF(M128="","",COUNTIFS($C$18:$C$2015,M$13,$D$18:$D$2015,"&gt;="&amp;M128,$D$18:$D$2015,"&lt;"&amp;M129))</f>
        <v/>
      </c>
      <c r="O128" s="14" t="n"/>
      <c r="P128" s="16" t="n"/>
      <c r="Q128" s="124">
        <f>IF(P128="","",COUNTIFS($C$18:$C$2015,P$13,$D$18:$D$2015,"&gt;="&amp;P128,$D$18:$D$2015,"&lt;"&amp;P129))</f>
        <v/>
      </c>
      <c r="R128" s="14" t="n"/>
      <c r="S128" s="16" t="n"/>
      <c r="T128" s="124">
        <f>IF(S128="","",COUNTIFS($C$18:$C$2015,S$13,$D$18:$D$2015,"&gt;="&amp;S128,$D$18:$D$2015,"&lt;"&amp;S129))</f>
        <v/>
      </c>
      <c r="U128" s="14" t="n"/>
      <c r="V128" s="16" t="n"/>
      <c r="W128" s="124">
        <f>IF(V128="","",COUNTIFS($C$18:$C$2015,V$13,$D$18:$D$2015,"&gt;="&amp;V128,$D$18:$D$2015,"&lt;"&amp;V129))</f>
        <v/>
      </c>
      <c r="X128" s="14" t="n"/>
      <c r="Y128" s="16" t="n"/>
      <c r="Z128" s="124">
        <f>IF(Y128="","",COUNTIFS($C$18:$C$2015,Y$13,$D$18:$D$2015,"&gt;="&amp;Y128,$D$18:$D$2015,"&lt;"&amp;Y129))</f>
        <v/>
      </c>
      <c r="AA128" s="14" t="n"/>
      <c r="AB128" s="16" t="n"/>
      <c r="AC128" s="124">
        <f>IF(AB128="","",COUNTIFS($C$18:$C$2015,AB$13,$D$18:$D$2015,"&gt;="&amp;AB128,$D$18:$D$2015,"&lt;"&amp;AB129))</f>
        <v/>
      </c>
      <c r="AD128" s="14" t="n"/>
    </row>
    <row r="129">
      <c r="A129" s="58" t="n"/>
      <c r="B129" s="59" t="n"/>
      <c r="C129" s="59" t="n"/>
      <c r="E129" s="16" t="n"/>
      <c r="F129" s="13" t="n"/>
      <c r="G129" s="16" t="n"/>
      <c r="H129" s="124">
        <f>IF(G129="","",COUNTIFS($C$18:$C$2015,G$13,$D$18:$D$2015,"&gt;="&amp;G129,$D$18:$D$2015,"&lt;"&amp;G130))</f>
        <v/>
      </c>
      <c r="I129" s="14" t="n"/>
      <c r="J129" s="16" t="n"/>
      <c r="K129" s="124">
        <f>IF(J129="","",COUNTIFS($C$18:$C$2015,J$13,$D$18:$D$2015,"&gt;="&amp;J129,$D$18:$D$2015,"&lt;"&amp;J130))</f>
        <v/>
      </c>
      <c r="L129" s="14" t="n"/>
      <c r="M129" s="16" t="n"/>
      <c r="N129" s="124">
        <f>IF(M129="","",COUNTIFS($C$18:$C$2015,M$13,$D$18:$D$2015,"&gt;="&amp;M129,$D$18:$D$2015,"&lt;"&amp;M130))</f>
        <v/>
      </c>
      <c r="O129" s="14" t="n"/>
      <c r="P129" s="16" t="n"/>
      <c r="Q129" s="124">
        <f>IF(P129="","",COUNTIFS($C$18:$C$2015,P$13,$D$18:$D$2015,"&gt;="&amp;P129,$D$18:$D$2015,"&lt;"&amp;P130))</f>
        <v/>
      </c>
      <c r="R129" s="14" t="n"/>
      <c r="S129" s="16" t="n"/>
      <c r="T129" s="124">
        <f>IF(S129="","",COUNTIFS($C$18:$C$2015,S$13,$D$18:$D$2015,"&gt;="&amp;S129,$D$18:$D$2015,"&lt;"&amp;S130))</f>
        <v/>
      </c>
      <c r="U129" s="14" t="n"/>
      <c r="V129" s="16" t="n"/>
      <c r="W129" s="124">
        <f>IF(V129="","",COUNTIFS($C$18:$C$2015,V$13,$D$18:$D$2015,"&gt;="&amp;V129,$D$18:$D$2015,"&lt;"&amp;V130))</f>
        <v/>
      </c>
      <c r="X129" s="14" t="n"/>
      <c r="Y129" s="16" t="n"/>
      <c r="Z129" s="124">
        <f>IF(Y129="","",COUNTIFS($C$18:$C$2015,Y$13,$D$18:$D$2015,"&gt;="&amp;Y129,$D$18:$D$2015,"&lt;"&amp;Y130))</f>
        <v/>
      </c>
      <c r="AA129" s="14" t="n"/>
      <c r="AB129" s="16" t="n"/>
      <c r="AC129" s="124">
        <f>IF(AB129="","",COUNTIFS($C$18:$C$2015,AB$13,$D$18:$D$2015,"&gt;="&amp;AB129,$D$18:$D$2015,"&lt;"&amp;AB130))</f>
        <v/>
      </c>
      <c r="AD129" s="14" t="n"/>
    </row>
    <row r="130">
      <c r="A130" s="56" t="n"/>
      <c r="B130" s="57" t="n"/>
      <c r="C130" s="59" t="n"/>
      <c r="E130" s="16" t="n"/>
      <c r="F130" s="13" t="n"/>
      <c r="G130" s="16" t="n"/>
      <c r="H130" s="124">
        <f>IF(G130="","",COUNTIFS($C$18:$C$2015,G$13,$D$18:$D$2015,"&gt;="&amp;G130,$D$18:$D$2015,"&lt;"&amp;G131))</f>
        <v/>
      </c>
      <c r="I130" s="14" t="n"/>
      <c r="J130" s="16" t="n"/>
      <c r="K130" s="124">
        <f>IF(J130="","",COUNTIFS($C$18:$C$2015,J$13,$D$18:$D$2015,"&gt;="&amp;J130,$D$18:$D$2015,"&lt;"&amp;J131))</f>
        <v/>
      </c>
      <c r="L130" s="14" t="n"/>
      <c r="M130" s="16" t="n"/>
      <c r="N130" s="124">
        <f>IF(M130="","",COUNTIFS($C$18:$C$2015,M$13,$D$18:$D$2015,"&gt;="&amp;M130,$D$18:$D$2015,"&lt;"&amp;M131))</f>
        <v/>
      </c>
      <c r="O130" s="14" t="n"/>
      <c r="P130" s="16" t="n"/>
      <c r="Q130" s="124">
        <f>IF(P130="","",COUNTIFS($C$18:$C$2015,P$13,$D$18:$D$2015,"&gt;="&amp;P130,$D$18:$D$2015,"&lt;"&amp;P131))</f>
        <v/>
      </c>
      <c r="R130" s="14" t="n"/>
      <c r="S130" s="16" t="n"/>
      <c r="T130" s="124">
        <f>IF(S130="","",COUNTIFS($C$18:$C$2015,S$13,$D$18:$D$2015,"&gt;="&amp;S130,$D$18:$D$2015,"&lt;"&amp;S131))</f>
        <v/>
      </c>
      <c r="U130" s="14" t="n"/>
      <c r="V130" s="16" t="n"/>
      <c r="W130" s="124">
        <f>IF(V130="","",COUNTIFS($C$18:$C$2015,V$13,$D$18:$D$2015,"&gt;="&amp;V130,$D$18:$D$2015,"&lt;"&amp;V131))</f>
        <v/>
      </c>
      <c r="X130" s="14" t="n"/>
      <c r="Y130" s="16" t="n"/>
      <c r="Z130" s="124">
        <f>IF(Y130="","",COUNTIFS($C$18:$C$2015,Y$13,$D$18:$D$2015,"&gt;="&amp;Y130,$D$18:$D$2015,"&lt;"&amp;Y131))</f>
        <v/>
      </c>
      <c r="AA130" s="14" t="n"/>
      <c r="AB130" s="16" t="n"/>
      <c r="AC130" s="124">
        <f>IF(AB130="","",COUNTIFS($C$18:$C$2015,AB$13,$D$18:$D$2015,"&gt;="&amp;AB130,$D$18:$D$2015,"&lt;"&amp;AB131))</f>
        <v/>
      </c>
      <c r="AD130" s="14" t="n"/>
    </row>
    <row r="131">
      <c r="A131" s="58" t="n"/>
      <c r="B131" s="59" t="n"/>
      <c r="C131" s="59" t="n"/>
      <c r="E131" s="16" t="n"/>
      <c r="F131" s="13" t="n"/>
      <c r="G131" s="16" t="n"/>
      <c r="H131" s="124">
        <f>IF(G131="","",COUNTIFS($C$18:$C$2015,G$13,$D$18:$D$2015,"&gt;="&amp;G131,$D$18:$D$2015,"&lt;"&amp;G132))</f>
        <v/>
      </c>
      <c r="I131" s="14" t="n"/>
      <c r="J131" s="16" t="n"/>
      <c r="K131" s="124">
        <f>IF(J131="","",COUNTIFS($C$18:$C$2015,J$13,$D$18:$D$2015,"&gt;="&amp;J131,$D$18:$D$2015,"&lt;"&amp;J132))</f>
        <v/>
      </c>
      <c r="L131" s="14" t="n"/>
      <c r="M131" s="16" t="n"/>
      <c r="N131" s="124">
        <f>IF(M131="","",COUNTIFS($C$18:$C$2015,M$13,$D$18:$D$2015,"&gt;="&amp;M131,$D$18:$D$2015,"&lt;"&amp;M132))</f>
        <v/>
      </c>
      <c r="O131" s="14" t="n"/>
      <c r="P131" s="16" t="n"/>
      <c r="Q131" s="124">
        <f>IF(P131="","",COUNTIFS($C$18:$C$2015,P$13,$D$18:$D$2015,"&gt;="&amp;P131,$D$18:$D$2015,"&lt;"&amp;P132))</f>
        <v/>
      </c>
      <c r="R131" s="14" t="n"/>
      <c r="S131" s="16" t="n"/>
      <c r="T131" s="124">
        <f>IF(S131="","",COUNTIFS($C$18:$C$2015,S$13,$D$18:$D$2015,"&gt;="&amp;S131,$D$18:$D$2015,"&lt;"&amp;S132))</f>
        <v/>
      </c>
      <c r="U131" s="14" t="n"/>
      <c r="V131" s="16" t="n"/>
      <c r="W131" s="124">
        <f>IF(V131="","",COUNTIFS($C$18:$C$2015,V$13,$D$18:$D$2015,"&gt;="&amp;V131,$D$18:$D$2015,"&lt;"&amp;V132))</f>
        <v/>
      </c>
      <c r="X131" s="14" t="n"/>
      <c r="Y131" s="16" t="n"/>
      <c r="Z131" s="124">
        <f>IF(Y131="","",COUNTIFS($C$18:$C$2015,Y$13,$D$18:$D$2015,"&gt;="&amp;Y131,$D$18:$D$2015,"&lt;"&amp;Y132))</f>
        <v/>
      </c>
      <c r="AA131" s="14" t="n"/>
      <c r="AB131" s="16" t="n"/>
      <c r="AC131" s="124">
        <f>IF(AB131="","",COUNTIFS($C$18:$C$2015,AB$13,$D$18:$D$2015,"&gt;="&amp;AB131,$D$18:$D$2015,"&lt;"&amp;AB132))</f>
        <v/>
      </c>
      <c r="AD131" s="14" t="n"/>
    </row>
    <row r="132">
      <c r="A132" s="56" t="n"/>
      <c r="B132" s="57" t="n"/>
      <c r="C132" s="59" t="n"/>
      <c r="E132" s="16" t="n"/>
      <c r="F132" s="13" t="n"/>
      <c r="G132" s="16" t="n"/>
      <c r="H132" s="124">
        <f>IF(G132="","",COUNTIFS($C$18:$C$2015,G$13,$D$18:$D$2015,"&gt;="&amp;G132,$D$18:$D$2015,"&lt;"&amp;G133))</f>
        <v/>
      </c>
      <c r="I132" s="14" t="n"/>
      <c r="J132" s="16" t="n"/>
      <c r="K132" s="124">
        <f>IF(J132="","",COUNTIFS($C$18:$C$2015,J$13,$D$18:$D$2015,"&gt;="&amp;J132,$D$18:$D$2015,"&lt;"&amp;J133))</f>
        <v/>
      </c>
      <c r="L132" s="14" t="n"/>
      <c r="M132" s="16" t="n"/>
      <c r="N132" s="124">
        <f>IF(M132="","",COUNTIFS($C$18:$C$2015,M$13,$D$18:$D$2015,"&gt;="&amp;M132,$D$18:$D$2015,"&lt;"&amp;M133))</f>
        <v/>
      </c>
      <c r="O132" s="14" t="n"/>
      <c r="P132" s="16" t="n"/>
      <c r="Q132" s="124">
        <f>IF(P132="","",COUNTIFS($C$18:$C$2015,P$13,$D$18:$D$2015,"&gt;="&amp;P132,$D$18:$D$2015,"&lt;"&amp;P133))</f>
        <v/>
      </c>
      <c r="R132" s="14" t="n"/>
      <c r="S132" s="16" t="n"/>
      <c r="T132" s="124">
        <f>IF(S132="","",COUNTIFS($C$18:$C$2015,S$13,$D$18:$D$2015,"&gt;="&amp;S132,$D$18:$D$2015,"&lt;"&amp;S133))</f>
        <v/>
      </c>
      <c r="U132" s="14" t="n"/>
      <c r="V132" s="16" t="n"/>
      <c r="W132" s="124">
        <f>IF(V132="","",COUNTIFS($C$18:$C$2015,V$13,$D$18:$D$2015,"&gt;="&amp;V132,$D$18:$D$2015,"&lt;"&amp;V133))</f>
        <v/>
      </c>
      <c r="X132" s="14" t="n"/>
      <c r="Y132" s="16" t="n"/>
      <c r="Z132" s="124">
        <f>IF(Y132="","",COUNTIFS($C$18:$C$2015,Y$13,$D$18:$D$2015,"&gt;="&amp;Y132,$D$18:$D$2015,"&lt;"&amp;Y133))</f>
        <v/>
      </c>
      <c r="AA132" s="14" t="n"/>
      <c r="AB132" s="16" t="n"/>
      <c r="AC132" s="124">
        <f>IF(AB132="","",COUNTIFS($C$18:$C$2015,AB$13,$D$18:$D$2015,"&gt;="&amp;AB132,$D$18:$D$2015,"&lt;"&amp;AB133))</f>
        <v/>
      </c>
      <c r="AD132" s="14" t="n"/>
    </row>
    <row r="133">
      <c r="A133" s="58" t="n"/>
      <c r="B133" s="59" t="n"/>
      <c r="C133" s="59" t="n"/>
      <c r="E133" s="16" t="n"/>
      <c r="F133" s="13" t="n"/>
      <c r="G133" s="16" t="n"/>
      <c r="H133" s="124">
        <f>IF(G133="","",COUNTIFS($C$18:$C$2015,G$13,$D$18:$D$2015,"&gt;="&amp;G133,$D$18:$D$2015,"&lt;"&amp;G134))</f>
        <v/>
      </c>
      <c r="I133" s="14" t="n"/>
      <c r="J133" s="16" t="n"/>
      <c r="K133" s="124">
        <f>IF(J133="","",COUNTIFS($C$18:$C$2015,J$13,$D$18:$D$2015,"&gt;="&amp;J133,$D$18:$D$2015,"&lt;"&amp;J134))</f>
        <v/>
      </c>
      <c r="L133" s="14" t="n"/>
      <c r="M133" s="16" t="n"/>
      <c r="N133" s="124">
        <f>IF(M133="","",COUNTIFS($C$18:$C$2015,M$13,$D$18:$D$2015,"&gt;="&amp;M133,$D$18:$D$2015,"&lt;"&amp;M134))</f>
        <v/>
      </c>
      <c r="O133" s="14" t="n"/>
      <c r="P133" s="16" t="n"/>
      <c r="Q133" s="124">
        <f>IF(P133="","",COUNTIFS($C$18:$C$2015,P$13,$D$18:$D$2015,"&gt;="&amp;P133,$D$18:$D$2015,"&lt;"&amp;P134))</f>
        <v/>
      </c>
      <c r="R133" s="14" t="n"/>
      <c r="S133" s="16" t="n"/>
      <c r="T133" s="124">
        <f>IF(S133="","",COUNTIFS($C$18:$C$2015,S$13,$D$18:$D$2015,"&gt;="&amp;S133,$D$18:$D$2015,"&lt;"&amp;S134))</f>
        <v/>
      </c>
      <c r="U133" s="14" t="n"/>
      <c r="V133" s="16" t="n"/>
      <c r="W133" s="124">
        <f>IF(V133="","",COUNTIFS($C$18:$C$2015,V$13,$D$18:$D$2015,"&gt;="&amp;V133,$D$18:$D$2015,"&lt;"&amp;V134))</f>
        <v/>
      </c>
      <c r="X133" s="14" t="n"/>
      <c r="Y133" s="16" t="n"/>
      <c r="Z133" s="124">
        <f>IF(Y133="","",COUNTIFS($C$18:$C$2015,Y$13,$D$18:$D$2015,"&gt;="&amp;Y133,$D$18:$D$2015,"&lt;"&amp;Y134))</f>
        <v/>
      </c>
      <c r="AA133" s="14" t="n"/>
      <c r="AB133" s="16" t="n"/>
      <c r="AC133" s="124">
        <f>IF(AB133="","",COUNTIFS($C$18:$C$2015,AB$13,$D$18:$D$2015,"&gt;="&amp;AB133,$D$18:$D$2015,"&lt;"&amp;AB134))</f>
        <v/>
      </c>
      <c r="AD133" s="14" t="n"/>
    </row>
    <row r="134">
      <c r="A134" s="56" t="n"/>
      <c r="B134" s="57" t="n"/>
      <c r="C134" s="59" t="n"/>
      <c r="E134" s="16" t="n"/>
      <c r="F134" s="13" t="n"/>
      <c r="G134" s="16" t="n"/>
      <c r="H134" s="124">
        <f>IF(G134="","",COUNTIFS($C$18:$C$2015,G$13,$D$18:$D$2015,"&gt;="&amp;G134,$D$18:$D$2015,"&lt;"&amp;G135))</f>
        <v/>
      </c>
      <c r="I134" s="14" t="n"/>
      <c r="J134" s="16" t="n"/>
      <c r="K134" s="124">
        <f>IF(J134="","",COUNTIFS($C$18:$C$2015,J$13,$D$18:$D$2015,"&gt;="&amp;J134,$D$18:$D$2015,"&lt;"&amp;J135))</f>
        <v/>
      </c>
      <c r="L134" s="14" t="n"/>
      <c r="M134" s="16" t="n"/>
      <c r="N134" s="124">
        <f>IF(M134="","",COUNTIFS($C$18:$C$2015,M$13,$D$18:$D$2015,"&gt;="&amp;M134,$D$18:$D$2015,"&lt;"&amp;M135))</f>
        <v/>
      </c>
      <c r="O134" s="14" t="n"/>
      <c r="P134" s="16" t="n"/>
      <c r="Q134" s="124">
        <f>IF(P134="","",COUNTIFS($C$18:$C$2015,P$13,$D$18:$D$2015,"&gt;="&amp;P134,$D$18:$D$2015,"&lt;"&amp;P135))</f>
        <v/>
      </c>
      <c r="R134" s="14" t="n"/>
      <c r="S134" s="16" t="n"/>
      <c r="T134" s="124">
        <f>IF(S134="","",COUNTIFS($C$18:$C$2015,S$13,$D$18:$D$2015,"&gt;="&amp;S134,$D$18:$D$2015,"&lt;"&amp;S135))</f>
        <v/>
      </c>
      <c r="U134" s="14" t="n"/>
      <c r="V134" s="16" t="n"/>
      <c r="W134" s="124">
        <f>IF(V134="","",COUNTIFS($C$18:$C$2015,V$13,$D$18:$D$2015,"&gt;="&amp;V134,$D$18:$D$2015,"&lt;"&amp;V135))</f>
        <v/>
      </c>
      <c r="X134" s="14" t="n"/>
      <c r="Y134" s="16" t="n"/>
      <c r="Z134" s="124">
        <f>IF(Y134="","",COUNTIFS($C$18:$C$2015,Y$13,$D$18:$D$2015,"&gt;="&amp;Y134,$D$18:$D$2015,"&lt;"&amp;Y135))</f>
        <v/>
      </c>
      <c r="AA134" s="14" t="n"/>
      <c r="AB134" s="16" t="n"/>
      <c r="AC134" s="124">
        <f>IF(AB134="","",COUNTIFS($C$18:$C$2015,AB$13,$D$18:$D$2015,"&gt;="&amp;AB134,$D$18:$D$2015,"&lt;"&amp;AB135))</f>
        <v/>
      </c>
      <c r="AD134" s="14" t="n"/>
    </row>
    <row r="135">
      <c r="A135" s="58" t="n"/>
      <c r="B135" s="59" t="n"/>
      <c r="C135" s="59" t="n"/>
      <c r="E135" s="16" t="n"/>
      <c r="F135" s="13" t="n"/>
      <c r="G135" s="16" t="n"/>
      <c r="H135" s="124">
        <f>IF(G135="","",COUNTIFS($C$18:$C$2015,G$13,$D$18:$D$2015,"&gt;="&amp;G135,$D$18:$D$2015,"&lt;"&amp;G136))</f>
        <v/>
      </c>
      <c r="I135" s="14" t="n"/>
      <c r="J135" s="16" t="n"/>
      <c r="K135" s="124">
        <f>IF(J135="","",COUNTIFS($C$18:$C$2015,J$13,$D$18:$D$2015,"&gt;="&amp;J135,$D$18:$D$2015,"&lt;"&amp;J136))</f>
        <v/>
      </c>
      <c r="L135" s="14" t="n"/>
      <c r="M135" s="16" t="n"/>
      <c r="N135" s="124">
        <f>IF(M135="","",COUNTIFS($C$18:$C$2015,M$13,$D$18:$D$2015,"&gt;="&amp;M135,$D$18:$D$2015,"&lt;"&amp;M136))</f>
        <v/>
      </c>
      <c r="O135" s="14" t="n"/>
      <c r="P135" s="16" t="n"/>
      <c r="Q135" s="124">
        <f>IF(P135="","",COUNTIFS($C$18:$C$2015,P$13,$D$18:$D$2015,"&gt;="&amp;P135,$D$18:$D$2015,"&lt;"&amp;P136))</f>
        <v/>
      </c>
      <c r="R135" s="14" t="n"/>
      <c r="S135" s="16" t="n"/>
      <c r="T135" s="124">
        <f>IF(S135="","",COUNTIFS($C$18:$C$2015,S$13,$D$18:$D$2015,"&gt;="&amp;S135,$D$18:$D$2015,"&lt;"&amp;S136))</f>
        <v/>
      </c>
      <c r="U135" s="14" t="n"/>
      <c r="V135" s="16" t="n"/>
      <c r="W135" s="124">
        <f>IF(V135="","",COUNTIFS($C$18:$C$2015,V$13,$D$18:$D$2015,"&gt;="&amp;V135,$D$18:$D$2015,"&lt;"&amp;V136))</f>
        <v/>
      </c>
      <c r="X135" s="14" t="n"/>
      <c r="Y135" s="16" t="n"/>
      <c r="Z135" s="124">
        <f>IF(Y135="","",COUNTIFS($C$18:$C$2015,Y$13,$D$18:$D$2015,"&gt;="&amp;Y135,$D$18:$D$2015,"&lt;"&amp;Y136))</f>
        <v/>
      </c>
      <c r="AA135" s="14" t="n"/>
      <c r="AB135" s="16" t="n"/>
      <c r="AC135" s="124">
        <f>IF(AB135="","",COUNTIFS($C$18:$C$2015,AB$13,$D$18:$D$2015,"&gt;="&amp;AB135,$D$18:$D$2015,"&lt;"&amp;AB136))</f>
        <v/>
      </c>
      <c r="AD135" s="14" t="n"/>
    </row>
    <row r="136">
      <c r="A136" s="56" t="n"/>
      <c r="B136" s="57" t="n"/>
      <c r="C136" s="59" t="n"/>
      <c r="E136" s="16" t="n"/>
      <c r="F136" s="13" t="n"/>
      <c r="G136" s="16" t="n"/>
      <c r="H136" s="124">
        <f>IF(G136="","",COUNTIFS($C$18:$C$2015,G$13,$D$18:$D$2015,"&gt;="&amp;G136,$D$18:$D$2015,"&lt;"&amp;G137))</f>
        <v/>
      </c>
      <c r="I136" s="14" t="n"/>
      <c r="J136" s="16" t="n"/>
      <c r="K136" s="124">
        <f>IF(J136="","",COUNTIFS($C$18:$C$2015,J$13,$D$18:$D$2015,"&gt;="&amp;J136,$D$18:$D$2015,"&lt;"&amp;J137))</f>
        <v/>
      </c>
      <c r="L136" s="14" t="n"/>
      <c r="M136" s="16" t="n"/>
      <c r="N136" s="124">
        <f>IF(M136="","",COUNTIFS($C$18:$C$2015,M$13,$D$18:$D$2015,"&gt;="&amp;M136,$D$18:$D$2015,"&lt;"&amp;M137))</f>
        <v/>
      </c>
      <c r="O136" s="14" t="n"/>
      <c r="P136" s="16" t="n"/>
      <c r="Q136" s="124">
        <f>IF(P136="","",COUNTIFS($C$18:$C$2015,P$13,$D$18:$D$2015,"&gt;="&amp;P136,$D$18:$D$2015,"&lt;"&amp;P137))</f>
        <v/>
      </c>
      <c r="R136" s="14" t="n"/>
      <c r="S136" s="16" t="n"/>
      <c r="T136" s="124">
        <f>IF(S136="","",COUNTIFS($C$18:$C$2015,S$13,$D$18:$D$2015,"&gt;="&amp;S136,$D$18:$D$2015,"&lt;"&amp;S137))</f>
        <v/>
      </c>
      <c r="U136" s="14" t="n"/>
      <c r="V136" s="16" t="n"/>
      <c r="W136" s="124">
        <f>IF(V136="","",COUNTIFS($C$18:$C$2015,V$13,$D$18:$D$2015,"&gt;="&amp;V136,$D$18:$D$2015,"&lt;"&amp;V137))</f>
        <v/>
      </c>
      <c r="X136" s="14" t="n"/>
      <c r="Y136" s="16" t="n"/>
      <c r="Z136" s="124">
        <f>IF(Y136="","",COUNTIFS($C$18:$C$2015,Y$13,$D$18:$D$2015,"&gt;="&amp;Y136,$D$18:$D$2015,"&lt;"&amp;Y137))</f>
        <v/>
      </c>
      <c r="AA136" s="14" t="n"/>
      <c r="AB136" s="16" t="n"/>
      <c r="AC136" s="124">
        <f>IF(AB136="","",COUNTIFS($C$18:$C$2015,AB$13,$D$18:$D$2015,"&gt;="&amp;AB136,$D$18:$D$2015,"&lt;"&amp;AB137))</f>
        <v/>
      </c>
      <c r="AD136" s="14" t="n"/>
    </row>
    <row r="137">
      <c r="A137" s="58" t="n"/>
      <c r="B137" s="59" t="n"/>
      <c r="C137" s="59" t="n"/>
      <c r="E137" s="16" t="n"/>
      <c r="F137" s="13" t="n"/>
      <c r="G137" s="16" t="n"/>
      <c r="H137" s="124">
        <f>IF(G137="","",COUNTIFS($C$18:$C$2015,G$13,$D$18:$D$2015,"&gt;="&amp;G137,$D$18:$D$2015,"&lt;"&amp;G138))</f>
        <v/>
      </c>
      <c r="I137" s="14" t="n"/>
      <c r="J137" s="16" t="n"/>
      <c r="K137" s="124">
        <f>IF(J137="","",COUNTIFS($C$18:$C$2015,J$13,$D$18:$D$2015,"&gt;="&amp;J137,$D$18:$D$2015,"&lt;"&amp;J138))</f>
        <v/>
      </c>
      <c r="L137" s="14" t="n"/>
      <c r="M137" s="16" t="n"/>
      <c r="N137" s="124">
        <f>IF(M137="","",COUNTIFS($C$18:$C$2015,M$13,$D$18:$D$2015,"&gt;="&amp;M137,$D$18:$D$2015,"&lt;"&amp;M138))</f>
        <v/>
      </c>
      <c r="O137" s="14" t="n"/>
      <c r="P137" s="16" t="n"/>
      <c r="Q137" s="124">
        <f>IF(P137="","",COUNTIFS($C$18:$C$2015,P$13,$D$18:$D$2015,"&gt;="&amp;P137,$D$18:$D$2015,"&lt;"&amp;P138))</f>
        <v/>
      </c>
      <c r="R137" s="14" t="n"/>
      <c r="S137" s="16" t="n"/>
      <c r="T137" s="124">
        <f>IF(S137="","",COUNTIFS($C$18:$C$2015,S$13,$D$18:$D$2015,"&gt;="&amp;S137,$D$18:$D$2015,"&lt;"&amp;S138))</f>
        <v/>
      </c>
      <c r="U137" s="14" t="n"/>
      <c r="V137" s="16" t="n"/>
      <c r="W137" s="124">
        <f>IF(V137="","",COUNTIFS($C$18:$C$2015,V$13,$D$18:$D$2015,"&gt;="&amp;V137,$D$18:$D$2015,"&lt;"&amp;V138))</f>
        <v/>
      </c>
      <c r="X137" s="14" t="n"/>
      <c r="Y137" s="16" t="n"/>
      <c r="Z137" s="124">
        <f>IF(Y137="","",COUNTIFS($C$18:$C$2015,Y$13,$D$18:$D$2015,"&gt;="&amp;Y137,$D$18:$D$2015,"&lt;"&amp;Y138))</f>
        <v/>
      </c>
      <c r="AA137" s="14" t="n"/>
      <c r="AB137" s="16" t="n"/>
      <c r="AC137" s="124">
        <f>IF(AB137="","",COUNTIFS($C$18:$C$2015,AB$13,$D$18:$D$2015,"&gt;="&amp;AB137,$D$18:$D$2015,"&lt;"&amp;AB138))</f>
        <v/>
      </c>
      <c r="AD137" s="14" t="n"/>
    </row>
    <row r="138">
      <c r="A138" s="56" t="n"/>
      <c r="B138" s="57" t="n"/>
      <c r="C138" s="59" t="n"/>
      <c r="E138" s="16" t="n"/>
      <c r="F138" s="13" t="n"/>
      <c r="G138" s="16" t="n"/>
      <c r="H138" s="124">
        <f>IF(G138="","",COUNTIFS($C$18:$C$2015,G$13,$D$18:$D$2015,"&gt;="&amp;G138,$D$18:$D$2015,"&lt;"&amp;G139))</f>
        <v/>
      </c>
      <c r="I138" s="14" t="n"/>
      <c r="J138" s="16" t="n"/>
      <c r="K138" s="124">
        <f>IF(J138="","",COUNTIFS($C$18:$C$2015,J$13,$D$18:$D$2015,"&gt;="&amp;J138,$D$18:$D$2015,"&lt;"&amp;J139))</f>
        <v/>
      </c>
      <c r="L138" s="14" t="n"/>
      <c r="M138" s="16" t="n"/>
      <c r="N138" s="124">
        <f>IF(M138="","",COUNTIFS($C$18:$C$2015,M$13,$D$18:$D$2015,"&gt;="&amp;M138,$D$18:$D$2015,"&lt;"&amp;M139))</f>
        <v/>
      </c>
      <c r="O138" s="14" t="n"/>
      <c r="P138" s="16" t="n"/>
      <c r="Q138" s="124">
        <f>IF(P138="","",COUNTIFS($C$18:$C$2015,P$13,$D$18:$D$2015,"&gt;="&amp;P138,$D$18:$D$2015,"&lt;"&amp;P139))</f>
        <v/>
      </c>
      <c r="R138" s="14" t="n"/>
      <c r="S138" s="16" t="n"/>
      <c r="T138" s="124">
        <f>IF(S138="","",COUNTIFS($C$18:$C$2015,S$13,$D$18:$D$2015,"&gt;="&amp;S138,$D$18:$D$2015,"&lt;"&amp;S139))</f>
        <v/>
      </c>
      <c r="U138" s="14" t="n"/>
      <c r="V138" s="16" t="n"/>
      <c r="W138" s="124">
        <f>IF(V138="","",COUNTIFS($C$18:$C$2015,V$13,$D$18:$D$2015,"&gt;="&amp;V138,$D$18:$D$2015,"&lt;"&amp;V139))</f>
        <v/>
      </c>
      <c r="X138" s="14" t="n"/>
      <c r="Y138" s="16" t="n"/>
      <c r="Z138" s="124">
        <f>IF(Y138="","",COUNTIFS($C$18:$C$2015,Y$13,$D$18:$D$2015,"&gt;="&amp;Y138,$D$18:$D$2015,"&lt;"&amp;Y139))</f>
        <v/>
      </c>
      <c r="AA138" s="14" t="n"/>
      <c r="AB138" s="16" t="n"/>
      <c r="AC138" s="124">
        <f>IF(AB138="","",COUNTIFS($C$18:$C$2015,AB$13,$D$18:$D$2015,"&gt;="&amp;AB138,$D$18:$D$2015,"&lt;"&amp;AB139))</f>
        <v/>
      </c>
      <c r="AD138" s="14" t="n"/>
    </row>
    <row r="139">
      <c r="A139" s="58" t="n"/>
      <c r="B139" s="59" t="n"/>
      <c r="C139" s="59" t="n"/>
      <c r="E139" s="16" t="n"/>
      <c r="F139" s="13" t="n"/>
      <c r="G139" s="16" t="n"/>
      <c r="H139" s="124">
        <f>IF(G139="","",COUNTIFS($C$18:$C$2015,G$13,$D$18:$D$2015,"&gt;="&amp;G139,$D$18:$D$2015,"&lt;"&amp;G140))</f>
        <v/>
      </c>
      <c r="I139" s="14" t="n"/>
      <c r="J139" s="16" t="n"/>
      <c r="K139" s="124">
        <f>IF(J139="","",COUNTIFS($C$18:$C$2015,J$13,$D$18:$D$2015,"&gt;="&amp;J139,$D$18:$D$2015,"&lt;"&amp;J140))</f>
        <v/>
      </c>
      <c r="L139" s="14" t="n"/>
      <c r="M139" s="16" t="n"/>
      <c r="N139" s="124">
        <f>IF(M139="","",COUNTIFS($C$18:$C$2015,M$13,$D$18:$D$2015,"&gt;="&amp;M139,$D$18:$D$2015,"&lt;"&amp;M140))</f>
        <v/>
      </c>
      <c r="O139" s="14" t="n"/>
      <c r="P139" s="16" t="n"/>
      <c r="Q139" s="124">
        <f>IF(P139="","",COUNTIFS($C$18:$C$2015,P$13,$D$18:$D$2015,"&gt;="&amp;P139,$D$18:$D$2015,"&lt;"&amp;P140))</f>
        <v/>
      </c>
      <c r="R139" s="14" t="n"/>
      <c r="S139" s="16" t="n"/>
      <c r="T139" s="124">
        <f>IF(S139="","",COUNTIFS($C$18:$C$2015,S$13,$D$18:$D$2015,"&gt;="&amp;S139,$D$18:$D$2015,"&lt;"&amp;S140))</f>
        <v/>
      </c>
      <c r="U139" s="14" t="n"/>
      <c r="V139" s="16" t="n"/>
      <c r="W139" s="124">
        <f>IF(V139="","",COUNTIFS($C$18:$C$2015,V$13,$D$18:$D$2015,"&gt;="&amp;V139,$D$18:$D$2015,"&lt;"&amp;V140))</f>
        <v/>
      </c>
      <c r="X139" s="14" t="n"/>
      <c r="Y139" s="16" t="n"/>
      <c r="Z139" s="124">
        <f>IF(Y139="","",COUNTIFS($C$18:$C$2015,Y$13,$D$18:$D$2015,"&gt;="&amp;Y139,$D$18:$D$2015,"&lt;"&amp;Y140))</f>
        <v/>
      </c>
      <c r="AA139" s="14" t="n"/>
      <c r="AB139" s="16" t="n"/>
      <c r="AC139" s="124">
        <f>IF(AB139="","",COUNTIFS($C$18:$C$2015,AB$13,$D$18:$D$2015,"&gt;="&amp;AB139,$D$18:$D$2015,"&lt;"&amp;AB140))</f>
        <v/>
      </c>
      <c r="AD139" s="14" t="n"/>
    </row>
    <row r="140">
      <c r="A140" s="56" t="n"/>
      <c r="B140" s="57" t="n"/>
      <c r="C140" s="59" t="n"/>
      <c r="E140" s="16" t="n"/>
      <c r="F140" s="13" t="n"/>
      <c r="G140" s="16" t="n"/>
      <c r="H140" s="124">
        <f>IF(G140="","",COUNTIFS($C$18:$C$2015,G$13,$D$18:$D$2015,"&gt;="&amp;G140,$D$18:$D$2015,"&lt;"&amp;G141))</f>
        <v/>
      </c>
      <c r="I140" s="14" t="n"/>
      <c r="J140" s="16" t="n"/>
      <c r="K140" s="124">
        <f>IF(J140="","",COUNTIFS($C$18:$C$2015,J$13,$D$18:$D$2015,"&gt;="&amp;J140,$D$18:$D$2015,"&lt;"&amp;J141))</f>
        <v/>
      </c>
      <c r="L140" s="14" t="n"/>
      <c r="M140" s="16" t="n"/>
      <c r="N140" s="124">
        <f>IF(M140="","",COUNTIFS($C$18:$C$2015,M$13,$D$18:$D$2015,"&gt;="&amp;M140,$D$18:$D$2015,"&lt;"&amp;M141))</f>
        <v/>
      </c>
      <c r="O140" s="14" t="n"/>
      <c r="P140" s="16" t="n"/>
      <c r="Q140" s="124">
        <f>IF(P140="","",COUNTIFS($C$18:$C$2015,P$13,$D$18:$D$2015,"&gt;="&amp;P140,$D$18:$D$2015,"&lt;"&amp;P141))</f>
        <v/>
      </c>
      <c r="R140" s="14" t="n"/>
      <c r="S140" s="16" t="n"/>
      <c r="T140" s="124">
        <f>IF(S140="","",COUNTIFS($C$18:$C$2015,S$13,$D$18:$D$2015,"&gt;="&amp;S140,$D$18:$D$2015,"&lt;"&amp;S141))</f>
        <v/>
      </c>
      <c r="U140" s="14" t="n"/>
      <c r="V140" s="16" t="n"/>
      <c r="W140" s="124">
        <f>IF(V140="","",COUNTIFS($C$18:$C$2015,V$13,$D$18:$D$2015,"&gt;="&amp;V140,$D$18:$D$2015,"&lt;"&amp;V141))</f>
        <v/>
      </c>
      <c r="X140" s="14" t="n"/>
      <c r="Y140" s="16" t="n"/>
      <c r="Z140" s="124">
        <f>IF(Y140="","",COUNTIFS($C$18:$C$2015,Y$13,$D$18:$D$2015,"&gt;="&amp;Y140,$D$18:$D$2015,"&lt;"&amp;Y141))</f>
        <v/>
      </c>
      <c r="AA140" s="14" t="n"/>
      <c r="AB140" s="16" t="n"/>
      <c r="AC140" s="124">
        <f>IF(AB140="","",COUNTIFS($C$18:$C$2015,AB$13,$D$18:$D$2015,"&gt;="&amp;AB140,$D$18:$D$2015,"&lt;"&amp;AB141))</f>
        <v/>
      </c>
      <c r="AD140" s="14" t="n"/>
    </row>
    <row r="141">
      <c r="A141" s="58" t="n"/>
      <c r="B141" s="59" t="n"/>
      <c r="C141" s="59" t="n"/>
      <c r="E141" s="16" t="n"/>
      <c r="F141" s="13" t="n"/>
      <c r="G141" s="16" t="n"/>
      <c r="H141" s="124">
        <f>IF(G141="","",COUNTIFS($C$18:$C$2015,G$13,$D$18:$D$2015,"&gt;="&amp;G141,$D$18:$D$2015,"&lt;"&amp;G142))</f>
        <v/>
      </c>
      <c r="I141" s="14" t="n"/>
      <c r="J141" s="16" t="n"/>
      <c r="K141" s="124">
        <f>IF(J141="","",COUNTIFS($C$18:$C$2015,J$13,$D$18:$D$2015,"&gt;="&amp;J141,$D$18:$D$2015,"&lt;"&amp;J142))</f>
        <v/>
      </c>
      <c r="L141" s="14" t="n"/>
      <c r="M141" s="16" t="n"/>
      <c r="N141" s="124">
        <f>IF(M141="","",COUNTIFS($C$18:$C$2015,M$13,$D$18:$D$2015,"&gt;="&amp;M141,$D$18:$D$2015,"&lt;"&amp;M142))</f>
        <v/>
      </c>
      <c r="O141" s="14" t="n"/>
      <c r="P141" s="16" t="n"/>
      <c r="Q141" s="124">
        <f>IF(P141="","",COUNTIFS($C$18:$C$2015,P$13,$D$18:$D$2015,"&gt;="&amp;P141,$D$18:$D$2015,"&lt;"&amp;P142))</f>
        <v/>
      </c>
      <c r="R141" s="14" t="n"/>
      <c r="S141" s="16" t="n"/>
      <c r="T141" s="124">
        <f>IF(S141="","",COUNTIFS($C$18:$C$2015,S$13,$D$18:$D$2015,"&gt;="&amp;S141,$D$18:$D$2015,"&lt;"&amp;S142))</f>
        <v/>
      </c>
      <c r="U141" s="14" t="n"/>
      <c r="V141" s="16" t="n"/>
      <c r="W141" s="124">
        <f>IF(V141="","",COUNTIFS($C$18:$C$2015,V$13,$D$18:$D$2015,"&gt;="&amp;V141,$D$18:$D$2015,"&lt;"&amp;V142))</f>
        <v/>
      </c>
      <c r="X141" s="14" t="n"/>
      <c r="Y141" s="16" t="n"/>
      <c r="Z141" s="124">
        <f>IF(Y141="","",COUNTIFS($C$18:$C$2015,Y$13,$D$18:$D$2015,"&gt;="&amp;Y141,$D$18:$D$2015,"&lt;"&amp;Y142))</f>
        <v/>
      </c>
      <c r="AA141" s="14" t="n"/>
      <c r="AB141" s="16" t="n"/>
      <c r="AC141" s="124">
        <f>IF(AB141="","",COUNTIFS($C$18:$C$2015,AB$13,$D$18:$D$2015,"&gt;="&amp;AB141,$D$18:$D$2015,"&lt;"&amp;AB142))</f>
        <v/>
      </c>
      <c r="AD141" s="14" t="n"/>
    </row>
    <row r="142">
      <c r="A142" s="56" t="n"/>
      <c r="B142" s="57" t="n"/>
      <c r="C142" s="59" t="n"/>
      <c r="E142" s="16" t="n"/>
      <c r="F142" s="13" t="n"/>
      <c r="G142" s="16" t="n"/>
      <c r="H142" s="124">
        <f>IF(G142="","",COUNTIFS($C$18:$C$2015,G$13,$D$18:$D$2015,"&gt;="&amp;G142,$D$18:$D$2015,"&lt;"&amp;G143))</f>
        <v/>
      </c>
      <c r="I142" s="14" t="n"/>
      <c r="J142" s="16" t="n"/>
      <c r="K142" s="124">
        <f>IF(J142="","",COUNTIFS($C$18:$C$2015,J$13,$D$18:$D$2015,"&gt;="&amp;J142,$D$18:$D$2015,"&lt;"&amp;J143))</f>
        <v/>
      </c>
      <c r="L142" s="14" t="n"/>
      <c r="M142" s="16" t="n"/>
      <c r="N142" s="124">
        <f>IF(M142="","",COUNTIFS($C$18:$C$2015,M$13,$D$18:$D$2015,"&gt;="&amp;M142,$D$18:$D$2015,"&lt;"&amp;M143))</f>
        <v/>
      </c>
      <c r="O142" s="14" t="n"/>
      <c r="P142" s="16" t="n"/>
      <c r="Q142" s="124">
        <f>IF(P142="","",COUNTIFS($C$18:$C$2015,P$13,$D$18:$D$2015,"&gt;="&amp;P142,$D$18:$D$2015,"&lt;"&amp;P143))</f>
        <v/>
      </c>
      <c r="R142" s="14" t="n"/>
      <c r="S142" s="16" t="n"/>
      <c r="T142" s="124">
        <f>IF(S142="","",COUNTIFS($C$18:$C$2015,S$13,$D$18:$D$2015,"&gt;="&amp;S142,$D$18:$D$2015,"&lt;"&amp;S143))</f>
        <v/>
      </c>
      <c r="U142" s="14" t="n"/>
      <c r="V142" s="16" t="n"/>
      <c r="W142" s="124">
        <f>IF(V142="","",COUNTIFS($C$18:$C$2015,V$13,$D$18:$D$2015,"&gt;="&amp;V142,$D$18:$D$2015,"&lt;"&amp;V143))</f>
        <v/>
      </c>
      <c r="X142" s="14" t="n"/>
      <c r="Y142" s="16" t="n"/>
      <c r="Z142" s="124">
        <f>IF(Y142="","",COUNTIFS($C$18:$C$2015,Y$13,$D$18:$D$2015,"&gt;="&amp;Y142,$D$18:$D$2015,"&lt;"&amp;Y143))</f>
        <v/>
      </c>
      <c r="AA142" s="14" t="n"/>
      <c r="AB142" s="16" t="n"/>
      <c r="AC142" s="124">
        <f>IF(AB142="","",COUNTIFS($C$18:$C$2015,AB$13,$D$18:$D$2015,"&gt;="&amp;AB142,$D$18:$D$2015,"&lt;"&amp;AB143))</f>
        <v/>
      </c>
      <c r="AD142" s="14" t="n"/>
    </row>
    <row r="143">
      <c r="A143" s="58" t="n"/>
      <c r="B143" s="59" t="n"/>
      <c r="C143" s="59" t="n"/>
      <c r="E143" s="16" t="n"/>
      <c r="F143" s="13" t="n"/>
      <c r="G143" s="16" t="n"/>
      <c r="H143" s="124">
        <f>IF(G143="","",COUNTIFS($C$18:$C$2015,G$13,$D$18:$D$2015,"&gt;="&amp;G143,$D$18:$D$2015,"&lt;"&amp;G144))</f>
        <v/>
      </c>
      <c r="I143" s="14" t="n"/>
      <c r="J143" s="16" t="n"/>
      <c r="K143" s="124">
        <f>IF(J143="","",COUNTIFS($C$18:$C$2015,J$13,$D$18:$D$2015,"&gt;="&amp;J143,$D$18:$D$2015,"&lt;"&amp;J144))</f>
        <v/>
      </c>
      <c r="L143" s="14" t="n"/>
      <c r="M143" s="16" t="n"/>
      <c r="N143" s="124">
        <f>IF(M143="","",COUNTIFS($C$18:$C$2015,M$13,$D$18:$D$2015,"&gt;="&amp;M143,$D$18:$D$2015,"&lt;"&amp;M144))</f>
        <v/>
      </c>
      <c r="O143" s="14" t="n"/>
      <c r="P143" s="16" t="n"/>
      <c r="Q143" s="124">
        <f>IF(P143="","",COUNTIFS($C$18:$C$2015,P$13,$D$18:$D$2015,"&gt;="&amp;P143,$D$18:$D$2015,"&lt;"&amp;P144))</f>
        <v/>
      </c>
      <c r="R143" s="14" t="n"/>
      <c r="S143" s="16" t="n"/>
      <c r="T143" s="124">
        <f>IF(S143="","",COUNTIFS($C$18:$C$2015,S$13,$D$18:$D$2015,"&gt;="&amp;S143,$D$18:$D$2015,"&lt;"&amp;S144))</f>
        <v/>
      </c>
      <c r="U143" s="14" t="n"/>
      <c r="V143" s="16" t="n"/>
      <c r="W143" s="124">
        <f>IF(V143="","",COUNTIFS($C$18:$C$2015,V$13,$D$18:$D$2015,"&gt;="&amp;V143,$D$18:$D$2015,"&lt;"&amp;V144))</f>
        <v/>
      </c>
      <c r="X143" s="14" t="n"/>
      <c r="Y143" s="16" t="n"/>
      <c r="Z143" s="124">
        <f>IF(Y143="","",COUNTIFS($C$18:$C$2015,Y$13,$D$18:$D$2015,"&gt;="&amp;Y143,$D$18:$D$2015,"&lt;"&amp;Y144))</f>
        <v/>
      </c>
      <c r="AA143" s="14" t="n"/>
      <c r="AB143" s="16" t="n"/>
      <c r="AC143" s="124">
        <f>IF(AB143="","",COUNTIFS($C$18:$C$2015,AB$13,$D$18:$D$2015,"&gt;="&amp;AB143,$D$18:$D$2015,"&lt;"&amp;AB144))</f>
        <v/>
      </c>
      <c r="AD143" s="14" t="n"/>
    </row>
    <row r="144">
      <c r="A144" s="56" t="n"/>
      <c r="B144" s="57" t="n"/>
      <c r="C144" s="59" t="n"/>
      <c r="E144" s="16" t="n"/>
      <c r="F144" s="13" t="n"/>
      <c r="G144" s="16" t="n"/>
      <c r="H144" s="124">
        <f>IF(G144="","",COUNTIFS($C$18:$C$2015,G$13,$D$18:$D$2015,"&gt;="&amp;G144,$D$18:$D$2015,"&lt;"&amp;G145))</f>
        <v/>
      </c>
      <c r="I144" s="14" t="n"/>
      <c r="J144" s="16" t="n"/>
      <c r="K144" s="124">
        <f>IF(J144="","",COUNTIFS($C$18:$C$2015,J$13,$D$18:$D$2015,"&gt;="&amp;J144,$D$18:$D$2015,"&lt;"&amp;J145))</f>
        <v/>
      </c>
      <c r="L144" s="14" t="n"/>
      <c r="M144" s="16" t="n"/>
      <c r="N144" s="124">
        <f>IF(M144="","",COUNTIFS($C$18:$C$2015,M$13,$D$18:$D$2015,"&gt;="&amp;M144,$D$18:$D$2015,"&lt;"&amp;M145))</f>
        <v/>
      </c>
      <c r="O144" s="14" t="n"/>
      <c r="P144" s="16" t="n"/>
      <c r="Q144" s="124">
        <f>IF(P144="","",COUNTIFS($C$18:$C$2015,P$13,$D$18:$D$2015,"&gt;="&amp;P144,$D$18:$D$2015,"&lt;"&amp;P145))</f>
        <v/>
      </c>
      <c r="R144" s="14" t="n"/>
      <c r="S144" s="16" t="n"/>
      <c r="T144" s="124">
        <f>IF(S144="","",COUNTIFS($C$18:$C$2015,S$13,$D$18:$D$2015,"&gt;="&amp;S144,$D$18:$D$2015,"&lt;"&amp;S145))</f>
        <v/>
      </c>
      <c r="U144" s="14" t="n"/>
      <c r="V144" s="16" t="n"/>
      <c r="W144" s="124">
        <f>IF(V144="","",COUNTIFS($C$18:$C$2015,V$13,$D$18:$D$2015,"&gt;="&amp;V144,$D$18:$D$2015,"&lt;"&amp;V145))</f>
        <v/>
      </c>
      <c r="X144" s="14" t="n"/>
      <c r="Y144" s="16" t="n"/>
      <c r="Z144" s="124">
        <f>IF(Y144="","",COUNTIFS($C$18:$C$2015,Y$13,$D$18:$D$2015,"&gt;="&amp;Y144,$D$18:$D$2015,"&lt;"&amp;Y145))</f>
        <v/>
      </c>
      <c r="AA144" s="14" t="n"/>
      <c r="AB144" s="16" t="n"/>
      <c r="AC144" s="124">
        <f>IF(AB144="","",COUNTIFS($C$18:$C$2015,AB$13,$D$18:$D$2015,"&gt;="&amp;AB144,$D$18:$D$2015,"&lt;"&amp;AB145))</f>
        <v/>
      </c>
      <c r="AD144" s="14" t="n"/>
    </row>
    <row r="145">
      <c r="A145" s="58" t="n"/>
      <c r="B145" s="59" t="n"/>
      <c r="C145" s="59" t="n"/>
      <c r="E145" s="16" t="n"/>
      <c r="F145" s="13" t="n"/>
      <c r="G145" s="16" t="n"/>
      <c r="H145" s="124">
        <f>IF(G145="","",COUNTIFS($C$18:$C$2015,G$13,$D$18:$D$2015,"&gt;="&amp;G145,$D$18:$D$2015,"&lt;"&amp;G146))</f>
        <v/>
      </c>
      <c r="I145" s="14" t="n"/>
      <c r="J145" s="16" t="n"/>
      <c r="K145" s="124">
        <f>IF(J145="","",COUNTIFS($C$18:$C$2015,J$13,$D$18:$D$2015,"&gt;="&amp;J145,$D$18:$D$2015,"&lt;"&amp;J146))</f>
        <v/>
      </c>
      <c r="L145" s="14" t="n"/>
      <c r="M145" s="16" t="n"/>
      <c r="N145" s="124">
        <f>IF(M145="","",COUNTIFS($C$18:$C$2015,M$13,$D$18:$D$2015,"&gt;="&amp;M145,$D$18:$D$2015,"&lt;"&amp;M146))</f>
        <v/>
      </c>
      <c r="O145" s="14" t="n"/>
      <c r="P145" s="16" t="n"/>
      <c r="Q145" s="124">
        <f>IF(P145="","",COUNTIFS($C$18:$C$2015,P$13,$D$18:$D$2015,"&gt;="&amp;P145,$D$18:$D$2015,"&lt;"&amp;P146))</f>
        <v/>
      </c>
      <c r="R145" s="14" t="n"/>
      <c r="S145" s="16" t="n"/>
      <c r="T145" s="124">
        <f>IF(S145="","",COUNTIFS($C$18:$C$2015,S$13,$D$18:$D$2015,"&gt;="&amp;S145,$D$18:$D$2015,"&lt;"&amp;S146))</f>
        <v/>
      </c>
      <c r="U145" s="14" t="n"/>
      <c r="V145" s="16" t="n"/>
      <c r="W145" s="124">
        <f>IF(V145="","",COUNTIFS($C$18:$C$2015,V$13,$D$18:$D$2015,"&gt;="&amp;V145,$D$18:$D$2015,"&lt;"&amp;V146))</f>
        <v/>
      </c>
      <c r="X145" s="14" t="n"/>
      <c r="Y145" s="16" t="n"/>
      <c r="Z145" s="124">
        <f>IF(Y145="","",COUNTIFS($C$18:$C$2015,Y$13,$D$18:$D$2015,"&gt;="&amp;Y145,$D$18:$D$2015,"&lt;"&amp;Y146))</f>
        <v/>
      </c>
      <c r="AA145" s="14" t="n"/>
      <c r="AB145" s="16" t="n"/>
      <c r="AC145" s="124">
        <f>IF(AB145="","",COUNTIFS($C$18:$C$2015,AB$13,$D$18:$D$2015,"&gt;="&amp;AB145,$D$18:$D$2015,"&lt;"&amp;AB146))</f>
        <v/>
      </c>
      <c r="AD145" s="14" t="n"/>
    </row>
    <row r="146">
      <c r="A146" s="56" t="n"/>
      <c r="B146" s="57" t="n"/>
      <c r="C146" s="59" t="n"/>
      <c r="E146" s="16" t="n"/>
      <c r="F146" s="13" t="n"/>
      <c r="G146" s="16" t="n"/>
      <c r="H146" s="124">
        <f>IF(G146="","",COUNTIFS($C$18:$C$2015,G$13,$D$18:$D$2015,"&gt;="&amp;G146,$D$18:$D$2015,"&lt;"&amp;G147))</f>
        <v/>
      </c>
      <c r="I146" s="14" t="n"/>
      <c r="J146" s="16" t="n"/>
      <c r="K146" s="124">
        <f>IF(J146="","",COUNTIFS($C$18:$C$2015,J$13,$D$18:$D$2015,"&gt;="&amp;J146,$D$18:$D$2015,"&lt;"&amp;J147))</f>
        <v/>
      </c>
      <c r="L146" s="14" t="n"/>
      <c r="M146" s="16" t="n"/>
      <c r="N146" s="124">
        <f>IF(M146="","",COUNTIFS($C$18:$C$2015,M$13,$D$18:$D$2015,"&gt;="&amp;M146,$D$18:$D$2015,"&lt;"&amp;M147))</f>
        <v/>
      </c>
      <c r="O146" s="14" t="n"/>
      <c r="P146" s="16" t="n"/>
      <c r="Q146" s="124">
        <f>IF(P146="","",COUNTIFS($C$18:$C$2015,P$13,$D$18:$D$2015,"&gt;="&amp;P146,$D$18:$D$2015,"&lt;"&amp;P147))</f>
        <v/>
      </c>
      <c r="R146" s="14" t="n"/>
      <c r="S146" s="16" t="n"/>
      <c r="T146" s="124">
        <f>IF(S146="","",COUNTIFS($C$18:$C$2015,S$13,$D$18:$D$2015,"&gt;="&amp;S146,$D$18:$D$2015,"&lt;"&amp;S147))</f>
        <v/>
      </c>
      <c r="U146" s="14" t="n"/>
      <c r="V146" s="16" t="n"/>
      <c r="W146" s="124">
        <f>IF(V146="","",COUNTIFS($C$18:$C$2015,V$13,$D$18:$D$2015,"&gt;="&amp;V146,$D$18:$D$2015,"&lt;"&amp;V147))</f>
        <v/>
      </c>
      <c r="X146" s="14" t="n"/>
      <c r="Y146" s="16" t="n"/>
      <c r="Z146" s="124">
        <f>IF(Y146="","",COUNTIFS($C$18:$C$2015,Y$13,$D$18:$D$2015,"&gt;="&amp;Y146,$D$18:$D$2015,"&lt;"&amp;Y147))</f>
        <v/>
      </c>
      <c r="AA146" s="14" t="n"/>
      <c r="AB146" s="16" t="n"/>
      <c r="AC146" s="124">
        <f>IF(AB146="","",COUNTIFS($C$18:$C$2015,AB$13,$D$18:$D$2015,"&gt;="&amp;AB146,$D$18:$D$2015,"&lt;"&amp;AB147))</f>
        <v/>
      </c>
      <c r="AD146" s="14" t="n"/>
    </row>
    <row r="147">
      <c r="A147" s="58" t="n"/>
      <c r="B147" s="59" t="n"/>
      <c r="C147" s="59" t="n"/>
      <c r="E147" s="16" t="n"/>
      <c r="F147" s="13" t="n"/>
      <c r="G147" s="16" t="n"/>
      <c r="H147" s="124">
        <f>IF(G147="","",COUNTIFS($C$18:$C$2015,G$13,$D$18:$D$2015,"&gt;="&amp;G147,$D$18:$D$2015,"&lt;"&amp;G148))</f>
        <v/>
      </c>
      <c r="I147" s="14" t="n"/>
      <c r="J147" s="16" t="n"/>
      <c r="K147" s="124">
        <f>IF(J147="","",COUNTIFS($C$18:$C$2015,J$13,$D$18:$D$2015,"&gt;="&amp;J147,$D$18:$D$2015,"&lt;"&amp;J148))</f>
        <v/>
      </c>
      <c r="L147" s="14" t="n"/>
      <c r="M147" s="16" t="n"/>
      <c r="N147" s="124">
        <f>IF(M147="","",COUNTIFS($C$18:$C$2015,M$13,$D$18:$D$2015,"&gt;="&amp;M147,$D$18:$D$2015,"&lt;"&amp;M148))</f>
        <v/>
      </c>
      <c r="O147" s="14" t="n"/>
      <c r="P147" s="16" t="n"/>
      <c r="Q147" s="124">
        <f>IF(P147="","",COUNTIFS($C$18:$C$2015,P$13,$D$18:$D$2015,"&gt;="&amp;P147,$D$18:$D$2015,"&lt;"&amp;P148))</f>
        <v/>
      </c>
      <c r="R147" s="14" t="n"/>
      <c r="S147" s="16" t="n"/>
      <c r="T147" s="124">
        <f>IF(S147="","",COUNTIFS($C$18:$C$2015,S$13,$D$18:$D$2015,"&gt;="&amp;S147,$D$18:$D$2015,"&lt;"&amp;S148))</f>
        <v/>
      </c>
      <c r="U147" s="14" t="n"/>
      <c r="V147" s="16" t="n"/>
      <c r="W147" s="124">
        <f>IF(V147="","",COUNTIFS($C$18:$C$2015,V$13,$D$18:$D$2015,"&gt;="&amp;V147,$D$18:$D$2015,"&lt;"&amp;V148))</f>
        <v/>
      </c>
      <c r="X147" s="14" t="n"/>
      <c r="Y147" s="16" t="n"/>
      <c r="Z147" s="124">
        <f>IF(Y147="","",COUNTIFS($C$18:$C$2015,Y$13,$D$18:$D$2015,"&gt;="&amp;Y147,$D$18:$D$2015,"&lt;"&amp;Y148))</f>
        <v/>
      </c>
      <c r="AA147" s="14" t="n"/>
      <c r="AB147" s="16" t="n"/>
      <c r="AC147" s="124">
        <f>IF(AB147="","",COUNTIFS($C$18:$C$2015,AB$13,$D$18:$D$2015,"&gt;="&amp;AB147,$D$18:$D$2015,"&lt;"&amp;AB148))</f>
        <v/>
      </c>
      <c r="AD147" s="14" t="n"/>
    </row>
    <row r="148">
      <c r="A148" s="56" t="n"/>
      <c r="B148" s="57" t="n"/>
      <c r="C148" s="59" t="n"/>
      <c r="E148" s="16" t="n"/>
      <c r="F148" s="13" t="n"/>
      <c r="G148" s="16" t="n"/>
      <c r="H148" s="124">
        <f>IF(G148="","",COUNTIFS($C$18:$C$2015,G$13,$D$18:$D$2015,"&gt;="&amp;G148,$D$18:$D$2015,"&lt;"&amp;G149))</f>
        <v/>
      </c>
      <c r="I148" s="14" t="n"/>
      <c r="J148" s="16" t="n"/>
      <c r="K148" s="124">
        <f>IF(J148="","",COUNTIFS($C$18:$C$2015,J$13,$D$18:$D$2015,"&gt;="&amp;J148,$D$18:$D$2015,"&lt;"&amp;J149))</f>
        <v/>
      </c>
      <c r="L148" s="14" t="n"/>
      <c r="M148" s="16" t="n"/>
      <c r="N148" s="124">
        <f>IF(M148="","",COUNTIFS($C$18:$C$2015,M$13,$D$18:$D$2015,"&gt;="&amp;M148,$D$18:$D$2015,"&lt;"&amp;M149))</f>
        <v/>
      </c>
      <c r="O148" s="14" t="n"/>
      <c r="P148" s="16" t="n"/>
      <c r="Q148" s="124">
        <f>IF(P148="","",COUNTIFS($C$18:$C$2015,P$13,$D$18:$D$2015,"&gt;="&amp;P148,$D$18:$D$2015,"&lt;"&amp;P149))</f>
        <v/>
      </c>
      <c r="R148" s="14" t="n"/>
      <c r="S148" s="16" t="n"/>
      <c r="T148" s="124">
        <f>IF(S148="","",COUNTIFS($C$18:$C$2015,S$13,$D$18:$D$2015,"&gt;="&amp;S148,$D$18:$D$2015,"&lt;"&amp;S149))</f>
        <v/>
      </c>
      <c r="U148" s="14" t="n"/>
      <c r="V148" s="16" t="n"/>
      <c r="W148" s="124">
        <f>IF(V148="","",COUNTIFS($C$18:$C$2015,V$13,$D$18:$D$2015,"&gt;="&amp;V148,$D$18:$D$2015,"&lt;"&amp;V149))</f>
        <v/>
      </c>
      <c r="X148" s="14" t="n"/>
      <c r="Y148" s="16" t="n"/>
      <c r="Z148" s="124">
        <f>IF(Y148="","",COUNTIFS($C$18:$C$2015,Y$13,$D$18:$D$2015,"&gt;="&amp;Y148,$D$18:$D$2015,"&lt;"&amp;Y149))</f>
        <v/>
      </c>
      <c r="AA148" s="14" t="n"/>
      <c r="AB148" s="16" t="n"/>
      <c r="AC148" s="124">
        <f>IF(AB148="","",COUNTIFS($C$18:$C$2015,AB$13,$D$18:$D$2015,"&gt;="&amp;AB148,$D$18:$D$2015,"&lt;"&amp;AB149))</f>
        <v/>
      </c>
      <c r="AD148" s="14" t="n"/>
    </row>
    <row r="149">
      <c r="A149" s="58" t="n"/>
      <c r="B149" s="59" t="n"/>
      <c r="C149" s="59" t="n"/>
      <c r="E149" s="16" t="n"/>
      <c r="F149" s="13" t="n"/>
      <c r="G149" s="16" t="n"/>
      <c r="H149" s="124">
        <f>IF(G149="","",COUNTIFS($C$18:$C$2015,G$13,$D$18:$D$2015,"&gt;="&amp;G149,$D$18:$D$2015,"&lt;"&amp;G150))</f>
        <v/>
      </c>
      <c r="I149" s="14" t="n"/>
      <c r="J149" s="16" t="n"/>
      <c r="K149" s="124">
        <f>IF(J149="","",COUNTIFS($C$18:$C$2015,J$13,$D$18:$D$2015,"&gt;="&amp;J149,$D$18:$D$2015,"&lt;"&amp;J150))</f>
        <v/>
      </c>
      <c r="L149" s="14" t="n"/>
      <c r="M149" s="16" t="n"/>
      <c r="N149" s="124">
        <f>IF(M149="","",COUNTIFS($C$18:$C$2015,M$13,$D$18:$D$2015,"&gt;="&amp;M149,$D$18:$D$2015,"&lt;"&amp;M150))</f>
        <v/>
      </c>
      <c r="O149" s="14" t="n"/>
      <c r="P149" s="16" t="n"/>
      <c r="Q149" s="124">
        <f>IF(P149="","",COUNTIFS($C$18:$C$2015,P$13,$D$18:$D$2015,"&gt;="&amp;P149,$D$18:$D$2015,"&lt;"&amp;P150))</f>
        <v/>
      </c>
      <c r="R149" s="14" t="n"/>
      <c r="S149" s="16" t="n"/>
      <c r="T149" s="124">
        <f>IF(S149="","",COUNTIFS($C$18:$C$2015,S$13,$D$18:$D$2015,"&gt;="&amp;S149,$D$18:$D$2015,"&lt;"&amp;S150))</f>
        <v/>
      </c>
      <c r="U149" s="14" t="n"/>
      <c r="V149" s="16" t="n"/>
      <c r="W149" s="124">
        <f>IF(V149="","",COUNTIFS($C$18:$C$2015,V$13,$D$18:$D$2015,"&gt;="&amp;V149,$D$18:$D$2015,"&lt;"&amp;V150))</f>
        <v/>
      </c>
      <c r="X149" s="14" t="n"/>
      <c r="Y149" s="16" t="n"/>
      <c r="Z149" s="124">
        <f>IF(Y149="","",COUNTIFS($C$18:$C$2015,Y$13,$D$18:$D$2015,"&gt;="&amp;Y149,$D$18:$D$2015,"&lt;"&amp;Y150))</f>
        <v/>
      </c>
      <c r="AA149" s="14" t="n"/>
      <c r="AB149" s="16" t="n"/>
      <c r="AC149" s="124">
        <f>IF(AB149="","",COUNTIFS($C$18:$C$2015,AB$13,$D$18:$D$2015,"&gt;="&amp;AB149,$D$18:$D$2015,"&lt;"&amp;AB150))</f>
        <v/>
      </c>
      <c r="AD149" s="14" t="n"/>
    </row>
    <row r="150">
      <c r="A150" s="56" t="n"/>
      <c r="B150" s="57" t="n"/>
      <c r="C150" s="59" t="n"/>
      <c r="E150" s="16" t="n"/>
      <c r="F150" s="13" t="n"/>
      <c r="G150" s="16" t="n"/>
      <c r="H150" s="124">
        <f>IF(G150="","",COUNTIFS($C$18:$C$2015,G$13,$D$18:$D$2015,"&gt;="&amp;G150,$D$18:$D$2015,"&lt;"&amp;G151))</f>
        <v/>
      </c>
      <c r="I150" s="14" t="n"/>
      <c r="J150" s="16" t="n"/>
      <c r="K150" s="124">
        <f>IF(J150="","",COUNTIFS($C$18:$C$2015,J$13,$D$18:$D$2015,"&gt;="&amp;J150,$D$18:$D$2015,"&lt;"&amp;J151))</f>
        <v/>
      </c>
      <c r="L150" s="14" t="n"/>
      <c r="M150" s="16" t="n"/>
      <c r="N150" s="124">
        <f>IF(M150="","",COUNTIFS($C$18:$C$2015,M$13,$D$18:$D$2015,"&gt;="&amp;M150,$D$18:$D$2015,"&lt;"&amp;M151))</f>
        <v/>
      </c>
      <c r="O150" s="14" t="n"/>
      <c r="P150" s="16" t="n"/>
      <c r="Q150" s="124">
        <f>IF(P150="","",COUNTIFS($C$18:$C$2015,P$13,$D$18:$D$2015,"&gt;="&amp;P150,$D$18:$D$2015,"&lt;"&amp;P151))</f>
        <v/>
      </c>
      <c r="R150" s="14" t="n"/>
      <c r="S150" s="16" t="n"/>
      <c r="T150" s="124">
        <f>IF(S150="","",COUNTIFS($C$18:$C$2015,S$13,$D$18:$D$2015,"&gt;="&amp;S150,$D$18:$D$2015,"&lt;"&amp;S151))</f>
        <v/>
      </c>
      <c r="U150" s="14" t="n"/>
      <c r="V150" s="16" t="n"/>
      <c r="W150" s="124">
        <f>IF(V150="","",COUNTIFS($C$18:$C$2015,V$13,$D$18:$D$2015,"&gt;="&amp;V150,$D$18:$D$2015,"&lt;"&amp;V151))</f>
        <v/>
      </c>
      <c r="X150" s="14" t="n"/>
      <c r="Y150" s="16" t="n"/>
      <c r="Z150" s="124">
        <f>IF(Y150="","",COUNTIFS($C$18:$C$2015,Y$13,$D$18:$D$2015,"&gt;="&amp;Y150,$D$18:$D$2015,"&lt;"&amp;Y151))</f>
        <v/>
      </c>
      <c r="AA150" s="14" t="n"/>
      <c r="AB150" s="16" t="n"/>
      <c r="AC150" s="124">
        <f>IF(AB150="","",COUNTIFS($C$18:$C$2015,AB$13,$D$18:$D$2015,"&gt;="&amp;AB150,$D$18:$D$2015,"&lt;"&amp;AB151))</f>
        <v/>
      </c>
      <c r="AD150" s="14" t="n"/>
    </row>
    <row r="151">
      <c r="A151" s="58" t="n"/>
      <c r="B151" s="59" t="n"/>
      <c r="C151" s="59" t="n"/>
      <c r="E151" s="16" t="n"/>
      <c r="F151" s="13" t="n"/>
      <c r="G151" s="16" t="n"/>
      <c r="H151" s="124">
        <f>IF(G151="","",COUNTIFS($C$18:$C$2015,G$13,$D$18:$D$2015,"&gt;="&amp;G151,$D$18:$D$2015,"&lt;"&amp;G152))</f>
        <v/>
      </c>
      <c r="I151" s="14" t="n"/>
      <c r="J151" s="16" t="n"/>
      <c r="K151" s="124">
        <f>IF(J151="","",COUNTIFS($C$18:$C$2015,J$13,$D$18:$D$2015,"&gt;="&amp;J151,$D$18:$D$2015,"&lt;"&amp;J152))</f>
        <v/>
      </c>
      <c r="L151" s="14" t="n"/>
      <c r="M151" s="16" t="n"/>
      <c r="N151" s="124">
        <f>IF(M151="","",COUNTIFS($C$18:$C$2015,M$13,$D$18:$D$2015,"&gt;="&amp;M151,$D$18:$D$2015,"&lt;"&amp;M152))</f>
        <v/>
      </c>
      <c r="O151" s="14" t="n"/>
      <c r="P151" s="16" t="n"/>
      <c r="Q151" s="124">
        <f>IF(P151="","",COUNTIFS($C$18:$C$2015,P$13,$D$18:$D$2015,"&gt;="&amp;P151,$D$18:$D$2015,"&lt;"&amp;P152))</f>
        <v/>
      </c>
      <c r="R151" s="14" t="n"/>
      <c r="S151" s="16" t="n"/>
      <c r="T151" s="124">
        <f>IF(S151="","",COUNTIFS($C$18:$C$2015,S$13,$D$18:$D$2015,"&gt;="&amp;S151,$D$18:$D$2015,"&lt;"&amp;S152))</f>
        <v/>
      </c>
      <c r="U151" s="14" t="n"/>
      <c r="V151" s="16" t="n"/>
      <c r="W151" s="124">
        <f>IF(V151="","",COUNTIFS($C$18:$C$2015,V$13,$D$18:$D$2015,"&gt;="&amp;V151,$D$18:$D$2015,"&lt;"&amp;V152))</f>
        <v/>
      </c>
      <c r="X151" s="14" t="n"/>
      <c r="Y151" s="16" t="n"/>
      <c r="Z151" s="124">
        <f>IF(Y151="","",COUNTIFS($C$18:$C$2015,Y$13,$D$18:$D$2015,"&gt;="&amp;Y151,$D$18:$D$2015,"&lt;"&amp;Y152))</f>
        <v/>
      </c>
      <c r="AA151" s="14" t="n"/>
      <c r="AB151" s="16" t="n"/>
      <c r="AC151" s="124">
        <f>IF(AB151="","",COUNTIFS($C$18:$C$2015,AB$13,$D$18:$D$2015,"&gt;="&amp;AB151,$D$18:$D$2015,"&lt;"&amp;AB152))</f>
        <v/>
      </c>
      <c r="AD151" s="14" t="n"/>
    </row>
    <row r="152">
      <c r="A152" s="56" t="n"/>
      <c r="B152" s="57" t="n"/>
      <c r="C152" s="59" t="n"/>
      <c r="E152" s="16" t="n"/>
      <c r="F152" s="13" t="n"/>
      <c r="G152" s="16" t="n"/>
      <c r="H152" s="124">
        <f>IF(G152="","",COUNTIFS($C$18:$C$2015,G$13,$D$18:$D$2015,"&gt;="&amp;G152,$D$18:$D$2015,"&lt;"&amp;G153))</f>
        <v/>
      </c>
      <c r="I152" s="14" t="n"/>
      <c r="J152" s="16" t="n"/>
      <c r="K152" s="124">
        <f>IF(J152="","",COUNTIFS($C$18:$C$2015,J$13,$D$18:$D$2015,"&gt;="&amp;J152,$D$18:$D$2015,"&lt;"&amp;J153))</f>
        <v/>
      </c>
      <c r="L152" s="14" t="n"/>
      <c r="M152" s="16" t="n"/>
      <c r="N152" s="124">
        <f>IF(M152="","",COUNTIFS($C$18:$C$2015,M$13,$D$18:$D$2015,"&gt;="&amp;M152,$D$18:$D$2015,"&lt;"&amp;M153))</f>
        <v/>
      </c>
      <c r="O152" s="14" t="n"/>
      <c r="P152" s="16" t="n"/>
      <c r="Q152" s="124">
        <f>IF(P152="","",COUNTIFS($C$18:$C$2015,P$13,$D$18:$D$2015,"&gt;="&amp;P152,$D$18:$D$2015,"&lt;"&amp;P153))</f>
        <v/>
      </c>
      <c r="R152" s="14" t="n"/>
      <c r="S152" s="16" t="n"/>
      <c r="T152" s="124">
        <f>IF(S152="","",COUNTIFS($C$18:$C$2015,S$13,$D$18:$D$2015,"&gt;="&amp;S152,$D$18:$D$2015,"&lt;"&amp;S153))</f>
        <v/>
      </c>
      <c r="U152" s="14" t="n"/>
      <c r="V152" s="16" t="n"/>
      <c r="W152" s="124">
        <f>IF(V152="","",COUNTIFS($C$18:$C$2015,V$13,$D$18:$D$2015,"&gt;="&amp;V152,$D$18:$D$2015,"&lt;"&amp;V153))</f>
        <v/>
      </c>
      <c r="X152" s="14" t="n"/>
      <c r="Y152" s="16" t="n"/>
      <c r="Z152" s="124">
        <f>IF(Y152="","",COUNTIFS($C$18:$C$2015,Y$13,$D$18:$D$2015,"&gt;="&amp;Y152,$D$18:$D$2015,"&lt;"&amp;Y153))</f>
        <v/>
      </c>
      <c r="AA152" s="14" t="n"/>
      <c r="AB152" s="16" t="n"/>
      <c r="AC152" s="124">
        <f>IF(AB152="","",COUNTIFS($C$18:$C$2015,AB$13,$D$18:$D$2015,"&gt;="&amp;AB152,$D$18:$D$2015,"&lt;"&amp;AB153))</f>
        <v/>
      </c>
      <c r="AD152" s="14" t="n"/>
    </row>
    <row r="153">
      <c r="A153" s="58" t="n"/>
      <c r="B153" s="59" t="n"/>
      <c r="C153" s="59" t="n"/>
      <c r="E153" s="16" t="n"/>
      <c r="F153" s="13" t="n"/>
      <c r="G153" s="16" t="n"/>
      <c r="H153" s="124">
        <f>IF(G153="","",COUNTIFS($C$18:$C$2015,G$13,$D$18:$D$2015,"&gt;="&amp;G153,$D$18:$D$2015,"&lt;"&amp;G154))</f>
        <v/>
      </c>
      <c r="I153" s="14" t="n"/>
      <c r="J153" s="16" t="n"/>
      <c r="K153" s="124">
        <f>IF(J153="","",COUNTIFS($C$18:$C$2015,J$13,$D$18:$D$2015,"&gt;="&amp;J153,$D$18:$D$2015,"&lt;"&amp;J154))</f>
        <v/>
      </c>
      <c r="L153" s="14" t="n"/>
      <c r="M153" s="16" t="n"/>
      <c r="N153" s="124">
        <f>IF(M153="","",COUNTIFS($C$18:$C$2015,M$13,$D$18:$D$2015,"&gt;="&amp;M153,$D$18:$D$2015,"&lt;"&amp;M154))</f>
        <v/>
      </c>
      <c r="O153" s="14" t="n"/>
      <c r="P153" s="16" t="n"/>
      <c r="Q153" s="124">
        <f>IF(P153="","",COUNTIFS($C$18:$C$2015,P$13,$D$18:$D$2015,"&gt;="&amp;P153,$D$18:$D$2015,"&lt;"&amp;P154))</f>
        <v/>
      </c>
      <c r="R153" s="14" t="n"/>
      <c r="S153" s="16" t="n"/>
      <c r="T153" s="124">
        <f>IF(S153="","",COUNTIFS($C$18:$C$2015,S$13,$D$18:$D$2015,"&gt;="&amp;S153,$D$18:$D$2015,"&lt;"&amp;S154))</f>
        <v/>
      </c>
      <c r="U153" s="14" t="n"/>
      <c r="V153" s="16" t="n"/>
      <c r="W153" s="124">
        <f>IF(V153="","",COUNTIFS($C$18:$C$2015,V$13,$D$18:$D$2015,"&gt;="&amp;V153,$D$18:$D$2015,"&lt;"&amp;V154))</f>
        <v/>
      </c>
      <c r="X153" s="14" t="n"/>
      <c r="Y153" s="16" t="n"/>
      <c r="Z153" s="124">
        <f>IF(Y153="","",COUNTIFS($C$18:$C$2015,Y$13,$D$18:$D$2015,"&gt;="&amp;Y153,$D$18:$D$2015,"&lt;"&amp;Y154))</f>
        <v/>
      </c>
      <c r="AA153" s="14" t="n"/>
      <c r="AB153" s="16" t="n"/>
      <c r="AC153" s="124">
        <f>IF(AB153="","",COUNTIFS($C$18:$C$2015,AB$13,$D$18:$D$2015,"&gt;="&amp;AB153,$D$18:$D$2015,"&lt;"&amp;AB154))</f>
        <v/>
      </c>
      <c r="AD153" s="14" t="n"/>
    </row>
    <row r="154">
      <c r="A154" s="56" t="n"/>
      <c r="B154" s="57" t="n"/>
      <c r="C154" s="59" t="n"/>
      <c r="E154" s="16" t="n"/>
      <c r="F154" s="13" t="n"/>
      <c r="G154" s="16" t="n"/>
      <c r="H154" s="124">
        <f>IF(G154="","",COUNTIFS($C$18:$C$2015,G$13,$D$18:$D$2015,"&gt;="&amp;G154,$D$18:$D$2015,"&lt;"&amp;G155))</f>
        <v/>
      </c>
      <c r="I154" s="14" t="n"/>
      <c r="J154" s="16" t="n"/>
      <c r="K154" s="124">
        <f>IF(J154="","",COUNTIFS($C$18:$C$2015,J$13,$D$18:$D$2015,"&gt;="&amp;J154,$D$18:$D$2015,"&lt;"&amp;J155))</f>
        <v/>
      </c>
      <c r="L154" s="14" t="n"/>
      <c r="M154" s="16" t="n"/>
      <c r="N154" s="124">
        <f>IF(M154="","",COUNTIFS($C$18:$C$2015,M$13,$D$18:$D$2015,"&gt;="&amp;M154,$D$18:$D$2015,"&lt;"&amp;M155))</f>
        <v/>
      </c>
      <c r="O154" s="14" t="n"/>
      <c r="P154" s="16" t="n"/>
      <c r="Q154" s="124">
        <f>IF(P154="","",COUNTIFS($C$18:$C$2015,P$13,$D$18:$D$2015,"&gt;="&amp;P154,$D$18:$D$2015,"&lt;"&amp;P155))</f>
        <v/>
      </c>
      <c r="R154" s="14" t="n"/>
      <c r="S154" s="16" t="n"/>
      <c r="T154" s="124">
        <f>IF(S154="","",COUNTIFS($C$18:$C$2015,S$13,$D$18:$D$2015,"&gt;="&amp;S154,$D$18:$D$2015,"&lt;"&amp;S155))</f>
        <v/>
      </c>
      <c r="U154" s="14" t="n"/>
      <c r="V154" s="16" t="n"/>
      <c r="W154" s="124">
        <f>IF(V154="","",COUNTIFS($C$18:$C$2015,V$13,$D$18:$D$2015,"&gt;="&amp;V154,$D$18:$D$2015,"&lt;"&amp;V155))</f>
        <v/>
      </c>
      <c r="X154" s="14" t="n"/>
      <c r="Y154" s="16" t="n"/>
      <c r="Z154" s="124">
        <f>IF(Y154="","",COUNTIFS($C$18:$C$2015,Y$13,$D$18:$D$2015,"&gt;="&amp;Y154,$D$18:$D$2015,"&lt;"&amp;Y155))</f>
        <v/>
      </c>
      <c r="AA154" s="14" t="n"/>
      <c r="AB154" s="16" t="n"/>
      <c r="AC154" s="124">
        <f>IF(AB154="","",COUNTIFS($C$18:$C$2015,AB$13,$D$18:$D$2015,"&gt;="&amp;AB154,$D$18:$D$2015,"&lt;"&amp;AB155))</f>
        <v/>
      </c>
      <c r="AD154" s="14" t="n"/>
    </row>
    <row r="155">
      <c r="A155" s="58" t="n"/>
      <c r="B155" s="59" t="n"/>
      <c r="C155" s="59" t="n"/>
      <c r="E155" s="16" t="n"/>
      <c r="F155" s="13" t="n"/>
      <c r="G155" s="16" t="n"/>
      <c r="H155" s="124">
        <f>IF(G155="","",COUNTIFS($C$18:$C$2015,G$13,$D$18:$D$2015,"&gt;="&amp;G155,$D$18:$D$2015,"&lt;"&amp;G156))</f>
        <v/>
      </c>
      <c r="I155" s="14" t="n"/>
      <c r="J155" s="16" t="n"/>
      <c r="K155" s="124">
        <f>IF(J155="","",COUNTIFS($C$18:$C$2015,J$13,$D$18:$D$2015,"&gt;="&amp;J155,$D$18:$D$2015,"&lt;"&amp;J156))</f>
        <v/>
      </c>
      <c r="L155" s="14" t="n"/>
      <c r="M155" s="16" t="n"/>
      <c r="N155" s="124">
        <f>IF(M155="","",COUNTIFS($C$18:$C$2015,M$13,$D$18:$D$2015,"&gt;="&amp;M155,$D$18:$D$2015,"&lt;"&amp;M156))</f>
        <v/>
      </c>
      <c r="O155" s="14" t="n"/>
      <c r="P155" s="16" t="n"/>
      <c r="Q155" s="124">
        <f>IF(P155="","",COUNTIFS($C$18:$C$2015,P$13,$D$18:$D$2015,"&gt;="&amp;P155,$D$18:$D$2015,"&lt;"&amp;P156))</f>
        <v/>
      </c>
      <c r="R155" s="14" t="n"/>
      <c r="S155" s="16" t="n"/>
      <c r="T155" s="124">
        <f>IF(S155="","",COUNTIFS($C$18:$C$2015,S$13,$D$18:$D$2015,"&gt;="&amp;S155,$D$18:$D$2015,"&lt;"&amp;S156))</f>
        <v/>
      </c>
      <c r="U155" s="14" t="n"/>
      <c r="V155" s="16" t="n"/>
      <c r="W155" s="124">
        <f>IF(V155="","",COUNTIFS($C$18:$C$2015,V$13,$D$18:$D$2015,"&gt;="&amp;V155,$D$18:$D$2015,"&lt;"&amp;V156))</f>
        <v/>
      </c>
      <c r="X155" s="14" t="n"/>
      <c r="Y155" s="16" t="n"/>
      <c r="Z155" s="124">
        <f>IF(Y155="","",COUNTIFS($C$18:$C$2015,Y$13,$D$18:$D$2015,"&gt;="&amp;Y155,$D$18:$D$2015,"&lt;"&amp;Y156))</f>
        <v/>
      </c>
      <c r="AA155" s="14" t="n"/>
      <c r="AB155" s="16" t="n"/>
      <c r="AC155" s="124">
        <f>IF(AB155="","",COUNTIFS($C$18:$C$2015,AB$13,$D$18:$D$2015,"&gt;="&amp;AB155,$D$18:$D$2015,"&lt;"&amp;AB156))</f>
        <v/>
      </c>
      <c r="AD155" s="14" t="n"/>
    </row>
    <row r="156">
      <c r="A156" s="56" t="n"/>
      <c r="B156" s="57" t="n"/>
      <c r="C156" s="59" t="n"/>
      <c r="E156" s="16" t="n"/>
      <c r="F156" s="13" t="n"/>
      <c r="G156" s="16" t="n"/>
      <c r="H156" s="124">
        <f>IF(G156="","",COUNTIFS($C$18:$C$2015,G$13,$D$18:$D$2015,"&gt;="&amp;G156,$D$18:$D$2015,"&lt;"&amp;G157))</f>
        <v/>
      </c>
      <c r="I156" s="14" t="n"/>
      <c r="J156" s="16" t="n"/>
      <c r="K156" s="124">
        <f>IF(J156="","",COUNTIFS($C$18:$C$2015,J$13,$D$18:$D$2015,"&gt;="&amp;J156,$D$18:$D$2015,"&lt;"&amp;J157))</f>
        <v/>
      </c>
      <c r="L156" s="14" t="n"/>
      <c r="M156" s="16" t="n"/>
      <c r="N156" s="124">
        <f>IF(M156="","",COUNTIFS($C$18:$C$2015,M$13,$D$18:$D$2015,"&gt;="&amp;M156,$D$18:$D$2015,"&lt;"&amp;M157))</f>
        <v/>
      </c>
      <c r="O156" s="14" t="n"/>
      <c r="P156" s="16" t="n"/>
      <c r="Q156" s="124">
        <f>IF(P156="","",COUNTIFS($C$18:$C$2015,P$13,$D$18:$D$2015,"&gt;="&amp;P156,$D$18:$D$2015,"&lt;"&amp;P157))</f>
        <v/>
      </c>
      <c r="R156" s="14" t="n"/>
      <c r="S156" s="16" t="n"/>
      <c r="T156" s="124">
        <f>IF(S156="","",COUNTIFS($C$18:$C$2015,S$13,$D$18:$D$2015,"&gt;="&amp;S156,$D$18:$D$2015,"&lt;"&amp;S157))</f>
        <v/>
      </c>
      <c r="U156" s="14" t="n"/>
      <c r="V156" s="16" t="n"/>
      <c r="W156" s="124">
        <f>IF(V156="","",COUNTIFS($C$18:$C$2015,V$13,$D$18:$D$2015,"&gt;="&amp;V156,$D$18:$D$2015,"&lt;"&amp;V157))</f>
        <v/>
      </c>
      <c r="X156" s="14" t="n"/>
      <c r="Y156" s="16" t="n"/>
      <c r="Z156" s="124">
        <f>IF(Y156="","",COUNTIFS($C$18:$C$2015,Y$13,$D$18:$D$2015,"&gt;="&amp;Y156,$D$18:$D$2015,"&lt;"&amp;Y157))</f>
        <v/>
      </c>
      <c r="AA156" s="14" t="n"/>
      <c r="AB156" s="16" t="n"/>
      <c r="AC156" s="124">
        <f>IF(AB156="","",COUNTIFS($C$18:$C$2015,AB$13,$D$18:$D$2015,"&gt;="&amp;AB156,$D$18:$D$2015,"&lt;"&amp;AB157))</f>
        <v/>
      </c>
      <c r="AD156" s="14" t="n"/>
    </row>
    <row r="157">
      <c r="A157" s="58" t="n"/>
      <c r="B157" s="59" t="n"/>
      <c r="C157" s="59" t="n"/>
      <c r="E157" s="16" t="n"/>
      <c r="F157" s="13" t="n"/>
      <c r="G157" s="16" t="n"/>
      <c r="H157" s="124">
        <f>IF(G157="","",COUNTIFS($C$18:$C$2015,G$13,$D$18:$D$2015,"&gt;="&amp;G157,$D$18:$D$2015,"&lt;"&amp;G158))</f>
        <v/>
      </c>
      <c r="I157" s="14" t="n"/>
      <c r="J157" s="16" t="n"/>
      <c r="K157" s="124">
        <f>IF(J157="","",COUNTIFS($C$18:$C$2015,J$13,$D$18:$D$2015,"&gt;="&amp;J157,$D$18:$D$2015,"&lt;"&amp;J158))</f>
        <v/>
      </c>
      <c r="L157" s="14" t="n"/>
      <c r="M157" s="16" t="n"/>
      <c r="N157" s="124">
        <f>IF(M157="","",COUNTIFS($C$18:$C$2015,M$13,$D$18:$D$2015,"&gt;="&amp;M157,$D$18:$D$2015,"&lt;"&amp;M158))</f>
        <v/>
      </c>
      <c r="O157" s="14" t="n"/>
      <c r="P157" s="16" t="n"/>
      <c r="Q157" s="124">
        <f>IF(P157="","",COUNTIFS($C$18:$C$2015,P$13,$D$18:$D$2015,"&gt;="&amp;P157,$D$18:$D$2015,"&lt;"&amp;P158))</f>
        <v/>
      </c>
      <c r="R157" s="14" t="n"/>
      <c r="S157" s="16" t="n"/>
      <c r="T157" s="124">
        <f>IF(S157="","",COUNTIFS($C$18:$C$2015,S$13,$D$18:$D$2015,"&gt;="&amp;S157,$D$18:$D$2015,"&lt;"&amp;S158))</f>
        <v/>
      </c>
      <c r="U157" s="14" t="n"/>
      <c r="V157" s="16" t="n"/>
      <c r="W157" s="124">
        <f>IF(V157="","",COUNTIFS($C$18:$C$2015,V$13,$D$18:$D$2015,"&gt;="&amp;V157,$D$18:$D$2015,"&lt;"&amp;V158))</f>
        <v/>
      </c>
      <c r="X157" s="14" t="n"/>
      <c r="Y157" s="16" t="n"/>
      <c r="Z157" s="124">
        <f>IF(Y157="","",COUNTIFS($C$18:$C$2015,Y$13,$D$18:$D$2015,"&gt;="&amp;Y157,$D$18:$D$2015,"&lt;"&amp;Y158))</f>
        <v/>
      </c>
      <c r="AA157" s="14" t="n"/>
      <c r="AB157" s="16" t="n"/>
      <c r="AC157" s="124">
        <f>IF(AB157="","",COUNTIFS($C$18:$C$2015,AB$13,$D$18:$D$2015,"&gt;="&amp;AB157,$D$18:$D$2015,"&lt;"&amp;AB158))</f>
        <v/>
      </c>
      <c r="AD157" s="14" t="n"/>
    </row>
    <row r="158">
      <c r="A158" s="56" t="n"/>
      <c r="B158" s="57" t="n"/>
      <c r="C158" s="59" t="n"/>
      <c r="E158" s="16" t="n"/>
      <c r="F158" s="13" t="n"/>
      <c r="G158" s="16" t="n"/>
      <c r="H158" s="124">
        <f>IF(G158="","",COUNTIFS($C$18:$C$2015,G$13,$D$18:$D$2015,"&gt;="&amp;G158,$D$18:$D$2015,"&lt;"&amp;G159))</f>
        <v/>
      </c>
      <c r="I158" s="14" t="n"/>
      <c r="J158" s="16" t="n"/>
      <c r="K158" s="124">
        <f>IF(J158="","",COUNTIFS($C$18:$C$2015,J$13,$D$18:$D$2015,"&gt;="&amp;J158,$D$18:$D$2015,"&lt;"&amp;J159))</f>
        <v/>
      </c>
      <c r="L158" s="14" t="n"/>
      <c r="M158" s="16" t="n"/>
      <c r="N158" s="124">
        <f>IF(M158="","",COUNTIFS($C$18:$C$2015,M$13,$D$18:$D$2015,"&gt;="&amp;M158,$D$18:$D$2015,"&lt;"&amp;M159))</f>
        <v/>
      </c>
      <c r="O158" s="14" t="n"/>
      <c r="P158" s="16" t="n"/>
      <c r="Q158" s="124">
        <f>IF(P158="","",COUNTIFS($C$18:$C$2015,P$13,$D$18:$D$2015,"&gt;="&amp;P158,$D$18:$D$2015,"&lt;"&amp;P159))</f>
        <v/>
      </c>
      <c r="R158" s="14" t="n"/>
      <c r="S158" s="16" t="n"/>
      <c r="T158" s="124">
        <f>IF(S158="","",COUNTIFS($C$18:$C$2015,S$13,$D$18:$D$2015,"&gt;="&amp;S158,$D$18:$D$2015,"&lt;"&amp;S159))</f>
        <v/>
      </c>
      <c r="U158" s="14" t="n"/>
      <c r="V158" s="16" t="n"/>
      <c r="W158" s="124">
        <f>IF(V158="","",COUNTIFS($C$18:$C$2015,V$13,$D$18:$D$2015,"&gt;="&amp;V158,$D$18:$D$2015,"&lt;"&amp;V159))</f>
        <v/>
      </c>
      <c r="X158" s="14" t="n"/>
      <c r="Y158" s="16" t="n"/>
      <c r="Z158" s="124">
        <f>IF(Y158="","",COUNTIFS($C$18:$C$2015,Y$13,$D$18:$D$2015,"&gt;="&amp;Y158,$D$18:$D$2015,"&lt;"&amp;Y159))</f>
        <v/>
      </c>
      <c r="AA158" s="14" t="n"/>
      <c r="AB158" s="16" t="n"/>
      <c r="AC158" s="124">
        <f>IF(AB158="","",COUNTIFS($C$18:$C$2015,AB$13,$D$18:$D$2015,"&gt;="&amp;AB158,$D$18:$D$2015,"&lt;"&amp;AB159))</f>
        <v/>
      </c>
      <c r="AD158" s="14" t="n"/>
    </row>
    <row r="159">
      <c r="A159" s="58" t="n"/>
      <c r="B159" s="59" t="n"/>
      <c r="C159" s="59" t="n"/>
      <c r="E159" s="16" t="n"/>
      <c r="F159" s="13" t="n"/>
      <c r="G159" s="16" t="n"/>
      <c r="H159" s="124">
        <f>IF(G159="","",COUNTIFS($C$18:$C$2015,G$13,$D$18:$D$2015,"&gt;="&amp;G159,$D$18:$D$2015,"&lt;"&amp;G160))</f>
        <v/>
      </c>
      <c r="I159" s="14" t="n"/>
      <c r="J159" s="16" t="n"/>
      <c r="K159" s="124">
        <f>IF(J159="","",COUNTIFS($C$18:$C$2015,J$13,$D$18:$D$2015,"&gt;="&amp;J159,$D$18:$D$2015,"&lt;"&amp;J160))</f>
        <v/>
      </c>
      <c r="L159" s="14" t="n"/>
      <c r="M159" s="16" t="n"/>
      <c r="N159" s="124">
        <f>IF(M159="","",COUNTIFS($C$18:$C$2015,M$13,$D$18:$D$2015,"&gt;="&amp;M159,$D$18:$D$2015,"&lt;"&amp;M160))</f>
        <v/>
      </c>
      <c r="O159" s="14" t="n"/>
      <c r="P159" s="16" t="n"/>
      <c r="Q159" s="124">
        <f>IF(P159="","",COUNTIFS($C$18:$C$2015,P$13,$D$18:$D$2015,"&gt;="&amp;P159,$D$18:$D$2015,"&lt;"&amp;P160))</f>
        <v/>
      </c>
      <c r="R159" s="14" t="n"/>
      <c r="S159" s="16" t="n"/>
      <c r="T159" s="124">
        <f>IF(S159="","",COUNTIFS($C$18:$C$2015,S$13,$D$18:$D$2015,"&gt;="&amp;S159,$D$18:$D$2015,"&lt;"&amp;S160))</f>
        <v/>
      </c>
      <c r="U159" s="14" t="n"/>
      <c r="V159" s="16" t="n"/>
      <c r="W159" s="124">
        <f>IF(V159="","",COUNTIFS($C$18:$C$2015,V$13,$D$18:$D$2015,"&gt;="&amp;V159,$D$18:$D$2015,"&lt;"&amp;V160))</f>
        <v/>
      </c>
      <c r="X159" s="14" t="n"/>
      <c r="Y159" s="16" t="n"/>
      <c r="Z159" s="124">
        <f>IF(Y159="","",COUNTIFS($C$18:$C$2015,Y$13,$D$18:$D$2015,"&gt;="&amp;Y159,$D$18:$D$2015,"&lt;"&amp;Y160))</f>
        <v/>
      </c>
      <c r="AA159" s="14" t="n"/>
      <c r="AB159" s="16" t="n"/>
      <c r="AC159" s="124">
        <f>IF(AB159="","",COUNTIFS($C$18:$C$2015,AB$13,$D$18:$D$2015,"&gt;="&amp;AB159,$D$18:$D$2015,"&lt;"&amp;AB160))</f>
        <v/>
      </c>
      <c r="AD159" s="14" t="n"/>
    </row>
    <row r="160">
      <c r="A160" s="56" t="n"/>
      <c r="B160" s="57" t="n"/>
      <c r="C160" s="59" t="n"/>
      <c r="E160" s="16" t="n"/>
      <c r="F160" s="13" t="n"/>
      <c r="G160" s="16" t="n"/>
      <c r="H160" s="124">
        <f>IF(G160="","",COUNTIFS($C$18:$C$2015,G$13,$D$18:$D$2015,"&gt;="&amp;G160,$D$18:$D$2015,"&lt;"&amp;G161))</f>
        <v/>
      </c>
      <c r="I160" s="14" t="n"/>
      <c r="J160" s="16" t="n"/>
      <c r="K160" s="124">
        <f>IF(J160="","",COUNTIFS($C$18:$C$2015,J$13,$D$18:$D$2015,"&gt;="&amp;J160,$D$18:$D$2015,"&lt;"&amp;J161))</f>
        <v/>
      </c>
      <c r="L160" s="14" t="n"/>
      <c r="M160" s="16" t="n"/>
      <c r="N160" s="124">
        <f>IF(M160="","",COUNTIFS($C$18:$C$2015,M$13,$D$18:$D$2015,"&gt;="&amp;M160,$D$18:$D$2015,"&lt;"&amp;M161))</f>
        <v/>
      </c>
      <c r="O160" s="14" t="n"/>
      <c r="P160" s="16" t="n"/>
      <c r="Q160" s="124">
        <f>IF(P160="","",COUNTIFS($C$18:$C$2015,P$13,$D$18:$D$2015,"&gt;="&amp;P160,$D$18:$D$2015,"&lt;"&amp;P161))</f>
        <v/>
      </c>
      <c r="R160" s="14" t="n"/>
      <c r="S160" s="16" t="n"/>
      <c r="T160" s="124">
        <f>IF(S160="","",COUNTIFS($C$18:$C$2015,S$13,$D$18:$D$2015,"&gt;="&amp;S160,$D$18:$D$2015,"&lt;"&amp;S161))</f>
        <v/>
      </c>
      <c r="U160" s="14" t="n"/>
      <c r="V160" s="16" t="n"/>
      <c r="W160" s="124">
        <f>IF(V160="","",COUNTIFS($C$18:$C$2015,V$13,$D$18:$D$2015,"&gt;="&amp;V160,$D$18:$D$2015,"&lt;"&amp;V161))</f>
        <v/>
      </c>
      <c r="X160" s="14" t="n"/>
      <c r="Y160" s="16" t="n"/>
      <c r="Z160" s="124">
        <f>IF(Y160="","",COUNTIFS($C$18:$C$2015,Y$13,$D$18:$D$2015,"&gt;="&amp;Y160,$D$18:$D$2015,"&lt;"&amp;Y161))</f>
        <v/>
      </c>
      <c r="AA160" s="14" t="n"/>
      <c r="AB160" s="16" t="n"/>
      <c r="AC160" s="124">
        <f>IF(AB160="","",COUNTIFS($C$18:$C$2015,AB$13,$D$18:$D$2015,"&gt;="&amp;AB160,$D$18:$D$2015,"&lt;"&amp;AB161))</f>
        <v/>
      </c>
      <c r="AD160" s="14" t="n"/>
    </row>
    <row r="161">
      <c r="A161" s="58" t="n"/>
      <c r="B161" s="59" t="n"/>
      <c r="C161" s="59" t="n"/>
      <c r="E161" s="16" t="n"/>
      <c r="F161" s="13" t="n"/>
      <c r="G161" s="16" t="n"/>
      <c r="H161" s="124">
        <f>IF(G161="","",COUNTIFS($C$18:$C$2015,G$13,$D$18:$D$2015,"&gt;="&amp;G161,$D$18:$D$2015,"&lt;"&amp;G162))</f>
        <v/>
      </c>
      <c r="I161" s="14" t="n"/>
      <c r="J161" s="16" t="n"/>
      <c r="K161" s="124">
        <f>IF(J161="","",COUNTIFS($C$18:$C$2015,J$13,$D$18:$D$2015,"&gt;="&amp;J161,$D$18:$D$2015,"&lt;"&amp;J162))</f>
        <v/>
      </c>
      <c r="L161" s="14" t="n"/>
      <c r="M161" s="16" t="n"/>
      <c r="N161" s="124">
        <f>IF(M161="","",COUNTIFS($C$18:$C$2015,M$13,$D$18:$D$2015,"&gt;="&amp;M161,$D$18:$D$2015,"&lt;"&amp;M162))</f>
        <v/>
      </c>
      <c r="O161" s="14" t="n"/>
      <c r="P161" s="16" t="n"/>
      <c r="Q161" s="124">
        <f>IF(P161="","",COUNTIFS($C$18:$C$2015,P$13,$D$18:$D$2015,"&gt;="&amp;P161,$D$18:$D$2015,"&lt;"&amp;P162))</f>
        <v/>
      </c>
      <c r="R161" s="14" t="n"/>
      <c r="S161" s="16" t="n"/>
      <c r="T161" s="124">
        <f>IF(S161="","",COUNTIFS($C$18:$C$2015,S$13,$D$18:$D$2015,"&gt;="&amp;S161,$D$18:$D$2015,"&lt;"&amp;S162))</f>
        <v/>
      </c>
      <c r="U161" s="14" t="n"/>
      <c r="V161" s="16" t="n"/>
      <c r="W161" s="124">
        <f>IF(V161="","",COUNTIFS($C$18:$C$2015,V$13,$D$18:$D$2015,"&gt;="&amp;V161,$D$18:$D$2015,"&lt;"&amp;V162))</f>
        <v/>
      </c>
      <c r="X161" s="14" t="n"/>
      <c r="Y161" s="16" t="n"/>
      <c r="Z161" s="124">
        <f>IF(Y161="","",COUNTIFS($C$18:$C$2015,Y$13,$D$18:$D$2015,"&gt;="&amp;Y161,$D$18:$D$2015,"&lt;"&amp;Y162))</f>
        <v/>
      </c>
      <c r="AA161" s="14" t="n"/>
      <c r="AB161" s="16" t="n"/>
      <c r="AC161" s="124">
        <f>IF(AB161="","",COUNTIFS($C$18:$C$2015,AB$13,$D$18:$D$2015,"&gt;="&amp;AB161,$D$18:$D$2015,"&lt;"&amp;AB162))</f>
        <v/>
      </c>
      <c r="AD161" s="14" t="n"/>
    </row>
    <row r="162">
      <c r="A162" s="56" t="n"/>
      <c r="B162" s="57" t="n"/>
      <c r="C162" s="59" t="n"/>
      <c r="E162" s="16" t="n"/>
      <c r="F162" s="13" t="n"/>
      <c r="G162" s="16" t="n"/>
      <c r="H162" s="124">
        <f>IF(G162="","",COUNTIFS($C$18:$C$2015,G$13,$D$18:$D$2015,"&gt;="&amp;G162,$D$18:$D$2015,"&lt;"&amp;G163))</f>
        <v/>
      </c>
      <c r="I162" s="14" t="n"/>
      <c r="J162" s="16" t="n"/>
      <c r="K162" s="124">
        <f>IF(J162="","",COUNTIFS($C$18:$C$2015,J$13,$D$18:$D$2015,"&gt;="&amp;J162,$D$18:$D$2015,"&lt;"&amp;J163))</f>
        <v/>
      </c>
      <c r="L162" s="14" t="n"/>
      <c r="M162" s="16" t="n"/>
      <c r="N162" s="124">
        <f>IF(M162="","",COUNTIFS($C$18:$C$2015,M$13,$D$18:$D$2015,"&gt;="&amp;M162,$D$18:$D$2015,"&lt;"&amp;M163))</f>
        <v/>
      </c>
      <c r="O162" s="14" t="n"/>
      <c r="P162" s="16" t="n"/>
      <c r="Q162" s="124">
        <f>IF(P162="","",COUNTIFS($C$18:$C$2015,P$13,$D$18:$D$2015,"&gt;="&amp;P162,$D$18:$D$2015,"&lt;"&amp;P163))</f>
        <v/>
      </c>
      <c r="R162" s="14" t="n"/>
      <c r="S162" s="16" t="n"/>
      <c r="T162" s="124">
        <f>IF(S162="","",COUNTIFS($C$18:$C$2015,S$13,$D$18:$D$2015,"&gt;="&amp;S162,$D$18:$D$2015,"&lt;"&amp;S163))</f>
        <v/>
      </c>
      <c r="U162" s="14" t="n"/>
      <c r="V162" s="16" t="n"/>
      <c r="W162" s="124">
        <f>IF(V162="","",COUNTIFS($C$18:$C$2015,V$13,$D$18:$D$2015,"&gt;="&amp;V162,$D$18:$D$2015,"&lt;"&amp;V163))</f>
        <v/>
      </c>
      <c r="X162" s="14" t="n"/>
      <c r="Y162" s="16" t="n"/>
      <c r="Z162" s="124">
        <f>IF(Y162="","",COUNTIFS($C$18:$C$2015,Y$13,$D$18:$D$2015,"&gt;="&amp;Y162,$D$18:$D$2015,"&lt;"&amp;Y163))</f>
        <v/>
      </c>
      <c r="AA162" s="14" t="n"/>
      <c r="AB162" s="16" t="n"/>
      <c r="AC162" s="124">
        <f>IF(AB162="","",COUNTIFS($C$18:$C$2015,AB$13,$D$18:$D$2015,"&gt;="&amp;AB162,$D$18:$D$2015,"&lt;"&amp;AB163))</f>
        <v/>
      </c>
      <c r="AD162" s="14" t="n"/>
    </row>
    <row r="163">
      <c r="A163" s="58" t="n"/>
      <c r="B163" s="59" t="n"/>
      <c r="C163" s="59" t="n"/>
      <c r="E163" s="16" t="n"/>
      <c r="F163" s="13" t="n"/>
      <c r="G163" s="16" t="n"/>
      <c r="H163" s="124">
        <f>IF(G163="","",COUNTIFS($C$18:$C$2015,G$13,$D$18:$D$2015,"&gt;="&amp;G163,$D$18:$D$2015,"&lt;"&amp;G164))</f>
        <v/>
      </c>
      <c r="I163" s="14" t="n"/>
      <c r="J163" s="16" t="n"/>
      <c r="K163" s="124">
        <f>IF(J163="","",COUNTIFS($C$18:$C$2015,J$13,$D$18:$D$2015,"&gt;="&amp;J163,$D$18:$D$2015,"&lt;"&amp;J164))</f>
        <v/>
      </c>
      <c r="L163" s="14" t="n"/>
      <c r="M163" s="16" t="n"/>
      <c r="N163" s="124">
        <f>IF(M163="","",COUNTIFS($C$18:$C$2015,M$13,$D$18:$D$2015,"&gt;="&amp;M163,$D$18:$D$2015,"&lt;"&amp;M164))</f>
        <v/>
      </c>
      <c r="O163" s="14" t="n"/>
      <c r="P163" s="16" t="n"/>
      <c r="Q163" s="124">
        <f>IF(P163="","",COUNTIFS($C$18:$C$2015,P$13,$D$18:$D$2015,"&gt;="&amp;P163,$D$18:$D$2015,"&lt;"&amp;P164))</f>
        <v/>
      </c>
      <c r="R163" s="14" t="n"/>
      <c r="S163" s="16" t="n"/>
      <c r="T163" s="124">
        <f>IF(S163="","",COUNTIFS($C$18:$C$2015,S$13,$D$18:$D$2015,"&gt;="&amp;S163,$D$18:$D$2015,"&lt;"&amp;S164))</f>
        <v/>
      </c>
      <c r="U163" s="14" t="n"/>
      <c r="V163" s="16" t="n"/>
      <c r="W163" s="124">
        <f>IF(V163="","",COUNTIFS($C$18:$C$2015,V$13,$D$18:$D$2015,"&gt;="&amp;V163,$D$18:$D$2015,"&lt;"&amp;V164))</f>
        <v/>
      </c>
      <c r="X163" s="14" t="n"/>
      <c r="Y163" s="16" t="n"/>
      <c r="Z163" s="124">
        <f>IF(Y163="","",COUNTIFS($C$18:$C$2015,Y$13,$D$18:$D$2015,"&gt;="&amp;Y163,$D$18:$D$2015,"&lt;"&amp;Y164))</f>
        <v/>
      </c>
      <c r="AA163" s="14" t="n"/>
      <c r="AB163" s="16" t="n"/>
      <c r="AC163" s="124">
        <f>IF(AB163="","",COUNTIFS($C$18:$C$2015,AB$13,$D$18:$D$2015,"&gt;="&amp;AB163,$D$18:$D$2015,"&lt;"&amp;AB164))</f>
        <v/>
      </c>
      <c r="AD163" s="14" t="n"/>
    </row>
    <row r="164">
      <c r="A164" s="56" t="n"/>
      <c r="B164" s="57" t="n"/>
      <c r="C164" s="59" t="n"/>
      <c r="E164" s="16" t="n"/>
      <c r="F164" s="13" t="n"/>
      <c r="G164" s="16" t="n"/>
      <c r="H164" s="124">
        <f>IF(G164="","",COUNTIFS($C$18:$C$2015,G$13,$D$18:$D$2015,"&gt;="&amp;G164,$D$18:$D$2015,"&lt;"&amp;G165))</f>
        <v/>
      </c>
      <c r="I164" s="14" t="n"/>
      <c r="J164" s="16" t="n"/>
      <c r="K164" s="124">
        <f>IF(J164="","",COUNTIFS($C$18:$C$2015,J$13,$D$18:$D$2015,"&gt;="&amp;J164,$D$18:$D$2015,"&lt;"&amp;J165))</f>
        <v/>
      </c>
      <c r="L164" s="14" t="n"/>
      <c r="M164" s="16" t="n"/>
      <c r="N164" s="124">
        <f>IF(M164="","",COUNTIFS($C$18:$C$2015,M$13,$D$18:$D$2015,"&gt;="&amp;M164,$D$18:$D$2015,"&lt;"&amp;M165))</f>
        <v/>
      </c>
      <c r="O164" s="14" t="n"/>
      <c r="P164" s="16" t="n"/>
      <c r="Q164" s="124">
        <f>IF(P164="","",COUNTIFS($C$18:$C$2015,P$13,$D$18:$D$2015,"&gt;="&amp;P164,$D$18:$D$2015,"&lt;"&amp;P165))</f>
        <v/>
      </c>
      <c r="R164" s="14" t="n"/>
      <c r="S164" s="16" t="n"/>
      <c r="T164" s="124">
        <f>IF(S164="","",COUNTIFS($C$18:$C$2015,S$13,$D$18:$D$2015,"&gt;="&amp;S164,$D$18:$D$2015,"&lt;"&amp;S165))</f>
        <v/>
      </c>
      <c r="U164" s="14" t="n"/>
      <c r="V164" s="16" t="n"/>
      <c r="W164" s="124">
        <f>IF(V164="","",COUNTIFS($C$18:$C$2015,V$13,$D$18:$D$2015,"&gt;="&amp;V164,$D$18:$D$2015,"&lt;"&amp;V165))</f>
        <v/>
      </c>
      <c r="X164" s="14" t="n"/>
      <c r="Y164" s="16" t="n"/>
      <c r="Z164" s="124">
        <f>IF(Y164="","",COUNTIFS($C$18:$C$2015,Y$13,$D$18:$D$2015,"&gt;="&amp;Y164,$D$18:$D$2015,"&lt;"&amp;Y165))</f>
        <v/>
      </c>
      <c r="AA164" s="14" t="n"/>
      <c r="AB164" s="16" t="n"/>
      <c r="AC164" s="124">
        <f>IF(AB164="","",COUNTIFS($C$18:$C$2015,AB$13,$D$18:$D$2015,"&gt;="&amp;AB164,$D$18:$D$2015,"&lt;"&amp;AB165))</f>
        <v/>
      </c>
      <c r="AD164" s="14" t="n"/>
    </row>
    <row r="165">
      <c r="A165" s="58" t="n"/>
      <c r="B165" s="59" t="n"/>
      <c r="C165" s="59" t="n"/>
      <c r="E165" s="16" t="n"/>
      <c r="F165" s="13" t="n"/>
      <c r="G165" s="16" t="n"/>
      <c r="H165" s="124">
        <f>IF(G165="","",COUNTIFS($C$18:$C$2015,G$13,$D$18:$D$2015,"&gt;="&amp;G165,$D$18:$D$2015,"&lt;"&amp;G166))</f>
        <v/>
      </c>
      <c r="I165" s="14" t="n"/>
      <c r="J165" s="16" t="n"/>
      <c r="K165" s="124">
        <f>IF(J165="","",COUNTIFS($C$18:$C$2015,J$13,$D$18:$D$2015,"&gt;="&amp;J165,$D$18:$D$2015,"&lt;"&amp;J166))</f>
        <v/>
      </c>
      <c r="L165" s="14" t="n"/>
      <c r="M165" s="16" t="n"/>
      <c r="N165" s="124">
        <f>IF(M165="","",COUNTIFS($C$18:$C$2015,M$13,$D$18:$D$2015,"&gt;="&amp;M165,$D$18:$D$2015,"&lt;"&amp;M166))</f>
        <v/>
      </c>
      <c r="O165" s="14" t="n"/>
      <c r="P165" s="16" t="n"/>
      <c r="Q165" s="124">
        <f>IF(P165="","",COUNTIFS($C$18:$C$2015,P$13,$D$18:$D$2015,"&gt;="&amp;P165,$D$18:$D$2015,"&lt;"&amp;P166))</f>
        <v/>
      </c>
      <c r="R165" s="14" t="n"/>
      <c r="S165" s="16" t="n"/>
      <c r="T165" s="124">
        <f>IF(S165="","",COUNTIFS($C$18:$C$2015,S$13,$D$18:$D$2015,"&gt;="&amp;S165,$D$18:$D$2015,"&lt;"&amp;S166))</f>
        <v/>
      </c>
      <c r="U165" s="14" t="n"/>
      <c r="V165" s="16" t="n"/>
      <c r="W165" s="124">
        <f>IF(V165="","",COUNTIFS($C$18:$C$2015,V$13,$D$18:$D$2015,"&gt;="&amp;V165,$D$18:$D$2015,"&lt;"&amp;V166))</f>
        <v/>
      </c>
      <c r="X165" s="14" t="n"/>
      <c r="Y165" s="16" t="n"/>
      <c r="Z165" s="124">
        <f>IF(Y165="","",COUNTIFS($C$18:$C$2015,Y$13,$D$18:$D$2015,"&gt;="&amp;Y165,$D$18:$D$2015,"&lt;"&amp;Y166))</f>
        <v/>
      </c>
      <c r="AA165" s="14" t="n"/>
      <c r="AB165" s="16" t="n"/>
      <c r="AC165" s="124">
        <f>IF(AB165="","",COUNTIFS($C$18:$C$2015,AB$13,$D$18:$D$2015,"&gt;="&amp;AB165,$D$18:$D$2015,"&lt;"&amp;AB166))</f>
        <v/>
      </c>
      <c r="AD165" s="14" t="n"/>
    </row>
    <row r="166">
      <c r="A166" s="56" t="n"/>
      <c r="B166" s="57" t="n"/>
      <c r="C166" s="59" t="n"/>
      <c r="E166" s="16" t="n"/>
      <c r="F166" s="13" t="n"/>
      <c r="G166" s="16" t="n"/>
      <c r="H166" s="124">
        <f>IF(G166="","",COUNTIFS($C$18:$C$2015,G$13,$D$18:$D$2015,"&gt;="&amp;G166,$D$18:$D$2015,"&lt;"&amp;G167))</f>
        <v/>
      </c>
      <c r="I166" s="14" t="n"/>
      <c r="J166" s="16" t="n"/>
      <c r="K166" s="124">
        <f>IF(J166="","",COUNTIFS($C$18:$C$2015,J$13,$D$18:$D$2015,"&gt;="&amp;J166,$D$18:$D$2015,"&lt;"&amp;J167))</f>
        <v/>
      </c>
      <c r="L166" s="14" t="n"/>
      <c r="M166" s="16" t="n"/>
      <c r="N166" s="124">
        <f>IF(M166="","",COUNTIFS($C$18:$C$2015,M$13,$D$18:$D$2015,"&gt;="&amp;M166,$D$18:$D$2015,"&lt;"&amp;M167))</f>
        <v/>
      </c>
      <c r="O166" s="14" t="n"/>
      <c r="P166" s="16" t="n"/>
      <c r="Q166" s="124">
        <f>IF(P166="","",COUNTIFS($C$18:$C$2015,P$13,$D$18:$D$2015,"&gt;="&amp;P166,$D$18:$D$2015,"&lt;"&amp;P167))</f>
        <v/>
      </c>
      <c r="R166" s="14" t="n"/>
      <c r="S166" s="16" t="n"/>
      <c r="T166" s="124">
        <f>IF(S166="","",COUNTIFS($C$18:$C$2015,S$13,$D$18:$D$2015,"&gt;="&amp;S166,$D$18:$D$2015,"&lt;"&amp;S167))</f>
        <v/>
      </c>
      <c r="U166" s="14" t="n"/>
      <c r="V166" s="16" t="n"/>
      <c r="W166" s="124">
        <f>IF(V166="","",COUNTIFS($C$18:$C$2015,V$13,$D$18:$D$2015,"&gt;="&amp;V166,$D$18:$D$2015,"&lt;"&amp;V167))</f>
        <v/>
      </c>
      <c r="X166" s="14" t="n"/>
      <c r="Y166" s="16" t="n"/>
      <c r="Z166" s="124">
        <f>IF(Y166="","",COUNTIFS($C$18:$C$2015,Y$13,$D$18:$D$2015,"&gt;="&amp;Y166,$D$18:$D$2015,"&lt;"&amp;Y167))</f>
        <v/>
      </c>
      <c r="AA166" s="14" t="n"/>
      <c r="AB166" s="16" t="n"/>
      <c r="AC166" s="124">
        <f>IF(AB166="","",COUNTIFS($C$18:$C$2015,AB$13,$D$18:$D$2015,"&gt;="&amp;AB166,$D$18:$D$2015,"&lt;"&amp;AB167))</f>
        <v/>
      </c>
      <c r="AD166" s="14" t="n"/>
    </row>
    <row r="167">
      <c r="A167" s="58" t="n"/>
      <c r="B167" s="59" t="n"/>
      <c r="C167" s="59" t="n"/>
      <c r="E167" s="16" t="n"/>
      <c r="F167" s="13" t="n"/>
      <c r="G167" s="16" t="n"/>
      <c r="H167" s="124">
        <f>IF(G167="","",COUNTIFS($C$18:$C$2015,G$13,$D$18:$D$2015,"&gt;="&amp;G167,$D$18:$D$2015,"&lt;"&amp;G168))</f>
        <v/>
      </c>
      <c r="I167" s="14" t="n"/>
      <c r="J167" s="16" t="n"/>
      <c r="K167" s="124">
        <f>IF(J167="","",COUNTIFS($C$18:$C$2015,J$13,$D$18:$D$2015,"&gt;="&amp;J167,$D$18:$D$2015,"&lt;"&amp;J168))</f>
        <v/>
      </c>
      <c r="L167" s="14" t="n"/>
      <c r="M167" s="16" t="n"/>
      <c r="N167" s="124">
        <f>IF(M167="","",COUNTIFS($C$18:$C$2015,M$13,$D$18:$D$2015,"&gt;="&amp;M167,$D$18:$D$2015,"&lt;"&amp;M168))</f>
        <v/>
      </c>
      <c r="O167" s="14" t="n"/>
      <c r="P167" s="16" t="n"/>
      <c r="Q167" s="124">
        <f>IF(P167="","",COUNTIFS($C$18:$C$2015,P$13,$D$18:$D$2015,"&gt;="&amp;P167,$D$18:$D$2015,"&lt;"&amp;P168))</f>
        <v/>
      </c>
      <c r="R167" s="14" t="n"/>
      <c r="S167" s="16" t="n"/>
      <c r="T167" s="124">
        <f>IF(S167="","",COUNTIFS($C$18:$C$2015,S$13,$D$18:$D$2015,"&gt;="&amp;S167,$D$18:$D$2015,"&lt;"&amp;S168))</f>
        <v/>
      </c>
      <c r="U167" s="14" t="n"/>
      <c r="V167" s="16" t="n"/>
      <c r="W167" s="124">
        <f>IF(V167="","",COUNTIFS($C$18:$C$2015,V$13,$D$18:$D$2015,"&gt;="&amp;V167,$D$18:$D$2015,"&lt;"&amp;V168))</f>
        <v/>
      </c>
      <c r="X167" s="14" t="n"/>
      <c r="Y167" s="16" t="n"/>
      <c r="Z167" s="124">
        <f>IF(Y167="","",COUNTIFS($C$18:$C$2015,Y$13,$D$18:$D$2015,"&gt;="&amp;Y167,$D$18:$D$2015,"&lt;"&amp;Y168))</f>
        <v/>
      </c>
      <c r="AA167" s="14" t="n"/>
      <c r="AB167" s="16" t="n"/>
      <c r="AC167" s="124">
        <f>IF(AB167="","",COUNTIFS($C$18:$C$2015,AB$13,$D$18:$D$2015,"&gt;="&amp;AB167,$D$18:$D$2015,"&lt;"&amp;AB168))</f>
        <v/>
      </c>
      <c r="AD167" s="14" t="n"/>
    </row>
    <row r="168">
      <c r="A168" s="56" t="n"/>
      <c r="B168" s="57" t="n"/>
      <c r="C168" s="59" t="n"/>
      <c r="E168" s="16" t="n"/>
      <c r="F168" s="13" t="n"/>
      <c r="G168" s="16" t="n"/>
      <c r="H168" s="124">
        <f>IF(G168="","",COUNTIFS($C$18:$C$2015,G$13,$D$18:$D$2015,"&gt;="&amp;G168,$D$18:$D$2015,"&lt;"&amp;G169))</f>
        <v/>
      </c>
      <c r="I168" s="14" t="n"/>
      <c r="J168" s="16" t="n"/>
      <c r="K168" s="124">
        <f>IF(J168="","",COUNTIFS($C$18:$C$2015,J$13,$D$18:$D$2015,"&gt;="&amp;J168,$D$18:$D$2015,"&lt;"&amp;J169))</f>
        <v/>
      </c>
      <c r="L168" s="14" t="n"/>
      <c r="M168" s="16" t="n"/>
      <c r="N168" s="124">
        <f>IF(M168="","",COUNTIFS($C$18:$C$2015,M$13,$D$18:$D$2015,"&gt;="&amp;M168,$D$18:$D$2015,"&lt;"&amp;M169))</f>
        <v/>
      </c>
      <c r="O168" s="14" t="n"/>
      <c r="P168" s="16" t="n"/>
      <c r="Q168" s="124">
        <f>IF(P168="","",COUNTIFS($C$18:$C$2015,P$13,$D$18:$D$2015,"&gt;="&amp;P168,$D$18:$D$2015,"&lt;"&amp;P169))</f>
        <v/>
      </c>
      <c r="R168" s="14" t="n"/>
      <c r="S168" s="16" t="n"/>
      <c r="T168" s="124">
        <f>IF(S168="","",COUNTIFS($C$18:$C$2015,S$13,$D$18:$D$2015,"&gt;="&amp;S168,$D$18:$D$2015,"&lt;"&amp;S169))</f>
        <v/>
      </c>
      <c r="U168" s="14" t="n"/>
      <c r="V168" s="16" t="n"/>
      <c r="W168" s="124">
        <f>IF(V168="","",COUNTIFS($C$18:$C$2015,V$13,$D$18:$D$2015,"&gt;="&amp;V168,$D$18:$D$2015,"&lt;"&amp;V169))</f>
        <v/>
      </c>
      <c r="X168" s="14" t="n"/>
      <c r="Y168" s="16" t="n"/>
      <c r="Z168" s="124">
        <f>IF(Y168="","",COUNTIFS($C$18:$C$2015,Y$13,$D$18:$D$2015,"&gt;="&amp;Y168,$D$18:$D$2015,"&lt;"&amp;Y169))</f>
        <v/>
      </c>
      <c r="AA168" s="14" t="n"/>
      <c r="AB168" s="16" t="n"/>
      <c r="AC168" s="124">
        <f>IF(AB168="","",COUNTIFS($C$18:$C$2015,AB$13,$D$18:$D$2015,"&gt;="&amp;AB168,$D$18:$D$2015,"&lt;"&amp;AB169))</f>
        <v/>
      </c>
      <c r="AD168" s="14" t="n"/>
    </row>
    <row r="169">
      <c r="A169" s="58" t="n"/>
      <c r="B169" s="59" t="n"/>
      <c r="C169" s="59" t="n"/>
      <c r="E169" s="16" t="n"/>
      <c r="F169" s="13" t="n"/>
      <c r="G169" s="16" t="n"/>
      <c r="H169" s="124">
        <f>IF(G169="","",COUNTIFS($C$18:$C$2015,G$13,$D$18:$D$2015,"&gt;="&amp;G169,$D$18:$D$2015,"&lt;"&amp;G170))</f>
        <v/>
      </c>
      <c r="I169" s="14" t="n"/>
      <c r="J169" s="16" t="n"/>
      <c r="K169" s="124">
        <f>IF(J169="","",COUNTIFS($C$18:$C$2015,J$13,$D$18:$D$2015,"&gt;="&amp;J169,$D$18:$D$2015,"&lt;"&amp;J170))</f>
        <v/>
      </c>
      <c r="L169" s="14" t="n"/>
      <c r="M169" s="16" t="n"/>
      <c r="N169" s="124">
        <f>IF(M169="","",COUNTIFS($C$18:$C$2015,M$13,$D$18:$D$2015,"&gt;="&amp;M169,$D$18:$D$2015,"&lt;"&amp;M170))</f>
        <v/>
      </c>
      <c r="O169" s="14" t="n"/>
      <c r="P169" s="16" t="n"/>
      <c r="Q169" s="124">
        <f>IF(P169="","",COUNTIFS($C$18:$C$2015,P$13,$D$18:$D$2015,"&gt;="&amp;P169,$D$18:$D$2015,"&lt;"&amp;P170))</f>
        <v/>
      </c>
      <c r="R169" s="14" t="n"/>
      <c r="S169" s="16" t="n"/>
      <c r="T169" s="124">
        <f>IF(S169="","",COUNTIFS($C$18:$C$2015,S$13,$D$18:$D$2015,"&gt;="&amp;S169,$D$18:$D$2015,"&lt;"&amp;S170))</f>
        <v/>
      </c>
      <c r="U169" s="14" t="n"/>
      <c r="V169" s="16" t="n"/>
      <c r="W169" s="124">
        <f>IF(V169="","",COUNTIFS($C$18:$C$2015,V$13,$D$18:$D$2015,"&gt;="&amp;V169,$D$18:$D$2015,"&lt;"&amp;V170))</f>
        <v/>
      </c>
      <c r="X169" s="14" t="n"/>
      <c r="Y169" s="16" t="n"/>
      <c r="Z169" s="124">
        <f>IF(Y169="","",COUNTIFS($C$18:$C$2015,Y$13,$D$18:$D$2015,"&gt;="&amp;Y169,$D$18:$D$2015,"&lt;"&amp;Y170))</f>
        <v/>
      </c>
      <c r="AA169" s="14" t="n"/>
      <c r="AB169" s="16" t="n"/>
      <c r="AC169" s="124">
        <f>IF(AB169="","",COUNTIFS($C$18:$C$2015,AB$13,$D$18:$D$2015,"&gt;="&amp;AB169,$D$18:$D$2015,"&lt;"&amp;AB170))</f>
        <v/>
      </c>
      <c r="AD169" s="14" t="n"/>
    </row>
    <row r="170">
      <c r="A170" s="56" t="n"/>
      <c r="B170" s="57" t="n"/>
      <c r="C170" s="59" t="n"/>
      <c r="E170" s="16" t="n"/>
      <c r="F170" s="13" t="n"/>
      <c r="G170" s="16" t="n"/>
      <c r="H170" s="124">
        <f>IF(G170="","",COUNTIFS($C$18:$C$2015,G$13,$D$18:$D$2015,"&gt;="&amp;G170,$D$18:$D$2015,"&lt;"&amp;G171))</f>
        <v/>
      </c>
      <c r="I170" s="14" t="n"/>
      <c r="J170" s="16" t="n"/>
      <c r="K170" s="124">
        <f>IF(J170="","",COUNTIFS($C$18:$C$2015,J$13,$D$18:$D$2015,"&gt;="&amp;J170,$D$18:$D$2015,"&lt;"&amp;J171))</f>
        <v/>
      </c>
      <c r="L170" s="14" t="n"/>
      <c r="M170" s="16" t="n"/>
      <c r="N170" s="124">
        <f>IF(M170="","",COUNTIFS($C$18:$C$2015,M$13,$D$18:$D$2015,"&gt;="&amp;M170,$D$18:$D$2015,"&lt;"&amp;M171))</f>
        <v/>
      </c>
      <c r="O170" s="14" t="n"/>
      <c r="P170" s="16" t="n"/>
      <c r="Q170" s="124">
        <f>IF(P170="","",COUNTIFS($C$18:$C$2015,P$13,$D$18:$D$2015,"&gt;="&amp;P170,$D$18:$D$2015,"&lt;"&amp;P171))</f>
        <v/>
      </c>
      <c r="R170" s="14" t="n"/>
      <c r="S170" s="16" t="n"/>
      <c r="T170" s="124">
        <f>IF(S170="","",COUNTIFS($C$18:$C$2015,S$13,$D$18:$D$2015,"&gt;="&amp;S170,$D$18:$D$2015,"&lt;"&amp;S171))</f>
        <v/>
      </c>
      <c r="U170" s="14" t="n"/>
      <c r="V170" s="16" t="n"/>
      <c r="W170" s="124">
        <f>IF(V170="","",COUNTIFS($C$18:$C$2015,V$13,$D$18:$D$2015,"&gt;="&amp;V170,$D$18:$D$2015,"&lt;"&amp;V171))</f>
        <v/>
      </c>
      <c r="X170" s="14" t="n"/>
      <c r="Y170" s="16" t="n"/>
      <c r="Z170" s="124">
        <f>IF(Y170="","",COUNTIFS($C$18:$C$2015,Y$13,$D$18:$D$2015,"&gt;="&amp;Y170,$D$18:$D$2015,"&lt;"&amp;Y171))</f>
        <v/>
      </c>
      <c r="AA170" s="14" t="n"/>
      <c r="AB170" s="16" t="n"/>
      <c r="AC170" s="124">
        <f>IF(AB170="","",COUNTIFS($C$18:$C$2015,AB$13,$D$18:$D$2015,"&gt;="&amp;AB170,$D$18:$D$2015,"&lt;"&amp;AB171))</f>
        <v/>
      </c>
      <c r="AD170" s="14" t="n"/>
    </row>
    <row r="171">
      <c r="A171" s="58" t="n"/>
      <c r="B171" s="59" t="n"/>
      <c r="C171" s="59" t="n"/>
      <c r="E171" s="16" t="n"/>
      <c r="F171" s="13" t="n"/>
      <c r="G171" s="16" t="n"/>
      <c r="H171" s="124">
        <f>IF(G171="","",COUNTIFS($C$18:$C$2015,G$13,$D$18:$D$2015,"&gt;="&amp;G171,$D$18:$D$2015,"&lt;"&amp;G172))</f>
        <v/>
      </c>
      <c r="I171" s="14" t="n"/>
      <c r="J171" s="16" t="n"/>
      <c r="K171" s="124">
        <f>IF(J171="","",COUNTIFS($C$18:$C$2015,J$13,$D$18:$D$2015,"&gt;="&amp;J171,$D$18:$D$2015,"&lt;"&amp;J172))</f>
        <v/>
      </c>
      <c r="L171" s="14" t="n"/>
      <c r="M171" s="16" t="n"/>
      <c r="N171" s="124">
        <f>IF(M171="","",COUNTIFS($C$18:$C$2015,M$13,$D$18:$D$2015,"&gt;="&amp;M171,$D$18:$D$2015,"&lt;"&amp;M172))</f>
        <v/>
      </c>
      <c r="O171" s="14" t="n"/>
      <c r="P171" s="16" t="n"/>
      <c r="Q171" s="124">
        <f>IF(P171="","",COUNTIFS($C$18:$C$2015,P$13,$D$18:$D$2015,"&gt;="&amp;P171,$D$18:$D$2015,"&lt;"&amp;P172))</f>
        <v/>
      </c>
      <c r="R171" s="14" t="n"/>
      <c r="S171" s="16" t="n"/>
      <c r="T171" s="124">
        <f>IF(S171="","",COUNTIFS($C$18:$C$2015,S$13,$D$18:$D$2015,"&gt;="&amp;S171,$D$18:$D$2015,"&lt;"&amp;S172))</f>
        <v/>
      </c>
      <c r="U171" s="14" t="n"/>
      <c r="V171" s="16" t="n"/>
      <c r="W171" s="124">
        <f>IF(V171="","",COUNTIFS($C$18:$C$2015,V$13,$D$18:$D$2015,"&gt;="&amp;V171,$D$18:$D$2015,"&lt;"&amp;V172))</f>
        <v/>
      </c>
      <c r="X171" s="14" t="n"/>
      <c r="Y171" s="16" t="n"/>
      <c r="Z171" s="124">
        <f>IF(Y171="","",COUNTIFS($C$18:$C$2015,Y$13,$D$18:$D$2015,"&gt;="&amp;Y171,$D$18:$D$2015,"&lt;"&amp;Y172))</f>
        <v/>
      </c>
      <c r="AA171" s="14" t="n"/>
      <c r="AB171" s="16" t="n"/>
      <c r="AC171" s="124">
        <f>IF(AB171="","",COUNTIFS($C$18:$C$2015,AB$13,$D$18:$D$2015,"&gt;="&amp;AB171,$D$18:$D$2015,"&lt;"&amp;AB172))</f>
        <v/>
      </c>
      <c r="AD171" s="14" t="n"/>
    </row>
    <row r="172">
      <c r="A172" s="56" t="n"/>
      <c r="B172" s="57" t="n"/>
      <c r="C172" s="59" t="n"/>
      <c r="E172" s="16" t="n"/>
      <c r="F172" s="13" t="n"/>
      <c r="G172" s="16" t="n"/>
      <c r="H172" s="124">
        <f>IF(G172="","",COUNTIFS($C$18:$C$2015,G$13,$D$18:$D$2015,"&gt;="&amp;G172,$D$18:$D$2015,"&lt;"&amp;G173))</f>
        <v/>
      </c>
      <c r="I172" s="14" t="n"/>
      <c r="J172" s="16" t="n"/>
      <c r="K172" s="124">
        <f>IF(J172="","",COUNTIFS($C$18:$C$2015,J$13,$D$18:$D$2015,"&gt;="&amp;J172,$D$18:$D$2015,"&lt;"&amp;J173))</f>
        <v/>
      </c>
      <c r="L172" s="14" t="n"/>
      <c r="M172" s="16" t="n"/>
      <c r="N172" s="124">
        <f>IF(M172="","",COUNTIFS($C$18:$C$2015,M$13,$D$18:$D$2015,"&gt;="&amp;M172,$D$18:$D$2015,"&lt;"&amp;M173))</f>
        <v/>
      </c>
      <c r="O172" s="14" t="n"/>
      <c r="P172" s="16" t="n"/>
      <c r="Q172" s="124">
        <f>IF(P172="","",COUNTIFS($C$18:$C$2015,P$13,$D$18:$D$2015,"&gt;="&amp;P172,$D$18:$D$2015,"&lt;"&amp;P173))</f>
        <v/>
      </c>
      <c r="R172" s="14" t="n"/>
      <c r="S172" s="16" t="n"/>
      <c r="T172" s="124">
        <f>IF(S172="","",COUNTIFS($C$18:$C$2015,S$13,$D$18:$D$2015,"&gt;="&amp;S172,$D$18:$D$2015,"&lt;"&amp;S173))</f>
        <v/>
      </c>
      <c r="U172" s="14" t="n"/>
      <c r="V172" s="16" t="n"/>
      <c r="W172" s="124">
        <f>IF(V172="","",COUNTIFS($C$18:$C$2015,V$13,$D$18:$D$2015,"&gt;="&amp;V172,$D$18:$D$2015,"&lt;"&amp;V173))</f>
        <v/>
      </c>
      <c r="X172" s="14" t="n"/>
      <c r="Y172" s="16" t="n"/>
      <c r="Z172" s="124">
        <f>IF(Y172="","",COUNTIFS($C$18:$C$2015,Y$13,$D$18:$D$2015,"&gt;="&amp;Y172,$D$18:$D$2015,"&lt;"&amp;Y173))</f>
        <v/>
      </c>
      <c r="AA172" s="14" t="n"/>
      <c r="AB172" s="16" t="n"/>
      <c r="AC172" s="124">
        <f>IF(AB172="","",COUNTIFS($C$18:$C$2015,AB$13,$D$18:$D$2015,"&gt;="&amp;AB172,$D$18:$D$2015,"&lt;"&amp;AB173))</f>
        <v/>
      </c>
      <c r="AD172" s="14" t="n"/>
    </row>
    <row r="173">
      <c r="A173" s="58" t="n"/>
      <c r="B173" s="59" t="n"/>
      <c r="C173" s="59" t="n"/>
      <c r="E173" s="16" t="n"/>
      <c r="F173" s="13" t="n"/>
      <c r="G173" s="16" t="n"/>
      <c r="H173" s="124">
        <f>IF(G173="","",COUNTIFS($C$18:$C$2015,G$13,$D$18:$D$2015,"&gt;="&amp;G173,$D$18:$D$2015,"&lt;"&amp;G174))</f>
        <v/>
      </c>
      <c r="I173" s="14" t="n"/>
      <c r="J173" s="16" t="n"/>
      <c r="K173" s="124">
        <f>IF(J173="","",COUNTIFS($C$18:$C$2015,J$13,$D$18:$D$2015,"&gt;="&amp;J173,$D$18:$D$2015,"&lt;"&amp;J174))</f>
        <v/>
      </c>
      <c r="L173" s="14" t="n"/>
      <c r="M173" s="16" t="n"/>
      <c r="N173" s="124">
        <f>IF(M173="","",COUNTIFS($C$18:$C$2015,M$13,$D$18:$D$2015,"&gt;="&amp;M173,$D$18:$D$2015,"&lt;"&amp;M174))</f>
        <v/>
      </c>
      <c r="O173" s="14" t="n"/>
      <c r="P173" s="16" t="n"/>
      <c r="Q173" s="124">
        <f>IF(P173="","",COUNTIFS($C$18:$C$2015,P$13,$D$18:$D$2015,"&gt;="&amp;P173,$D$18:$D$2015,"&lt;"&amp;P174))</f>
        <v/>
      </c>
      <c r="R173" s="14" t="n"/>
      <c r="S173" s="16" t="n"/>
      <c r="T173" s="124">
        <f>IF(S173="","",COUNTIFS($C$18:$C$2015,S$13,$D$18:$D$2015,"&gt;="&amp;S173,$D$18:$D$2015,"&lt;"&amp;S174))</f>
        <v/>
      </c>
      <c r="U173" s="14" t="n"/>
      <c r="V173" s="16" t="n"/>
      <c r="W173" s="124">
        <f>IF(V173="","",COUNTIFS($C$18:$C$2015,V$13,$D$18:$D$2015,"&gt;="&amp;V173,$D$18:$D$2015,"&lt;"&amp;V174))</f>
        <v/>
      </c>
      <c r="X173" s="14" t="n"/>
      <c r="Y173" s="16" t="n"/>
      <c r="Z173" s="124">
        <f>IF(Y173="","",COUNTIFS($C$18:$C$2015,Y$13,$D$18:$D$2015,"&gt;="&amp;Y173,$D$18:$D$2015,"&lt;"&amp;Y174))</f>
        <v/>
      </c>
      <c r="AA173" s="14" t="n"/>
      <c r="AB173" s="16" t="n"/>
      <c r="AC173" s="124">
        <f>IF(AB173="","",COUNTIFS($C$18:$C$2015,AB$13,$D$18:$D$2015,"&gt;="&amp;AB173,$D$18:$D$2015,"&lt;"&amp;AB174))</f>
        <v/>
      </c>
      <c r="AD173" s="14" t="n"/>
    </row>
    <row r="174">
      <c r="A174" s="56" t="n"/>
      <c r="B174" s="57" t="n"/>
      <c r="C174" s="59" t="n"/>
      <c r="E174" s="16" t="n"/>
      <c r="F174" s="13" t="n"/>
      <c r="G174" s="16" t="n"/>
      <c r="H174" s="124">
        <f>IF(G174="","",COUNTIFS($C$18:$C$2015,G$13,$D$18:$D$2015,"&gt;="&amp;G174,$D$18:$D$2015,"&lt;"&amp;G175))</f>
        <v/>
      </c>
      <c r="I174" s="14" t="n"/>
      <c r="J174" s="16" t="n"/>
      <c r="K174" s="124">
        <f>IF(J174="","",COUNTIFS($C$18:$C$2015,J$13,$D$18:$D$2015,"&gt;="&amp;J174,$D$18:$D$2015,"&lt;"&amp;J175))</f>
        <v/>
      </c>
      <c r="L174" s="14" t="n"/>
      <c r="M174" s="16" t="n"/>
      <c r="N174" s="124">
        <f>IF(M174="","",COUNTIFS($C$18:$C$2015,M$13,$D$18:$D$2015,"&gt;="&amp;M174,$D$18:$D$2015,"&lt;"&amp;M175))</f>
        <v/>
      </c>
      <c r="O174" s="14" t="n"/>
      <c r="P174" s="16" t="n"/>
      <c r="Q174" s="124">
        <f>IF(P174="","",COUNTIFS($C$18:$C$2015,P$13,$D$18:$D$2015,"&gt;="&amp;P174,$D$18:$D$2015,"&lt;"&amp;P175))</f>
        <v/>
      </c>
      <c r="R174" s="14" t="n"/>
      <c r="S174" s="16" t="n"/>
      <c r="T174" s="124">
        <f>IF(S174="","",COUNTIFS($C$18:$C$2015,S$13,$D$18:$D$2015,"&gt;="&amp;S174,$D$18:$D$2015,"&lt;"&amp;S175))</f>
        <v/>
      </c>
      <c r="U174" s="14" t="n"/>
      <c r="V174" s="16" t="n"/>
      <c r="W174" s="124">
        <f>IF(V174="","",COUNTIFS($C$18:$C$2015,V$13,$D$18:$D$2015,"&gt;="&amp;V174,$D$18:$D$2015,"&lt;"&amp;V175))</f>
        <v/>
      </c>
      <c r="X174" s="14" t="n"/>
      <c r="Y174" s="16" t="n"/>
      <c r="Z174" s="124">
        <f>IF(Y174="","",COUNTIFS($C$18:$C$2015,Y$13,$D$18:$D$2015,"&gt;="&amp;Y174,$D$18:$D$2015,"&lt;"&amp;Y175))</f>
        <v/>
      </c>
      <c r="AA174" s="14" t="n"/>
      <c r="AB174" s="16" t="n"/>
      <c r="AC174" s="124">
        <f>IF(AB174="","",COUNTIFS($C$18:$C$2015,AB$13,$D$18:$D$2015,"&gt;="&amp;AB174,$D$18:$D$2015,"&lt;"&amp;AB175))</f>
        <v/>
      </c>
      <c r="AD174" s="14" t="n"/>
    </row>
    <row r="175">
      <c r="A175" s="58" t="n"/>
      <c r="B175" s="59" t="n"/>
      <c r="C175" s="59" t="n"/>
      <c r="E175" s="16" t="n"/>
      <c r="F175" s="13" t="n"/>
      <c r="G175" s="16" t="n"/>
      <c r="H175" s="124">
        <f>IF(G175="","",COUNTIFS($C$18:$C$2015,G$13,$D$18:$D$2015,"&gt;="&amp;G175,$D$18:$D$2015,"&lt;"&amp;G176))</f>
        <v/>
      </c>
      <c r="I175" s="14" t="n"/>
      <c r="J175" s="16" t="n"/>
      <c r="K175" s="124">
        <f>IF(J175="","",COUNTIFS($C$18:$C$2015,J$13,$D$18:$D$2015,"&gt;="&amp;J175,$D$18:$D$2015,"&lt;"&amp;J176))</f>
        <v/>
      </c>
      <c r="L175" s="14" t="n"/>
      <c r="M175" s="16" t="n"/>
      <c r="N175" s="124">
        <f>IF(M175="","",COUNTIFS($C$18:$C$2015,M$13,$D$18:$D$2015,"&gt;="&amp;M175,$D$18:$D$2015,"&lt;"&amp;M176))</f>
        <v/>
      </c>
      <c r="O175" s="14" t="n"/>
      <c r="P175" s="16" t="n"/>
      <c r="Q175" s="124">
        <f>IF(P175="","",COUNTIFS($C$18:$C$2015,P$13,$D$18:$D$2015,"&gt;="&amp;P175,$D$18:$D$2015,"&lt;"&amp;P176))</f>
        <v/>
      </c>
      <c r="R175" s="14" t="n"/>
      <c r="S175" s="16" t="n"/>
      <c r="T175" s="124">
        <f>IF(S175="","",COUNTIFS($C$18:$C$2015,S$13,$D$18:$D$2015,"&gt;="&amp;S175,$D$18:$D$2015,"&lt;"&amp;S176))</f>
        <v/>
      </c>
      <c r="U175" s="14" t="n"/>
      <c r="V175" s="16" t="n"/>
      <c r="W175" s="124">
        <f>IF(V175="","",COUNTIFS($C$18:$C$2015,V$13,$D$18:$D$2015,"&gt;="&amp;V175,$D$18:$D$2015,"&lt;"&amp;V176))</f>
        <v/>
      </c>
      <c r="X175" s="14" t="n"/>
      <c r="Y175" s="16" t="n"/>
      <c r="Z175" s="124">
        <f>IF(Y175="","",COUNTIFS($C$18:$C$2015,Y$13,$D$18:$D$2015,"&gt;="&amp;Y175,$D$18:$D$2015,"&lt;"&amp;Y176))</f>
        <v/>
      </c>
      <c r="AA175" s="14" t="n"/>
      <c r="AB175" s="16" t="n"/>
      <c r="AC175" s="124">
        <f>IF(AB175="","",COUNTIFS($C$18:$C$2015,AB$13,$D$18:$D$2015,"&gt;="&amp;AB175,$D$18:$D$2015,"&lt;"&amp;AB176))</f>
        <v/>
      </c>
      <c r="AD175" s="14" t="n"/>
    </row>
    <row r="176">
      <c r="A176" s="56" t="n"/>
      <c r="B176" s="57" t="n"/>
      <c r="C176" s="59" t="n"/>
      <c r="E176" s="16" t="n"/>
      <c r="F176" s="13" t="n"/>
      <c r="G176" s="16" t="n"/>
      <c r="H176" s="124">
        <f>IF(G176="","",COUNTIFS($C$18:$C$2015,G$13,$D$18:$D$2015,"&gt;="&amp;G176,$D$18:$D$2015,"&lt;"&amp;G177))</f>
        <v/>
      </c>
      <c r="I176" s="14" t="n"/>
      <c r="J176" s="16" t="n"/>
      <c r="K176" s="124">
        <f>IF(J176="","",COUNTIFS($C$18:$C$2015,J$13,$D$18:$D$2015,"&gt;="&amp;J176,$D$18:$D$2015,"&lt;"&amp;J177))</f>
        <v/>
      </c>
      <c r="L176" s="14" t="n"/>
      <c r="M176" s="16" t="n"/>
      <c r="N176" s="124">
        <f>IF(M176="","",COUNTIFS($C$18:$C$2015,M$13,$D$18:$D$2015,"&gt;="&amp;M176,$D$18:$D$2015,"&lt;"&amp;M177))</f>
        <v/>
      </c>
      <c r="O176" s="14" t="n"/>
      <c r="P176" s="16" t="n"/>
      <c r="Q176" s="124">
        <f>IF(P176="","",COUNTIFS($C$18:$C$2015,P$13,$D$18:$D$2015,"&gt;="&amp;P176,$D$18:$D$2015,"&lt;"&amp;P177))</f>
        <v/>
      </c>
      <c r="R176" s="14" t="n"/>
      <c r="S176" s="16" t="n"/>
      <c r="T176" s="124">
        <f>IF(S176="","",COUNTIFS($C$18:$C$2015,S$13,$D$18:$D$2015,"&gt;="&amp;S176,$D$18:$D$2015,"&lt;"&amp;S177))</f>
        <v/>
      </c>
      <c r="U176" s="14" t="n"/>
      <c r="V176" s="16" t="n"/>
      <c r="W176" s="124">
        <f>IF(V176="","",COUNTIFS($C$18:$C$2015,V$13,$D$18:$D$2015,"&gt;="&amp;V176,$D$18:$D$2015,"&lt;"&amp;V177))</f>
        <v/>
      </c>
      <c r="X176" s="14" t="n"/>
      <c r="Y176" s="16" t="n"/>
      <c r="Z176" s="124">
        <f>IF(Y176="","",COUNTIFS($C$18:$C$2015,Y$13,$D$18:$D$2015,"&gt;="&amp;Y176,$D$18:$D$2015,"&lt;"&amp;Y177))</f>
        <v/>
      </c>
      <c r="AA176" s="14" t="n"/>
      <c r="AB176" s="16" t="n"/>
      <c r="AC176" s="124">
        <f>IF(AB176="","",COUNTIFS($C$18:$C$2015,AB$13,$D$18:$D$2015,"&gt;="&amp;AB176,$D$18:$D$2015,"&lt;"&amp;AB177))</f>
        <v/>
      </c>
      <c r="AD176" s="14" t="n"/>
    </row>
    <row r="177">
      <c r="A177" s="58" t="n"/>
      <c r="B177" s="59" t="n"/>
      <c r="C177" s="59" t="n"/>
      <c r="E177" s="16" t="n"/>
      <c r="F177" s="13" t="n"/>
      <c r="G177" s="16" t="n"/>
      <c r="H177" s="124">
        <f>IF(G177="","",COUNTIFS($C$18:$C$2015,G$13,$D$18:$D$2015,"&gt;="&amp;G177,$D$18:$D$2015,"&lt;"&amp;G178))</f>
        <v/>
      </c>
      <c r="I177" s="14" t="n"/>
      <c r="J177" s="16" t="n"/>
      <c r="K177" s="124">
        <f>IF(J177="","",COUNTIFS($C$18:$C$2015,J$13,$D$18:$D$2015,"&gt;="&amp;J177,$D$18:$D$2015,"&lt;"&amp;J178))</f>
        <v/>
      </c>
      <c r="L177" s="14" t="n"/>
      <c r="M177" s="16" t="n"/>
      <c r="N177" s="124">
        <f>IF(M177="","",COUNTIFS($C$18:$C$2015,M$13,$D$18:$D$2015,"&gt;="&amp;M177,$D$18:$D$2015,"&lt;"&amp;M178))</f>
        <v/>
      </c>
      <c r="O177" s="14" t="n"/>
      <c r="P177" s="16" t="n"/>
      <c r="Q177" s="124">
        <f>IF(P177="","",COUNTIFS($C$18:$C$2015,P$13,$D$18:$D$2015,"&gt;="&amp;P177,$D$18:$D$2015,"&lt;"&amp;P178))</f>
        <v/>
      </c>
      <c r="R177" s="14" t="n"/>
      <c r="S177" s="16" t="n"/>
      <c r="T177" s="124">
        <f>IF(S177="","",COUNTIFS($C$18:$C$2015,S$13,$D$18:$D$2015,"&gt;="&amp;S177,$D$18:$D$2015,"&lt;"&amp;S178))</f>
        <v/>
      </c>
      <c r="U177" s="14" t="n"/>
      <c r="V177" s="16" t="n"/>
      <c r="W177" s="124">
        <f>IF(V177="","",COUNTIFS($C$18:$C$2015,V$13,$D$18:$D$2015,"&gt;="&amp;V177,$D$18:$D$2015,"&lt;"&amp;V178))</f>
        <v/>
      </c>
      <c r="X177" s="14" t="n"/>
      <c r="Y177" s="16" t="n"/>
      <c r="Z177" s="124">
        <f>IF(Y177="","",COUNTIFS($C$18:$C$2015,Y$13,$D$18:$D$2015,"&gt;="&amp;Y177,$D$18:$D$2015,"&lt;"&amp;Y178))</f>
        <v/>
      </c>
      <c r="AA177" s="14" t="n"/>
      <c r="AB177" s="16" t="n"/>
      <c r="AC177" s="124">
        <f>IF(AB177="","",COUNTIFS($C$18:$C$2015,AB$13,$D$18:$D$2015,"&gt;="&amp;AB177,$D$18:$D$2015,"&lt;"&amp;AB178))</f>
        <v/>
      </c>
      <c r="AD177" s="14" t="n"/>
    </row>
    <row r="178">
      <c r="A178" s="56" t="n"/>
      <c r="B178" s="57" t="n"/>
      <c r="C178" s="59" t="n"/>
      <c r="E178" s="16" t="n"/>
      <c r="F178" s="13" t="n"/>
      <c r="G178" s="16" t="n"/>
      <c r="H178" s="124">
        <f>IF(G178="","",COUNTIFS($C$18:$C$2015,G$13,$D$18:$D$2015,"&gt;="&amp;G178,$D$18:$D$2015,"&lt;"&amp;G179))</f>
        <v/>
      </c>
      <c r="I178" s="14" t="n"/>
      <c r="J178" s="16" t="n"/>
      <c r="K178" s="124">
        <f>IF(J178="","",COUNTIFS($C$18:$C$2015,J$13,$D$18:$D$2015,"&gt;="&amp;J178,$D$18:$D$2015,"&lt;"&amp;J179))</f>
        <v/>
      </c>
      <c r="L178" s="14" t="n"/>
      <c r="M178" s="16" t="n"/>
      <c r="N178" s="124">
        <f>IF(M178="","",COUNTIFS($C$18:$C$2015,M$13,$D$18:$D$2015,"&gt;="&amp;M178,$D$18:$D$2015,"&lt;"&amp;M179))</f>
        <v/>
      </c>
      <c r="O178" s="14" t="n"/>
      <c r="P178" s="16" t="n"/>
      <c r="Q178" s="124">
        <f>IF(P178="","",COUNTIFS($C$18:$C$2015,P$13,$D$18:$D$2015,"&gt;="&amp;P178,$D$18:$D$2015,"&lt;"&amp;P179))</f>
        <v/>
      </c>
      <c r="R178" s="14" t="n"/>
      <c r="S178" s="16" t="n"/>
      <c r="T178" s="124">
        <f>IF(S178="","",COUNTIFS($C$18:$C$2015,S$13,$D$18:$D$2015,"&gt;="&amp;S178,$D$18:$D$2015,"&lt;"&amp;S179))</f>
        <v/>
      </c>
      <c r="U178" s="14" t="n"/>
      <c r="V178" s="16" t="n"/>
      <c r="W178" s="124">
        <f>IF(V178="","",COUNTIFS($C$18:$C$2015,V$13,$D$18:$D$2015,"&gt;="&amp;V178,$D$18:$D$2015,"&lt;"&amp;V179))</f>
        <v/>
      </c>
      <c r="X178" s="14" t="n"/>
      <c r="Y178" s="16" t="n"/>
      <c r="Z178" s="124">
        <f>IF(Y178="","",COUNTIFS($C$18:$C$2015,Y$13,$D$18:$D$2015,"&gt;="&amp;Y178,$D$18:$D$2015,"&lt;"&amp;Y179))</f>
        <v/>
      </c>
      <c r="AA178" s="14" t="n"/>
      <c r="AB178" s="16" t="n"/>
      <c r="AC178" s="124">
        <f>IF(AB178="","",COUNTIFS($C$18:$C$2015,AB$13,$D$18:$D$2015,"&gt;="&amp;AB178,$D$18:$D$2015,"&lt;"&amp;AB179))</f>
        <v/>
      </c>
      <c r="AD178" s="14" t="n"/>
    </row>
    <row r="179">
      <c r="A179" s="58" t="n"/>
      <c r="B179" s="59" t="n"/>
      <c r="C179" s="59" t="n"/>
      <c r="E179" s="16" t="n"/>
      <c r="F179" s="13" t="n"/>
      <c r="G179" s="16" t="n"/>
      <c r="H179" s="124">
        <f>IF(G179="","",COUNTIFS($C$18:$C$2015,G$13,$D$18:$D$2015,"&gt;="&amp;G179,$D$18:$D$2015,"&lt;"&amp;G180))</f>
        <v/>
      </c>
      <c r="I179" s="14" t="n"/>
      <c r="J179" s="16" t="n"/>
      <c r="K179" s="124">
        <f>IF(J179="","",COUNTIFS($C$18:$C$2015,J$13,$D$18:$D$2015,"&gt;="&amp;J179,$D$18:$D$2015,"&lt;"&amp;J180))</f>
        <v/>
      </c>
      <c r="L179" s="14" t="n"/>
      <c r="M179" s="16" t="n"/>
      <c r="N179" s="124">
        <f>IF(M179="","",COUNTIFS($C$18:$C$2015,M$13,$D$18:$D$2015,"&gt;="&amp;M179,$D$18:$D$2015,"&lt;"&amp;M180))</f>
        <v/>
      </c>
      <c r="O179" s="14" t="n"/>
      <c r="P179" s="16" t="n"/>
      <c r="Q179" s="124">
        <f>IF(P179="","",COUNTIFS($C$18:$C$2015,P$13,$D$18:$D$2015,"&gt;="&amp;P179,$D$18:$D$2015,"&lt;"&amp;P180))</f>
        <v/>
      </c>
      <c r="R179" s="14" t="n"/>
      <c r="S179" s="16" t="n"/>
      <c r="T179" s="124">
        <f>IF(S179="","",COUNTIFS($C$18:$C$2015,S$13,$D$18:$D$2015,"&gt;="&amp;S179,$D$18:$D$2015,"&lt;"&amp;S180))</f>
        <v/>
      </c>
      <c r="U179" s="14" t="n"/>
      <c r="V179" s="16" t="n"/>
      <c r="W179" s="124">
        <f>IF(V179="","",COUNTIFS($C$18:$C$2015,V$13,$D$18:$D$2015,"&gt;="&amp;V179,$D$18:$D$2015,"&lt;"&amp;V180))</f>
        <v/>
      </c>
      <c r="X179" s="14" t="n"/>
      <c r="Y179" s="16" t="n"/>
      <c r="Z179" s="124">
        <f>IF(Y179="","",COUNTIFS($C$18:$C$2015,Y$13,$D$18:$D$2015,"&gt;="&amp;Y179,$D$18:$D$2015,"&lt;"&amp;Y180))</f>
        <v/>
      </c>
      <c r="AA179" s="14" t="n"/>
      <c r="AB179" s="16" t="n"/>
      <c r="AC179" s="124">
        <f>IF(AB179="","",COUNTIFS($C$18:$C$2015,AB$13,$D$18:$D$2015,"&gt;="&amp;AB179,$D$18:$D$2015,"&lt;"&amp;AB180))</f>
        <v/>
      </c>
      <c r="AD179" s="14" t="n"/>
    </row>
    <row r="180">
      <c r="A180" s="56" t="n"/>
      <c r="B180" s="57" t="n"/>
      <c r="C180" s="59" t="n"/>
      <c r="E180" s="16" t="n"/>
      <c r="F180" s="13" t="n"/>
      <c r="G180" s="16" t="n"/>
      <c r="H180" s="124">
        <f>IF(G180="","",COUNTIFS($C$18:$C$2015,G$13,$D$18:$D$2015,"&gt;="&amp;G180,$D$18:$D$2015,"&lt;"&amp;G181))</f>
        <v/>
      </c>
      <c r="I180" s="14" t="n"/>
      <c r="J180" s="16" t="n"/>
      <c r="K180" s="124">
        <f>IF(J180="","",COUNTIFS($C$18:$C$2015,J$13,$D$18:$D$2015,"&gt;="&amp;J180,$D$18:$D$2015,"&lt;"&amp;J181))</f>
        <v/>
      </c>
      <c r="L180" s="14" t="n"/>
      <c r="M180" s="16" t="n"/>
      <c r="N180" s="124">
        <f>IF(M180="","",COUNTIFS($C$18:$C$2015,M$13,$D$18:$D$2015,"&gt;="&amp;M180,$D$18:$D$2015,"&lt;"&amp;M181))</f>
        <v/>
      </c>
      <c r="O180" s="14" t="n"/>
      <c r="P180" s="16" t="n"/>
      <c r="Q180" s="124">
        <f>IF(P180="","",COUNTIFS($C$18:$C$2015,P$13,$D$18:$D$2015,"&gt;="&amp;P180,$D$18:$D$2015,"&lt;"&amp;P181))</f>
        <v/>
      </c>
      <c r="R180" s="14" t="n"/>
      <c r="S180" s="16" t="n"/>
      <c r="T180" s="124">
        <f>IF(S180="","",COUNTIFS($C$18:$C$2015,S$13,$D$18:$D$2015,"&gt;="&amp;S180,$D$18:$D$2015,"&lt;"&amp;S181))</f>
        <v/>
      </c>
      <c r="U180" s="14" t="n"/>
      <c r="V180" s="16" t="n"/>
      <c r="W180" s="124">
        <f>IF(V180="","",COUNTIFS($C$18:$C$2015,V$13,$D$18:$D$2015,"&gt;="&amp;V180,$D$18:$D$2015,"&lt;"&amp;V181))</f>
        <v/>
      </c>
      <c r="X180" s="14" t="n"/>
      <c r="Y180" s="16" t="n"/>
      <c r="Z180" s="124">
        <f>IF(Y180="","",COUNTIFS($C$18:$C$2015,Y$13,$D$18:$D$2015,"&gt;="&amp;Y180,$D$18:$D$2015,"&lt;"&amp;Y181))</f>
        <v/>
      </c>
      <c r="AA180" s="14" t="n"/>
      <c r="AB180" s="16" t="n"/>
      <c r="AC180" s="124">
        <f>IF(AB180="","",COUNTIFS($C$18:$C$2015,AB$13,$D$18:$D$2015,"&gt;="&amp;AB180,$D$18:$D$2015,"&lt;"&amp;AB181))</f>
        <v/>
      </c>
      <c r="AD180" s="14" t="n"/>
    </row>
    <row r="181">
      <c r="A181" s="58" t="n"/>
      <c r="B181" s="59" t="n"/>
      <c r="C181" s="59" t="n"/>
      <c r="E181" s="16" t="n"/>
      <c r="F181" s="13" t="n"/>
      <c r="G181" s="16" t="n"/>
      <c r="H181" s="124">
        <f>IF(G181="","",COUNTIFS($C$18:$C$2015,G$13,$D$18:$D$2015,"&gt;="&amp;G181,$D$18:$D$2015,"&lt;"&amp;G182))</f>
        <v/>
      </c>
      <c r="I181" s="14" t="n"/>
      <c r="J181" s="16" t="n"/>
      <c r="K181" s="124">
        <f>IF(J181="","",COUNTIFS($C$18:$C$2015,J$13,$D$18:$D$2015,"&gt;="&amp;J181,$D$18:$D$2015,"&lt;"&amp;J182))</f>
        <v/>
      </c>
      <c r="L181" s="14" t="n"/>
      <c r="M181" s="16" t="n"/>
      <c r="N181" s="124">
        <f>IF(M181="","",COUNTIFS($C$18:$C$2015,M$13,$D$18:$D$2015,"&gt;="&amp;M181,$D$18:$D$2015,"&lt;"&amp;M182))</f>
        <v/>
      </c>
      <c r="O181" s="14" t="n"/>
      <c r="P181" s="16" t="n"/>
      <c r="Q181" s="124">
        <f>IF(P181="","",COUNTIFS($C$18:$C$2015,P$13,$D$18:$D$2015,"&gt;="&amp;P181,$D$18:$D$2015,"&lt;"&amp;P182))</f>
        <v/>
      </c>
      <c r="R181" s="14" t="n"/>
      <c r="S181" s="16" t="n"/>
      <c r="T181" s="124">
        <f>IF(S181="","",COUNTIFS($C$18:$C$2015,S$13,$D$18:$D$2015,"&gt;="&amp;S181,$D$18:$D$2015,"&lt;"&amp;S182))</f>
        <v/>
      </c>
      <c r="U181" s="14" t="n"/>
      <c r="V181" s="16" t="n"/>
      <c r="W181" s="124">
        <f>IF(V181="","",COUNTIFS($C$18:$C$2015,V$13,$D$18:$D$2015,"&gt;="&amp;V181,$D$18:$D$2015,"&lt;"&amp;V182))</f>
        <v/>
      </c>
      <c r="X181" s="14" t="n"/>
      <c r="Y181" s="16" t="n"/>
      <c r="Z181" s="124">
        <f>IF(Y181="","",COUNTIFS($C$18:$C$2015,Y$13,$D$18:$D$2015,"&gt;="&amp;Y181,$D$18:$D$2015,"&lt;"&amp;Y182))</f>
        <v/>
      </c>
      <c r="AA181" s="14" t="n"/>
      <c r="AB181" s="16" t="n"/>
      <c r="AC181" s="124">
        <f>IF(AB181="","",COUNTIFS($C$18:$C$2015,AB$13,$D$18:$D$2015,"&gt;="&amp;AB181,$D$18:$D$2015,"&lt;"&amp;AB182))</f>
        <v/>
      </c>
      <c r="AD181" s="14" t="n"/>
    </row>
    <row r="182">
      <c r="A182" s="56" t="n"/>
      <c r="B182" s="57" t="n"/>
      <c r="C182" s="59" t="n"/>
      <c r="E182" s="16" t="n"/>
      <c r="F182" s="13" t="n"/>
      <c r="G182" s="16" t="n"/>
      <c r="H182" s="124">
        <f>IF(G182="","",COUNTIFS($C$18:$C$2015,G$13,$D$18:$D$2015,"&gt;="&amp;G182,$D$18:$D$2015,"&lt;"&amp;G183))</f>
        <v/>
      </c>
      <c r="I182" s="14" t="n"/>
      <c r="J182" s="16" t="n"/>
      <c r="K182" s="124">
        <f>IF(J182="","",COUNTIFS($C$18:$C$2015,J$13,$D$18:$D$2015,"&gt;="&amp;J182,$D$18:$D$2015,"&lt;"&amp;J183))</f>
        <v/>
      </c>
      <c r="L182" s="14" t="n"/>
      <c r="M182" s="16" t="n"/>
      <c r="N182" s="124">
        <f>IF(M182="","",COUNTIFS($C$18:$C$2015,M$13,$D$18:$D$2015,"&gt;="&amp;M182,$D$18:$D$2015,"&lt;"&amp;M183))</f>
        <v/>
      </c>
      <c r="O182" s="14" t="n"/>
      <c r="P182" s="16" t="n"/>
      <c r="Q182" s="124">
        <f>IF(P182="","",COUNTIFS($C$18:$C$2015,P$13,$D$18:$D$2015,"&gt;="&amp;P182,$D$18:$D$2015,"&lt;"&amp;P183))</f>
        <v/>
      </c>
      <c r="R182" s="14" t="n"/>
      <c r="S182" s="16" t="n"/>
      <c r="T182" s="124">
        <f>IF(S182="","",COUNTIFS($C$18:$C$2015,S$13,$D$18:$D$2015,"&gt;="&amp;S182,$D$18:$D$2015,"&lt;"&amp;S183))</f>
        <v/>
      </c>
      <c r="U182" s="14" t="n"/>
      <c r="V182" s="16" t="n"/>
      <c r="W182" s="124">
        <f>IF(V182="","",COUNTIFS($C$18:$C$2015,V$13,$D$18:$D$2015,"&gt;="&amp;V182,$D$18:$D$2015,"&lt;"&amp;V183))</f>
        <v/>
      </c>
      <c r="X182" s="14" t="n"/>
      <c r="Y182" s="16" t="n"/>
      <c r="Z182" s="124">
        <f>IF(Y182="","",COUNTIFS($C$18:$C$2015,Y$13,$D$18:$D$2015,"&gt;="&amp;Y182,$D$18:$D$2015,"&lt;"&amp;Y183))</f>
        <v/>
      </c>
      <c r="AA182" s="14" t="n"/>
      <c r="AB182" s="16" t="n"/>
      <c r="AC182" s="124">
        <f>IF(AB182="","",COUNTIFS($C$18:$C$2015,AB$13,$D$18:$D$2015,"&gt;="&amp;AB182,$D$18:$D$2015,"&lt;"&amp;AB183))</f>
        <v/>
      </c>
      <c r="AD182" s="14" t="n"/>
    </row>
    <row r="183">
      <c r="A183" s="58" t="n"/>
      <c r="B183" s="59" t="n"/>
      <c r="C183" s="59" t="n"/>
      <c r="E183" s="16" t="n"/>
      <c r="F183" s="13" t="n"/>
      <c r="G183" s="16" t="n"/>
      <c r="H183" s="124">
        <f>IF(G183="","",COUNTIFS($C$18:$C$2015,G$13,$D$18:$D$2015,"&gt;="&amp;G183,$D$18:$D$2015,"&lt;"&amp;G184))</f>
        <v/>
      </c>
      <c r="I183" s="14" t="n"/>
      <c r="J183" s="16" t="n"/>
      <c r="K183" s="124">
        <f>IF(J183="","",COUNTIFS($C$18:$C$2015,J$13,$D$18:$D$2015,"&gt;="&amp;J183,$D$18:$D$2015,"&lt;"&amp;J184))</f>
        <v/>
      </c>
      <c r="L183" s="14" t="n"/>
      <c r="M183" s="16" t="n"/>
      <c r="N183" s="124">
        <f>IF(M183="","",COUNTIFS($C$18:$C$2015,M$13,$D$18:$D$2015,"&gt;="&amp;M183,$D$18:$D$2015,"&lt;"&amp;M184))</f>
        <v/>
      </c>
      <c r="O183" s="14" t="n"/>
      <c r="P183" s="16" t="n"/>
      <c r="Q183" s="124">
        <f>IF(P183="","",COUNTIFS($C$18:$C$2015,P$13,$D$18:$D$2015,"&gt;="&amp;P183,$D$18:$D$2015,"&lt;"&amp;P184))</f>
        <v/>
      </c>
      <c r="R183" s="14" t="n"/>
      <c r="S183" s="16" t="n"/>
      <c r="T183" s="124">
        <f>IF(S183="","",COUNTIFS($C$18:$C$2015,S$13,$D$18:$D$2015,"&gt;="&amp;S183,$D$18:$D$2015,"&lt;"&amp;S184))</f>
        <v/>
      </c>
      <c r="U183" s="14" t="n"/>
      <c r="V183" s="16" t="n"/>
      <c r="W183" s="124">
        <f>IF(V183="","",COUNTIFS($C$18:$C$2015,V$13,$D$18:$D$2015,"&gt;="&amp;V183,$D$18:$D$2015,"&lt;"&amp;V184))</f>
        <v/>
      </c>
      <c r="X183" s="14" t="n"/>
      <c r="Y183" s="16" t="n"/>
      <c r="Z183" s="124">
        <f>IF(Y183="","",COUNTIFS($C$18:$C$2015,Y$13,$D$18:$D$2015,"&gt;="&amp;Y183,$D$18:$D$2015,"&lt;"&amp;Y184))</f>
        <v/>
      </c>
      <c r="AA183" s="14" t="n"/>
      <c r="AB183" s="16" t="n"/>
      <c r="AC183" s="124">
        <f>IF(AB183="","",COUNTIFS($C$18:$C$2015,AB$13,$D$18:$D$2015,"&gt;="&amp;AB183,$D$18:$D$2015,"&lt;"&amp;AB184))</f>
        <v/>
      </c>
      <c r="AD183" s="14" t="n"/>
    </row>
    <row r="184">
      <c r="A184" s="56" t="n"/>
      <c r="B184" s="57" t="n"/>
      <c r="C184" s="59" t="n"/>
      <c r="E184" s="16" t="n"/>
      <c r="F184" s="13" t="n"/>
      <c r="G184" s="16" t="n"/>
      <c r="H184" s="124">
        <f>IF(G184="","",COUNTIFS($C$18:$C$2015,G$13,$D$18:$D$2015,"&gt;="&amp;G184,$D$18:$D$2015,"&lt;"&amp;G185))</f>
        <v/>
      </c>
      <c r="I184" s="14" t="n"/>
      <c r="J184" s="16" t="n"/>
      <c r="K184" s="124">
        <f>IF(J184="","",COUNTIFS($C$18:$C$2015,J$13,$D$18:$D$2015,"&gt;="&amp;J184,$D$18:$D$2015,"&lt;"&amp;J185))</f>
        <v/>
      </c>
      <c r="L184" s="14" t="n"/>
      <c r="M184" s="16" t="n"/>
      <c r="N184" s="124">
        <f>IF(M184="","",COUNTIFS($C$18:$C$2015,M$13,$D$18:$D$2015,"&gt;="&amp;M184,$D$18:$D$2015,"&lt;"&amp;M185))</f>
        <v/>
      </c>
      <c r="O184" s="14" t="n"/>
      <c r="P184" s="16" t="n"/>
      <c r="Q184" s="124">
        <f>IF(P184="","",COUNTIFS($C$18:$C$2015,P$13,$D$18:$D$2015,"&gt;="&amp;P184,$D$18:$D$2015,"&lt;"&amp;P185))</f>
        <v/>
      </c>
      <c r="R184" s="14" t="n"/>
      <c r="S184" s="16" t="n"/>
      <c r="T184" s="124">
        <f>IF(S184="","",COUNTIFS($C$18:$C$2015,S$13,$D$18:$D$2015,"&gt;="&amp;S184,$D$18:$D$2015,"&lt;"&amp;S185))</f>
        <v/>
      </c>
      <c r="U184" s="14" t="n"/>
      <c r="V184" s="16" t="n"/>
      <c r="W184" s="124">
        <f>IF(V184="","",COUNTIFS($C$18:$C$2015,V$13,$D$18:$D$2015,"&gt;="&amp;V184,$D$18:$D$2015,"&lt;"&amp;V185))</f>
        <v/>
      </c>
      <c r="X184" s="14" t="n"/>
      <c r="Y184" s="16" t="n"/>
      <c r="Z184" s="124">
        <f>IF(Y184="","",COUNTIFS($C$18:$C$2015,Y$13,$D$18:$D$2015,"&gt;="&amp;Y184,$D$18:$D$2015,"&lt;"&amp;Y185))</f>
        <v/>
      </c>
      <c r="AA184" s="14" t="n"/>
      <c r="AB184" s="16" t="n"/>
      <c r="AC184" s="124">
        <f>IF(AB184="","",COUNTIFS($C$18:$C$2015,AB$13,$D$18:$D$2015,"&gt;="&amp;AB184,$D$18:$D$2015,"&lt;"&amp;AB185))</f>
        <v/>
      </c>
      <c r="AD184" s="14" t="n"/>
    </row>
    <row r="185">
      <c r="A185" s="58" t="n"/>
      <c r="B185" s="59" t="n"/>
      <c r="C185" s="59" t="n"/>
      <c r="E185" s="16" t="n"/>
      <c r="F185" s="13" t="n"/>
      <c r="G185" s="16" t="n"/>
      <c r="H185" s="124">
        <f>IF(G185="","",COUNTIFS($C$18:$C$2015,G$13,$D$18:$D$2015,"&gt;="&amp;G185,$D$18:$D$2015,"&lt;"&amp;G186))</f>
        <v/>
      </c>
      <c r="I185" s="14" t="n"/>
      <c r="J185" s="16" t="n"/>
      <c r="K185" s="124">
        <f>IF(J185="","",COUNTIFS($C$18:$C$2015,J$13,$D$18:$D$2015,"&gt;="&amp;J185,$D$18:$D$2015,"&lt;"&amp;J186))</f>
        <v/>
      </c>
      <c r="L185" s="14" t="n"/>
      <c r="M185" s="16" t="n"/>
      <c r="N185" s="124">
        <f>IF(M185="","",COUNTIFS($C$18:$C$2015,M$13,$D$18:$D$2015,"&gt;="&amp;M185,$D$18:$D$2015,"&lt;"&amp;M186))</f>
        <v/>
      </c>
      <c r="O185" s="14" t="n"/>
      <c r="P185" s="16" t="n"/>
      <c r="Q185" s="124">
        <f>IF(P185="","",COUNTIFS($C$18:$C$2015,P$13,$D$18:$D$2015,"&gt;="&amp;P185,$D$18:$D$2015,"&lt;"&amp;P186))</f>
        <v/>
      </c>
      <c r="R185" s="14" t="n"/>
      <c r="S185" s="16" t="n"/>
      <c r="T185" s="124">
        <f>IF(S185="","",COUNTIFS($C$18:$C$2015,S$13,$D$18:$D$2015,"&gt;="&amp;S185,$D$18:$D$2015,"&lt;"&amp;S186))</f>
        <v/>
      </c>
      <c r="U185" s="14" t="n"/>
      <c r="V185" s="16" t="n"/>
      <c r="W185" s="124">
        <f>IF(V185="","",COUNTIFS($C$18:$C$2015,V$13,$D$18:$D$2015,"&gt;="&amp;V185,$D$18:$D$2015,"&lt;"&amp;V186))</f>
        <v/>
      </c>
      <c r="X185" s="14" t="n"/>
      <c r="Y185" s="16" t="n"/>
      <c r="Z185" s="124">
        <f>IF(Y185="","",COUNTIFS($C$18:$C$2015,Y$13,$D$18:$D$2015,"&gt;="&amp;Y185,$D$18:$D$2015,"&lt;"&amp;Y186))</f>
        <v/>
      </c>
      <c r="AA185" s="14" t="n"/>
      <c r="AB185" s="16" t="n"/>
      <c r="AC185" s="124">
        <f>IF(AB185="","",COUNTIFS($C$18:$C$2015,AB$13,$D$18:$D$2015,"&gt;="&amp;AB185,$D$18:$D$2015,"&lt;"&amp;AB186))</f>
        <v/>
      </c>
      <c r="AD185" s="14" t="n"/>
    </row>
    <row r="186">
      <c r="A186" s="56" t="n"/>
      <c r="B186" s="57" t="n"/>
      <c r="C186" s="59" t="n"/>
      <c r="E186" s="16" t="n"/>
      <c r="F186" s="13" t="n"/>
      <c r="G186" s="16" t="n"/>
      <c r="H186" s="124">
        <f>IF(G186="","",COUNTIFS($C$18:$C$2015,G$13,$D$18:$D$2015,"&gt;="&amp;G186,$D$18:$D$2015,"&lt;"&amp;G187))</f>
        <v/>
      </c>
      <c r="I186" s="14" t="n"/>
      <c r="J186" s="16" t="n"/>
      <c r="K186" s="124">
        <f>IF(J186="","",COUNTIFS($C$18:$C$2015,J$13,$D$18:$D$2015,"&gt;="&amp;J186,$D$18:$D$2015,"&lt;"&amp;J187))</f>
        <v/>
      </c>
      <c r="L186" s="14" t="n"/>
      <c r="M186" s="16" t="n"/>
      <c r="N186" s="124">
        <f>IF(M186="","",COUNTIFS($C$18:$C$2015,M$13,$D$18:$D$2015,"&gt;="&amp;M186,$D$18:$D$2015,"&lt;"&amp;M187))</f>
        <v/>
      </c>
      <c r="O186" s="14" t="n"/>
      <c r="P186" s="16" t="n"/>
      <c r="Q186" s="124">
        <f>IF(P186="","",COUNTIFS($C$18:$C$2015,P$13,$D$18:$D$2015,"&gt;="&amp;P186,$D$18:$D$2015,"&lt;"&amp;P187))</f>
        <v/>
      </c>
      <c r="R186" s="14" t="n"/>
      <c r="S186" s="16" t="n"/>
      <c r="T186" s="124">
        <f>IF(S186="","",COUNTIFS($C$18:$C$2015,S$13,$D$18:$D$2015,"&gt;="&amp;S186,$D$18:$D$2015,"&lt;"&amp;S187))</f>
        <v/>
      </c>
      <c r="U186" s="14" t="n"/>
      <c r="V186" s="16" t="n"/>
      <c r="W186" s="124">
        <f>IF(V186="","",COUNTIFS($C$18:$C$2015,V$13,$D$18:$D$2015,"&gt;="&amp;V186,$D$18:$D$2015,"&lt;"&amp;V187))</f>
        <v/>
      </c>
      <c r="X186" s="14" t="n"/>
      <c r="Y186" s="16" t="n"/>
      <c r="Z186" s="124">
        <f>IF(Y186="","",COUNTIFS($C$18:$C$2015,Y$13,$D$18:$D$2015,"&gt;="&amp;Y186,$D$18:$D$2015,"&lt;"&amp;Y187))</f>
        <v/>
      </c>
      <c r="AA186" s="14" t="n"/>
      <c r="AB186" s="16" t="n"/>
      <c r="AC186" s="124">
        <f>IF(AB186="","",COUNTIFS($C$18:$C$2015,AB$13,$D$18:$D$2015,"&gt;="&amp;AB186,$D$18:$D$2015,"&lt;"&amp;AB187))</f>
        <v/>
      </c>
      <c r="AD186" s="14" t="n"/>
    </row>
    <row r="187">
      <c r="A187" s="58" t="n"/>
      <c r="B187" s="59" t="n"/>
      <c r="C187" s="59" t="n"/>
      <c r="E187" s="16" t="n"/>
      <c r="F187" s="13" t="n"/>
      <c r="G187" s="16" t="n"/>
      <c r="H187" s="124">
        <f>IF(G187="","",COUNTIFS($C$18:$C$2015,G$13,$D$18:$D$2015,"&gt;="&amp;G187,$D$18:$D$2015,"&lt;"&amp;G188))</f>
        <v/>
      </c>
      <c r="I187" s="14" t="n"/>
      <c r="J187" s="16" t="n"/>
      <c r="K187" s="124">
        <f>IF(J187="","",COUNTIFS($C$18:$C$2015,J$13,$D$18:$D$2015,"&gt;="&amp;J187,$D$18:$D$2015,"&lt;"&amp;J188))</f>
        <v/>
      </c>
      <c r="L187" s="14" t="n"/>
      <c r="M187" s="16" t="n"/>
      <c r="N187" s="124">
        <f>IF(M187="","",COUNTIFS($C$18:$C$2015,M$13,$D$18:$D$2015,"&gt;="&amp;M187,$D$18:$D$2015,"&lt;"&amp;M188))</f>
        <v/>
      </c>
      <c r="O187" s="14" t="n"/>
      <c r="P187" s="16" t="n"/>
      <c r="Q187" s="124">
        <f>IF(P187="","",COUNTIFS($C$18:$C$2015,P$13,$D$18:$D$2015,"&gt;="&amp;P187,$D$18:$D$2015,"&lt;"&amp;P188))</f>
        <v/>
      </c>
      <c r="R187" s="14" t="n"/>
      <c r="S187" s="16" t="n"/>
      <c r="T187" s="124">
        <f>IF(S187="","",COUNTIFS($C$18:$C$2015,S$13,$D$18:$D$2015,"&gt;="&amp;S187,$D$18:$D$2015,"&lt;"&amp;S188))</f>
        <v/>
      </c>
      <c r="U187" s="14" t="n"/>
      <c r="V187" s="16" t="n"/>
      <c r="W187" s="124">
        <f>IF(V187="","",COUNTIFS($C$18:$C$2015,V$13,$D$18:$D$2015,"&gt;="&amp;V187,$D$18:$D$2015,"&lt;"&amp;V188))</f>
        <v/>
      </c>
      <c r="X187" s="14" t="n"/>
      <c r="Y187" s="16" t="n"/>
      <c r="Z187" s="124">
        <f>IF(Y187="","",COUNTIFS($C$18:$C$2015,Y$13,$D$18:$D$2015,"&gt;="&amp;Y187,$D$18:$D$2015,"&lt;"&amp;Y188))</f>
        <v/>
      </c>
      <c r="AA187" s="14" t="n"/>
      <c r="AB187" s="16" t="n"/>
      <c r="AC187" s="124">
        <f>IF(AB187="","",COUNTIFS($C$18:$C$2015,AB$13,$D$18:$D$2015,"&gt;="&amp;AB187,$D$18:$D$2015,"&lt;"&amp;AB188))</f>
        <v/>
      </c>
      <c r="AD187" s="14" t="n"/>
    </row>
    <row r="188">
      <c r="A188" s="56" t="n"/>
      <c r="B188" s="57" t="n"/>
      <c r="C188" s="59" t="n"/>
      <c r="E188" s="16" t="n"/>
      <c r="F188" s="13" t="n"/>
      <c r="G188" s="16" t="n"/>
      <c r="H188" s="124">
        <f>IF(G188="","",COUNTIFS($C$18:$C$2015,G$13,$D$18:$D$2015,"&gt;="&amp;G188,$D$18:$D$2015,"&lt;"&amp;G189))</f>
        <v/>
      </c>
      <c r="I188" s="14" t="n"/>
      <c r="J188" s="16" t="n"/>
      <c r="K188" s="124">
        <f>IF(J188="","",COUNTIFS($C$18:$C$2015,J$13,$D$18:$D$2015,"&gt;="&amp;J188,$D$18:$D$2015,"&lt;"&amp;J189))</f>
        <v/>
      </c>
      <c r="L188" s="14" t="n"/>
      <c r="M188" s="16" t="n"/>
      <c r="N188" s="124">
        <f>IF(M188="","",COUNTIFS($C$18:$C$2015,M$13,$D$18:$D$2015,"&gt;="&amp;M188,$D$18:$D$2015,"&lt;"&amp;M189))</f>
        <v/>
      </c>
      <c r="O188" s="14" t="n"/>
      <c r="P188" s="16" t="n"/>
      <c r="Q188" s="124">
        <f>IF(P188="","",COUNTIFS($C$18:$C$2015,P$13,$D$18:$D$2015,"&gt;="&amp;P188,$D$18:$D$2015,"&lt;"&amp;P189))</f>
        <v/>
      </c>
      <c r="R188" s="14" t="n"/>
      <c r="S188" s="16" t="n"/>
      <c r="T188" s="124">
        <f>IF(S188="","",COUNTIFS($C$18:$C$2015,S$13,$D$18:$D$2015,"&gt;="&amp;S188,$D$18:$D$2015,"&lt;"&amp;S189))</f>
        <v/>
      </c>
      <c r="U188" s="14" t="n"/>
      <c r="V188" s="16" t="n"/>
      <c r="W188" s="124">
        <f>IF(V188="","",COUNTIFS($C$18:$C$2015,V$13,$D$18:$D$2015,"&gt;="&amp;V188,$D$18:$D$2015,"&lt;"&amp;V189))</f>
        <v/>
      </c>
      <c r="X188" s="14" t="n"/>
      <c r="Y188" s="16" t="n"/>
      <c r="Z188" s="124">
        <f>IF(Y188="","",COUNTIFS($C$18:$C$2015,Y$13,$D$18:$D$2015,"&gt;="&amp;Y188,$D$18:$D$2015,"&lt;"&amp;Y189))</f>
        <v/>
      </c>
      <c r="AA188" s="14" t="n"/>
      <c r="AB188" s="16" t="n"/>
      <c r="AC188" s="124">
        <f>IF(AB188="","",COUNTIFS($C$18:$C$2015,AB$13,$D$18:$D$2015,"&gt;="&amp;AB188,$D$18:$D$2015,"&lt;"&amp;AB189))</f>
        <v/>
      </c>
      <c r="AD188" s="14" t="n"/>
    </row>
    <row r="189">
      <c r="A189" s="58" t="n"/>
      <c r="B189" s="59" t="n"/>
      <c r="C189" s="59" t="n"/>
      <c r="E189" s="16" t="n"/>
      <c r="F189" s="13" t="n"/>
      <c r="G189" s="16" t="n"/>
      <c r="H189" s="124">
        <f>IF(G189="","",COUNTIFS($C$18:$C$2015,G$13,$D$18:$D$2015,"&gt;="&amp;G189,$D$18:$D$2015,"&lt;"&amp;G190))</f>
        <v/>
      </c>
      <c r="I189" s="14" t="n"/>
      <c r="J189" s="16" t="n"/>
      <c r="K189" s="124">
        <f>IF(J189="","",COUNTIFS($C$18:$C$2015,J$13,$D$18:$D$2015,"&gt;="&amp;J189,$D$18:$D$2015,"&lt;"&amp;J190))</f>
        <v/>
      </c>
      <c r="L189" s="14" t="n"/>
      <c r="M189" s="16" t="n"/>
      <c r="N189" s="124">
        <f>IF(M189="","",COUNTIFS($C$18:$C$2015,M$13,$D$18:$D$2015,"&gt;="&amp;M189,$D$18:$D$2015,"&lt;"&amp;M190))</f>
        <v/>
      </c>
      <c r="O189" s="14" t="n"/>
      <c r="P189" s="16" t="n"/>
      <c r="Q189" s="124">
        <f>IF(P189="","",COUNTIFS($C$18:$C$2015,P$13,$D$18:$D$2015,"&gt;="&amp;P189,$D$18:$D$2015,"&lt;"&amp;P190))</f>
        <v/>
      </c>
      <c r="R189" s="14" t="n"/>
      <c r="S189" s="16" t="n"/>
      <c r="T189" s="124">
        <f>IF(S189="","",COUNTIFS($C$18:$C$2015,S$13,$D$18:$D$2015,"&gt;="&amp;S189,$D$18:$D$2015,"&lt;"&amp;S190))</f>
        <v/>
      </c>
      <c r="U189" s="14" t="n"/>
      <c r="V189" s="16" t="n"/>
      <c r="W189" s="124">
        <f>IF(V189="","",COUNTIFS($C$18:$C$2015,V$13,$D$18:$D$2015,"&gt;="&amp;V189,$D$18:$D$2015,"&lt;"&amp;V190))</f>
        <v/>
      </c>
      <c r="X189" s="14" t="n"/>
      <c r="Y189" s="16" t="n"/>
      <c r="Z189" s="124">
        <f>IF(Y189="","",COUNTIFS($C$18:$C$2015,Y$13,$D$18:$D$2015,"&gt;="&amp;Y189,$D$18:$D$2015,"&lt;"&amp;Y190))</f>
        <v/>
      </c>
      <c r="AA189" s="14" t="n"/>
      <c r="AB189" s="16" t="n"/>
      <c r="AC189" s="124">
        <f>IF(AB189="","",COUNTIFS($C$18:$C$2015,AB$13,$D$18:$D$2015,"&gt;="&amp;AB189,$D$18:$D$2015,"&lt;"&amp;AB190))</f>
        <v/>
      </c>
      <c r="AD189" s="14" t="n"/>
    </row>
    <row r="190">
      <c r="A190" s="56" t="n"/>
      <c r="B190" s="57" t="n"/>
      <c r="C190" s="59" t="n"/>
      <c r="E190" s="16" t="n"/>
      <c r="F190" s="13" t="n"/>
      <c r="G190" s="16" t="n"/>
      <c r="H190" s="124">
        <f>IF(G190="","",COUNTIFS($C$18:$C$2015,G$13,$D$18:$D$2015,"&gt;="&amp;G190,$D$18:$D$2015,"&lt;"&amp;G191))</f>
        <v/>
      </c>
      <c r="I190" s="14" t="n"/>
      <c r="J190" s="16" t="n"/>
      <c r="K190" s="124">
        <f>IF(J190="","",COUNTIFS($C$18:$C$2015,J$13,$D$18:$D$2015,"&gt;="&amp;J190,$D$18:$D$2015,"&lt;"&amp;J191))</f>
        <v/>
      </c>
      <c r="L190" s="14" t="n"/>
      <c r="M190" s="16" t="n"/>
      <c r="N190" s="124">
        <f>IF(M190="","",COUNTIFS($C$18:$C$2015,M$13,$D$18:$D$2015,"&gt;="&amp;M190,$D$18:$D$2015,"&lt;"&amp;M191))</f>
        <v/>
      </c>
      <c r="O190" s="14" t="n"/>
      <c r="P190" s="16" t="n"/>
      <c r="Q190" s="124">
        <f>IF(P190="","",COUNTIFS($C$18:$C$2015,P$13,$D$18:$D$2015,"&gt;="&amp;P190,$D$18:$D$2015,"&lt;"&amp;P191))</f>
        <v/>
      </c>
      <c r="R190" s="14" t="n"/>
      <c r="S190" s="16" t="n"/>
      <c r="T190" s="124">
        <f>IF(S190="","",COUNTIFS($C$18:$C$2015,S$13,$D$18:$D$2015,"&gt;="&amp;S190,$D$18:$D$2015,"&lt;"&amp;S191))</f>
        <v/>
      </c>
      <c r="U190" s="14" t="n"/>
      <c r="V190" s="16" t="n"/>
      <c r="W190" s="124">
        <f>IF(V190="","",COUNTIFS($C$18:$C$2015,V$13,$D$18:$D$2015,"&gt;="&amp;V190,$D$18:$D$2015,"&lt;"&amp;V191))</f>
        <v/>
      </c>
      <c r="X190" s="14" t="n"/>
      <c r="Y190" s="16" t="n"/>
      <c r="Z190" s="124">
        <f>IF(Y190="","",COUNTIFS($C$18:$C$2015,Y$13,$D$18:$D$2015,"&gt;="&amp;Y190,$D$18:$D$2015,"&lt;"&amp;Y191))</f>
        <v/>
      </c>
      <c r="AA190" s="14" t="n"/>
      <c r="AB190" s="16" t="n"/>
      <c r="AC190" s="124">
        <f>IF(AB190="","",COUNTIFS($C$18:$C$2015,AB$13,$D$18:$D$2015,"&gt;="&amp;AB190,$D$18:$D$2015,"&lt;"&amp;AB191))</f>
        <v/>
      </c>
      <c r="AD190" s="14" t="n"/>
    </row>
    <row r="191">
      <c r="A191" s="58" t="n"/>
      <c r="B191" s="59" t="n"/>
      <c r="C191" s="59" t="n"/>
      <c r="E191" s="16" t="n"/>
      <c r="F191" s="13" t="n"/>
      <c r="G191" s="16" t="n"/>
      <c r="H191" s="124">
        <f>IF(G191="","",COUNTIFS($C$18:$C$2015,G$13,$D$18:$D$2015,"&gt;="&amp;G191,$D$18:$D$2015,"&lt;"&amp;G192))</f>
        <v/>
      </c>
      <c r="I191" s="14" t="n"/>
      <c r="J191" s="16" t="n"/>
      <c r="K191" s="124">
        <f>IF(J191="","",COUNTIFS($C$18:$C$2015,J$13,$D$18:$D$2015,"&gt;="&amp;J191,$D$18:$D$2015,"&lt;"&amp;J192))</f>
        <v/>
      </c>
      <c r="L191" s="14" t="n"/>
      <c r="M191" s="16" t="n"/>
      <c r="N191" s="124">
        <f>IF(M191="","",COUNTIFS($C$18:$C$2015,M$13,$D$18:$D$2015,"&gt;="&amp;M191,$D$18:$D$2015,"&lt;"&amp;M192))</f>
        <v/>
      </c>
      <c r="O191" s="14" t="n"/>
      <c r="P191" s="16" t="n"/>
      <c r="Q191" s="124">
        <f>IF(P191="","",COUNTIFS($C$18:$C$2015,P$13,$D$18:$D$2015,"&gt;="&amp;P191,$D$18:$D$2015,"&lt;"&amp;P192))</f>
        <v/>
      </c>
      <c r="R191" s="14" t="n"/>
      <c r="S191" s="16" t="n"/>
      <c r="T191" s="124">
        <f>IF(S191="","",COUNTIFS($C$18:$C$2015,S$13,$D$18:$D$2015,"&gt;="&amp;S191,$D$18:$D$2015,"&lt;"&amp;S192))</f>
        <v/>
      </c>
      <c r="U191" s="14" t="n"/>
      <c r="V191" s="16" t="n"/>
      <c r="W191" s="124">
        <f>IF(V191="","",COUNTIFS($C$18:$C$2015,V$13,$D$18:$D$2015,"&gt;="&amp;V191,$D$18:$D$2015,"&lt;"&amp;V192))</f>
        <v/>
      </c>
      <c r="X191" s="14" t="n"/>
      <c r="Y191" s="16" t="n"/>
      <c r="Z191" s="124">
        <f>IF(Y191="","",COUNTIFS($C$18:$C$2015,Y$13,$D$18:$D$2015,"&gt;="&amp;Y191,$D$18:$D$2015,"&lt;"&amp;Y192))</f>
        <v/>
      </c>
      <c r="AA191" s="14" t="n"/>
      <c r="AB191" s="16" t="n"/>
      <c r="AC191" s="124">
        <f>IF(AB191="","",COUNTIFS($C$18:$C$2015,AB$13,$D$18:$D$2015,"&gt;="&amp;AB191,$D$18:$D$2015,"&lt;"&amp;AB192))</f>
        <v/>
      </c>
      <c r="AD191" s="14" t="n"/>
    </row>
    <row r="192">
      <c r="A192" s="56" t="n"/>
      <c r="B192" s="57" t="n"/>
      <c r="C192" s="59" t="n"/>
      <c r="E192" s="16" t="n"/>
      <c r="F192" s="13" t="n"/>
      <c r="G192" s="16" t="n"/>
      <c r="H192" s="124">
        <f>IF(G192="","",COUNTIFS($C$18:$C$2015,G$13,$D$18:$D$2015,"&gt;="&amp;G192,$D$18:$D$2015,"&lt;"&amp;G193))</f>
        <v/>
      </c>
      <c r="I192" s="14" t="n"/>
      <c r="J192" s="16" t="n"/>
      <c r="K192" s="124">
        <f>IF(J192="","",COUNTIFS($C$18:$C$2015,J$13,$D$18:$D$2015,"&gt;="&amp;J192,$D$18:$D$2015,"&lt;"&amp;J193))</f>
        <v/>
      </c>
      <c r="L192" s="14" t="n"/>
      <c r="M192" s="16" t="n"/>
      <c r="N192" s="124">
        <f>IF(M192="","",COUNTIFS($C$18:$C$2015,M$13,$D$18:$D$2015,"&gt;="&amp;M192,$D$18:$D$2015,"&lt;"&amp;M193))</f>
        <v/>
      </c>
      <c r="O192" s="14" t="n"/>
      <c r="P192" s="16" t="n"/>
      <c r="Q192" s="124">
        <f>IF(P192="","",COUNTIFS($C$18:$C$2015,P$13,$D$18:$D$2015,"&gt;="&amp;P192,$D$18:$D$2015,"&lt;"&amp;P193))</f>
        <v/>
      </c>
      <c r="R192" s="14" t="n"/>
      <c r="S192" s="16" t="n"/>
      <c r="T192" s="124">
        <f>IF(S192="","",COUNTIFS($C$18:$C$2015,S$13,$D$18:$D$2015,"&gt;="&amp;S192,$D$18:$D$2015,"&lt;"&amp;S193))</f>
        <v/>
      </c>
      <c r="U192" s="14" t="n"/>
      <c r="V192" s="16" t="n"/>
      <c r="W192" s="124">
        <f>IF(V192="","",COUNTIFS($C$18:$C$2015,V$13,$D$18:$D$2015,"&gt;="&amp;V192,$D$18:$D$2015,"&lt;"&amp;V193))</f>
        <v/>
      </c>
      <c r="X192" s="14" t="n"/>
      <c r="Y192" s="16" t="n"/>
      <c r="Z192" s="124">
        <f>IF(Y192="","",COUNTIFS($C$18:$C$2015,Y$13,$D$18:$D$2015,"&gt;="&amp;Y192,$D$18:$D$2015,"&lt;"&amp;Y193))</f>
        <v/>
      </c>
      <c r="AA192" s="14" t="n"/>
      <c r="AB192" s="16" t="n"/>
      <c r="AC192" s="124">
        <f>IF(AB192="","",COUNTIFS($C$18:$C$2015,AB$13,$D$18:$D$2015,"&gt;="&amp;AB192,$D$18:$D$2015,"&lt;"&amp;AB193))</f>
        <v/>
      </c>
      <c r="AD192" s="14" t="n"/>
    </row>
    <row r="193">
      <c r="A193" s="58" t="n"/>
      <c r="B193" s="59" t="n"/>
      <c r="C193" s="59" t="n"/>
      <c r="E193" s="16" t="n"/>
      <c r="F193" s="13" t="n"/>
      <c r="G193" s="16" t="n"/>
      <c r="H193" s="124">
        <f>IF(G193="","",COUNTIFS($C$18:$C$2015,G$13,$D$18:$D$2015,"&gt;="&amp;G193,$D$18:$D$2015,"&lt;"&amp;G194))</f>
        <v/>
      </c>
      <c r="I193" s="14" t="n"/>
      <c r="J193" s="16" t="n"/>
      <c r="K193" s="124">
        <f>IF(J193="","",COUNTIFS($C$18:$C$2015,J$13,$D$18:$D$2015,"&gt;="&amp;J193,$D$18:$D$2015,"&lt;"&amp;J194))</f>
        <v/>
      </c>
      <c r="L193" s="14" t="n"/>
      <c r="M193" s="16" t="n"/>
      <c r="N193" s="124">
        <f>IF(M193="","",COUNTIFS($C$18:$C$2015,M$13,$D$18:$D$2015,"&gt;="&amp;M193,$D$18:$D$2015,"&lt;"&amp;M194))</f>
        <v/>
      </c>
      <c r="O193" s="14" t="n"/>
      <c r="P193" s="16" t="n"/>
      <c r="Q193" s="124">
        <f>IF(P193="","",COUNTIFS($C$18:$C$2015,P$13,$D$18:$D$2015,"&gt;="&amp;P193,$D$18:$D$2015,"&lt;"&amp;P194))</f>
        <v/>
      </c>
      <c r="R193" s="14" t="n"/>
      <c r="S193" s="16" t="n"/>
      <c r="T193" s="124">
        <f>IF(S193="","",COUNTIFS($C$18:$C$2015,S$13,$D$18:$D$2015,"&gt;="&amp;S193,$D$18:$D$2015,"&lt;"&amp;S194))</f>
        <v/>
      </c>
      <c r="U193" s="14" t="n"/>
      <c r="V193" s="16" t="n"/>
      <c r="W193" s="124">
        <f>IF(V193="","",COUNTIFS($C$18:$C$2015,V$13,$D$18:$D$2015,"&gt;="&amp;V193,$D$18:$D$2015,"&lt;"&amp;V194))</f>
        <v/>
      </c>
      <c r="X193" s="14" t="n"/>
      <c r="Y193" s="16" t="n"/>
      <c r="Z193" s="124">
        <f>IF(Y193="","",COUNTIFS($C$18:$C$2015,Y$13,$D$18:$D$2015,"&gt;="&amp;Y193,$D$18:$D$2015,"&lt;"&amp;Y194))</f>
        <v/>
      </c>
      <c r="AA193" s="14" t="n"/>
      <c r="AB193" s="16" t="n"/>
      <c r="AC193" s="124">
        <f>IF(AB193="","",COUNTIFS($C$18:$C$2015,AB$13,$D$18:$D$2015,"&gt;="&amp;AB193,$D$18:$D$2015,"&lt;"&amp;AB194))</f>
        <v/>
      </c>
      <c r="AD193" s="14" t="n"/>
    </row>
    <row r="194">
      <c r="A194" s="56" t="n"/>
      <c r="B194" s="57" t="n"/>
      <c r="C194" s="59" t="n"/>
      <c r="E194" s="16" t="n"/>
      <c r="F194" s="13" t="n"/>
      <c r="G194" s="16" t="n"/>
      <c r="H194" s="124">
        <f>IF(G194="","",COUNTIFS($C$18:$C$2015,G$13,$D$18:$D$2015,"&gt;="&amp;G194,$D$18:$D$2015,"&lt;"&amp;G195))</f>
        <v/>
      </c>
      <c r="I194" s="14" t="n"/>
      <c r="J194" s="16" t="n"/>
      <c r="K194" s="124">
        <f>IF(J194="","",COUNTIFS($C$18:$C$2015,J$13,$D$18:$D$2015,"&gt;="&amp;J194,$D$18:$D$2015,"&lt;"&amp;J195))</f>
        <v/>
      </c>
      <c r="L194" s="14" t="n"/>
      <c r="M194" s="16" t="n"/>
      <c r="N194" s="124">
        <f>IF(M194="","",COUNTIFS($C$18:$C$2015,M$13,$D$18:$D$2015,"&gt;="&amp;M194,$D$18:$D$2015,"&lt;"&amp;M195))</f>
        <v/>
      </c>
      <c r="O194" s="14" t="n"/>
      <c r="P194" s="16" t="n"/>
      <c r="Q194" s="124">
        <f>IF(P194="","",COUNTIFS($C$18:$C$2015,P$13,$D$18:$D$2015,"&gt;="&amp;P194,$D$18:$D$2015,"&lt;"&amp;P195))</f>
        <v/>
      </c>
      <c r="R194" s="14" t="n"/>
      <c r="S194" s="16" t="n"/>
      <c r="T194" s="124">
        <f>IF(S194="","",COUNTIFS($C$18:$C$2015,S$13,$D$18:$D$2015,"&gt;="&amp;S194,$D$18:$D$2015,"&lt;"&amp;S195))</f>
        <v/>
      </c>
      <c r="U194" s="14" t="n"/>
      <c r="V194" s="16" t="n"/>
      <c r="W194" s="124">
        <f>IF(V194="","",COUNTIFS($C$18:$C$2015,V$13,$D$18:$D$2015,"&gt;="&amp;V194,$D$18:$D$2015,"&lt;"&amp;V195))</f>
        <v/>
      </c>
      <c r="X194" s="14" t="n"/>
      <c r="Y194" s="16" t="n"/>
      <c r="Z194" s="124">
        <f>IF(Y194="","",COUNTIFS($C$18:$C$2015,Y$13,$D$18:$D$2015,"&gt;="&amp;Y194,$D$18:$D$2015,"&lt;"&amp;Y195))</f>
        <v/>
      </c>
      <c r="AA194" s="14" t="n"/>
      <c r="AB194" s="16" t="n"/>
      <c r="AC194" s="124">
        <f>IF(AB194="","",COUNTIFS($C$18:$C$2015,AB$13,$D$18:$D$2015,"&gt;="&amp;AB194,$D$18:$D$2015,"&lt;"&amp;AB195))</f>
        <v/>
      </c>
      <c r="AD194" s="14" t="n"/>
    </row>
    <row r="195">
      <c r="A195" s="58" t="n"/>
      <c r="B195" s="59" t="n"/>
      <c r="C195" s="59" t="n"/>
      <c r="E195" s="16" t="n"/>
      <c r="F195" s="13" t="n"/>
      <c r="G195" s="16" t="n"/>
      <c r="H195" s="124">
        <f>IF(G195="","",COUNTIFS($C$18:$C$2015,G$13,$D$18:$D$2015,"&gt;="&amp;G195,$D$18:$D$2015,"&lt;"&amp;G196))</f>
        <v/>
      </c>
      <c r="I195" s="14" t="n"/>
      <c r="J195" s="16" t="n"/>
      <c r="K195" s="124">
        <f>IF(J195="","",COUNTIFS($C$18:$C$2015,J$13,$D$18:$D$2015,"&gt;="&amp;J195,$D$18:$D$2015,"&lt;"&amp;J196))</f>
        <v/>
      </c>
      <c r="L195" s="14" t="n"/>
      <c r="M195" s="16" t="n"/>
      <c r="N195" s="124">
        <f>IF(M195="","",COUNTIFS($C$18:$C$2015,M$13,$D$18:$D$2015,"&gt;="&amp;M195,$D$18:$D$2015,"&lt;"&amp;M196))</f>
        <v/>
      </c>
      <c r="O195" s="14" t="n"/>
      <c r="P195" s="16" t="n"/>
      <c r="Q195" s="124">
        <f>IF(P195="","",COUNTIFS($C$18:$C$2015,P$13,$D$18:$D$2015,"&gt;="&amp;P195,$D$18:$D$2015,"&lt;"&amp;P196))</f>
        <v/>
      </c>
      <c r="R195" s="14" t="n"/>
      <c r="S195" s="16" t="n"/>
      <c r="T195" s="124">
        <f>IF(S195="","",COUNTIFS($C$18:$C$2015,S$13,$D$18:$D$2015,"&gt;="&amp;S195,$D$18:$D$2015,"&lt;"&amp;S196))</f>
        <v/>
      </c>
      <c r="U195" s="14" t="n"/>
      <c r="V195" s="16" t="n"/>
      <c r="W195" s="124">
        <f>IF(V195="","",COUNTIFS($C$18:$C$2015,V$13,$D$18:$D$2015,"&gt;="&amp;V195,$D$18:$D$2015,"&lt;"&amp;V196))</f>
        <v/>
      </c>
      <c r="X195" s="14" t="n"/>
      <c r="Y195" s="16" t="n"/>
      <c r="Z195" s="124">
        <f>IF(Y195="","",COUNTIFS($C$18:$C$2015,Y$13,$D$18:$D$2015,"&gt;="&amp;Y195,$D$18:$D$2015,"&lt;"&amp;Y196))</f>
        <v/>
      </c>
      <c r="AA195" s="14" t="n"/>
      <c r="AB195" s="16" t="n"/>
      <c r="AC195" s="124">
        <f>IF(AB195="","",COUNTIFS($C$18:$C$2015,AB$13,$D$18:$D$2015,"&gt;="&amp;AB195,$D$18:$D$2015,"&lt;"&amp;AB196))</f>
        <v/>
      </c>
      <c r="AD195" s="14" t="n"/>
    </row>
    <row r="196">
      <c r="A196" s="56" t="n"/>
      <c r="B196" s="57" t="n"/>
      <c r="C196" s="59" t="n"/>
      <c r="E196" s="16" t="n"/>
      <c r="F196" s="13" t="n"/>
      <c r="G196" s="16" t="n"/>
      <c r="H196" s="124">
        <f>IF(G196="","",COUNTIFS($C$18:$C$2015,G$13,$D$18:$D$2015,"&gt;="&amp;G196,$D$18:$D$2015,"&lt;"&amp;G197))</f>
        <v/>
      </c>
      <c r="I196" s="14" t="n"/>
      <c r="J196" s="16" t="n"/>
      <c r="K196" s="124">
        <f>IF(J196="","",COUNTIFS($C$18:$C$2015,J$13,$D$18:$D$2015,"&gt;="&amp;J196,$D$18:$D$2015,"&lt;"&amp;J197))</f>
        <v/>
      </c>
      <c r="L196" s="14" t="n"/>
      <c r="M196" s="16" t="n"/>
      <c r="N196" s="124">
        <f>IF(M196="","",COUNTIFS($C$18:$C$2015,M$13,$D$18:$D$2015,"&gt;="&amp;M196,$D$18:$D$2015,"&lt;"&amp;M197))</f>
        <v/>
      </c>
      <c r="O196" s="14" t="n"/>
      <c r="P196" s="16" t="n"/>
      <c r="Q196" s="124">
        <f>IF(P196="","",COUNTIFS($C$18:$C$2015,P$13,$D$18:$D$2015,"&gt;="&amp;P196,$D$18:$D$2015,"&lt;"&amp;P197))</f>
        <v/>
      </c>
      <c r="R196" s="14" t="n"/>
      <c r="S196" s="16" t="n"/>
      <c r="T196" s="124">
        <f>IF(S196="","",COUNTIFS($C$18:$C$2015,S$13,$D$18:$D$2015,"&gt;="&amp;S196,$D$18:$D$2015,"&lt;"&amp;S197))</f>
        <v/>
      </c>
      <c r="U196" s="14" t="n"/>
      <c r="V196" s="16" t="n"/>
      <c r="W196" s="124">
        <f>IF(V196="","",COUNTIFS($C$18:$C$2015,V$13,$D$18:$D$2015,"&gt;="&amp;V196,$D$18:$D$2015,"&lt;"&amp;V197))</f>
        <v/>
      </c>
      <c r="X196" s="14" t="n"/>
      <c r="Y196" s="16" t="n"/>
      <c r="Z196" s="124">
        <f>IF(Y196="","",COUNTIFS($C$18:$C$2015,Y$13,$D$18:$D$2015,"&gt;="&amp;Y196,$D$18:$D$2015,"&lt;"&amp;Y197))</f>
        <v/>
      </c>
      <c r="AA196" s="14" t="n"/>
      <c r="AB196" s="16" t="n"/>
      <c r="AC196" s="124">
        <f>IF(AB196="","",COUNTIFS($C$18:$C$2015,AB$13,$D$18:$D$2015,"&gt;="&amp;AB196,$D$18:$D$2015,"&lt;"&amp;AB197))</f>
        <v/>
      </c>
      <c r="AD196" s="14" t="n"/>
    </row>
    <row r="197">
      <c r="A197" s="58" t="n"/>
      <c r="B197" s="59" t="n"/>
      <c r="C197" s="59" t="n"/>
      <c r="E197" s="16" t="n"/>
      <c r="F197" s="13" t="n"/>
      <c r="G197" s="16" t="n"/>
      <c r="H197" s="124">
        <f>IF(G197="","",COUNTIFS($C$18:$C$2015,G$13,$D$18:$D$2015,"&gt;="&amp;G197,$D$18:$D$2015,"&lt;"&amp;G198))</f>
        <v/>
      </c>
      <c r="I197" s="14" t="n"/>
      <c r="J197" s="16" t="n"/>
      <c r="K197" s="124">
        <f>IF(J197="","",COUNTIFS($C$18:$C$2015,J$13,$D$18:$D$2015,"&gt;="&amp;J197,$D$18:$D$2015,"&lt;"&amp;J198))</f>
        <v/>
      </c>
      <c r="L197" s="14" t="n"/>
      <c r="M197" s="16" t="n"/>
      <c r="N197" s="124">
        <f>IF(M197="","",COUNTIFS($C$18:$C$2015,M$13,$D$18:$D$2015,"&gt;="&amp;M197,$D$18:$D$2015,"&lt;"&amp;M198))</f>
        <v/>
      </c>
      <c r="O197" s="14" t="n"/>
      <c r="P197" s="16" t="n"/>
      <c r="Q197" s="124">
        <f>IF(P197="","",COUNTIFS($C$18:$C$2015,P$13,$D$18:$D$2015,"&gt;="&amp;P197,$D$18:$D$2015,"&lt;"&amp;P198))</f>
        <v/>
      </c>
      <c r="R197" s="14" t="n"/>
      <c r="S197" s="16" t="n"/>
      <c r="T197" s="124">
        <f>IF(S197="","",COUNTIFS($C$18:$C$2015,S$13,$D$18:$D$2015,"&gt;="&amp;S197,$D$18:$D$2015,"&lt;"&amp;S198))</f>
        <v/>
      </c>
      <c r="U197" s="14" t="n"/>
      <c r="V197" s="16" t="n"/>
      <c r="W197" s="124">
        <f>IF(V197="","",COUNTIFS($C$18:$C$2015,V$13,$D$18:$D$2015,"&gt;="&amp;V197,$D$18:$D$2015,"&lt;"&amp;V198))</f>
        <v/>
      </c>
      <c r="X197" s="14" t="n"/>
      <c r="Y197" s="16" t="n"/>
      <c r="Z197" s="124">
        <f>IF(Y197="","",COUNTIFS($C$18:$C$2015,Y$13,$D$18:$D$2015,"&gt;="&amp;Y197,$D$18:$D$2015,"&lt;"&amp;Y198))</f>
        <v/>
      </c>
      <c r="AA197" s="14" t="n"/>
      <c r="AB197" s="16" t="n"/>
      <c r="AC197" s="124">
        <f>IF(AB197="","",COUNTIFS($C$18:$C$2015,AB$13,$D$18:$D$2015,"&gt;="&amp;AB197,$D$18:$D$2015,"&lt;"&amp;AB198))</f>
        <v/>
      </c>
      <c r="AD197" s="14" t="n"/>
    </row>
    <row r="198">
      <c r="A198" s="56" t="n"/>
      <c r="B198" s="57" t="n"/>
      <c r="C198" s="59" t="n"/>
      <c r="E198" s="16" t="n"/>
      <c r="F198" s="13" t="n"/>
      <c r="G198" s="16" t="n"/>
      <c r="H198" s="124">
        <f>IF(G198="","",COUNTIFS($C$18:$C$2015,G$13,$D$18:$D$2015,"&gt;="&amp;G198,$D$18:$D$2015,"&lt;"&amp;G199))</f>
        <v/>
      </c>
      <c r="I198" s="14" t="n"/>
      <c r="J198" s="16" t="n"/>
      <c r="K198" s="124">
        <f>IF(J198="","",COUNTIFS($C$18:$C$2015,J$13,$D$18:$D$2015,"&gt;="&amp;J198,$D$18:$D$2015,"&lt;"&amp;J199))</f>
        <v/>
      </c>
      <c r="L198" s="14" t="n"/>
      <c r="M198" s="16" t="n"/>
      <c r="N198" s="124">
        <f>IF(M198="","",COUNTIFS($C$18:$C$2015,M$13,$D$18:$D$2015,"&gt;="&amp;M198,$D$18:$D$2015,"&lt;"&amp;M199))</f>
        <v/>
      </c>
      <c r="O198" s="14" t="n"/>
      <c r="P198" s="16" t="n"/>
      <c r="Q198" s="124">
        <f>IF(P198="","",COUNTIFS($C$18:$C$2015,P$13,$D$18:$D$2015,"&gt;="&amp;P198,$D$18:$D$2015,"&lt;"&amp;P199))</f>
        <v/>
      </c>
      <c r="R198" s="14" t="n"/>
      <c r="S198" s="16" t="n"/>
      <c r="T198" s="124">
        <f>IF(S198="","",COUNTIFS($C$18:$C$2015,S$13,$D$18:$D$2015,"&gt;="&amp;S198,$D$18:$D$2015,"&lt;"&amp;S199))</f>
        <v/>
      </c>
      <c r="U198" s="14" t="n"/>
      <c r="V198" s="16" t="n"/>
      <c r="W198" s="124">
        <f>IF(V198="","",COUNTIFS($C$18:$C$2015,V$13,$D$18:$D$2015,"&gt;="&amp;V198,$D$18:$D$2015,"&lt;"&amp;V199))</f>
        <v/>
      </c>
      <c r="X198" s="14" t="n"/>
      <c r="Y198" s="16" t="n"/>
      <c r="Z198" s="124">
        <f>IF(Y198="","",COUNTIFS($C$18:$C$2015,Y$13,$D$18:$D$2015,"&gt;="&amp;Y198,$D$18:$D$2015,"&lt;"&amp;Y199))</f>
        <v/>
      </c>
      <c r="AA198" s="14" t="n"/>
      <c r="AB198" s="16" t="n"/>
      <c r="AC198" s="124">
        <f>IF(AB198="","",COUNTIFS($C$18:$C$2015,AB$13,$D$18:$D$2015,"&gt;="&amp;AB198,$D$18:$D$2015,"&lt;"&amp;AB199))</f>
        <v/>
      </c>
      <c r="AD198" s="14" t="n"/>
    </row>
    <row r="199">
      <c r="A199" s="58" t="n"/>
      <c r="B199" s="59" t="n"/>
      <c r="C199" s="59" t="n"/>
      <c r="E199" s="16" t="n"/>
      <c r="F199" s="13" t="n"/>
      <c r="G199" s="16" t="n"/>
      <c r="H199" s="124">
        <f>IF(G199="","",COUNTIFS($C$18:$C$2015,G$13,$D$18:$D$2015,"&gt;="&amp;G199,$D$18:$D$2015,"&lt;"&amp;G200))</f>
        <v/>
      </c>
      <c r="I199" s="14" t="n"/>
      <c r="J199" s="16" t="n"/>
      <c r="K199" s="124">
        <f>IF(J199="","",COUNTIFS($C$18:$C$2015,J$13,$D$18:$D$2015,"&gt;="&amp;J199,$D$18:$D$2015,"&lt;"&amp;J200))</f>
        <v/>
      </c>
      <c r="L199" s="14" t="n"/>
      <c r="M199" s="16" t="n"/>
      <c r="N199" s="124">
        <f>IF(M199="","",COUNTIFS($C$18:$C$2015,M$13,$D$18:$D$2015,"&gt;="&amp;M199,$D$18:$D$2015,"&lt;"&amp;M200))</f>
        <v/>
      </c>
      <c r="O199" s="14" t="n"/>
      <c r="P199" s="16" t="n"/>
      <c r="Q199" s="124">
        <f>IF(P199="","",COUNTIFS($C$18:$C$2015,P$13,$D$18:$D$2015,"&gt;="&amp;P199,$D$18:$D$2015,"&lt;"&amp;P200))</f>
        <v/>
      </c>
      <c r="R199" s="14" t="n"/>
      <c r="S199" s="16" t="n"/>
      <c r="T199" s="124">
        <f>IF(S199="","",COUNTIFS($C$18:$C$2015,S$13,$D$18:$D$2015,"&gt;="&amp;S199,$D$18:$D$2015,"&lt;"&amp;S200))</f>
        <v/>
      </c>
      <c r="U199" s="14" t="n"/>
      <c r="V199" s="16" t="n"/>
      <c r="W199" s="124">
        <f>IF(V199="","",COUNTIFS($C$18:$C$2015,V$13,$D$18:$D$2015,"&gt;="&amp;V199,$D$18:$D$2015,"&lt;"&amp;V200))</f>
        <v/>
      </c>
      <c r="X199" s="14" t="n"/>
      <c r="Y199" s="16" t="n"/>
      <c r="Z199" s="124">
        <f>IF(Y199="","",COUNTIFS($C$18:$C$2015,Y$13,$D$18:$D$2015,"&gt;="&amp;Y199,$D$18:$D$2015,"&lt;"&amp;Y200))</f>
        <v/>
      </c>
      <c r="AA199" s="14" t="n"/>
      <c r="AB199" s="16" t="n"/>
      <c r="AC199" s="124">
        <f>IF(AB199="","",COUNTIFS($C$18:$C$2015,AB$13,$D$18:$D$2015,"&gt;="&amp;AB199,$D$18:$D$2015,"&lt;"&amp;AB200))</f>
        <v/>
      </c>
      <c r="AD199" s="14" t="n"/>
    </row>
    <row r="200">
      <c r="A200" s="56" t="n"/>
      <c r="B200" s="57" t="n"/>
      <c r="C200" s="59" t="n"/>
      <c r="E200" s="16" t="n"/>
      <c r="F200" s="13" t="n"/>
      <c r="G200" s="16" t="n"/>
      <c r="H200" s="124">
        <f>IF(G200="","",COUNTIFS($C$18:$C$2015,G$13,$D$18:$D$2015,"&gt;="&amp;G200,$D$18:$D$2015,"&lt;"&amp;G201))</f>
        <v/>
      </c>
      <c r="I200" s="14" t="n"/>
      <c r="J200" s="16" t="n"/>
      <c r="K200" s="124">
        <f>IF(J200="","",COUNTIFS($C$18:$C$2015,J$13,$D$18:$D$2015,"&gt;="&amp;J200,$D$18:$D$2015,"&lt;"&amp;J201))</f>
        <v/>
      </c>
      <c r="L200" s="14" t="n"/>
      <c r="M200" s="16" t="n"/>
      <c r="N200" s="124">
        <f>IF(M200="","",COUNTIFS($C$18:$C$2015,M$13,$D$18:$D$2015,"&gt;="&amp;M200,$D$18:$D$2015,"&lt;"&amp;M201))</f>
        <v/>
      </c>
      <c r="O200" s="14" t="n"/>
      <c r="P200" s="16" t="n"/>
      <c r="Q200" s="124">
        <f>IF(P200="","",COUNTIFS($C$18:$C$2015,P$13,$D$18:$D$2015,"&gt;="&amp;P200,$D$18:$D$2015,"&lt;"&amp;P201))</f>
        <v/>
      </c>
      <c r="R200" s="14" t="n"/>
      <c r="S200" s="16" t="n"/>
      <c r="T200" s="124">
        <f>IF(S200="","",COUNTIFS($C$18:$C$2015,S$13,$D$18:$D$2015,"&gt;="&amp;S200,$D$18:$D$2015,"&lt;"&amp;S201))</f>
        <v/>
      </c>
      <c r="U200" s="14" t="n"/>
      <c r="V200" s="16" t="n"/>
      <c r="W200" s="124">
        <f>IF(V200="","",COUNTIFS($C$18:$C$2015,V$13,$D$18:$D$2015,"&gt;="&amp;V200,$D$18:$D$2015,"&lt;"&amp;V201))</f>
        <v/>
      </c>
      <c r="X200" s="14" t="n"/>
      <c r="Y200" s="16" t="n"/>
      <c r="Z200" s="124">
        <f>IF(Y200="","",COUNTIFS($C$18:$C$2015,Y$13,$D$18:$D$2015,"&gt;="&amp;Y200,$D$18:$D$2015,"&lt;"&amp;Y201))</f>
        <v/>
      </c>
      <c r="AA200" s="14" t="n"/>
      <c r="AB200" s="16" t="n"/>
      <c r="AC200" s="124">
        <f>IF(AB200="","",COUNTIFS($C$18:$C$2015,AB$13,$D$18:$D$2015,"&gt;="&amp;AB200,$D$18:$D$2015,"&lt;"&amp;AB201))</f>
        <v/>
      </c>
      <c r="AD200" s="14" t="n"/>
    </row>
    <row r="201">
      <c r="A201" s="58" t="n"/>
      <c r="B201" s="59" t="n"/>
      <c r="C201" s="59" t="n"/>
      <c r="E201" s="16" t="n"/>
      <c r="F201" s="13" t="n"/>
      <c r="G201" s="16" t="n"/>
      <c r="H201" s="124">
        <f>IF(G201="","",COUNTIFS($C$18:$C$2015,G$13,$D$18:$D$2015,"&gt;="&amp;G201,$D$18:$D$2015,"&lt;"&amp;G202))</f>
        <v/>
      </c>
      <c r="I201" s="14" t="n"/>
      <c r="J201" s="16" t="n"/>
      <c r="K201" s="124">
        <f>IF(J201="","",COUNTIFS($C$18:$C$2015,J$13,$D$18:$D$2015,"&gt;="&amp;J201,$D$18:$D$2015,"&lt;"&amp;J202))</f>
        <v/>
      </c>
      <c r="L201" s="14" t="n"/>
      <c r="M201" s="16" t="n"/>
      <c r="N201" s="124">
        <f>IF(M201="","",COUNTIFS($C$18:$C$2015,M$13,$D$18:$D$2015,"&gt;="&amp;M201,$D$18:$D$2015,"&lt;"&amp;M202))</f>
        <v/>
      </c>
      <c r="O201" s="14" t="n"/>
      <c r="P201" s="16" t="n"/>
      <c r="Q201" s="124">
        <f>IF(P201="","",COUNTIFS($C$18:$C$2015,P$13,$D$18:$D$2015,"&gt;="&amp;P201,$D$18:$D$2015,"&lt;"&amp;P202))</f>
        <v/>
      </c>
      <c r="R201" s="14" t="n"/>
      <c r="S201" s="16" t="n"/>
      <c r="T201" s="124">
        <f>IF(S201="","",COUNTIFS($C$18:$C$2015,S$13,$D$18:$D$2015,"&gt;="&amp;S201,$D$18:$D$2015,"&lt;"&amp;S202))</f>
        <v/>
      </c>
      <c r="U201" s="14" t="n"/>
      <c r="V201" s="16" t="n"/>
      <c r="W201" s="124">
        <f>IF(V201="","",COUNTIFS($C$18:$C$2015,V$13,$D$18:$D$2015,"&gt;="&amp;V201,$D$18:$D$2015,"&lt;"&amp;V202))</f>
        <v/>
      </c>
      <c r="X201" s="14" t="n"/>
      <c r="Y201" s="16" t="n"/>
      <c r="Z201" s="124">
        <f>IF(Y201="","",COUNTIFS($C$18:$C$2015,Y$13,$D$18:$D$2015,"&gt;="&amp;Y201,$D$18:$D$2015,"&lt;"&amp;Y202))</f>
        <v/>
      </c>
      <c r="AA201" s="14" t="n"/>
      <c r="AB201" s="16" t="n"/>
      <c r="AC201" s="124">
        <f>IF(AB201="","",COUNTIFS($C$18:$C$2015,AB$13,$D$18:$D$2015,"&gt;="&amp;AB201,$D$18:$D$2015,"&lt;"&amp;AB202))</f>
        <v/>
      </c>
      <c r="AD201" s="14" t="n"/>
    </row>
    <row r="202">
      <c r="A202" s="56" t="n"/>
      <c r="B202" s="57" t="n"/>
      <c r="C202" s="59" t="n"/>
      <c r="E202" s="16" t="n"/>
      <c r="F202" s="13" t="n"/>
      <c r="G202" s="16" t="n"/>
      <c r="H202" s="124">
        <f>IF(G202="","",COUNTIFS($C$18:$C$2015,G$13,$D$18:$D$2015,"&gt;="&amp;G202,$D$18:$D$2015,"&lt;"&amp;G203))</f>
        <v/>
      </c>
      <c r="I202" s="14" t="n"/>
      <c r="J202" s="16" t="n"/>
      <c r="K202" s="124">
        <f>IF(J202="","",COUNTIFS($C$18:$C$2015,J$13,$D$18:$D$2015,"&gt;="&amp;J202,$D$18:$D$2015,"&lt;"&amp;J203))</f>
        <v/>
      </c>
      <c r="L202" s="14" t="n"/>
      <c r="M202" s="16" t="n"/>
      <c r="N202" s="124">
        <f>IF(M202="","",COUNTIFS($C$18:$C$2015,M$13,$D$18:$D$2015,"&gt;="&amp;M202,$D$18:$D$2015,"&lt;"&amp;M203))</f>
        <v/>
      </c>
      <c r="O202" s="14" t="n"/>
      <c r="P202" s="16" t="n"/>
      <c r="Q202" s="124">
        <f>IF(P202="","",COUNTIFS($C$18:$C$2015,P$13,$D$18:$D$2015,"&gt;="&amp;P202,$D$18:$D$2015,"&lt;"&amp;P203))</f>
        <v/>
      </c>
      <c r="R202" s="14" t="n"/>
      <c r="S202" s="16" t="n"/>
      <c r="T202" s="124">
        <f>IF(S202="","",COUNTIFS($C$18:$C$2015,S$13,$D$18:$D$2015,"&gt;="&amp;S202,$D$18:$D$2015,"&lt;"&amp;S203))</f>
        <v/>
      </c>
      <c r="U202" s="14" t="n"/>
      <c r="V202" s="16" t="n"/>
      <c r="W202" s="124">
        <f>IF(V202="","",COUNTIFS($C$18:$C$2015,V$13,$D$18:$D$2015,"&gt;="&amp;V202,$D$18:$D$2015,"&lt;"&amp;V203))</f>
        <v/>
      </c>
      <c r="X202" s="14" t="n"/>
      <c r="Y202" s="16" t="n"/>
      <c r="Z202" s="124">
        <f>IF(Y202="","",COUNTIFS($C$18:$C$2015,Y$13,$D$18:$D$2015,"&gt;="&amp;Y202,$D$18:$D$2015,"&lt;"&amp;Y203))</f>
        <v/>
      </c>
      <c r="AA202" s="14" t="n"/>
      <c r="AB202" s="16" t="n"/>
      <c r="AC202" s="124">
        <f>IF(AB202="","",COUNTIFS($C$18:$C$2015,AB$13,$D$18:$D$2015,"&gt;="&amp;AB202,$D$18:$D$2015,"&lt;"&amp;AB203))</f>
        <v/>
      </c>
      <c r="AD202" s="14" t="n"/>
    </row>
    <row r="203">
      <c r="A203" s="58" t="n"/>
      <c r="B203" s="59" t="n"/>
      <c r="C203" s="59" t="n"/>
      <c r="E203" s="16" t="n"/>
      <c r="F203" s="13" t="n"/>
      <c r="G203" s="16" t="n"/>
      <c r="H203" s="124">
        <f>IF(G203="","",COUNTIFS($C$18:$C$2015,G$13,$D$18:$D$2015,"&gt;="&amp;G203,$D$18:$D$2015,"&lt;"&amp;G204))</f>
        <v/>
      </c>
      <c r="I203" s="14" t="n"/>
      <c r="J203" s="16" t="n"/>
      <c r="K203" s="124">
        <f>IF(J203="","",COUNTIFS($C$18:$C$2015,J$13,$D$18:$D$2015,"&gt;="&amp;J203,$D$18:$D$2015,"&lt;"&amp;J204))</f>
        <v/>
      </c>
      <c r="L203" s="14" t="n"/>
      <c r="M203" s="16" t="n"/>
      <c r="N203" s="124">
        <f>IF(M203="","",COUNTIFS($C$18:$C$2015,M$13,$D$18:$D$2015,"&gt;="&amp;M203,$D$18:$D$2015,"&lt;"&amp;M204))</f>
        <v/>
      </c>
      <c r="O203" s="14" t="n"/>
      <c r="P203" s="16" t="n"/>
      <c r="Q203" s="124">
        <f>IF(P203="","",COUNTIFS($C$18:$C$2015,P$13,$D$18:$D$2015,"&gt;="&amp;P203,$D$18:$D$2015,"&lt;"&amp;P204))</f>
        <v/>
      </c>
      <c r="R203" s="14" t="n"/>
      <c r="S203" s="16" t="n"/>
      <c r="T203" s="124">
        <f>IF(S203="","",COUNTIFS($C$18:$C$2015,S$13,$D$18:$D$2015,"&gt;="&amp;S203,$D$18:$D$2015,"&lt;"&amp;S204))</f>
        <v/>
      </c>
      <c r="U203" s="14" t="n"/>
      <c r="V203" s="16" t="n"/>
      <c r="W203" s="124">
        <f>IF(V203="","",COUNTIFS($C$18:$C$2015,V$13,$D$18:$D$2015,"&gt;="&amp;V203,$D$18:$D$2015,"&lt;"&amp;V204))</f>
        <v/>
      </c>
      <c r="X203" s="14" t="n"/>
      <c r="Y203" s="16" t="n"/>
      <c r="Z203" s="124">
        <f>IF(Y203="","",COUNTIFS($C$18:$C$2015,Y$13,$D$18:$D$2015,"&gt;="&amp;Y203,$D$18:$D$2015,"&lt;"&amp;Y204))</f>
        <v/>
      </c>
      <c r="AA203" s="14" t="n"/>
      <c r="AB203" s="16" t="n"/>
      <c r="AC203" s="124">
        <f>IF(AB203="","",COUNTIFS($C$18:$C$2015,AB$13,$D$18:$D$2015,"&gt;="&amp;AB203,$D$18:$D$2015,"&lt;"&amp;AB204))</f>
        <v/>
      </c>
      <c r="AD203" s="14" t="n"/>
    </row>
    <row r="204">
      <c r="A204" s="56" t="n"/>
      <c r="B204" s="57" t="n"/>
      <c r="C204" s="59" t="n"/>
      <c r="E204" s="16" t="n"/>
      <c r="F204" s="13" t="n"/>
      <c r="G204" s="16" t="n"/>
      <c r="H204" s="124">
        <f>IF(G204="","",COUNTIFS($C$18:$C$2015,G$13,$D$18:$D$2015,"&gt;="&amp;G204,$D$18:$D$2015,"&lt;"&amp;G205))</f>
        <v/>
      </c>
      <c r="I204" s="14" t="n"/>
      <c r="J204" s="16" t="n"/>
      <c r="K204" s="124">
        <f>IF(J204="","",COUNTIFS($C$18:$C$2015,J$13,$D$18:$D$2015,"&gt;="&amp;J204,$D$18:$D$2015,"&lt;"&amp;J205))</f>
        <v/>
      </c>
      <c r="L204" s="14" t="n"/>
      <c r="M204" s="16" t="n"/>
      <c r="N204" s="124">
        <f>IF(M204="","",COUNTIFS($C$18:$C$2015,M$13,$D$18:$D$2015,"&gt;="&amp;M204,$D$18:$D$2015,"&lt;"&amp;M205))</f>
        <v/>
      </c>
      <c r="O204" s="14" t="n"/>
      <c r="P204" s="16" t="n"/>
      <c r="Q204" s="124">
        <f>IF(P204="","",COUNTIFS($C$18:$C$2015,P$13,$D$18:$D$2015,"&gt;="&amp;P204,$D$18:$D$2015,"&lt;"&amp;P205))</f>
        <v/>
      </c>
      <c r="R204" s="14" t="n"/>
      <c r="S204" s="16" t="n"/>
      <c r="T204" s="124">
        <f>IF(S204="","",COUNTIFS($C$18:$C$2015,S$13,$D$18:$D$2015,"&gt;="&amp;S204,$D$18:$D$2015,"&lt;"&amp;S205))</f>
        <v/>
      </c>
      <c r="U204" s="14" t="n"/>
      <c r="V204" s="16" t="n"/>
      <c r="W204" s="124">
        <f>IF(V204="","",COUNTIFS($C$18:$C$2015,V$13,$D$18:$D$2015,"&gt;="&amp;V204,$D$18:$D$2015,"&lt;"&amp;V205))</f>
        <v/>
      </c>
      <c r="X204" s="14" t="n"/>
      <c r="Y204" s="16" t="n"/>
      <c r="Z204" s="124">
        <f>IF(Y204="","",COUNTIFS($C$18:$C$2015,Y$13,$D$18:$D$2015,"&gt;="&amp;Y204,$D$18:$D$2015,"&lt;"&amp;Y205))</f>
        <v/>
      </c>
      <c r="AA204" s="14" t="n"/>
      <c r="AB204" s="16" t="n"/>
      <c r="AC204" s="124">
        <f>IF(AB204="","",COUNTIFS($C$18:$C$2015,AB$13,$D$18:$D$2015,"&gt;="&amp;AB204,$D$18:$D$2015,"&lt;"&amp;AB205))</f>
        <v/>
      </c>
      <c r="AD204" s="14" t="n"/>
    </row>
    <row r="205">
      <c r="A205" s="58" t="n"/>
      <c r="B205" s="59" t="n"/>
      <c r="C205" s="59" t="n"/>
      <c r="E205" s="16" t="n"/>
      <c r="F205" s="13" t="n"/>
      <c r="G205" s="16" t="n"/>
      <c r="H205" s="124">
        <f>IF(G205="","",COUNTIFS($C$18:$C$2015,G$13,$D$18:$D$2015,"&gt;="&amp;G205,$D$18:$D$2015,"&lt;"&amp;G206))</f>
        <v/>
      </c>
      <c r="I205" s="14" t="n"/>
      <c r="J205" s="16" t="n"/>
      <c r="K205" s="124">
        <f>IF(J205="","",COUNTIFS($C$18:$C$2015,J$13,$D$18:$D$2015,"&gt;="&amp;J205,$D$18:$D$2015,"&lt;"&amp;J206))</f>
        <v/>
      </c>
      <c r="L205" s="14" t="n"/>
      <c r="M205" s="16" t="n"/>
      <c r="N205" s="124">
        <f>IF(M205="","",COUNTIFS($C$18:$C$2015,M$13,$D$18:$D$2015,"&gt;="&amp;M205,$D$18:$D$2015,"&lt;"&amp;M206))</f>
        <v/>
      </c>
      <c r="O205" s="14" t="n"/>
      <c r="P205" s="16" t="n"/>
      <c r="Q205" s="124">
        <f>IF(P205="","",COUNTIFS($C$18:$C$2015,P$13,$D$18:$D$2015,"&gt;="&amp;P205,$D$18:$D$2015,"&lt;"&amp;P206))</f>
        <v/>
      </c>
      <c r="R205" s="14" t="n"/>
      <c r="S205" s="16" t="n"/>
      <c r="T205" s="124">
        <f>IF(S205="","",COUNTIFS($C$18:$C$2015,S$13,$D$18:$D$2015,"&gt;="&amp;S205,$D$18:$D$2015,"&lt;"&amp;S206))</f>
        <v/>
      </c>
      <c r="U205" s="14" t="n"/>
      <c r="V205" s="16" t="n"/>
      <c r="W205" s="124">
        <f>IF(V205="","",COUNTIFS($C$18:$C$2015,V$13,$D$18:$D$2015,"&gt;="&amp;V205,$D$18:$D$2015,"&lt;"&amp;V206))</f>
        <v/>
      </c>
      <c r="X205" s="14" t="n"/>
      <c r="Y205" s="16" t="n"/>
      <c r="Z205" s="124">
        <f>IF(Y205="","",COUNTIFS($C$18:$C$2015,Y$13,$D$18:$D$2015,"&gt;="&amp;Y205,$D$18:$D$2015,"&lt;"&amp;Y206))</f>
        <v/>
      </c>
      <c r="AA205" s="14" t="n"/>
      <c r="AB205" s="16" t="n"/>
      <c r="AC205" s="124">
        <f>IF(AB205="","",COUNTIFS($C$18:$C$2015,AB$13,$D$18:$D$2015,"&gt;="&amp;AB205,$D$18:$D$2015,"&lt;"&amp;AB206))</f>
        <v/>
      </c>
      <c r="AD205" s="14" t="n"/>
    </row>
    <row r="206">
      <c r="A206" s="56" t="n"/>
      <c r="B206" s="57" t="n"/>
      <c r="C206" s="59" t="n"/>
      <c r="E206" s="16" t="n"/>
      <c r="F206" s="13" t="n"/>
      <c r="G206" s="16" t="n"/>
      <c r="H206" s="124">
        <f>IF(G206="","",COUNTIFS($C$18:$C$2015,G$13,$D$18:$D$2015,"&gt;="&amp;G206,$D$18:$D$2015,"&lt;"&amp;G207))</f>
        <v/>
      </c>
      <c r="I206" s="14" t="n"/>
      <c r="J206" s="16" t="n"/>
      <c r="K206" s="124">
        <f>IF(J206="","",COUNTIFS($C$18:$C$2015,J$13,$D$18:$D$2015,"&gt;="&amp;J206,$D$18:$D$2015,"&lt;"&amp;J207))</f>
        <v/>
      </c>
      <c r="L206" s="14" t="n"/>
      <c r="M206" s="16" t="n"/>
      <c r="N206" s="124">
        <f>IF(M206="","",COUNTIFS($C$18:$C$2015,M$13,$D$18:$D$2015,"&gt;="&amp;M206,$D$18:$D$2015,"&lt;"&amp;M207))</f>
        <v/>
      </c>
      <c r="O206" s="14" t="n"/>
      <c r="P206" s="16" t="n"/>
      <c r="Q206" s="124">
        <f>IF(P206="","",COUNTIFS($C$18:$C$2015,P$13,$D$18:$D$2015,"&gt;="&amp;P206,$D$18:$D$2015,"&lt;"&amp;P207))</f>
        <v/>
      </c>
      <c r="R206" s="14" t="n"/>
      <c r="S206" s="16" t="n"/>
      <c r="T206" s="124">
        <f>IF(S206="","",COUNTIFS($C$18:$C$2015,S$13,$D$18:$D$2015,"&gt;="&amp;S206,$D$18:$D$2015,"&lt;"&amp;S207))</f>
        <v/>
      </c>
      <c r="U206" s="14" t="n"/>
      <c r="V206" s="16" t="n"/>
      <c r="W206" s="124">
        <f>IF(V206="","",COUNTIFS($C$18:$C$2015,V$13,$D$18:$D$2015,"&gt;="&amp;V206,$D$18:$D$2015,"&lt;"&amp;V207))</f>
        <v/>
      </c>
      <c r="X206" s="14" t="n"/>
      <c r="Y206" s="16" t="n"/>
      <c r="Z206" s="124">
        <f>IF(Y206="","",COUNTIFS($C$18:$C$2015,Y$13,$D$18:$D$2015,"&gt;="&amp;Y206,$D$18:$D$2015,"&lt;"&amp;Y207))</f>
        <v/>
      </c>
      <c r="AA206" s="14" t="n"/>
      <c r="AB206" s="16" t="n"/>
      <c r="AC206" s="124">
        <f>IF(AB206="","",COUNTIFS($C$18:$C$2015,AB$13,$D$18:$D$2015,"&gt;="&amp;AB206,$D$18:$D$2015,"&lt;"&amp;AB207))</f>
        <v/>
      </c>
      <c r="AD206" s="14" t="n"/>
    </row>
    <row r="207">
      <c r="A207" s="58" t="n"/>
      <c r="B207" s="59" t="n"/>
      <c r="C207" s="59" t="n"/>
      <c r="E207" s="16" t="n"/>
      <c r="F207" s="13" t="n"/>
      <c r="G207" s="16" t="n"/>
      <c r="H207" s="124">
        <f>IF(G207="","",COUNTIFS($C$18:$C$2015,G$13,$D$18:$D$2015,"&gt;="&amp;G207,$D$18:$D$2015,"&lt;"&amp;G208))</f>
        <v/>
      </c>
      <c r="I207" s="14" t="n"/>
      <c r="J207" s="16" t="n"/>
      <c r="K207" s="124">
        <f>IF(J207="","",COUNTIFS($C$18:$C$2015,J$13,$D$18:$D$2015,"&gt;="&amp;J207,$D$18:$D$2015,"&lt;"&amp;J208))</f>
        <v/>
      </c>
      <c r="L207" s="14" t="n"/>
      <c r="M207" s="16" t="n"/>
      <c r="N207" s="124">
        <f>IF(M207="","",COUNTIFS($C$18:$C$2015,M$13,$D$18:$D$2015,"&gt;="&amp;M207,$D$18:$D$2015,"&lt;"&amp;M208))</f>
        <v/>
      </c>
      <c r="O207" s="14" t="n"/>
      <c r="P207" s="16" t="n"/>
      <c r="Q207" s="124">
        <f>IF(P207="","",COUNTIFS($C$18:$C$2015,P$13,$D$18:$D$2015,"&gt;="&amp;P207,$D$18:$D$2015,"&lt;"&amp;P208))</f>
        <v/>
      </c>
      <c r="R207" s="14" t="n"/>
      <c r="S207" s="16" t="n"/>
      <c r="T207" s="124">
        <f>IF(S207="","",COUNTIFS($C$18:$C$2015,S$13,$D$18:$D$2015,"&gt;="&amp;S207,$D$18:$D$2015,"&lt;"&amp;S208))</f>
        <v/>
      </c>
      <c r="U207" s="14" t="n"/>
      <c r="V207" s="16" t="n"/>
      <c r="W207" s="124">
        <f>IF(V207="","",COUNTIFS($C$18:$C$2015,V$13,$D$18:$D$2015,"&gt;="&amp;V207,$D$18:$D$2015,"&lt;"&amp;V208))</f>
        <v/>
      </c>
      <c r="X207" s="14" t="n"/>
      <c r="Y207" s="16" t="n"/>
      <c r="Z207" s="124">
        <f>IF(Y207="","",COUNTIFS($C$18:$C$2015,Y$13,$D$18:$D$2015,"&gt;="&amp;Y207,$D$18:$D$2015,"&lt;"&amp;Y208))</f>
        <v/>
      </c>
      <c r="AA207" s="14" t="n"/>
      <c r="AB207" s="16" t="n"/>
      <c r="AC207" s="124">
        <f>IF(AB207="","",COUNTIFS($C$18:$C$2015,AB$13,$D$18:$D$2015,"&gt;="&amp;AB207,$D$18:$D$2015,"&lt;"&amp;AB208))</f>
        <v/>
      </c>
      <c r="AD207" s="14" t="n"/>
    </row>
    <row r="208">
      <c r="A208" s="56" t="n"/>
      <c r="B208" s="57" t="n"/>
      <c r="C208" s="59" t="n"/>
      <c r="E208" s="16" t="n"/>
      <c r="F208" s="13" t="n"/>
      <c r="G208" s="16" t="n"/>
      <c r="H208" s="124">
        <f>IF(G208="","",COUNTIFS($C$18:$C$2015,G$13,$D$18:$D$2015,"&gt;="&amp;G208,$D$18:$D$2015,"&lt;"&amp;G209))</f>
        <v/>
      </c>
      <c r="I208" s="14" t="n"/>
      <c r="J208" s="16" t="n"/>
      <c r="K208" s="124">
        <f>IF(J208="","",COUNTIFS($C$18:$C$2015,J$13,$D$18:$D$2015,"&gt;="&amp;J208,$D$18:$D$2015,"&lt;"&amp;J209))</f>
        <v/>
      </c>
      <c r="L208" s="14" t="n"/>
      <c r="M208" s="16" t="n"/>
      <c r="N208" s="124">
        <f>IF(M208="","",COUNTIFS($C$18:$C$2015,M$13,$D$18:$D$2015,"&gt;="&amp;M208,$D$18:$D$2015,"&lt;"&amp;M209))</f>
        <v/>
      </c>
      <c r="O208" s="14" t="n"/>
      <c r="P208" s="16" t="n"/>
      <c r="Q208" s="124">
        <f>IF(P208="","",COUNTIFS($C$18:$C$2015,P$13,$D$18:$D$2015,"&gt;="&amp;P208,$D$18:$D$2015,"&lt;"&amp;P209))</f>
        <v/>
      </c>
      <c r="R208" s="14" t="n"/>
      <c r="S208" s="16" t="n"/>
      <c r="T208" s="124">
        <f>IF(S208="","",COUNTIFS($C$18:$C$2015,S$13,$D$18:$D$2015,"&gt;="&amp;S208,$D$18:$D$2015,"&lt;"&amp;S209))</f>
        <v/>
      </c>
      <c r="U208" s="14" t="n"/>
      <c r="V208" s="16" t="n"/>
      <c r="W208" s="124">
        <f>IF(V208="","",COUNTIFS($C$18:$C$2015,V$13,$D$18:$D$2015,"&gt;="&amp;V208,$D$18:$D$2015,"&lt;"&amp;V209))</f>
        <v/>
      </c>
      <c r="X208" s="14" t="n"/>
      <c r="Y208" s="16" t="n"/>
      <c r="Z208" s="124">
        <f>IF(Y208="","",COUNTIFS($C$18:$C$2015,Y$13,$D$18:$D$2015,"&gt;="&amp;Y208,$D$18:$D$2015,"&lt;"&amp;Y209))</f>
        <v/>
      </c>
      <c r="AA208" s="14" t="n"/>
      <c r="AB208" s="16" t="n"/>
      <c r="AC208" s="124">
        <f>IF(AB208="","",COUNTIFS($C$18:$C$2015,AB$13,$D$18:$D$2015,"&gt;="&amp;AB208,$D$18:$D$2015,"&lt;"&amp;AB209))</f>
        <v/>
      </c>
      <c r="AD208" s="14" t="n"/>
    </row>
    <row r="209">
      <c r="A209" s="58" t="n"/>
      <c r="B209" s="59" t="n"/>
      <c r="C209" s="59" t="n"/>
      <c r="E209" s="16" t="n"/>
      <c r="F209" s="13" t="n"/>
      <c r="G209" s="16" t="n"/>
      <c r="H209" s="124">
        <f>IF(G209="","",COUNTIFS($C$18:$C$2015,G$13,$D$18:$D$2015,"&gt;="&amp;G209,$D$18:$D$2015,"&lt;"&amp;G210))</f>
        <v/>
      </c>
      <c r="I209" s="14" t="n"/>
      <c r="J209" s="16" t="n"/>
      <c r="K209" s="124">
        <f>IF(J209="","",COUNTIFS($C$18:$C$2015,J$13,$D$18:$D$2015,"&gt;="&amp;J209,$D$18:$D$2015,"&lt;"&amp;J210))</f>
        <v/>
      </c>
      <c r="L209" s="14" t="n"/>
      <c r="M209" s="16" t="n"/>
      <c r="N209" s="124">
        <f>IF(M209="","",COUNTIFS($C$18:$C$2015,M$13,$D$18:$D$2015,"&gt;="&amp;M209,$D$18:$D$2015,"&lt;"&amp;M210))</f>
        <v/>
      </c>
      <c r="O209" s="14" t="n"/>
      <c r="P209" s="16" t="n"/>
      <c r="Q209" s="124">
        <f>IF(P209="","",COUNTIFS($C$18:$C$2015,P$13,$D$18:$D$2015,"&gt;="&amp;P209,$D$18:$D$2015,"&lt;"&amp;P210))</f>
        <v/>
      </c>
      <c r="R209" s="14" t="n"/>
      <c r="S209" s="16" t="n"/>
      <c r="T209" s="124">
        <f>IF(S209="","",COUNTIFS($C$18:$C$2015,S$13,$D$18:$D$2015,"&gt;="&amp;S209,$D$18:$D$2015,"&lt;"&amp;S210))</f>
        <v/>
      </c>
      <c r="U209" s="14" t="n"/>
      <c r="V209" s="16" t="n"/>
      <c r="W209" s="124">
        <f>IF(V209="","",COUNTIFS($C$18:$C$2015,V$13,$D$18:$D$2015,"&gt;="&amp;V209,$D$18:$D$2015,"&lt;"&amp;V210))</f>
        <v/>
      </c>
      <c r="X209" s="14" t="n"/>
      <c r="Y209" s="16" t="n"/>
      <c r="Z209" s="124">
        <f>IF(Y209="","",COUNTIFS($C$18:$C$2015,Y$13,$D$18:$D$2015,"&gt;="&amp;Y209,$D$18:$D$2015,"&lt;"&amp;Y210))</f>
        <v/>
      </c>
      <c r="AA209" s="14" t="n"/>
      <c r="AB209" s="16" t="n"/>
      <c r="AC209" s="124">
        <f>IF(AB209="","",COUNTIFS($C$18:$C$2015,AB$13,$D$18:$D$2015,"&gt;="&amp;AB209,$D$18:$D$2015,"&lt;"&amp;AB210))</f>
        <v/>
      </c>
      <c r="AD209" s="14" t="n"/>
    </row>
    <row r="210">
      <c r="A210" s="56" t="n"/>
      <c r="B210" s="57" t="n"/>
      <c r="C210" s="59" t="n"/>
      <c r="E210" s="16" t="n"/>
      <c r="F210" s="13" t="n"/>
      <c r="G210" s="16" t="n"/>
      <c r="H210" s="124">
        <f>IF(G210="","",COUNTIFS($C$18:$C$2015,G$13,$D$18:$D$2015,"&gt;="&amp;G210,$D$18:$D$2015,"&lt;"&amp;G211))</f>
        <v/>
      </c>
      <c r="I210" s="14" t="n"/>
      <c r="J210" s="16" t="n"/>
      <c r="K210" s="124">
        <f>IF(J210="","",COUNTIFS($C$18:$C$2015,J$13,$D$18:$D$2015,"&gt;="&amp;J210,$D$18:$D$2015,"&lt;"&amp;J211))</f>
        <v/>
      </c>
      <c r="L210" s="14" t="n"/>
      <c r="M210" s="16" t="n"/>
      <c r="N210" s="124">
        <f>IF(M210="","",COUNTIFS($C$18:$C$2015,M$13,$D$18:$D$2015,"&gt;="&amp;M210,$D$18:$D$2015,"&lt;"&amp;M211))</f>
        <v/>
      </c>
      <c r="O210" s="14" t="n"/>
      <c r="P210" s="16" t="n"/>
      <c r="Q210" s="124">
        <f>IF(P210="","",COUNTIFS($C$18:$C$2015,P$13,$D$18:$D$2015,"&gt;="&amp;P210,$D$18:$D$2015,"&lt;"&amp;P211))</f>
        <v/>
      </c>
      <c r="R210" s="14" t="n"/>
      <c r="S210" s="16" t="n"/>
      <c r="T210" s="124">
        <f>IF(S210="","",COUNTIFS($C$18:$C$2015,S$13,$D$18:$D$2015,"&gt;="&amp;S210,$D$18:$D$2015,"&lt;"&amp;S211))</f>
        <v/>
      </c>
      <c r="U210" s="14" t="n"/>
      <c r="V210" s="16" t="n"/>
      <c r="W210" s="124">
        <f>IF(V210="","",COUNTIFS($C$18:$C$2015,V$13,$D$18:$D$2015,"&gt;="&amp;V210,$D$18:$D$2015,"&lt;"&amp;V211))</f>
        <v/>
      </c>
      <c r="X210" s="14" t="n"/>
      <c r="Y210" s="16" t="n"/>
      <c r="Z210" s="124">
        <f>IF(Y210="","",COUNTIFS($C$18:$C$2015,Y$13,$D$18:$D$2015,"&gt;="&amp;Y210,$D$18:$D$2015,"&lt;"&amp;Y211))</f>
        <v/>
      </c>
      <c r="AA210" s="14" t="n"/>
      <c r="AB210" s="16" t="n"/>
      <c r="AC210" s="124">
        <f>IF(AB210="","",COUNTIFS($C$18:$C$2015,AB$13,$D$18:$D$2015,"&gt;="&amp;AB210,$D$18:$D$2015,"&lt;"&amp;AB211))</f>
        <v/>
      </c>
      <c r="AD210" s="14" t="n"/>
    </row>
    <row r="211">
      <c r="A211" s="58" t="n"/>
      <c r="B211" s="59" t="n"/>
      <c r="C211" s="59" t="n"/>
      <c r="E211" s="16" t="n"/>
      <c r="F211" s="13" t="n"/>
      <c r="G211" s="16" t="n"/>
      <c r="H211" s="124">
        <f>IF(G211="","",COUNTIFS($C$18:$C$2015,G$13,$D$18:$D$2015,"&gt;="&amp;G211,$D$18:$D$2015,"&lt;"&amp;G212))</f>
        <v/>
      </c>
      <c r="I211" s="14" t="n"/>
      <c r="J211" s="16" t="n"/>
      <c r="K211" s="124">
        <f>IF(J211="","",COUNTIFS($C$18:$C$2015,J$13,$D$18:$D$2015,"&gt;="&amp;J211,$D$18:$D$2015,"&lt;"&amp;J212))</f>
        <v/>
      </c>
      <c r="L211" s="14" t="n"/>
      <c r="M211" s="16" t="n"/>
      <c r="N211" s="124">
        <f>IF(M211="","",COUNTIFS($C$18:$C$2015,M$13,$D$18:$D$2015,"&gt;="&amp;M211,$D$18:$D$2015,"&lt;"&amp;M212))</f>
        <v/>
      </c>
      <c r="O211" s="14" t="n"/>
      <c r="P211" s="16" t="n"/>
      <c r="Q211" s="124">
        <f>IF(P211="","",COUNTIFS($C$18:$C$2015,P$13,$D$18:$D$2015,"&gt;="&amp;P211,$D$18:$D$2015,"&lt;"&amp;P212))</f>
        <v/>
      </c>
      <c r="R211" s="14" t="n"/>
      <c r="S211" s="16" t="n"/>
      <c r="T211" s="124">
        <f>IF(S211="","",COUNTIFS($C$18:$C$2015,S$13,$D$18:$D$2015,"&gt;="&amp;S211,$D$18:$D$2015,"&lt;"&amp;S212))</f>
        <v/>
      </c>
      <c r="U211" s="14" t="n"/>
      <c r="V211" s="16" t="n"/>
      <c r="W211" s="124">
        <f>IF(V211="","",COUNTIFS($C$18:$C$2015,V$13,$D$18:$D$2015,"&gt;="&amp;V211,$D$18:$D$2015,"&lt;"&amp;V212))</f>
        <v/>
      </c>
      <c r="X211" s="14" t="n"/>
      <c r="Y211" s="16" t="n"/>
      <c r="Z211" s="124">
        <f>IF(Y211="","",COUNTIFS($C$18:$C$2015,Y$13,$D$18:$D$2015,"&gt;="&amp;Y211,$D$18:$D$2015,"&lt;"&amp;Y212))</f>
        <v/>
      </c>
      <c r="AA211" s="14" t="n"/>
      <c r="AB211" s="16" t="n"/>
      <c r="AC211" s="124">
        <f>IF(AB211="","",COUNTIFS($C$18:$C$2015,AB$13,$D$18:$D$2015,"&gt;="&amp;AB211,$D$18:$D$2015,"&lt;"&amp;AB212))</f>
        <v/>
      </c>
      <c r="AD211" s="14" t="n"/>
    </row>
    <row r="212">
      <c r="A212" s="56" t="n"/>
      <c r="B212" s="57" t="n"/>
      <c r="C212" s="59" t="n"/>
      <c r="E212" s="16" t="n"/>
      <c r="F212" s="13" t="n"/>
      <c r="G212" s="16" t="n"/>
      <c r="H212" s="124">
        <f>IF(G212="","",COUNTIFS($C$18:$C$2015,G$13,$D$18:$D$2015,"&gt;="&amp;G212,$D$18:$D$2015,"&lt;"&amp;G213))</f>
        <v/>
      </c>
      <c r="I212" s="14" t="n"/>
      <c r="J212" s="16" t="n"/>
      <c r="K212" s="124">
        <f>IF(J212="","",COUNTIFS($C$18:$C$2015,J$13,$D$18:$D$2015,"&gt;="&amp;J212,$D$18:$D$2015,"&lt;"&amp;J213))</f>
        <v/>
      </c>
      <c r="L212" s="14" t="n"/>
      <c r="M212" s="16" t="n"/>
      <c r="N212" s="124">
        <f>IF(M212="","",COUNTIFS($C$18:$C$2015,M$13,$D$18:$D$2015,"&gt;="&amp;M212,$D$18:$D$2015,"&lt;"&amp;M213))</f>
        <v/>
      </c>
      <c r="O212" s="14" t="n"/>
      <c r="P212" s="16" t="n"/>
      <c r="Q212" s="124">
        <f>IF(P212="","",COUNTIFS($C$18:$C$2015,P$13,$D$18:$D$2015,"&gt;="&amp;P212,$D$18:$D$2015,"&lt;"&amp;P213))</f>
        <v/>
      </c>
      <c r="R212" s="14" t="n"/>
      <c r="S212" s="16" t="n"/>
      <c r="T212" s="124">
        <f>IF(S212="","",COUNTIFS($C$18:$C$2015,S$13,$D$18:$D$2015,"&gt;="&amp;S212,$D$18:$D$2015,"&lt;"&amp;S213))</f>
        <v/>
      </c>
      <c r="U212" s="14" t="n"/>
      <c r="V212" s="16" t="n"/>
      <c r="W212" s="124">
        <f>IF(V212="","",COUNTIFS($C$18:$C$2015,V$13,$D$18:$D$2015,"&gt;="&amp;V212,$D$18:$D$2015,"&lt;"&amp;V213))</f>
        <v/>
      </c>
      <c r="X212" s="14" t="n"/>
      <c r="Y212" s="16" t="n"/>
      <c r="Z212" s="124">
        <f>IF(Y212="","",COUNTIFS($C$18:$C$2015,Y$13,$D$18:$D$2015,"&gt;="&amp;Y212,$D$18:$D$2015,"&lt;"&amp;Y213))</f>
        <v/>
      </c>
      <c r="AA212" s="14" t="n"/>
      <c r="AB212" s="16" t="n"/>
      <c r="AC212" s="124">
        <f>IF(AB212="","",COUNTIFS($C$18:$C$2015,AB$13,$D$18:$D$2015,"&gt;="&amp;AB212,$D$18:$D$2015,"&lt;"&amp;AB213))</f>
        <v/>
      </c>
      <c r="AD212" s="14" t="n"/>
    </row>
    <row r="213">
      <c r="A213" s="58" t="n"/>
      <c r="B213" s="59" t="n"/>
      <c r="C213" s="59" t="n"/>
      <c r="E213" s="16" t="n"/>
      <c r="F213" s="13" t="n"/>
      <c r="G213" s="16" t="n"/>
      <c r="H213" s="124">
        <f>IF(G213="","",COUNTIFS($C$18:$C$2015,G$13,$D$18:$D$2015,"&gt;="&amp;G213,$D$18:$D$2015,"&lt;"&amp;G214))</f>
        <v/>
      </c>
      <c r="I213" s="14" t="n"/>
      <c r="J213" s="16" t="n"/>
      <c r="K213" s="124">
        <f>IF(J213="","",COUNTIFS($C$18:$C$2015,J$13,$D$18:$D$2015,"&gt;="&amp;J213,$D$18:$D$2015,"&lt;"&amp;J214))</f>
        <v/>
      </c>
      <c r="L213" s="14" t="n"/>
      <c r="M213" s="16" t="n"/>
      <c r="N213" s="124">
        <f>IF(M213="","",COUNTIFS($C$18:$C$2015,M$13,$D$18:$D$2015,"&gt;="&amp;M213,$D$18:$D$2015,"&lt;"&amp;M214))</f>
        <v/>
      </c>
      <c r="O213" s="14" t="n"/>
      <c r="P213" s="16" t="n"/>
      <c r="Q213" s="124">
        <f>IF(P213="","",COUNTIFS($C$18:$C$2015,P$13,$D$18:$D$2015,"&gt;="&amp;P213,$D$18:$D$2015,"&lt;"&amp;P214))</f>
        <v/>
      </c>
      <c r="R213" s="14" t="n"/>
      <c r="S213" s="16" t="n"/>
      <c r="T213" s="124">
        <f>IF(S213="","",COUNTIFS($C$18:$C$2015,S$13,$D$18:$D$2015,"&gt;="&amp;S213,$D$18:$D$2015,"&lt;"&amp;S214))</f>
        <v/>
      </c>
      <c r="U213" s="14" t="n"/>
      <c r="V213" s="16" t="n"/>
      <c r="W213" s="124">
        <f>IF(V213="","",COUNTIFS($C$18:$C$2015,V$13,$D$18:$D$2015,"&gt;="&amp;V213,$D$18:$D$2015,"&lt;"&amp;V214))</f>
        <v/>
      </c>
      <c r="X213" s="14" t="n"/>
      <c r="Y213" s="16" t="n"/>
      <c r="Z213" s="124">
        <f>IF(Y213="","",COUNTIFS($C$18:$C$2015,Y$13,$D$18:$D$2015,"&gt;="&amp;Y213,$D$18:$D$2015,"&lt;"&amp;Y214))</f>
        <v/>
      </c>
      <c r="AA213" s="14" t="n"/>
      <c r="AB213" s="16" t="n"/>
      <c r="AC213" s="124">
        <f>IF(AB213="","",COUNTIFS($C$18:$C$2015,AB$13,$D$18:$D$2015,"&gt;="&amp;AB213,$D$18:$D$2015,"&lt;"&amp;AB214))</f>
        <v/>
      </c>
      <c r="AD213" s="14" t="n"/>
    </row>
    <row r="214">
      <c r="A214" s="56" t="n"/>
      <c r="B214" s="57" t="n"/>
      <c r="C214" s="59" t="n"/>
      <c r="E214" s="16" t="n"/>
      <c r="F214" s="13" t="n"/>
      <c r="G214" s="16" t="n"/>
      <c r="H214" s="124">
        <f>IF(G214="","",COUNTIFS($C$18:$C$2015,G$13,$D$18:$D$2015,"&gt;="&amp;G214,$D$18:$D$2015,"&lt;"&amp;G215))</f>
        <v/>
      </c>
      <c r="I214" s="14" t="n"/>
      <c r="J214" s="16" t="n"/>
      <c r="K214" s="124">
        <f>IF(J214="","",COUNTIFS($C$18:$C$2015,J$13,$D$18:$D$2015,"&gt;="&amp;J214,$D$18:$D$2015,"&lt;"&amp;J215))</f>
        <v/>
      </c>
      <c r="L214" s="14" t="n"/>
      <c r="M214" s="16" t="n"/>
      <c r="N214" s="124">
        <f>IF(M214="","",COUNTIFS($C$18:$C$2015,M$13,$D$18:$D$2015,"&gt;="&amp;M214,$D$18:$D$2015,"&lt;"&amp;M215))</f>
        <v/>
      </c>
      <c r="O214" s="14" t="n"/>
      <c r="P214" s="16" t="n"/>
      <c r="Q214" s="124">
        <f>IF(P214="","",COUNTIFS($C$18:$C$2015,P$13,$D$18:$D$2015,"&gt;="&amp;P214,$D$18:$D$2015,"&lt;"&amp;P215))</f>
        <v/>
      </c>
      <c r="R214" s="14" t="n"/>
      <c r="S214" s="16" t="n"/>
      <c r="T214" s="124">
        <f>IF(S214="","",COUNTIFS($C$18:$C$2015,S$13,$D$18:$D$2015,"&gt;="&amp;S214,$D$18:$D$2015,"&lt;"&amp;S215))</f>
        <v/>
      </c>
      <c r="U214" s="14" t="n"/>
      <c r="V214" s="16" t="n"/>
      <c r="W214" s="124">
        <f>IF(V214="","",COUNTIFS($C$18:$C$2015,V$13,$D$18:$D$2015,"&gt;="&amp;V214,$D$18:$D$2015,"&lt;"&amp;V215))</f>
        <v/>
      </c>
      <c r="X214" s="14" t="n"/>
      <c r="Y214" s="16" t="n"/>
      <c r="Z214" s="124">
        <f>IF(Y214="","",COUNTIFS($C$18:$C$2015,Y$13,$D$18:$D$2015,"&gt;="&amp;Y214,$D$18:$D$2015,"&lt;"&amp;Y215))</f>
        <v/>
      </c>
      <c r="AA214" s="14" t="n"/>
      <c r="AB214" s="16" t="n"/>
      <c r="AC214" s="124">
        <f>IF(AB214="","",COUNTIFS($C$18:$C$2015,AB$13,$D$18:$D$2015,"&gt;="&amp;AB214,$D$18:$D$2015,"&lt;"&amp;AB215))</f>
        <v/>
      </c>
      <c r="AD214" s="14" t="n"/>
    </row>
    <row r="215">
      <c r="A215" s="58" t="n"/>
      <c r="B215" s="59" t="n"/>
      <c r="C215" s="59" t="n"/>
      <c r="E215" s="16" t="n"/>
      <c r="F215" s="13" t="n"/>
      <c r="G215" s="16" t="n"/>
      <c r="H215" s="124">
        <f>IF(G215="","",COUNTIFS($C$18:$C$2015,G$13,$D$18:$D$2015,"&gt;="&amp;G215,$D$18:$D$2015,"&lt;"&amp;G216))</f>
        <v/>
      </c>
      <c r="I215" s="14" t="n"/>
      <c r="J215" s="16" t="n"/>
      <c r="K215" s="124">
        <f>IF(J215="","",COUNTIFS($C$18:$C$2015,J$13,$D$18:$D$2015,"&gt;="&amp;J215,$D$18:$D$2015,"&lt;"&amp;J216))</f>
        <v/>
      </c>
      <c r="L215" s="14" t="n"/>
      <c r="M215" s="16" t="n"/>
      <c r="N215" s="124">
        <f>IF(M215="","",COUNTIFS($C$18:$C$2015,M$13,$D$18:$D$2015,"&gt;="&amp;M215,$D$18:$D$2015,"&lt;"&amp;M216))</f>
        <v/>
      </c>
      <c r="O215" s="14" t="n"/>
      <c r="P215" s="16" t="n"/>
      <c r="Q215" s="124">
        <f>IF(P215="","",COUNTIFS($C$18:$C$2015,P$13,$D$18:$D$2015,"&gt;="&amp;P215,$D$18:$D$2015,"&lt;"&amp;P216))</f>
        <v/>
      </c>
      <c r="R215" s="14" t="n"/>
      <c r="S215" s="16" t="n"/>
      <c r="T215" s="124">
        <f>IF(S215="","",COUNTIFS($C$18:$C$2015,S$13,$D$18:$D$2015,"&gt;="&amp;S215,$D$18:$D$2015,"&lt;"&amp;S216))</f>
        <v/>
      </c>
      <c r="U215" s="14" t="n"/>
      <c r="V215" s="16" t="n"/>
      <c r="W215" s="124">
        <f>IF(V215="","",COUNTIFS($C$18:$C$2015,V$13,$D$18:$D$2015,"&gt;="&amp;V215,$D$18:$D$2015,"&lt;"&amp;V216))</f>
        <v/>
      </c>
      <c r="X215" s="14" t="n"/>
      <c r="Y215" s="16" t="n"/>
      <c r="Z215" s="124">
        <f>IF(Y215="","",COUNTIFS($C$18:$C$2015,Y$13,$D$18:$D$2015,"&gt;="&amp;Y215,$D$18:$D$2015,"&lt;"&amp;Y216))</f>
        <v/>
      </c>
      <c r="AA215" s="14" t="n"/>
      <c r="AB215" s="16" t="n"/>
      <c r="AC215" s="124">
        <f>IF(AB215="","",COUNTIFS($C$18:$C$2015,AB$13,$D$18:$D$2015,"&gt;="&amp;AB215,$D$18:$D$2015,"&lt;"&amp;AB216))</f>
        <v/>
      </c>
      <c r="AD215" s="14" t="n"/>
    </row>
    <row r="216">
      <c r="A216" s="56" t="n"/>
      <c r="B216" s="57" t="n"/>
      <c r="C216" s="59" t="n"/>
      <c r="E216" s="16" t="n"/>
      <c r="F216" s="13" t="n"/>
      <c r="G216" s="16" t="n"/>
      <c r="H216" s="124">
        <f>IF(G216="","",COUNTIFS($C$18:$C$2015,G$13,$D$18:$D$2015,"&gt;="&amp;G216,$D$18:$D$2015,"&lt;"&amp;G217))</f>
        <v/>
      </c>
      <c r="I216" s="14" t="n"/>
      <c r="J216" s="16" t="n"/>
      <c r="K216" s="124">
        <f>IF(J216="","",COUNTIFS($C$18:$C$2015,J$13,$D$18:$D$2015,"&gt;="&amp;J216,$D$18:$D$2015,"&lt;"&amp;J217))</f>
        <v/>
      </c>
      <c r="L216" s="14" t="n"/>
      <c r="M216" s="16" t="n"/>
      <c r="N216" s="124">
        <f>IF(M216="","",COUNTIFS($C$18:$C$2015,M$13,$D$18:$D$2015,"&gt;="&amp;M216,$D$18:$D$2015,"&lt;"&amp;M217))</f>
        <v/>
      </c>
      <c r="O216" s="14" t="n"/>
      <c r="P216" s="16" t="n"/>
      <c r="Q216" s="124">
        <f>IF(P216="","",COUNTIFS($C$18:$C$2015,P$13,$D$18:$D$2015,"&gt;="&amp;P216,$D$18:$D$2015,"&lt;"&amp;P217))</f>
        <v/>
      </c>
      <c r="R216" s="14" t="n"/>
      <c r="S216" s="16" t="n"/>
      <c r="T216" s="124">
        <f>IF(S216="","",COUNTIFS($C$18:$C$2015,S$13,$D$18:$D$2015,"&gt;="&amp;S216,$D$18:$D$2015,"&lt;"&amp;S217))</f>
        <v/>
      </c>
      <c r="U216" s="14" t="n"/>
      <c r="V216" s="16" t="n"/>
      <c r="W216" s="124">
        <f>IF(V216="","",COUNTIFS($C$18:$C$2015,V$13,$D$18:$D$2015,"&gt;="&amp;V216,$D$18:$D$2015,"&lt;"&amp;V217))</f>
        <v/>
      </c>
      <c r="X216" s="14" t="n"/>
      <c r="Y216" s="16" t="n"/>
      <c r="Z216" s="124">
        <f>IF(Y216="","",COUNTIFS($C$18:$C$2015,Y$13,$D$18:$D$2015,"&gt;="&amp;Y216,$D$18:$D$2015,"&lt;"&amp;Y217))</f>
        <v/>
      </c>
      <c r="AA216" s="14" t="n"/>
      <c r="AB216" s="16" t="n"/>
      <c r="AC216" s="124">
        <f>IF(AB216="","",COUNTIFS($C$18:$C$2015,AB$13,$D$18:$D$2015,"&gt;="&amp;AB216,$D$18:$D$2015,"&lt;"&amp;AB217))</f>
        <v/>
      </c>
      <c r="AD216" s="14" t="n"/>
    </row>
    <row r="217">
      <c r="A217" s="58" t="n"/>
      <c r="B217" s="59" t="n"/>
      <c r="C217" s="59" t="n"/>
      <c r="E217" s="16" t="n"/>
      <c r="F217" s="13" t="n"/>
      <c r="G217" s="16" t="n"/>
      <c r="H217" s="124">
        <f>IF(G217="","",COUNTIFS($C$18:$C$2015,G$13,$D$18:$D$2015,"&gt;="&amp;G217,$D$18:$D$2015,"&lt;"&amp;G218))</f>
        <v/>
      </c>
      <c r="I217" s="14" t="n"/>
      <c r="J217" s="16" t="n"/>
      <c r="K217" s="124">
        <f>IF(J217="","",COUNTIFS($C$18:$C$2015,J$13,$D$18:$D$2015,"&gt;="&amp;J217,$D$18:$D$2015,"&lt;"&amp;J218))</f>
        <v/>
      </c>
      <c r="L217" s="14" t="n"/>
      <c r="M217" s="16" t="n"/>
      <c r="N217" s="124">
        <f>IF(M217="","",COUNTIFS($C$18:$C$2015,M$13,$D$18:$D$2015,"&gt;="&amp;M217,$D$18:$D$2015,"&lt;"&amp;M218))</f>
        <v/>
      </c>
      <c r="O217" s="14" t="n"/>
      <c r="P217" s="16" t="n"/>
      <c r="Q217" s="124">
        <f>IF(P217="","",COUNTIFS($C$18:$C$2015,P$13,$D$18:$D$2015,"&gt;="&amp;P217,$D$18:$D$2015,"&lt;"&amp;P218))</f>
        <v/>
      </c>
      <c r="R217" s="14" t="n"/>
      <c r="S217" s="16" t="n"/>
      <c r="T217" s="124">
        <f>IF(S217="","",COUNTIFS($C$18:$C$2015,S$13,$D$18:$D$2015,"&gt;="&amp;S217,$D$18:$D$2015,"&lt;"&amp;S218))</f>
        <v/>
      </c>
      <c r="U217" s="14" t="n"/>
      <c r="V217" s="16" t="n"/>
      <c r="W217" s="124">
        <f>IF(V217="","",COUNTIFS($C$18:$C$2015,V$13,$D$18:$D$2015,"&gt;="&amp;V217,$D$18:$D$2015,"&lt;"&amp;V218))</f>
        <v/>
      </c>
      <c r="X217" s="14" t="n"/>
      <c r="Y217" s="16" t="n"/>
      <c r="Z217" s="124">
        <f>IF(Y217="","",COUNTIFS($C$18:$C$2015,Y$13,$D$18:$D$2015,"&gt;="&amp;Y217,$D$18:$D$2015,"&lt;"&amp;Y218))</f>
        <v/>
      </c>
      <c r="AA217" s="14" t="n"/>
      <c r="AB217" s="16" t="n"/>
      <c r="AC217" s="124">
        <f>IF(AB217="","",COUNTIFS($C$18:$C$2015,AB$13,$D$18:$D$2015,"&gt;="&amp;AB217,$D$18:$D$2015,"&lt;"&amp;AB218))</f>
        <v/>
      </c>
      <c r="AD217" s="14" t="n"/>
    </row>
    <row r="218">
      <c r="A218" s="56" t="n"/>
      <c r="B218" s="57" t="n"/>
      <c r="C218" s="59" t="n"/>
      <c r="E218" s="16" t="n"/>
      <c r="F218" s="13" t="n"/>
      <c r="G218" s="16" t="n"/>
      <c r="H218" s="124">
        <f>IF(G218="","",COUNTIFS($C$18:$C$2015,G$13,$D$18:$D$2015,"&gt;="&amp;G218,$D$18:$D$2015,"&lt;"&amp;G219))</f>
        <v/>
      </c>
      <c r="I218" s="14" t="n"/>
      <c r="J218" s="16" t="n"/>
      <c r="K218" s="124">
        <f>IF(J218="","",COUNTIFS($C$18:$C$2015,J$13,$D$18:$D$2015,"&gt;="&amp;J218,$D$18:$D$2015,"&lt;"&amp;J219))</f>
        <v/>
      </c>
      <c r="L218" s="14" t="n"/>
      <c r="M218" s="16" t="n"/>
      <c r="N218" s="124">
        <f>IF(M218="","",COUNTIFS($C$18:$C$2015,M$13,$D$18:$D$2015,"&gt;="&amp;M218,$D$18:$D$2015,"&lt;"&amp;M219))</f>
        <v/>
      </c>
      <c r="O218" s="14" t="n"/>
      <c r="P218" s="16" t="n"/>
      <c r="Q218" s="124">
        <f>IF(P218="","",COUNTIFS($C$18:$C$2015,P$13,$D$18:$D$2015,"&gt;="&amp;P218,$D$18:$D$2015,"&lt;"&amp;P219))</f>
        <v/>
      </c>
      <c r="R218" s="14" t="n"/>
      <c r="S218" s="16" t="n"/>
      <c r="T218" s="124">
        <f>IF(S218="","",COUNTIFS($C$18:$C$2015,S$13,$D$18:$D$2015,"&gt;="&amp;S218,$D$18:$D$2015,"&lt;"&amp;S219))</f>
        <v/>
      </c>
      <c r="U218" s="14" t="n"/>
      <c r="V218" s="16" t="n"/>
      <c r="W218" s="124">
        <f>IF(V218="","",COUNTIFS($C$18:$C$2015,V$13,$D$18:$D$2015,"&gt;="&amp;V218,$D$18:$D$2015,"&lt;"&amp;V219))</f>
        <v/>
      </c>
      <c r="X218" s="14" t="n"/>
      <c r="Y218" s="16" t="n"/>
      <c r="Z218" s="124">
        <f>IF(Y218="","",COUNTIFS($C$18:$C$2015,Y$13,$D$18:$D$2015,"&gt;="&amp;Y218,$D$18:$D$2015,"&lt;"&amp;Y219))</f>
        <v/>
      </c>
      <c r="AA218" s="14" t="n"/>
      <c r="AB218" s="16" t="n"/>
      <c r="AC218" s="124">
        <f>IF(AB218="","",COUNTIFS($C$18:$C$2015,AB$13,$D$18:$D$2015,"&gt;="&amp;AB218,$D$18:$D$2015,"&lt;"&amp;AB219))</f>
        <v/>
      </c>
      <c r="AD218" s="14" t="n"/>
    </row>
    <row r="219">
      <c r="A219" s="58" t="n"/>
      <c r="B219" s="59" t="n"/>
      <c r="C219" s="59" t="n"/>
      <c r="E219" s="16" t="n"/>
      <c r="F219" s="13" t="n"/>
      <c r="G219" s="16" t="n"/>
      <c r="H219" s="124">
        <f>IF(G219="","",COUNTIFS($C$18:$C$2015,G$13,$D$18:$D$2015,"&gt;="&amp;G219,$D$18:$D$2015,"&lt;"&amp;G220))</f>
        <v/>
      </c>
      <c r="I219" s="14" t="n"/>
      <c r="J219" s="16" t="n"/>
      <c r="K219" s="124">
        <f>IF(J219="","",COUNTIFS($C$18:$C$2015,J$13,$D$18:$D$2015,"&gt;="&amp;J219,$D$18:$D$2015,"&lt;"&amp;J220))</f>
        <v/>
      </c>
      <c r="L219" s="14" t="n"/>
      <c r="M219" s="16" t="n"/>
      <c r="N219" s="124">
        <f>IF(M219="","",COUNTIFS($C$18:$C$2015,M$13,$D$18:$D$2015,"&gt;="&amp;M219,$D$18:$D$2015,"&lt;"&amp;M220))</f>
        <v/>
      </c>
      <c r="O219" s="14" t="n"/>
      <c r="P219" s="16" t="n"/>
      <c r="Q219" s="124">
        <f>IF(P219="","",COUNTIFS($C$18:$C$2015,P$13,$D$18:$D$2015,"&gt;="&amp;P219,$D$18:$D$2015,"&lt;"&amp;P220))</f>
        <v/>
      </c>
      <c r="R219" s="14" t="n"/>
      <c r="S219" s="16" t="n"/>
      <c r="T219" s="124">
        <f>IF(S219="","",COUNTIFS($C$18:$C$2015,S$13,$D$18:$D$2015,"&gt;="&amp;S219,$D$18:$D$2015,"&lt;"&amp;S220))</f>
        <v/>
      </c>
      <c r="U219" s="14" t="n"/>
      <c r="V219" s="16" t="n"/>
      <c r="W219" s="124">
        <f>IF(V219="","",COUNTIFS($C$18:$C$2015,V$13,$D$18:$D$2015,"&gt;="&amp;V219,$D$18:$D$2015,"&lt;"&amp;V220))</f>
        <v/>
      </c>
      <c r="X219" s="14" t="n"/>
      <c r="Y219" s="16" t="n"/>
      <c r="Z219" s="124">
        <f>IF(Y219="","",COUNTIFS($C$18:$C$2015,Y$13,$D$18:$D$2015,"&gt;="&amp;Y219,$D$18:$D$2015,"&lt;"&amp;Y220))</f>
        <v/>
      </c>
      <c r="AA219" s="14" t="n"/>
      <c r="AB219" s="16" t="n"/>
      <c r="AC219" s="124">
        <f>IF(AB219="","",COUNTIFS($C$18:$C$2015,AB$13,$D$18:$D$2015,"&gt;="&amp;AB219,$D$18:$D$2015,"&lt;"&amp;AB220))</f>
        <v/>
      </c>
      <c r="AD219" s="14" t="n"/>
    </row>
    <row r="220">
      <c r="A220" s="56" t="n"/>
      <c r="B220" s="57" t="n"/>
      <c r="C220" s="59" t="n"/>
      <c r="E220" s="16" t="n"/>
      <c r="F220" s="13" t="n"/>
      <c r="G220" s="16" t="n"/>
      <c r="H220" s="124">
        <f>IF(G220="","",COUNTIFS($C$18:$C$2015,G$13,$D$18:$D$2015,"&gt;="&amp;G220,$D$18:$D$2015,"&lt;"&amp;G221))</f>
        <v/>
      </c>
      <c r="I220" s="14" t="n"/>
      <c r="J220" s="16" t="n"/>
      <c r="K220" s="124">
        <f>IF(J220="","",COUNTIFS($C$18:$C$2015,J$13,$D$18:$D$2015,"&gt;="&amp;J220,$D$18:$D$2015,"&lt;"&amp;J221))</f>
        <v/>
      </c>
      <c r="L220" s="14" t="n"/>
      <c r="M220" s="16" t="n"/>
      <c r="N220" s="124">
        <f>IF(M220="","",COUNTIFS($C$18:$C$2015,M$13,$D$18:$D$2015,"&gt;="&amp;M220,$D$18:$D$2015,"&lt;"&amp;M221))</f>
        <v/>
      </c>
      <c r="O220" s="14" t="n"/>
      <c r="P220" s="16" t="n"/>
      <c r="Q220" s="124">
        <f>IF(P220="","",COUNTIFS($C$18:$C$2015,P$13,$D$18:$D$2015,"&gt;="&amp;P220,$D$18:$D$2015,"&lt;"&amp;P221))</f>
        <v/>
      </c>
      <c r="R220" s="14" t="n"/>
      <c r="S220" s="16" t="n"/>
      <c r="T220" s="124">
        <f>IF(S220="","",COUNTIFS($C$18:$C$2015,S$13,$D$18:$D$2015,"&gt;="&amp;S220,$D$18:$D$2015,"&lt;"&amp;S221))</f>
        <v/>
      </c>
      <c r="U220" s="14" t="n"/>
      <c r="V220" s="16" t="n"/>
      <c r="W220" s="124">
        <f>IF(V220="","",COUNTIFS($C$18:$C$2015,V$13,$D$18:$D$2015,"&gt;="&amp;V220,$D$18:$D$2015,"&lt;"&amp;V221))</f>
        <v/>
      </c>
      <c r="X220" s="14" t="n"/>
      <c r="Y220" s="16" t="n"/>
      <c r="Z220" s="124">
        <f>IF(Y220="","",COUNTIFS($C$18:$C$2015,Y$13,$D$18:$D$2015,"&gt;="&amp;Y220,$D$18:$D$2015,"&lt;"&amp;Y221))</f>
        <v/>
      </c>
      <c r="AA220" s="14" t="n"/>
      <c r="AB220" s="16" t="n"/>
      <c r="AC220" s="124">
        <f>IF(AB220="","",COUNTIFS($C$18:$C$2015,AB$13,$D$18:$D$2015,"&gt;="&amp;AB220,$D$18:$D$2015,"&lt;"&amp;AB221))</f>
        <v/>
      </c>
      <c r="AD220" s="14" t="n"/>
    </row>
    <row r="221">
      <c r="A221" s="58" t="n"/>
      <c r="B221" s="59" t="n"/>
      <c r="C221" s="59" t="n"/>
      <c r="E221" s="16" t="n"/>
      <c r="F221" s="13" t="n"/>
      <c r="G221" s="16" t="n"/>
      <c r="H221" s="124">
        <f>IF(G221="","",COUNTIFS($C$18:$C$2015,G$13,$D$18:$D$2015,"&gt;="&amp;G221,$D$18:$D$2015,"&lt;"&amp;G222))</f>
        <v/>
      </c>
      <c r="I221" s="14" t="n"/>
      <c r="J221" s="16" t="n"/>
      <c r="K221" s="124">
        <f>IF(J221="","",COUNTIFS($C$18:$C$2015,J$13,$D$18:$D$2015,"&gt;="&amp;J221,$D$18:$D$2015,"&lt;"&amp;J222))</f>
        <v/>
      </c>
      <c r="L221" s="14" t="n"/>
      <c r="M221" s="16" t="n"/>
      <c r="N221" s="124">
        <f>IF(M221="","",COUNTIFS($C$18:$C$2015,M$13,$D$18:$D$2015,"&gt;="&amp;M221,$D$18:$D$2015,"&lt;"&amp;M222))</f>
        <v/>
      </c>
      <c r="O221" s="14" t="n"/>
      <c r="P221" s="16" t="n"/>
      <c r="Q221" s="124">
        <f>IF(P221="","",COUNTIFS($C$18:$C$2015,P$13,$D$18:$D$2015,"&gt;="&amp;P221,$D$18:$D$2015,"&lt;"&amp;P222))</f>
        <v/>
      </c>
      <c r="R221" s="14" t="n"/>
      <c r="S221" s="16" t="n"/>
      <c r="T221" s="124">
        <f>IF(S221="","",COUNTIFS($C$18:$C$2015,S$13,$D$18:$D$2015,"&gt;="&amp;S221,$D$18:$D$2015,"&lt;"&amp;S222))</f>
        <v/>
      </c>
      <c r="U221" s="14" t="n"/>
      <c r="V221" s="16" t="n"/>
      <c r="W221" s="124">
        <f>IF(V221="","",COUNTIFS($C$18:$C$2015,V$13,$D$18:$D$2015,"&gt;="&amp;V221,$D$18:$D$2015,"&lt;"&amp;V222))</f>
        <v/>
      </c>
      <c r="X221" s="14" t="n"/>
      <c r="Y221" s="16" t="n"/>
      <c r="Z221" s="124">
        <f>IF(Y221="","",COUNTIFS($C$18:$C$2015,Y$13,$D$18:$D$2015,"&gt;="&amp;Y221,$D$18:$D$2015,"&lt;"&amp;Y222))</f>
        <v/>
      </c>
      <c r="AA221" s="14" t="n"/>
      <c r="AB221" s="16" t="n"/>
      <c r="AC221" s="124">
        <f>IF(AB221="","",COUNTIFS($C$18:$C$2015,AB$13,$D$18:$D$2015,"&gt;="&amp;AB221,$D$18:$D$2015,"&lt;"&amp;AB222))</f>
        <v/>
      </c>
      <c r="AD221" s="14" t="n"/>
    </row>
    <row r="222">
      <c r="A222" s="56" t="n"/>
      <c r="B222" s="57" t="n"/>
      <c r="C222" s="59" t="n"/>
      <c r="E222" s="16" t="n"/>
      <c r="F222" s="13" t="n"/>
      <c r="G222" s="16" t="n"/>
      <c r="H222" s="124">
        <f>IF(G222="","",COUNTIFS($C$18:$C$2015,G$13,$D$18:$D$2015,"&gt;="&amp;G222,$D$18:$D$2015,"&lt;"&amp;G223))</f>
        <v/>
      </c>
      <c r="I222" s="14" t="n"/>
      <c r="J222" s="16" t="n"/>
      <c r="K222" s="124">
        <f>IF(J222="","",COUNTIFS($C$18:$C$2015,J$13,$D$18:$D$2015,"&gt;="&amp;J222,$D$18:$D$2015,"&lt;"&amp;J223))</f>
        <v/>
      </c>
      <c r="L222" s="14" t="n"/>
      <c r="M222" s="16" t="n"/>
      <c r="N222" s="124">
        <f>IF(M222="","",COUNTIFS($C$18:$C$2015,M$13,$D$18:$D$2015,"&gt;="&amp;M222,$D$18:$D$2015,"&lt;"&amp;M223))</f>
        <v/>
      </c>
      <c r="O222" s="14" t="n"/>
      <c r="P222" s="16" t="n"/>
      <c r="Q222" s="124">
        <f>IF(P222="","",COUNTIFS($C$18:$C$2015,P$13,$D$18:$D$2015,"&gt;="&amp;P222,$D$18:$D$2015,"&lt;"&amp;P223))</f>
        <v/>
      </c>
      <c r="R222" s="14" t="n"/>
      <c r="S222" s="16" t="n"/>
      <c r="T222" s="124">
        <f>IF(S222="","",COUNTIFS($C$18:$C$2015,S$13,$D$18:$D$2015,"&gt;="&amp;S222,$D$18:$D$2015,"&lt;"&amp;S223))</f>
        <v/>
      </c>
      <c r="U222" s="14" t="n"/>
      <c r="V222" s="16" t="n"/>
      <c r="W222" s="124">
        <f>IF(V222="","",COUNTIFS($C$18:$C$2015,V$13,$D$18:$D$2015,"&gt;="&amp;V222,$D$18:$D$2015,"&lt;"&amp;V223))</f>
        <v/>
      </c>
      <c r="X222" s="14" t="n"/>
      <c r="Y222" s="16" t="n"/>
      <c r="Z222" s="124">
        <f>IF(Y222="","",COUNTIFS($C$18:$C$2015,Y$13,$D$18:$D$2015,"&gt;="&amp;Y222,$D$18:$D$2015,"&lt;"&amp;Y223))</f>
        <v/>
      </c>
      <c r="AA222" s="14" t="n"/>
      <c r="AB222" s="16" t="n"/>
      <c r="AC222" s="124">
        <f>IF(AB222="","",COUNTIFS($C$18:$C$2015,AB$13,$D$18:$D$2015,"&gt;="&amp;AB222,$D$18:$D$2015,"&lt;"&amp;AB223))</f>
        <v/>
      </c>
      <c r="AD222" s="14" t="n"/>
    </row>
    <row r="223">
      <c r="A223" s="58" t="n"/>
      <c r="B223" s="59" t="n"/>
      <c r="C223" s="59" t="n"/>
      <c r="E223" s="16" t="n"/>
      <c r="F223" s="13" t="n"/>
      <c r="G223" s="16" t="n"/>
      <c r="H223" s="124">
        <f>IF(G223="","",COUNTIFS($C$18:$C$2015,G$13,$D$18:$D$2015,"&gt;="&amp;G223,$D$18:$D$2015,"&lt;"&amp;G224))</f>
        <v/>
      </c>
      <c r="I223" s="14" t="n"/>
      <c r="J223" s="16" t="n"/>
      <c r="K223" s="124">
        <f>IF(J223="","",COUNTIFS($C$18:$C$2015,J$13,$D$18:$D$2015,"&gt;="&amp;J223,$D$18:$D$2015,"&lt;"&amp;J224))</f>
        <v/>
      </c>
      <c r="L223" s="14" t="n"/>
      <c r="M223" s="16" t="n"/>
      <c r="N223" s="124">
        <f>IF(M223="","",COUNTIFS($C$18:$C$2015,M$13,$D$18:$D$2015,"&gt;="&amp;M223,$D$18:$D$2015,"&lt;"&amp;M224))</f>
        <v/>
      </c>
      <c r="O223" s="14" t="n"/>
      <c r="P223" s="16" t="n"/>
      <c r="Q223" s="124">
        <f>IF(P223="","",COUNTIFS($C$18:$C$2015,P$13,$D$18:$D$2015,"&gt;="&amp;P223,$D$18:$D$2015,"&lt;"&amp;P224))</f>
        <v/>
      </c>
      <c r="R223" s="14" t="n"/>
      <c r="S223" s="16" t="n"/>
      <c r="T223" s="124">
        <f>IF(S223="","",COUNTIFS($C$18:$C$2015,S$13,$D$18:$D$2015,"&gt;="&amp;S223,$D$18:$D$2015,"&lt;"&amp;S224))</f>
        <v/>
      </c>
      <c r="U223" s="14" t="n"/>
      <c r="V223" s="16" t="n"/>
      <c r="W223" s="124">
        <f>IF(V223="","",COUNTIFS($C$18:$C$2015,V$13,$D$18:$D$2015,"&gt;="&amp;V223,$D$18:$D$2015,"&lt;"&amp;V224))</f>
        <v/>
      </c>
      <c r="X223" s="14" t="n"/>
      <c r="Y223" s="16" t="n"/>
      <c r="Z223" s="124">
        <f>IF(Y223="","",COUNTIFS($C$18:$C$2015,Y$13,$D$18:$D$2015,"&gt;="&amp;Y223,$D$18:$D$2015,"&lt;"&amp;Y224))</f>
        <v/>
      </c>
      <c r="AA223" s="14" t="n"/>
      <c r="AB223" s="16" t="n"/>
      <c r="AC223" s="124">
        <f>IF(AB223="","",COUNTIFS($C$18:$C$2015,AB$13,$D$18:$D$2015,"&gt;="&amp;AB223,$D$18:$D$2015,"&lt;"&amp;AB224))</f>
        <v/>
      </c>
      <c r="AD223" s="14" t="n"/>
    </row>
    <row r="224">
      <c r="A224" s="56" t="n"/>
      <c r="B224" s="57" t="n"/>
      <c r="C224" s="59" t="n"/>
      <c r="E224" s="16" t="n"/>
      <c r="F224" s="13" t="n"/>
      <c r="G224" s="16" t="n"/>
      <c r="H224" s="124">
        <f>IF(G224="","",COUNTIFS($C$18:$C$2015,G$13,$D$18:$D$2015,"&gt;="&amp;G224,$D$18:$D$2015,"&lt;"&amp;G225))</f>
        <v/>
      </c>
      <c r="I224" s="14" t="n"/>
      <c r="J224" s="16" t="n"/>
      <c r="K224" s="124">
        <f>IF(J224="","",COUNTIFS($C$18:$C$2015,J$13,$D$18:$D$2015,"&gt;="&amp;J224,$D$18:$D$2015,"&lt;"&amp;J225))</f>
        <v/>
      </c>
      <c r="L224" s="14" t="n"/>
      <c r="M224" s="16" t="n"/>
      <c r="N224" s="124">
        <f>IF(M224="","",COUNTIFS($C$18:$C$2015,M$13,$D$18:$D$2015,"&gt;="&amp;M224,$D$18:$D$2015,"&lt;"&amp;M225))</f>
        <v/>
      </c>
      <c r="O224" s="14" t="n"/>
      <c r="P224" s="16" t="n"/>
      <c r="Q224" s="124">
        <f>IF(P224="","",COUNTIFS($C$18:$C$2015,P$13,$D$18:$D$2015,"&gt;="&amp;P224,$D$18:$D$2015,"&lt;"&amp;P225))</f>
        <v/>
      </c>
      <c r="R224" s="14" t="n"/>
      <c r="S224" s="16" t="n"/>
      <c r="T224" s="124">
        <f>IF(S224="","",COUNTIFS($C$18:$C$2015,S$13,$D$18:$D$2015,"&gt;="&amp;S224,$D$18:$D$2015,"&lt;"&amp;S225))</f>
        <v/>
      </c>
      <c r="U224" s="14" t="n"/>
      <c r="V224" s="16" t="n"/>
      <c r="W224" s="124">
        <f>IF(V224="","",COUNTIFS($C$18:$C$2015,V$13,$D$18:$D$2015,"&gt;="&amp;V224,$D$18:$D$2015,"&lt;"&amp;V225))</f>
        <v/>
      </c>
      <c r="X224" s="14" t="n"/>
      <c r="Y224" s="16" t="n"/>
      <c r="Z224" s="124">
        <f>IF(Y224="","",COUNTIFS($C$18:$C$2015,Y$13,$D$18:$D$2015,"&gt;="&amp;Y224,$D$18:$D$2015,"&lt;"&amp;Y225))</f>
        <v/>
      </c>
      <c r="AA224" s="14" t="n"/>
      <c r="AB224" s="16" t="n"/>
      <c r="AC224" s="124">
        <f>IF(AB224="","",COUNTIFS($C$18:$C$2015,AB$13,$D$18:$D$2015,"&gt;="&amp;AB224,$D$18:$D$2015,"&lt;"&amp;AB225))</f>
        <v/>
      </c>
      <c r="AD224" s="14" t="n"/>
    </row>
    <row r="225">
      <c r="A225" s="58" t="n"/>
      <c r="B225" s="59" t="n"/>
      <c r="C225" s="59" t="n"/>
      <c r="E225" s="16" t="n"/>
      <c r="F225" s="13" t="n"/>
      <c r="G225" s="16" t="n"/>
      <c r="H225" s="124">
        <f>IF(G225="","",COUNTIFS($C$18:$C$2015,G$13,$D$18:$D$2015,"&gt;="&amp;G225,$D$18:$D$2015,"&lt;"&amp;G226))</f>
        <v/>
      </c>
      <c r="I225" s="14" t="n"/>
      <c r="J225" s="16" t="n"/>
      <c r="K225" s="124">
        <f>IF(J225="","",COUNTIFS($C$18:$C$2015,J$13,$D$18:$D$2015,"&gt;="&amp;J225,$D$18:$D$2015,"&lt;"&amp;J226))</f>
        <v/>
      </c>
      <c r="L225" s="14" t="n"/>
      <c r="M225" s="16" t="n"/>
      <c r="N225" s="124">
        <f>IF(M225="","",COUNTIFS($C$18:$C$2015,M$13,$D$18:$D$2015,"&gt;="&amp;M225,$D$18:$D$2015,"&lt;"&amp;M226))</f>
        <v/>
      </c>
      <c r="O225" s="14" t="n"/>
      <c r="P225" s="16" t="n"/>
      <c r="Q225" s="124">
        <f>IF(P225="","",COUNTIFS($C$18:$C$2015,P$13,$D$18:$D$2015,"&gt;="&amp;P225,$D$18:$D$2015,"&lt;"&amp;P226))</f>
        <v/>
      </c>
      <c r="R225" s="14" t="n"/>
      <c r="S225" s="16" t="n"/>
      <c r="T225" s="124">
        <f>IF(S225="","",COUNTIFS($C$18:$C$2015,S$13,$D$18:$D$2015,"&gt;="&amp;S225,$D$18:$D$2015,"&lt;"&amp;S226))</f>
        <v/>
      </c>
      <c r="U225" s="14" t="n"/>
      <c r="V225" s="16" t="n"/>
      <c r="W225" s="124">
        <f>IF(V225="","",COUNTIFS($C$18:$C$2015,V$13,$D$18:$D$2015,"&gt;="&amp;V225,$D$18:$D$2015,"&lt;"&amp;V226))</f>
        <v/>
      </c>
      <c r="X225" s="14" t="n"/>
      <c r="Y225" s="16" t="n"/>
      <c r="Z225" s="124">
        <f>IF(Y225="","",COUNTIFS($C$18:$C$2015,Y$13,$D$18:$D$2015,"&gt;="&amp;Y225,$D$18:$D$2015,"&lt;"&amp;Y226))</f>
        <v/>
      </c>
      <c r="AA225" s="14" t="n"/>
      <c r="AB225" s="16" t="n"/>
      <c r="AC225" s="124">
        <f>IF(AB225="","",COUNTIFS($C$18:$C$2015,AB$13,$D$18:$D$2015,"&gt;="&amp;AB225,$D$18:$D$2015,"&lt;"&amp;AB226))</f>
        <v/>
      </c>
      <c r="AD225" s="14" t="n"/>
    </row>
    <row r="226">
      <c r="A226" s="56" t="n"/>
      <c r="B226" s="57" t="n"/>
      <c r="C226" s="59" t="n"/>
      <c r="E226" s="16" t="n"/>
      <c r="F226" s="13" t="n"/>
      <c r="G226" s="16" t="n"/>
      <c r="H226" s="124">
        <f>IF(G226="","",COUNTIFS($C$18:$C$2015,G$13,$D$18:$D$2015,"&gt;="&amp;G226,$D$18:$D$2015,"&lt;"&amp;G227))</f>
        <v/>
      </c>
      <c r="I226" s="14" t="n"/>
      <c r="J226" s="16" t="n"/>
      <c r="K226" s="124">
        <f>IF(J226="","",COUNTIFS($C$18:$C$2015,J$13,$D$18:$D$2015,"&gt;="&amp;J226,$D$18:$D$2015,"&lt;"&amp;J227))</f>
        <v/>
      </c>
      <c r="L226" s="14" t="n"/>
      <c r="M226" s="16" t="n"/>
      <c r="N226" s="124">
        <f>IF(M226="","",COUNTIFS($C$18:$C$2015,M$13,$D$18:$D$2015,"&gt;="&amp;M226,$D$18:$D$2015,"&lt;"&amp;M227))</f>
        <v/>
      </c>
      <c r="O226" s="14" t="n"/>
      <c r="P226" s="16" t="n"/>
      <c r="Q226" s="124">
        <f>IF(P226="","",COUNTIFS($C$18:$C$2015,P$13,$D$18:$D$2015,"&gt;="&amp;P226,$D$18:$D$2015,"&lt;"&amp;P227))</f>
        <v/>
      </c>
      <c r="R226" s="14" t="n"/>
      <c r="S226" s="16" t="n"/>
      <c r="T226" s="124">
        <f>IF(S226="","",COUNTIFS($C$18:$C$2015,S$13,$D$18:$D$2015,"&gt;="&amp;S226,$D$18:$D$2015,"&lt;"&amp;S227))</f>
        <v/>
      </c>
      <c r="U226" s="14" t="n"/>
      <c r="V226" s="16" t="n"/>
      <c r="W226" s="124">
        <f>IF(V226="","",COUNTIFS($C$18:$C$2015,V$13,$D$18:$D$2015,"&gt;="&amp;V226,$D$18:$D$2015,"&lt;"&amp;V227))</f>
        <v/>
      </c>
      <c r="X226" s="14" t="n"/>
      <c r="Y226" s="16" t="n"/>
      <c r="Z226" s="124">
        <f>IF(Y226="","",COUNTIFS($C$18:$C$2015,Y$13,$D$18:$D$2015,"&gt;="&amp;Y226,$D$18:$D$2015,"&lt;"&amp;Y227))</f>
        <v/>
      </c>
      <c r="AA226" s="14" t="n"/>
      <c r="AB226" s="16" t="n"/>
      <c r="AC226" s="124">
        <f>IF(AB226="","",COUNTIFS($C$18:$C$2015,AB$13,$D$18:$D$2015,"&gt;="&amp;AB226,$D$18:$D$2015,"&lt;"&amp;AB227))</f>
        <v/>
      </c>
      <c r="AD226" s="14" t="n"/>
    </row>
    <row r="227">
      <c r="A227" s="58" t="n"/>
      <c r="B227" s="59" t="n"/>
      <c r="C227" s="59" t="n"/>
      <c r="E227" s="16" t="n"/>
      <c r="F227" s="13" t="n"/>
      <c r="G227" s="16" t="n"/>
      <c r="H227" s="124">
        <f>IF(G227="","",COUNTIFS($C$18:$C$2015,G$13,$D$18:$D$2015,"&gt;="&amp;G227,$D$18:$D$2015,"&lt;"&amp;G228))</f>
        <v/>
      </c>
      <c r="I227" s="14" t="n"/>
      <c r="J227" s="16" t="n"/>
      <c r="K227" s="124">
        <f>IF(J227="","",COUNTIFS($C$18:$C$2015,J$13,$D$18:$D$2015,"&gt;="&amp;J227,$D$18:$D$2015,"&lt;"&amp;J228))</f>
        <v/>
      </c>
      <c r="L227" s="14" t="n"/>
      <c r="M227" s="16" t="n"/>
      <c r="N227" s="124">
        <f>IF(M227="","",COUNTIFS($C$18:$C$2015,M$13,$D$18:$D$2015,"&gt;="&amp;M227,$D$18:$D$2015,"&lt;"&amp;M228))</f>
        <v/>
      </c>
      <c r="O227" s="14" t="n"/>
      <c r="P227" s="16" t="n"/>
      <c r="Q227" s="124">
        <f>IF(P227="","",COUNTIFS($C$18:$C$2015,P$13,$D$18:$D$2015,"&gt;="&amp;P227,$D$18:$D$2015,"&lt;"&amp;P228))</f>
        <v/>
      </c>
      <c r="R227" s="14" t="n"/>
      <c r="S227" s="16" t="n"/>
      <c r="T227" s="124">
        <f>IF(S227="","",COUNTIFS($C$18:$C$2015,S$13,$D$18:$D$2015,"&gt;="&amp;S227,$D$18:$D$2015,"&lt;"&amp;S228))</f>
        <v/>
      </c>
      <c r="U227" s="14" t="n"/>
      <c r="V227" s="16" t="n"/>
      <c r="W227" s="124">
        <f>IF(V227="","",COUNTIFS($C$18:$C$2015,V$13,$D$18:$D$2015,"&gt;="&amp;V227,$D$18:$D$2015,"&lt;"&amp;V228))</f>
        <v/>
      </c>
      <c r="X227" s="14" t="n"/>
      <c r="Y227" s="16" t="n"/>
      <c r="Z227" s="124">
        <f>IF(Y227="","",COUNTIFS($C$18:$C$2015,Y$13,$D$18:$D$2015,"&gt;="&amp;Y227,$D$18:$D$2015,"&lt;"&amp;Y228))</f>
        <v/>
      </c>
      <c r="AA227" s="14" t="n"/>
      <c r="AB227" s="16" t="n"/>
      <c r="AC227" s="124">
        <f>IF(AB227="","",COUNTIFS($C$18:$C$2015,AB$13,$D$18:$D$2015,"&gt;="&amp;AB227,$D$18:$D$2015,"&lt;"&amp;AB228))</f>
        <v/>
      </c>
      <c r="AD227" s="14" t="n"/>
    </row>
    <row r="228">
      <c r="A228" s="56" t="n"/>
      <c r="B228" s="57" t="n"/>
      <c r="C228" s="59" t="n"/>
      <c r="E228" s="16" t="n"/>
      <c r="F228" s="13" t="n"/>
      <c r="G228" s="16" t="n"/>
      <c r="H228" s="124">
        <f>IF(G228="","",COUNTIFS($C$18:$C$2015,G$13,$D$18:$D$2015,"&gt;="&amp;G228,$D$18:$D$2015,"&lt;"&amp;G229))</f>
        <v/>
      </c>
      <c r="I228" s="14" t="n"/>
      <c r="J228" s="16" t="n"/>
      <c r="K228" s="124">
        <f>IF(J228="","",COUNTIFS($C$18:$C$2015,J$13,$D$18:$D$2015,"&gt;="&amp;J228,$D$18:$D$2015,"&lt;"&amp;J229))</f>
        <v/>
      </c>
      <c r="L228" s="14" t="n"/>
      <c r="M228" s="16" t="n"/>
      <c r="N228" s="124">
        <f>IF(M228="","",COUNTIFS($C$18:$C$2015,M$13,$D$18:$D$2015,"&gt;="&amp;M228,$D$18:$D$2015,"&lt;"&amp;M229))</f>
        <v/>
      </c>
      <c r="O228" s="14" t="n"/>
      <c r="P228" s="16" t="n"/>
      <c r="Q228" s="124">
        <f>IF(P228="","",COUNTIFS($C$18:$C$2015,P$13,$D$18:$D$2015,"&gt;="&amp;P228,$D$18:$D$2015,"&lt;"&amp;P229))</f>
        <v/>
      </c>
      <c r="R228" s="14" t="n"/>
      <c r="S228" s="16" t="n"/>
      <c r="T228" s="124">
        <f>IF(S228="","",COUNTIFS($C$18:$C$2015,S$13,$D$18:$D$2015,"&gt;="&amp;S228,$D$18:$D$2015,"&lt;"&amp;S229))</f>
        <v/>
      </c>
      <c r="U228" s="14" t="n"/>
      <c r="V228" s="16" t="n"/>
      <c r="W228" s="124">
        <f>IF(V228="","",COUNTIFS($C$18:$C$2015,V$13,$D$18:$D$2015,"&gt;="&amp;V228,$D$18:$D$2015,"&lt;"&amp;V229))</f>
        <v/>
      </c>
      <c r="X228" s="14" t="n"/>
      <c r="Y228" s="16" t="n"/>
      <c r="Z228" s="124">
        <f>IF(Y228="","",COUNTIFS($C$18:$C$2015,Y$13,$D$18:$D$2015,"&gt;="&amp;Y228,$D$18:$D$2015,"&lt;"&amp;Y229))</f>
        <v/>
      </c>
      <c r="AA228" s="14" t="n"/>
      <c r="AB228" s="16" t="n"/>
      <c r="AC228" s="124">
        <f>IF(AB228="","",COUNTIFS($C$18:$C$2015,AB$13,$D$18:$D$2015,"&gt;="&amp;AB228,$D$18:$D$2015,"&lt;"&amp;AB229))</f>
        <v/>
      </c>
      <c r="AD228" s="14" t="n"/>
    </row>
    <row r="229">
      <c r="A229" s="58" t="n"/>
      <c r="B229" s="59" t="n"/>
      <c r="C229" s="59" t="n"/>
      <c r="E229" s="16" t="n"/>
      <c r="F229" s="13" t="n"/>
      <c r="G229" s="16" t="n"/>
      <c r="H229" s="124">
        <f>IF(G229="","",COUNTIFS($C$18:$C$2015,G$13,$D$18:$D$2015,"&gt;="&amp;G229,$D$18:$D$2015,"&lt;"&amp;G230))</f>
        <v/>
      </c>
      <c r="I229" s="14" t="n"/>
      <c r="J229" s="16" t="n"/>
      <c r="K229" s="124">
        <f>IF(J229="","",COUNTIFS($C$18:$C$2015,J$13,$D$18:$D$2015,"&gt;="&amp;J229,$D$18:$D$2015,"&lt;"&amp;J230))</f>
        <v/>
      </c>
      <c r="L229" s="14" t="n"/>
      <c r="M229" s="16" t="n"/>
      <c r="N229" s="124">
        <f>IF(M229="","",COUNTIFS($C$18:$C$2015,M$13,$D$18:$D$2015,"&gt;="&amp;M229,$D$18:$D$2015,"&lt;"&amp;M230))</f>
        <v/>
      </c>
      <c r="O229" s="14" t="n"/>
      <c r="P229" s="16" t="n"/>
      <c r="Q229" s="124">
        <f>IF(P229="","",COUNTIFS($C$18:$C$2015,P$13,$D$18:$D$2015,"&gt;="&amp;P229,$D$18:$D$2015,"&lt;"&amp;P230))</f>
        <v/>
      </c>
      <c r="R229" s="14" t="n"/>
      <c r="S229" s="16" t="n"/>
      <c r="T229" s="124">
        <f>IF(S229="","",COUNTIFS($C$18:$C$2015,S$13,$D$18:$D$2015,"&gt;="&amp;S229,$D$18:$D$2015,"&lt;"&amp;S230))</f>
        <v/>
      </c>
      <c r="U229" s="14" t="n"/>
      <c r="V229" s="16" t="n"/>
      <c r="W229" s="124">
        <f>IF(V229="","",COUNTIFS($C$18:$C$2015,V$13,$D$18:$D$2015,"&gt;="&amp;V229,$D$18:$D$2015,"&lt;"&amp;V230))</f>
        <v/>
      </c>
      <c r="X229" s="14" t="n"/>
      <c r="Y229" s="16" t="n"/>
      <c r="Z229" s="124">
        <f>IF(Y229="","",COUNTIFS($C$18:$C$2015,Y$13,$D$18:$D$2015,"&gt;="&amp;Y229,$D$18:$D$2015,"&lt;"&amp;Y230))</f>
        <v/>
      </c>
      <c r="AA229" s="14" t="n"/>
      <c r="AB229" s="16" t="n"/>
      <c r="AC229" s="124">
        <f>IF(AB229="","",COUNTIFS($C$18:$C$2015,AB$13,$D$18:$D$2015,"&gt;="&amp;AB229,$D$18:$D$2015,"&lt;"&amp;AB230))</f>
        <v/>
      </c>
      <c r="AD229" s="14" t="n"/>
    </row>
    <row r="230">
      <c r="A230" s="56" t="n"/>
      <c r="B230" s="57" t="n"/>
      <c r="C230" s="59" t="n"/>
      <c r="E230" s="16" t="n"/>
      <c r="F230" s="13" t="n"/>
      <c r="G230" s="16" t="n"/>
      <c r="H230" s="124">
        <f>IF(G230="","",COUNTIFS($C$18:$C$2015,G$13,$D$18:$D$2015,"&gt;="&amp;G230,$D$18:$D$2015,"&lt;"&amp;G231))</f>
        <v/>
      </c>
      <c r="I230" s="14" t="n"/>
      <c r="J230" s="16" t="n"/>
      <c r="K230" s="124">
        <f>IF(J230="","",COUNTIFS($C$18:$C$2015,J$13,$D$18:$D$2015,"&gt;="&amp;J230,$D$18:$D$2015,"&lt;"&amp;J231))</f>
        <v/>
      </c>
      <c r="L230" s="14" t="n"/>
      <c r="M230" s="16" t="n"/>
      <c r="N230" s="124">
        <f>IF(M230="","",COUNTIFS($C$18:$C$2015,M$13,$D$18:$D$2015,"&gt;="&amp;M230,$D$18:$D$2015,"&lt;"&amp;M231))</f>
        <v/>
      </c>
      <c r="O230" s="14" t="n"/>
      <c r="P230" s="16" t="n"/>
      <c r="Q230" s="124">
        <f>IF(P230="","",COUNTIFS($C$18:$C$2015,P$13,$D$18:$D$2015,"&gt;="&amp;P230,$D$18:$D$2015,"&lt;"&amp;P231))</f>
        <v/>
      </c>
      <c r="R230" s="14" t="n"/>
      <c r="S230" s="16" t="n"/>
      <c r="T230" s="124">
        <f>IF(S230="","",COUNTIFS($C$18:$C$2015,S$13,$D$18:$D$2015,"&gt;="&amp;S230,$D$18:$D$2015,"&lt;"&amp;S231))</f>
        <v/>
      </c>
      <c r="U230" s="14" t="n"/>
      <c r="V230" s="16" t="n"/>
      <c r="W230" s="124">
        <f>IF(V230="","",COUNTIFS($C$18:$C$2015,V$13,$D$18:$D$2015,"&gt;="&amp;V230,$D$18:$D$2015,"&lt;"&amp;V231))</f>
        <v/>
      </c>
      <c r="X230" s="14" t="n"/>
      <c r="Y230" s="16" t="n"/>
      <c r="Z230" s="124">
        <f>IF(Y230="","",COUNTIFS($C$18:$C$2015,Y$13,$D$18:$D$2015,"&gt;="&amp;Y230,$D$18:$D$2015,"&lt;"&amp;Y231))</f>
        <v/>
      </c>
      <c r="AA230" s="14" t="n"/>
      <c r="AB230" s="16" t="n"/>
      <c r="AC230" s="124">
        <f>IF(AB230="","",COUNTIFS($C$18:$C$2015,AB$13,$D$18:$D$2015,"&gt;="&amp;AB230,$D$18:$D$2015,"&lt;"&amp;AB231))</f>
        <v/>
      </c>
      <c r="AD230" s="14" t="n"/>
    </row>
    <row r="231">
      <c r="A231" s="58" t="n"/>
      <c r="B231" s="59" t="n"/>
      <c r="C231" s="59" t="n"/>
      <c r="E231" s="16" t="n"/>
      <c r="F231" s="13" t="n"/>
      <c r="G231" s="16" t="n"/>
      <c r="H231" s="124">
        <f>IF(G231="","",COUNTIFS($C$18:$C$2015,G$13,$D$18:$D$2015,"&gt;="&amp;G231,$D$18:$D$2015,"&lt;"&amp;G232))</f>
        <v/>
      </c>
      <c r="I231" s="14" t="n"/>
      <c r="J231" s="16" t="n"/>
      <c r="K231" s="124">
        <f>IF(J231="","",COUNTIFS($C$18:$C$2015,J$13,$D$18:$D$2015,"&gt;="&amp;J231,$D$18:$D$2015,"&lt;"&amp;J232))</f>
        <v/>
      </c>
      <c r="L231" s="14" t="n"/>
      <c r="M231" s="16" t="n"/>
      <c r="N231" s="124">
        <f>IF(M231="","",COUNTIFS($C$18:$C$2015,M$13,$D$18:$D$2015,"&gt;="&amp;M231,$D$18:$D$2015,"&lt;"&amp;M232))</f>
        <v/>
      </c>
      <c r="O231" s="14" t="n"/>
      <c r="P231" s="16" t="n"/>
      <c r="Q231" s="124">
        <f>IF(P231="","",COUNTIFS($C$18:$C$2015,P$13,$D$18:$D$2015,"&gt;="&amp;P231,$D$18:$D$2015,"&lt;"&amp;P232))</f>
        <v/>
      </c>
      <c r="R231" s="14" t="n"/>
      <c r="S231" s="16" t="n"/>
      <c r="T231" s="124">
        <f>IF(S231="","",COUNTIFS($C$18:$C$2015,S$13,$D$18:$D$2015,"&gt;="&amp;S231,$D$18:$D$2015,"&lt;"&amp;S232))</f>
        <v/>
      </c>
      <c r="U231" s="14" t="n"/>
      <c r="V231" s="16" t="n"/>
      <c r="W231" s="124">
        <f>IF(V231="","",COUNTIFS($C$18:$C$2015,V$13,$D$18:$D$2015,"&gt;="&amp;V231,$D$18:$D$2015,"&lt;"&amp;V232))</f>
        <v/>
      </c>
      <c r="X231" s="14" t="n"/>
      <c r="Y231" s="16" t="n"/>
      <c r="Z231" s="124">
        <f>IF(Y231="","",COUNTIFS($C$18:$C$2015,Y$13,$D$18:$D$2015,"&gt;="&amp;Y231,$D$18:$D$2015,"&lt;"&amp;Y232))</f>
        <v/>
      </c>
      <c r="AA231" s="14" t="n"/>
      <c r="AB231" s="16" t="n"/>
      <c r="AC231" s="124">
        <f>IF(AB231="","",COUNTIFS($C$18:$C$2015,AB$13,$D$18:$D$2015,"&gt;="&amp;AB231,$D$18:$D$2015,"&lt;"&amp;AB232))</f>
        <v/>
      </c>
      <c r="AD231" s="14" t="n"/>
    </row>
    <row r="232">
      <c r="A232" s="56" t="n"/>
      <c r="B232" s="57" t="n"/>
      <c r="C232" s="59" t="n"/>
      <c r="E232" s="16" t="n"/>
      <c r="F232" s="13" t="n"/>
      <c r="G232" s="16" t="n"/>
      <c r="H232" s="124">
        <f>IF(G232="","",COUNTIFS($C$18:$C$2015,G$13,$D$18:$D$2015,"&gt;="&amp;G232,$D$18:$D$2015,"&lt;"&amp;G233))</f>
        <v/>
      </c>
      <c r="I232" s="14" t="n"/>
      <c r="J232" s="16" t="n"/>
      <c r="K232" s="124">
        <f>IF(J232="","",COUNTIFS($C$18:$C$2015,J$13,$D$18:$D$2015,"&gt;="&amp;J232,$D$18:$D$2015,"&lt;"&amp;J233))</f>
        <v/>
      </c>
      <c r="L232" s="14" t="n"/>
      <c r="M232" s="16" t="n"/>
      <c r="N232" s="124">
        <f>IF(M232="","",COUNTIFS($C$18:$C$2015,M$13,$D$18:$D$2015,"&gt;="&amp;M232,$D$18:$D$2015,"&lt;"&amp;M233))</f>
        <v/>
      </c>
      <c r="O232" s="14" t="n"/>
      <c r="P232" s="16" t="n"/>
      <c r="Q232" s="124">
        <f>IF(P232="","",COUNTIFS($C$18:$C$2015,P$13,$D$18:$D$2015,"&gt;="&amp;P232,$D$18:$D$2015,"&lt;"&amp;P233))</f>
        <v/>
      </c>
      <c r="R232" s="14" t="n"/>
      <c r="S232" s="16" t="n"/>
      <c r="T232" s="124">
        <f>IF(S232="","",COUNTIFS($C$18:$C$2015,S$13,$D$18:$D$2015,"&gt;="&amp;S232,$D$18:$D$2015,"&lt;"&amp;S233))</f>
        <v/>
      </c>
      <c r="U232" s="14" t="n"/>
      <c r="V232" s="16" t="n"/>
      <c r="W232" s="124">
        <f>IF(V232="","",COUNTIFS($C$18:$C$2015,V$13,$D$18:$D$2015,"&gt;="&amp;V232,$D$18:$D$2015,"&lt;"&amp;V233))</f>
        <v/>
      </c>
      <c r="X232" s="14" t="n"/>
      <c r="Y232" s="16" t="n"/>
      <c r="Z232" s="124">
        <f>IF(Y232="","",COUNTIFS($C$18:$C$2015,Y$13,$D$18:$D$2015,"&gt;="&amp;Y232,$D$18:$D$2015,"&lt;"&amp;Y233))</f>
        <v/>
      </c>
      <c r="AA232" s="14" t="n"/>
      <c r="AB232" s="16" t="n"/>
      <c r="AC232" s="124">
        <f>IF(AB232="","",COUNTIFS($C$18:$C$2015,AB$13,$D$18:$D$2015,"&gt;="&amp;AB232,$D$18:$D$2015,"&lt;"&amp;AB233))</f>
        <v/>
      </c>
      <c r="AD232" s="14" t="n"/>
    </row>
    <row r="233">
      <c r="A233" s="58" t="n"/>
      <c r="B233" s="59" t="n"/>
      <c r="C233" s="59" t="n"/>
      <c r="E233" s="16" t="n"/>
      <c r="F233" s="13" t="n"/>
      <c r="G233" s="16" t="n"/>
      <c r="H233" s="124">
        <f>IF(G233="","",COUNTIFS($C$18:$C$2015,G$13,$D$18:$D$2015,"&gt;="&amp;G233,$D$18:$D$2015,"&lt;"&amp;G234))</f>
        <v/>
      </c>
      <c r="I233" s="14" t="n"/>
      <c r="J233" s="16" t="n"/>
      <c r="K233" s="124">
        <f>IF(J233="","",COUNTIFS($C$18:$C$2015,J$13,$D$18:$D$2015,"&gt;="&amp;J233,$D$18:$D$2015,"&lt;"&amp;J234))</f>
        <v/>
      </c>
      <c r="L233" s="14" t="n"/>
      <c r="M233" s="16" t="n"/>
      <c r="N233" s="124">
        <f>IF(M233="","",COUNTIFS($C$18:$C$2015,M$13,$D$18:$D$2015,"&gt;="&amp;M233,$D$18:$D$2015,"&lt;"&amp;M234))</f>
        <v/>
      </c>
      <c r="O233" s="14" t="n"/>
      <c r="P233" s="16" t="n"/>
      <c r="Q233" s="124">
        <f>IF(P233="","",COUNTIFS($C$18:$C$2015,P$13,$D$18:$D$2015,"&gt;="&amp;P233,$D$18:$D$2015,"&lt;"&amp;P234))</f>
        <v/>
      </c>
      <c r="R233" s="14" t="n"/>
      <c r="S233" s="16" t="n"/>
      <c r="T233" s="124">
        <f>IF(S233="","",COUNTIFS($C$18:$C$2015,S$13,$D$18:$D$2015,"&gt;="&amp;S233,$D$18:$D$2015,"&lt;"&amp;S234))</f>
        <v/>
      </c>
      <c r="U233" s="14" t="n"/>
      <c r="V233" s="16" t="n"/>
      <c r="W233" s="124">
        <f>IF(V233="","",COUNTIFS($C$18:$C$2015,V$13,$D$18:$D$2015,"&gt;="&amp;V233,$D$18:$D$2015,"&lt;"&amp;V234))</f>
        <v/>
      </c>
      <c r="X233" s="14" t="n"/>
      <c r="Y233" s="16" t="n"/>
      <c r="Z233" s="124">
        <f>IF(Y233="","",COUNTIFS($C$18:$C$2015,Y$13,$D$18:$D$2015,"&gt;="&amp;Y233,$D$18:$D$2015,"&lt;"&amp;Y234))</f>
        <v/>
      </c>
      <c r="AA233" s="14" t="n"/>
      <c r="AB233" s="16" t="n"/>
      <c r="AC233" s="124">
        <f>IF(AB233="","",COUNTIFS($C$18:$C$2015,AB$13,$D$18:$D$2015,"&gt;="&amp;AB233,$D$18:$D$2015,"&lt;"&amp;AB234))</f>
        <v/>
      </c>
      <c r="AD233" s="14" t="n"/>
    </row>
    <row r="234">
      <c r="A234" s="56" t="n"/>
      <c r="B234" s="57" t="n"/>
      <c r="C234" s="59" t="n"/>
      <c r="E234" s="16" t="n"/>
      <c r="F234" s="13" t="n"/>
      <c r="G234" s="16" t="n"/>
      <c r="H234" s="124">
        <f>IF(G234="","",COUNTIFS($C$18:$C$2015,G$13,$D$18:$D$2015,"&gt;="&amp;G234,$D$18:$D$2015,"&lt;"&amp;G235))</f>
        <v/>
      </c>
      <c r="I234" s="14" t="n"/>
      <c r="J234" s="16" t="n"/>
      <c r="K234" s="124">
        <f>IF(J234="","",COUNTIFS($C$18:$C$2015,J$13,$D$18:$D$2015,"&gt;="&amp;J234,$D$18:$D$2015,"&lt;"&amp;J235))</f>
        <v/>
      </c>
      <c r="L234" s="14" t="n"/>
      <c r="M234" s="16" t="n"/>
      <c r="N234" s="124">
        <f>IF(M234="","",COUNTIFS($C$18:$C$2015,M$13,$D$18:$D$2015,"&gt;="&amp;M234,$D$18:$D$2015,"&lt;"&amp;M235))</f>
        <v/>
      </c>
      <c r="O234" s="14" t="n"/>
      <c r="P234" s="16" t="n"/>
      <c r="Q234" s="124">
        <f>IF(P234="","",COUNTIFS($C$18:$C$2015,P$13,$D$18:$D$2015,"&gt;="&amp;P234,$D$18:$D$2015,"&lt;"&amp;P235))</f>
        <v/>
      </c>
      <c r="R234" s="14" t="n"/>
      <c r="S234" s="16" t="n"/>
      <c r="T234" s="124">
        <f>IF(S234="","",COUNTIFS($C$18:$C$2015,S$13,$D$18:$D$2015,"&gt;="&amp;S234,$D$18:$D$2015,"&lt;"&amp;S235))</f>
        <v/>
      </c>
      <c r="U234" s="14" t="n"/>
      <c r="V234" s="16" t="n"/>
      <c r="W234" s="124">
        <f>IF(V234="","",COUNTIFS($C$18:$C$2015,V$13,$D$18:$D$2015,"&gt;="&amp;V234,$D$18:$D$2015,"&lt;"&amp;V235))</f>
        <v/>
      </c>
      <c r="X234" s="14" t="n"/>
      <c r="Y234" s="16" t="n"/>
      <c r="Z234" s="124">
        <f>IF(Y234="","",COUNTIFS($C$18:$C$2015,Y$13,$D$18:$D$2015,"&gt;="&amp;Y234,$D$18:$D$2015,"&lt;"&amp;Y235))</f>
        <v/>
      </c>
      <c r="AA234" s="14" t="n"/>
      <c r="AB234" s="16" t="n"/>
      <c r="AC234" s="124">
        <f>IF(AB234="","",COUNTIFS($C$18:$C$2015,AB$13,$D$18:$D$2015,"&gt;="&amp;AB234,$D$18:$D$2015,"&lt;"&amp;AB235))</f>
        <v/>
      </c>
      <c r="AD234" s="14" t="n"/>
    </row>
    <row r="235">
      <c r="A235" s="58" t="n"/>
      <c r="B235" s="59" t="n"/>
      <c r="C235" s="59" t="n"/>
      <c r="E235" s="16" t="n"/>
      <c r="F235" s="13" t="n"/>
      <c r="G235" s="16" t="n"/>
      <c r="H235" s="124">
        <f>IF(G235="","",COUNTIFS($C$18:$C$2015,G$13,$D$18:$D$2015,"&gt;="&amp;G235,$D$18:$D$2015,"&lt;"&amp;G236))</f>
        <v/>
      </c>
      <c r="I235" s="14" t="n"/>
      <c r="J235" s="16" t="n"/>
      <c r="K235" s="124">
        <f>IF(J235="","",COUNTIFS($C$18:$C$2015,J$13,$D$18:$D$2015,"&gt;="&amp;J235,$D$18:$D$2015,"&lt;"&amp;J236))</f>
        <v/>
      </c>
      <c r="L235" s="14" t="n"/>
      <c r="M235" s="16" t="n"/>
      <c r="N235" s="124">
        <f>IF(M235="","",COUNTIFS($C$18:$C$2015,M$13,$D$18:$D$2015,"&gt;="&amp;M235,$D$18:$D$2015,"&lt;"&amp;M236))</f>
        <v/>
      </c>
      <c r="O235" s="14" t="n"/>
      <c r="P235" s="16" t="n"/>
      <c r="Q235" s="124">
        <f>IF(P235="","",COUNTIFS($C$18:$C$2015,P$13,$D$18:$D$2015,"&gt;="&amp;P235,$D$18:$D$2015,"&lt;"&amp;P236))</f>
        <v/>
      </c>
      <c r="R235" s="14" t="n"/>
      <c r="S235" s="16" t="n"/>
      <c r="T235" s="124">
        <f>IF(S235="","",COUNTIFS($C$18:$C$2015,S$13,$D$18:$D$2015,"&gt;="&amp;S235,$D$18:$D$2015,"&lt;"&amp;S236))</f>
        <v/>
      </c>
      <c r="U235" s="14" t="n"/>
      <c r="V235" s="16" t="n"/>
      <c r="W235" s="124">
        <f>IF(V235="","",COUNTIFS($C$18:$C$2015,V$13,$D$18:$D$2015,"&gt;="&amp;V235,$D$18:$D$2015,"&lt;"&amp;V236))</f>
        <v/>
      </c>
      <c r="X235" s="14" t="n"/>
      <c r="Y235" s="16" t="n"/>
      <c r="Z235" s="124">
        <f>IF(Y235="","",COUNTIFS($C$18:$C$2015,Y$13,$D$18:$D$2015,"&gt;="&amp;Y235,$D$18:$D$2015,"&lt;"&amp;Y236))</f>
        <v/>
      </c>
      <c r="AA235" s="14" t="n"/>
      <c r="AB235" s="16" t="n"/>
      <c r="AC235" s="124">
        <f>IF(AB235="","",COUNTIFS($C$18:$C$2015,AB$13,$D$18:$D$2015,"&gt;="&amp;AB235,$D$18:$D$2015,"&lt;"&amp;AB236))</f>
        <v/>
      </c>
      <c r="AD235" s="14" t="n"/>
    </row>
    <row r="236">
      <c r="A236" s="56" t="n"/>
      <c r="B236" s="57" t="n"/>
      <c r="C236" s="59" t="n"/>
      <c r="E236" s="16" t="n"/>
      <c r="F236" s="13" t="n"/>
      <c r="G236" s="16" t="n"/>
      <c r="H236" s="124">
        <f>IF(G236="","",COUNTIFS($C$18:$C$2015,G$13,$D$18:$D$2015,"&gt;="&amp;G236,$D$18:$D$2015,"&lt;"&amp;G237))</f>
        <v/>
      </c>
      <c r="I236" s="14" t="n"/>
      <c r="J236" s="16" t="n"/>
      <c r="K236" s="124">
        <f>IF(J236="","",COUNTIFS($C$18:$C$2015,J$13,$D$18:$D$2015,"&gt;="&amp;J236,$D$18:$D$2015,"&lt;"&amp;J237))</f>
        <v/>
      </c>
      <c r="L236" s="14" t="n"/>
      <c r="M236" s="16" t="n"/>
      <c r="N236" s="124">
        <f>IF(M236="","",COUNTIFS($C$18:$C$2015,M$13,$D$18:$D$2015,"&gt;="&amp;M236,$D$18:$D$2015,"&lt;"&amp;M237))</f>
        <v/>
      </c>
      <c r="O236" s="14" t="n"/>
      <c r="P236" s="16" t="n"/>
      <c r="Q236" s="124">
        <f>IF(P236="","",COUNTIFS($C$18:$C$2015,P$13,$D$18:$D$2015,"&gt;="&amp;P236,$D$18:$D$2015,"&lt;"&amp;P237))</f>
        <v/>
      </c>
      <c r="R236" s="14" t="n"/>
      <c r="S236" s="16" t="n"/>
      <c r="T236" s="124">
        <f>IF(S236="","",COUNTIFS($C$18:$C$2015,S$13,$D$18:$D$2015,"&gt;="&amp;S236,$D$18:$D$2015,"&lt;"&amp;S237))</f>
        <v/>
      </c>
      <c r="U236" s="14" t="n"/>
      <c r="V236" s="16" t="n"/>
      <c r="W236" s="124">
        <f>IF(V236="","",COUNTIFS($C$18:$C$2015,V$13,$D$18:$D$2015,"&gt;="&amp;V236,$D$18:$D$2015,"&lt;"&amp;V237))</f>
        <v/>
      </c>
      <c r="X236" s="14" t="n"/>
      <c r="Y236" s="16" t="n"/>
      <c r="Z236" s="124">
        <f>IF(Y236="","",COUNTIFS($C$18:$C$2015,Y$13,$D$18:$D$2015,"&gt;="&amp;Y236,$D$18:$D$2015,"&lt;"&amp;Y237))</f>
        <v/>
      </c>
      <c r="AA236" s="14" t="n"/>
      <c r="AB236" s="16" t="n"/>
      <c r="AC236" s="124">
        <f>IF(AB236="","",COUNTIFS($C$18:$C$2015,AB$13,$D$18:$D$2015,"&gt;="&amp;AB236,$D$18:$D$2015,"&lt;"&amp;AB237))</f>
        <v/>
      </c>
      <c r="AD236" s="14" t="n"/>
    </row>
    <row r="237">
      <c r="A237" s="58" t="n"/>
      <c r="B237" s="59" t="n"/>
      <c r="C237" s="59" t="n"/>
      <c r="E237" s="16" t="n"/>
      <c r="F237" s="13" t="n"/>
      <c r="G237" s="16" t="n"/>
      <c r="H237" s="124">
        <f>IF(G237="","",COUNTIFS($C$18:$C$2015,G$13,$D$18:$D$2015,"&gt;="&amp;G237,$D$18:$D$2015,"&lt;"&amp;G238))</f>
        <v/>
      </c>
      <c r="I237" s="14" t="n"/>
      <c r="J237" s="16" t="n"/>
      <c r="K237" s="124">
        <f>IF(J237="","",COUNTIFS($C$18:$C$2015,J$13,$D$18:$D$2015,"&gt;="&amp;J237,$D$18:$D$2015,"&lt;"&amp;J238))</f>
        <v/>
      </c>
      <c r="L237" s="14" t="n"/>
      <c r="M237" s="16" t="n"/>
      <c r="N237" s="124">
        <f>IF(M237="","",COUNTIFS($C$18:$C$2015,M$13,$D$18:$D$2015,"&gt;="&amp;M237,$D$18:$D$2015,"&lt;"&amp;M238))</f>
        <v/>
      </c>
      <c r="O237" s="14" t="n"/>
      <c r="P237" s="16" t="n"/>
      <c r="Q237" s="124">
        <f>IF(P237="","",COUNTIFS($C$18:$C$2015,P$13,$D$18:$D$2015,"&gt;="&amp;P237,$D$18:$D$2015,"&lt;"&amp;P238))</f>
        <v/>
      </c>
      <c r="R237" s="14" t="n"/>
      <c r="S237" s="16" t="n"/>
      <c r="T237" s="124">
        <f>IF(S237="","",COUNTIFS($C$18:$C$2015,S$13,$D$18:$D$2015,"&gt;="&amp;S237,$D$18:$D$2015,"&lt;"&amp;S238))</f>
        <v/>
      </c>
      <c r="U237" s="14" t="n"/>
      <c r="V237" s="16" t="n"/>
      <c r="W237" s="124">
        <f>IF(V237="","",COUNTIFS($C$18:$C$2015,V$13,$D$18:$D$2015,"&gt;="&amp;V237,$D$18:$D$2015,"&lt;"&amp;V238))</f>
        <v/>
      </c>
      <c r="X237" s="14" t="n"/>
      <c r="Y237" s="16" t="n"/>
      <c r="Z237" s="124">
        <f>IF(Y237="","",COUNTIFS($C$18:$C$2015,Y$13,$D$18:$D$2015,"&gt;="&amp;Y237,$D$18:$D$2015,"&lt;"&amp;Y238))</f>
        <v/>
      </c>
      <c r="AA237" s="14" t="n"/>
      <c r="AB237" s="16" t="n"/>
      <c r="AC237" s="124">
        <f>IF(AB237="","",COUNTIFS($C$18:$C$2015,AB$13,$D$18:$D$2015,"&gt;="&amp;AB237,$D$18:$D$2015,"&lt;"&amp;AB238))</f>
        <v/>
      </c>
      <c r="AD237" s="14" t="n"/>
    </row>
    <row r="238">
      <c r="A238" s="56" t="n"/>
      <c r="B238" s="57" t="n"/>
      <c r="C238" s="59" t="n"/>
      <c r="E238" s="16" t="n"/>
      <c r="F238" s="13" t="n"/>
      <c r="G238" s="16" t="n"/>
      <c r="H238" s="124">
        <f>IF(G238="","",COUNTIFS($C$18:$C$2015,G$13,$D$18:$D$2015,"&gt;="&amp;G238,$D$18:$D$2015,"&lt;"&amp;G239))</f>
        <v/>
      </c>
      <c r="I238" s="14" t="n"/>
      <c r="J238" s="16" t="n"/>
      <c r="K238" s="124">
        <f>IF(J238="","",COUNTIFS($C$18:$C$2015,J$13,$D$18:$D$2015,"&gt;="&amp;J238,$D$18:$D$2015,"&lt;"&amp;J239))</f>
        <v/>
      </c>
      <c r="L238" s="14" t="n"/>
      <c r="M238" s="16" t="n"/>
      <c r="N238" s="124">
        <f>IF(M238="","",COUNTIFS($C$18:$C$2015,M$13,$D$18:$D$2015,"&gt;="&amp;M238,$D$18:$D$2015,"&lt;"&amp;M239))</f>
        <v/>
      </c>
      <c r="O238" s="14" t="n"/>
      <c r="P238" s="16" t="n"/>
      <c r="Q238" s="124">
        <f>IF(P238="","",COUNTIFS($C$18:$C$2015,P$13,$D$18:$D$2015,"&gt;="&amp;P238,$D$18:$D$2015,"&lt;"&amp;P239))</f>
        <v/>
      </c>
      <c r="R238" s="14" t="n"/>
      <c r="S238" s="16" t="n"/>
      <c r="T238" s="124">
        <f>IF(S238="","",COUNTIFS($C$18:$C$2015,S$13,$D$18:$D$2015,"&gt;="&amp;S238,$D$18:$D$2015,"&lt;"&amp;S239))</f>
        <v/>
      </c>
      <c r="U238" s="14" t="n"/>
      <c r="V238" s="16" t="n"/>
      <c r="W238" s="124">
        <f>IF(V238="","",COUNTIFS($C$18:$C$2015,V$13,$D$18:$D$2015,"&gt;="&amp;V238,$D$18:$D$2015,"&lt;"&amp;V239))</f>
        <v/>
      </c>
      <c r="X238" s="14" t="n"/>
      <c r="Y238" s="16" t="n"/>
      <c r="Z238" s="124">
        <f>IF(Y238="","",COUNTIFS($C$18:$C$2015,Y$13,$D$18:$D$2015,"&gt;="&amp;Y238,$D$18:$D$2015,"&lt;"&amp;Y239))</f>
        <v/>
      </c>
      <c r="AA238" s="14" t="n"/>
      <c r="AB238" s="16" t="n"/>
      <c r="AC238" s="124">
        <f>IF(AB238="","",COUNTIFS($C$18:$C$2015,AB$13,$D$18:$D$2015,"&gt;="&amp;AB238,$D$18:$D$2015,"&lt;"&amp;AB239))</f>
        <v/>
      </c>
      <c r="AD238" s="14" t="n"/>
    </row>
    <row r="239">
      <c r="A239" s="58" t="n"/>
      <c r="B239" s="59" t="n"/>
      <c r="C239" s="59" t="n"/>
      <c r="E239" s="16" t="n"/>
      <c r="F239" s="13" t="n"/>
      <c r="G239" s="16" t="n"/>
      <c r="H239" s="124">
        <f>IF(G239="","",COUNTIFS($C$18:$C$2015,G$13,$D$18:$D$2015,"&gt;="&amp;G239,$D$18:$D$2015,"&lt;"&amp;G240))</f>
        <v/>
      </c>
      <c r="I239" s="14" t="n"/>
      <c r="J239" s="16" t="n"/>
      <c r="K239" s="124">
        <f>IF(J239="","",COUNTIFS($C$18:$C$2015,J$13,$D$18:$D$2015,"&gt;="&amp;J239,$D$18:$D$2015,"&lt;"&amp;J240))</f>
        <v/>
      </c>
      <c r="L239" s="14" t="n"/>
      <c r="M239" s="16" t="n"/>
      <c r="N239" s="124">
        <f>IF(M239="","",COUNTIFS($C$18:$C$2015,M$13,$D$18:$D$2015,"&gt;="&amp;M239,$D$18:$D$2015,"&lt;"&amp;M240))</f>
        <v/>
      </c>
      <c r="O239" s="14" t="n"/>
      <c r="P239" s="16" t="n"/>
      <c r="Q239" s="124">
        <f>IF(P239="","",COUNTIFS($C$18:$C$2015,P$13,$D$18:$D$2015,"&gt;="&amp;P239,$D$18:$D$2015,"&lt;"&amp;P240))</f>
        <v/>
      </c>
      <c r="R239" s="14" t="n"/>
      <c r="S239" s="16" t="n"/>
      <c r="T239" s="124">
        <f>IF(S239="","",COUNTIFS($C$18:$C$2015,S$13,$D$18:$D$2015,"&gt;="&amp;S239,$D$18:$D$2015,"&lt;"&amp;S240))</f>
        <v/>
      </c>
      <c r="U239" s="14" t="n"/>
      <c r="V239" s="16" t="n"/>
      <c r="W239" s="124">
        <f>IF(V239="","",COUNTIFS($C$18:$C$2015,V$13,$D$18:$D$2015,"&gt;="&amp;V239,$D$18:$D$2015,"&lt;"&amp;V240))</f>
        <v/>
      </c>
      <c r="X239" s="14" t="n"/>
      <c r="Y239" s="16" t="n"/>
      <c r="Z239" s="124">
        <f>IF(Y239="","",COUNTIFS($C$18:$C$2015,Y$13,$D$18:$D$2015,"&gt;="&amp;Y239,$D$18:$D$2015,"&lt;"&amp;Y240))</f>
        <v/>
      </c>
      <c r="AA239" s="14" t="n"/>
      <c r="AB239" s="16" t="n"/>
      <c r="AC239" s="124">
        <f>IF(AB239="","",COUNTIFS($C$18:$C$2015,AB$13,$D$18:$D$2015,"&gt;="&amp;AB239,$D$18:$D$2015,"&lt;"&amp;AB240))</f>
        <v/>
      </c>
      <c r="AD239" s="14" t="n"/>
    </row>
    <row r="240">
      <c r="A240" s="56" t="n"/>
      <c r="B240" s="57" t="n"/>
      <c r="C240" s="59" t="n"/>
      <c r="E240" s="16" t="n"/>
      <c r="F240" s="13" t="n"/>
      <c r="G240" s="16" t="n"/>
      <c r="H240" s="124">
        <f>IF(G240="","",COUNTIFS($C$18:$C$2015,G$13,$D$18:$D$2015,"&gt;="&amp;G240,$D$18:$D$2015,"&lt;"&amp;G241))</f>
        <v/>
      </c>
      <c r="I240" s="14" t="n"/>
      <c r="J240" s="16" t="n"/>
      <c r="K240" s="124">
        <f>IF(J240="","",COUNTIFS($C$18:$C$2015,J$13,$D$18:$D$2015,"&gt;="&amp;J240,$D$18:$D$2015,"&lt;"&amp;J241))</f>
        <v/>
      </c>
      <c r="L240" s="14" t="n"/>
      <c r="M240" s="16" t="n"/>
      <c r="N240" s="124">
        <f>IF(M240="","",COUNTIFS($C$18:$C$2015,M$13,$D$18:$D$2015,"&gt;="&amp;M240,$D$18:$D$2015,"&lt;"&amp;M241))</f>
        <v/>
      </c>
      <c r="O240" s="14" t="n"/>
      <c r="P240" s="16" t="n"/>
      <c r="Q240" s="124">
        <f>IF(P240="","",COUNTIFS($C$18:$C$2015,P$13,$D$18:$D$2015,"&gt;="&amp;P240,$D$18:$D$2015,"&lt;"&amp;P241))</f>
        <v/>
      </c>
      <c r="R240" s="14" t="n"/>
      <c r="S240" s="16" t="n"/>
      <c r="T240" s="124">
        <f>IF(S240="","",COUNTIFS($C$18:$C$2015,S$13,$D$18:$D$2015,"&gt;="&amp;S240,$D$18:$D$2015,"&lt;"&amp;S241))</f>
        <v/>
      </c>
      <c r="U240" s="14" t="n"/>
      <c r="V240" s="16" t="n"/>
      <c r="W240" s="124">
        <f>IF(V240="","",COUNTIFS($C$18:$C$2015,V$13,$D$18:$D$2015,"&gt;="&amp;V240,$D$18:$D$2015,"&lt;"&amp;V241))</f>
        <v/>
      </c>
      <c r="X240" s="14" t="n"/>
      <c r="Y240" s="16" t="n"/>
      <c r="Z240" s="124">
        <f>IF(Y240="","",COUNTIFS($C$18:$C$2015,Y$13,$D$18:$D$2015,"&gt;="&amp;Y240,$D$18:$D$2015,"&lt;"&amp;Y241))</f>
        <v/>
      </c>
      <c r="AA240" s="14" t="n"/>
      <c r="AB240" s="16" t="n"/>
      <c r="AC240" s="124">
        <f>IF(AB240="","",COUNTIFS($C$18:$C$2015,AB$13,$D$18:$D$2015,"&gt;="&amp;AB240,$D$18:$D$2015,"&lt;"&amp;AB241))</f>
        <v/>
      </c>
      <c r="AD240" s="14" t="n"/>
    </row>
    <row r="241">
      <c r="A241" s="58" t="n"/>
      <c r="B241" s="59" t="n"/>
      <c r="C241" s="59" t="n"/>
      <c r="E241" s="16" t="n"/>
      <c r="F241" s="13" t="n"/>
      <c r="G241" s="16" t="n"/>
      <c r="H241" s="124">
        <f>IF(G241="","",COUNTIFS($C$18:$C$2015,G$13,$D$18:$D$2015,"&gt;="&amp;G241,$D$18:$D$2015,"&lt;"&amp;G242))</f>
        <v/>
      </c>
      <c r="I241" s="14" t="n"/>
      <c r="J241" s="16" t="n"/>
      <c r="K241" s="124">
        <f>IF(J241="","",COUNTIFS($C$18:$C$2015,J$13,$D$18:$D$2015,"&gt;="&amp;J241,$D$18:$D$2015,"&lt;"&amp;J242))</f>
        <v/>
      </c>
      <c r="L241" s="14" t="n"/>
      <c r="M241" s="16" t="n"/>
      <c r="N241" s="124">
        <f>IF(M241="","",COUNTIFS($C$18:$C$2015,M$13,$D$18:$D$2015,"&gt;="&amp;M241,$D$18:$D$2015,"&lt;"&amp;M242))</f>
        <v/>
      </c>
      <c r="O241" s="14" t="n"/>
      <c r="P241" s="16" t="n"/>
      <c r="Q241" s="124">
        <f>IF(P241="","",COUNTIFS($C$18:$C$2015,P$13,$D$18:$D$2015,"&gt;="&amp;P241,$D$18:$D$2015,"&lt;"&amp;P242))</f>
        <v/>
      </c>
      <c r="R241" s="14" t="n"/>
      <c r="S241" s="16" t="n"/>
      <c r="T241" s="124">
        <f>IF(S241="","",COUNTIFS($C$18:$C$2015,S$13,$D$18:$D$2015,"&gt;="&amp;S241,$D$18:$D$2015,"&lt;"&amp;S242))</f>
        <v/>
      </c>
      <c r="U241" s="14" t="n"/>
      <c r="V241" s="16" t="n"/>
      <c r="W241" s="124">
        <f>IF(V241="","",COUNTIFS($C$18:$C$2015,V$13,$D$18:$D$2015,"&gt;="&amp;V241,$D$18:$D$2015,"&lt;"&amp;V242))</f>
        <v/>
      </c>
      <c r="X241" s="14" t="n"/>
      <c r="Y241" s="16" t="n"/>
      <c r="Z241" s="124">
        <f>IF(Y241="","",COUNTIFS($C$18:$C$2015,Y$13,$D$18:$D$2015,"&gt;="&amp;Y241,$D$18:$D$2015,"&lt;"&amp;Y242))</f>
        <v/>
      </c>
      <c r="AA241" s="14" t="n"/>
      <c r="AB241" s="16" t="n"/>
      <c r="AC241" s="124">
        <f>IF(AB241="","",COUNTIFS($C$18:$C$2015,AB$13,$D$18:$D$2015,"&gt;="&amp;AB241,$D$18:$D$2015,"&lt;"&amp;AB242))</f>
        <v/>
      </c>
      <c r="AD241" s="14" t="n"/>
    </row>
    <row r="242">
      <c r="A242" s="56" t="n"/>
      <c r="B242" s="57" t="n"/>
      <c r="C242" s="59" t="n"/>
      <c r="E242" s="16" t="n"/>
      <c r="F242" s="13" t="n"/>
      <c r="G242" s="16" t="n"/>
      <c r="H242" s="124">
        <f>IF(G242="","",COUNTIFS($C$18:$C$2015,G$13,$D$18:$D$2015,"&gt;="&amp;G242,$D$18:$D$2015,"&lt;"&amp;G243))</f>
        <v/>
      </c>
      <c r="I242" s="14" t="n"/>
      <c r="J242" s="16" t="n"/>
      <c r="K242" s="124">
        <f>IF(J242="","",COUNTIFS($C$18:$C$2015,J$13,$D$18:$D$2015,"&gt;="&amp;J242,$D$18:$D$2015,"&lt;"&amp;J243))</f>
        <v/>
      </c>
      <c r="L242" s="14" t="n"/>
      <c r="M242" s="16" t="n"/>
      <c r="N242" s="124">
        <f>IF(M242="","",COUNTIFS($C$18:$C$2015,M$13,$D$18:$D$2015,"&gt;="&amp;M242,$D$18:$D$2015,"&lt;"&amp;M243))</f>
        <v/>
      </c>
      <c r="O242" s="14" t="n"/>
      <c r="P242" s="16" t="n"/>
      <c r="Q242" s="124">
        <f>IF(P242="","",COUNTIFS($C$18:$C$2015,P$13,$D$18:$D$2015,"&gt;="&amp;P242,$D$18:$D$2015,"&lt;"&amp;P243))</f>
        <v/>
      </c>
      <c r="R242" s="14" t="n"/>
      <c r="S242" s="16" t="n"/>
      <c r="T242" s="124">
        <f>IF(S242="","",COUNTIFS($C$18:$C$2015,S$13,$D$18:$D$2015,"&gt;="&amp;S242,$D$18:$D$2015,"&lt;"&amp;S243))</f>
        <v/>
      </c>
      <c r="U242" s="14" t="n"/>
      <c r="V242" s="16" t="n"/>
      <c r="W242" s="124">
        <f>IF(V242="","",COUNTIFS($C$18:$C$2015,V$13,$D$18:$D$2015,"&gt;="&amp;V242,$D$18:$D$2015,"&lt;"&amp;V243))</f>
        <v/>
      </c>
      <c r="X242" s="14" t="n"/>
      <c r="Y242" s="16" t="n"/>
      <c r="Z242" s="124">
        <f>IF(Y242="","",COUNTIFS($C$18:$C$2015,Y$13,$D$18:$D$2015,"&gt;="&amp;Y242,$D$18:$D$2015,"&lt;"&amp;Y243))</f>
        <v/>
      </c>
      <c r="AA242" s="14" t="n"/>
      <c r="AB242" s="16" t="n"/>
      <c r="AC242" s="124">
        <f>IF(AB242="","",COUNTIFS($C$18:$C$2015,AB$13,$D$18:$D$2015,"&gt;="&amp;AB242,$D$18:$D$2015,"&lt;"&amp;AB243))</f>
        <v/>
      </c>
      <c r="AD242" s="14" t="n"/>
    </row>
    <row r="243">
      <c r="A243" s="58" t="n"/>
      <c r="B243" s="59" t="n"/>
      <c r="C243" s="59" t="n"/>
      <c r="E243" s="16" t="n"/>
      <c r="F243" s="13" t="n"/>
      <c r="G243" s="16" t="n"/>
      <c r="H243" s="124">
        <f>IF(G243="","",COUNTIFS($C$18:$C$2015,G$13,$D$18:$D$2015,"&gt;="&amp;G243,$D$18:$D$2015,"&lt;"&amp;G244))</f>
        <v/>
      </c>
      <c r="I243" s="14" t="n"/>
      <c r="J243" s="16" t="n"/>
      <c r="K243" s="124">
        <f>IF(J243="","",COUNTIFS($C$18:$C$2015,J$13,$D$18:$D$2015,"&gt;="&amp;J243,$D$18:$D$2015,"&lt;"&amp;J244))</f>
        <v/>
      </c>
      <c r="L243" s="14" t="n"/>
      <c r="M243" s="16" t="n"/>
      <c r="N243" s="124">
        <f>IF(M243="","",COUNTIFS($C$18:$C$2015,M$13,$D$18:$D$2015,"&gt;="&amp;M243,$D$18:$D$2015,"&lt;"&amp;M244))</f>
        <v/>
      </c>
      <c r="O243" s="14" t="n"/>
      <c r="P243" s="16" t="n"/>
      <c r="Q243" s="124">
        <f>IF(P243="","",COUNTIFS($C$18:$C$2015,P$13,$D$18:$D$2015,"&gt;="&amp;P243,$D$18:$D$2015,"&lt;"&amp;P244))</f>
        <v/>
      </c>
      <c r="R243" s="14" t="n"/>
      <c r="S243" s="16" t="n"/>
      <c r="T243" s="124">
        <f>IF(S243="","",COUNTIFS($C$18:$C$2015,S$13,$D$18:$D$2015,"&gt;="&amp;S243,$D$18:$D$2015,"&lt;"&amp;S244))</f>
        <v/>
      </c>
      <c r="U243" s="14" t="n"/>
      <c r="V243" s="16" t="n"/>
      <c r="W243" s="124">
        <f>IF(V243="","",COUNTIFS($C$18:$C$2015,V$13,$D$18:$D$2015,"&gt;="&amp;V243,$D$18:$D$2015,"&lt;"&amp;V244))</f>
        <v/>
      </c>
      <c r="X243" s="14" t="n"/>
      <c r="Y243" s="16" t="n"/>
      <c r="Z243" s="124">
        <f>IF(Y243="","",COUNTIFS($C$18:$C$2015,Y$13,$D$18:$D$2015,"&gt;="&amp;Y243,$D$18:$D$2015,"&lt;"&amp;Y244))</f>
        <v/>
      </c>
      <c r="AA243" s="14" t="n"/>
      <c r="AB243" s="16" t="n"/>
      <c r="AC243" s="124">
        <f>IF(AB243="","",COUNTIFS($C$18:$C$2015,AB$13,$D$18:$D$2015,"&gt;="&amp;AB243,$D$18:$D$2015,"&lt;"&amp;AB244))</f>
        <v/>
      </c>
      <c r="AD243" s="14" t="n"/>
    </row>
    <row r="244">
      <c r="A244" s="56" t="n"/>
      <c r="B244" s="57" t="n"/>
      <c r="C244" s="59" t="n"/>
      <c r="E244" s="16" t="n"/>
      <c r="F244" s="13" t="n"/>
      <c r="G244" s="16" t="n"/>
      <c r="H244" s="124">
        <f>IF(G244="","",COUNTIFS($C$18:$C$2015,G$13,$D$18:$D$2015,"&gt;="&amp;G244,$D$18:$D$2015,"&lt;"&amp;G245))</f>
        <v/>
      </c>
      <c r="I244" s="14" t="n"/>
      <c r="J244" s="16" t="n"/>
      <c r="K244" s="124">
        <f>IF(J244="","",COUNTIFS($C$18:$C$2015,J$13,$D$18:$D$2015,"&gt;="&amp;J244,$D$18:$D$2015,"&lt;"&amp;J245))</f>
        <v/>
      </c>
      <c r="L244" s="14" t="n"/>
      <c r="M244" s="16" t="n"/>
      <c r="N244" s="124">
        <f>IF(M244="","",COUNTIFS($C$18:$C$2015,M$13,$D$18:$D$2015,"&gt;="&amp;M244,$D$18:$D$2015,"&lt;"&amp;M245))</f>
        <v/>
      </c>
      <c r="O244" s="14" t="n"/>
      <c r="P244" s="16" t="n"/>
      <c r="Q244" s="124">
        <f>IF(P244="","",COUNTIFS($C$18:$C$2015,P$13,$D$18:$D$2015,"&gt;="&amp;P244,$D$18:$D$2015,"&lt;"&amp;P245))</f>
        <v/>
      </c>
      <c r="R244" s="14" t="n"/>
      <c r="S244" s="16" t="n"/>
      <c r="T244" s="124">
        <f>IF(S244="","",COUNTIFS($C$18:$C$2015,S$13,$D$18:$D$2015,"&gt;="&amp;S244,$D$18:$D$2015,"&lt;"&amp;S245))</f>
        <v/>
      </c>
      <c r="U244" s="14" t="n"/>
      <c r="V244" s="16" t="n"/>
      <c r="W244" s="124">
        <f>IF(V244="","",COUNTIFS($C$18:$C$2015,V$13,$D$18:$D$2015,"&gt;="&amp;V244,$D$18:$D$2015,"&lt;"&amp;V245))</f>
        <v/>
      </c>
      <c r="X244" s="14" t="n"/>
      <c r="Y244" s="16" t="n"/>
      <c r="Z244" s="124">
        <f>IF(Y244="","",COUNTIFS($C$18:$C$2015,Y$13,$D$18:$D$2015,"&gt;="&amp;Y244,$D$18:$D$2015,"&lt;"&amp;Y245))</f>
        <v/>
      </c>
      <c r="AA244" s="14" t="n"/>
      <c r="AB244" s="16" t="n"/>
      <c r="AC244" s="124">
        <f>IF(AB244="","",COUNTIFS($C$18:$C$2015,AB$13,$D$18:$D$2015,"&gt;="&amp;AB244,$D$18:$D$2015,"&lt;"&amp;AB245))</f>
        <v/>
      </c>
      <c r="AD244" s="14" t="n"/>
    </row>
    <row r="245">
      <c r="A245" s="58" t="n"/>
      <c r="B245" s="59" t="n"/>
      <c r="C245" s="59" t="n"/>
      <c r="E245" s="16" t="n"/>
      <c r="F245" s="13" t="n"/>
      <c r="G245" s="16" t="n"/>
      <c r="H245" s="124">
        <f>IF(G245="","",COUNTIFS($C$18:$C$2015,G$13,$D$18:$D$2015,"&gt;="&amp;G245,$D$18:$D$2015,"&lt;"&amp;G246))</f>
        <v/>
      </c>
      <c r="I245" s="14" t="n"/>
      <c r="J245" s="16" t="n"/>
      <c r="K245" s="124">
        <f>IF(J245="","",COUNTIFS($C$18:$C$2015,J$13,$D$18:$D$2015,"&gt;="&amp;J245,$D$18:$D$2015,"&lt;"&amp;J246))</f>
        <v/>
      </c>
      <c r="L245" s="14" t="n"/>
      <c r="M245" s="16" t="n"/>
      <c r="N245" s="124">
        <f>IF(M245="","",COUNTIFS($C$18:$C$2015,M$13,$D$18:$D$2015,"&gt;="&amp;M245,$D$18:$D$2015,"&lt;"&amp;M246))</f>
        <v/>
      </c>
      <c r="O245" s="14" t="n"/>
      <c r="P245" s="16" t="n"/>
      <c r="Q245" s="124">
        <f>IF(P245="","",COUNTIFS($C$18:$C$2015,P$13,$D$18:$D$2015,"&gt;="&amp;P245,$D$18:$D$2015,"&lt;"&amp;P246))</f>
        <v/>
      </c>
      <c r="R245" s="14" t="n"/>
      <c r="S245" s="16" t="n"/>
      <c r="T245" s="124">
        <f>IF(S245="","",COUNTIFS($C$18:$C$2015,S$13,$D$18:$D$2015,"&gt;="&amp;S245,$D$18:$D$2015,"&lt;"&amp;S246))</f>
        <v/>
      </c>
      <c r="U245" s="14" t="n"/>
      <c r="V245" s="16" t="n"/>
      <c r="W245" s="124">
        <f>IF(V245="","",COUNTIFS($C$18:$C$2015,V$13,$D$18:$D$2015,"&gt;="&amp;V245,$D$18:$D$2015,"&lt;"&amp;V246))</f>
        <v/>
      </c>
      <c r="X245" s="14" t="n"/>
      <c r="Y245" s="16" t="n"/>
      <c r="Z245" s="124">
        <f>IF(Y245="","",COUNTIFS($C$18:$C$2015,Y$13,$D$18:$D$2015,"&gt;="&amp;Y245,$D$18:$D$2015,"&lt;"&amp;Y246))</f>
        <v/>
      </c>
      <c r="AA245" s="14" t="n"/>
      <c r="AB245" s="16" t="n"/>
      <c r="AC245" s="124">
        <f>IF(AB245="","",COUNTIFS($C$18:$C$2015,AB$13,$D$18:$D$2015,"&gt;="&amp;AB245,$D$18:$D$2015,"&lt;"&amp;AB246))</f>
        <v/>
      </c>
      <c r="AD245" s="14" t="n"/>
    </row>
    <row r="246">
      <c r="A246" s="56" t="n"/>
      <c r="B246" s="57" t="n"/>
      <c r="C246" s="59" t="n"/>
      <c r="E246" s="16" t="n"/>
      <c r="F246" s="13" t="n"/>
      <c r="G246" s="16" t="n"/>
      <c r="H246" s="124">
        <f>IF(G246="","",COUNTIFS($C$18:$C$2015,G$13,$D$18:$D$2015,"&gt;="&amp;G246,$D$18:$D$2015,"&lt;"&amp;G247))</f>
        <v/>
      </c>
      <c r="I246" s="14" t="n"/>
      <c r="J246" s="16" t="n"/>
      <c r="K246" s="124">
        <f>IF(J246="","",COUNTIFS($C$18:$C$2015,J$13,$D$18:$D$2015,"&gt;="&amp;J246,$D$18:$D$2015,"&lt;"&amp;J247))</f>
        <v/>
      </c>
      <c r="L246" s="14" t="n"/>
      <c r="M246" s="16" t="n"/>
      <c r="N246" s="124">
        <f>IF(M246="","",COUNTIFS($C$18:$C$2015,M$13,$D$18:$D$2015,"&gt;="&amp;M246,$D$18:$D$2015,"&lt;"&amp;M247))</f>
        <v/>
      </c>
      <c r="O246" s="14" t="n"/>
      <c r="P246" s="16" t="n"/>
      <c r="Q246" s="124">
        <f>IF(P246="","",COUNTIFS($C$18:$C$2015,P$13,$D$18:$D$2015,"&gt;="&amp;P246,$D$18:$D$2015,"&lt;"&amp;P247))</f>
        <v/>
      </c>
      <c r="R246" s="14" t="n"/>
      <c r="S246" s="16" t="n"/>
      <c r="T246" s="124">
        <f>IF(S246="","",COUNTIFS($C$18:$C$2015,S$13,$D$18:$D$2015,"&gt;="&amp;S246,$D$18:$D$2015,"&lt;"&amp;S247))</f>
        <v/>
      </c>
      <c r="U246" s="14" t="n"/>
      <c r="V246" s="16" t="n"/>
      <c r="W246" s="124">
        <f>IF(V246="","",COUNTIFS($C$18:$C$2015,V$13,$D$18:$D$2015,"&gt;="&amp;V246,$D$18:$D$2015,"&lt;"&amp;V247))</f>
        <v/>
      </c>
      <c r="X246" s="14" t="n"/>
      <c r="Y246" s="16" t="n"/>
      <c r="Z246" s="124">
        <f>IF(Y246="","",COUNTIFS($C$18:$C$2015,Y$13,$D$18:$D$2015,"&gt;="&amp;Y246,$D$18:$D$2015,"&lt;"&amp;Y247))</f>
        <v/>
      </c>
      <c r="AA246" s="14" t="n"/>
      <c r="AB246" s="16" t="n"/>
      <c r="AC246" s="124">
        <f>IF(AB246="","",COUNTIFS($C$18:$C$2015,AB$13,$D$18:$D$2015,"&gt;="&amp;AB246,$D$18:$D$2015,"&lt;"&amp;AB247))</f>
        <v/>
      </c>
      <c r="AD246" s="14" t="n"/>
    </row>
    <row r="247">
      <c r="A247" s="58" t="n"/>
      <c r="B247" s="59" t="n"/>
      <c r="C247" s="59" t="n"/>
      <c r="E247" s="16" t="n"/>
      <c r="F247" s="13" t="n"/>
      <c r="G247" s="16" t="n"/>
      <c r="H247" s="124">
        <f>IF(G247="","",COUNTIFS($C$18:$C$2015,G$13,$D$18:$D$2015,"&gt;="&amp;G247,$D$18:$D$2015,"&lt;"&amp;G248))</f>
        <v/>
      </c>
      <c r="I247" s="14" t="n"/>
      <c r="J247" s="16" t="n"/>
      <c r="K247" s="124">
        <f>IF(J247="","",COUNTIFS($C$18:$C$2015,J$13,$D$18:$D$2015,"&gt;="&amp;J247,$D$18:$D$2015,"&lt;"&amp;J248))</f>
        <v/>
      </c>
      <c r="L247" s="14" t="n"/>
      <c r="M247" s="16" t="n"/>
      <c r="N247" s="124">
        <f>IF(M247="","",COUNTIFS($C$18:$C$2015,M$13,$D$18:$D$2015,"&gt;="&amp;M247,$D$18:$D$2015,"&lt;"&amp;M248))</f>
        <v/>
      </c>
      <c r="O247" s="14" t="n"/>
      <c r="P247" s="16" t="n"/>
      <c r="Q247" s="124">
        <f>IF(P247="","",COUNTIFS($C$18:$C$2015,P$13,$D$18:$D$2015,"&gt;="&amp;P247,$D$18:$D$2015,"&lt;"&amp;P248))</f>
        <v/>
      </c>
      <c r="R247" s="14" t="n"/>
      <c r="S247" s="16" t="n"/>
      <c r="T247" s="124">
        <f>IF(S247="","",COUNTIFS($C$18:$C$2015,S$13,$D$18:$D$2015,"&gt;="&amp;S247,$D$18:$D$2015,"&lt;"&amp;S248))</f>
        <v/>
      </c>
      <c r="U247" s="14" t="n"/>
      <c r="V247" s="16" t="n"/>
      <c r="W247" s="124">
        <f>IF(V247="","",COUNTIFS($C$18:$C$2015,V$13,$D$18:$D$2015,"&gt;="&amp;V247,$D$18:$D$2015,"&lt;"&amp;V248))</f>
        <v/>
      </c>
      <c r="X247" s="14" t="n"/>
      <c r="Y247" s="16" t="n"/>
      <c r="Z247" s="124">
        <f>IF(Y247="","",COUNTIFS($C$18:$C$2015,Y$13,$D$18:$D$2015,"&gt;="&amp;Y247,$D$18:$D$2015,"&lt;"&amp;Y248))</f>
        <v/>
      </c>
      <c r="AA247" s="14" t="n"/>
      <c r="AB247" s="16" t="n"/>
      <c r="AC247" s="124">
        <f>IF(AB247="","",COUNTIFS($C$18:$C$2015,AB$13,$D$18:$D$2015,"&gt;="&amp;AB247,$D$18:$D$2015,"&lt;"&amp;AB248))</f>
        <v/>
      </c>
      <c r="AD247" s="14" t="n"/>
    </row>
    <row r="248">
      <c r="A248" s="56" t="n"/>
      <c r="B248" s="57" t="n"/>
      <c r="C248" s="59" t="n"/>
      <c r="E248" s="16" t="n"/>
      <c r="F248" s="13" t="n"/>
      <c r="G248" s="16" t="n"/>
      <c r="H248" s="124">
        <f>IF(G248="","",COUNTIFS($C$18:$C$2015,G$13,$D$18:$D$2015,"&gt;="&amp;G248,$D$18:$D$2015,"&lt;"&amp;G249))</f>
        <v/>
      </c>
      <c r="I248" s="14" t="n"/>
      <c r="J248" s="16" t="n"/>
      <c r="K248" s="124">
        <f>IF(J248="","",COUNTIFS($C$18:$C$2015,J$13,$D$18:$D$2015,"&gt;="&amp;J248,$D$18:$D$2015,"&lt;"&amp;J249))</f>
        <v/>
      </c>
      <c r="L248" s="14" t="n"/>
      <c r="M248" s="16" t="n"/>
      <c r="N248" s="124">
        <f>IF(M248="","",COUNTIFS($C$18:$C$2015,M$13,$D$18:$D$2015,"&gt;="&amp;M248,$D$18:$D$2015,"&lt;"&amp;M249))</f>
        <v/>
      </c>
      <c r="O248" s="14" t="n"/>
      <c r="P248" s="16" t="n"/>
      <c r="Q248" s="124">
        <f>IF(P248="","",COUNTIFS($C$18:$C$2015,P$13,$D$18:$D$2015,"&gt;="&amp;P248,$D$18:$D$2015,"&lt;"&amp;P249))</f>
        <v/>
      </c>
      <c r="R248" s="14" t="n"/>
      <c r="S248" s="16" t="n"/>
      <c r="T248" s="124">
        <f>IF(S248="","",COUNTIFS($C$18:$C$2015,S$13,$D$18:$D$2015,"&gt;="&amp;S248,$D$18:$D$2015,"&lt;"&amp;S249))</f>
        <v/>
      </c>
      <c r="U248" s="14" t="n"/>
      <c r="V248" s="16" t="n"/>
      <c r="W248" s="124">
        <f>IF(V248="","",COUNTIFS($C$18:$C$2015,V$13,$D$18:$D$2015,"&gt;="&amp;V248,$D$18:$D$2015,"&lt;"&amp;V249))</f>
        <v/>
      </c>
      <c r="X248" s="14" t="n"/>
      <c r="Y248" s="16" t="n"/>
      <c r="Z248" s="124">
        <f>IF(Y248="","",COUNTIFS($C$18:$C$2015,Y$13,$D$18:$D$2015,"&gt;="&amp;Y248,$D$18:$D$2015,"&lt;"&amp;Y249))</f>
        <v/>
      </c>
      <c r="AA248" s="14" t="n"/>
      <c r="AB248" s="16" t="n"/>
      <c r="AC248" s="124">
        <f>IF(AB248="","",COUNTIFS($C$18:$C$2015,AB$13,$D$18:$D$2015,"&gt;="&amp;AB248,$D$18:$D$2015,"&lt;"&amp;AB249))</f>
        <v/>
      </c>
      <c r="AD248" s="14" t="n"/>
    </row>
    <row r="249">
      <c r="A249" s="58" t="n"/>
      <c r="B249" s="59" t="n"/>
      <c r="C249" s="59" t="n"/>
      <c r="E249" s="16" t="n"/>
      <c r="F249" s="13" t="n"/>
      <c r="G249" s="16" t="n"/>
      <c r="H249" s="124">
        <f>IF(G249="","",COUNTIFS($C$18:$C$2015,G$13,$D$18:$D$2015,"&gt;="&amp;G249,$D$18:$D$2015,"&lt;"&amp;G250))</f>
        <v/>
      </c>
      <c r="I249" s="14" t="n"/>
      <c r="J249" s="16" t="n"/>
      <c r="K249" s="124">
        <f>IF(J249="","",COUNTIFS($C$18:$C$2015,J$13,$D$18:$D$2015,"&gt;="&amp;J249,$D$18:$D$2015,"&lt;"&amp;J250))</f>
        <v/>
      </c>
      <c r="L249" s="14" t="n"/>
      <c r="M249" s="16" t="n"/>
      <c r="N249" s="124">
        <f>IF(M249="","",COUNTIFS($C$18:$C$2015,M$13,$D$18:$D$2015,"&gt;="&amp;M249,$D$18:$D$2015,"&lt;"&amp;M250))</f>
        <v/>
      </c>
      <c r="O249" s="14" t="n"/>
      <c r="P249" s="16" t="n"/>
      <c r="Q249" s="124">
        <f>IF(P249="","",COUNTIFS($C$18:$C$2015,P$13,$D$18:$D$2015,"&gt;="&amp;P249,$D$18:$D$2015,"&lt;"&amp;P250))</f>
        <v/>
      </c>
      <c r="R249" s="14" t="n"/>
      <c r="S249" s="16" t="n"/>
      <c r="T249" s="124">
        <f>IF(S249="","",COUNTIFS($C$18:$C$2015,S$13,$D$18:$D$2015,"&gt;="&amp;S249,$D$18:$D$2015,"&lt;"&amp;S250))</f>
        <v/>
      </c>
      <c r="U249" s="14" t="n"/>
      <c r="V249" s="16" t="n"/>
      <c r="W249" s="124">
        <f>IF(V249="","",COUNTIFS($C$18:$C$2015,V$13,$D$18:$D$2015,"&gt;="&amp;V249,$D$18:$D$2015,"&lt;"&amp;V250))</f>
        <v/>
      </c>
      <c r="X249" s="14" t="n"/>
      <c r="Y249" s="16" t="n"/>
      <c r="Z249" s="124">
        <f>IF(Y249="","",COUNTIFS($C$18:$C$2015,Y$13,$D$18:$D$2015,"&gt;="&amp;Y249,$D$18:$D$2015,"&lt;"&amp;Y250))</f>
        <v/>
      </c>
      <c r="AA249" s="14" t="n"/>
      <c r="AB249" s="16" t="n"/>
      <c r="AC249" s="124">
        <f>IF(AB249="","",COUNTIFS($C$18:$C$2015,AB$13,$D$18:$D$2015,"&gt;="&amp;AB249,$D$18:$D$2015,"&lt;"&amp;AB250))</f>
        <v/>
      </c>
      <c r="AD249" s="14" t="n"/>
    </row>
    <row r="250">
      <c r="A250" s="56" t="n"/>
      <c r="B250" s="57" t="n"/>
      <c r="C250" s="59" t="n"/>
      <c r="E250" s="16" t="n"/>
      <c r="F250" s="13" t="n"/>
      <c r="G250" s="16" t="n"/>
      <c r="H250" s="124">
        <f>IF(G250="","",COUNTIFS($C$18:$C$2015,G$13,$D$18:$D$2015,"&gt;="&amp;G250,$D$18:$D$2015,"&lt;"&amp;G251))</f>
        <v/>
      </c>
      <c r="I250" s="14" t="n"/>
      <c r="J250" s="16" t="n"/>
      <c r="K250" s="124">
        <f>IF(J250="","",COUNTIFS($C$18:$C$2015,J$13,$D$18:$D$2015,"&gt;="&amp;J250,$D$18:$D$2015,"&lt;"&amp;J251))</f>
        <v/>
      </c>
      <c r="L250" s="14" t="n"/>
      <c r="M250" s="16" t="n"/>
      <c r="N250" s="124">
        <f>IF(M250="","",COUNTIFS($C$18:$C$2015,M$13,$D$18:$D$2015,"&gt;="&amp;M250,$D$18:$D$2015,"&lt;"&amp;M251))</f>
        <v/>
      </c>
      <c r="O250" s="14" t="n"/>
      <c r="P250" s="16" t="n"/>
      <c r="Q250" s="124">
        <f>IF(P250="","",COUNTIFS($C$18:$C$2015,P$13,$D$18:$D$2015,"&gt;="&amp;P250,$D$18:$D$2015,"&lt;"&amp;P251))</f>
        <v/>
      </c>
      <c r="R250" s="14" t="n"/>
      <c r="S250" s="16" t="n"/>
      <c r="T250" s="124">
        <f>IF(S250="","",COUNTIFS($C$18:$C$2015,S$13,$D$18:$D$2015,"&gt;="&amp;S250,$D$18:$D$2015,"&lt;"&amp;S251))</f>
        <v/>
      </c>
      <c r="U250" s="14" t="n"/>
      <c r="V250" s="16" t="n"/>
      <c r="W250" s="124">
        <f>IF(V250="","",COUNTIFS($C$18:$C$2015,V$13,$D$18:$D$2015,"&gt;="&amp;V250,$D$18:$D$2015,"&lt;"&amp;V251))</f>
        <v/>
      </c>
      <c r="X250" s="14" t="n"/>
      <c r="Y250" s="16" t="n"/>
      <c r="Z250" s="124">
        <f>IF(Y250="","",COUNTIFS($C$18:$C$2015,Y$13,$D$18:$D$2015,"&gt;="&amp;Y250,$D$18:$D$2015,"&lt;"&amp;Y251))</f>
        <v/>
      </c>
      <c r="AA250" s="14" t="n"/>
      <c r="AB250" s="16" t="n"/>
      <c r="AC250" s="124">
        <f>IF(AB250="","",COUNTIFS($C$18:$C$2015,AB$13,$D$18:$D$2015,"&gt;="&amp;AB250,$D$18:$D$2015,"&lt;"&amp;AB251))</f>
        <v/>
      </c>
      <c r="AD250" s="14" t="n"/>
    </row>
    <row r="251">
      <c r="A251" s="58" t="n"/>
      <c r="B251" s="59" t="n"/>
      <c r="C251" s="59" t="n"/>
      <c r="E251" s="16" t="n"/>
      <c r="F251" s="13" t="n"/>
      <c r="G251" s="16" t="n"/>
      <c r="H251" s="124">
        <f>IF(G251="","",COUNTIFS($C$18:$C$2015,G$13,$D$18:$D$2015,"&gt;="&amp;G251,$D$18:$D$2015,"&lt;"&amp;G252))</f>
        <v/>
      </c>
      <c r="I251" s="14" t="n"/>
      <c r="J251" s="16" t="n"/>
      <c r="K251" s="124">
        <f>IF(J251="","",COUNTIFS($C$18:$C$2015,J$13,$D$18:$D$2015,"&gt;="&amp;J251,$D$18:$D$2015,"&lt;"&amp;J252))</f>
        <v/>
      </c>
      <c r="L251" s="14" t="n"/>
      <c r="M251" s="16" t="n"/>
      <c r="N251" s="124">
        <f>IF(M251="","",COUNTIFS($C$18:$C$2015,M$13,$D$18:$D$2015,"&gt;="&amp;M251,$D$18:$D$2015,"&lt;"&amp;M252))</f>
        <v/>
      </c>
      <c r="O251" s="14" t="n"/>
      <c r="P251" s="16" t="n"/>
      <c r="Q251" s="124">
        <f>IF(P251="","",COUNTIFS($C$18:$C$2015,P$13,$D$18:$D$2015,"&gt;="&amp;P251,$D$18:$D$2015,"&lt;"&amp;P252))</f>
        <v/>
      </c>
      <c r="R251" s="14" t="n"/>
      <c r="S251" s="16" t="n"/>
      <c r="T251" s="124">
        <f>IF(S251="","",COUNTIFS($C$18:$C$2015,S$13,$D$18:$D$2015,"&gt;="&amp;S251,$D$18:$D$2015,"&lt;"&amp;S252))</f>
        <v/>
      </c>
      <c r="U251" s="14" t="n"/>
      <c r="V251" s="16" t="n"/>
      <c r="W251" s="124">
        <f>IF(V251="","",COUNTIFS($C$18:$C$2015,V$13,$D$18:$D$2015,"&gt;="&amp;V251,$D$18:$D$2015,"&lt;"&amp;V252))</f>
        <v/>
      </c>
      <c r="X251" s="14" t="n"/>
      <c r="Y251" s="16" t="n"/>
      <c r="Z251" s="124">
        <f>IF(Y251="","",COUNTIFS($C$18:$C$2015,Y$13,$D$18:$D$2015,"&gt;="&amp;Y251,$D$18:$D$2015,"&lt;"&amp;Y252))</f>
        <v/>
      </c>
      <c r="AA251" s="14" t="n"/>
      <c r="AB251" s="16" t="n"/>
      <c r="AC251" s="124">
        <f>IF(AB251="","",COUNTIFS($C$18:$C$2015,AB$13,$D$18:$D$2015,"&gt;="&amp;AB251,$D$18:$D$2015,"&lt;"&amp;AB252))</f>
        <v/>
      </c>
      <c r="AD251" s="14" t="n"/>
    </row>
    <row r="252">
      <c r="A252" s="56" t="n"/>
      <c r="B252" s="57" t="n"/>
      <c r="C252" s="59" t="n"/>
      <c r="E252" s="16" t="n"/>
      <c r="F252" s="13" t="n"/>
      <c r="G252" s="16" t="n"/>
      <c r="H252" s="124">
        <f>IF(G252="","",COUNTIFS($C$18:$C$2015,G$13,$D$18:$D$2015,"&gt;="&amp;G252,$D$18:$D$2015,"&lt;"&amp;G253))</f>
        <v/>
      </c>
      <c r="I252" s="14" t="n"/>
      <c r="J252" s="16" t="n"/>
      <c r="K252" s="124">
        <f>IF(J252="","",COUNTIFS($C$18:$C$2015,J$13,$D$18:$D$2015,"&gt;="&amp;J252,$D$18:$D$2015,"&lt;"&amp;J253))</f>
        <v/>
      </c>
      <c r="L252" s="14" t="n"/>
      <c r="M252" s="16" t="n"/>
      <c r="N252" s="124">
        <f>IF(M252="","",COUNTIFS($C$18:$C$2015,M$13,$D$18:$D$2015,"&gt;="&amp;M252,$D$18:$D$2015,"&lt;"&amp;M253))</f>
        <v/>
      </c>
      <c r="O252" s="14" t="n"/>
      <c r="P252" s="16" t="n"/>
      <c r="Q252" s="124">
        <f>IF(P252="","",COUNTIFS($C$18:$C$2015,P$13,$D$18:$D$2015,"&gt;="&amp;P252,$D$18:$D$2015,"&lt;"&amp;P253))</f>
        <v/>
      </c>
      <c r="R252" s="14" t="n"/>
      <c r="S252" s="16" t="n"/>
      <c r="T252" s="124">
        <f>IF(S252="","",COUNTIFS($C$18:$C$2015,S$13,$D$18:$D$2015,"&gt;="&amp;S252,$D$18:$D$2015,"&lt;"&amp;S253))</f>
        <v/>
      </c>
      <c r="U252" s="14" t="n"/>
      <c r="V252" s="16" t="n"/>
      <c r="W252" s="124">
        <f>IF(V252="","",COUNTIFS($C$18:$C$2015,V$13,$D$18:$D$2015,"&gt;="&amp;V252,$D$18:$D$2015,"&lt;"&amp;V253))</f>
        <v/>
      </c>
      <c r="X252" s="14" t="n"/>
      <c r="Y252" s="16" t="n"/>
      <c r="Z252" s="124">
        <f>IF(Y252="","",COUNTIFS($C$18:$C$2015,Y$13,$D$18:$D$2015,"&gt;="&amp;Y252,$D$18:$D$2015,"&lt;"&amp;Y253))</f>
        <v/>
      </c>
      <c r="AA252" s="14" t="n"/>
      <c r="AB252" s="16" t="n"/>
      <c r="AC252" s="124">
        <f>IF(AB252="","",COUNTIFS($C$18:$C$2015,AB$13,$D$18:$D$2015,"&gt;="&amp;AB252,$D$18:$D$2015,"&lt;"&amp;AB253))</f>
        <v/>
      </c>
      <c r="AD252" s="14" t="n"/>
    </row>
    <row r="253">
      <c r="A253" s="58" t="n"/>
      <c r="B253" s="59" t="n"/>
      <c r="C253" s="59" t="n"/>
      <c r="E253" s="16" t="n"/>
      <c r="F253" s="13" t="n"/>
      <c r="G253" s="16" t="n"/>
      <c r="H253" s="124">
        <f>IF(G253="","",COUNTIFS($C$18:$C$2015,G$13,$D$18:$D$2015,"&gt;="&amp;G253,$D$18:$D$2015,"&lt;"&amp;G254))</f>
        <v/>
      </c>
      <c r="I253" s="14" t="n"/>
      <c r="J253" s="16" t="n"/>
      <c r="K253" s="124">
        <f>IF(J253="","",COUNTIFS($C$18:$C$2015,J$13,$D$18:$D$2015,"&gt;="&amp;J253,$D$18:$D$2015,"&lt;"&amp;J254))</f>
        <v/>
      </c>
      <c r="L253" s="14" t="n"/>
      <c r="M253" s="16" t="n"/>
      <c r="N253" s="124">
        <f>IF(M253="","",COUNTIFS($C$18:$C$2015,M$13,$D$18:$D$2015,"&gt;="&amp;M253,$D$18:$D$2015,"&lt;"&amp;M254))</f>
        <v/>
      </c>
      <c r="O253" s="14" t="n"/>
      <c r="P253" s="16" t="n"/>
      <c r="Q253" s="124">
        <f>IF(P253="","",COUNTIFS($C$18:$C$2015,P$13,$D$18:$D$2015,"&gt;="&amp;P253,$D$18:$D$2015,"&lt;"&amp;P254))</f>
        <v/>
      </c>
      <c r="R253" s="14" t="n"/>
      <c r="S253" s="16" t="n"/>
      <c r="T253" s="124">
        <f>IF(S253="","",COUNTIFS($C$18:$C$2015,S$13,$D$18:$D$2015,"&gt;="&amp;S253,$D$18:$D$2015,"&lt;"&amp;S254))</f>
        <v/>
      </c>
      <c r="U253" s="14" t="n"/>
      <c r="V253" s="16" t="n"/>
      <c r="W253" s="124">
        <f>IF(V253="","",COUNTIFS($C$18:$C$2015,V$13,$D$18:$D$2015,"&gt;="&amp;V253,$D$18:$D$2015,"&lt;"&amp;V254))</f>
        <v/>
      </c>
      <c r="X253" s="14" t="n"/>
      <c r="Y253" s="16" t="n"/>
      <c r="Z253" s="124">
        <f>IF(Y253="","",COUNTIFS($C$18:$C$2015,Y$13,$D$18:$D$2015,"&gt;="&amp;Y253,$D$18:$D$2015,"&lt;"&amp;Y254))</f>
        <v/>
      </c>
      <c r="AA253" s="14" t="n"/>
      <c r="AB253" s="16" t="n"/>
      <c r="AC253" s="124">
        <f>IF(AB253="","",COUNTIFS($C$18:$C$2015,AB$13,$D$18:$D$2015,"&gt;="&amp;AB253,$D$18:$D$2015,"&lt;"&amp;AB254))</f>
        <v/>
      </c>
      <c r="AD253" s="14" t="n"/>
    </row>
    <row r="254">
      <c r="A254" s="56" t="n"/>
      <c r="B254" s="57" t="n"/>
      <c r="C254" s="59" t="n"/>
      <c r="E254" s="16" t="n"/>
      <c r="F254" s="13" t="n"/>
      <c r="G254" s="16" t="n"/>
      <c r="H254" s="124">
        <f>IF(G254="","",COUNTIFS($C$18:$C$2015,G$13,$D$18:$D$2015,"&gt;="&amp;G254,$D$18:$D$2015,"&lt;"&amp;G255))</f>
        <v/>
      </c>
      <c r="I254" s="14" t="n"/>
      <c r="J254" s="16" t="n"/>
      <c r="K254" s="124">
        <f>IF(J254="","",COUNTIFS($C$18:$C$2015,J$13,$D$18:$D$2015,"&gt;="&amp;J254,$D$18:$D$2015,"&lt;"&amp;J255))</f>
        <v/>
      </c>
      <c r="L254" s="14" t="n"/>
      <c r="M254" s="16" t="n"/>
      <c r="N254" s="124">
        <f>IF(M254="","",COUNTIFS($C$18:$C$2015,M$13,$D$18:$D$2015,"&gt;="&amp;M254,$D$18:$D$2015,"&lt;"&amp;M255))</f>
        <v/>
      </c>
      <c r="O254" s="14" t="n"/>
      <c r="P254" s="16" t="n"/>
      <c r="Q254" s="124">
        <f>IF(P254="","",COUNTIFS($C$18:$C$2015,P$13,$D$18:$D$2015,"&gt;="&amp;P254,$D$18:$D$2015,"&lt;"&amp;P255))</f>
        <v/>
      </c>
      <c r="R254" s="14" t="n"/>
      <c r="S254" s="16" t="n"/>
      <c r="T254" s="124">
        <f>IF(S254="","",COUNTIFS($C$18:$C$2015,S$13,$D$18:$D$2015,"&gt;="&amp;S254,$D$18:$D$2015,"&lt;"&amp;S255))</f>
        <v/>
      </c>
      <c r="U254" s="14" t="n"/>
      <c r="V254" s="16" t="n"/>
      <c r="W254" s="124">
        <f>IF(V254="","",COUNTIFS($C$18:$C$2015,V$13,$D$18:$D$2015,"&gt;="&amp;V254,$D$18:$D$2015,"&lt;"&amp;V255))</f>
        <v/>
      </c>
      <c r="X254" s="14" t="n"/>
      <c r="Y254" s="16" t="n"/>
      <c r="Z254" s="124">
        <f>IF(Y254="","",COUNTIFS($C$18:$C$2015,Y$13,$D$18:$D$2015,"&gt;="&amp;Y254,$D$18:$D$2015,"&lt;"&amp;Y255))</f>
        <v/>
      </c>
      <c r="AA254" s="14" t="n"/>
      <c r="AB254" s="16" t="n"/>
      <c r="AC254" s="124">
        <f>IF(AB254="","",COUNTIFS($C$18:$C$2015,AB$13,$D$18:$D$2015,"&gt;="&amp;AB254,$D$18:$D$2015,"&lt;"&amp;AB255))</f>
        <v/>
      </c>
      <c r="AD254" s="14" t="n"/>
    </row>
    <row r="255">
      <c r="A255" s="58" t="n"/>
      <c r="B255" s="59" t="n"/>
      <c r="C255" s="59" t="n"/>
      <c r="E255" s="16" t="n"/>
      <c r="F255" s="13" t="n"/>
      <c r="G255" s="16" t="n"/>
      <c r="H255" s="124">
        <f>IF(G255="","",COUNTIFS($C$18:$C$2015,G$13,$D$18:$D$2015,"&gt;="&amp;G255,$D$18:$D$2015,"&lt;"&amp;G256))</f>
        <v/>
      </c>
      <c r="I255" s="14" t="n"/>
      <c r="J255" s="16" t="n"/>
      <c r="K255" s="124">
        <f>IF(J255="","",COUNTIFS($C$18:$C$2015,J$13,$D$18:$D$2015,"&gt;="&amp;J255,$D$18:$D$2015,"&lt;"&amp;J256))</f>
        <v/>
      </c>
      <c r="L255" s="14" t="n"/>
      <c r="M255" s="16" t="n"/>
      <c r="N255" s="124">
        <f>IF(M255="","",COUNTIFS($C$18:$C$2015,M$13,$D$18:$D$2015,"&gt;="&amp;M255,$D$18:$D$2015,"&lt;"&amp;M256))</f>
        <v/>
      </c>
      <c r="O255" s="14" t="n"/>
      <c r="P255" s="16" t="n"/>
      <c r="Q255" s="124">
        <f>IF(P255="","",COUNTIFS($C$18:$C$2015,P$13,$D$18:$D$2015,"&gt;="&amp;P255,$D$18:$D$2015,"&lt;"&amp;P256))</f>
        <v/>
      </c>
      <c r="R255" s="14" t="n"/>
      <c r="S255" s="16" t="n"/>
      <c r="T255" s="124">
        <f>IF(S255="","",COUNTIFS($C$18:$C$2015,S$13,$D$18:$D$2015,"&gt;="&amp;S255,$D$18:$D$2015,"&lt;"&amp;S256))</f>
        <v/>
      </c>
      <c r="U255" s="14" t="n"/>
      <c r="V255" s="16" t="n"/>
      <c r="W255" s="124">
        <f>IF(V255="","",COUNTIFS($C$18:$C$2015,V$13,$D$18:$D$2015,"&gt;="&amp;V255,$D$18:$D$2015,"&lt;"&amp;V256))</f>
        <v/>
      </c>
      <c r="X255" s="14" t="n"/>
      <c r="Y255" s="16" t="n"/>
      <c r="Z255" s="124">
        <f>IF(Y255="","",COUNTIFS($C$18:$C$2015,Y$13,$D$18:$D$2015,"&gt;="&amp;Y255,$D$18:$D$2015,"&lt;"&amp;Y256))</f>
        <v/>
      </c>
      <c r="AA255" s="14" t="n"/>
      <c r="AB255" s="16" t="n"/>
      <c r="AC255" s="124">
        <f>IF(AB255="","",COUNTIFS($C$18:$C$2015,AB$13,$D$18:$D$2015,"&gt;="&amp;AB255,$D$18:$D$2015,"&lt;"&amp;AB256))</f>
        <v/>
      </c>
      <c r="AD255" s="14" t="n"/>
    </row>
    <row r="256">
      <c r="A256" s="56" t="n"/>
      <c r="B256" s="57" t="n"/>
      <c r="C256" s="59" t="n"/>
      <c r="E256" s="16" t="n"/>
      <c r="F256" s="13" t="n"/>
      <c r="G256" s="16" t="n"/>
      <c r="H256" s="124">
        <f>IF(G256="","",COUNTIFS($C$18:$C$2015,G$13,$D$18:$D$2015,"&gt;="&amp;G256,$D$18:$D$2015,"&lt;"&amp;G257))</f>
        <v/>
      </c>
      <c r="I256" s="14" t="n"/>
      <c r="J256" s="16" t="n"/>
      <c r="K256" s="124">
        <f>IF(J256="","",COUNTIFS($C$18:$C$2015,J$13,$D$18:$D$2015,"&gt;="&amp;J256,$D$18:$D$2015,"&lt;"&amp;J257))</f>
        <v/>
      </c>
      <c r="L256" s="14" t="n"/>
      <c r="M256" s="16" t="n"/>
      <c r="N256" s="124">
        <f>IF(M256="","",COUNTIFS($C$18:$C$2015,M$13,$D$18:$D$2015,"&gt;="&amp;M256,$D$18:$D$2015,"&lt;"&amp;M257))</f>
        <v/>
      </c>
      <c r="O256" s="14" t="n"/>
      <c r="P256" s="16" t="n"/>
      <c r="Q256" s="124">
        <f>IF(P256="","",COUNTIFS($C$18:$C$2015,P$13,$D$18:$D$2015,"&gt;="&amp;P256,$D$18:$D$2015,"&lt;"&amp;P257))</f>
        <v/>
      </c>
      <c r="R256" s="14" t="n"/>
      <c r="S256" s="16" t="n"/>
      <c r="T256" s="124">
        <f>IF(S256="","",COUNTIFS($C$18:$C$2015,S$13,$D$18:$D$2015,"&gt;="&amp;S256,$D$18:$D$2015,"&lt;"&amp;S257))</f>
        <v/>
      </c>
      <c r="U256" s="14" t="n"/>
      <c r="V256" s="16" t="n"/>
      <c r="W256" s="124">
        <f>IF(V256="","",COUNTIFS($C$18:$C$2015,V$13,$D$18:$D$2015,"&gt;="&amp;V256,$D$18:$D$2015,"&lt;"&amp;V257))</f>
        <v/>
      </c>
      <c r="X256" s="14" t="n"/>
      <c r="Y256" s="16" t="n"/>
      <c r="Z256" s="124">
        <f>IF(Y256="","",COUNTIFS($C$18:$C$2015,Y$13,$D$18:$D$2015,"&gt;="&amp;Y256,$D$18:$D$2015,"&lt;"&amp;Y257))</f>
        <v/>
      </c>
      <c r="AA256" s="14" t="n"/>
      <c r="AB256" s="16" t="n"/>
      <c r="AC256" s="124">
        <f>IF(AB256="","",COUNTIFS($C$18:$C$2015,AB$13,$D$18:$D$2015,"&gt;="&amp;AB256,$D$18:$D$2015,"&lt;"&amp;AB257))</f>
        <v/>
      </c>
      <c r="AD256" s="14" t="n"/>
    </row>
    <row r="257">
      <c r="A257" s="58" t="n"/>
      <c r="B257" s="59" t="n"/>
      <c r="C257" s="59" t="n"/>
      <c r="E257" s="16" t="n"/>
      <c r="F257" s="13" t="n"/>
      <c r="G257" s="16" t="n"/>
      <c r="H257" s="124">
        <f>IF(G257="","",COUNTIFS($C$18:$C$2015,G$13,$D$18:$D$2015,"&gt;="&amp;G257,$D$18:$D$2015,"&lt;"&amp;G258))</f>
        <v/>
      </c>
      <c r="I257" s="14" t="n"/>
      <c r="J257" s="16" t="n"/>
      <c r="K257" s="124">
        <f>IF(J257="","",COUNTIFS($C$18:$C$2015,J$13,$D$18:$D$2015,"&gt;="&amp;J257,$D$18:$D$2015,"&lt;"&amp;J258))</f>
        <v/>
      </c>
      <c r="L257" s="14" t="n"/>
      <c r="M257" s="16" t="n"/>
      <c r="N257" s="124">
        <f>IF(M257="","",COUNTIFS($C$18:$C$2015,M$13,$D$18:$D$2015,"&gt;="&amp;M257,$D$18:$D$2015,"&lt;"&amp;M258))</f>
        <v/>
      </c>
      <c r="O257" s="14" t="n"/>
      <c r="P257" s="16" t="n"/>
      <c r="Q257" s="124">
        <f>IF(P257="","",COUNTIFS($C$18:$C$2015,P$13,$D$18:$D$2015,"&gt;="&amp;P257,$D$18:$D$2015,"&lt;"&amp;P258))</f>
        <v/>
      </c>
      <c r="R257" s="14" t="n"/>
      <c r="S257" s="16" t="n"/>
      <c r="T257" s="124">
        <f>IF(S257="","",COUNTIFS($C$18:$C$2015,S$13,$D$18:$D$2015,"&gt;="&amp;S257,$D$18:$D$2015,"&lt;"&amp;S258))</f>
        <v/>
      </c>
      <c r="U257" s="14" t="n"/>
      <c r="V257" s="16" t="n"/>
      <c r="W257" s="124">
        <f>IF(V257="","",COUNTIFS($C$18:$C$2015,V$13,$D$18:$D$2015,"&gt;="&amp;V257,$D$18:$D$2015,"&lt;"&amp;V258))</f>
        <v/>
      </c>
      <c r="X257" s="14" t="n"/>
      <c r="Y257" s="16" t="n"/>
      <c r="Z257" s="124">
        <f>IF(Y257="","",COUNTIFS($C$18:$C$2015,Y$13,$D$18:$D$2015,"&gt;="&amp;Y257,$D$18:$D$2015,"&lt;"&amp;Y258))</f>
        <v/>
      </c>
      <c r="AA257" s="14" t="n"/>
      <c r="AB257" s="16" t="n"/>
      <c r="AC257" s="124">
        <f>IF(AB257="","",COUNTIFS($C$18:$C$2015,AB$13,$D$18:$D$2015,"&gt;="&amp;AB257,$D$18:$D$2015,"&lt;"&amp;AB258))</f>
        <v/>
      </c>
      <c r="AD257" s="14" t="n"/>
    </row>
    <row r="258">
      <c r="A258" s="56" t="n"/>
      <c r="B258" s="57" t="n"/>
      <c r="C258" s="59" t="n"/>
      <c r="E258" s="16" t="n"/>
      <c r="F258" s="13" t="n"/>
      <c r="G258" s="16" t="n"/>
      <c r="H258" s="124">
        <f>IF(G258="","",COUNTIFS($C$18:$C$2015,G$13,$D$18:$D$2015,"&gt;="&amp;G258,$D$18:$D$2015,"&lt;"&amp;G259))</f>
        <v/>
      </c>
      <c r="I258" s="14" t="n"/>
      <c r="J258" s="16" t="n"/>
      <c r="K258" s="124">
        <f>IF(J258="","",COUNTIFS($C$18:$C$2015,J$13,$D$18:$D$2015,"&gt;="&amp;J258,$D$18:$D$2015,"&lt;"&amp;J259))</f>
        <v/>
      </c>
      <c r="L258" s="14" t="n"/>
      <c r="M258" s="16" t="n"/>
      <c r="N258" s="124">
        <f>IF(M258="","",COUNTIFS($C$18:$C$2015,M$13,$D$18:$D$2015,"&gt;="&amp;M258,$D$18:$D$2015,"&lt;"&amp;M259))</f>
        <v/>
      </c>
      <c r="O258" s="14" t="n"/>
      <c r="P258" s="16" t="n"/>
      <c r="Q258" s="124">
        <f>IF(P258="","",COUNTIFS($C$18:$C$2015,P$13,$D$18:$D$2015,"&gt;="&amp;P258,$D$18:$D$2015,"&lt;"&amp;P259))</f>
        <v/>
      </c>
      <c r="R258" s="14" t="n"/>
      <c r="S258" s="16" t="n"/>
      <c r="T258" s="124">
        <f>IF(S258="","",COUNTIFS($C$18:$C$2015,S$13,$D$18:$D$2015,"&gt;="&amp;S258,$D$18:$D$2015,"&lt;"&amp;S259))</f>
        <v/>
      </c>
      <c r="U258" s="14" t="n"/>
      <c r="V258" s="16" t="n"/>
      <c r="W258" s="124">
        <f>IF(V258="","",COUNTIFS($C$18:$C$2015,V$13,$D$18:$D$2015,"&gt;="&amp;V258,$D$18:$D$2015,"&lt;"&amp;V259))</f>
        <v/>
      </c>
      <c r="X258" s="14" t="n"/>
      <c r="Y258" s="16" t="n"/>
      <c r="Z258" s="124">
        <f>IF(Y258="","",COUNTIFS($C$18:$C$2015,Y$13,$D$18:$D$2015,"&gt;="&amp;Y258,$D$18:$D$2015,"&lt;"&amp;Y259))</f>
        <v/>
      </c>
      <c r="AA258" s="14" t="n"/>
      <c r="AB258" s="16" t="n"/>
      <c r="AC258" s="124">
        <f>IF(AB258="","",COUNTIFS($C$18:$C$2015,AB$13,$D$18:$D$2015,"&gt;="&amp;AB258,$D$18:$D$2015,"&lt;"&amp;AB259))</f>
        <v/>
      </c>
      <c r="AD258" s="14" t="n"/>
    </row>
    <row r="259">
      <c r="A259" s="58" t="n"/>
      <c r="B259" s="59" t="n"/>
      <c r="C259" s="59" t="n"/>
      <c r="E259" s="16" t="n"/>
      <c r="F259" s="13" t="n"/>
      <c r="G259" s="16" t="n"/>
      <c r="H259" s="124">
        <f>IF(G259="","",COUNTIFS($C$18:$C$2015,G$13,$D$18:$D$2015,"&gt;="&amp;G259,$D$18:$D$2015,"&lt;"&amp;G260))</f>
        <v/>
      </c>
      <c r="I259" s="14" t="n"/>
      <c r="J259" s="16" t="n"/>
      <c r="K259" s="124">
        <f>IF(J259="","",COUNTIFS($C$18:$C$2015,J$13,$D$18:$D$2015,"&gt;="&amp;J259,$D$18:$D$2015,"&lt;"&amp;J260))</f>
        <v/>
      </c>
      <c r="L259" s="14" t="n"/>
      <c r="M259" s="16" t="n"/>
      <c r="N259" s="124">
        <f>IF(M259="","",COUNTIFS($C$18:$C$2015,M$13,$D$18:$D$2015,"&gt;="&amp;M259,$D$18:$D$2015,"&lt;"&amp;M260))</f>
        <v/>
      </c>
      <c r="O259" s="14" t="n"/>
      <c r="P259" s="16" t="n"/>
      <c r="Q259" s="124">
        <f>IF(P259="","",COUNTIFS($C$18:$C$2015,P$13,$D$18:$D$2015,"&gt;="&amp;P259,$D$18:$D$2015,"&lt;"&amp;P260))</f>
        <v/>
      </c>
      <c r="R259" s="14" t="n"/>
      <c r="S259" s="16" t="n"/>
      <c r="T259" s="124">
        <f>IF(S259="","",COUNTIFS($C$18:$C$2015,S$13,$D$18:$D$2015,"&gt;="&amp;S259,$D$18:$D$2015,"&lt;"&amp;S260))</f>
        <v/>
      </c>
      <c r="U259" s="14" t="n"/>
      <c r="V259" s="16" t="n"/>
      <c r="W259" s="124">
        <f>IF(V259="","",COUNTIFS($C$18:$C$2015,V$13,$D$18:$D$2015,"&gt;="&amp;V259,$D$18:$D$2015,"&lt;"&amp;V260))</f>
        <v/>
      </c>
      <c r="X259" s="14" t="n"/>
      <c r="Y259" s="16" t="n"/>
      <c r="Z259" s="124">
        <f>IF(Y259="","",COUNTIFS($C$18:$C$2015,Y$13,$D$18:$D$2015,"&gt;="&amp;Y259,$D$18:$D$2015,"&lt;"&amp;Y260))</f>
        <v/>
      </c>
      <c r="AA259" s="14" t="n"/>
      <c r="AB259" s="16" t="n"/>
      <c r="AC259" s="124">
        <f>IF(AB259="","",COUNTIFS($C$18:$C$2015,AB$13,$D$18:$D$2015,"&gt;="&amp;AB259,$D$18:$D$2015,"&lt;"&amp;AB260))</f>
        <v/>
      </c>
      <c r="AD259" s="14" t="n"/>
    </row>
    <row r="260">
      <c r="A260" s="56" t="n"/>
      <c r="B260" s="57" t="n"/>
      <c r="C260" s="59" t="n"/>
      <c r="E260" s="16" t="n"/>
      <c r="F260" s="13" t="n"/>
      <c r="G260" s="16" t="n"/>
      <c r="H260" s="124">
        <f>IF(G260="","",COUNTIFS($C$18:$C$2015,G$13,$D$18:$D$2015,"&gt;="&amp;G260,$D$18:$D$2015,"&lt;"&amp;G261))</f>
        <v/>
      </c>
      <c r="I260" s="14" t="n"/>
      <c r="J260" s="16" t="n"/>
      <c r="K260" s="124">
        <f>IF(J260="","",COUNTIFS($C$18:$C$2015,J$13,$D$18:$D$2015,"&gt;="&amp;J260,$D$18:$D$2015,"&lt;"&amp;J261))</f>
        <v/>
      </c>
      <c r="L260" s="14" t="n"/>
      <c r="M260" s="16" t="n"/>
      <c r="N260" s="124">
        <f>IF(M260="","",COUNTIFS($C$18:$C$2015,M$13,$D$18:$D$2015,"&gt;="&amp;M260,$D$18:$D$2015,"&lt;"&amp;M261))</f>
        <v/>
      </c>
      <c r="O260" s="14" t="n"/>
      <c r="P260" s="16" t="n"/>
      <c r="Q260" s="124">
        <f>IF(P260="","",COUNTIFS($C$18:$C$2015,P$13,$D$18:$D$2015,"&gt;="&amp;P260,$D$18:$D$2015,"&lt;"&amp;P261))</f>
        <v/>
      </c>
      <c r="R260" s="14" t="n"/>
      <c r="S260" s="16" t="n"/>
      <c r="T260" s="124">
        <f>IF(S260="","",COUNTIFS($C$18:$C$2015,S$13,$D$18:$D$2015,"&gt;="&amp;S260,$D$18:$D$2015,"&lt;"&amp;S261))</f>
        <v/>
      </c>
      <c r="U260" s="14" t="n"/>
      <c r="V260" s="16" t="n"/>
      <c r="W260" s="124">
        <f>IF(V260="","",COUNTIFS($C$18:$C$2015,V$13,$D$18:$D$2015,"&gt;="&amp;V260,$D$18:$D$2015,"&lt;"&amp;V261))</f>
        <v/>
      </c>
      <c r="X260" s="14" t="n"/>
      <c r="Y260" s="16" t="n"/>
      <c r="Z260" s="124">
        <f>IF(Y260="","",COUNTIFS($C$18:$C$2015,Y$13,$D$18:$D$2015,"&gt;="&amp;Y260,$D$18:$D$2015,"&lt;"&amp;Y261))</f>
        <v/>
      </c>
      <c r="AA260" s="14" t="n"/>
      <c r="AB260" s="16" t="n"/>
      <c r="AC260" s="124">
        <f>IF(AB260="","",COUNTIFS($C$18:$C$2015,AB$13,$D$18:$D$2015,"&gt;="&amp;AB260,$D$18:$D$2015,"&lt;"&amp;AB261))</f>
        <v/>
      </c>
      <c r="AD260" s="14" t="n"/>
    </row>
    <row r="261">
      <c r="A261" s="58" t="n"/>
      <c r="B261" s="59" t="n"/>
      <c r="C261" s="59" t="n"/>
      <c r="E261" s="16" t="n"/>
      <c r="F261" s="13" t="n"/>
      <c r="G261" s="16" t="n"/>
      <c r="H261" s="124">
        <f>IF(G261="","",COUNTIFS($C$18:$C$2015,G$13,$D$18:$D$2015,"&gt;="&amp;G261,$D$18:$D$2015,"&lt;"&amp;G262))</f>
        <v/>
      </c>
      <c r="I261" s="14" t="n"/>
      <c r="J261" s="16" t="n"/>
      <c r="K261" s="124">
        <f>IF(J261="","",COUNTIFS($C$18:$C$2015,J$13,$D$18:$D$2015,"&gt;="&amp;J261,$D$18:$D$2015,"&lt;"&amp;J262))</f>
        <v/>
      </c>
      <c r="L261" s="14" t="n"/>
      <c r="M261" s="16" t="n"/>
      <c r="N261" s="124">
        <f>IF(M261="","",COUNTIFS($C$18:$C$2015,M$13,$D$18:$D$2015,"&gt;="&amp;M261,$D$18:$D$2015,"&lt;"&amp;M262))</f>
        <v/>
      </c>
      <c r="O261" s="14" t="n"/>
      <c r="P261" s="16" t="n"/>
      <c r="Q261" s="124">
        <f>IF(P261="","",COUNTIFS($C$18:$C$2015,P$13,$D$18:$D$2015,"&gt;="&amp;P261,$D$18:$D$2015,"&lt;"&amp;P262))</f>
        <v/>
      </c>
      <c r="R261" s="14" t="n"/>
      <c r="S261" s="16" t="n"/>
      <c r="T261" s="124">
        <f>IF(S261="","",COUNTIFS($C$18:$C$2015,S$13,$D$18:$D$2015,"&gt;="&amp;S261,$D$18:$D$2015,"&lt;"&amp;S262))</f>
        <v/>
      </c>
      <c r="U261" s="14" t="n"/>
      <c r="V261" s="16" t="n"/>
      <c r="W261" s="124">
        <f>IF(V261="","",COUNTIFS($C$18:$C$2015,V$13,$D$18:$D$2015,"&gt;="&amp;V261,$D$18:$D$2015,"&lt;"&amp;V262))</f>
        <v/>
      </c>
      <c r="X261" s="14" t="n"/>
      <c r="Y261" s="16" t="n"/>
      <c r="Z261" s="124">
        <f>IF(Y261="","",COUNTIFS($C$18:$C$2015,Y$13,$D$18:$D$2015,"&gt;="&amp;Y261,$D$18:$D$2015,"&lt;"&amp;Y262))</f>
        <v/>
      </c>
      <c r="AA261" s="14" t="n"/>
      <c r="AB261" s="16" t="n"/>
      <c r="AC261" s="124">
        <f>IF(AB261="","",COUNTIFS($C$18:$C$2015,AB$13,$D$18:$D$2015,"&gt;="&amp;AB261,$D$18:$D$2015,"&lt;"&amp;AB262))</f>
        <v/>
      </c>
      <c r="AD261" s="14" t="n"/>
    </row>
    <row r="262">
      <c r="A262" s="56" t="n"/>
      <c r="B262" s="57" t="n"/>
      <c r="C262" s="59" t="n"/>
      <c r="E262" s="16" t="n"/>
      <c r="F262" s="13" t="n"/>
      <c r="G262" s="16" t="n"/>
      <c r="H262" s="124">
        <f>IF(G262="","",COUNTIFS($C$18:$C$2015,G$13,$D$18:$D$2015,"&gt;="&amp;G262,$D$18:$D$2015,"&lt;"&amp;G263))</f>
        <v/>
      </c>
      <c r="I262" s="14" t="n"/>
      <c r="J262" s="16" t="n"/>
      <c r="K262" s="124">
        <f>IF(J262="","",COUNTIFS($C$18:$C$2015,J$13,$D$18:$D$2015,"&gt;="&amp;J262,$D$18:$D$2015,"&lt;"&amp;J263))</f>
        <v/>
      </c>
      <c r="L262" s="14" t="n"/>
      <c r="M262" s="16" t="n"/>
      <c r="N262" s="124">
        <f>IF(M262="","",COUNTIFS($C$18:$C$2015,M$13,$D$18:$D$2015,"&gt;="&amp;M262,$D$18:$D$2015,"&lt;"&amp;M263))</f>
        <v/>
      </c>
      <c r="O262" s="14" t="n"/>
      <c r="P262" s="16" t="n"/>
      <c r="Q262" s="124">
        <f>IF(P262="","",COUNTIFS($C$18:$C$2015,P$13,$D$18:$D$2015,"&gt;="&amp;P262,$D$18:$D$2015,"&lt;"&amp;P263))</f>
        <v/>
      </c>
      <c r="R262" s="14" t="n"/>
      <c r="S262" s="16" t="n"/>
      <c r="T262" s="124">
        <f>IF(S262="","",COUNTIFS($C$18:$C$2015,S$13,$D$18:$D$2015,"&gt;="&amp;S262,$D$18:$D$2015,"&lt;"&amp;S263))</f>
        <v/>
      </c>
      <c r="U262" s="14" t="n"/>
      <c r="V262" s="16" t="n"/>
      <c r="W262" s="124">
        <f>IF(V262="","",COUNTIFS($C$18:$C$2015,V$13,$D$18:$D$2015,"&gt;="&amp;V262,$D$18:$D$2015,"&lt;"&amp;V263))</f>
        <v/>
      </c>
      <c r="X262" s="14" t="n"/>
      <c r="Y262" s="16" t="n"/>
      <c r="Z262" s="124">
        <f>IF(Y262="","",COUNTIFS($C$18:$C$2015,Y$13,$D$18:$D$2015,"&gt;="&amp;Y262,$D$18:$D$2015,"&lt;"&amp;Y263))</f>
        <v/>
      </c>
      <c r="AA262" s="14" t="n"/>
      <c r="AB262" s="16" t="n"/>
      <c r="AC262" s="124">
        <f>IF(AB262="","",COUNTIFS($C$18:$C$2015,AB$13,$D$18:$D$2015,"&gt;="&amp;AB262,$D$18:$D$2015,"&lt;"&amp;AB263))</f>
        <v/>
      </c>
      <c r="AD262" s="14" t="n"/>
    </row>
    <row r="263">
      <c r="A263" s="58" t="n"/>
      <c r="B263" s="59" t="n"/>
      <c r="C263" s="59" t="n"/>
      <c r="E263" s="16" t="n"/>
      <c r="F263" s="13" t="n"/>
      <c r="G263" s="16" t="n"/>
      <c r="H263" s="124">
        <f>IF(G263="","",COUNTIFS($C$18:$C$2015,G$13,$D$18:$D$2015,"&gt;="&amp;G263,$D$18:$D$2015,"&lt;"&amp;G264))</f>
        <v/>
      </c>
      <c r="I263" s="14" t="n"/>
      <c r="J263" s="16" t="n"/>
      <c r="K263" s="124">
        <f>IF(J263="","",COUNTIFS($C$18:$C$2015,J$13,$D$18:$D$2015,"&gt;="&amp;J263,$D$18:$D$2015,"&lt;"&amp;J264))</f>
        <v/>
      </c>
      <c r="L263" s="14" t="n"/>
      <c r="M263" s="16" t="n"/>
      <c r="N263" s="124">
        <f>IF(M263="","",COUNTIFS($C$18:$C$2015,M$13,$D$18:$D$2015,"&gt;="&amp;M263,$D$18:$D$2015,"&lt;"&amp;M264))</f>
        <v/>
      </c>
      <c r="O263" s="14" t="n"/>
      <c r="P263" s="16" t="n"/>
      <c r="Q263" s="124">
        <f>IF(P263="","",COUNTIFS($C$18:$C$2015,P$13,$D$18:$D$2015,"&gt;="&amp;P263,$D$18:$D$2015,"&lt;"&amp;P264))</f>
        <v/>
      </c>
      <c r="R263" s="14" t="n"/>
      <c r="S263" s="16" t="n"/>
      <c r="T263" s="124">
        <f>IF(S263="","",COUNTIFS($C$18:$C$2015,S$13,$D$18:$D$2015,"&gt;="&amp;S263,$D$18:$D$2015,"&lt;"&amp;S264))</f>
        <v/>
      </c>
      <c r="U263" s="14" t="n"/>
      <c r="V263" s="16" t="n"/>
      <c r="W263" s="124">
        <f>IF(V263="","",COUNTIFS($C$18:$C$2015,V$13,$D$18:$D$2015,"&gt;="&amp;V263,$D$18:$D$2015,"&lt;"&amp;V264))</f>
        <v/>
      </c>
      <c r="X263" s="14" t="n"/>
      <c r="Y263" s="16" t="n"/>
      <c r="Z263" s="124">
        <f>IF(Y263="","",COUNTIFS($C$18:$C$2015,Y$13,$D$18:$D$2015,"&gt;="&amp;Y263,$D$18:$D$2015,"&lt;"&amp;Y264))</f>
        <v/>
      </c>
      <c r="AA263" s="14" t="n"/>
      <c r="AB263" s="16" t="n"/>
      <c r="AC263" s="124">
        <f>IF(AB263="","",COUNTIFS($C$18:$C$2015,AB$13,$D$18:$D$2015,"&gt;="&amp;AB263,$D$18:$D$2015,"&lt;"&amp;AB264))</f>
        <v/>
      </c>
      <c r="AD263" s="14" t="n"/>
    </row>
    <row r="264">
      <c r="A264" s="56" t="n"/>
      <c r="B264" s="57" t="n"/>
      <c r="C264" s="59" t="n"/>
      <c r="E264" s="16" t="n"/>
      <c r="F264" s="13" t="n"/>
      <c r="G264" s="16" t="n"/>
      <c r="H264" s="124">
        <f>IF(G264="","",COUNTIFS($C$18:$C$2015,G$13,$D$18:$D$2015,"&gt;="&amp;G264,$D$18:$D$2015,"&lt;"&amp;G265))</f>
        <v/>
      </c>
      <c r="I264" s="14" t="n"/>
      <c r="J264" s="16" t="n"/>
      <c r="K264" s="124">
        <f>IF(J264="","",COUNTIFS($C$18:$C$2015,J$13,$D$18:$D$2015,"&gt;="&amp;J264,$D$18:$D$2015,"&lt;"&amp;J265))</f>
        <v/>
      </c>
      <c r="L264" s="14" t="n"/>
      <c r="M264" s="16" t="n"/>
      <c r="N264" s="124">
        <f>IF(M264="","",COUNTIFS($C$18:$C$2015,M$13,$D$18:$D$2015,"&gt;="&amp;M264,$D$18:$D$2015,"&lt;"&amp;M265))</f>
        <v/>
      </c>
      <c r="O264" s="14" t="n"/>
      <c r="P264" s="16" t="n"/>
      <c r="Q264" s="124">
        <f>IF(P264="","",COUNTIFS($C$18:$C$2015,P$13,$D$18:$D$2015,"&gt;="&amp;P264,$D$18:$D$2015,"&lt;"&amp;P265))</f>
        <v/>
      </c>
      <c r="R264" s="14" t="n"/>
      <c r="S264" s="16" t="n"/>
      <c r="T264" s="124">
        <f>IF(S264="","",COUNTIFS($C$18:$C$2015,S$13,$D$18:$D$2015,"&gt;="&amp;S264,$D$18:$D$2015,"&lt;"&amp;S265))</f>
        <v/>
      </c>
      <c r="U264" s="14" t="n"/>
      <c r="V264" s="16" t="n"/>
      <c r="W264" s="124">
        <f>IF(V264="","",COUNTIFS($C$18:$C$2015,V$13,$D$18:$D$2015,"&gt;="&amp;V264,$D$18:$D$2015,"&lt;"&amp;V265))</f>
        <v/>
      </c>
      <c r="X264" s="14" t="n"/>
      <c r="Y264" s="16" t="n"/>
      <c r="Z264" s="124">
        <f>IF(Y264="","",COUNTIFS($C$18:$C$2015,Y$13,$D$18:$D$2015,"&gt;="&amp;Y264,$D$18:$D$2015,"&lt;"&amp;Y265))</f>
        <v/>
      </c>
      <c r="AA264" s="14" t="n"/>
      <c r="AB264" s="16" t="n"/>
      <c r="AC264" s="124">
        <f>IF(AB264="","",COUNTIFS($C$18:$C$2015,AB$13,$D$18:$D$2015,"&gt;="&amp;AB264,$D$18:$D$2015,"&lt;"&amp;AB265))</f>
        <v/>
      </c>
      <c r="AD264" s="14" t="n"/>
    </row>
    <row r="265">
      <c r="A265" s="58" t="n"/>
      <c r="B265" s="59" t="n"/>
      <c r="C265" s="59" t="n"/>
      <c r="E265" s="16" t="n"/>
      <c r="F265" s="13" t="n"/>
      <c r="G265" s="16" t="n"/>
      <c r="H265" s="125" t="n"/>
      <c r="I265" s="14" t="n"/>
      <c r="J265" s="16" t="n"/>
      <c r="K265" s="125" t="n"/>
      <c r="L265" s="14" t="n"/>
      <c r="M265" s="16" t="n"/>
      <c r="N265" s="125" t="n"/>
      <c r="O265" s="14" t="n"/>
      <c r="P265" s="16" t="n"/>
      <c r="Q265" s="125" t="n"/>
      <c r="R265" s="14" t="n"/>
      <c r="S265" s="16" t="n"/>
      <c r="T265" s="125" t="n"/>
      <c r="U265" s="14" t="n"/>
      <c r="V265" s="16" t="n"/>
      <c r="W265" s="125" t="n"/>
      <c r="X265" s="14" t="n"/>
      <c r="Y265" s="16" t="n"/>
      <c r="Z265" s="125" t="n"/>
      <c r="AA265" s="14" t="n"/>
      <c r="AB265" s="16" t="n"/>
      <c r="AC265" s="125" t="n"/>
      <c r="AD265" s="14" t="n"/>
    </row>
    <row r="266">
      <c r="A266" s="56" t="n"/>
      <c r="B266" s="57" t="n"/>
      <c r="C266" s="59" t="n"/>
      <c r="E266" s="16" t="n"/>
      <c r="F266" s="13" t="n"/>
      <c r="G266" s="16" t="n"/>
      <c r="H266" s="125" t="n"/>
      <c r="I266" s="14" t="n"/>
      <c r="J266" s="16" t="n"/>
      <c r="K266" s="125" t="n"/>
      <c r="L266" s="14" t="n"/>
      <c r="M266" s="16" t="n"/>
      <c r="N266" s="125" t="n"/>
      <c r="O266" s="14" t="n"/>
      <c r="P266" s="16" t="n"/>
      <c r="Q266" s="125" t="n"/>
      <c r="R266" s="14" t="n"/>
      <c r="S266" s="16" t="n"/>
      <c r="T266" s="125" t="n"/>
      <c r="U266" s="14" t="n"/>
      <c r="V266" s="16" t="n"/>
      <c r="W266" s="125" t="n"/>
      <c r="X266" s="14" t="n"/>
      <c r="Y266" s="16" t="n"/>
      <c r="Z266" s="125" t="n"/>
      <c r="AA266" s="14" t="n"/>
      <c r="AB266" s="16" t="n"/>
      <c r="AC266" s="125" t="n"/>
      <c r="AD266" s="14" t="n"/>
    </row>
    <row r="267">
      <c r="A267" s="58" t="n"/>
      <c r="B267" s="59" t="n"/>
      <c r="C267" s="59" t="n"/>
      <c r="E267" s="16" t="n"/>
      <c r="F267" s="13" t="n"/>
      <c r="G267" s="16" t="n"/>
      <c r="H267" s="125" t="n"/>
      <c r="I267" s="14" t="n"/>
      <c r="J267" s="16" t="n"/>
      <c r="K267" s="125" t="n"/>
      <c r="L267" s="14" t="n"/>
      <c r="M267" s="16" t="n"/>
      <c r="N267" s="125" t="n"/>
      <c r="O267" s="14" t="n"/>
      <c r="P267" s="16" t="n"/>
      <c r="Q267" s="125" t="n"/>
      <c r="R267" s="14" t="n"/>
      <c r="S267" s="16" t="n"/>
      <c r="T267" s="125" t="n"/>
      <c r="U267" s="14" t="n"/>
      <c r="V267" s="16" t="n"/>
      <c r="W267" s="125" t="n"/>
      <c r="X267" s="14" t="n"/>
      <c r="Y267" s="16" t="n"/>
      <c r="Z267" s="125" t="n"/>
      <c r="AA267" s="14" t="n"/>
      <c r="AB267" s="16" t="n"/>
      <c r="AC267" s="125" t="n"/>
      <c r="AD267" s="14" t="n"/>
    </row>
    <row r="268">
      <c r="A268" s="56" t="n"/>
      <c r="B268" s="57" t="n"/>
      <c r="C268" s="59" t="n"/>
      <c r="E268" s="16" t="n"/>
      <c r="F268" s="13" t="n"/>
      <c r="G268" s="16" t="n"/>
      <c r="H268" s="125" t="n"/>
      <c r="I268" s="14" t="n"/>
      <c r="J268" s="16" t="n"/>
      <c r="K268" s="125" t="n"/>
      <c r="L268" s="14" t="n"/>
      <c r="M268" s="16" t="n"/>
      <c r="N268" s="125" t="n"/>
      <c r="O268" s="14" t="n"/>
      <c r="P268" s="16" t="n"/>
      <c r="Q268" s="125" t="n"/>
      <c r="R268" s="14" t="n"/>
      <c r="S268" s="16" t="n"/>
      <c r="T268" s="125" t="n"/>
      <c r="U268" s="14" t="n"/>
      <c r="V268" s="16" t="n"/>
      <c r="W268" s="125" t="n"/>
      <c r="X268" s="14" t="n"/>
      <c r="Y268" s="16" t="n"/>
      <c r="Z268" s="125" t="n"/>
      <c r="AA268" s="14" t="n"/>
      <c r="AB268" s="16" t="n"/>
      <c r="AC268" s="125" t="n"/>
      <c r="AD268" s="14" t="n"/>
    </row>
    <row r="269">
      <c r="A269" s="58" t="n"/>
      <c r="B269" s="59" t="n"/>
      <c r="C269" s="59" t="n"/>
      <c r="E269" s="16" t="n"/>
      <c r="F269" s="13" t="n"/>
      <c r="G269" s="16" t="n"/>
      <c r="H269" s="125" t="n"/>
      <c r="I269" s="14" t="n"/>
      <c r="J269" s="16" t="n"/>
      <c r="K269" s="125" t="n"/>
      <c r="L269" s="14" t="n"/>
      <c r="M269" s="16" t="n"/>
      <c r="N269" s="125" t="n"/>
      <c r="O269" s="14" t="n"/>
      <c r="P269" s="16" t="n"/>
      <c r="Q269" s="125" t="n"/>
      <c r="R269" s="14" t="n"/>
      <c r="S269" s="16" t="n"/>
      <c r="T269" s="125" t="n"/>
      <c r="U269" s="14" t="n"/>
      <c r="V269" s="16" t="n"/>
      <c r="W269" s="125" t="n"/>
      <c r="X269" s="14" t="n"/>
      <c r="Y269" s="16" t="n"/>
      <c r="Z269" s="125" t="n"/>
      <c r="AA269" s="14" t="n"/>
      <c r="AB269" s="16" t="n"/>
      <c r="AC269" s="125" t="n"/>
      <c r="AD269" s="14" t="n"/>
    </row>
    <row r="270">
      <c r="A270" s="56" t="n"/>
      <c r="B270" s="57" t="n"/>
      <c r="C270" s="59" t="n"/>
      <c r="E270" s="16" t="n"/>
      <c r="F270" s="13" t="n"/>
      <c r="G270" s="16" t="n"/>
      <c r="H270" s="125" t="n"/>
      <c r="I270" s="14" t="n"/>
      <c r="J270" s="16" t="n"/>
      <c r="K270" s="125" t="n"/>
      <c r="L270" s="14" t="n"/>
      <c r="M270" s="16" t="n"/>
      <c r="N270" s="125" t="n"/>
      <c r="O270" s="14" t="n"/>
      <c r="P270" s="16" t="n"/>
      <c r="Q270" s="125" t="n"/>
      <c r="R270" s="14" t="n"/>
      <c r="S270" s="16" t="n"/>
      <c r="T270" s="125" t="n"/>
      <c r="U270" s="14" t="n"/>
      <c r="V270" s="16" t="n"/>
      <c r="W270" s="125" t="n"/>
      <c r="X270" s="14" t="n"/>
      <c r="Y270" s="16" t="n"/>
      <c r="Z270" s="125" t="n"/>
      <c r="AA270" s="14" t="n"/>
      <c r="AB270" s="16" t="n"/>
      <c r="AC270" s="125" t="n"/>
      <c r="AD270" s="14" t="n"/>
    </row>
    <row r="271">
      <c r="A271" s="58" t="n"/>
      <c r="B271" s="59" t="n"/>
      <c r="C271" s="59" t="n"/>
      <c r="E271" s="16" t="n"/>
      <c r="F271" s="13" t="n"/>
      <c r="G271" s="16" t="n"/>
      <c r="H271" s="125" t="n"/>
      <c r="I271" s="14" t="n"/>
      <c r="J271" s="16" t="n"/>
      <c r="K271" s="125" t="n"/>
      <c r="L271" s="14" t="n"/>
      <c r="M271" s="16" t="n"/>
      <c r="N271" s="125" t="n"/>
      <c r="O271" s="14" t="n"/>
      <c r="P271" s="16" t="n"/>
      <c r="Q271" s="125" t="n"/>
      <c r="R271" s="14" t="n"/>
      <c r="S271" s="16" t="n"/>
      <c r="T271" s="125" t="n"/>
      <c r="U271" s="14" t="n"/>
      <c r="V271" s="16" t="n"/>
      <c r="W271" s="125" t="n"/>
      <c r="X271" s="14" t="n"/>
      <c r="Y271" s="16" t="n"/>
      <c r="Z271" s="125" t="n"/>
      <c r="AA271" s="14" t="n"/>
      <c r="AB271" s="16" t="n"/>
      <c r="AC271" s="125" t="n"/>
      <c r="AD271" s="14" t="n"/>
    </row>
    <row r="272">
      <c r="A272" s="56" t="n"/>
      <c r="B272" s="57" t="n"/>
      <c r="C272" s="59" t="n"/>
      <c r="E272" s="16" t="n"/>
      <c r="F272" s="13" t="n"/>
      <c r="G272" s="16" t="n"/>
      <c r="H272" s="125" t="n"/>
      <c r="I272" s="14" t="n"/>
      <c r="J272" s="16" t="n"/>
      <c r="K272" s="125" t="n"/>
      <c r="L272" s="14" t="n"/>
      <c r="M272" s="16" t="n"/>
      <c r="N272" s="125" t="n"/>
      <c r="O272" s="14" t="n"/>
      <c r="P272" s="16" t="n"/>
      <c r="Q272" s="125" t="n"/>
      <c r="R272" s="14" t="n"/>
      <c r="S272" s="16" t="n"/>
      <c r="T272" s="125" t="n"/>
      <c r="U272" s="14" t="n"/>
      <c r="V272" s="16" t="n"/>
      <c r="W272" s="125" t="n"/>
      <c r="X272" s="14" t="n"/>
      <c r="Y272" s="16" t="n"/>
      <c r="Z272" s="125" t="n"/>
      <c r="AA272" s="14" t="n"/>
      <c r="AB272" s="16" t="n"/>
      <c r="AC272" s="125" t="n"/>
      <c r="AD272" s="14" t="n"/>
    </row>
    <row r="273">
      <c r="A273" s="58" t="n"/>
      <c r="B273" s="59" t="n"/>
      <c r="C273" s="59" t="n"/>
      <c r="E273" s="16" t="n"/>
      <c r="F273" s="13" t="n"/>
      <c r="G273" s="16" t="n"/>
      <c r="H273" s="125" t="n"/>
      <c r="I273" s="14" t="n"/>
      <c r="J273" s="16" t="n"/>
      <c r="K273" s="125" t="n"/>
      <c r="L273" s="14" t="n"/>
      <c r="M273" s="16" t="n"/>
      <c r="N273" s="125" t="n"/>
      <c r="O273" s="14" t="n"/>
      <c r="P273" s="16" t="n"/>
      <c r="Q273" s="125" t="n"/>
      <c r="R273" s="14" t="n"/>
      <c r="S273" s="16" t="n"/>
      <c r="T273" s="125" t="n"/>
      <c r="U273" s="14" t="n"/>
      <c r="V273" s="16" t="n"/>
      <c r="W273" s="125" t="n"/>
      <c r="X273" s="14" t="n"/>
      <c r="Y273" s="16" t="n"/>
      <c r="Z273" s="125" t="n"/>
      <c r="AA273" s="14" t="n"/>
      <c r="AB273" s="16" t="n"/>
      <c r="AC273" s="125" t="n"/>
      <c r="AD273" s="14" t="n"/>
    </row>
    <row r="274">
      <c r="A274" s="56" t="n"/>
      <c r="B274" s="57" t="n"/>
      <c r="C274" s="59" t="n"/>
      <c r="E274" s="16" t="n"/>
      <c r="F274" s="13" t="n"/>
      <c r="G274" s="16" t="n"/>
      <c r="H274" s="125" t="n"/>
      <c r="I274" s="14" t="n"/>
      <c r="J274" s="16" t="n"/>
      <c r="K274" s="125" t="n"/>
      <c r="L274" s="14" t="n"/>
      <c r="M274" s="16" t="n"/>
      <c r="N274" s="125" t="n"/>
      <c r="O274" s="14" t="n"/>
      <c r="P274" s="16" t="n"/>
      <c r="Q274" s="125" t="n"/>
      <c r="R274" s="14" t="n"/>
      <c r="S274" s="16" t="n"/>
      <c r="T274" s="125" t="n"/>
      <c r="U274" s="14" t="n"/>
      <c r="V274" s="16" t="n"/>
      <c r="W274" s="125" t="n"/>
      <c r="X274" s="14" t="n"/>
      <c r="Y274" s="16" t="n"/>
      <c r="Z274" s="125" t="n"/>
      <c r="AA274" s="14" t="n"/>
      <c r="AB274" s="16" t="n"/>
      <c r="AC274" s="125" t="n"/>
      <c r="AD274" s="14" t="n"/>
    </row>
    <row r="275">
      <c r="A275" s="58" t="n"/>
      <c r="B275" s="59" t="n"/>
      <c r="C275" s="59" t="n"/>
      <c r="E275" s="16" t="n"/>
      <c r="F275" s="13" t="n"/>
      <c r="G275" s="16" t="n"/>
      <c r="H275" s="125" t="n"/>
      <c r="I275" s="14" t="n"/>
      <c r="J275" s="16" t="n"/>
      <c r="K275" s="125" t="n"/>
      <c r="L275" s="14" t="n"/>
      <c r="M275" s="16" t="n"/>
      <c r="N275" s="125" t="n"/>
      <c r="O275" s="14" t="n"/>
      <c r="P275" s="16" t="n"/>
      <c r="Q275" s="125" t="n"/>
      <c r="R275" s="14" t="n"/>
      <c r="S275" s="16" t="n"/>
      <c r="T275" s="125" t="n"/>
      <c r="U275" s="14" t="n"/>
      <c r="V275" s="16" t="n"/>
      <c r="W275" s="125" t="n"/>
      <c r="X275" s="14" t="n"/>
      <c r="Y275" s="16" t="n"/>
      <c r="Z275" s="125" t="n"/>
      <c r="AA275" s="14" t="n"/>
      <c r="AB275" s="16" t="n"/>
      <c r="AC275" s="125" t="n"/>
      <c r="AD275" s="14" t="n"/>
    </row>
    <row r="276">
      <c r="A276" s="56" t="n"/>
      <c r="B276" s="57" t="n"/>
      <c r="C276" s="59" t="n"/>
      <c r="E276" s="16" t="n"/>
      <c r="F276" s="13" t="n"/>
      <c r="G276" s="16" t="n"/>
      <c r="H276" s="125" t="n"/>
      <c r="I276" s="14" t="n"/>
      <c r="J276" s="16" t="n"/>
      <c r="K276" s="125" t="n"/>
      <c r="L276" s="14" t="n"/>
      <c r="M276" s="16" t="n"/>
      <c r="N276" s="125" t="n"/>
      <c r="O276" s="14" t="n"/>
      <c r="P276" s="16" t="n"/>
      <c r="Q276" s="125" t="n"/>
      <c r="R276" s="14" t="n"/>
      <c r="S276" s="16" t="n"/>
      <c r="T276" s="125" t="n"/>
      <c r="U276" s="14" t="n"/>
      <c r="V276" s="16" t="n"/>
      <c r="W276" s="125" t="n"/>
      <c r="X276" s="14" t="n"/>
      <c r="Y276" s="16" t="n"/>
      <c r="Z276" s="125" t="n"/>
      <c r="AA276" s="14" t="n"/>
      <c r="AB276" s="16" t="n"/>
      <c r="AC276" s="125" t="n"/>
      <c r="AD276" s="14" t="n"/>
    </row>
    <row r="277">
      <c r="A277" s="58" t="n"/>
      <c r="B277" s="59" t="n"/>
      <c r="C277" s="59" t="n"/>
      <c r="E277" s="16" t="n"/>
      <c r="F277" s="13" t="n"/>
      <c r="G277" s="16" t="n"/>
      <c r="H277" s="125" t="n"/>
      <c r="I277" s="14" t="n"/>
      <c r="J277" s="16" t="n"/>
      <c r="K277" s="125" t="n"/>
      <c r="L277" s="14" t="n"/>
      <c r="M277" s="16" t="n"/>
      <c r="N277" s="125" t="n"/>
      <c r="O277" s="14" t="n"/>
      <c r="P277" s="16" t="n"/>
      <c r="Q277" s="125" t="n"/>
      <c r="R277" s="14" t="n"/>
      <c r="S277" s="16" t="n"/>
      <c r="T277" s="125" t="n"/>
      <c r="U277" s="14" t="n"/>
      <c r="V277" s="16" t="n"/>
      <c r="W277" s="125" t="n"/>
      <c r="X277" s="14" t="n"/>
      <c r="Y277" s="16" t="n"/>
      <c r="Z277" s="125" t="n"/>
      <c r="AA277" s="14" t="n"/>
      <c r="AB277" s="16" t="n"/>
      <c r="AC277" s="125" t="n"/>
      <c r="AD277" s="14" t="n"/>
    </row>
    <row r="278">
      <c r="A278" s="56" t="n"/>
      <c r="B278" s="57" t="n"/>
      <c r="C278" s="59" t="n"/>
      <c r="E278" s="16" t="n"/>
      <c r="F278" s="13" t="n"/>
      <c r="G278" s="16" t="n"/>
      <c r="H278" s="125" t="n"/>
      <c r="I278" s="14" t="n"/>
      <c r="J278" s="16" t="n"/>
      <c r="K278" s="125" t="n"/>
      <c r="L278" s="14" t="n"/>
      <c r="M278" s="16" t="n"/>
      <c r="N278" s="125" t="n"/>
      <c r="O278" s="14" t="n"/>
      <c r="P278" s="16" t="n"/>
      <c r="Q278" s="125" t="n"/>
      <c r="R278" s="14" t="n"/>
      <c r="S278" s="16" t="n"/>
      <c r="T278" s="125" t="n"/>
      <c r="U278" s="14" t="n"/>
      <c r="V278" s="16" t="n"/>
      <c r="W278" s="125" t="n"/>
      <c r="X278" s="14" t="n"/>
      <c r="Y278" s="16" t="n"/>
      <c r="Z278" s="125" t="n"/>
      <c r="AA278" s="14" t="n"/>
      <c r="AB278" s="16" t="n"/>
      <c r="AC278" s="125" t="n"/>
      <c r="AD278" s="14" t="n"/>
    </row>
    <row r="279">
      <c r="A279" s="58" t="n"/>
      <c r="B279" s="59" t="n"/>
      <c r="C279" s="59" t="n"/>
      <c r="E279" s="16" t="n"/>
      <c r="F279" s="13" t="n"/>
      <c r="G279" s="16" t="n"/>
      <c r="H279" s="125" t="n"/>
      <c r="I279" s="14" t="n"/>
      <c r="J279" s="16" t="n"/>
      <c r="K279" s="125" t="n"/>
      <c r="L279" s="14" t="n"/>
      <c r="M279" s="16" t="n"/>
      <c r="N279" s="125" t="n"/>
      <c r="O279" s="14" t="n"/>
      <c r="P279" s="16" t="n"/>
      <c r="Q279" s="125" t="n"/>
      <c r="R279" s="14" t="n"/>
      <c r="S279" s="16" t="n"/>
      <c r="T279" s="125" t="n"/>
      <c r="U279" s="14" t="n"/>
      <c r="V279" s="16" t="n"/>
      <c r="W279" s="125" t="n"/>
      <c r="X279" s="14" t="n"/>
      <c r="Y279" s="16" t="n"/>
      <c r="Z279" s="125" t="n"/>
      <c r="AA279" s="14" t="n"/>
      <c r="AB279" s="16" t="n"/>
      <c r="AC279" s="125" t="n"/>
      <c r="AD279" s="14" t="n"/>
    </row>
    <row r="280">
      <c r="A280" s="56" t="n"/>
      <c r="B280" s="57" t="n"/>
      <c r="C280" s="59" t="n"/>
      <c r="E280" s="16" t="n"/>
      <c r="F280" s="13" t="n"/>
      <c r="G280" s="16" t="n"/>
      <c r="H280" s="125" t="n"/>
      <c r="I280" s="14" t="n"/>
      <c r="J280" s="16" t="n"/>
      <c r="K280" s="125" t="n"/>
      <c r="L280" s="14" t="n"/>
      <c r="M280" s="16" t="n"/>
      <c r="N280" s="125" t="n"/>
      <c r="O280" s="14" t="n"/>
      <c r="P280" s="16" t="n"/>
      <c r="Q280" s="125" t="n"/>
      <c r="R280" s="14" t="n"/>
      <c r="S280" s="16" t="n"/>
      <c r="T280" s="125" t="n"/>
      <c r="U280" s="14" t="n"/>
      <c r="V280" s="16" t="n"/>
      <c r="W280" s="125" t="n"/>
      <c r="X280" s="14" t="n"/>
      <c r="Y280" s="16" t="n"/>
      <c r="Z280" s="125" t="n"/>
      <c r="AA280" s="14" t="n"/>
      <c r="AB280" s="16" t="n"/>
      <c r="AC280" s="125" t="n"/>
      <c r="AD280" s="14" t="n"/>
    </row>
    <row r="281">
      <c r="A281" s="58" t="n"/>
      <c r="B281" s="59" t="n"/>
      <c r="C281" s="59" t="n"/>
      <c r="E281" s="16" t="n"/>
      <c r="F281" s="13" t="n"/>
      <c r="G281" s="16" t="n"/>
      <c r="H281" s="125" t="n"/>
      <c r="I281" s="14" t="n"/>
      <c r="J281" s="16" t="n"/>
      <c r="K281" s="125" t="n"/>
      <c r="L281" s="14" t="n"/>
      <c r="M281" s="16" t="n"/>
      <c r="N281" s="125" t="n"/>
      <c r="O281" s="14" t="n"/>
      <c r="P281" s="16" t="n"/>
      <c r="Q281" s="125" t="n"/>
      <c r="R281" s="14" t="n"/>
      <c r="S281" s="16" t="n"/>
      <c r="T281" s="125" t="n"/>
      <c r="U281" s="14" t="n"/>
      <c r="V281" s="16" t="n"/>
      <c r="W281" s="125" t="n"/>
      <c r="X281" s="14" t="n"/>
      <c r="Y281" s="16" t="n"/>
      <c r="Z281" s="125" t="n"/>
      <c r="AA281" s="14" t="n"/>
      <c r="AB281" s="16" t="n"/>
      <c r="AC281" s="125" t="n"/>
      <c r="AD281" s="14" t="n"/>
    </row>
    <row r="282">
      <c r="A282" s="56" t="n"/>
      <c r="B282" s="57" t="n"/>
      <c r="C282" s="59" t="n"/>
      <c r="E282" s="16" t="n"/>
      <c r="F282" s="13" t="n"/>
      <c r="G282" s="16" t="n"/>
      <c r="H282" s="125" t="n"/>
      <c r="I282" s="14" t="n"/>
      <c r="J282" s="16" t="n"/>
      <c r="K282" s="125" t="n"/>
      <c r="L282" s="14" t="n"/>
      <c r="M282" s="16" t="n"/>
      <c r="N282" s="125" t="n"/>
      <c r="O282" s="14" t="n"/>
      <c r="P282" s="16" t="n"/>
      <c r="Q282" s="125" t="n"/>
      <c r="R282" s="14" t="n"/>
      <c r="S282" s="16" t="n"/>
      <c r="T282" s="125" t="n"/>
      <c r="U282" s="14" t="n"/>
      <c r="V282" s="16" t="n"/>
      <c r="W282" s="125" t="n"/>
      <c r="X282" s="14" t="n"/>
      <c r="Y282" s="16" t="n"/>
      <c r="Z282" s="125" t="n"/>
      <c r="AA282" s="14" t="n"/>
      <c r="AB282" s="16" t="n"/>
      <c r="AC282" s="125" t="n"/>
      <c r="AD282" s="14" t="n"/>
    </row>
    <row r="283">
      <c r="A283" s="58" t="n"/>
      <c r="B283" s="59" t="n"/>
      <c r="C283" s="59" t="n"/>
      <c r="E283" s="16" t="n"/>
      <c r="F283" s="13" t="n"/>
      <c r="G283" s="16" t="n"/>
      <c r="H283" s="125" t="n"/>
      <c r="I283" s="14" t="n"/>
      <c r="J283" s="16" t="n"/>
      <c r="K283" s="125" t="n"/>
      <c r="L283" s="14" t="n"/>
      <c r="M283" s="16" t="n"/>
      <c r="N283" s="125" t="n"/>
      <c r="O283" s="14" t="n"/>
      <c r="P283" s="16" t="n"/>
      <c r="Q283" s="125" t="n"/>
      <c r="R283" s="14" t="n"/>
      <c r="S283" s="16" t="n"/>
      <c r="T283" s="125" t="n"/>
      <c r="U283" s="14" t="n"/>
      <c r="V283" s="16" t="n"/>
      <c r="W283" s="125" t="n"/>
      <c r="X283" s="14" t="n"/>
      <c r="Y283" s="16" t="n"/>
      <c r="Z283" s="125" t="n"/>
      <c r="AA283" s="14" t="n"/>
      <c r="AB283" s="16" t="n"/>
      <c r="AC283" s="125" t="n"/>
      <c r="AD283" s="14" t="n"/>
    </row>
    <row r="284">
      <c r="A284" s="56" t="n"/>
      <c r="B284" s="57" t="n"/>
      <c r="C284" s="59" t="n"/>
      <c r="E284" s="16" t="n"/>
      <c r="F284" s="13" t="n"/>
      <c r="G284" s="16" t="n"/>
      <c r="H284" s="125" t="n"/>
      <c r="I284" s="14" t="n"/>
      <c r="J284" s="16" t="n"/>
      <c r="K284" s="125" t="n"/>
      <c r="L284" s="14" t="n"/>
      <c r="M284" s="16" t="n"/>
      <c r="N284" s="125" t="n"/>
      <c r="O284" s="14" t="n"/>
      <c r="P284" s="16" t="n"/>
      <c r="Q284" s="125" t="n"/>
      <c r="R284" s="14" t="n"/>
      <c r="S284" s="16" t="n"/>
      <c r="T284" s="125" t="n"/>
      <c r="U284" s="14" t="n"/>
      <c r="V284" s="16" t="n"/>
      <c r="W284" s="125" t="n"/>
      <c r="X284" s="14" t="n"/>
      <c r="Y284" s="16" t="n"/>
      <c r="Z284" s="125" t="n"/>
      <c r="AA284" s="14" t="n"/>
      <c r="AB284" s="16" t="n"/>
      <c r="AC284" s="125" t="n"/>
      <c r="AD284" s="14" t="n"/>
    </row>
    <row r="285">
      <c r="A285" s="58" t="n"/>
      <c r="B285" s="59" t="n"/>
      <c r="C285" s="59" t="n"/>
      <c r="E285" s="16" t="n"/>
      <c r="F285" s="13" t="n"/>
      <c r="G285" s="16" t="n"/>
      <c r="H285" s="125" t="n"/>
      <c r="I285" s="14" t="n"/>
      <c r="J285" s="16" t="n"/>
      <c r="K285" s="125" t="n"/>
      <c r="L285" s="14" t="n"/>
      <c r="M285" s="16" t="n"/>
      <c r="N285" s="125" t="n"/>
      <c r="O285" s="14" t="n"/>
      <c r="P285" s="16" t="n"/>
      <c r="Q285" s="125" t="n"/>
      <c r="R285" s="14" t="n"/>
      <c r="S285" s="16" t="n"/>
      <c r="T285" s="125" t="n"/>
      <c r="U285" s="14" t="n"/>
      <c r="V285" s="16" t="n"/>
      <c r="W285" s="125" t="n"/>
      <c r="X285" s="14" t="n"/>
      <c r="Y285" s="16" t="n"/>
      <c r="Z285" s="125" t="n"/>
      <c r="AA285" s="14" t="n"/>
      <c r="AB285" s="16" t="n"/>
      <c r="AC285" s="125" t="n"/>
      <c r="AD285" s="14" t="n"/>
    </row>
    <row r="286">
      <c r="A286" s="56" t="n"/>
      <c r="B286" s="57" t="n"/>
      <c r="C286" s="59" t="n"/>
      <c r="E286" s="16" t="n"/>
      <c r="F286" s="13" t="n"/>
      <c r="G286" s="16" t="n"/>
      <c r="H286" s="125" t="n"/>
      <c r="I286" s="14" t="n"/>
      <c r="J286" s="16" t="n"/>
      <c r="K286" s="125" t="n"/>
      <c r="L286" s="14" t="n"/>
      <c r="M286" s="16" t="n"/>
      <c r="N286" s="125" t="n"/>
      <c r="O286" s="14" t="n"/>
      <c r="P286" s="16" t="n"/>
      <c r="Q286" s="125" t="n"/>
      <c r="R286" s="14" t="n"/>
      <c r="S286" s="16" t="n"/>
      <c r="T286" s="125" t="n"/>
      <c r="U286" s="14" t="n"/>
      <c r="V286" s="16" t="n"/>
      <c r="W286" s="125" t="n"/>
      <c r="X286" s="14" t="n"/>
      <c r="Y286" s="16" t="n"/>
      <c r="Z286" s="125" t="n"/>
      <c r="AA286" s="14" t="n"/>
      <c r="AB286" s="16" t="n"/>
      <c r="AC286" s="125" t="n"/>
      <c r="AD286" s="14" t="n"/>
    </row>
    <row r="287">
      <c r="A287" s="58" t="n"/>
      <c r="B287" s="59" t="n"/>
      <c r="C287" s="59" t="n"/>
      <c r="E287" s="16" t="n"/>
      <c r="F287" s="13" t="n"/>
      <c r="G287" s="16" t="n"/>
      <c r="H287" s="125" t="n"/>
      <c r="I287" s="14" t="n"/>
      <c r="J287" s="16" t="n"/>
      <c r="K287" s="125" t="n"/>
      <c r="L287" s="14" t="n"/>
      <c r="M287" s="16" t="n"/>
      <c r="N287" s="125" t="n"/>
      <c r="O287" s="14" t="n"/>
      <c r="P287" s="16" t="n"/>
      <c r="Q287" s="125" t="n"/>
      <c r="R287" s="14" t="n"/>
      <c r="S287" s="16" t="n"/>
      <c r="T287" s="125" t="n"/>
      <c r="U287" s="14" t="n"/>
      <c r="V287" s="16" t="n"/>
      <c r="W287" s="125" t="n"/>
      <c r="X287" s="14" t="n"/>
      <c r="Y287" s="16" t="n"/>
      <c r="Z287" s="125" t="n"/>
      <c r="AA287" s="14" t="n"/>
      <c r="AB287" s="16" t="n"/>
      <c r="AC287" s="125" t="n"/>
      <c r="AD287" s="14" t="n"/>
    </row>
    <row r="288">
      <c r="A288" s="56" t="n"/>
      <c r="B288" s="57" t="n"/>
      <c r="C288" s="59" t="n"/>
      <c r="E288" s="16" t="n"/>
      <c r="F288" s="13" t="n"/>
      <c r="G288" s="16" t="n"/>
      <c r="H288" s="125" t="n"/>
      <c r="I288" s="14" t="n"/>
      <c r="J288" s="16" t="n"/>
      <c r="K288" s="125" t="n"/>
      <c r="L288" s="14" t="n"/>
      <c r="M288" s="16" t="n"/>
      <c r="N288" s="125" t="n"/>
      <c r="O288" s="14" t="n"/>
      <c r="P288" s="16" t="n"/>
      <c r="Q288" s="125" t="n"/>
      <c r="R288" s="14" t="n"/>
      <c r="S288" s="16" t="n"/>
      <c r="T288" s="125" t="n"/>
      <c r="U288" s="14" t="n"/>
      <c r="V288" s="16" t="n"/>
      <c r="W288" s="125" t="n"/>
      <c r="X288" s="14" t="n"/>
      <c r="Y288" s="16" t="n"/>
      <c r="Z288" s="125" t="n"/>
      <c r="AA288" s="14" t="n"/>
      <c r="AB288" s="16" t="n"/>
      <c r="AC288" s="125" t="n"/>
      <c r="AD288" s="14" t="n"/>
    </row>
    <row r="289">
      <c r="A289" s="58" t="n"/>
      <c r="B289" s="59" t="n"/>
      <c r="C289" s="59" t="n"/>
      <c r="E289" s="16" t="n"/>
      <c r="F289" s="13" t="n"/>
      <c r="G289" s="16" t="n"/>
      <c r="H289" s="125" t="n"/>
      <c r="I289" s="14" t="n"/>
      <c r="J289" s="16" t="n"/>
      <c r="K289" s="125" t="n"/>
      <c r="L289" s="14" t="n"/>
      <c r="M289" s="16" t="n"/>
      <c r="N289" s="125" t="n"/>
      <c r="O289" s="14" t="n"/>
      <c r="P289" s="16" t="n"/>
      <c r="Q289" s="125" t="n"/>
      <c r="R289" s="14" t="n"/>
      <c r="S289" s="16" t="n"/>
      <c r="T289" s="125" t="n"/>
      <c r="U289" s="14" t="n"/>
      <c r="V289" s="16" t="n"/>
      <c r="W289" s="125" t="n"/>
      <c r="X289" s="14" t="n"/>
      <c r="Y289" s="16" t="n"/>
      <c r="Z289" s="125" t="n"/>
      <c r="AA289" s="14" t="n"/>
      <c r="AB289" s="16" t="n"/>
      <c r="AC289" s="125" t="n"/>
      <c r="AD289" s="14" t="n"/>
    </row>
    <row r="290">
      <c r="A290" s="56" t="n"/>
      <c r="B290" s="57" t="n"/>
      <c r="C290" s="59" t="n"/>
      <c r="E290" s="16" t="n"/>
      <c r="F290" s="13" t="n"/>
      <c r="G290" s="16" t="n"/>
      <c r="H290" s="125" t="n"/>
      <c r="I290" s="14" t="n"/>
      <c r="J290" s="16" t="n"/>
      <c r="K290" s="125" t="n"/>
      <c r="L290" s="14" t="n"/>
      <c r="M290" s="16" t="n"/>
      <c r="N290" s="125" t="n"/>
      <c r="O290" s="14" t="n"/>
      <c r="P290" s="16" t="n"/>
      <c r="Q290" s="125" t="n"/>
      <c r="R290" s="14" t="n"/>
      <c r="S290" s="16" t="n"/>
      <c r="T290" s="125" t="n"/>
      <c r="U290" s="14" t="n"/>
      <c r="V290" s="16" t="n"/>
      <c r="W290" s="125" t="n"/>
      <c r="X290" s="14" t="n"/>
      <c r="Y290" s="16" t="n"/>
      <c r="Z290" s="125" t="n"/>
      <c r="AA290" s="14" t="n"/>
      <c r="AB290" s="16" t="n"/>
      <c r="AC290" s="125" t="n"/>
      <c r="AD290" s="14" t="n"/>
    </row>
    <row r="291">
      <c r="A291" s="58" t="n"/>
      <c r="B291" s="59" t="n"/>
      <c r="C291" s="59" t="n"/>
      <c r="E291" s="16" t="n"/>
      <c r="F291" s="13" t="n"/>
      <c r="G291" s="16" t="n"/>
      <c r="H291" s="125" t="n"/>
      <c r="I291" s="14" t="n"/>
      <c r="J291" s="16" t="n"/>
      <c r="K291" s="125" t="n"/>
      <c r="L291" s="14" t="n"/>
      <c r="M291" s="16" t="n"/>
      <c r="N291" s="125" t="n"/>
      <c r="O291" s="14" t="n"/>
      <c r="P291" s="16" t="n"/>
      <c r="Q291" s="125" t="n"/>
      <c r="R291" s="14" t="n"/>
      <c r="S291" s="16" t="n"/>
      <c r="T291" s="125" t="n"/>
      <c r="U291" s="14" t="n"/>
      <c r="V291" s="16" t="n"/>
      <c r="W291" s="125" t="n"/>
      <c r="X291" s="14" t="n"/>
      <c r="Y291" s="16" t="n"/>
      <c r="Z291" s="125" t="n"/>
      <c r="AA291" s="14" t="n"/>
      <c r="AB291" s="16" t="n"/>
      <c r="AC291" s="125" t="n"/>
      <c r="AD291" s="14" t="n"/>
    </row>
    <row r="292">
      <c r="A292" s="56" t="n"/>
      <c r="B292" s="57" t="n"/>
      <c r="C292" s="59" t="n"/>
      <c r="E292" s="16" t="n"/>
      <c r="F292" s="13" t="n"/>
      <c r="G292" s="16" t="n"/>
      <c r="H292" s="125" t="n"/>
      <c r="I292" s="14" t="n"/>
      <c r="J292" s="16" t="n"/>
      <c r="K292" s="125" t="n"/>
      <c r="L292" s="14" t="n"/>
      <c r="M292" s="16" t="n"/>
      <c r="N292" s="125" t="n"/>
      <c r="O292" s="14" t="n"/>
      <c r="P292" s="16" t="n"/>
      <c r="Q292" s="125" t="n"/>
      <c r="R292" s="14" t="n"/>
      <c r="S292" s="16" t="n"/>
      <c r="T292" s="125" t="n"/>
      <c r="U292" s="14" t="n"/>
      <c r="V292" s="16" t="n"/>
      <c r="W292" s="125" t="n"/>
      <c r="X292" s="14" t="n"/>
      <c r="Y292" s="16" t="n"/>
      <c r="Z292" s="125" t="n"/>
      <c r="AA292" s="14" t="n"/>
      <c r="AB292" s="16" t="n"/>
      <c r="AC292" s="125" t="n"/>
      <c r="AD292" s="14" t="n"/>
    </row>
    <row r="293">
      <c r="A293" s="58" t="n"/>
      <c r="B293" s="59" t="n"/>
      <c r="C293" s="59" t="n"/>
      <c r="E293" s="16" t="n"/>
      <c r="F293" s="13" t="n"/>
      <c r="G293" s="16" t="n"/>
      <c r="H293" s="125" t="n"/>
      <c r="I293" s="14" t="n"/>
      <c r="J293" s="16" t="n"/>
      <c r="K293" s="125" t="n"/>
      <c r="L293" s="14" t="n"/>
      <c r="M293" s="16" t="n"/>
      <c r="N293" s="125" t="n"/>
      <c r="O293" s="14" t="n"/>
      <c r="P293" s="16" t="n"/>
      <c r="Q293" s="125" t="n"/>
      <c r="R293" s="14" t="n"/>
      <c r="S293" s="16" t="n"/>
      <c r="T293" s="125" t="n"/>
      <c r="U293" s="14" t="n"/>
      <c r="V293" s="16" t="n"/>
      <c r="W293" s="125" t="n"/>
      <c r="X293" s="14" t="n"/>
      <c r="Y293" s="16" t="n"/>
      <c r="Z293" s="125" t="n"/>
      <c r="AA293" s="14" t="n"/>
      <c r="AB293" s="16" t="n"/>
      <c r="AC293" s="125" t="n"/>
      <c r="AD293" s="14" t="n"/>
    </row>
    <row r="294">
      <c r="A294" s="56" t="n"/>
      <c r="B294" s="57" t="n"/>
      <c r="C294" s="59" t="n"/>
      <c r="E294" s="16" t="n"/>
      <c r="F294" s="13" t="n"/>
      <c r="G294" s="16" t="n"/>
      <c r="H294" s="125" t="n"/>
      <c r="I294" s="14" t="n"/>
      <c r="J294" s="16" t="n"/>
      <c r="K294" s="125" t="n"/>
      <c r="L294" s="14" t="n"/>
      <c r="M294" s="16" t="n"/>
      <c r="N294" s="125" t="n"/>
      <c r="O294" s="14" t="n"/>
      <c r="P294" s="16" t="n"/>
      <c r="Q294" s="125" t="n"/>
      <c r="R294" s="14" t="n"/>
      <c r="S294" s="16" t="n"/>
      <c r="T294" s="125" t="n"/>
      <c r="U294" s="14" t="n"/>
      <c r="V294" s="16" t="n"/>
      <c r="W294" s="125" t="n"/>
      <c r="X294" s="14" t="n"/>
      <c r="Y294" s="16" t="n"/>
      <c r="Z294" s="125" t="n"/>
      <c r="AA294" s="14" t="n"/>
      <c r="AB294" s="16" t="n"/>
      <c r="AC294" s="125" t="n"/>
      <c r="AD294" s="14" t="n"/>
    </row>
    <row r="295">
      <c r="A295" s="58" t="n"/>
      <c r="B295" s="59" t="n"/>
      <c r="C295" s="59" t="n"/>
      <c r="E295" s="16" t="n"/>
      <c r="F295" s="13" t="n"/>
      <c r="G295" s="16" t="n"/>
      <c r="H295" s="125" t="n"/>
      <c r="I295" s="14" t="n"/>
      <c r="J295" s="16" t="n"/>
      <c r="K295" s="125" t="n"/>
      <c r="L295" s="14" t="n"/>
      <c r="M295" s="16" t="n"/>
      <c r="N295" s="125" t="n"/>
      <c r="O295" s="14" t="n"/>
      <c r="P295" s="16" t="n"/>
      <c r="Q295" s="125" t="n"/>
      <c r="R295" s="14" t="n"/>
      <c r="S295" s="16" t="n"/>
      <c r="T295" s="125" t="n"/>
      <c r="U295" s="14" t="n"/>
      <c r="V295" s="16" t="n"/>
      <c r="W295" s="125" t="n"/>
      <c r="X295" s="14" t="n"/>
      <c r="Y295" s="16" t="n"/>
      <c r="Z295" s="125" t="n"/>
      <c r="AA295" s="14" t="n"/>
      <c r="AB295" s="16" t="n"/>
      <c r="AC295" s="125" t="n"/>
      <c r="AD295" s="14" t="n"/>
    </row>
    <row r="296">
      <c r="A296" s="56" t="n"/>
      <c r="B296" s="57" t="n"/>
      <c r="C296" s="59" t="n"/>
      <c r="E296" s="16" t="n"/>
      <c r="F296" s="13" t="n"/>
      <c r="G296" s="16" t="n"/>
      <c r="H296" s="125" t="n"/>
      <c r="I296" s="14" t="n"/>
      <c r="J296" s="16" t="n"/>
      <c r="K296" s="125" t="n"/>
      <c r="L296" s="14" t="n"/>
      <c r="M296" s="16" t="n"/>
      <c r="N296" s="125" t="n"/>
      <c r="O296" s="14" t="n"/>
      <c r="P296" s="16" t="n"/>
      <c r="Q296" s="125" t="n"/>
      <c r="R296" s="14" t="n"/>
      <c r="S296" s="16" t="n"/>
      <c r="T296" s="125" t="n"/>
      <c r="U296" s="14" t="n"/>
      <c r="V296" s="16" t="n"/>
      <c r="W296" s="125" t="n"/>
      <c r="X296" s="14" t="n"/>
      <c r="Y296" s="16" t="n"/>
      <c r="Z296" s="125" t="n"/>
      <c r="AA296" s="14" t="n"/>
      <c r="AB296" s="16" t="n"/>
      <c r="AC296" s="125" t="n"/>
      <c r="AD296" s="14" t="n"/>
    </row>
    <row r="297">
      <c r="A297" s="58" t="n"/>
      <c r="B297" s="59" t="n"/>
      <c r="C297" s="59" t="n"/>
      <c r="E297" s="16" t="n"/>
      <c r="F297" s="13" t="n"/>
      <c r="G297" s="16" t="n"/>
      <c r="H297" s="125" t="n"/>
      <c r="I297" s="14" t="n"/>
      <c r="J297" s="16" t="n"/>
      <c r="K297" s="125" t="n"/>
      <c r="L297" s="14" t="n"/>
      <c r="M297" s="16" t="n"/>
      <c r="N297" s="125" t="n"/>
      <c r="O297" s="14" t="n"/>
      <c r="P297" s="16" t="n"/>
      <c r="Q297" s="125" t="n"/>
      <c r="R297" s="14" t="n"/>
      <c r="S297" s="16" t="n"/>
      <c r="T297" s="125" t="n"/>
      <c r="U297" s="14" t="n"/>
      <c r="V297" s="16" t="n"/>
      <c r="W297" s="125" t="n"/>
      <c r="X297" s="14" t="n"/>
      <c r="Y297" s="16" t="n"/>
      <c r="Z297" s="125" t="n"/>
      <c r="AA297" s="14" t="n"/>
      <c r="AB297" s="16" t="n"/>
      <c r="AC297" s="125" t="n"/>
      <c r="AD297" s="14" t="n"/>
    </row>
    <row r="298">
      <c r="A298" s="56" t="n"/>
      <c r="B298" s="57" t="n"/>
      <c r="C298" s="59" t="n"/>
      <c r="E298" s="16" t="n"/>
      <c r="F298" s="13" t="n"/>
      <c r="G298" s="16" t="n"/>
      <c r="H298" s="125" t="n"/>
      <c r="I298" s="14" t="n"/>
      <c r="J298" s="16" t="n"/>
      <c r="K298" s="125" t="n"/>
      <c r="L298" s="14" t="n"/>
      <c r="M298" s="16" t="n"/>
      <c r="N298" s="125" t="n"/>
      <c r="O298" s="14" t="n"/>
      <c r="P298" s="16" t="n"/>
      <c r="Q298" s="125" t="n"/>
      <c r="R298" s="14" t="n"/>
      <c r="S298" s="16" t="n"/>
      <c r="T298" s="125" t="n"/>
      <c r="U298" s="14" t="n"/>
      <c r="V298" s="16" t="n"/>
      <c r="W298" s="125" t="n"/>
      <c r="X298" s="14" t="n"/>
      <c r="Y298" s="16" t="n"/>
      <c r="Z298" s="125" t="n"/>
      <c r="AA298" s="14" t="n"/>
      <c r="AB298" s="16" t="n"/>
      <c r="AC298" s="125" t="n"/>
      <c r="AD298" s="14" t="n"/>
    </row>
    <row r="299">
      <c r="A299" s="58" t="n"/>
      <c r="B299" s="59" t="n"/>
      <c r="C299" s="59" t="n"/>
      <c r="E299" s="16" t="n"/>
      <c r="F299" s="13" t="n"/>
      <c r="G299" s="16" t="n"/>
      <c r="H299" s="125" t="n"/>
      <c r="I299" s="14" t="n"/>
      <c r="J299" s="16" t="n"/>
      <c r="K299" s="125" t="n"/>
      <c r="L299" s="14" t="n"/>
      <c r="M299" s="16" t="n"/>
      <c r="N299" s="125" t="n"/>
      <c r="O299" s="14" t="n"/>
      <c r="P299" s="16" t="n"/>
      <c r="Q299" s="125" t="n"/>
      <c r="R299" s="14" t="n"/>
      <c r="S299" s="16" t="n"/>
      <c r="T299" s="125" t="n"/>
      <c r="U299" s="14" t="n"/>
      <c r="V299" s="16" t="n"/>
      <c r="W299" s="125" t="n"/>
      <c r="X299" s="14" t="n"/>
      <c r="Y299" s="16" t="n"/>
      <c r="Z299" s="125" t="n"/>
      <c r="AA299" s="14" t="n"/>
      <c r="AB299" s="16" t="n"/>
      <c r="AC299" s="125" t="n"/>
      <c r="AD299" s="14" t="n"/>
    </row>
    <row r="300">
      <c r="A300" s="56" t="n"/>
      <c r="B300" s="57" t="n"/>
      <c r="C300" s="59" t="n"/>
      <c r="E300" s="16" t="n"/>
      <c r="F300" s="13" t="n"/>
      <c r="G300" s="16" t="n"/>
      <c r="H300" s="125" t="n"/>
      <c r="I300" s="14" t="n"/>
      <c r="J300" s="16" t="n"/>
      <c r="K300" s="125" t="n"/>
      <c r="L300" s="14" t="n"/>
      <c r="M300" s="16" t="n"/>
      <c r="N300" s="125" t="n"/>
      <c r="O300" s="14" t="n"/>
      <c r="P300" s="16" t="n"/>
      <c r="Q300" s="125" t="n"/>
      <c r="R300" s="14" t="n"/>
      <c r="S300" s="16" t="n"/>
      <c r="T300" s="125" t="n"/>
      <c r="U300" s="14" t="n"/>
      <c r="V300" s="16" t="n"/>
      <c r="W300" s="125" t="n"/>
      <c r="X300" s="14" t="n"/>
      <c r="Y300" s="16" t="n"/>
      <c r="Z300" s="125" t="n"/>
      <c r="AA300" s="14" t="n"/>
      <c r="AB300" s="16" t="n"/>
      <c r="AC300" s="125" t="n"/>
      <c r="AD300" s="14" t="n"/>
    </row>
    <row r="301">
      <c r="A301" s="58" t="n"/>
      <c r="B301" s="59" t="n"/>
      <c r="C301" s="59" t="n"/>
      <c r="E301" s="16" t="n"/>
      <c r="F301" s="13" t="n"/>
      <c r="G301" s="16" t="n"/>
      <c r="H301" s="125" t="n"/>
      <c r="I301" s="14" t="n"/>
      <c r="J301" s="16" t="n"/>
      <c r="K301" s="125" t="n"/>
      <c r="L301" s="14" t="n"/>
      <c r="M301" s="16" t="n"/>
      <c r="N301" s="125" t="n"/>
      <c r="O301" s="14" t="n"/>
      <c r="P301" s="16" t="n"/>
      <c r="Q301" s="125" t="n"/>
      <c r="R301" s="14" t="n"/>
      <c r="S301" s="16" t="n"/>
      <c r="T301" s="125" t="n"/>
      <c r="U301" s="14" t="n"/>
      <c r="V301" s="16" t="n"/>
      <c r="W301" s="125" t="n"/>
      <c r="X301" s="14" t="n"/>
      <c r="Y301" s="16" t="n"/>
      <c r="Z301" s="125" t="n"/>
      <c r="AA301" s="14" t="n"/>
      <c r="AB301" s="16" t="n"/>
      <c r="AC301" s="125" t="n"/>
      <c r="AD301" s="14" t="n"/>
    </row>
    <row r="302">
      <c r="A302" s="56" t="n"/>
      <c r="B302" s="57" t="n"/>
      <c r="C302" s="59" t="n"/>
      <c r="E302" s="16" t="n"/>
      <c r="F302" s="13" t="n"/>
      <c r="G302" s="16" t="n"/>
      <c r="H302" s="125" t="n"/>
      <c r="I302" s="14" t="n"/>
      <c r="J302" s="16" t="n"/>
      <c r="K302" s="125" t="n"/>
      <c r="L302" s="14" t="n"/>
      <c r="M302" s="16" t="n"/>
      <c r="N302" s="125" t="n"/>
      <c r="O302" s="14" t="n"/>
      <c r="P302" s="16" t="n"/>
      <c r="Q302" s="125" t="n"/>
      <c r="R302" s="14" t="n"/>
      <c r="S302" s="16" t="n"/>
      <c r="T302" s="125" t="n"/>
      <c r="U302" s="14" t="n"/>
      <c r="V302" s="16" t="n"/>
      <c r="W302" s="125" t="n"/>
      <c r="X302" s="14" t="n"/>
      <c r="Y302" s="16" t="n"/>
      <c r="Z302" s="125" t="n"/>
      <c r="AA302" s="14" t="n"/>
      <c r="AB302" s="16" t="n"/>
      <c r="AC302" s="125" t="n"/>
      <c r="AD302" s="14" t="n"/>
    </row>
    <row r="303">
      <c r="A303" s="58" t="n"/>
      <c r="B303" s="59" t="n"/>
      <c r="C303" s="59" t="n"/>
      <c r="E303" s="16" t="n"/>
      <c r="F303" s="13" t="n"/>
      <c r="G303" s="16" t="n"/>
      <c r="H303" s="125" t="n"/>
      <c r="I303" s="14" t="n"/>
      <c r="J303" s="16" t="n"/>
      <c r="K303" s="125" t="n"/>
      <c r="L303" s="14" t="n"/>
      <c r="M303" s="16" t="n"/>
      <c r="N303" s="125" t="n"/>
      <c r="O303" s="14" t="n"/>
      <c r="P303" s="16" t="n"/>
      <c r="Q303" s="125" t="n"/>
      <c r="R303" s="14" t="n"/>
      <c r="S303" s="16" t="n"/>
      <c r="T303" s="125" t="n"/>
      <c r="U303" s="14" t="n"/>
      <c r="V303" s="16" t="n"/>
      <c r="W303" s="125" t="n"/>
      <c r="X303" s="14" t="n"/>
      <c r="Y303" s="16" t="n"/>
      <c r="Z303" s="125" t="n"/>
      <c r="AA303" s="14" t="n"/>
      <c r="AB303" s="16" t="n"/>
      <c r="AC303" s="125" t="n"/>
      <c r="AD303" s="14" t="n"/>
    </row>
    <row r="304">
      <c r="A304" s="56" t="n"/>
      <c r="B304" s="57" t="n"/>
      <c r="C304" s="59" t="n"/>
      <c r="E304" s="16" t="n"/>
      <c r="F304" s="13" t="n"/>
      <c r="G304" s="16" t="n"/>
      <c r="H304" s="125" t="n"/>
      <c r="I304" s="14" t="n"/>
      <c r="J304" s="16" t="n"/>
      <c r="K304" s="125" t="n"/>
      <c r="L304" s="14" t="n"/>
      <c r="M304" s="16" t="n"/>
      <c r="N304" s="125" t="n"/>
      <c r="O304" s="14" t="n"/>
      <c r="P304" s="16" t="n"/>
      <c r="Q304" s="125" t="n"/>
      <c r="R304" s="14" t="n"/>
      <c r="S304" s="16" t="n"/>
      <c r="T304" s="125" t="n"/>
      <c r="U304" s="14" t="n"/>
      <c r="V304" s="16" t="n"/>
      <c r="W304" s="125" t="n"/>
      <c r="X304" s="14" t="n"/>
      <c r="Y304" s="16" t="n"/>
      <c r="Z304" s="125" t="n"/>
      <c r="AA304" s="14" t="n"/>
      <c r="AB304" s="16" t="n"/>
      <c r="AC304" s="125" t="n"/>
      <c r="AD304" s="14" t="n"/>
    </row>
    <row r="305">
      <c r="A305" s="58" t="n"/>
      <c r="B305" s="59" t="n"/>
      <c r="C305" s="59" t="n"/>
      <c r="E305" s="16" t="n"/>
      <c r="F305" s="13" t="n"/>
      <c r="G305" s="16" t="n"/>
      <c r="H305" s="125" t="n"/>
      <c r="I305" s="14" t="n"/>
      <c r="J305" s="16" t="n"/>
      <c r="K305" s="125" t="n"/>
      <c r="L305" s="14" t="n"/>
      <c r="M305" s="16" t="n"/>
      <c r="N305" s="125" t="n"/>
      <c r="O305" s="14" t="n"/>
      <c r="P305" s="16" t="n"/>
      <c r="Q305" s="125" t="n"/>
      <c r="R305" s="14" t="n"/>
      <c r="S305" s="16" t="n"/>
      <c r="T305" s="125" t="n"/>
      <c r="U305" s="14" t="n"/>
      <c r="V305" s="16" t="n"/>
      <c r="W305" s="125" t="n"/>
      <c r="X305" s="14" t="n"/>
      <c r="Y305" s="16" t="n"/>
      <c r="Z305" s="125" t="n"/>
      <c r="AA305" s="14" t="n"/>
      <c r="AB305" s="16" t="n"/>
      <c r="AC305" s="125" t="n"/>
      <c r="AD305" s="14" t="n"/>
    </row>
    <row r="306">
      <c r="A306" s="56" t="n"/>
      <c r="B306" s="57" t="n"/>
      <c r="C306" s="59" t="n"/>
      <c r="E306" s="16" t="n"/>
      <c r="F306" s="13" t="n"/>
      <c r="G306" s="16" t="n"/>
      <c r="H306" s="125" t="n"/>
      <c r="I306" s="14" t="n"/>
      <c r="J306" s="16" t="n"/>
      <c r="K306" s="125" t="n"/>
      <c r="L306" s="14" t="n"/>
      <c r="M306" s="16" t="n"/>
      <c r="N306" s="125" t="n"/>
      <c r="O306" s="14" t="n"/>
      <c r="P306" s="16" t="n"/>
      <c r="Q306" s="125" t="n"/>
      <c r="R306" s="14" t="n"/>
      <c r="S306" s="16" t="n"/>
      <c r="T306" s="125" t="n"/>
      <c r="U306" s="14" t="n"/>
      <c r="V306" s="16" t="n"/>
      <c r="W306" s="125" t="n"/>
      <c r="X306" s="14" t="n"/>
      <c r="Y306" s="16" t="n"/>
      <c r="Z306" s="125" t="n"/>
      <c r="AA306" s="14" t="n"/>
      <c r="AB306" s="16" t="n"/>
      <c r="AC306" s="125" t="n"/>
      <c r="AD306" s="14" t="n"/>
    </row>
    <row r="307">
      <c r="A307" s="58" t="n"/>
      <c r="B307" s="59" t="n"/>
      <c r="C307" s="59" t="n"/>
      <c r="E307" s="16" t="n"/>
      <c r="F307" s="13" t="n"/>
      <c r="G307" s="16" t="n"/>
      <c r="H307" s="125" t="n"/>
      <c r="I307" s="14" t="n"/>
      <c r="J307" s="16" t="n"/>
      <c r="K307" s="125" t="n"/>
      <c r="L307" s="14" t="n"/>
      <c r="M307" s="16" t="n"/>
      <c r="N307" s="125" t="n"/>
      <c r="O307" s="14" t="n"/>
      <c r="P307" s="16" t="n"/>
      <c r="Q307" s="125" t="n"/>
      <c r="R307" s="14" t="n"/>
      <c r="S307" s="16" t="n"/>
      <c r="T307" s="125" t="n"/>
      <c r="U307" s="14" t="n"/>
      <c r="V307" s="16" t="n"/>
      <c r="W307" s="125" t="n"/>
      <c r="X307" s="14" t="n"/>
      <c r="Y307" s="16" t="n"/>
      <c r="Z307" s="125" t="n"/>
      <c r="AA307" s="14" t="n"/>
      <c r="AB307" s="16" t="n"/>
      <c r="AC307" s="125" t="n"/>
      <c r="AD307" s="14" t="n"/>
    </row>
    <row r="308">
      <c r="A308" s="56" t="n"/>
      <c r="B308" s="57" t="n"/>
      <c r="C308" s="59" t="n"/>
      <c r="E308" s="16" t="n"/>
      <c r="F308" s="13" t="n"/>
      <c r="G308" s="16" t="n"/>
      <c r="H308" s="125" t="n"/>
      <c r="I308" s="14" t="n"/>
      <c r="J308" s="16" t="n"/>
      <c r="K308" s="125" t="n"/>
      <c r="L308" s="14" t="n"/>
      <c r="M308" s="16" t="n"/>
      <c r="N308" s="125" t="n"/>
      <c r="O308" s="14" t="n"/>
      <c r="P308" s="16" t="n"/>
      <c r="Q308" s="125" t="n"/>
      <c r="R308" s="14" t="n"/>
      <c r="S308" s="16" t="n"/>
      <c r="T308" s="125" t="n"/>
      <c r="U308" s="14" t="n"/>
      <c r="V308" s="16" t="n"/>
      <c r="W308" s="125" t="n"/>
      <c r="X308" s="14" t="n"/>
      <c r="Y308" s="16" t="n"/>
      <c r="Z308" s="125" t="n"/>
      <c r="AA308" s="14" t="n"/>
      <c r="AB308" s="16" t="n"/>
      <c r="AC308" s="125" t="n"/>
      <c r="AD308" s="14" t="n"/>
    </row>
    <row r="309">
      <c r="A309" s="58" t="n"/>
      <c r="B309" s="59" t="n"/>
      <c r="C309" s="59" t="n"/>
      <c r="E309" s="16" t="n"/>
      <c r="F309" s="13" t="n"/>
      <c r="G309" s="16" t="n"/>
      <c r="H309" s="125" t="n"/>
      <c r="I309" s="14" t="n"/>
      <c r="J309" s="16" t="n"/>
      <c r="K309" s="125" t="n"/>
      <c r="L309" s="14" t="n"/>
      <c r="M309" s="16" t="n"/>
      <c r="N309" s="125" t="n"/>
      <c r="O309" s="14" t="n"/>
      <c r="P309" s="16" t="n"/>
      <c r="Q309" s="125" t="n"/>
      <c r="R309" s="14" t="n"/>
      <c r="S309" s="16" t="n"/>
      <c r="T309" s="125" t="n"/>
      <c r="U309" s="14" t="n"/>
      <c r="V309" s="16" t="n"/>
      <c r="W309" s="125" t="n"/>
      <c r="X309" s="14" t="n"/>
      <c r="Y309" s="16" t="n"/>
      <c r="Z309" s="125" t="n"/>
      <c r="AA309" s="14" t="n"/>
      <c r="AB309" s="16" t="n"/>
      <c r="AC309" s="125" t="n"/>
      <c r="AD309" s="14" t="n"/>
    </row>
    <row r="310">
      <c r="A310" s="56" t="n"/>
      <c r="B310" s="57" t="n"/>
      <c r="C310" s="59" t="n"/>
      <c r="E310" s="16" t="n"/>
      <c r="F310" s="13" t="n"/>
      <c r="G310" s="16" t="n"/>
      <c r="H310" s="125" t="n"/>
      <c r="I310" s="14" t="n"/>
      <c r="J310" s="16" t="n"/>
      <c r="K310" s="125" t="n"/>
      <c r="L310" s="14" t="n"/>
      <c r="M310" s="16" t="n"/>
      <c r="N310" s="125" t="n"/>
      <c r="O310" s="14" t="n"/>
      <c r="P310" s="16" t="n"/>
      <c r="Q310" s="125" t="n"/>
      <c r="R310" s="14" t="n"/>
      <c r="S310" s="16" t="n"/>
      <c r="T310" s="125" t="n"/>
      <c r="U310" s="14" t="n"/>
      <c r="V310" s="16" t="n"/>
      <c r="W310" s="125" t="n"/>
      <c r="X310" s="14" t="n"/>
      <c r="Y310" s="16" t="n"/>
      <c r="Z310" s="125" t="n"/>
      <c r="AA310" s="14" t="n"/>
      <c r="AB310" s="16" t="n"/>
      <c r="AC310" s="125" t="n"/>
      <c r="AD310" s="14" t="n"/>
    </row>
    <row r="311">
      <c r="A311" s="58" t="n"/>
      <c r="B311" s="59" t="n"/>
      <c r="C311" s="59" t="n"/>
      <c r="E311" s="16" t="n"/>
      <c r="F311" s="13" t="n"/>
      <c r="G311" s="16" t="n"/>
      <c r="H311" s="125" t="n"/>
      <c r="I311" s="14" t="n"/>
      <c r="J311" s="16" t="n"/>
      <c r="K311" s="125" t="n"/>
      <c r="L311" s="14" t="n"/>
      <c r="M311" s="16" t="n"/>
      <c r="N311" s="125" t="n"/>
      <c r="O311" s="14" t="n"/>
      <c r="P311" s="16" t="n"/>
      <c r="Q311" s="125" t="n"/>
      <c r="R311" s="14" t="n"/>
      <c r="S311" s="16" t="n"/>
      <c r="T311" s="125" t="n"/>
      <c r="U311" s="14" t="n"/>
      <c r="V311" s="16" t="n"/>
      <c r="W311" s="125" t="n"/>
      <c r="X311" s="14" t="n"/>
      <c r="Y311" s="16" t="n"/>
      <c r="Z311" s="125" t="n"/>
      <c r="AA311" s="14" t="n"/>
      <c r="AB311" s="16" t="n"/>
      <c r="AC311" s="125" t="n"/>
      <c r="AD311" s="14" t="n"/>
    </row>
    <row r="312">
      <c r="A312" s="56" t="n"/>
      <c r="B312" s="57" t="n"/>
      <c r="C312" s="59" t="n"/>
      <c r="E312" s="16" t="n"/>
      <c r="F312" s="13" t="n"/>
      <c r="G312" s="16" t="n"/>
      <c r="H312" s="125" t="n"/>
      <c r="I312" s="14" t="n"/>
      <c r="J312" s="16" t="n"/>
      <c r="K312" s="125" t="n"/>
      <c r="L312" s="14" t="n"/>
      <c r="M312" s="16" t="n"/>
      <c r="N312" s="125" t="n"/>
      <c r="O312" s="14" t="n"/>
      <c r="P312" s="16" t="n"/>
      <c r="Q312" s="125" t="n"/>
      <c r="R312" s="14" t="n"/>
      <c r="S312" s="16" t="n"/>
      <c r="T312" s="125" t="n"/>
      <c r="U312" s="14" t="n"/>
      <c r="V312" s="16" t="n"/>
      <c r="W312" s="125" t="n"/>
      <c r="X312" s="14" t="n"/>
      <c r="Y312" s="16" t="n"/>
      <c r="Z312" s="125" t="n"/>
      <c r="AA312" s="14" t="n"/>
      <c r="AB312" s="16" t="n"/>
      <c r="AC312" s="125" t="n"/>
      <c r="AD312" s="14" t="n"/>
    </row>
    <row r="313">
      <c r="A313" s="58" t="n"/>
      <c r="B313" s="59" t="n"/>
      <c r="C313" s="59" t="n"/>
      <c r="E313" s="16" t="n"/>
      <c r="F313" s="13" t="n"/>
      <c r="G313" s="16" t="n"/>
      <c r="H313" s="125" t="n"/>
      <c r="I313" s="14" t="n"/>
      <c r="J313" s="16" t="n"/>
      <c r="K313" s="125" t="n"/>
      <c r="L313" s="14" t="n"/>
      <c r="M313" s="16" t="n"/>
      <c r="N313" s="125" t="n"/>
      <c r="O313" s="14" t="n"/>
      <c r="P313" s="16" t="n"/>
      <c r="Q313" s="125" t="n"/>
      <c r="R313" s="14" t="n"/>
      <c r="S313" s="16" t="n"/>
      <c r="T313" s="125" t="n"/>
      <c r="U313" s="14" t="n"/>
      <c r="V313" s="16" t="n"/>
      <c r="W313" s="125" t="n"/>
      <c r="X313" s="14" t="n"/>
      <c r="Y313" s="16" t="n"/>
      <c r="Z313" s="125" t="n"/>
      <c r="AA313" s="14" t="n"/>
      <c r="AB313" s="16" t="n"/>
      <c r="AC313" s="125" t="n"/>
      <c r="AD313" s="14" t="n"/>
    </row>
    <row r="314">
      <c r="A314" s="56" t="n"/>
      <c r="B314" s="57" t="n"/>
      <c r="C314" s="59" t="n"/>
      <c r="E314" s="16" t="n"/>
      <c r="F314" s="13" t="n"/>
      <c r="G314" s="16" t="n"/>
      <c r="H314" s="125" t="n"/>
      <c r="I314" s="14" t="n"/>
      <c r="J314" s="16" t="n"/>
      <c r="K314" s="125" t="n"/>
      <c r="L314" s="14" t="n"/>
      <c r="M314" s="16" t="n"/>
      <c r="N314" s="125" t="n"/>
      <c r="O314" s="14" t="n"/>
      <c r="P314" s="16" t="n"/>
      <c r="Q314" s="125" t="n"/>
      <c r="R314" s="14" t="n"/>
      <c r="S314" s="16" t="n"/>
      <c r="T314" s="125" t="n"/>
      <c r="U314" s="14" t="n"/>
      <c r="V314" s="16" t="n"/>
      <c r="W314" s="125" t="n"/>
      <c r="X314" s="14" t="n"/>
      <c r="Y314" s="16" t="n"/>
      <c r="Z314" s="125" t="n"/>
      <c r="AA314" s="14" t="n"/>
      <c r="AB314" s="16" t="n"/>
      <c r="AC314" s="125" t="n"/>
      <c r="AD314" s="14" t="n"/>
    </row>
    <row r="315">
      <c r="A315" s="58" t="n"/>
      <c r="B315" s="59" t="n"/>
      <c r="C315" s="59" t="n"/>
      <c r="E315" s="16" t="n"/>
      <c r="F315" s="13" t="n"/>
      <c r="G315" s="16" t="n"/>
      <c r="H315" s="125" t="n"/>
      <c r="I315" s="14" t="n"/>
      <c r="J315" s="16" t="n"/>
      <c r="K315" s="125" t="n"/>
      <c r="L315" s="14" t="n"/>
      <c r="M315" s="16" t="n"/>
      <c r="N315" s="125" t="n"/>
      <c r="O315" s="14" t="n"/>
      <c r="P315" s="16" t="n"/>
      <c r="Q315" s="125" t="n"/>
      <c r="R315" s="14" t="n"/>
      <c r="S315" s="16" t="n"/>
      <c r="T315" s="125" t="n"/>
      <c r="U315" s="14" t="n"/>
      <c r="V315" s="16" t="n"/>
      <c r="W315" s="125" t="n"/>
      <c r="X315" s="14" t="n"/>
      <c r="Y315" s="16" t="n"/>
      <c r="Z315" s="125" t="n"/>
      <c r="AA315" s="14" t="n"/>
      <c r="AB315" s="16" t="n"/>
      <c r="AC315" s="125" t="n"/>
      <c r="AD315" s="14" t="n"/>
    </row>
    <row r="316">
      <c r="A316" s="56" t="n"/>
      <c r="B316" s="57" t="n"/>
      <c r="C316" s="59" t="n"/>
      <c r="E316" s="16" t="n"/>
      <c r="F316" s="13" t="n"/>
      <c r="G316" s="16" t="n"/>
      <c r="H316" s="125" t="n"/>
      <c r="I316" s="14" t="n"/>
      <c r="J316" s="16" t="n"/>
      <c r="K316" s="125" t="n"/>
      <c r="L316" s="14" t="n"/>
      <c r="M316" s="16" t="n"/>
      <c r="N316" s="125" t="n"/>
      <c r="O316" s="14" t="n"/>
      <c r="P316" s="16" t="n"/>
      <c r="Q316" s="125" t="n"/>
      <c r="R316" s="14" t="n"/>
      <c r="S316" s="16" t="n"/>
      <c r="T316" s="125" t="n"/>
      <c r="U316" s="14" t="n"/>
      <c r="V316" s="16" t="n"/>
      <c r="W316" s="125" t="n"/>
      <c r="X316" s="14" t="n"/>
      <c r="Y316" s="16" t="n"/>
      <c r="Z316" s="125" t="n"/>
      <c r="AA316" s="14" t="n"/>
      <c r="AB316" s="16" t="n"/>
      <c r="AC316" s="125" t="n"/>
      <c r="AD316" s="14" t="n"/>
    </row>
    <row r="317">
      <c r="A317" s="58" t="n"/>
      <c r="B317" s="59" t="n"/>
      <c r="C317" s="59" t="n"/>
      <c r="E317" s="16" t="n"/>
      <c r="F317" s="13" t="n"/>
      <c r="G317" s="16" t="n"/>
      <c r="H317" s="125" t="n"/>
      <c r="I317" s="14" t="n"/>
      <c r="J317" s="16" t="n"/>
      <c r="K317" s="125" t="n"/>
      <c r="L317" s="14" t="n"/>
      <c r="M317" s="16" t="n"/>
      <c r="N317" s="125" t="n"/>
      <c r="O317" s="14" t="n"/>
      <c r="P317" s="16" t="n"/>
      <c r="Q317" s="125" t="n"/>
      <c r="R317" s="14" t="n"/>
      <c r="S317" s="16" t="n"/>
      <c r="T317" s="125" t="n"/>
      <c r="U317" s="14" t="n"/>
      <c r="V317" s="16" t="n"/>
      <c r="W317" s="125" t="n"/>
      <c r="X317" s="14" t="n"/>
      <c r="Y317" s="16" t="n"/>
      <c r="Z317" s="125" t="n"/>
      <c r="AA317" s="14" t="n"/>
      <c r="AB317" s="16" t="n"/>
      <c r="AC317" s="125" t="n"/>
      <c r="AD317" s="14" t="n"/>
    </row>
    <row r="318">
      <c r="A318" s="56" t="n"/>
      <c r="B318" s="57" t="n"/>
      <c r="C318" s="59" t="n"/>
      <c r="E318" s="16" t="n"/>
      <c r="F318" s="13" t="n"/>
      <c r="G318" s="16" t="n"/>
      <c r="H318" s="125" t="n"/>
      <c r="I318" s="14" t="n"/>
      <c r="J318" s="16" t="n"/>
      <c r="K318" s="125" t="n"/>
      <c r="L318" s="14" t="n"/>
      <c r="M318" s="16" t="n"/>
      <c r="N318" s="125" t="n"/>
      <c r="O318" s="14" t="n"/>
      <c r="P318" s="16" t="n"/>
      <c r="Q318" s="125" t="n"/>
      <c r="R318" s="14" t="n"/>
      <c r="S318" s="16" t="n"/>
      <c r="T318" s="125" t="n"/>
      <c r="U318" s="14" t="n"/>
      <c r="V318" s="16" t="n"/>
      <c r="W318" s="125" t="n"/>
      <c r="X318" s="14" t="n"/>
      <c r="Y318" s="16" t="n"/>
      <c r="Z318" s="125" t="n"/>
      <c r="AA318" s="14" t="n"/>
      <c r="AB318" s="16" t="n"/>
      <c r="AC318" s="125" t="n"/>
      <c r="AD318" s="14" t="n"/>
    </row>
    <row r="319">
      <c r="A319" s="58" t="n"/>
      <c r="B319" s="59" t="n"/>
      <c r="C319" s="59" t="n"/>
      <c r="E319" s="16" t="n"/>
      <c r="F319" s="13" t="n"/>
      <c r="G319" s="16" t="n"/>
      <c r="H319" s="125" t="n"/>
      <c r="I319" s="14" t="n"/>
      <c r="J319" s="16" t="n"/>
      <c r="K319" s="125" t="n"/>
      <c r="L319" s="14" t="n"/>
      <c r="M319" s="16" t="n"/>
      <c r="N319" s="125" t="n"/>
      <c r="O319" s="14" t="n"/>
      <c r="P319" s="16" t="n"/>
      <c r="Q319" s="125" t="n"/>
      <c r="R319" s="14" t="n"/>
      <c r="S319" s="16" t="n"/>
      <c r="T319" s="125" t="n"/>
      <c r="U319" s="14" t="n"/>
      <c r="V319" s="16" t="n"/>
      <c r="W319" s="125" t="n"/>
      <c r="X319" s="14" t="n"/>
      <c r="Y319" s="16" t="n"/>
      <c r="Z319" s="125" t="n"/>
      <c r="AA319" s="14" t="n"/>
      <c r="AB319" s="16" t="n"/>
      <c r="AC319" s="125" t="n"/>
      <c r="AD319" s="14" t="n"/>
    </row>
    <row r="320">
      <c r="A320" s="56" t="n"/>
      <c r="B320" s="57" t="n"/>
      <c r="C320" s="59" t="n"/>
      <c r="E320" s="16" t="n"/>
      <c r="F320" s="13" t="n"/>
      <c r="G320" s="16" t="n"/>
      <c r="H320" s="125" t="n"/>
      <c r="I320" s="14" t="n"/>
      <c r="J320" s="16" t="n"/>
      <c r="K320" s="125" t="n"/>
      <c r="L320" s="14" t="n"/>
      <c r="M320" s="16" t="n"/>
      <c r="N320" s="125" t="n"/>
      <c r="O320" s="14" t="n"/>
      <c r="P320" s="16" t="n"/>
      <c r="Q320" s="125" t="n"/>
      <c r="R320" s="14" t="n"/>
      <c r="S320" s="16" t="n"/>
      <c r="T320" s="125" t="n"/>
      <c r="U320" s="14" t="n"/>
      <c r="V320" s="16" t="n"/>
      <c r="W320" s="125" t="n"/>
      <c r="X320" s="14" t="n"/>
      <c r="Y320" s="16" t="n"/>
      <c r="Z320" s="125" t="n"/>
      <c r="AA320" s="14" t="n"/>
      <c r="AB320" s="16" t="n"/>
      <c r="AC320" s="125" t="n"/>
      <c r="AD320" s="14" t="n"/>
    </row>
    <row r="321">
      <c r="A321" s="58" t="n"/>
      <c r="B321" s="59" t="n"/>
      <c r="C321" s="59" t="n"/>
      <c r="E321" s="16" t="n"/>
      <c r="F321" s="13" t="n"/>
      <c r="G321" s="16" t="n"/>
      <c r="H321" s="125" t="n"/>
      <c r="I321" s="14" t="n"/>
      <c r="J321" s="16" t="n"/>
      <c r="K321" s="125" t="n"/>
      <c r="L321" s="14" t="n"/>
      <c r="M321" s="16" t="n"/>
      <c r="N321" s="125" t="n"/>
      <c r="O321" s="14" t="n"/>
      <c r="P321" s="16" t="n"/>
      <c r="Q321" s="125" t="n"/>
      <c r="R321" s="14" t="n"/>
      <c r="S321" s="16" t="n"/>
      <c r="T321" s="125" t="n"/>
      <c r="U321" s="14" t="n"/>
      <c r="V321" s="16" t="n"/>
      <c r="W321" s="125" t="n"/>
      <c r="X321" s="14" t="n"/>
      <c r="Y321" s="16" t="n"/>
      <c r="Z321" s="125" t="n"/>
      <c r="AA321" s="14" t="n"/>
      <c r="AB321" s="16" t="n"/>
      <c r="AC321" s="125" t="n"/>
      <c r="AD321" s="14" t="n"/>
    </row>
    <row r="322">
      <c r="A322" s="56" t="n"/>
      <c r="B322" s="57" t="n"/>
      <c r="C322" s="59" t="n"/>
      <c r="E322" s="16" t="n"/>
      <c r="F322" s="13" t="n"/>
      <c r="G322" s="16" t="n"/>
      <c r="H322" s="125" t="n"/>
      <c r="I322" s="14" t="n"/>
      <c r="J322" s="16" t="n"/>
      <c r="K322" s="125" t="n"/>
      <c r="L322" s="14" t="n"/>
      <c r="M322" s="16" t="n"/>
      <c r="N322" s="125" t="n"/>
      <c r="O322" s="14" t="n"/>
      <c r="P322" s="16" t="n"/>
      <c r="Q322" s="125" t="n"/>
      <c r="R322" s="14" t="n"/>
      <c r="S322" s="16" t="n"/>
      <c r="T322" s="125" t="n"/>
      <c r="U322" s="14" t="n"/>
      <c r="V322" s="16" t="n"/>
      <c r="W322" s="125" t="n"/>
      <c r="X322" s="14" t="n"/>
      <c r="Y322" s="16" t="n"/>
      <c r="Z322" s="125" t="n"/>
      <c r="AA322" s="14" t="n"/>
      <c r="AB322" s="16" t="n"/>
      <c r="AC322" s="125" t="n"/>
      <c r="AD322" s="14" t="n"/>
    </row>
    <row r="323">
      <c r="A323" s="58" t="n"/>
      <c r="B323" s="59" t="n"/>
      <c r="C323" s="59" t="n"/>
      <c r="E323" s="16" t="n"/>
      <c r="F323" s="13" t="n"/>
      <c r="G323" s="16" t="n"/>
      <c r="H323" s="125" t="n"/>
      <c r="I323" s="14" t="n"/>
      <c r="J323" s="16" t="n"/>
      <c r="K323" s="125" t="n"/>
      <c r="L323" s="14" t="n"/>
      <c r="M323" s="16" t="n"/>
      <c r="N323" s="125" t="n"/>
      <c r="O323" s="14" t="n"/>
      <c r="P323" s="16" t="n"/>
      <c r="Q323" s="125" t="n"/>
      <c r="R323" s="14" t="n"/>
      <c r="S323" s="16" t="n"/>
      <c r="T323" s="125" t="n"/>
      <c r="U323" s="14" t="n"/>
      <c r="V323" s="16" t="n"/>
      <c r="W323" s="125" t="n"/>
      <c r="X323" s="14" t="n"/>
      <c r="Y323" s="16" t="n"/>
      <c r="Z323" s="125" t="n"/>
      <c r="AA323" s="14" t="n"/>
      <c r="AB323" s="16" t="n"/>
      <c r="AC323" s="125" t="n"/>
      <c r="AD323" s="14" t="n"/>
    </row>
    <row r="324">
      <c r="A324" s="56" t="n"/>
      <c r="B324" s="57" t="n"/>
      <c r="C324" s="59" t="n"/>
      <c r="E324" s="16" t="n"/>
      <c r="F324" s="13" t="n"/>
      <c r="G324" s="16" t="n"/>
      <c r="H324" s="125" t="n"/>
      <c r="I324" s="14" t="n"/>
      <c r="J324" s="16" t="n"/>
      <c r="K324" s="125" t="n"/>
      <c r="L324" s="14" t="n"/>
      <c r="M324" s="16" t="n"/>
      <c r="N324" s="125" t="n"/>
      <c r="O324" s="14" t="n"/>
      <c r="P324" s="16" t="n"/>
      <c r="Q324" s="125" t="n"/>
      <c r="R324" s="14" t="n"/>
      <c r="S324" s="16" t="n"/>
      <c r="T324" s="125" t="n"/>
      <c r="U324" s="14" t="n"/>
      <c r="V324" s="16" t="n"/>
      <c r="W324" s="125" t="n"/>
      <c r="X324" s="14" t="n"/>
      <c r="Y324" s="16" t="n"/>
      <c r="Z324" s="125" t="n"/>
      <c r="AA324" s="14" t="n"/>
      <c r="AB324" s="16" t="n"/>
      <c r="AC324" s="125" t="n"/>
      <c r="AD324" s="14" t="n"/>
    </row>
    <row r="325">
      <c r="A325" s="58" t="n"/>
      <c r="B325" s="59" t="n"/>
      <c r="C325" s="59" t="n"/>
      <c r="E325" s="16" t="n"/>
      <c r="F325" s="13" t="n"/>
      <c r="G325" s="16" t="n"/>
      <c r="H325" s="125" t="n"/>
      <c r="I325" s="14" t="n"/>
      <c r="J325" s="16" t="n"/>
      <c r="K325" s="125" t="n"/>
      <c r="L325" s="14" t="n"/>
      <c r="M325" s="16" t="n"/>
      <c r="N325" s="125" t="n"/>
      <c r="O325" s="14" t="n"/>
      <c r="P325" s="16" t="n"/>
      <c r="Q325" s="125" t="n"/>
      <c r="R325" s="14" t="n"/>
      <c r="S325" s="16" t="n"/>
      <c r="T325" s="125" t="n"/>
      <c r="U325" s="14" t="n"/>
      <c r="V325" s="16" t="n"/>
      <c r="W325" s="125" t="n"/>
      <c r="X325" s="14" t="n"/>
      <c r="Y325" s="16" t="n"/>
      <c r="Z325" s="125" t="n"/>
      <c r="AA325" s="14" t="n"/>
      <c r="AB325" s="16" t="n"/>
      <c r="AC325" s="125" t="n"/>
      <c r="AD325" s="14" t="n"/>
    </row>
    <row r="326">
      <c r="A326" s="56" t="n"/>
      <c r="B326" s="57" t="n"/>
      <c r="C326" s="59" t="n"/>
      <c r="E326" s="16" t="n"/>
      <c r="F326" s="13" t="n"/>
      <c r="G326" s="16" t="n"/>
      <c r="H326" s="125" t="n"/>
      <c r="I326" s="14" t="n"/>
      <c r="J326" s="16" t="n"/>
      <c r="K326" s="125" t="n"/>
      <c r="L326" s="14" t="n"/>
      <c r="M326" s="16" t="n"/>
      <c r="N326" s="125" t="n"/>
      <c r="O326" s="14" t="n"/>
      <c r="P326" s="16" t="n"/>
      <c r="Q326" s="125" t="n"/>
      <c r="R326" s="14" t="n"/>
      <c r="S326" s="16" t="n"/>
      <c r="T326" s="125" t="n"/>
      <c r="U326" s="14" t="n"/>
      <c r="V326" s="16" t="n"/>
      <c r="W326" s="125" t="n"/>
      <c r="X326" s="14" t="n"/>
      <c r="Y326" s="16" t="n"/>
      <c r="Z326" s="125" t="n"/>
      <c r="AA326" s="14" t="n"/>
      <c r="AB326" s="16" t="n"/>
      <c r="AC326" s="125" t="n"/>
      <c r="AD326" s="14" t="n"/>
    </row>
    <row r="327">
      <c r="A327" s="58" t="n"/>
      <c r="B327" s="59" t="n"/>
      <c r="C327" s="59" t="n"/>
      <c r="E327" s="16" t="n"/>
      <c r="F327" s="13" t="n"/>
      <c r="G327" s="16" t="n"/>
      <c r="H327" s="125" t="n"/>
      <c r="I327" s="14" t="n"/>
      <c r="J327" s="16" t="n"/>
      <c r="K327" s="125" t="n"/>
      <c r="L327" s="14" t="n"/>
      <c r="M327" s="16" t="n"/>
      <c r="N327" s="125" t="n"/>
      <c r="O327" s="14" t="n"/>
      <c r="P327" s="16" t="n"/>
      <c r="Q327" s="125" t="n"/>
      <c r="R327" s="14" t="n"/>
      <c r="S327" s="16" t="n"/>
      <c r="T327" s="125" t="n"/>
      <c r="U327" s="14" t="n"/>
      <c r="V327" s="16" t="n"/>
      <c r="W327" s="125" t="n"/>
      <c r="X327" s="14" t="n"/>
      <c r="Y327" s="16" t="n"/>
      <c r="Z327" s="125" t="n"/>
      <c r="AA327" s="14" t="n"/>
      <c r="AB327" s="16" t="n"/>
      <c r="AC327" s="125" t="n"/>
      <c r="AD327" s="14" t="n"/>
    </row>
    <row r="328">
      <c r="A328" s="56" t="n"/>
      <c r="B328" s="57" t="n"/>
      <c r="C328" s="59" t="n"/>
      <c r="E328" s="16" t="n"/>
      <c r="F328" s="13" t="n"/>
      <c r="G328" s="16" t="n"/>
      <c r="H328" s="125" t="n"/>
      <c r="I328" s="14" t="n"/>
      <c r="J328" s="16" t="n"/>
      <c r="K328" s="125" t="n"/>
      <c r="L328" s="14" t="n"/>
      <c r="M328" s="16" t="n"/>
      <c r="N328" s="125" t="n"/>
      <c r="O328" s="14" t="n"/>
      <c r="P328" s="16" t="n"/>
      <c r="Q328" s="125" t="n"/>
      <c r="R328" s="14" t="n"/>
      <c r="S328" s="16" t="n"/>
      <c r="T328" s="125" t="n"/>
      <c r="U328" s="14" t="n"/>
      <c r="V328" s="16" t="n"/>
      <c r="W328" s="125" t="n"/>
      <c r="X328" s="14" t="n"/>
      <c r="Y328" s="16" t="n"/>
      <c r="Z328" s="125" t="n"/>
      <c r="AA328" s="14" t="n"/>
      <c r="AB328" s="16" t="n"/>
      <c r="AC328" s="125" t="n"/>
      <c r="AD328" s="14" t="n"/>
    </row>
    <row r="329">
      <c r="A329" s="58" t="n"/>
      <c r="B329" s="59" t="n"/>
      <c r="C329" s="59" t="n"/>
      <c r="E329" s="16" t="n"/>
      <c r="F329" s="13" t="n"/>
      <c r="G329" s="16" t="n"/>
      <c r="H329" s="125" t="n"/>
      <c r="I329" s="14" t="n"/>
      <c r="J329" s="16" t="n"/>
      <c r="K329" s="125" t="n"/>
      <c r="L329" s="14" t="n"/>
      <c r="M329" s="16" t="n"/>
      <c r="N329" s="125" t="n"/>
      <c r="O329" s="14" t="n"/>
      <c r="P329" s="16" t="n"/>
      <c r="Q329" s="125" t="n"/>
      <c r="R329" s="14" t="n"/>
      <c r="S329" s="16" t="n"/>
      <c r="T329" s="125" t="n"/>
      <c r="U329" s="14" t="n"/>
      <c r="V329" s="16" t="n"/>
      <c r="W329" s="125" t="n"/>
      <c r="X329" s="14" t="n"/>
      <c r="Y329" s="16" t="n"/>
      <c r="Z329" s="125" t="n"/>
      <c r="AA329" s="14" t="n"/>
      <c r="AB329" s="16" t="n"/>
      <c r="AC329" s="125" t="n"/>
      <c r="AD329" s="14" t="n"/>
    </row>
    <row r="330">
      <c r="A330" s="56" t="n"/>
      <c r="B330" s="57" t="n"/>
      <c r="C330" s="59" t="n"/>
      <c r="E330" s="16" t="n"/>
      <c r="F330" s="13" t="n"/>
      <c r="G330" s="16" t="n"/>
      <c r="H330" s="125" t="n"/>
      <c r="I330" s="14" t="n"/>
      <c r="J330" s="16" t="n"/>
      <c r="K330" s="125" t="n"/>
      <c r="L330" s="14" t="n"/>
      <c r="M330" s="16" t="n"/>
      <c r="N330" s="125" t="n"/>
      <c r="O330" s="14" t="n"/>
      <c r="P330" s="16" t="n"/>
      <c r="Q330" s="125" t="n"/>
      <c r="R330" s="14" t="n"/>
      <c r="S330" s="16" t="n"/>
      <c r="T330" s="125" t="n"/>
      <c r="U330" s="14" t="n"/>
      <c r="V330" s="16" t="n"/>
      <c r="W330" s="125" t="n"/>
      <c r="X330" s="14" t="n"/>
      <c r="Y330" s="16" t="n"/>
      <c r="Z330" s="125" t="n"/>
      <c r="AA330" s="14" t="n"/>
      <c r="AB330" s="16" t="n"/>
      <c r="AC330" s="125" t="n"/>
      <c r="AD330" s="14" t="n"/>
    </row>
    <row r="331">
      <c r="A331" s="58" t="n"/>
      <c r="B331" s="59" t="n"/>
      <c r="C331" s="59" t="n"/>
      <c r="E331" s="16" t="n"/>
      <c r="F331" s="13" t="n"/>
      <c r="G331" s="16" t="n"/>
      <c r="H331" s="125" t="n"/>
      <c r="I331" s="14" t="n"/>
      <c r="J331" s="16" t="n"/>
      <c r="K331" s="125" t="n"/>
      <c r="L331" s="14" t="n"/>
      <c r="M331" s="16" t="n"/>
      <c r="N331" s="125" t="n"/>
      <c r="O331" s="14" t="n"/>
      <c r="P331" s="16" t="n"/>
      <c r="Q331" s="125" t="n"/>
      <c r="R331" s="14" t="n"/>
      <c r="S331" s="16" t="n"/>
      <c r="T331" s="125" t="n"/>
      <c r="U331" s="14" t="n"/>
      <c r="V331" s="16" t="n"/>
      <c r="W331" s="125" t="n"/>
      <c r="X331" s="14" t="n"/>
      <c r="Y331" s="16" t="n"/>
      <c r="Z331" s="125" t="n"/>
      <c r="AA331" s="14" t="n"/>
      <c r="AB331" s="16" t="n"/>
      <c r="AC331" s="125" t="n"/>
      <c r="AD331" s="14" t="n"/>
    </row>
    <row r="332">
      <c r="A332" s="56" t="n"/>
      <c r="B332" s="57" t="n"/>
      <c r="C332" s="59" t="n"/>
      <c r="E332" s="16" t="n"/>
      <c r="F332" s="13" t="n"/>
      <c r="G332" s="16" t="n"/>
      <c r="H332" s="125" t="n"/>
      <c r="I332" s="14" t="n"/>
      <c r="J332" s="16" t="n"/>
      <c r="K332" s="125" t="n"/>
      <c r="L332" s="14" t="n"/>
      <c r="M332" s="16" t="n"/>
      <c r="N332" s="125" t="n"/>
      <c r="O332" s="14" t="n"/>
      <c r="P332" s="16" t="n"/>
      <c r="Q332" s="125" t="n"/>
      <c r="R332" s="14" t="n"/>
      <c r="S332" s="16" t="n"/>
      <c r="T332" s="125" t="n"/>
      <c r="U332" s="14" t="n"/>
      <c r="V332" s="16" t="n"/>
      <c r="W332" s="125" t="n"/>
      <c r="X332" s="14" t="n"/>
      <c r="Y332" s="16" t="n"/>
      <c r="Z332" s="125" t="n"/>
      <c r="AA332" s="14" t="n"/>
      <c r="AB332" s="16" t="n"/>
      <c r="AC332" s="125" t="n"/>
      <c r="AD332" s="14" t="n"/>
    </row>
    <row r="333">
      <c r="A333" s="58" t="n"/>
      <c r="B333" s="59" t="n"/>
      <c r="C333" s="59" t="n"/>
      <c r="E333" s="16" t="n"/>
      <c r="F333" s="13" t="n"/>
      <c r="G333" s="16" t="n"/>
      <c r="H333" s="125" t="n"/>
      <c r="I333" s="14" t="n"/>
      <c r="J333" s="16" t="n"/>
      <c r="K333" s="125" t="n"/>
      <c r="L333" s="14" t="n"/>
      <c r="M333" s="16" t="n"/>
      <c r="N333" s="125" t="n"/>
      <c r="O333" s="14" t="n"/>
      <c r="P333" s="16" t="n"/>
      <c r="Q333" s="125" t="n"/>
      <c r="R333" s="14" t="n"/>
      <c r="S333" s="16" t="n"/>
      <c r="T333" s="125" t="n"/>
      <c r="U333" s="14" t="n"/>
      <c r="V333" s="16" t="n"/>
      <c r="W333" s="125" t="n"/>
      <c r="X333" s="14" t="n"/>
      <c r="Y333" s="16" t="n"/>
      <c r="Z333" s="125" t="n"/>
      <c r="AA333" s="14" t="n"/>
      <c r="AB333" s="16" t="n"/>
      <c r="AC333" s="125" t="n"/>
      <c r="AD333" s="14" t="n"/>
    </row>
    <row r="334">
      <c r="A334" s="56" t="n"/>
      <c r="B334" s="57" t="n"/>
      <c r="C334" s="59" t="n"/>
      <c r="E334" s="16" t="n"/>
      <c r="F334" s="13" t="n"/>
      <c r="G334" s="16" t="n"/>
      <c r="H334" s="125" t="n"/>
      <c r="I334" s="14" t="n"/>
      <c r="J334" s="16" t="n"/>
      <c r="K334" s="125" t="n"/>
      <c r="L334" s="14" t="n"/>
      <c r="M334" s="16" t="n"/>
      <c r="N334" s="125" t="n"/>
      <c r="O334" s="14" t="n"/>
      <c r="P334" s="16" t="n"/>
      <c r="Q334" s="125" t="n"/>
      <c r="R334" s="14" t="n"/>
      <c r="S334" s="16" t="n"/>
      <c r="T334" s="125" t="n"/>
      <c r="U334" s="14" t="n"/>
      <c r="V334" s="16" t="n"/>
      <c r="W334" s="125" t="n"/>
      <c r="X334" s="14" t="n"/>
      <c r="Y334" s="16" t="n"/>
      <c r="Z334" s="125" t="n"/>
      <c r="AA334" s="14" t="n"/>
      <c r="AB334" s="16" t="n"/>
      <c r="AC334" s="125" t="n"/>
      <c r="AD334" s="14" t="n"/>
    </row>
    <row r="335">
      <c r="A335" s="58" t="n"/>
      <c r="B335" s="59" t="n"/>
      <c r="C335" s="59" t="n"/>
      <c r="E335" s="16" t="n"/>
      <c r="F335" s="13" t="n"/>
      <c r="G335" s="16" t="n"/>
      <c r="H335" s="125" t="n"/>
      <c r="I335" s="14" t="n"/>
      <c r="J335" s="16" t="n"/>
      <c r="K335" s="125" t="n"/>
      <c r="L335" s="14" t="n"/>
      <c r="M335" s="16" t="n"/>
      <c r="N335" s="125" t="n"/>
      <c r="O335" s="14" t="n"/>
      <c r="P335" s="16" t="n"/>
      <c r="Q335" s="125" t="n"/>
      <c r="R335" s="14" t="n"/>
      <c r="S335" s="16" t="n"/>
      <c r="T335" s="125" t="n"/>
      <c r="U335" s="14" t="n"/>
      <c r="V335" s="16" t="n"/>
      <c r="W335" s="125" t="n"/>
      <c r="X335" s="14" t="n"/>
      <c r="Y335" s="16" t="n"/>
      <c r="Z335" s="125" t="n"/>
      <c r="AA335" s="14" t="n"/>
      <c r="AB335" s="16" t="n"/>
      <c r="AC335" s="125" t="n"/>
      <c r="AD335" s="14" t="n"/>
    </row>
    <row r="336">
      <c r="A336" s="56" t="n"/>
      <c r="B336" s="57" t="n"/>
      <c r="C336" s="59" t="n"/>
      <c r="E336" s="16" t="n"/>
      <c r="F336" s="13" t="n"/>
      <c r="G336" s="16" t="n"/>
      <c r="H336" s="125" t="n"/>
      <c r="I336" s="14" t="n"/>
      <c r="J336" s="16" t="n"/>
      <c r="K336" s="125" t="n"/>
      <c r="L336" s="14" t="n"/>
      <c r="M336" s="16" t="n"/>
      <c r="N336" s="125" t="n"/>
      <c r="O336" s="14" t="n"/>
      <c r="P336" s="16" t="n"/>
      <c r="Q336" s="125" t="n"/>
      <c r="R336" s="14" t="n"/>
      <c r="S336" s="16" t="n"/>
      <c r="T336" s="125" t="n"/>
      <c r="U336" s="14" t="n"/>
      <c r="V336" s="16" t="n"/>
      <c r="W336" s="125" t="n"/>
      <c r="X336" s="14" t="n"/>
      <c r="Y336" s="16" t="n"/>
      <c r="Z336" s="125" t="n"/>
      <c r="AA336" s="14" t="n"/>
      <c r="AB336" s="16" t="n"/>
      <c r="AC336" s="125" t="n"/>
      <c r="AD336" s="14" t="n"/>
    </row>
    <row r="337">
      <c r="A337" s="58" t="n"/>
      <c r="B337" s="59" t="n"/>
      <c r="C337" s="59" t="n"/>
      <c r="E337" s="16" t="n"/>
      <c r="F337" s="13" t="n"/>
      <c r="G337" s="16" t="n"/>
      <c r="H337" s="125" t="n"/>
      <c r="I337" s="14" t="n"/>
      <c r="J337" s="16" t="n"/>
      <c r="K337" s="125" t="n"/>
      <c r="L337" s="14" t="n"/>
      <c r="M337" s="16" t="n"/>
      <c r="N337" s="125" t="n"/>
      <c r="O337" s="14" t="n"/>
      <c r="P337" s="16" t="n"/>
      <c r="Q337" s="125" t="n"/>
      <c r="R337" s="14" t="n"/>
      <c r="S337" s="16" t="n"/>
      <c r="T337" s="125" t="n"/>
      <c r="U337" s="14" t="n"/>
      <c r="V337" s="16" t="n"/>
      <c r="W337" s="125" t="n"/>
      <c r="X337" s="14" t="n"/>
      <c r="Y337" s="16" t="n"/>
      <c r="Z337" s="125" t="n"/>
      <c r="AA337" s="14" t="n"/>
      <c r="AB337" s="16" t="n"/>
      <c r="AC337" s="125" t="n"/>
      <c r="AD337" s="14" t="n"/>
    </row>
    <row r="338">
      <c r="A338" s="56" t="n"/>
      <c r="B338" s="57" t="n"/>
      <c r="C338" s="59" t="n"/>
      <c r="E338" s="16" t="n"/>
      <c r="F338" s="13" t="n"/>
      <c r="G338" s="16" t="n"/>
      <c r="H338" s="125" t="n"/>
      <c r="I338" s="14" t="n"/>
      <c r="J338" s="16" t="n"/>
      <c r="K338" s="125" t="n"/>
      <c r="L338" s="14" t="n"/>
      <c r="M338" s="16" t="n"/>
      <c r="N338" s="125" t="n"/>
      <c r="O338" s="14" t="n"/>
      <c r="P338" s="16" t="n"/>
      <c r="Q338" s="125" t="n"/>
      <c r="R338" s="14" t="n"/>
      <c r="S338" s="16" t="n"/>
      <c r="T338" s="125" t="n"/>
      <c r="U338" s="14" t="n"/>
      <c r="V338" s="16" t="n"/>
      <c r="W338" s="125" t="n"/>
      <c r="X338" s="14" t="n"/>
      <c r="Y338" s="16" t="n"/>
      <c r="Z338" s="125" t="n"/>
      <c r="AA338" s="14" t="n"/>
      <c r="AB338" s="16" t="n"/>
      <c r="AC338" s="125" t="n"/>
      <c r="AD338" s="14" t="n"/>
    </row>
    <row r="339">
      <c r="A339" s="58" t="n"/>
      <c r="B339" s="59" t="n"/>
      <c r="C339" s="59" t="n"/>
      <c r="E339" s="16" t="n"/>
      <c r="F339" s="13" t="n"/>
      <c r="G339" s="16" t="n"/>
      <c r="H339" s="125" t="n"/>
      <c r="I339" s="14" t="n"/>
      <c r="J339" s="16" t="n"/>
      <c r="K339" s="125" t="n"/>
      <c r="L339" s="14" t="n"/>
      <c r="M339" s="16" t="n"/>
      <c r="N339" s="125" t="n"/>
      <c r="O339" s="14" t="n"/>
      <c r="P339" s="16" t="n"/>
      <c r="Q339" s="125" t="n"/>
      <c r="R339" s="14" t="n"/>
      <c r="S339" s="16" t="n"/>
      <c r="T339" s="125" t="n"/>
      <c r="U339" s="14" t="n"/>
      <c r="V339" s="16" t="n"/>
      <c r="W339" s="125" t="n"/>
      <c r="X339" s="14" t="n"/>
      <c r="Y339" s="16" t="n"/>
      <c r="Z339" s="125" t="n"/>
      <c r="AA339" s="14" t="n"/>
      <c r="AB339" s="16" t="n"/>
      <c r="AC339" s="125" t="n"/>
      <c r="AD339" s="14" t="n"/>
    </row>
    <row r="340">
      <c r="A340" s="56" t="n"/>
      <c r="B340" s="57" t="n"/>
      <c r="C340" s="59" t="n"/>
      <c r="E340" s="16" t="n"/>
      <c r="F340" s="13" t="n"/>
      <c r="G340" s="16" t="n"/>
      <c r="H340" s="125" t="n"/>
      <c r="I340" s="14" t="n"/>
      <c r="J340" s="16" t="n"/>
      <c r="K340" s="125" t="n"/>
      <c r="L340" s="14" t="n"/>
      <c r="M340" s="16" t="n"/>
      <c r="N340" s="125" t="n"/>
      <c r="O340" s="14" t="n"/>
      <c r="P340" s="16" t="n"/>
      <c r="Q340" s="125" t="n"/>
      <c r="R340" s="14" t="n"/>
      <c r="S340" s="16" t="n"/>
      <c r="T340" s="125" t="n"/>
      <c r="U340" s="14" t="n"/>
      <c r="V340" s="16" t="n"/>
      <c r="W340" s="125" t="n"/>
      <c r="X340" s="14" t="n"/>
      <c r="Y340" s="16" t="n"/>
      <c r="Z340" s="125" t="n"/>
      <c r="AA340" s="14" t="n"/>
      <c r="AB340" s="16" t="n"/>
      <c r="AC340" s="125" t="n"/>
      <c r="AD340" s="14" t="n"/>
    </row>
    <row r="341">
      <c r="A341" s="58" t="n"/>
      <c r="B341" s="59" t="n"/>
      <c r="C341" s="59" t="n"/>
      <c r="E341" s="16" t="n"/>
      <c r="F341" s="13" t="n"/>
      <c r="G341" s="16" t="n"/>
      <c r="H341" s="125" t="n"/>
      <c r="I341" s="14" t="n"/>
      <c r="J341" s="16" t="n"/>
      <c r="K341" s="125" t="n"/>
      <c r="L341" s="14" t="n"/>
      <c r="M341" s="16" t="n"/>
      <c r="N341" s="125" t="n"/>
      <c r="O341" s="14" t="n"/>
      <c r="P341" s="16" t="n"/>
      <c r="Q341" s="125" t="n"/>
      <c r="R341" s="14" t="n"/>
      <c r="S341" s="16" t="n"/>
      <c r="T341" s="125" t="n"/>
      <c r="U341" s="14" t="n"/>
      <c r="V341" s="16" t="n"/>
      <c r="W341" s="125" t="n"/>
      <c r="X341" s="14" t="n"/>
      <c r="Y341" s="16" t="n"/>
      <c r="Z341" s="125" t="n"/>
      <c r="AA341" s="14" t="n"/>
      <c r="AB341" s="16" t="n"/>
      <c r="AC341" s="125" t="n"/>
      <c r="AD341" s="14" t="n"/>
    </row>
    <row r="342">
      <c r="A342" s="56" t="n"/>
      <c r="B342" s="57" t="n"/>
      <c r="C342" s="59" t="n"/>
      <c r="E342" s="16" t="n"/>
      <c r="F342" s="13" t="n"/>
      <c r="G342" s="16" t="n"/>
      <c r="H342" s="125" t="n"/>
      <c r="I342" s="14" t="n"/>
      <c r="J342" s="16" t="n"/>
      <c r="K342" s="125" t="n"/>
      <c r="L342" s="14" t="n"/>
      <c r="M342" s="16" t="n"/>
      <c r="N342" s="125" t="n"/>
      <c r="O342" s="14" t="n"/>
      <c r="P342" s="16" t="n"/>
      <c r="Q342" s="125" t="n"/>
      <c r="R342" s="14" t="n"/>
      <c r="S342" s="16" t="n"/>
      <c r="T342" s="125" t="n"/>
      <c r="U342" s="14" t="n"/>
      <c r="V342" s="16" t="n"/>
      <c r="W342" s="125" t="n"/>
      <c r="X342" s="14" t="n"/>
      <c r="Y342" s="16" t="n"/>
      <c r="Z342" s="125" t="n"/>
      <c r="AA342" s="14" t="n"/>
      <c r="AB342" s="16" t="n"/>
      <c r="AC342" s="125" t="n"/>
      <c r="AD342" s="14" t="n"/>
    </row>
    <row r="343">
      <c r="A343" s="58" t="n"/>
      <c r="B343" s="59" t="n"/>
      <c r="C343" s="59" t="n"/>
      <c r="E343" s="16" t="n"/>
      <c r="F343" s="13" t="n"/>
      <c r="G343" s="16" t="n"/>
      <c r="H343" s="125" t="n"/>
      <c r="I343" s="14" t="n"/>
      <c r="J343" s="16" t="n"/>
      <c r="K343" s="125" t="n"/>
      <c r="L343" s="14" t="n"/>
      <c r="M343" s="16" t="n"/>
      <c r="N343" s="125" t="n"/>
      <c r="O343" s="14" t="n"/>
      <c r="P343" s="16" t="n"/>
      <c r="Q343" s="125" t="n"/>
      <c r="R343" s="14" t="n"/>
      <c r="S343" s="16" t="n"/>
      <c r="T343" s="125" t="n"/>
      <c r="U343" s="14" t="n"/>
      <c r="V343" s="16" t="n"/>
      <c r="W343" s="125" t="n"/>
      <c r="X343" s="14" t="n"/>
      <c r="Y343" s="16" t="n"/>
      <c r="Z343" s="125" t="n"/>
      <c r="AA343" s="14" t="n"/>
      <c r="AB343" s="16" t="n"/>
      <c r="AC343" s="125" t="n"/>
      <c r="AD343" s="14" t="n"/>
    </row>
    <row r="344">
      <c r="A344" s="56" t="n"/>
      <c r="B344" s="57" t="n"/>
      <c r="C344" s="59" t="n"/>
      <c r="E344" s="16" t="n"/>
      <c r="F344" s="13" t="n"/>
      <c r="G344" s="16" t="n"/>
      <c r="H344" s="125" t="n"/>
      <c r="I344" s="14" t="n"/>
      <c r="J344" s="16" t="n"/>
      <c r="K344" s="125" t="n"/>
      <c r="L344" s="14" t="n"/>
      <c r="M344" s="16" t="n"/>
      <c r="N344" s="125" t="n"/>
      <c r="O344" s="14" t="n"/>
      <c r="P344" s="16" t="n"/>
      <c r="Q344" s="125" t="n"/>
      <c r="R344" s="14" t="n"/>
      <c r="S344" s="16" t="n"/>
      <c r="T344" s="125" t="n"/>
      <c r="U344" s="14" t="n"/>
      <c r="V344" s="16" t="n"/>
      <c r="W344" s="125" t="n"/>
      <c r="X344" s="14" t="n"/>
      <c r="Y344" s="16" t="n"/>
      <c r="Z344" s="125" t="n"/>
      <c r="AA344" s="14" t="n"/>
      <c r="AB344" s="16" t="n"/>
      <c r="AC344" s="125" t="n"/>
      <c r="AD344" s="14" t="n"/>
    </row>
    <row r="345">
      <c r="A345" s="58" t="n"/>
      <c r="B345" s="59" t="n"/>
      <c r="C345" s="59" t="n"/>
      <c r="E345" s="16" t="n"/>
      <c r="F345" s="13" t="n"/>
      <c r="G345" s="16" t="n"/>
      <c r="H345" s="125" t="n"/>
      <c r="I345" s="14" t="n"/>
      <c r="J345" s="16" t="n"/>
      <c r="K345" s="125" t="n"/>
      <c r="L345" s="14" t="n"/>
      <c r="M345" s="16" t="n"/>
      <c r="N345" s="125" t="n"/>
      <c r="O345" s="14" t="n"/>
      <c r="P345" s="16" t="n"/>
      <c r="Q345" s="125" t="n"/>
      <c r="R345" s="14" t="n"/>
      <c r="S345" s="16" t="n"/>
      <c r="T345" s="125" t="n"/>
      <c r="U345" s="14" t="n"/>
      <c r="V345" s="16" t="n"/>
      <c r="W345" s="125" t="n"/>
      <c r="X345" s="14" t="n"/>
      <c r="Y345" s="16" t="n"/>
      <c r="Z345" s="125" t="n"/>
      <c r="AA345" s="14" t="n"/>
      <c r="AB345" s="16" t="n"/>
      <c r="AC345" s="125" t="n"/>
      <c r="AD345" s="14" t="n"/>
    </row>
    <row r="346">
      <c r="A346" s="56" t="n"/>
      <c r="B346" s="57" t="n"/>
      <c r="C346" s="59" t="n"/>
      <c r="E346" s="16" t="n"/>
      <c r="F346" s="13" t="n"/>
      <c r="G346" s="16" t="n"/>
      <c r="H346" s="125" t="n"/>
      <c r="I346" s="14" t="n"/>
      <c r="J346" s="16" t="n"/>
      <c r="K346" s="125" t="n"/>
      <c r="L346" s="14" t="n"/>
      <c r="M346" s="16" t="n"/>
      <c r="N346" s="125" t="n"/>
      <c r="O346" s="14" t="n"/>
      <c r="P346" s="16" t="n"/>
      <c r="Q346" s="125" t="n"/>
      <c r="R346" s="14" t="n"/>
      <c r="S346" s="16" t="n"/>
      <c r="T346" s="125" t="n"/>
      <c r="U346" s="14" t="n"/>
      <c r="V346" s="16" t="n"/>
      <c r="W346" s="125" t="n"/>
      <c r="X346" s="14" t="n"/>
      <c r="Y346" s="16" t="n"/>
      <c r="Z346" s="125" t="n"/>
      <c r="AA346" s="14" t="n"/>
      <c r="AB346" s="16" t="n"/>
      <c r="AC346" s="125" t="n"/>
      <c r="AD346" s="14" t="n"/>
    </row>
    <row r="347">
      <c r="A347" s="58" t="n"/>
      <c r="B347" s="59" t="n"/>
      <c r="C347" s="59" t="n"/>
      <c r="E347" s="16" t="n"/>
      <c r="F347" s="13" t="n"/>
      <c r="G347" s="16" t="n"/>
      <c r="H347" s="125" t="n"/>
      <c r="I347" s="14" t="n"/>
      <c r="J347" s="16" t="n"/>
      <c r="K347" s="125" t="n"/>
      <c r="L347" s="14" t="n"/>
      <c r="M347" s="16" t="n"/>
      <c r="N347" s="125" t="n"/>
      <c r="O347" s="14" t="n"/>
      <c r="P347" s="16" t="n"/>
      <c r="Q347" s="125" t="n"/>
      <c r="R347" s="14" t="n"/>
      <c r="S347" s="16" t="n"/>
      <c r="T347" s="125" t="n"/>
      <c r="U347" s="14" t="n"/>
      <c r="V347" s="16" t="n"/>
      <c r="W347" s="125" t="n"/>
      <c r="X347" s="14" t="n"/>
      <c r="Y347" s="16" t="n"/>
      <c r="Z347" s="125" t="n"/>
      <c r="AA347" s="14" t="n"/>
      <c r="AB347" s="16" t="n"/>
      <c r="AC347" s="125" t="n"/>
      <c r="AD347" s="14" t="n"/>
    </row>
    <row r="348">
      <c r="A348" s="56" t="n"/>
      <c r="B348" s="57" t="n"/>
      <c r="C348" s="59" t="n"/>
      <c r="E348" s="16" t="n"/>
      <c r="F348" s="13" t="n"/>
      <c r="G348" s="16" t="n"/>
      <c r="H348" s="125" t="n"/>
      <c r="I348" s="14" t="n"/>
      <c r="J348" s="16" t="n"/>
      <c r="K348" s="125" t="n"/>
      <c r="L348" s="14" t="n"/>
      <c r="M348" s="16" t="n"/>
      <c r="N348" s="125" t="n"/>
      <c r="O348" s="14" t="n"/>
      <c r="P348" s="16" t="n"/>
      <c r="Q348" s="125" t="n"/>
      <c r="R348" s="14" t="n"/>
      <c r="S348" s="16" t="n"/>
      <c r="T348" s="125" t="n"/>
      <c r="U348" s="14" t="n"/>
      <c r="V348" s="16" t="n"/>
      <c r="W348" s="125" t="n"/>
      <c r="X348" s="14" t="n"/>
      <c r="Y348" s="16" t="n"/>
      <c r="Z348" s="125" t="n"/>
      <c r="AA348" s="14" t="n"/>
      <c r="AB348" s="16" t="n"/>
      <c r="AC348" s="125" t="n"/>
      <c r="AD348" s="14" t="n"/>
    </row>
    <row r="349">
      <c r="A349" s="58" t="n"/>
      <c r="B349" s="59" t="n"/>
      <c r="C349" s="59" t="n"/>
      <c r="E349" s="16" t="n"/>
      <c r="F349" s="13" t="n"/>
      <c r="G349" s="16" t="n"/>
      <c r="H349" s="125" t="n"/>
      <c r="I349" s="14" t="n"/>
      <c r="J349" s="16" t="n"/>
      <c r="K349" s="125" t="n"/>
      <c r="L349" s="14" t="n"/>
      <c r="M349" s="16" t="n"/>
      <c r="N349" s="125" t="n"/>
      <c r="O349" s="14" t="n"/>
      <c r="P349" s="16" t="n"/>
      <c r="Q349" s="125" t="n"/>
      <c r="R349" s="14" t="n"/>
      <c r="S349" s="16" t="n"/>
      <c r="T349" s="125" t="n"/>
      <c r="U349" s="14" t="n"/>
      <c r="V349" s="16" t="n"/>
      <c r="W349" s="125" t="n"/>
      <c r="X349" s="14" t="n"/>
      <c r="Y349" s="16" t="n"/>
      <c r="Z349" s="125" t="n"/>
      <c r="AA349" s="14" t="n"/>
      <c r="AB349" s="16" t="n"/>
      <c r="AC349" s="125" t="n"/>
      <c r="AD349" s="14" t="n"/>
    </row>
    <row r="350">
      <c r="A350" s="56" t="n"/>
      <c r="B350" s="57" t="n"/>
      <c r="C350" s="59" t="n"/>
      <c r="E350" s="16" t="n"/>
      <c r="F350" s="13" t="n"/>
      <c r="G350" s="16" t="n"/>
      <c r="H350" s="125" t="n"/>
      <c r="I350" s="14" t="n"/>
      <c r="J350" s="16" t="n"/>
      <c r="K350" s="125" t="n"/>
      <c r="L350" s="14" t="n"/>
      <c r="M350" s="16" t="n"/>
      <c r="N350" s="125" t="n"/>
      <c r="O350" s="14" t="n"/>
      <c r="P350" s="16" t="n"/>
      <c r="Q350" s="125" t="n"/>
      <c r="R350" s="14" t="n"/>
      <c r="S350" s="16" t="n"/>
      <c r="T350" s="125" t="n"/>
      <c r="U350" s="14" t="n"/>
      <c r="V350" s="16" t="n"/>
      <c r="W350" s="125" t="n"/>
      <c r="X350" s="14" t="n"/>
      <c r="Y350" s="16" t="n"/>
      <c r="Z350" s="125" t="n"/>
      <c r="AA350" s="14" t="n"/>
      <c r="AB350" s="16" t="n"/>
      <c r="AC350" s="125" t="n"/>
      <c r="AD350" s="14" t="n"/>
    </row>
    <row r="351">
      <c r="A351" s="58" t="n"/>
      <c r="B351" s="59" t="n"/>
      <c r="C351" s="59" t="n"/>
      <c r="E351" s="16" t="n"/>
      <c r="F351" s="13" t="n"/>
      <c r="G351" s="16" t="n"/>
      <c r="H351" s="125" t="n"/>
      <c r="I351" s="14" t="n"/>
      <c r="J351" s="16" t="n"/>
      <c r="K351" s="125" t="n"/>
      <c r="L351" s="14" t="n"/>
      <c r="M351" s="16" t="n"/>
      <c r="N351" s="125" t="n"/>
      <c r="O351" s="14" t="n"/>
      <c r="P351" s="16" t="n"/>
      <c r="Q351" s="125" t="n"/>
      <c r="R351" s="14" t="n"/>
      <c r="S351" s="16" t="n"/>
      <c r="T351" s="125" t="n"/>
      <c r="U351" s="14" t="n"/>
      <c r="V351" s="16" t="n"/>
      <c r="W351" s="125" t="n"/>
      <c r="X351" s="14" t="n"/>
      <c r="Y351" s="16" t="n"/>
      <c r="Z351" s="125" t="n"/>
      <c r="AA351" s="14" t="n"/>
      <c r="AB351" s="16" t="n"/>
      <c r="AC351" s="125" t="n"/>
      <c r="AD351" s="14" t="n"/>
    </row>
    <row r="352">
      <c r="A352" s="56" t="n"/>
      <c r="B352" s="57" t="n"/>
      <c r="C352" s="59" t="n"/>
      <c r="E352" s="16" t="n"/>
      <c r="F352" s="13" t="n"/>
      <c r="G352" s="16" t="n"/>
      <c r="H352" s="125" t="n"/>
      <c r="I352" s="14" t="n"/>
      <c r="J352" s="16" t="n"/>
      <c r="K352" s="125" t="n"/>
      <c r="L352" s="14" t="n"/>
      <c r="M352" s="16" t="n"/>
      <c r="N352" s="125" t="n"/>
      <c r="O352" s="14" t="n"/>
      <c r="P352" s="16" t="n"/>
      <c r="Q352" s="125" t="n"/>
      <c r="R352" s="14" t="n"/>
      <c r="S352" s="16" t="n"/>
      <c r="T352" s="125" t="n"/>
      <c r="U352" s="14" t="n"/>
      <c r="V352" s="16" t="n"/>
      <c r="W352" s="125" t="n"/>
      <c r="X352" s="14" t="n"/>
      <c r="Y352" s="16" t="n"/>
      <c r="Z352" s="125" t="n"/>
      <c r="AA352" s="14" t="n"/>
      <c r="AB352" s="16" t="n"/>
      <c r="AC352" s="125" t="n"/>
      <c r="AD352" s="14" t="n"/>
    </row>
    <row r="353">
      <c r="A353" s="58" t="n"/>
      <c r="B353" s="59" t="n"/>
      <c r="C353" s="59" t="n"/>
      <c r="E353" s="16" t="n"/>
      <c r="F353" s="13" t="n"/>
      <c r="G353" s="16" t="n"/>
      <c r="H353" s="125" t="n"/>
      <c r="I353" s="14" t="n"/>
      <c r="J353" s="16" t="n"/>
      <c r="K353" s="125" t="n"/>
      <c r="L353" s="14" t="n"/>
      <c r="M353" s="16" t="n"/>
      <c r="N353" s="125" t="n"/>
      <c r="O353" s="14" t="n"/>
      <c r="P353" s="16" t="n"/>
      <c r="Q353" s="125" t="n"/>
      <c r="R353" s="14" t="n"/>
      <c r="S353" s="16" t="n"/>
      <c r="T353" s="125" t="n"/>
      <c r="U353" s="14" t="n"/>
      <c r="V353" s="16" t="n"/>
      <c r="W353" s="125" t="n"/>
      <c r="X353" s="14" t="n"/>
      <c r="Y353" s="16" t="n"/>
      <c r="Z353" s="125" t="n"/>
      <c r="AA353" s="14" t="n"/>
      <c r="AB353" s="16" t="n"/>
      <c r="AC353" s="125" t="n"/>
      <c r="AD353" s="14" t="n"/>
    </row>
    <row r="354">
      <c r="A354" s="56" t="n"/>
      <c r="B354" s="57" t="n"/>
      <c r="C354" s="59" t="n"/>
      <c r="E354" s="16" t="n"/>
      <c r="F354" s="13" t="n"/>
      <c r="G354" s="16" t="n"/>
      <c r="H354" s="125" t="n"/>
      <c r="I354" s="14" t="n"/>
      <c r="J354" s="16" t="n"/>
      <c r="K354" s="125" t="n"/>
      <c r="L354" s="14" t="n"/>
      <c r="M354" s="16" t="n"/>
      <c r="N354" s="125" t="n"/>
      <c r="O354" s="14" t="n"/>
      <c r="P354" s="16" t="n"/>
      <c r="Q354" s="125" t="n"/>
      <c r="R354" s="14" t="n"/>
      <c r="S354" s="16" t="n"/>
      <c r="T354" s="125" t="n"/>
      <c r="U354" s="14" t="n"/>
      <c r="V354" s="16" t="n"/>
      <c r="W354" s="125" t="n"/>
      <c r="X354" s="14" t="n"/>
      <c r="Y354" s="16" t="n"/>
      <c r="Z354" s="125" t="n"/>
      <c r="AA354" s="14" t="n"/>
      <c r="AB354" s="16" t="n"/>
      <c r="AC354" s="125" t="n"/>
      <c r="AD354" s="14" t="n"/>
    </row>
    <row r="355">
      <c r="A355" s="58" t="n"/>
      <c r="B355" s="59" t="n"/>
      <c r="C355" s="59" t="n"/>
      <c r="E355" s="16" t="n"/>
      <c r="F355" s="13" t="n"/>
      <c r="G355" s="16" t="n"/>
      <c r="H355" s="125" t="n"/>
      <c r="I355" s="14" t="n"/>
      <c r="J355" s="16" t="n"/>
      <c r="K355" s="125" t="n"/>
      <c r="L355" s="14" t="n"/>
      <c r="M355" s="16" t="n"/>
      <c r="N355" s="125" t="n"/>
      <c r="O355" s="14" t="n"/>
      <c r="P355" s="16" t="n"/>
      <c r="Q355" s="125" t="n"/>
      <c r="R355" s="14" t="n"/>
      <c r="S355" s="16" t="n"/>
      <c r="T355" s="125" t="n"/>
      <c r="U355" s="14" t="n"/>
      <c r="V355" s="16" t="n"/>
      <c r="W355" s="125" t="n"/>
      <c r="X355" s="14" t="n"/>
      <c r="Y355" s="16" t="n"/>
      <c r="Z355" s="125" t="n"/>
      <c r="AA355" s="14" t="n"/>
      <c r="AB355" s="16" t="n"/>
      <c r="AC355" s="125" t="n"/>
      <c r="AD355" s="14" t="n"/>
    </row>
    <row r="356">
      <c r="A356" s="56" t="n"/>
      <c r="B356" s="57" t="n"/>
      <c r="C356" s="59" t="n"/>
      <c r="E356" s="16" t="n"/>
      <c r="F356" s="13" t="n"/>
      <c r="G356" s="16" t="n"/>
      <c r="H356" s="125" t="n"/>
      <c r="I356" s="14" t="n"/>
      <c r="J356" s="16" t="n"/>
      <c r="K356" s="125" t="n"/>
      <c r="L356" s="14" t="n"/>
      <c r="M356" s="16" t="n"/>
      <c r="N356" s="125" t="n"/>
      <c r="O356" s="14" t="n"/>
      <c r="P356" s="16" t="n"/>
      <c r="Q356" s="125" t="n"/>
      <c r="R356" s="14" t="n"/>
      <c r="S356" s="16" t="n"/>
      <c r="T356" s="125" t="n"/>
      <c r="U356" s="14" t="n"/>
      <c r="V356" s="16" t="n"/>
      <c r="W356" s="125" t="n"/>
      <c r="X356" s="14" t="n"/>
      <c r="Y356" s="16" t="n"/>
      <c r="Z356" s="125" t="n"/>
      <c r="AA356" s="14" t="n"/>
      <c r="AB356" s="16" t="n"/>
      <c r="AC356" s="125" t="n"/>
      <c r="AD356" s="14" t="n"/>
    </row>
    <row r="357">
      <c r="A357" s="58" t="n"/>
      <c r="B357" s="59" t="n"/>
      <c r="C357" s="59" t="n"/>
      <c r="E357" s="16" t="n"/>
      <c r="F357" s="13" t="n"/>
      <c r="G357" s="16" t="n"/>
      <c r="H357" s="125" t="n"/>
      <c r="I357" s="14" t="n"/>
      <c r="J357" s="16" t="n"/>
      <c r="K357" s="125" t="n"/>
      <c r="L357" s="14" t="n"/>
      <c r="M357" s="16" t="n"/>
      <c r="N357" s="125" t="n"/>
      <c r="O357" s="14" t="n"/>
      <c r="P357" s="16" t="n"/>
      <c r="Q357" s="125" t="n"/>
      <c r="R357" s="14" t="n"/>
      <c r="S357" s="16" t="n"/>
      <c r="T357" s="125" t="n"/>
      <c r="U357" s="14" t="n"/>
      <c r="V357" s="16" t="n"/>
      <c r="W357" s="125" t="n"/>
      <c r="X357" s="14" t="n"/>
      <c r="Y357" s="16" t="n"/>
      <c r="Z357" s="125" t="n"/>
      <c r="AA357" s="14" t="n"/>
      <c r="AB357" s="16" t="n"/>
      <c r="AC357" s="125" t="n"/>
      <c r="AD357" s="14" t="n"/>
    </row>
  </sheetData>
  <autoFilter ref="A14:E14"/>
  <conditionalFormatting sqref="E15:E357">
    <cfRule type="cellIs" priority="1" operator="greaterThan" dxfId="3">
      <formula>0</formula>
    </cfRule>
  </conditionalFormatting>
  <conditionalFormatting sqref="G15:G215">
    <cfRule type="expression" priority="55" dxfId="2">
      <formula>AND(NOT(ISBLANK(G15)),G15&lt;H$7)</formula>
    </cfRule>
    <cfRule type="expression" priority="56" dxfId="1">
      <formula>AND(G15&lt;=(H$7),(G15+H$5)&gt;(H$7))</formula>
    </cfRule>
    <cfRule type="expression" priority="57" dxfId="0">
      <formula>AND(NOT(ISBLANK(G15)),G15&gt;H$7)</formula>
    </cfRule>
  </conditionalFormatting>
  <conditionalFormatting sqref="G15:G264">
    <cfRule type="cellIs" priority="59" operator="greaterThan" dxfId="3">
      <formula>0</formula>
    </cfRule>
  </conditionalFormatting>
  <conditionalFormatting sqref="H2">
    <cfRule type="iconSet" priority="54">
      <iconSet iconSet="3Symbols2">
        <cfvo type="percent" val="0"/>
        <cfvo type="num" val="30" gte="0"/>
        <cfvo type="num" val="50" gte="0"/>
      </iconSet>
    </cfRule>
  </conditionalFormatting>
  <conditionalFormatting sqref="H15:H264">
    <cfRule type="dataBar" priority="58">
      <dataBar>
        <cfvo type="num" val="0"/>
        <cfvo type="max"/>
        <color rgb="FF638EC6"/>
      </dataBar>
    </cfRule>
  </conditionalFormatting>
  <conditionalFormatting sqref="J15:J215">
    <cfRule type="expression" priority="48" dxfId="2">
      <formula>AND(NOT(ISBLANK(J15)),J15&lt;K$7)</formula>
    </cfRule>
    <cfRule type="expression" priority="49" dxfId="1">
      <formula>AND(J15&lt;=(K$7),(J15+K$5)&gt;(K$7))</formula>
    </cfRule>
    <cfRule type="expression" priority="50" dxfId="0">
      <formula>AND(NOT(ISBLANK(J15)),J15&gt;K$7)</formula>
    </cfRule>
  </conditionalFormatting>
  <conditionalFormatting sqref="J15:J264">
    <cfRule type="cellIs" priority="52" operator="greaterThan" dxfId="3">
      <formula>0</formula>
    </cfRule>
  </conditionalFormatting>
  <conditionalFormatting sqref="K2">
    <cfRule type="iconSet" priority="47">
      <iconSet iconSet="3Symbols2">
        <cfvo type="percent" val="0"/>
        <cfvo type="num" val="30" gte="0"/>
        <cfvo type="num" val="50" gte="0"/>
      </iconSet>
    </cfRule>
  </conditionalFormatting>
  <conditionalFormatting sqref="K15:K264">
    <cfRule type="dataBar" priority="51">
      <dataBar>
        <cfvo type="num" val="0"/>
        <cfvo type="max"/>
        <color rgb="FF638EC6"/>
      </dataBar>
    </cfRule>
  </conditionalFormatting>
  <conditionalFormatting sqref="M15:M215">
    <cfRule type="expression" priority="41" dxfId="2">
      <formula>AND(NOT(ISBLANK(M15)),M15&lt;N$7)</formula>
    </cfRule>
    <cfRule type="expression" priority="42" dxfId="1">
      <formula>AND(M15&lt;=(N$7),(M15+N$5)&gt;(N$7))</formula>
    </cfRule>
    <cfRule type="expression" priority="43" dxfId="0">
      <formula>AND(NOT(ISBLANK(M15)),M15&gt;N$7)</formula>
    </cfRule>
  </conditionalFormatting>
  <conditionalFormatting sqref="M15:M264">
    <cfRule type="cellIs" priority="45" operator="greaterThan" dxfId="3">
      <formula>0</formula>
    </cfRule>
  </conditionalFormatting>
  <conditionalFormatting sqref="N2">
    <cfRule type="iconSet" priority="40">
      <iconSet iconSet="3Symbols2">
        <cfvo type="percent" val="0"/>
        <cfvo type="num" val="30" gte="0"/>
        <cfvo type="num" val="50" gte="0"/>
      </iconSet>
    </cfRule>
  </conditionalFormatting>
  <conditionalFormatting sqref="N15:N264">
    <cfRule type="dataBar" priority="44">
      <dataBar>
        <cfvo type="num" val="0"/>
        <cfvo type="max"/>
        <color rgb="FF638EC6"/>
      </dataBar>
    </cfRule>
  </conditionalFormatting>
  <conditionalFormatting sqref="P15:P215">
    <cfRule type="expression" priority="34" dxfId="2">
      <formula>AND(NOT(ISBLANK(P15)),P15&lt;Q$7)</formula>
    </cfRule>
    <cfRule type="expression" priority="35" dxfId="1">
      <formula>AND(P15&lt;=(Q$7),(P15+Q$5)&gt;(Q$7))</formula>
    </cfRule>
    <cfRule type="expression" priority="36" dxfId="0">
      <formula>AND(NOT(ISBLANK(P15)),P15&gt;Q$7)</formula>
    </cfRule>
  </conditionalFormatting>
  <conditionalFormatting sqref="P15:P264">
    <cfRule type="cellIs" priority="38" operator="greaterThan" dxfId="3">
      <formula>0</formula>
    </cfRule>
  </conditionalFormatting>
  <conditionalFormatting sqref="Q2">
    <cfRule type="iconSet" priority="33">
      <iconSet iconSet="3Symbols2">
        <cfvo type="percent" val="0"/>
        <cfvo type="num" val="30" gte="0"/>
        <cfvo type="num" val="50" gte="0"/>
      </iconSet>
    </cfRule>
  </conditionalFormatting>
  <conditionalFormatting sqref="Q15:Q264">
    <cfRule type="dataBar" priority="37">
      <dataBar>
        <cfvo type="num" val="0"/>
        <cfvo type="max"/>
        <color rgb="FF638EC6"/>
      </dataBar>
    </cfRule>
  </conditionalFormatting>
  <conditionalFormatting sqref="S15:S215">
    <cfRule type="expression" priority="27" dxfId="2">
      <formula>AND(NOT(ISBLANK(S15)),S15&lt;T$7)</formula>
    </cfRule>
    <cfRule type="expression" priority="28" dxfId="1">
      <formula>AND(S15&lt;=(T$7),(S15+T$5)&gt;(T$7))</formula>
    </cfRule>
    <cfRule type="expression" priority="29" dxfId="0">
      <formula>AND(NOT(ISBLANK(S15)),S15&gt;T$7)</formula>
    </cfRule>
  </conditionalFormatting>
  <conditionalFormatting sqref="S15:S264">
    <cfRule type="cellIs" priority="31" operator="greaterThan" dxfId="3">
      <formula>0</formula>
    </cfRule>
  </conditionalFormatting>
  <conditionalFormatting sqref="T2">
    <cfRule type="iconSet" priority="26">
      <iconSet iconSet="3Symbols2">
        <cfvo type="percent" val="0"/>
        <cfvo type="num" val="30" gte="0"/>
        <cfvo type="num" val="50" gte="0"/>
      </iconSet>
    </cfRule>
  </conditionalFormatting>
  <conditionalFormatting sqref="T15:T264">
    <cfRule type="dataBar" priority="30">
      <dataBar>
        <cfvo type="num" val="0"/>
        <cfvo type="max"/>
        <color rgb="FF638EC6"/>
      </dataBar>
    </cfRule>
  </conditionalFormatting>
  <conditionalFormatting sqref="V15:V215">
    <cfRule type="expression" priority="20" dxfId="2">
      <formula>AND(NOT(ISBLANK(V15)),V15&lt;W$7)</formula>
    </cfRule>
    <cfRule type="expression" priority="21" dxfId="1">
      <formula>AND(V15&lt;=(W$7),(V15+W$5)&gt;(W$7))</formula>
    </cfRule>
    <cfRule type="expression" priority="22" dxfId="0">
      <formula>AND(NOT(ISBLANK(V15)),V15&gt;W$7)</formula>
    </cfRule>
  </conditionalFormatting>
  <conditionalFormatting sqref="V15:V264">
    <cfRule type="cellIs" priority="24" operator="greaterThan" dxfId="3">
      <formula>0</formula>
    </cfRule>
  </conditionalFormatting>
  <conditionalFormatting sqref="W2">
    <cfRule type="iconSet" priority="19">
      <iconSet iconSet="3Symbols2">
        <cfvo type="percent" val="0"/>
        <cfvo type="num" val="30" gte="0"/>
        <cfvo type="num" val="50" gte="0"/>
      </iconSet>
    </cfRule>
  </conditionalFormatting>
  <conditionalFormatting sqref="W15:W264">
    <cfRule type="dataBar" priority="23">
      <dataBar>
        <cfvo type="num" val="0"/>
        <cfvo type="max"/>
        <color rgb="FF638EC6"/>
      </dataBar>
    </cfRule>
  </conditionalFormatting>
  <conditionalFormatting sqref="Y15:Y215">
    <cfRule type="expression" priority="13" dxfId="2">
      <formula>AND(NOT(ISBLANK(Y15)),Y15&lt;Z$7)</formula>
    </cfRule>
    <cfRule type="expression" priority="14" dxfId="1">
      <formula>AND(Y15&lt;=(Z$7),(Y15+Z$5)&gt;(Z$7))</formula>
    </cfRule>
    <cfRule type="expression" priority="15" dxfId="0">
      <formula>AND(NOT(ISBLANK(Y15)),Y15&gt;Z$7)</formula>
    </cfRule>
  </conditionalFormatting>
  <conditionalFormatting sqref="Y15:Y264">
    <cfRule type="cellIs" priority="17" operator="greaterThan" dxfId="3">
      <formula>0</formula>
    </cfRule>
  </conditionalFormatting>
  <conditionalFormatting sqref="Z2">
    <cfRule type="iconSet" priority="12">
      <iconSet iconSet="3Symbols2">
        <cfvo type="percent" val="0"/>
        <cfvo type="num" val="30" gte="0"/>
        <cfvo type="num" val="50" gte="0"/>
      </iconSet>
    </cfRule>
  </conditionalFormatting>
  <conditionalFormatting sqref="Z15:Z264">
    <cfRule type="dataBar" priority="16">
      <dataBar>
        <cfvo type="num" val="0"/>
        <cfvo type="max"/>
        <color rgb="FF638EC6"/>
      </dataBar>
    </cfRule>
  </conditionalFormatting>
  <conditionalFormatting sqref="AB15:AB215">
    <cfRule type="expression" priority="6" dxfId="2">
      <formula>AND(NOT(ISBLANK(AB15)),AB15&lt;AC$7)</formula>
    </cfRule>
    <cfRule type="expression" priority="7" dxfId="1">
      <formula>AND(AB15&lt;=(AC$7),(AB15+AC$5)&gt;(AC$7))</formula>
    </cfRule>
    <cfRule type="expression" priority="8" dxfId="0">
      <formula>AND(NOT(ISBLANK(AB15)),AB15&gt;AC$7)</formula>
    </cfRule>
  </conditionalFormatting>
  <conditionalFormatting sqref="AB15:AB264">
    <cfRule type="cellIs" priority="10" operator="greaterThan" dxfId="3">
      <formula>0</formula>
    </cfRule>
  </conditionalFormatting>
  <conditionalFormatting sqref="AC2">
    <cfRule type="iconSet" priority="5">
      <iconSet iconSet="3Symbols2">
        <cfvo type="percent" val="0"/>
        <cfvo type="num" val="30" gte="0"/>
        <cfvo type="num" val="50" gte="0"/>
      </iconSet>
    </cfRule>
  </conditionalFormatting>
  <conditionalFormatting sqref="AC15:AC264">
    <cfRule type="dataBar" priority="9">
      <dataBar>
        <cfvo type="num" val="0"/>
        <cfvo type="max"/>
        <color rgb="FF638EC6"/>
      </dataBar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rgb="FF00B0F0"/>
    <outlinePr summaryBelow="1" summaryRight="1"/>
    <pageSetUpPr/>
  </sheetPr>
  <dimension ref="A1:AE280"/>
  <sheetViews>
    <sheetView showGridLines="0" zoomScale="70" zoomScaleNormal="70" workbookViewId="0">
      <selection activeCell="A16" sqref="A16"/>
    </sheetView>
  </sheetViews>
  <sheetFormatPr baseColWidth="8" defaultRowHeight="14.4"/>
  <cols>
    <col width="8.44140625" customWidth="1" style="113" min="1" max="1"/>
    <col width="11.88671875" customWidth="1" style="113" min="2" max="2"/>
    <col width="7.109375" customWidth="1" style="113" min="3" max="3"/>
    <col width="8.5546875" customWidth="1" style="113" min="4" max="4"/>
    <col width="4.5546875" bestFit="1" customWidth="1" style="113" min="5" max="5"/>
    <col width="2.6640625" customWidth="1" style="113" min="6" max="6"/>
    <col width="11.5546875" customWidth="1" style="113" min="7" max="8"/>
    <col width="2.33203125" customWidth="1" style="113" min="9" max="9"/>
    <col width="11.5546875" customWidth="1" style="113" min="10" max="11"/>
    <col width="2.33203125" customWidth="1" style="113" min="12" max="12"/>
    <col width="11.5546875" customWidth="1" style="113" min="13" max="14"/>
    <col width="2.33203125" customWidth="1" style="113" min="15" max="15"/>
    <col width="11.5546875" customWidth="1" style="113" min="16" max="17"/>
    <col width="2.33203125" customWidth="1" style="113" min="18" max="18"/>
    <col width="11.5546875" customWidth="1" style="113" min="19" max="20"/>
    <col width="2.33203125" customWidth="1" style="113" min="21" max="21"/>
    <col width="11.5546875" customWidth="1" style="113" min="22" max="23"/>
    <col width="2.33203125" customWidth="1" style="113" min="24" max="24"/>
    <col width="11.5546875" customWidth="1" style="113" min="25" max="26"/>
    <col width="2.33203125" customWidth="1" style="113" min="27" max="27"/>
    <col width="11.5546875" customWidth="1" style="113" min="28" max="29"/>
    <col width="2.33203125" customWidth="1" style="113" min="30" max="30"/>
  </cols>
  <sheetData>
    <row r="1">
      <c r="D1" s="114" t="n"/>
      <c r="E1" s="115" t="n"/>
      <c r="F1" s="31" t="n"/>
      <c r="G1" s="36">
        <f>FAO!B1&amp;" max ="</f>
        <v/>
      </c>
      <c r="H1" s="116">
        <f>+FAO!B10</f>
        <v/>
      </c>
      <c r="I1" s="32" t="n"/>
      <c r="J1" s="36">
        <f>FAO!E1&amp;" max ="</f>
        <v/>
      </c>
      <c r="K1" s="116">
        <f>+FAO!E10</f>
        <v/>
      </c>
      <c r="L1" s="32" t="n"/>
      <c r="M1" s="36">
        <f>FAO!H1&amp;" max ="</f>
        <v/>
      </c>
      <c r="N1" s="116">
        <f>+FAO!H10</f>
        <v/>
      </c>
      <c r="O1" s="32" t="n"/>
      <c r="P1" s="36">
        <f>FAO!K1&amp;" max ="</f>
        <v/>
      </c>
      <c r="Q1" s="116">
        <f>+FAO!K10</f>
        <v/>
      </c>
      <c r="R1" s="32" t="n"/>
      <c r="S1" s="36">
        <f>FAO!N1&amp;" max ="</f>
        <v/>
      </c>
      <c r="T1" s="116">
        <f>+FAO!N10</f>
        <v/>
      </c>
      <c r="U1" s="32" t="n"/>
      <c r="V1" s="36">
        <f>FAO!Q1&amp;" max ="</f>
        <v/>
      </c>
      <c r="W1" s="116">
        <f>+FAO!Q10</f>
        <v/>
      </c>
      <c r="X1" s="32" t="n"/>
      <c r="Y1" s="36">
        <f>FAO!T1&amp;" max ="</f>
        <v/>
      </c>
      <c r="Z1" s="116">
        <f>+FAO!T10</f>
        <v/>
      </c>
      <c r="AA1" s="32" t="n"/>
      <c r="AB1" s="36">
        <f>FAO!W1&amp;" max ="</f>
        <v/>
      </c>
      <c r="AC1" s="116">
        <f>+FAO!W10</f>
        <v/>
      </c>
      <c r="AD1" s="32" t="n"/>
      <c r="AE1">
        <f>COUNTA($C$15:$C$10001)</f>
        <v/>
      </c>
    </row>
    <row r="2">
      <c r="D2" s="114" t="n"/>
      <c r="E2" s="115" t="n"/>
      <c r="F2" s="31" t="n"/>
      <c r="G2" s="48" t="inlineStr">
        <is>
          <t>obs n =</t>
        </is>
      </c>
      <c r="H2">
        <f>COUNTIF($C$18:$C$1003,G13)</f>
        <v/>
      </c>
      <c r="I2" s="32" t="n"/>
      <c r="J2" s="48" t="inlineStr">
        <is>
          <t>obs n =</t>
        </is>
      </c>
      <c r="K2">
        <f>COUNTIF($C$18:$C$1003,J13)</f>
        <v/>
      </c>
      <c r="L2" s="32" t="n"/>
      <c r="M2" s="48" t="inlineStr">
        <is>
          <t>obs n =</t>
        </is>
      </c>
      <c r="N2">
        <f>COUNTIF($C$18:$C$1003,M13)</f>
        <v/>
      </c>
      <c r="O2" s="32" t="n"/>
      <c r="P2" s="48" t="inlineStr">
        <is>
          <t>obs n =</t>
        </is>
      </c>
      <c r="Q2">
        <f>COUNTIF($C$18:$C$1003,P13)</f>
        <v/>
      </c>
      <c r="R2" s="32" t="n"/>
      <c r="S2" s="48" t="inlineStr">
        <is>
          <t>obs n =</t>
        </is>
      </c>
      <c r="T2">
        <f>COUNTIF($C$18:$C$1003,S13)</f>
        <v/>
      </c>
      <c r="U2" s="32" t="n"/>
      <c r="V2" s="48" t="inlineStr">
        <is>
          <t>obs n =</t>
        </is>
      </c>
      <c r="W2">
        <f>COUNTIF($C$18:$C$1003,V13)</f>
        <v/>
      </c>
      <c r="X2" s="32" t="n"/>
      <c r="Y2" s="48" t="inlineStr">
        <is>
          <t>obs n =</t>
        </is>
      </c>
      <c r="Z2">
        <f>COUNTIF($C$18:$C$1003,Y13)</f>
        <v/>
      </c>
      <c r="AA2" s="32" t="n"/>
      <c r="AB2" s="48" t="inlineStr">
        <is>
          <t>obs n =</t>
        </is>
      </c>
      <c r="AC2">
        <f>COUNTIF($C$18:$C$1003,AB13)</f>
        <v/>
      </c>
      <c r="AD2" s="32" t="n"/>
    </row>
    <row r="3">
      <c r="D3" s="114" t="n"/>
      <c r="E3" s="115" t="n"/>
      <c r="F3" s="31" t="n"/>
      <c r="G3" s="48" t="inlineStr">
        <is>
          <t xml:space="preserve">freq n= </t>
        </is>
      </c>
      <c r="H3">
        <f>+SUM(H15:H1003)</f>
        <v/>
      </c>
      <c r="I3" s="32" t="n"/>
      <c r="J3" s="48" t="inlineStr">
        <is>
          <t xml:space="preserve">freq n= </t>
        </is>
      </c>
      <c r="K3">
        <f>+SUM(K15:K1003)</f>
        <v/>
      </c>
      <c r="L3" s="32" t="n"/>
      <c r="M3" s="48" t="inlineStr">
        <is>
          <t xml:space="preserve">freq n= </t>
        </is>
      </c>
      <c r="N3">
        <f>+SUM(N15:N1003)</f>
        <v/>
      </c>
      <c r="O3" s="32" t="n"/>
      <c r="P3" s="48" t="inlineStr">
        <is>
          <t xml:space="preserve">freq n= </t>
        </is>
      </c>
      <c r="Q3">
        <f>+SUM(Q15:Q1003)</f>
        <v/>
      </c>
      <c r="R3" s="32" t="n"/>
      <c r="S3" s="48" t="inlineStr">
        <is>
          <t xml:space="preserve">freq n= </t>
        </is>
      </c>
      <c r="T3">
        <f>+SUM(T15:T1003)</f>
        <v/>
      </c>
      <c r="U3" s="32" t="n"/>
      <c r="V3" s="48" t="inlineStr">
        <is>
          <t xml:space="preserve">freq n= </t>
        </is>
      </c>
      <c r="W3">
        <f>+SUM(W15:W1003)</f>
        <v/>
      </c>
      <c r="X3" s="32" t="n"/>
      <c r="Y3" s="48" t="inlineStr">
        <is>
          <t xml:space="preserve">freq n= </t>
        </is>
      </c>
      <c r="Z3">
        <f>+SUM(Z15:Z1003)</f>
        <v/>
      </c>
      <c r="AA3" s="32" t="n"/>
      <c r="AB3" s="48" t="inlineStr">
        <is>
          <t xml:space="preserve">freq n= </t>
        </is>
      </c>
      <c r="AC3">
        <f>+SUM(AC15:AC1003)</f>
        <v/>
      </c>
      <c r="AD3" s="32" t="n"/>
    </row>
    <row r="4">
      <c r="D4" s="114" t="n"/>
      <c r="E4" s="115" t="n"/>
      <c r="F4" s="31" t="n"/>
      <c r="G4" s="48" t="inlineStr">
        <is>
          <t>first bin =</t>
        </is>
      </c>
      <c r="H4" t="n">
        <v>10</v>
      </c>
      <c r="I4" s="32" t="n"/>
      <c r="J4" s="48" t="inlineStr">
        <is>
          <t>first bin =</t>
        </is>
      </c>
      <c r="K4" t="n">
        <v>10</v>
      </c>
      <c r="L4" s="32" t="n"/>
      <c r="M4" s="48" t="inlineStr">
        <is>
          <t>first bin =</t>
        </is>
      </c>
      <c r="N4" t="n">
        <v>10</v>
      </c>
      <c r="O4" s="32" t="n"/>
      <c r="P4" s="48" t="inlineStr">
        <is>
          <t>first bin =</t>
        </is>
      </c>
      <c r="Q4" t="n">
        <v>10</v>
      </c>
      <c r="R4" s="32" t="n"/>
      <c r="S4" s="48" t="inlineStr">
        <is>
          <t>first bin =</t>
        </is>
      </c>
      <c r="T4" t="n">
        <v>10</v>
      </c>
      <c r="U4" s="32" t="n"/>
      <c r="V4" s="48" t="inlineStr">
        <is>
          <t>first bin =</t>
        </is>
      </c>
      <c r="W4" t="n">
        <v>10</v>
      </c>
      <c r="X4" s="32" t="n"/>
      <c r="Y4" s="48" t="inlineStr">
        <is>
          <t>first bin =</t>
        </is>
      </c>
      <c r="Z4" t="n">
        <v>10</v>
      </c>
      <c r="AA4" s="32" t="n"/>
      <c r="AB4" s="48" t="inlineStr">
        <is>
          <t>first bin =</t>
        </is>
      </c>
      <c r="AC4" t="n">
        <v>10</v>
      </c>
      <c r="AD4" s="32" t="n"/>
    </row>
    <row r="5">
      <c r="D5" s="114" t="n"/>
      <c r="E5" s="115" t="n"/>
      <c r="F5" s="31" t="n"/>
      <c r="G5" s="48" t="inlineStr">
        <is>
          <t>increment =</t>
        </is>
      </c>
      <c r="H5">
        <f>+FAO!B14</f>
        <v/>
      </c>
      <c r="I5" s="32" t="n"/>
      <c r="J5" s="48" t="inlineStr">
        <is>
          <t>increment =</t>
        </is>
      </c>
      <c r="K5">
        <f>+FAO!E14</f>
        <v/>
      </c>
      <c r="L5" s="32" t="n"/>
      <c r="M5" s="48" t="inlineStr">
        <is>
          <t>increment =</t>
        </is>
      </c>
      <c r="N5">
        <f>+FAO!H14</f>
        <v/>
      </c>
      <c r="O5" s="32" t="n"/>
      <c r="P5" s="48" t="inlineStr">
        <is>
          <t>increment =</t>
        </is>
      </c>
      <c r="Q5">
        <f>+FAO!K14</f>
        <v/>
      </c>
      <c r="R5" s="32" t="n"/>
      <c r="S5" s="48" t="inlineStr">
        <is>
          <t>increment =</t>
        </is>
      </c>
      <c r="T5">
        <f>+FAO!N14</f>
        <v/>
      </c>
      <c r="U5" s="32" t="n"/>
      <c r="V5" s="48" t="inlineStr">
        <is>
          <t>increment =</t>
        </is>
      </c>
      <c r="W5">
        <f>+FAO!Q14</f>
        <v/>
      </c>
      <c r="X5" s="32" t="n"/>
      <c r="Y5" s="48" t="inlineStr">
        <is>
          <t>increment =</t>
        </is>
      </c>
      <c r="Z5">
        <f>+FAO!T14</f>
        <v/>
      </c>
      <c r="AA5" s="32" t="n"/>
      <c r="AB5" s="48" t="inlineStr">
        <is>
          <t>increment =</t>
        </is>
      </c>
      <c r="AC5">
        <f>+FAO!W14</f>
        <v/>
      </c>
      <c r="AD5" s="32" t="n"/>
    </row>
    <row r="6">
      <c r="D6" s="114" t="n"/>
      <c r="E6" s="115" t="n"/>
      <c r="F6" s="31" t="n"/>
      <c r="G6" s="48" t="inlineStr">
        <is>
          <t>Complete =</t>
        </is>
      </c>
      <c r="H6">
        <f>COUNTIFS($C$18:$C$2015,G$13,$D$18:$D$2015,"&gt;5")/COUNTIF($C$18:$C$2015,G$13)*100</f>
        <v/>
      </c>
      <c r="I6" s="32" t="n"/>
      <c r="J6" s="48" t="inlineStr">
        <is>
          <t>Complete =</t>
        </is>
      </c>
      <c r="K6">
        <f>COUNTIFS($C$18:$C$2015,J$13,$D$18:$D$2015,"&gt;5")/COUNTIF($C$18:$C$2015,J$13)*100</f>
        <v/>
      </c>
      <c r="L6" s="32" t="n"/>
      <c r="M6" s="48" t="inlineStr">
        <is>
          <t>Complete =</t>
        </is>
      </c>
      <c r="N6">
        <f>COUNTIFS($C$18:$C$2015,M$13,$D$18:$D$2015,"&gt;5")/COUNTIF($C$18:$C$2015,M$13)*100</f>
        <v/>
      </c>
      <c r="O6" s="32" t="n"/>
      <c r="P6" s="48" t="inlineStr">
        <is>
          <t>Complete =</t>
        </is>
      </c>
      <c r="Q6">
        <f>COUNTIFS($C$18:$C$2015,P$13,$D$18:$D$2015,"&gt;5")/COUNTIF($C$18:$C$2015,P$13)*100</f>
        <v/>
      </c>
      <c r="R6" s="32" t="n"/>
      <c r="S6" s="48" t="inlineStr">
        <is>
          <t>Complete =</t>
        </is>
      </c>
      <c r="T6">
        <f>COUNTIFS($C$18:$C$2015,S$13,$D$18:$D$2015,"&gt;5")/COUNTIF($C$18:$C$2015,S$13)*100</f>
        <v/>
      </c>
      <c r="U6" s="32" t="n"/>
      <c r="V6" s="48" t="inlineStr">
        <is>
          <t>Complete =</t>
        </is>
      </c>
      <c r="W6">
        <f>COUNTIFS($C$18:$C$2015,V$13,$D$18:$D$2015,"&gt;5")/COUNTIF($C$18:$C$2015,V$13)*100</f>
        <v/>
      </c>
      <c r="X6" s="32" t="n"/>
      <c r="Y6" s="48" t="inlineStr">
        <is>
          <t>Complete =</t>
        </is>
      </c>
      <c r="Z6">
        <f>COUNTIFS($C$18:$C$2015,Y$13,$D$18:$D$2015,"&gt;5")/COUNTIF($C$18:$C$2015,Y$13)*100</f>
        <v/>
      </c>
      <c r="AA6" s="32" t="n"/>
      <c r="AB6" s="48" t="inlineStr">
        <is>
          <t>Complete =</t>
        </is>
      </c>
      <c r="AC6">
        <f>COUNTIFS($C$18:$C$2015,AB$13,$D$18:$D$2015,"&gt;5")/COUNTIF($C$18:$C$2015,AB$13)*100</f>
        <v/>
      </c>
      <c r="AD6" s="32" t="n"/>
    </row>
    <row r="7">
      <c r="D7" s="114" t="n"/>
      <c r="E7" s="115" t="n"/>
      <c r="F7" s="31" t="n"/>
      <c r="G7" s="48" t="inlineStr">
        <is>
          <t>L50 (cm) =</t>
        </is>
      </c>
      <c r="H7">
        <f>+FAO!B11</f>
        <v/>
      </c>
      <c r="I7" s="32" t="n"/>
      <c r="J7" s="48" t="inlineStr">
        <is>
          <t>L50 (cm) =</t>
        </is>
      </c>
      <c r="K7">
        <f>+FAO!E11</f>
        <v/>
      </c>
      <c r="L7" s="32" t="n"/>
      <c r="M7" s="48" t="inlineStr">
        <is>
          <t>L50 (cm) =</t>
        </is>
      </c>
      <c r="N7">
        <f>+FAO!H11</f>
        <v/>
      </c>
      <c r="O7" s="32" t="n"/>
      <c r="P7" s="48" t="inlineStr">
        <is>
          <t>L50 (cm) =</t>
        </is>
      </c>
      <c r="Q7">
        <f>+FAO!K11</f>
        <v/>
      </c>
      <c r="R7" s="32" t="n"/>
      <c r="S7" s="48" t="inlineStr">
        <is>
          <t>L50 (cm) =</t>
        </is>
      </c>
      <c r="T7">
        <f>+FAO!N11</f>
        <v/>
      </c>
      <c r="U7" s="32" t="n"/>
      <c r="V7" s="48" t="inlineStr">
        <is>
          <t>L50 (cm) =</t>
        </is>
      </c>
      <c r="W7">
        <f>+FAO!Q11</f>
        <v/>
      </c>
      <c r="X7" s="32" t="n"/>
      <c r="Y7" s="48" t="inlineStr">
        <is>
          <t>L50 (cm) =</t>
        </is>
      </c>
      <c r="Z7">
        <f>+FAO!T11</f>
        <v/>
      </c>
      <c r="AA7" s="32" t="n"/>
      <c r="AB7" s="48" t="inlineStr">
        <is>
          <t>L50 (cm) =</t>
        </is>
      </c>
      <c r="AC7">
        <f>+FAO!W11</f>
        <v/>
      </c>
      <c r="AD7" s="32" t="n"/>
    </row>
    <row r="8">
      <c r="D8" s="114" t="n"/>
      <c r="E8" s="115" t="n"/>
      <c r="F8" s="31" t="n"/>
      <c r="G8" s="48" t="inlineStr">
        <is>
          <t>Juven. (%) =</t>
        </is>
      </c>
      <c r="H8">
        <f>+ROUND(COUNTIFS($C$18:$C$2015,G$13,$D$18:$D$2015,"&lt;"&amp;H7)/COUNTIF($C$18:$C$2015,G$13)*100,0)</f>
        <v/>
      </c>
      <c r="I8" s="32" t="n"/>
      <c r="J8" s="48" t="inlineStr">
        <is>
          <t>Juven. (%) =</t>
        </is>
      </c>
      <c r="K8">
        <f>+ROUND(COUNTIFS($C$18:$C$2015,J$13,$D$18:$D$2015,"&lt;"&amp;K7)/COUNTIF($C$18:$C$2015,J$13)*100,0)</f>
        <v/>
      </c>
      <c r="L8" s="32" t="n"/>
      <c r="M8" s="48" t="inlineStr">
        <is>
          <t>Juven. (%) =</t>
        </is>
      </c>
      <c r="N8">
        <f>+ROUND(COUNTIFS($C$18:$C$2015,M$13,$D$18:$D$2015,"&lt;"&amp;N7)/COUNTIF($C$18:$C$2015,M$13)*100,0)</f>
        <v/>
      </c>
      <c r="O8" s="32" t="n"/>
      <c r="P8" s="48" t="inlineStr">
        <is>
          <t>Juven. (%) =</t>
        </is>
      </c>
      <c r="Q8">
        <f>+ROUND(COUNTIFS($C$18:$C$2015,P$13,$D$18:$D$2015,"&lt;"&amp;Q7)/COUNTIF($C$18:$C$2015,P$13)*100,0)</f>
        <v/>
      </c>
      <c r="R8" s="32" t="n"/>
      <c r="S8" s="48" t="inlineStr">
        <is>
          <t>Juven. (%) =</t>
        </is>
      </c>
      <c r="T8">
        <f>+ROUND(COUNTIFS($C$18:$C$2015,S$13,$D$18:$D$2015,"&lt;"&amp;T7)/COUNTIF($C$18:$C$2015,S$13)*100,0)</f>
        <v/>
      </c>
      <c r="U8" s="32" t="n"/>
      <c r="V8" s="48" t="inlineStr">
        <is>
          <t>Juven. (%) =</t>
        </is>
      </c>
      <c r="W8">
        <f>+ROUND(COUNTIFS($C$18:$C$2015,V$13,$D$18:$D$2015,"&lt;"&amp;W7)/COUNTIF($C$18:$C$2015,V$13)*100,0)</f>
        <v/>
      </c>
      <c r="X8" s="32" t="n"/>
      <c r="Y8" s="48" t="inlineStr">
        <is>
          <t>Juven. (%) =</t>
        </is>
      </c>
      <c r="Z8">
        <f>+ROUND(COUNTIFS($C$18:$C$2015,Y$13,$D$18:$D$2015,"&lt;"&amp;Z7)/COUNTIF($C$18:$C$2015,Y$13)*100,0)</f>
        <v/>
      </c>
      <c r="AA8" s="32" t="n"/>
      <c r="AB8" s="48" t="inlineStr">
        <is>
          <t>Juven. (%) =</t>
        </is>
      </c>
      <c r="AC8">
        <f>+ROUND(COUNTIFS($C$18:$C$2015,AB$13,$D$18:$D$2015,"&lt;"&amp;AC7)/COUNTIF($C$18:$C$2015,AB$13)*100,0)</f>
        <v/>
      </c>
      <c r="AD8" s="32" t="n"/>
    </row>
    <row r="9" customFormat="1" s="17">
      <c r="D9" s="114" t="n"/>
      <c r="E9" s="18" t="n"/>
      <c r="F9" s="31" t="n"/>
      <c r="G9" s="20">
        <f>+FAO!B6</f>
        <v/>
      </c>
      <c r="H9" s="117" t="n"/>
      <c r="I9" s="32" t="n"/>
      <c r="J9" s="20">
        <f>+FAO!E6</f>
        <v/>
      </c>
      <c r="K9" s="117" t="n"/>
      <c r="L9" s="32" t="n"/>
      <c r="M9" s="20">
        <f>+FAO!H6</f>
        <v/>
      </c>
      <c r="N9" s="117" t="n"/>
      <c r="O9" s="32" t="n"/>
      <c r="P9" s="20">
        <f>+FAO!K6</f>
        <v/>
      </c>
      <c r="Q9" s="117" t="n"/>
      <c r="R9" s="32" t="n"/>
      <c r="S9" s="20">
        <f>+FAO!N6</f>
        <v/>
      </c>
      <c r="T9" s="117" t="n"/>
      <c r="U9" s="32" t="n"/>
      <c r="V9" s="20">
        <f>+FAO!Q6</f>
        <v/>
      </c>
      <c r="W9" s="117" t="n"/>
      <c r="X9" s="32" t="n"/>
      <c r="Y9" s="20">
        <f>+FAO!T6</f>
        <v/>
      </c>
      <c r="Z9" s="117" t="n"/>
      <c r="AA9" s="32" t="n"/>
      <c r="AB9" s="20">
        <f>+FAO!W6</f>
        <v/>
      </c>
      <c r="AC9" s="117" t="n"/>
      <c r="AD9" s="32" t="n"/>
    </row>
    <row r="10" customFormat="1" s="1">
      <c r="D10" s="114" t="n"/>
      <c r="E10" s="33" t="n"/>
      <c r="F10" s="31" t="n"/>
      <c r="G10" s="20">
        <f>+FAO!B7</f>
        <v/>
      </c>
      <c r="H10" s="118" t="n"/>
      <c r="I10" s="32" t="n"/>
      <c r="J10" s="20">
        <f>+FAO!E7</f>
        <v/>
      </c>
      <c r="K10" s="118" t="n"/>
      <c r="L10" s="32" t="n"/>
      <c r="M10" s="20">
        <f>+FAO!H7</f>
        <v/>
      </c>
      <c r="N10" s="118" t="n"/>
      <c r="O10" s="32" t="n"/>
      <c r="P10" s="20">
        <f>+FAO!K7</f>
        <v/>
      </c>
      <c r="Q10" s="118" t="n"/>
      <c r="R10" s="32" t="n"/>
      <c r="S10" s="20">
        <f>+FAO!N7</f>
        <v/>
      </c>
      <c r="T10" s="118" t="n"/>
      <c r="U10" s="32" t="n"/>
      <c r="V10" s="20">
        <f>+FAO!Q7</f>
        <v/>
      </c>
      <c r="W10" s="118" t="n"/>
      <c r="X10" s="32" t="n"/>
      <c r="Y10" s="20">
        <f>+FAO!T7</f>
        <v/>
      </c>
      <c r="Z10" s="118" t="n"/>
      <c r="AA10" s="32" t="n"/>
      <c r="AB10" s="20">
        <f>+FAO!W7</f>
        <v/>
      </c>
      <c r="AC10" s="118" t="n"/>
      <c r="AD10" s="32" t="n"/>
    </row>
    <row r="11" customFormat="1" s="1">
      <c r="D11" s="114" t="n"/>
      <c r="E11" s="19" t="n"/>
      <c r="F11" s="31" t="n"/>
      <c r="G11" s="34">
        <f>+FAO!B9</f>
        <v/>
      </c>
      <c r="H11" s="119" t="n"/>
      <c r="I11" s="32" t="n"/>
      <c r="J11" s="34">
        <f>+FAO!E9</f>
        <v/>
      </c>
      <c r="K11" s="119" t="n"/>
      <c r="L11" s="32" t="n"/>
      <c r="M11" s="34">
        <f>+FAO!H9</f>
        <v/>
      </c>
      <c r="N11" s="119" t="n"/>
      <c r="O11" s="32" t="n"/>
      <c r="P11" s="34">
        <f>+FAO!K9</f>
        <v/>
      </c>
      <c r="Q11" s="119" t="n"/>
      <c r="R11" s="32" t="n"/>
      <c r="S11" s="34">
        <f>+FAO!N9</f>
        <v/>
      </c>
      <c r="T11" s="119" t="n"/>
      <c r="U11" s="32" t="n"/>
      <c r="V11" s="34">
        <f>+FAO!Q9</f>
        <v/>
      </c>
      <c r="W11" s="119" t="n"/>
      <c r="X11" s="32" t="n"/>
      <c r="Y11" s="34">
        <f>+FAO!T9</f>
        <v/>
      </c>
      <c r="Z11" s="119" t="n"/>
      <c r="AA11" s="32" t="n"/>
      <c r="AB11" s="34">
        <f>+FAO!W9</f>
        <v/>
      </c>
      <c r="AC11" s="119" t="n"/>
      <c r="AD11" s="32" t="n"/>
    </row>
    <row r="12">
      <c r="D12" s="114" t="n"/>
      <c r="E12" s="115" t="n"/>
      <c r="F12" s="31" t="n"/>
      <c r="G12" s="34">
        <f>+FAO!B5</f>
        <v/>
      </c>
      <c r="H12" s="120" t="n"/>
      <c r="I12" s="32" t="n"/>
      <c r="J12" s="34">
        <f>+FAO!E5</f>
        <v/>
      </c>
      <c r="K12" s="120" t="n"/>
      <c r="L12" s="32" t="n"/>
      <c r="M12" s="34">
        <f>+FAO!H5</f>
        <v/>
      </c>
      <c r="N12" s="120" t="n"/>
      <c r="O12" s="32" t="n"/>
      <c r="P12" s="34">
        <f>+FAO!K5</f>
        <v/>
      </c>
      <c r="Q12" s="120" t="n"/>
      <c r="R12" s="32" t="n"/>
      <c r="S12" s="34">
        <f>+FAO!N5</f>
        <v/>
      </c>
      <c r="T12" s="120" t="n"/>
      <c r="U12" s="32" t="n"/>
      <c r="V12" s="34">
        <f>+FAO!Q5</f>
        <v/>
      </c>
      <c r="W12" s="120" t="n"/>
      <c r="X12" s="32" t="n"/>
      <c r="Y12" s="34">
        <f>+FAO!T5</f>
        <v/>
      </c>
      <c r="Z12" s="120" t="n"/>
      <c r="AA12" s="32" t="n"/>
      <c r="AB12" s="34">
        <f>+FAO!W5</f>
        <v/>
      </c>
      <c r="AC12" s="120" t="n"/>
      <c r="AD12" s="32" t="n"/>
    </row>
    <row r="13" ht="39" customHeight="1" s="113">
      <c r="B13" s="49" t="n"/>
      <c r="D13" t="e">
        <v>#VALUE!</v>
      </c>
      <c r="E13" s="51">
        <f>COUNTA(C15:C1003)</f>
        <v/>
      </c>
      <c r="F13" s="31" t="n"/>
      <c r="G13" s="35">
        <f>+FAO!B1</f>
        <v/>
      </c>
      <c r="H13" s="121">
        <f>+FAO!B3</f>
        <v/>
      </c>
      <c r="I13" s="32" t="n"/>
      <c r="J13" s="35">
        <f>+FAO!E1</f>
        <v/>
      </c>
      <c r="K13" s="121">
        <f>+FAO!E3</f>
        <v/>
      </c>
      <c r="L13" s="32" t="n"/>
      <c r="M13" s="35">
        <f>+FAO!H1</f>
        <v/>
      </c>
      <c r="N13" s="121">
        <f>+FAO!H3</f>
        <v/>
      </c>
      <c r="O13" s="32" t="n"/>
      <c r="P13" s="35">
        <f>+FAO!K1</f>
        <v/>
      </c>
      <c r="Q13" s="121">
        <f>+FAO!K3</f>
        <v/>
      </c>
      <c r="R13" s="32" t="n"/>
      <c r="S13" s="35">
        <f>+FAO!N1</f>
        <v/>
      </c>
      <c r="T13" s="121">
        <f>+FAO!N3</f>
        <v/>
      </c>
      <c r="U13" s="32" t="n"/>
      <c r="V13" s="35">
        <f>+FAO!Q1</f>
        <v/>
      </c>
      <c r="W13" s="121">
        <f>+FAO!Q3</f>
        <v/>
      </c>
      <c r="X13" s="32" t="n"/>
      <c r="Y13" s="35">
        <f>+FAO!T1</f>
        <v/>
      </c>
      <c r="Z13" s="121">
        <f>+FAO!T3</f>
        <v/>
      </c>
      <c r="AA13" s="32" t="n"/>
      <c r="AB13" s="35">
        <f>+FAO!W1</f>
        <v/>
      </c>
      <c r="AC13" s="121">
        <f>+FAO!W3</f>
        <v/>
      </c>
      <c r="AD13" s="32" t="n"/>
    </row>
    <row r="14" customFormat="1" s="54">
      <c r="A14" s="99" t="inlineStr">
        <is>
          <t>TRIP</t>
        </is>
      </c>
      <c r="B14" s="99" t="inlineStr">
        <is>
          <t>DATE</t>
        </is>
      </c>
      <c r="C14" s="99" t="inlineStr">
        <is>
          <t>FAO</t>
        </is>
      </c>
      <c r="D14" s="122" t="inlineStr">
        <is>
          <t>OBS</t>
        </is>
      </c>
      <c r="E14" s="99" t="inlineStr">
        <is>
          <t>ID</t>
        </is>
      </c>
      <c r="F14" s="52" t="n"/>
      <c r="G14" s="50">
        <f>"LC-"&amp;G13</f>
        <v/>
      </c>
      <c r="H14" s="123">
        <f>"FQ-"&amp;G13</f>
        <v/>
      </c>
      <c r="I14" s="53" t="n"/>
      <c r="J14" s="50">
        <f>"LC-"&amp;J13</f>
        <v/>
      </c>
      <c r="K14" s="123">
        <f>"FQ-"&amp;J13</f>
        <v/>
      </c>
      <c r="L14" s="53" t="n"/>
      <c r="M14" s="50">
        <f>"LC-"&amp;M13</f>
        <v/>
      </c>
      <c r="N14" s="123">
        <f>"FQ-"&amp;M13</f>
        <v/>
      </c>
      <c r="O14" s="53" t="n"/>
      <c r="P14" s="50">
        <f>"LC-"&amp;P13</f>
        <v/>
      </c>
      <c r="Q14" s="123">
        <f>"FQ-"&amp;P13</f>
        <v/>
      </c>
      <c r="R14" s="53" t="n"/>
      <c r="S14" s="50">
        <f>"LC-"&amp;S13</f>
        <v/>
      </c>
      <c r="T14" s="123">
        <f>"FQ-"&amp;S13</f>
        <v/>
      </c>
      <c r="U14" s="53" t="n"/>
      <c r="V14" s="50">
        <f>"LC-"&amp;V13</f>
        <v/>
      </c>
      <c r="W14" s="123">
        <f>"FQ-"&amp;V13</f>
        <v/>
      </c>
      <c r="X14" s="53" t="n"/>
      <c r="Y14" s="50">
        <f>"LC-"&amp;Y13</f>
        <v/>
      </c>
      <c r="Z14" s="123">
        <f>"FQ-"&amp;Y13</f>
        <v/>
      </c>
      <c r="AA14" s="53" t="n"/>
      <c r="AB14" s="50">
        <f>"LC-"&amp;AB13</f>
        <v/>
      </c>
      <c r="AC14" s="123">
        <f>"FQ-"&amp;AB13</f>
        <v/>
      </c>
      <c r="AD14" s="53" t="n"/>
    </row>
    <row r="15">
      <c r="A15" s="58" t="n"/>
      <c r="B15" s="59" t="n"/>
      <c r="C15" s="59" t="n"/>
      <c r="E15" s="16">
        <f t="array" ref="E15">+_xlfn.SEQUENCE(E13,1,1)</f>
        <v/>
      </c>
      <c r="F15" s="13" t="n"/>
      <c r="G15" s="16">
        <f t="array" ref="G15:G85">_xlfn.SEQUENCE(((H1-H4)/H5)+1, 1, H4, H5)</f>
        <v/>
      </c>
      <c r="H15" s="124">
        <f>IF(G15="","",COUNTIFS($C$18:$C$2015,G$13,$D$18:$D$2015,"&gt;="&amp;G15,$D$18:$D$2015,"&lt;"&amp;G16))</f>
        <v/>
      </c>
      <c r="I15" s="14" t="n"/>
      <c r="J15" s="16">
        <f t="array" ref="J15:J43">_xlfn.SEQUENCE(((K1-K4)/K5)+1, 1, K4, K5)</f>
        <v/>
      </c>
      <c r="K15" s="124">
        <f>IF(J15="","",COUNTIFS($C$18:$C$2015,J$13,$D$18:$D$2015,"&gt;="&amp;J15,$D$18:$D$2015,"&lt;"&amp;J16))</f>
        <v/>
      </c>
      <c r="L15" s="14" t="n"/>
      <c r="M15" s="16">
        <f t="array" ref="M15:M55">_xlfn.SEQUENCE(((N1-N4)/N5)+1, 1, N4, N5)</f>
        <v/>
      </c>
      <c r="N15" s="124">
        <f>IF(M15="","",COUNTIFS($C$18:$C$2015,M$13,$D$18:$D$2015,"&gt;="&amp;M15,$D$18:$D$2015,"&lt;"&amp;M16))</f>
        <v/>
      </c>
      <c r="O15" s="14" t="n"/>
      <c r="P15" s="16">
        <f t="array" ref="P15:P85">_xlfn.SEQUENCE(((Q1-Q4)/Q5)+1, 1, Q4, Q5)</f>
        <v/>
      </c>
      <c r="Q15" s="124">
        <f>IF(P15="","",COUNTIFS($C$18:$C$2015,P$13,$D$18:$D$2015,"&gt;="&amp;P15,$D$18:$D$2015,"&lt;"&amp;P16))</f>
        <v/>
      </c>
      <c r="R15" s="14" t="n"/>
      <c r="S15" s="16">
        <f t="array" ref="S15:S60">_xlfn.SEQUENCE(((T1-T4)/T5)+1, 1, T4, T5)</f>
        <v/>
      </c>
      <c r="T15" s="124">
        <f>IF(S15="","",COUNTIFS($C$18:$C$2015,S$13,$D$18:$D$2015,"&gt;="&amp;S15,$D$18:$D$2015,"&lt;"&amp;S16))</f>
        <v/>
      </c>
      <c r="U15" s="14" t="n"/>
      <c r="V15" s="16">
        <f t="array" ref="V15:V50">_xlfn.SEQUENCE(((W1-W4)/W5)+1, 1, W4, W5)</f>
        <v/>
      </c>
      <c r="W15" s="124">
        <f>IF(V15="","",COUNTIFS($C$18:$C$2015,V$13,$D$18:$D$2015,"&gt;="&amp;V15,$D$18:$D$2015,"&lt;"&amp;V16))</f>
        <v/>
      </c>
      <c r="X15" s="14" t="n"/>
      <c r="Y15" s="16">
        <f t="array" ref="Y15:Y50">_xlfn.SEQUENCE(((Z1-Z4)/Z5)+1, 1, Z4, Z5)</f>
        <v/>
      </c>
      <c r="Z15" s="124">
        <f>IF(Y15="","",COUNTIFS($C$18:$C$2015,Y$13,$D$18:$D$2015,"&gt;="&amp;Y15,$D$18:$D$2015,"&lt;"&amp;Y16))</f>
        <v/>
      </c>
      <c r="AA15" s="14" t="n"/>
      <c r="AB15" s="16">
        <f t="array" ref="AB15:AB67">_xlfn.SEQUENCE(((AC1-AC4)/AC5)+1, 1, AC4, AC5)</f>
        <v/>
      </c>
      <c r="AC15" s="124">
        <f>IF(AB15="","",COUNTIFS($C$18:$C$2015,AB$13,$D$18:$D$2015,"&gt;="&amp;AB15,$D$18:$D$2015,"&lt;"&amp;AB16))</f>
        <v/>
      </c>
      <c r="AD15" s="14" t="n"/>
    </row>
    <row r="16">
      <c r="A16" s="56" t="n"/>
      <c r="B16" s="57" t="n"/>
      <c r="C16" s="59" t="n"/>
      <c r="E16" s="16" t="n"/>
      <c r="F16" s="13" t="n"/>
      <c r="G16" s="16" t="n">
        <v>11</v>
      </c>
      <c r="H16" s="124">
        <f>IF(G16="","",COUNTIFS($C$18:$C$2015,G$13,$D$18:$D$2015,"&gt;="&amp;G16,$D$18:$D$2015,"&lt;"&amp;G17))</f>
        <v/>
      </c>
      <c r="I16" s="14" t="n"/>
      <c r="J16" s="16" t="n">
        <v>15</v>
      </c>
      <c r="K16" s="124">
        <f>IF(J16="","",COUNTIFS($C$18:$C$2015,J$13,$D$18:$D$2015,"&gt;="&amp;J16,$D$18:$D$2015,"&lt;"&amp;J17))</f>
        <v/>
      </c>
      <c r="L16" s="14" t="n"/>
      <c r="M16" s="16" t="n">
        <v>12</v>
      </c>
      <c r="N16" s="124">
        <f>IF(M16="","",COUNTIFS($C$18:$C$2015,M$13,$D$18:$D$2015,"&gt;="&amp;M16,$D$18:$D$2015,"&lt;"&amp;M17))</f>
        <v/>
      </c>
      <c r="O16" s="14" t="n"/>
      <c r="P16" s="16" t="n">
        <v>11</v>
      </c>
      <c r="Q16" s="124">
        <f>IF(P16="","",COUNTIFS($C$18:$C$2015,P$13,$D$18:$D$2015,"&gt;="&amp;P16,$D$18:$D$2015,"&lt;"&amp;P17))</f>
        <v/>
      </c>
      <c r="R16" s="14" t="n"/>
      <c r="S16" s="16" t="n">
        <v>12</v>
      </c>
      <c r="T16" s="124">
        <f>IF(S16="","",COUNTIFS($C$18:$C$2015,S$13,$D$18:$D$2015,"&gt;="&amp;S16,$D$18:$D$2015,"&lt;"&amp;S17))</f>
        <v/>
      </c>
      <c r="U16" s="14" t="n"/>
      <c r="V16" s="16" t="n">
        <v>12</v>
      </c>
      <c r="W16" s="124">
        <f>IF(V16="","",COUNTIFS($C$18:$C$2015,V$13,$D$18:$D$2015,"&gt;="&amp;V16,$D$18:$D$2015,"&lt;"&amp;V17))</f>
        <v/>
      </c>
      <c r="X16" s="14" t="n"/>
      <c r="Y16" s="16" t="n">
        <v>12</v>
      </c>
      <c r="Z16" s="124">
        <f>IF(Y16="","",COUNTIFS($C$18:$C$2015,Y$13,$D$18:$D$2015,"&gt;="&amp;Y16,$D$18:$D$2015,"&lt;"&amp;Y17))</f>
        <v/>
      </c>
      <c r="AA16" s="14" t="n"/>
      <c r="AB16" s="16" t="n">
        <v>11</v>
      </c>
      <c r="AC16" s="124">
        <f>IF(AB16="","",COUNTIFS($C$18:$C$2015,AB$13,$D$18:$D$2015,"&gt;="&amp;AB16,$D$18:$D$2015,"&lt;"&amp;AB17))</f>
        <v/>
      </c>
      <c r="AD16" s="14" t="n"/>
    </row>
    <row r="17">
      <c r="A17" s="58" t="n"/>
      <c r="B17" s="59" t="n"/>
      <c r="C17" s="59" t="n"/>
      <c r="E17" s="16" t="n"/>
      <c r="F17" s="13" t="n"/>
      <c r="G17" s="16" t="n">
        <v>12</v>
      </c>
      <c r="H17" s="124">
        <f>IF(G17="","",COUNTIFS($C$18:$C$2015,G$13,$D$18:$D$2015,"&gt;="&amp;G17,$D$18:$D$2015,"&lt;"&amp;G18))</f>
        <v/>
      </c>
      <c r="I17" s="14" t="n"/>
      <c r="J17" s="16" t="n">
        <v>20</v>
      </c>
      <c r="K17" s="124">
        <f>IF(J17="","",COUNTIFS($C$18:$C$2015,J$13,$D$18:$D$2015,"&gt;="&amp;J17,$D$18:$D$2015,"&lt;"&amp;J18))</f>
        <v/>
      </c>
      <c r="L17" s="14" t="n"/>
      <c r="M17" s="16" t="n">
        <v>14</v>
      </c>
      <c r="N17" s="124">
        <f>IF(M17="","",COUNTIFS($C$18:$C$2015,M$13,$D$18:$D$2015,"&gt;="&amp;M17,$D$18:$D$2015,"&lt;"&amp;M18))</f>
        <v/>
      </c>
      <c r="O17" s="14" t="n"/>
      <c r="P17" s="16" t="n">
        <v>12</v>
      </c>
      <c r="Q17" s="124">
        <f>IF(P17="","",COUNTIFS($C$18:$C$2015,P$13,$D$18:$D$2015,"&gt;="&amp;P17,$D$18:$D$2015,"&lt;"&amp;P18))</f>
        <v/>
      </c>
      <c r="R17" s="14" t="n"/>
      <c r="S17" s="16" t="n">
        <v>14</v>
      </c>
      <c r="T17" s="124">
        <f>IF(S17="","",COUNTIFS($C$18:$C$2015,S$13,$D$18:$D$2015,"&gt;="&amp;S17,$D$18:$D$2015,"&lt;"&amp;S18))</f>
        <v/>
      </c>
      <c r="U17" s="14" t="n"/>
      <c r="V17" s="16" t="n">
        <v>14</v>
      </c>
      <c r="W17" s="124">
        <f>IF(V17="","",COUNTIFS($C$18:$C$2015,V$13,$D$18:$D$2015,"&gt;="&amp;V17,$D$18:$D$2015,"&lt;"&amp;V18))</f>
        <v/>
      </c>
      <c r="X17" s="14" t="n"/>
      <c r="Y17" s="16" t="n">
        <v>14</v>
      </c>
      <c r="Z17" s="124">
        <f>IF(Y17="","",COUNTIFS($C$18:$C$2015,Y$13,$D$18:$D$2015,"&gt;="&amp;Y17,$D$18:$D$2015,"&lt;"&amp;Y18))</f>
        <v/>
      </c>
      <c r="AA17" s="14" t="n"/>
      <c r="AB17" s="16" t="n">
        <v>12</v>
      </c>
      <c r="AC17" s="124">
        <f>IF(AB17="","",COUNTIFS($C$18:$C$2015,AB$13,$D$18:$D$2015,"&gt;="&amp;AB17,$D$18:$D$2015,"&lt;"&amp;AB18))</f>
        <v/>
      </c>
      <c r="AD17" s="14" t="n"/>
    </row>
    <row r="18">
      <c r="A18" s="56" t="n"/>
      <c r="B18" s="57" t="n"/>
      <c r="C18" s="59" t="n"/>
      <c r="E18" s="16" t="n"/>
      <c r="F18" s="13" t="n"/>
      <c r="G18" s="16" t="n">
        <v>13</v>
      </c>
      <c r="H18" s="124">
        <f>IF(G18="","",COUNTIFS($C$18:$C$2015,G$13,$D$18:$D$2015,"&gt;="&amp;G18,$D$18:$D$2015,"&lt;"&amp;G19))</f>
        <v/>
      </c>
      <c r="I18" s="14" t="n"/>
      <c r="J18" s="16" t="n">
        <v>25</v>
      </c>
      <c r="K18" s="124">
        <f>IF(J18="","",COUNTIFS($C$18:$C$2015,J$13,$D$18:$D$2015,"&gt;="&amp;J18,$D$18:$D$2015,"&lt;"&amp;J19))</f>
        <v/>
      </c>
      <c r="L18" s="14" t="n"/>
      <c r="M18" s="16" t="n">
        <v>16</v>
      </c>
      <c r="N18" s="124">
        <f>IF(M18="","",COUNTIFS($C$18:$C$2015,M$13,$D$18:$D$2015,"&gt;="&amp;M18,$D$18:$D$2015,"&lt;"&amp;M19))</f>
        <v/>
      </c>
      <c r="O18" s="14" t="n"/>
      <c r="P18" s="16" t="n">
        <v>13</v>
      </c>
      <c r="Q18" s="124">
        <f>IF(P18="","",COUNTIFS($C$18:$C$2015,P$13,$D$18:$D$2015,"&gt;="&amp;P18,$D$18:$D$2015,"&lt;"&amp;P19))</f>
        <v/>
      </c>
      <c r="R18" s="14" t="n"/>
      <c r="S18" s="16" t="n">
        <v>16</v>
      </c>
      <c r="T18" s="124">
        <f>IF(S18="","",COUNTIFS($C$18:$C$2015,S$13,$D$18:$D$2015,"&gt;="&amp;S18,$D$18:$D$2015,"&lt;"&amp;S19))</f>
        <v/>
      </c>
      <c r="U18" s="14" t="n"/>
      <c r="V18" s="16" t="n">
        <v>16</v>
      </c>
      <c r="W18" s="124">
        <f>IF(V18="","",COUNTIFS($C$18:$C$2015,V$13,$D$18:$D$2015,"&gt;="&amp;V18,$D$18:$D$2015,"&lt;"&amp;V19))</f>
        <v/>
      </c>
      <c r="X18" s="14" t="n"/>
      <c r="Y18" s="16" t="n">
        <v>16</v>
      </c>
      <c r="Z18" s="124">
        <f>IF(Y18="","",COUNTIFS($C$18:$C$2015,Y$13,$D$18:$D$2015,"&gt;="&amp;Y18,$D$18:$D$2015,"&lt;"&amp;Y19))</f>
        <v/>
      </c>
      <c r="AA18" s="14" t="n"/>
      <c r="AB18" s="16" t="n">
        <v>13</v>
      </c>
      <c r="AC18" s="124">
        <f>IF(AB18="","",COUNTIFS($C$18:$C$2015,AB$13,$D$18:$D$2015,"&gt;="&amp;AB18,$D$18:$D$2015,"&lt;"&amp;AB19))</f>
        <v/>
      </c>
      <c r="AD18" s="14" t="n"/>
    </row>
    <row r="19">
      <c r="A19" s="58" t="n"/>
      <c r="B19" s="59" t="n"/>
      <c r="C19" s="59" t="n"/>
      <c r="E19" s="16" t="n"/>
      <c r="F19" s="13" t="n"/>
      <c r="G19" s="16" t="n">
        <v>14</v>
      </c>
      <c r="H19" s="124">
        <f>IF(G19="","",COUNTIFS($C$18:$C$2015,G$13,$D$18:$D$2015,"&gt;="&amp;G19,$D$18:$D$2015,"&lt;"&amp;G20))</f>
        <v/>
      </c>
      <c r="I19" s="14" t="n"/>
      <c r="J19" s="16" t="n">
        <v>30</v>
      </c>
      <c r="K19" s="124">
        <f>IF(J19="","",COUNTIFS($C$18:$C$2015,J$13,$D$18:$D$2015,"&gt;="&amp;J19,$D$18:$D$2015,"&lt;"&amp;J20))</f>
        <v/>
      </c>
      <c r="L19" s="14" t="n"/>
      <c r="M19" s="16" t="n">
        <v>18</v>
      </c>
      <c r="N19" s="124">
        <f>IF(M19="","",COUNTIFS($C$18:$C$2015,M$13,$D$18:$D$2015,"&gt;="&amp;M19,$D$18:$D$2015,"&lt;"&amp;M20))</f>
        <v/>
      </c>
      <c r="O19" s="14" t="n"/>
      <c r="P19" s="16" t="n">
        <v>14</v>
      </c>
      <c r="Q19" s="124">
        <f>IF(P19="","",COUNTIFS($C$18:$C$2015,P$13,$D$18:$D$2015,"&gt;="&amp;P19,$D$18:$D$2015,"&lt;"&amp;P20))</f>
        <v/>
      </c>
      <c r="R19" s="14" t="n"/>
      <c r="S19" s="16" t="n">
        <v>18</v>
      </c>
      <c r="T19" s="124">
        <f>IF(S19="","",COUNTIFS($C$18:$C$2015,S$13,$D$18:$D$2015,"&gt;="&amp;S19,$D$18:$D$2015,"&lt;"&amp;S20))</f>
        <v/>
      </c>
      <c r="U19" s="14" t="n"/>
      <c r="V19" s="16" t="n">
        <v>18</v>
      </c>
      <c r="W19" s="124">
        <f>IF(V19="","",COUNTIFS($C$18:$C$2015,V$13,$D$18:$D$2015,"&gt;="&amp;V19,$D$18:$D$2015,"&lt;"&amp;V20))</f>
        <v/>
      </c>
      <c r="X19" s="14" t="n"/>
      <c r="Y19" s="16" t="n">
        <v>18</v>
      </c>
      <c r="Z19" s="124">
        <f>IF(Y19="","",COUNTIFS($C$18:$C$2015,Y$13,$D$18:$D$2015,"&gt;="&amp;Y19,$D$18:$D$2015,"&lt;"&amp;Y20))</f>
        <v/>
      </c>
      <c r="AA19" s="14" t="n"/>
      <c r="AB19" s="16" t="n">
        <v>14</v>
      </c>
      <c r="AC19" s="124">
        <f>IF(AB19="","",COUNTIFS($C$18:$C$2015,AB$13,$D$18:$D$2015,"&gt;="&amp;AB19,$D$18:$D$2015,"&lt;"&amp;AB20))</f>
        <v/>
      </c>
      <c r="AD19" s="14" t="n"/>
    </row>
    <row r="20">
      <c r="A20" s="56" t="n"/>
      <c r="B20" s="57" t="n"/>
      <c r="C20" s="59" t="n"/>
      <c r="E20" s="16" t="n"/>
      <c r="F20" s="13" t="n"/>
      <c r="G20" s="16" t="n">
        <v>15</v>
      </c>
      <c r="H20" s="124">
        <f>IF(G20="","",COUNTIFS($C$18:$C$2015,G$13,$D$18:$D$2015,"&gt;="&amp;G20,$D$18:$D$2015,"&lt;"&amp;G21))</f>
        <v/>
      </c>
      <c r="I20" s="14" t="n"/>
      <c r="J20" s="16" t="n">
        <v>35</v>
      </c>
      <c r="K20" s="124">
        <f>IF(J20="","",COUNTIFS($C$18:$C$2015,J$13,$D$18:$D$2015,"&gt;="&amp;J20,$D$18:$D$2015,"&lt;"&amp;J21))</f>
        <v/>
      </c>
      <c r="L20" s="14" t="n"/>
      <c r="M20" s="16" t="n">
        <v>20</v>
      </c>
      <c r="N20" s="124">
        <f>IF(M20="","",COUNTIFS($C$18:$C$2015,M$13,$D$18:$D$2015,"&gt;="&amp;M20,$D$18:$D$2015,"&lt;"&amp;M21))</f>
        <v/>
      </c>
      <c r="O20" s="14" t="n"/>
      <c r="P20" s="16" t="n">
        <v>15</v>
      </c>
      <c r="Q20" s="124">
        <f>IF(P20="","",COUNTIFS($C$18:$C$2015,P$13,$D$18:$D$2015,"&gt;="&amp;P20,$D$18:$D$2015,"&lt;"&amp;P21))</f>
        <v/>
      </c>
      <c r="R20" s="14" t="n"/>
      <c r="S20" s="16" t="n">
        <v>20</v>
      </c>
      <c r="T20" s="124">
        <f>IF(S20="","",COUNTIFS($C$18:$C$2015,S$13,$D$18:$D$2015,"&gt;="&amp;S20,$D$18:$D$2015,"&lt;"&amp;S21))</f>
        <v/>
      </c>
      <c r="U20" s="14" t="n"/>
      <c r="V20" s="16" t="n">
        <v>20</v>
      </c>
      <c r="W20" s="124">
        <f>IF(V20="","",COUNTIFS($C$18:$C$2015,V$13,$D$18:$D$2015,"&gt;="&amp;V20,$D$18:$D$2015,"&lt;"&amp;V21))</f>
        <v/>
      </c>
      <c r="X20" s="14" t="n"/>
      <c r="Y20" s="16" t="n">
        <v>20</v>
      </c>
      <c r="Z20" s="124">
        <f>IF(Y20="","",COUNTIFS($C$18:$C$2015,Y$13,$D$18:$D$2015,"&gt;="&amp;Y20,$D$18:$D$2015,"&lt;"&amp;Y21))</f>
        <v/>
      </c>
      <c r="AA20" s="14" t="n"/>
      <c r="AB20" s="16" t="n">
        <v>15</v>
      </c>
      <c r="AC20" s="124">
        <f>IF(AB20="","",COUNTIFS($C$18:$C$2015,AB$13,$D$18:$D$2015,"&gt;="&amp;AB20,$D$18:$D$2015,"&lt;"&amp;AB21))</f>
        <v/>
      </c>
      <c r="AD20" s="14" t="n"/>
    </row>
    <row r="21">
      <c r="A21" s="58" t="n"/>
      <c r="B21" s="59" t="n"/>
      <c r="C21" s="59" t="n"/>
      <c r="E21" s="16" t="n"/>
      <c r="F21" s="13" t="n"/>
      <c r="G21" s="16" t="n">
        <v>16</v>
      </c>
      <c r="H21" s="124">
        <f>IF(G21="","",COUNTIFS($C$18:$C$2015,G$13,$D$18:$D$2015,"&gt;="&amp;G21,$D$18:$D$2015,"&lt;"&amp;G22))</f>
        <v/>
      </c>
      <c r="I21" s="14" t="n"/>
      <c r="J21" s="16" t="n">
        <v>40</v>
      </c>
      <c r="K21" s="124">
        <f>IF(J21="","",COUNTIFS($C$18:$C$2015,J$13,$D$18:$D$2015,"&gt;="&amp;J21,$D$18:$D$2015,"&lt;"&amp;J22))</f>
        <v/>
      </c>
      <c r="L21" s="14" t="n"/>
      <c r="M21" s="16" t="n">
        <v>22</v>
      </c>
      <c r="N21" s="124">
        <f>IF(M21="","",COUNTIFS($C$18:$C$2015,M$13,$D$18:$D$2015,"&gt;="&amp;M21,$D$18:$D$2015,"&lt;"&amp;M22))</f>
        <v/>
      </c>
      <c r="O21" s="14" t="n"/>
      <c r="P21" s="16" t="n">
        <v>16</v>
      </c>
      <c r="Q21" s="124">
        <f>IF(P21="","",COUNTIFS($C$18:$C$2015,P$13,$D$18:$D$2015,"&gt;="&amp;P21,$D$18:$D$2015,"&lt;"&amp;P22))</f>
        <v/>
      </c>
      <c r="R21" s="14" t="n"/>
      <c r="S21" s="16" t="n">
        <v>22</v>
      </c>
      <c r="T21" s="124">
        <f>IF(S21="","",COUNTIFS($C$18:$C$2015,S$13,$D$18:$D$2015,"&gt;="&amp;S21,$D$18:$D$2015,"&lt;"&amp;S22))</f>
        <v/>
      </c>
      <c r="U21" s="14" t="n"/>
      <c r="V21" s="16" t="n">
        <v>22</v>
      </c>
      <c r="W21" s="124">
        <f>IF(V21="","",COUNTIFS($C$18:$C$2015,V$13,$D$18:$D$2015,"&gt;="&amp;V21,$D$18:$D$2015,"&lt;"&amp;V22))</f>
        <v/>
      </c>
      <c r="X21" s="14" t="n"/>
      <c r="Y21" s="16" t="n">
        <v>22</v>
      </c>
      <c r="Z21" s="124">
        <f>IF(Y21="","",COUNTIFS($C$18:$C$2015,Y$13,$D$18:$D$2015,"&gt;="&amp;Y21,$D$18:$D$2015,"&lt;"&amp;Y22))</f>
        <v/>
      </c>
      <c r="AA21" s="14" t="n"/>
      <c r="AB21" s="16" t="n">
        <v>16</v>
      </c>
      <c r="AC21" s="124">
        <f>IF(AB21="","",COUNTIFS($C$18:$C$2015,AB$13,$D$18:$D$2015,"&gt;="&amp;AB21,$D$18:$D$2015,"&lt;"&amp;AB22))</f>
        <v/>
      </c>
      <c r="AD21" s="14" t="n"/>
    </row>
    <row r="22">
      <c r="A22" s="56" t="n"/>
      <c r="B22" s="57" t="n"/>
      <c r="C22" s="59" t="n"/>
      <c r="E22" s="16" t="n"/>
      <c r="F22" s="13" t="n"/>
      <c r="G22" s="16" t="n">
        <v>17</v>
      </c>
      <c r="H22" s="124">
        <f>IF(G22="","",COUNTIFS($C$18:$C$2015,G$13,$D$18:$D$2015,"&gt;="&amp;G22,$D$18:$D$2015,"&lt;"&amp;G23))</f>
        <v/>
      </c>
      <c r="I22" s="14" t="n"/>
      <c r="J22" s="16" t="n">
        <v>45</v>
      </c>
      <c r="K22" s="124">
        <f>IF(J22="","",COUNTIFS($C$18:$C$2015,J$13,$D$18:$D$2015,"&gt;="&amp;J22,$D$18:$D$2015,"&lt;"&amp;J23))</f>
        <v/>
      </c>
      <c r="L22" s="14" t="n"/>
      <c r="M22" s="16" t="n">
        <v>24</v>
      </c>
      <c r="N22" s="124">
        <f>IF(M22="","",COUNTIFS($C$18:$C$2015,M$13,$D$18:$D$2015,"&gt;="&amp;M22,$D$18:$D$2015,"&lt;"&amp;M23))</f>
        <v/>
      </c>
      <c r="O22" s="14" t="n"/>
      <c r="P22" s="16" t="n">
        <v>17</v>
      </c>
      <c r="Q22" s="124">
        <f>IF(P22="","",COUNTIFS($C$18:$C$2015,P$13,$D$18:$D$2015,"&gt;="&amp;P22,$D$18:$D$2015,"&lt;"&amp;P23))</f>
        <v/>
      </c>
      <c r="R22" s="14" t="n"/>
      <c r="S22" s="16" t="n">
        <v>24</v>
      </c>
      <c r="T22" s="124">
        <f>IF(S22="","",COUNTIFS($C$18:$C$2015,S$13,$D$18:$D$2015,"&gt;="&amp;S22,$D$18:$D$2015,"&lt;"&amp;S23))</f>
        <v/>
      </c>
      <c r="U22" s="14" t="n"/>
      <c r="V22" s="16" t="n">
        <v>24</v>
      </c>
      <c r="W22" s="124">
        <f>IF(V22="","",COUNTIFS($C$18:$C$2015,V$13,$D$18:$D$2015,"&gt;="&amp;V22,$D$18:$D$2015,"&lt;"&amp;V23))</f>
        <v/>
      </c>
      <c r="X22" s="14" t="n"/>
      <c r="Y22" s="16" t="n">
        <v>24</v>
      </c>
      <c r="Z22" s="124">
        <f>IF(Y22="","",COUNTIFS($C$18:$C$2015,Y$13,$D$18:$D$2015,"&gt;="&amp;Y22,$D$18:$D$2015,"&lt;"&amp;Y23))</f>
        <v/>
      </c>
      <c r="AA22" s="14" t="n"/>
      <c r="AB22" s="16" t="n">
        <v>17</v>
      </c>
      <c r="AC22" s="124">
        <f>IF(AB22="","",COUNTIFS($C$18:$C$2015,AB$13,$D$18:$D$2015,"&gt;="&amp;AB22,$D$18:$D$2015,"&lt;"&amp;AB23))</f>
        <v/>
      </c>
      <c r="AD22" s="14" t="n"/>
    </row>
    <row r="23">
      <c r="A23" s="58" t="n"/>
      <c r="B23" s="59" t="n"/>
      <c r="C23" s="59" t="n"/>
      <c r="E23" s="16" t="n"/>
      <c r="F23" s="13" t="n"/>
      <c r="G23" s="16" t="n">
        <v>18</v>
      </c>
      <c r="H23" s="124">
        <f>IF(G23="","",COUNTIFS($C$18:$C$2015,G$13,$D$18:$D$2015,"&gt;="&amp;G23,$D$18:$D$2015,"&lt;"&amp;G24))</f>
        <v/>
      </c>
      <c r="I23" s="14" t="n"/>
      <c r="J23" s="16" t="n">
        <v>50</v>
      </c>
      <c r="K23" s="124">
        <f>IF(J23="","",COUNTIFS($C$18:$C$2015,J$13,$D$18:$D$2015,"&gt;="&amp;J23,$D$18:$D$2015,"&lt;"&amp;J24))</f>
        <v/>
      </c>
      <c r="L23" s="14" t="n"/>
      <c r="M23" s="16" t="n">
        <v>26</v>
      </c>
      <c r="N23" s="124">
        <f>IF(M23="","",COUNTIFS($C$18:$C$2015,M$13,$D$18:$D$2015,"&gt;="&amp;M23,$D$18:$D$2015,"&lt;"&amp;M24))</f>
        <v/>
      </c>
      <c r="O23" s="14" t="n"/>
      <c r="P23" s="16" t="n">
        <v>18</v>
      </c>
      <c r="Q23" s="124">
        <f>IF(P23="","",COUNTIFS($C$18:$C$2015,P$13,$D$18:$D$2015,"&gt;="&amp;P23,$D$18:$D$2015,"&lt;"&amp;P24))</f>
        <v/>
      </c>
      <c r="R23" s="14" t="n"/>
      <c r="S23" s="16" t="n">
        <v>26</v>
      </c>
      <c r="T23" s="124">
        <f>IF(S23="","",COUNTIFS($C$18:$C$2015,S$13,$D$18:$D$2015,"&gt;="&amp;S23,$D$18:$D$2015,"&lt;"&amp;S24))</f>
        <v/>
      </c>
      <c r="U23" s="14" t="n"/>
      <c r="V23" s="16" t="n">
        <v>26</v>
      </c>
      <c r="W23" s="124">
        <f>IF(V23="","",COUNTIFS($C$18:$C$2015,V$13,$D$18:$D$2015,"&gt;="&amp;V23,$D$18:$D$2015,"&lt;"&amp;V24))</f>
        <v/>
      </c>
      <c r="X23" s="14" t="n"/>
      <c r="Y23" s="16" t="n">
        <v>26</v>
      </c>
      <c r="Z23" s="124">
        <f>IF(Y23="","",COUNTIFS($C$18:$C$2015,Y$13,$D$18:$D$2015,"&gt;="&amp;Y23,$D$18:$D$2015,"&lt;"&amp;Y24))</f>
        <v/>
      </c>
      <c r="AA23" s="14" t="n"/>
      <c r="AB23" s="16" t="n">
        <v>18</v>
      </c>
      <c r="AC23" s="124">
        <f>IF(AB23="","",COUNTIFS($C$18:$C$2015,AB$13,$D$18:$D$2015,"&gt;="&amp;AB23,$D$18:$D$2015,"&lt;"&amp;AB24))</f>
        <v/>
      </c>
      <c r="AD23" s="14" t="n"/>
    </row>
    <row r="24">
      <c r="A24" s="56" t="n"/>
      <c r="B24" s="57" t="n"/>
      <c r="C24" s="59" t="n"/>
      <c r="E24" s="16" t="n"/>
      <c r="F24" s="13" t="n"/>
      <c r="G24" s="16" t="n">
        <v>19</v>
      </c>
      <c r="H24" s="124">
        <f>IF(G24="","",COUNTIFS($C$18:$C$2015,G$13,$D$18:$D$2015,"&gt;="&amp;G24,$D$18:$D$2015,"&lt;"&amp;G25))</f>
        <v/>
      </c>
      <c r="I24" s="14" t="n"/>
      <c r="J24" s="16" t="n">
        <v>55</v>
      </c>
      <c r="K24" s="124">
        <f>IF(J24="","",COUNTIFS($C$18:$C$2015,J$13,$D$18:$D$2015,"&gt;="&amp;J24,$D$18:$D$2015,"&lt;"&amp;J25))</f>
        <v/>
      </c>
      <c r="L24" s="14" t="n"/>
      <c r="M24" s="16" t="n">
        <v>28</v>
      </c>
      <c r="N24" s="124">
        <f>IF(M24="","",COUNTIFS($C$18:$C$2015,M$13,$D$18:$D$2015,"&gt;="&amp;M24,$D$18:$D$2015,"&lt;"&amp;M25))</f>
        <v/>
      </c>
      <c r="O24" s="14" t="n"/>
      <c r="P24" s="16" t="n">
        <v>19</v>
      </c>
      <c r="Q24" s="124">
        <f>IF(P24="","",COUNTIFS($C$18:$C$2015,P$13,$D$18:$D$2015,"&gt;="&amp;P24,$D$18:$D$2015,"&lt;"&amp;P25))</f>
        <v/>
      </c>
      <c r="R24" s="14" t="n"/>
      <c r="S24" s="16" t="n">
        <v>28</v>
      </c>
      <c r="T24" s="124">
        <f>IF(S24="","",COUNTIFS($C$18:$C$2015,S$13,$D$18:$D$2015,"&gt;="&amp;S24,$D$18:$D$2015,"&lt;"&amp;S25))</f>
        <v/>
      </c>
      <c r="U24" s="14" t="n"/>
      <c r="V24" s="16" t="n">
        <v>28</v>
      </c>
      <c r="W24" s="124">
        <f>IF(V24="","",COUNTIFS($C$18:$C$2015,V$13,$D$18:$D$2015,"&gt;="&amp;V24,$D$18:$D$2015,"&lt;"&amp;V25))</f>
        <v/>
      </c>
      <c r="X24" s="14" t="n"/>
      <c r="Y24" s="16" t="n">
        <v>28</v>
      </c>
      <c r="Z24" s="124">
        <f>IF(Y24="","",COUNTIFS($C$18:$C$2015,Y$13,$D$18:$D$2015,"&gt;="&amp;Y24,$D$18:$D$2015,"&lt;"&amp;Y25))</f>
        <v/>
      </c>
      <c r="AA24" s="14" t="n"/>
      <c r="AB24" s="16" t="n">
        <v>19</v>
      </c>
      <c r="AC24" s="124">
        <f>IF(AB24="","",COUNTIFS($C$18:$C$2015,AB$13,$D$18:$D$2015,"&gt;="&amp;AB24,$D$18:$D$2015,"&lt;"&amp;AB25))</f>
        <v/>
      </c>
      <c r="AD24" s="14" t="n"/>
    </row>
    <row r="25">
      <c r="A25" s="58" t="n"/>
      <c r="B25" s="59" t="n"/>
      <c r="C25" s="59" t="n"/>
      <c r="E25" s="16" t="n"/>
      <c r="F25" s="13" t="n"/>
      <c r="G25" s="16" t="n">
        <v>20</v>
      </c>
      <c r="H25" s="124">
        <f>IF(G25="","",COUNTIFS($C$18:$C$2015,G$13,$D$18:$D$2015,"&gt;="&amp;G25,$D$18:$D$2015,"&lt;"&amp;G26))</f>
        <v/>
      </c>
      <c r="I25" s="14" t="n"/>
      <c r="J25" s="16" t="n">
        <v>60</v>
      </c>
      <c r="K25" s="124">
        <f>IF(J25="","",COUNTIFS($C$18:$C$2015,J$13,$D$18:$D$2015,"&gt;="&amp;J25,$D$18:$D$2015,"&lt;"&amp;J26))</f>
        <v/>
      </c>
      <c r="L25" s="14" t="n"/>
      <c r="M25" s="16" t="n">
        <v>30</v>
      </c>
      <c r="N25" s="124">
        <f>IF(M25="","",COUNTIFS($C$18:$C$2015,M$13,$D$18:$D$2015,"&gt;="&amp;M25,$D$18:$D$2015,"&lt;"&amp;M26))</f>
        <v/>
      </c>
      <c r="O25" s="14" t="n"/>
      <c r="P25" s="16" t="n">
        <v>20</v>
      </c>
      <c r="Q25" s="124">
        <f>IF(P25="","",COUNTIFS($C$18:$C$2015,P$13,$D$18:$D$2015,"&gt;="&amp;P25,$D$18:$D$2015,"&lt;"&amp;P26))</f>
        <v/>
      </c>
      <c r="R25" s="14" t="n"/>
      <c r="S25" s="16" t="n">
        <v>30</v>
      </c>
      <c r="T25" s="124">
        <f>IF(S25="","",COUNTIFS($C$18:$C$2015,S$13,$D$18:$D$2015,"&gt;="&amp;S25,$D$18:$D$2015,"&lt;"&amp;S26))</f>
        <v/>
      </c>
      <c r="U25" s="14" t="n"/>
      <c r="V25" s="16" t="n">
        <v>30</v>
      </c>
      <c r="W25" s="124">
        <f>IF(V25="","",COUNTIFS($C$18:$C$2015,V$13,$D$18:$D$2015,"&gt;="&amp;V25,$D$18:$D$2015,"&lt;"&amp;V26))</f>
        <v/>
      </c>
      <c r="X25" s="14" t="n"/>
      <c r="Y25" s="16" t="n">
        <v>30</v>
      </c>
      <c r="Z25" s="124">
        <f>IF(Y25="","",COUNTIFS($C$18:$C$2015,Y$13,$D$18:$D$2015,"&gt;="&amp;Y25,$D$18:$D$2015,"&lt;"&amp;Y26))</f>
        <v/>
      </c>
      <c r="AA25" s="14" t="n"/>
      <c r="AB25" s="16" t="n">
        <v>20</v>
      </c>
      <c r="AC25" s="124">
        <f>IF(AB25="","",COUNTIFS($C$18:$C$2015,AB$13,$D$18:$D$2015,"&gt;="&amp;AB25,$D$18:$D$2015,"&lt;"&amp;AB26))</f>
        <v/>
      </c>
      <c r="AD25" s="14" t="n"/>
    </row>
    <row r="26">
      <c r="A26" s="56" t="n"/>
      <c r="B26" s="57" t="n"/>
      <c r="C26" s="59" t="n"/>
      <c r="E26" s="16" t="n"/>
      <c r="F26" s="13" t="n"/>
      <c r="G26" s="16" t="n">
        <v>21</v>
      </c>
      <c r="H26" s="124">
        <f>IF(G26="","",COUNTIFS($C$18:$C$2015,G$13,$D$18:$D$2015,"&gt;="&amp;G26,$D$18:$D$2015,"&lt;"&amp;G27))</f>
        <v/>
      </c>
      <c r="I26" s="14" t="n"/>
      <c r="J26" s="16" t="n">
        <v>65</v>
      </c>
      <c r="K26" s="124">
        <f>IF(J26="","",COUNTIFS($C$18:$C$2015,J$13,$D$18:$D$2015,"&gt;="&amp;J26,$D$18:$D$2015,"&lt;"&amp;J27))</f>
        <v/>
      </c>
      <c r="L26" s="14" t="n"/>
      <c r="M26" s="16" t="n">
        <v>32</v>
      </c>
      <c r="N26" s="124">
        <f>IF(M26="","",COUNTIFS($C$18:$C$2015,M$13,$D$18:$D$2015,"&gt;="&amp;M26,$D$18:$D$2015,"&lt;"&amp;M27))</f>
        <v/>
      </c>
      <c r="O26" s="14" t="n"/>
      <c r="P26" s="16" t="n">
        <v>21</v>
      </c>
      <c r="Q26" s="124">
        <f>IF(P26="","",COUNTIFS($C$18:$C$2015,P$13,$D$18:$D$2015,"&gt;="&amp;P26,$D$18:$D$2015,"&lt;"&amp;P27))</f>
        <v/>
      </c>
      <c r="R26" s="14" t="n"/>
      <c r="S26" s="16" t="n">
        <v>32</v>
      </c>
      <c r="T26" s="124">
        <f>IF(S26="","",COUNTIFS($C$18:$C$2015,S$13,$D$18:$D$2015,"&gt;="&amp;S26,$D$18:$D$2015,"&lt;"&amp;S27))</f>
        <v/>
      </c>
      <c r="U26" s="14" t="n"/>
      <c r="V26" s="16" t="n">
        <v>32</v>
      </c>
      <c r="W26" s="124">
        <f>IF(V26="","",COUNTIFS($C$18:$C$2015,V$13,$D$18:$D$2015,"&gt;="&amp;V26,$D$18:$D$2015,"&lt;"&amp;V27))</f>
        <v/>
      </c>
      <c r="X26" s="14" t="n"/>
      <c r="Y26" s="16" t="n">
        <v>32</v>
      </c>
      <c r="Z26" s="124">
        <f>IF(Y26="","",COUNTIFS($C$18:$C$2015,Y$13,$D$18:$D$2015,"&gt;="&amp;Y26,$D$18:$D$2015,"&lt;"&amp;Y27))</f>
        <v/>
      </c>
      <c r="AA26" s="14" t="n"/>
      <c r="AB26" s="16" t="n">
        <v>21</v>
      </c>
      <c r="AC26" s="124">
        <f>IF(AB26="","",COUNTIFS($C$18:$C$2015,AB$13,$D$18:$D$2015,"&gt;="&amp;AB26,$D$18:$D$2015,"&lt;"&amp;AB27))</f>
        <v/>
      </c>
      <c r="AD26" s="14" t="n"/>
    </row>
    <row r="27">
      <c r="A27" s="58" t="n"/>
      <c r="B27" s="59" t="n"/>
      <c r="C27" s="59" t="n"/>
      <c r="E27" s="16" t="n"/>
      <c r="F27" s="13" t="n"/>
      <c r="G27" s="16" t="n">
        <v>22</v>
      </c>
      <c r="H27" s="124">
        <f>IF(G27="","",COUNTIFS($C$18:$C$2015,G$13,$D$18:$D$2015,"&gt;="&amp;G27,$D$18:$D$2015,"&lt;"&amp;G28))</f>
        <v/>
      </c>
      <c r="I27" s="14" t="n"/>
      <c r="J27" s="16" t="n">
        <v>70</v>
      </c>
      <c r="K27" s="124">
        <f>IF(J27="","",COUNTIFS($C$18:$C$2015,J$13,$D$18:$D$2015,"&gt;="&amp;J27,$D$18:$D$2015,"&lt;"&amp;J28))</f>
        <v/>
      </c>
      <c r="L27" s="14" t="n"/>
      <c r="M27" s="16" t="n">
        <v>34</v>
      </c>
      <c r="N27" s="124">
        <f>IF(M27="","",COUNTIFS($C$18:$C$2015,M$13,$D$18:$D$2015,"&gt;="&amp;M27,$D$18:$D$2015,"&lt;"&amp;M28))</f>
        <v/>
      </c>
      <c r="O27" s="14" t="n"/>
      <c r="P27" s="16" t="n">
        <v>22</v>
      </c>
      <c r="Q27" s="124">
        <f>IF(P27="","",COUNTIFS($C$18:$C$2015,P$13,$D$18:$D$2015,"&gt;="&amp;P27,$D$18:$D$2015,"&lt;"&amp;P28))</f>
        <v/>
      </c>
      <c r="R27" s="14" t="n"/>
      <c r="S27" s="16" t="n">
        <v>34</v>
      </c>
      <c r="T27" s="124">
        <f>IF(S27="","",COUNTIFS($C$18:$C$2015,S$13,$D$18:$D$2015,"&gt;="&amp;S27,$D$18:$D$2015,"&lt;"&amp;S28))</f>
        <v/>
      </c>
      <c r="U27" s="14" t="n"/>
      <c r="V27" s="16" t="n">
        <v>34</v>
      </c>
      <c r="W27" s="124">
        <f>IF(V27="","",COUNTIFS($C$18:$C$2015,V$13,$D$18:$D$2015,"&gt;="&amp;V27,$D$18:$D$2015,"&lt;"&amp;V28))</f>
        <v/>
      </c>
      <c r="X27" s="14" t="n"/>
      <c r="Y27" s="16" t="n">
        <v>34</v>
      </c>
      <c r="Z27" s="124">
        <f>IF(Y27="","",COUNTIFS($C$18:$C$2015,Y$13,$D$18:$D$2015,"&gt;="&amp;Y27,$D$18:$D$2015,"&lt;"&amp;Y28))</f>
        <v/>
      </c>
      <c r="AA27" s="14" t="n"/>
      <c r="AB27" s="16" t="n">
        <v>22</v>
      </c>
      <c r="AC27" s="124">
        <f>IF(AB27="","",COUNTIFS($C$18:$C$2015,AB$13,$D$18:$D$2015,"&gt;="&amp;AB27,$D$18:$D$2015,"&lt;"&amp;AB28))</f>
        <v/>
      </c>
      <c r="AD27" s="14" t="n"/>
    </row>
    <row r="28">
      <c r="A28" s="56" t="n"/>
      <c r="B28" s="57" t="n"/>
      <c r="C28" s="59" t="n"/>
      <c r="E28" s="16" t="n"/>
      <c r="F28" s="13" t="n"/>
      <c r="G28" s="16" t="n">
        <v>23</v>
      </c>
      <c r="H28" s="124">
        <f>IF(G28="","",COUNTIFS($C$18:$C$2015,G$13,$D$18:$D$2015,"&gt;="&amp;G28,$D$18:$D$2015,"&lt;"&amp;G29))</f>
        <v/>
      </c>
      <c r="I28" s="14" t="n"/>
      <c r="J28" s="16" t="n">
        <v>75</v>
      </c>
      <c r="K28" s="124">
        <f>IF(J28="","",COUNTIFS($C$18:$C$2015,J$13,$D$18:$D$2015,"&gt;="&amp;J28,$D$18:$D$2015,"&lt;"&amp;J29))</f>
        <v/>
      </c>
      <c r="L28" s="14" t="n"/>
      <c r="M28" s="16" t="n">
        <v>36</v>
      </c>
      <c r="N28" s="124">
        <f>IF(M28="","",COUNTIFS($C$18:$C$2015,M$13,$D$18:$D$2015,"&gt;="&amp;M28,$D$18:$D$2015,"&lt;"&amp;M29))</f>
        <v/>
      </c>
      <c r="O28" s="14" t="n"/>
      <c r="P28" s="16" t="n">
        <v>23</v>
      </c>
      <c r="Q28" s="124">
        <f>IF(P28="","",COUNTIFS($C$18:$C$2015,P$13,$D$18:$D$2015,"&gt;="&amp;P28,$D$18:$D$2015,"&lt;"&amp;P29))</f>
        <v/>
      </c>
      <c r="R28" s="14" t="n"/>
      <c r="S28" s="16" t="n">
        <v>36</v>
      </c>
      <c r="T28" s="124">
        <f>IF(S28="","",COUNTIFS($C$18:$C$2015,S$13,$D$18:$D$2015,"&gt;="&amp;S28,$D$18:$D$2015,"&lt;"&amp;S29))</f>
        <v/>
      </c>
      <c r="U28" s="14" t="n"/>
      <c r="V28" s="16" t="n">
        <v>36</v>
      </c>
      <c r="W28" s="124">
        <f>IF(V28="","",COUNTIFS($C$18:$C$2015,V$13,$D$18:$D$2015,"&gt;="&amp;V28,$D$18:$D$2015,"&lt;"&amp;V29))</f>
        <v/>
      </c>
      <c r="X28" s="14" t="n"/>
      <c r="Y28" s="16" t="n">
        <v>36</v>
      </c>
      <c r="Z28" s="124">
        <f>IF(Y28="","",COUNTIFS($C$18:$C$2015,Y$13,$D$18:$D$2015,"&gt;="&amp;Y28,$D$18:$D$2015,"&lt;"&amp;Y29))</f>
        <v/>
      </c>
      <c r="AA28" s="14" t="n"/>
      <c r="AB28" s="16" t="n">
        <v>23</v>
      </c>
      <c r="AC28" s="124">
        <f>IF(AB28="","",COUNTIFS($C$18:$C$2015,AB$13,$D$18:$D$2015,"&gt;="&amp;AB28,$D$18:$D$2015,"&lt;"&amp;AB29))</f>
        <v/>
      </c>
      <c r="AD28" s="14" t="n"/>
    </row>
    <row r="29">
      <c r="A29" s="58" t="n"/>
      <c r="B29" s="59" t="n"/>
      <c r="C29" s="59" t="n"/>
      <c r="E29" s="16" t="n"/>
      <c r="F29" s="13" t="n"/>
      <c r="G29" s="16" t="n">
        <v>24</v>
      </c>
      <c r="H29" s="124">
        <f>IF(G29="","",COUNTIFS($C$18:$C$2015,G$13,$D$18:$D$2015,"&gt;="&amp;G29,$D$18:$D$2015,"&lt;"&amp;G30))</f>
        <v/>
      </c>
      <c r="I29" s="14" t="n"/>
      <c r="J29" s="16" t="n">
        <v>80</v>
      </c>
      <c r="K29" s="124">
        <f>IF(J29="","",COUNTIFS($C$18:$C$2015,J$13,$D$18:$D$2015,"&gt;="&amp;J29,$D$18:$D$2015,"&lt;"&amp;J30))</f>
        <v/>
      </c>
      <c r="L29" s="14" t="n"/>
      <c r="M29" s="16" t="n">
        <v>38</v>
      </c>
      <c r="N29" s="124">
        <f>IF(M29="","",COUNTIFS($C$18:$C$2015,M$13,$D$18:$D$2015,"&gt;="&amp;M29,$D$18:$D$2015,"&lt;"&amp;M30))</f>
        <v/>
      </c>
      <c r="O29" s="14" t="n"/>
      <c r="P29" s="16" t="n">
        <v>24</v>
      </c>
      <c r="Q29" s="124">
        <f>IF(P29="","",COUNTIFS($C$18:$C$2015,P$13,$D$18:$D$2015,"&gt;="&amp;P29,$D$18:$D$2015,"&lt;"&amp;P30))</f>
        <v/>
      </c>
      <c r="R29" s="14" t="n"/>
      <c r="S29" s="16" t="n">
        <v>38</v>
      </c>
      <c r="T29" s="124">
        <f>IF(S29="","",COUNTIFS($C$18:$C$2015,S$13,$D$18:$D$2015,"&gt;="&amp;S29,$D$18:$D$2015,"&lt;"&amp;S30))</f>
        <v/>
      </c>
      <c r="U29" s="14" t="n"/>
      <c r="V29" s="16" t="n">
        <v>38</v>
      </c>
      <c r="W29" s="124">
        <f>IF(V29="","",COUNTIFS($C$18:$C$2015,V$13,$D$18:$D$2015,"&gt;="&amp;V29,$D$18:$D$2015,"&lt;"&amp;V30))</f>
        <v/>
      </c>
      <c r="X29" s="14" t="n"/>
      <c r="Y29" s="16" t="n">
        <v>38</v>
      </c>
      <c r="Z29" s="124">
        <f>IF(Y29="","",COUNTIFS($C$18:$C$2015,Y$13,$D$18:$D$2015,"&gt;="&amp;Y29,$D$18:$D$2015,"&lt;"&amp;Y30))</f>
        <v/>
      </c>
      <c r="AA29" s="14" t="n"/>
      <c r="AB29" s="16" t="n">
        <v>24</v>
      </c>
      <c r="AC29" s="124">
        <f>IF(AB29="","",COUNTIFS($C$18:$C$2015,AB$13,$D$18:$D$2015,"&gt;="&amp;AB29,$D$18:$D$2015,"&lt;"&amp;AB30))</f>
        <v/>
      </c>
      <c r="AD29" s="14" t="n"/>
    </row>
    <row r="30">
      <c r="A30" s="56" t="n"/>
      <c r="B30" s="57" t="n"/>
      <c r="C30" s="59" t="n"/>
      <c r="E30" s="16" t="n"/>
      <c r="F30" s="13" t="n"/>
      <c r="G30" s="16" t="n">
        <v>25</v>
      </c>
      <c r="H30" s="124">
        <f>IF(G30="","",COUNTIFS($C$18:$C$2015,G$13,$D$18:$D$2015,"&gt;="&amp;G30,$D$18:$D$2015,"&lt;"&amp;G31))</f>
        <v/>
      </c>
      <c r="I30" s="14" t="n"/>
      <c r="J30" s="16" t="n">
        <v>85</v>
      </c>
      <c r="K30" s="124">
        <f>IF(J30="","",COUNTIFS($C$18:$C$2015,J$13,$D$18:$D$2015,"&gt;="&amp;J30,$D$18:$D$2015,"&lt;"&amp;J31))</f>
        <v/>
      </c>
      <c r="L30" s="14" t="n"/>
      <c r="M30" s="16" t="n">
        <v>40</v>
      </c>
      <c r="N30" s="124">
        <f>IF(M30="","",COUNTIFS($C$18:$C$2015,M$13,$D$18:$D$2015,"&gt;="&amp;M30,$D$18:$D$2015,"&lt;"&amp;M31))</f>
        <v/>
      </c>
      <c r="O30" s="14" t="n"/>
      <c r="P30" s="16" t="n">
        <v>25</v>
      </c>
      <c r="Q30" s="124">
        <f>IF(P30="","",COUNTIFS($C$18:$C$2015,P$13,$D$18:$D$2015,"&gt;="&amp;P30,$D$18:$D$2015,"&lt;"&amp;P31))</f>
        <v/>
      </c>
      <c r="R30" s="14" t="n"/>
      <c r="S30" s="16" t="n">
        <v>40</v>
      </c>
      <c r="T30" s="124">
        <f>IF(S30="","",COUNTIFS($C$18:$C$2015,S$13,$D$18:$D$2015,"&gt;="&amp;S30,$D$18:$D$2015,"&lt;"&amp;S31))</f>
        <v/>
      </c>
      <c r="U30" s="14" t="n"/>
      <c r="V30" s="16" t="n">
        <v>40</v>
      </c>
      <c r="W30" s="124">
        <f>IF(V30="","",COUNTIFS($C$18:$C$2015,V$13,$D$18:$D$2015,"&gt;="&amp;V30,$D$18:$D$2015,"&lt;"&amp;V31))</f>
        <v/>
      </c>
      <c r="X30" s="14" t="n"/>
      <c r="Y30" s="16" t="n">
        <v>40</v>
      </c>
      <c r="Z30" s="124">
        <f>IF(Y30="","",COUNTIFS($C$18:$C$2015,Y$13,$D$18:$D$2015,"&gt;="&amp;Y30,$D$18:$D$2015,"&lt;"&amp;Y31))</f>
        <v/>
      </c>
      <c r="AA30" s="14" t="n"/>
      <c r="AB30" s="16" t="n">
        <v>25</v>
      </c>
      <c r="AC30" s="124">
        <f>IF(AB30="","",COUNTIFS($C$18:$C$2015,AB$13,$D$18:$D$2015,"&gt;="&amp;AB30,$D$18:$D$2015,"&lt;"&amp;AB31))</f>
        <v/>
      </c>
      <c r="AD30" s="14" t="n"/>
    </row>
    <row r="31">
      <c r="A31" s="58" t="n"/>
      <c r="B31" s="59" t="n"/>
      <c r="C31" s="59" t="n"/>
      <c r="E31" s="16" t="n"/>
      <c r="F31" s="13" t="n"/>
      <c r="G31" s="16" t="n">
        <v>26</v>
      </c>
      <c r="H31" s="124">
        <f>IF(G31="","",COUNTIFS($C$18:$C$2015,G$13,$D$18:$D$2015,"&gt;="&amp;G31,$D$18:$D$2015,"&lt;"&amp;G32))</f>
        <v/>
      </c>
      <c r="I31" s="14" t="n"/>
      <c r="J31" s="16" t="n">
        <v>90</v>
      </c>
      <c r="K31" s="124">
        <f>IF(J31="","",COUNTIFS($C$18:$C$2015,J$13,$D$18:$D$2015,"&gt;="&amp;J31,$D$18:$D$2015,"&lt;"&amp;J32))</f>
        <v/>
      </c>
      <c r="L31" s="14" t="n"/>
      <c r="M31" s="16" t="n">
        <v>42</v>
      </c>
      <c r="N31" s="124">
        <f>IF(M31="","",COUNTIFS($C$18:$C$2015,M$13,$D$18:$D$2015,"&gt;="&amp;M31,$D$18:$D$2015,"&lt;"&amp;M32))</f>
        <v/>
      </c>
      <c r="O31" s="14" t="n"/>
      <c r="P31" s="16" t="n">
        <v>26</v>
      </c>
      <c r="Q31" s="124">
        <f>IF(P31="","",COUNTIFS($C$18:$C$2015,P$13,$D$18:$D$2015,"&gt;="&amp;P31,$D$18:$D$2015,"&lt;"&amp;P32))</f>
        <v/>
      </c>
      <c r="R31" s="14" t="n"/>
      <c r="S31" s="16" t="n">
        <v>42</v>
      </c>
      <c r="T31" s="124">
        <f>IF(S31="","",COUNTIFS($C$18:$C$2015,S$13,$D$18:$D$2015,"&gt;="&amp;S31,$D$18:$D$2015,"&lt;"&amp;S32))</f>
        <v/>
      </c>
      <c r="U31" s="14" t="n"/>
      <c r="V31" s="16" t="n">
        <v>42</v>
      </c>
      <c r="W31" s="124">
        <f>IF(V31="","",COUNTIFS($C$18:$C$2015,V$13,$D$18:$D$2015,"&gt;="&amp;V31,$D$18:$D$2015,"&lt;"&amp;V32))</f>
        <v/>
      </c>
      <c r="X31" s="14" t="n"/>
      <c r="Y31" s="16" t="n">
        <v>42</v>
      </c>
      <c r="Z31" s="124">
        <f>IF(Y31="","",COUNTIFS($C$18:$C$2015,Y$13,$D$18:$D$2015,"&gt;="&amp;Y31,$D$18:$D$2015,"&lt;"&amp;Y32))</f>
        <v/>
      </c>
      <c r="AA31" s="14" t="n"/>
      <c r="AB31" s="16" t="n">
        <v>26</v>
      </c>
      <c r="AC31" s="124">
        <f>IF(AB31="","",COUNTIFS($C$18:$C$2015,AB$13,$D$18:$D$2015,"&gt;="&amp;AB31,$D$18:$D$2015,"&lt;"&amp;AB32))</f>
        <v/>
      </c>
      <c r="AD31" s="14" t="n"/>
    </row>
    <row r="32">
      <c r="A32" s="56" t="n"/>
      <c r="B32" s="57" t="n"/>
      <c r="C32" s="59" t="n"/>
      <c r="E32" s="16" t="n"/>
      <c r="F32" s="13" t="n"/>
      <c r="G32" s="16" t="n">
        <v>27</v>
      </c>
      <c r="H32" s="124">
        <f>IF(G32="","",COUNTIFS($C$18:$C$2015,G$13,$D$18:$D$2015,"&gt;="&amp;G32,$D$18:$D$2015,"&lt;"&amp;G33))</f>
        <v/>
      </c>
      <c r="I32" s="14" t="n"/>
      <c r="J32" s="16" t="n">
        <v>95</v>
      </c>
      <c r="K32" s="124">
        <f>IF(J32="","",COUNTIFS($C$18:$C$2015,J$13,$D$18:$D$2015,"&gt;="&amp;J32,$D$18:$D$2015,"&lt;"&amp;J33))</f>
        <v/>
      </c>
      <c r="L32" s="14" t="n"/>
      <c r="M32" s="16" t="n">
        <v>44</v>
      </c>
      <c r="N32" s="124">
        <f>IF(M32="","",COUNTIFS($C$18:$C$2015,M$13,$D$18:$D$2015,"&gt;="&amp;M32,$D$18:$D$2015,"&lt;"&amp;M33))</f>
        <v/>
      </c>
      <c r="O32" s="14" t="n"/>
      <c r="P32" s="16" t="n">
        <v>27</v>
      </c>
      <c r="Q32" s="124">
        <f>IF(P32="","",COUNTIFS($C$18:$C$2015,P$13,$D$18:$D$2015,"&gt;="&amp;P32,$D$18:$D$2015,"&lt;"&amp;P33))</f>
        <v/>
      </c>
      <c r="R32" s="14" t="n"/>
      <c r="S32" s="16" t="n">
        <v>44</v>
      </c>
      <c r="T32" s="124">
        <f>IF(S32="","",COUNTIFS($C$18:$C$2015,S$13,$D$18:$D$2015,"&gt;="&amp;S32,$D$18:$D$2015,"&lt;"&amp;S33))</f>
        <v/>
      </c>
      <c r="U32" s="14" t="n"/>
      <c r="V32" s="16" t="n">
        <v>44</v>
      </c>
      <c r="W32" s="124">
        <f>IF(V32="","",COUNTIFS($C$18:$C$2015,V$13,$D$18:$D$2015,"&gt;="&amp;V32,$D$18:$D$2015,"&lt;"&amp;V33))</f>
        <v/>
      </c>
      <c r="X32" s="14" t="n"/>
      <c r="Y32" s="16" t="n">
        <v>44</v>
      </c>
      <c r="Z32" s="124">
        <f>IF(Y32="","",COUNTIFS($C$18:$C$2015,Y$13,$D$18:$D$2015,"&gt;="&amp;Y32,$D$18:$D$2015,"&lt;"&amp;Y33))</f>
        <v/>
      </c>
      <c r="AA32" s="14" t="n"/>
      <c r="AB32" s="16" t="n">
        <v>27</v>
      </c>
      <c r="AC32" s="124">
        <f>IF(AB32="","",COUNTIFS($C$18:$C$2015,AB$13,$D$18:$D$2015,"&gt;="&amp;AB32,$D$18:$D$2015,"&lt;"&amp;AB33))</f>
        <v/>
      </c>
      <c r="AD32" s="14" t="n"/>
    </row>
    <row r="33">
      <c r="A33" s="58" t="n"/>
      <c r="B33" s="59" t="n"/>
      <c r="C33" s="59" t="n"/>
      <c r="E33" s="16" t="n"/>
      <c r="F33" s="13" t="n"/>
      <c r="G33" s="16" t="n">
        <v>28</v>
      </c>
      <c r="H33" s="124">
        <f>IF(G33="","",COUNTIFS($C$18:$C$2015,G$13,$D$18:$D$2015,"&gt;="&amp;G33,$D$18:$D$2015,"&lt;"&amp;G34))</f>
        <v/>
      </c>
      <c r="I33" s="14" t="n"/>
      <c r="J33" s="16" t="n">
        <v>100</v>
      </c>
      <c r="K33" s="124">
        <f>IF(J33="","",COUNTIFS($C$18:$C$2015,J$13,$D$18:$D$2015,"&gt;="&amp;J33,$D$18:$D$2015,"&lt;"&amp;J34))</f>
        <v/>
      </c>
      <c r="L33" s="14" t="n"/>
      <c r="M33" s="16" t="n">
        <v>46</v>
      </c>
      <c r="N33" s="124">
        <f>IF(M33="","",COUNTIFS($C$18:$C$2015,M$13,$D$18:$D$2015,"&gt;="&amp;M33,$D$18:$D$2015,"&lt;"&amp;M34))</f>
        <v/>
      </c>
      <c r="O33" s="14" t="n"/>
      <c r="P33" s="16" t="n">
        <v>28</v>
      </c>
      <c r="Q33" s="124">
        <f>IF(P33="","",COUNTIFS($C$18:$C$2015,P$13,$D$18:$D$2015,"&gt;="&amp;P33,$D$18:$D$2015,"&lt;"&amp;P34))</f>
        <v/>
      </c>
      <c r="R33" s="14" t="n"/>
      <c r="S33" s="16" t="n">
        <v>46</v>
      </c>
      <c r="T33" s="124">
        <f>IF(S33="","",COUNTIFS($C$18:$C$2015,S$13,$D$18:$D$2015,"&gt;="&amp;S33,$D$18:$D$2015,"&lt;"&amp;S34))</f>
        <v/>
      </c>
      <c r="U33" s="14" t="n"/>
      <c r="V33" s="16" t="n">
        <v>46</v>
      </c>
      <c r="W33" s="124">
        <f>IF(V33="","",COUNTIFS($C$18:$C$2015,V$13,$D$18:$D$2015,"&gt;="&amp;V33,$D$18:$D$2015,"&lt;"&amp;V34))</f>
        <v/>
      </c>
      <c r="X33" s="14" t="n"/>
      <c r="Y33" s="16" t="n">
        <v>46</v>
      </c>
      <c r="Z33" s="124">
        <f>IF(Y33="","",COUNTIFS($C$18:$C$2015,Y$13,$D$18:$D$2015,"&gt;="&amp;Y33,$D$18:$D$2015,"&lt;"&amp;Y34))</f>
        <v/>
      </c>
      <c r="AA33" s="14" t="n"/>
      <c r="AB33" s="16" t="n">
        <v>28</v>
      </c>
      <c r="AC33" s="124">
        <f>IF(AB33="","",COUNTIFS($C$18:$C$2015,AB$13,$D$18:$D$2015,"&gt;="&amp;AB33,$D$18:$D$2015,"&lt;"&amp;AB34))</f>
        <v/>
      </c>
      <c r="AD33" s="14" t="n"/>
    </row>
    <row r="34">
      <c r="A34" s="56" t="n"/>
      <c r="B34" s="57" t="n"/>
      <c r="C34" s="59" t="n"/>
      <c r="E34" s="16" t="n"/>
      <c r="F34" s="13" t="n"/>
      <c r="G34" s="16" t="n">
        <v>29</v>
      </c>
      <c r="H34" s="124">
        <f>IF(G34="","",COUNTIFS($C$18:$C$2015,G$13,$D$18:$D$2015,"&gt;="&amp;G34,$D$18:$D$2015,"&lt;"&amp;G35))</f>
        <v/>
      </c>
      <c r="I34" s="14" t="n"/>
      <c r="J34" s="16" t="n">
        <v>105</v>
      </c>
      <c r="K34" s="124">
        <f>IF(J34="","",COUNTIFS($C$18:$C$2015,J$13,$D$18:$D$2015,"&gt;="&amp;J34,$D$18:$D$2015,"&lt;"&amp;J35))</f>
        <v/>
      </c>
      <c r="L34" s="14" t="n"/>
      <c r="M34" s="16" t="n">
        <v>48</v>
      </c>
      <c r="N34" s="124">
        <f>IF(M34="","",COUNTIFS($C$18:$C$2015,M$13,$D$18:$D$2015,"&gt;="&amp;M34,$D$18:$D$2015,"&lt;"&amp;M35))</f>
        <v/>
      </c>
      <c r="O34" s="14" t="n"/>
      <c r="P34" s="16" t="n">
        <v>29</v>
      </c>
      <c r="Q34" s="124">
        <f>IF(P34="","",COUNTIFS($C$18:$C$2015,P$13,$D$18:$D$2015,"&gt;="&amp;P34,$D$18:$D$2015,"&lt;"&amp;P35))</f>
        <v/>
      </c>
      <c r="R34" s="14" t="n"/>
      <c r="S34" s="16" t="n">
        <v>48</v>
      </c>
      <c r="T34" s="124">
        <f>IF(S34="","",COUNTIFS($C$18:$C$2015,S$13,$D$18:$D$2015,"&gt;="&amp;S34,$D$18:$D$2015,"&lt;"&amp;S35))</f>
        <v/>
      </c>
      <c r="U34" s="14" t="n"/>
      <c r="V34" s="16" t="n">
        <v>48</v>
      </c>
      <c r="W34" s="124">
        <f>IF(V34="","",COUNTIFS($C$18:$C$2015,V$13,$D$18:$D$2015,"&gt;="&amp;V34,$D$18:$D$2015,"&lt;"&amp;V35))</f>
        <v/>
      </c>
      <c r="X34" s="14" t="n"/>
      <c r="Y34" s="16" t="n">
        <v>48</v>
      </c>
      <c r="Z34" s="124">
        <f>IF(Y34="","",COUNTIFS($C$18:$C$2015,Y$13,$D$18:$D$2015,"&gt;="&amp;Y34,$D$18:$D$2015,"&lt;"&amp;Y35))</f>
        <v/>
      </c>
      <c r="AA34" s="14" t="n"/>
      <c r="AB34" s="16" t="n">
        <v>29</v>
      </c>
      <c r="AC34" s="124">
        <f>IF(AB34="","",COUNTIFS($C$18:$C$2015,AB$13,$D$18:$D$2015,"&gt;="&amp;AB34,$D$18:$D$2015,"&lt;"&amp;AB35))</f>
        <v/>
      </c>
      <c r="AD34" s="14" t="n"/>
    </row>
    <row r="35">
      <c r="A35" s="58" t="n"/>
      <c r="B35" s="59" t="n"/>
      <c r="C35" s="59" t="n"/>
      <c r="E35" s="16" t="n"/>
      <c r="F35" s="13" t="n"/>
      <c r="G35" s="16" t="n">
        <v>30</v>
      </c>
      <c r="H35" s="124">
        <f>IF(G35="","",COUNTIFS($C$18:$C$2015,G$13,$D$18:$D$2015,"&gt;="&amp;G35,$D$18:$D$2015,"&lt;"&amp;G36))</f>
        <v/>
      </c>
      <c r="I35" s="14" t="n"/>
      <c r="J35" s="16" t="n">
        <v>110</v>
      </c>
      <c r="K35" s="124">
        <f>IF(J35="","",COUNTIFS($C$18:$C$2015,J$13,$D$18:$D$2015,"&gt;="&amp;J35,$D$18:$D$2015,"&lt;"&amp;J36))</f>
        <v/>
      </c>
      <c r="L35" s="14" t="n"/>
      <c r="M35" s="16" t="n">
        <v>50</v>
      </c>
      <c r="N35" s="124">
        <f>IF(M35="","",COUNTIFS($C$18:$C$2015,M$13,$D$18:$D$2015,"&gt;="&amp;M35,$D$18:$D$2015,"&lt;"&amp;M36))</f>
        <v/>
      </c>
      <c r="O35" s="14" t="n"/>
      <c r="P35" s="16" t="n">
        <v>30</v>
      </c>
      <c r="Q35" s="124">
        <f>IF(P35="","",COUNTIFS($C$18:$C$2015,P$13,$D$18:$D$2015,"&gt;="&amp;P35,$D$18:$D$2015,"&lt;"&amp;P36))</f>
        <v/>
      </c>
      <c r="R35" s="14" t="n"/>
      <c r="S35" s="16" t="n">
        <v>50</v>
      </c>
      <c r="T35" s="124">
        <f>IF(S35="","",COUNTIFS($C$18:$C$2015,S$13,$D$18:$D$2015,"&gt;="&amp;S35,$D$18:$D$2015,"&lt;"&amp;S36))</f>
        <v/>
      </c>
      <c r="U35" s="14" t="n"/>
      <c r="V35" s="16" t="n">
        <v>50</v>
      </c>
      <c r="W35" s="124">
        <f>IF(V35="","",COUNTIFS($C$18:$C$2015,V$13,$D$18:$D$2015,"&gt;="&amp;V35,$D$18:$D$2015,"&lt;"&amp;V36))</f>
        <v/>
      </c>
      <c r="X35" s="14" t="n"/>
      <c r="Y35" s="16" t="n">
        <v>50</v>
      </c>
      <c r="Z35" s="124">
        <f>IF(Y35="","",COUNTIFS($C$18:$C$2015,Y$13,$D$18:$D$2015,"&gt;="&amp;Y35,$D$18:$D$2015,"&lt;"&amp;Y36))</f>
        <v/>
      </c>
      <c r="AA35" s="14" t="n"/>
      <c r="AB35" s="16" t="n">
        <v>30</v>
      </c>
      <c r="AC35" s="124">
        <f>IF(AB35="","",COUNTIFS($C$18:$C$2015,AB$13,$D$18:$D$2015,"&gt;="&amp;AB35,$D$18:$D$2015,"&lt;"&amp;AB36))</f>
        <v/>
      </c>
      <c r="AD35" s="14" t="n"/>
    </row>
    <row r="36">
      <c r="A36" s="56" t="n"/>
      <c r="B36" s="57" t="n"/>
      <c r="C36" s="59" t="n"/>
      <c r="E36" s="16" t="n"/>
      <c r="F36" s="13" t="n"/>
      <c r="G36" s="16" t="n">
        <v>31</v>
      </c>
      <c r="H36" s="124">
        <f>IF(G36="","",COUNTIFS($C$18:$C$2015,G$13,$D$18:$D$2015,"&gt;="&amp;G36,$D$18:$D$2015,"&lt;"&amp;G37))</f>
        <v/>
      </c>
      <c r="I36" s="14" t="n"/>
      <c r="J36" s="16" t="n">
        <v>115</v>
      </c>
      <c r="K36" s="124">
        <f>IF(J36="","",COUNTIFS($C$18:$C$2015,J$13,$D$18:$D$2015,"&gt;="&amp;J36,$D$18:$D$2015,"&lt;"&amp;J37))</f>
        <v/>
      </c>
      <c r="L36" s="14" t="n"/>
      <c r="M36" s="16" t="n">
        <v>52</v>
      </c>
      <c r="N36" s="124">
        <f>IF(M36="","",COUNTIFS($C$18:$C$2015,M$13,$D$18:$D$2015,"&gt;="&amp;M36,$D$18:$D$2015,"&lt;"&amp;M37))</f>
        <v/>
      </c>
      <c r="O36" s="14" t="n"/>
      <c r="P36" s="16" t="n">
        <v>31</v>
      </c>
      <c r="Q36" s="124">
        <f>IF(P36="","",COUNTIFS($C$18:$C$2015,P$13,$D$18:$D$2015,"&gt;="&amp;P36,$D$18:$D$2015,"&lt;"&amp;P37))</f>
        <v/>
      </c>
      <c r="R36" s="14" t="n"/>
      <c r="S36" s="16" t="n">
        <v>52</v>
      </c>
      <c r="T36" s="124">
        <f>IF(S36="","",COUNTIFS($C$18:$C$2015,S$13,$D$18:$D$2015,"&gt;="&amp;S36,$D$18:$D$2015,"&lt;"&amp;S37))</f>
        <v/>
      </c>
      <c r="U36" s="14" t="n"/>
      <c r="V36" s="16" t="n">
        <v>52</v>
      </c>
      <c r="W36" s="124">
        <f>IF(V36="","",COUNTIFS($C$18:$C$2015,V$13,$D$18:$D$2015,"&gt;="&amp;V36,$D$18:$D$2015,"&lt;"&amp;V37))</f>
        <v/>
      </c>
      <c r="X36" s="14" t="n"/>
      <c r="Y36" s="16" t="n">
        <v>52</v>
      </c>
      <c r="Z36" s="124">
        <f>IF(Y36="","",COUNTIFS($C$18:$C$2015,Y$13,$D$18:$D$2015,"&gt;="&amp;Y36,$D$18:$D$2015,"&lt;"&amp;Y37))</f>
        <v/>
      </c>
      <c r="AA36" s="14" t="n"/>
      <c r="AB36" s="16" t="n">
        <v>31</v>
      </c>
      <c r="AC36" s="124">
        <f>IF(AB36="","",COUNTIFS($C$18:$C$2015,AB$13,$D$18:$D$2015,"&gt;="&amp;AB36,$D$18:$D$2015,"&lt;"&amp;AB37))</f>
        <v/>
      </c>
      <c r="AD36" s="14" t="n"/>
    </row>
    <row r="37">
      <c r="A37" s="58" t="n"/>
      <c r="B37" s="59" t="n"/>
      <c r="C37" s="59" t="n"/>
      <c r="E37" s="16" t="n"/>
      <c r="F37" s="13" t="n"/>
      <c r="G37" s="16" t="n">
        <v>32</v>
      </c>
      <c r="H37" s="124">
        <f>IF(G37="","",COUNTIFS($C$18:$C$2015,G$13,$D$18:$D$2015,"&gt;="&amp;G37,$D$18:$D$2015,"&lt;"&amp;G38))</f>
        <v/>
      </c>
      <c r="I37" s="14" t="n"/>
      <c r="J37" s="16" t="n">
        <v>120</v>
      </c>
      <c r="K37" s="124">
        <f>IF(J37="","",COUNTIFS($C$18:$C$2015,J$13,$D$18:$D$2015,"&gt;="&amp;J37,$D$18:$D$2015,"&lt;"&amp;J38))</f>
        <v/>
      </c>
      <c r="L37" s="14" t="n"/>
      <c r="M37" s="16" t="n">
        <v>54</v>
      </c>
      <c r="N37" s="124">
        <f>IF(M37="","",COUNTIFS($C$18:$C$2015,M$13,$D$18:$D$2015,"&gt;="&amp;M37,$D$18:$D$2015,"&lt;"&amp;M38))</f>
        <v/>
      </c>
      <c r="O37" s="14" t="n"/>
      <c r="P37" s="16" t="n">
        <v>32</v>
      </c>
      <c r="Q37" s="124">
        <f>IF(P37="","",COUNTIFS($C$18:$C$2015,P$13,$D$18:$D$2015,"&gt;="&amp;P37,$D$18:$D$2015,"&lt;"&amp;P38))</f>
        <v/>
      </c>
      <c r="R37" s="14" t="n"/>
      <c r="S37" s="16" t="n">
        <v>54</v>
      </c>
      <c r="T37" s="124">
        <f>IF(S37="","",COUNTIFS($C$18:$C$2015,S$13,$D$18:$D$2015,"&gt;="&amp;S37,$D$18:$D$2015,"&lt;"&amp;S38))</f>
        <v/>
      </c>
      <c r="U37" s="14" t="n"/>
      <c r="V37" s="16" t="n">
        <v>54</v>
      </c>
      <c r="W37" s="124">
        <f>IF(V37="","",COUNTIFS($C$18:$C$2015,V$13,$D$18:$D$2015,"&gt;="&amp;V37,$D$18:$D$2015,"&lt;"&amp;V38))</f>
        <v/>
      </c>
      <c r="X37" s="14" t="n"/>
      <c r="Y37" s="16" t="n">
        <v>54</v>
      </c>
      <c r="Z37" s="124">
        <f>IF(Y37="","",COUNTIFS($C$18:$C$2015,Y$13,$D$18:$D$2015,"&gt;="&amp;Y37,$D$18:$D$2015,"&lt;"&amp;Y38))</f>
        <v/>
      </c>
      <c r="AA37" s="14" t="n"/>
      <c r="AB37" s="16" t="n">
        <v>32</v>
      </c>
      <c r="AC37" s="124">
        <f>IF(AB37="","",COUNTIFS($C$18:$C$2015,AB$13,$D$18:$D$2015,"&gt;="&amp;AB37,$D$18:$D$2015,"&lt;"&amp;AB38))</f>
        <v/>
      </c>
      <c r="AD37" s="14" t="n"/>
    </row>
    <row r="38">
      <c r="A38" s="56" t="n"/>
      <c r="B38" s="57" t="n"/>
      <c r="C38" s="59" t="n"/>
      <c r="E38" s="16" t="n"/>
      <c r="F38" s="13" t="n"/>
      <c r="G38" s="16" t="n">
        <v>33</v>
      </c>
      <c r="H38" s="124">
        <f>IF(G38="","",COUNTIFS($C$18:$C$2015,G$13,$D$18:$D$2015,"&gt;="&amp;G38,$D$18:$D$2015,"&lt;"&amp;G39))</f>
        <v/>
      </c>
      <c r="I38" s="14" t="n"/>
      <c r="J38" s="16" t="n">
        <v>125</v>
      </c>
      <c r="K38" s="124">
        <f>IF(J38="","",COUNTIFS($C$18:$C$2015,J$13,$D$18:$D$2015,"&gt;="&amp;J38,$D$18:$D$2015,"&lt;"&amp;J39))</f>
        <v/>
      </c>
      <c r="L38" s="14" t="n"/>
      <c r="M38" s="16" t="n">
        <v>56</v>
      </c>
      <c r="N38" s="124">
        <f>IF(M38="","",COUNTIFS($C$18:$C$2015,M$13,$D$18:$D$2015,"&gt;="&amp;M38,$D$18:$D$2015,"&lt;"&amp;M39))</f>
        <v/>
      </c>
      <c r="O38" s="14" t="n"/>
      <c r="P38" s="16" t="n">
        <v>33</v>
      </c>
      <c r="Q38" s="124">
        <f>IF(P38="","",COUNTIFS($C$18:$C$2015,P$13,$D$18:$D$2015,"&gt;="&amp;P38,$D$18:$D$2015,"&lt;"&amp;P39))</f>
        <v/>
      </c>
      <c r="R38" s="14" t="n"/>
      <c r="S38" s="16" t="n">
        <v>56</v>
      </c>
      <c r="T38" s="124">
        <f>IF(S38="","",COUNTIFS($C$18:$C$2015,S$13,$D$18:$D$2015,"&gt;="&amp;S38,$D$18:$D$2015,"&lt;"&amp;S39))</f>
        <v/>
      </c>
      <c r="U38" s="14" t="n"/>
      <c r="V38" s="16" t="n">
        <v>56</v>
      </c>
      <c r="W38" s="124">
        <f>IF(V38="","",COUNTIFS($C$18:$C$2015,V$13,$D$18:$D$2015,"&gt;="&amp;V38,$D$18:$D$2015,"&lt;"&amp;V39))</f>
        <v/>
      </c>
      <c r="X38" s="14" t="n"/>
      <c r="Y38" s="16" t="n">
        <v>56</v>
      </c>
      <c r="Z38" s="124">
        <f>IF(Y38="","",COUNTIFS($C$18:$C$2015,Y$13,$D$18:$D$2015,"&gt;="&amp;Y38,$D$18:$D$2015,"&lt;"&amp;Y39))</f>
        <v/>
      </c>
      <c r="AA38" s="14" t="n"/>
      <c r="AB38" s="16" t="n">
        <v>33</v>
      </c>
      <c r="AC38" s="124">
        <f>IF(AB38="","",COUNTIFS($C$18:$C$2015,AB$13,$D$18:$D$2015,"&gt;="&amp;AB38,$D$18:$D$2015,"&lt;"&amp;AB39))</f>
        <v/>
      </c>
      <c r="AD38" s="14" t="n"/>
    </row>
    <row r="39">
      <c r="A39" s="58" t="n"/>
      <c r="B39" s="59" t="n"/>
      <c r="C39" s="59" t="n"/>
      <c r="E39" s="16" t="n"/>
      <c r="F39" s="13" t="n"/>
      <c r="G39" s="16" t="n">
        <v>34</v>
      </c>
      <c r="H39" s="124">
        <f>IF(G39="","",COUNTIFS($C$18:$C$2015,G$13,$D$18:$D$2015,"&gt;="&amp;G39,$D$18:$D$2015,"&lt;"&amp;G40))</f>
        <v/>
      </c>
      <c r="I39" s="14" t="n"/>
      <c r="J39" s="16" t="n">
        <v>130</v>
      </c>
      <c r="K39" s="124">
        <f>IF(J39="","",COUNTIFS($C$18:$C$2015,J$13,$D$18:$D$2015,"&gt;="&amp;J39,$D$18:$D$2015,"&lt;"&amp;J40))</f>
        <v/>
      </c>
      <c r="L39" s="14" t="n"/>
      <c r="M39" s="16" t="n">
        <v>58</v>
      </c>
      <c r="N39" s="124">
        <f>IF(M39="","",COUNTIFS($C$18:$C$2015,M$13,$D$18:$D$2015,"&gt;="&amp;M39,$D$18:$D$2015,"&lt;"&amp;M40))</f>
        <v/>
      </c>
      <c r="O39" s="14" t="n"/>
      <c r="P39" s="16" t="n">
        <v>34</v>
      </c>
      <c r="Q39" s="124">
        <f>IF(P39="","",COUNTIFS($C$18:$C$2015,P$13,$D$18:$D$2015,"&gt;="&amp;P39,$D$18:$D$2015,"&lt;"&amp;P40))</f>
        <v/>
      </c>
      <c r="R39" s="14" t="n"/>
      <c r="S39" s="16" t="n">
        <v>58</v>
      </c>
      <c r="T39" s="124">
        <f>IF(S39="","",COUNTIFS($C$18:$C$2015,S$13,$D$18:$D$2015,"&gt;="&amp;S39,$D$18:$D$2015,"&lt;"&amp;S40))</f>
        <v/>
      </c>
      <c r="U39" s="14" t="n"/>
      <c r="V39" s="16" t="n">
        <v>58</v>
      </c>
      <c r="W39" s="124">
        <f>IF(V39="","",COUNTIFS($C$18:$C$2015,V$13,$D$18:$D$2015,"&gt;="&amp;V39,$D$18:$D$2015,"&lt;"&amp;V40))</f>
        <v/>
      </c>
      <c r="X39" s="14" t="n"/>
      <c r="Y39" s="16" t="n">
        <v>58</v>
      </c>
      <c r="Z39" s="124">
        <f>IF(Y39="","",COUNTIFS($C$18:$C$2015,Y$13,$D$18:$D$2015,"&gt;="&amp;Y39,$D$18:$D$2015,"&lt;"&amp;Y40))</f>
        <v/>
      </c>
      <c r="AA39" s="14" t="n"/>
      <c r="AB39" s="16" t="n">
        <v>34</v>
      </c>
      <c r="AC39" s="124">
        <f>IF(AB39="","",COUNTIFS($C$18:$C$2015,AB$13,$D$18:$D$2015,"&gt;="&amp;AB39,$D$18:$D$2015,"&lt;"&amp;AB40))</f>
        <v/>
      </c>
      <c r="AD39" s="14" t="n"/>
    </row>
    <row r="40">
      <c r="A40" s="56" t="n"/>
      <c r="B40" s="57" t="n"/>
      <c r="C40" s="59" t="n"/>
      <c r="E40" s="16" t="n"/>
      <c r="F40" s="13" t="n"/>
      <c r="G40" s="16" t="n">
        <v>35</v>
      </c>
      <c r="H40" s="124">
        <f>IF(G40="","",COUNTIFS($C$18:$C$2015,G$13,$D$18:$D$2015,"&gt;="&amp;G40,$D$18:$D$2015,"&lt;"&amp;G41))</f>
        <v/>
      </c>
      <c r="I40" s="14" t="n"/>
      <c r="J40" s="16" t="n">
        <v>135</v>
      </c>
      <c r="K40" s="124">
        <f>IF(J40="","",COUNTIFS($C$18:$C$2015,J$13,$D$18:$D$2015,"&gt;="&amp;J40,$D$18:$D$2015,"&lt;"&amp;J41))</f>
        <v/>
      </c>
      <c r="L40" s="14" t="n"/>
      <c r="M40" s="16" t="n">
        <v>60</v>
      </c>
      <c r="N40" s="124">
        <f>IF(M40="","",COUNTIFS($C$18:$C$2015,M$13,$D$18:$D$2015,"&gt;="&amp;M40,$D$18:$D$2015,"&lt;"&amp;M41))</f>
        <v/>
      </c>
      <c r="O40" s="14" t="n"/>
      <c r="P40" s="16" t="n">
        <v>35</v>
      </c>
      <c r="Q40" s="124">
        <f>IF(P40="","",COUNTIFS($C$18:$C$2015,P$13,$D$18:$D$2015,"&gt;="&amp;P40,$D$18:$D$2015,"&lt;"&amp;P41))</f>
        <v/>
      </c>
      <c r="R40" s="14" t="n"/>
      <c r="S40" s="16" t="n">
        <v>60</v>
      </c>
      <c r="T40" s="124">
        <f>IF(S40="","",COUNTIFS($C$18:$C$2015,S$13,$D$18:$D$2015,"&gt;="&amp;S40,$D$18:$D$2015,"&lt;"&amp;S41))</f>
        <v/>
      </c>
      <c r="U40" s="14" t="n"/>
      <c r="V40" s="16" t="n">
        <v>60</v>
      </c>
      <c r="W40" s="124">
        <f>IF(V40="","",COUNTIFS($C$18:$C$2015,V$13,$D$18:$D$2015,"&gt;="&amp;V40,$D$18:$D$2015,"&lt;"&amp;V41))</f>
        <v/>
      </c>
      <c r="X40" s="14" t="n"/>
      <c r="Y40" s="16" t="n">
        <v>60</v>
      </c>
      <c r="Z40" s="124">
        <f>IF(Y40="","",COUNTIFS($C$18:$C$2015,Y$13,$D$18:$D$2015,"&gt;="&amp;Y40,$D$18:$D$2015,"&lt;"&amp;Y41))</f>
        <v/>
      </c>
      <c r="AA40" s="14" t="n"/>
      <c r="AB40" s="16" t="n">
        <v>35</v>
      </c>
      <c r="AC40" s="124">
        <f>IF(AB40="","",COUNTIFS($C$18:$C$2015,AB$13,$D$18:$D$2015,"&gt;="&amp;AB40,$D$18:$D$2015,"&lt;"&amp;AB41))</f>
        <v/>
      </c>
      <c r="AD40" s="14" t="n"/>
    </row>
    <row r="41">
      <c r="A41" s="58" t="n"/>
      <c r="B41" s="59" t="n"/>
      <c r="C41" s="59" t="n"/>
      <c r="E41" s="16" t="n"/>
      <c r="F41" s="13" t="n"/>
      <c r="G41" s="16" t="n">
        <v>36</v>
      </c>
      <c r="H41" s="124">
        <f>IF(G41="","",COUNTIFS($C$18:$C$2015,G$13,$D$18:$D$2015,"&gt;="&amp;G41,$D$18:$D$2015,"&lt;"&amp;G42))</f>
        <v/>
      </c>
      <c r="I41" s="14" t="n"/>
      <c r="J41" s="16" t="n">
        <v>140</v>
      </c>
      <c r="K41" s="124">
        <f>IF(J41="","",COUNTIFS($C$18:$C$2015,J$13,$D$18:$D$2015,"&gt;="&amp;J41,$D$18:$D$2015,"&lt;"&amp;J42))</f>
        <v/>
      </c>
      <c r="L41" s="14" t="n"/>
      <c r="M41" s="16" t="n">
        <v>62</v>
      </c>
      <c r="N41" s="124">
        <f>IF(M41="","",COUNTIFS($C$18:$C$2015,M$13,$D$18:$D$2015,"&gt;="&amp;M41,$D$18:$D$2015,"&lt;"&amp;M42))</f>
        <v/>
      </c>
      <c r="O41" s="14" t="n"/>
      <c r="P41" s="16" t="n">
        <v>36</v>
      </c>
      <c r="Q41" s="124">
        <f>IF(P41="","",COUNTIFS($C$18:$C$2015,P$13,$D$18:$D$2015,"&gt;="&amp;P41,$D$18:$D$2015,"&lt;"&amp;P42))</f>
        <v/>
      </c>
      <c r="R41" s="14" t="n"/>
      <c r="S41" s="16" t="n">
        <v>62</v>
      </c>
      <c r="T41" s="124">
        <f>IF(S41="","",COUNTIFS($C$18:$C$2015,S$13,$D$18:$D$2015,"&gt;="&amp;S41,$D$18:$D$2015,"&lt;"&amp;S42))</f>
        <v/>
      </c>
      <c r="U41" s="14" t="n"/>
      <c r="V41" s="16" t="n">
        <v>62</v>
      </c>
      <c r="W41" s="124">
        <f>IF(V41="","",COUNTIFS($C$18:$C$2015,V$13,$D$18:$D$2015,"&gt;="&amp;V41,$D$18:$D$2015,"&lt;"&amp;V42))</f>
        <v/>
      </c>
      <c r="X41" s="14" t="n"/>
      <c r="Y41" s="16" t="n">
        <v>62</v>
      </c>
      <c r="Z41" s="124">
        <f>IF(Y41="","",COUNTIFS($C$18:$C$2015,Y$13,$D$18:$D$2015,"&gt;="&amp;Y41,$D$18:$D$2015,"&lt;"&amp;Y42))</f>
        <v/>
      </c>
      <c r="AA41" s="14" t="n"/>
      <c r="AB41" s="16" t="n">
        <v>36</v>
      </c>
      <c r="AC41" s="124">
        <f>IF(AB41="","",COUNTIFS($C$18:$C$2015,AB$13,$D$18:$D$2015,"&gt;="&amp;AB41,$D$18:$D$2015,"&lt;"&amp;AB42))</f>
        <v/>
      </c>
      <c r="AD41" s="14" t="n"/>
    </row>
    <row r="42">
      <c r="A42" s="56" t="n"/>
      <c r="B42" s="57" t="n"/>
      <c r="C42" s="59" t="n"/>
      <c r="E42" s="16" t="n"/>
      <c r="F42" s="13" t="n"/>
      <c r="G42" s="16" t="n">
        <v>37</v>
      </c>
      <c r="H42" s="124">
        <f>IF(G42="","",COUNTIFS($C$18:$C$2015,G$13,$D$18:$D$2015,"&gt;="&amp;G42,$D$18:$D$2015,"&lt;"&amp;G43))</f>
        <v/>
      </c>
      <c r="I42" s="14" t="n"/>
      <c r="J42" s="16" t="n">
        <v>145</v>
      </c>
      <c r="K42" s="124">
        <f>IF(J42="","",COUNTIFS($C$18:$C$2015,J$13,$D$18:$D$2015,"&gt;="&amp;J42,$D$18:$D$2015,"&lt;"&amp;J43))</f>
        <v/>
      </c>
      <c r="L42" s="14" t="n"/>
      <c r="M42" s="16" t="n">
        <v>64</v>
      </c>
      <c r="N42" s="124">
        <f>IF(M42="","",COUNTIFS($C$18:$C$2015,M$13,$D$18:$D$2015,"&gt;="&amp;M42,$D$18:$D$2015,"&lt;"&amp;M43))</f>
        <v/>
      </c>
      <c r="O42" s="14" t="n"/>
      <c r="P42" s="16" t="n">
        <v>37</v>
      </c>
      <c r="Q42" s="124">
        <f>IF(P42="","",COUNTIFS($C$18:$C$2015,P$13,$D$18:$D$2015,"&gt;="&amp;P42,$D$18:$D$2015,"&lt;"&amp;P43))</f>
        <v/>
      </c>
      <c r="R42" s="14" t="n"/>
      <c r="S42" s="16" t="n">
        <v>64</v>
      </c>
      <c r="T42" s="124">
        <f>IF(S42="","",COUNTIFS($C$18:$C$2015,S$13,$D$18:$D$2015,"&gt;="&amp;S42,$D$18:$D$2015,"&lt;"&amp;S43))</f>
        <v/>
      </c>
      <c r="U42" s="14" t="n"/>
      <c r="V42" s="16" t="n">
        <v>64</v>
      </c>
      <c r="W42" s="124">
        <f>IF(V42="","",COUNTIFS($C$18:$C$2015,V$13,$D$18:$D$2015,"&gt;="&amp;V42,$D$18:$D$2015,"&lt;"&amp;V43))</f>
        <v/>
      </c>
      <c r="X42" s="14" t="n"/>
      <c r="Y42" s="16" t="n">
        <v>64</v>
      </c>
      <c r="Z42" s="124">
        <f>IF(Y42="","",COUNTIFS($C$18:$C$2015,Y$13,$D$18:$D$2015,"&gt;="&amp;Y42,$D$18:$D$2015,"&lt;"&amp;Y43))</f>
        <v/>
      </c>
      <c r="AA42" s="14" t="n"/>
      <c r="AB42" s="16" t="n">
        <v>37</v>
      </c>
      <c r="AC42" s="124">
        <f>IF(AB42="","",COUNTIFS($C$18:$C$2015,AB$13,$D$18:$D$2015,"&gt;="&amp;AB42,$D$18:$D$2015,"&lt;"&amp;AB43))</f>
        <v/>
      </c>
      <c r="AD42" s="14" t="n"/>
    </row>
    <row r="43">
      <c r="A43" s="58" t="n"/>
      <c r="B43" s="59" t="n"/>
      <c r="C43" s="59" t="n"/>
      <c r="E43" s="16" t="n"/>
      <c r="F43" s="13" t="n"/>
      <c r="G43" s="16" t="n">
        <v>38</v>
      </c>
      <c r="H43" s="124">
        <f>IF(G43="","",COUNTIFS($C$18:$C$2015,G$13,$D$18:$D$2015,"&gt;="&amp;G43,$D$18:$D$2015,"&lt;"&amp;G44))</f>
        <v/>
      </c>
      <c r="I43" s="14" t="n"/>
      <c r="J43" s="16" t="n">
        <v>150</v>
      </c>
      <c r="K43" s="124">
        <f>IF(J43="","",COUNTIFS($C$18:$C$2015,J$13,$D$18:$D$2015,"&gt;="&amp;J43,$D$18:$D$2015,"&lt;"&amp;J44))</f>
        <v/>
      </c>
      <c r="L43" s="14" t="n"/>
      <c r="M43" s="16" t="n">
        <v>66</v>
      </c>
      <c r="N43" s="124">
        <f>IF(M43="","",COUNTIFS($C$18:$C$2015,M$13,$D$18:$D$2015,"&gt;="&amp;M43,$D$18:$D$2015,"&lt;"&amp;M44))</f>
        <v/>
      </c>
      <c r="O43" s="14" t="n"/>
      <c r="P43" s="16" t="n">
        <v>38</v>
      </c>
      <c r="Q43" s="124">
        <f>IF(P43="","",COUNTIFS($C$18:$C$2015,P$13,$D$18:$D$2015,"&gt;="&amp;P43,$D$18:$D$2015,"&lt;"&amp;P44))</f>
        <v/>
      </c>
      <c r="R43" s="14" t="n"/>
      <c r="S43" s="16" t="n">
        <v>66</v>
      </c>
      <c r="T43" s="124">
        <f>IF(S43="","",COUNTIFS($C$18:$C$2015,S$13,$D$18:$D$2015,"&gt;="&amp;S43,$D$18:$D$2015,"&lt;"&amp;S44))</f>
        <v/>
      </c>
      <c r="U43" s="14" t="n"/>
      <c r="V43" s="16" t="n">
        <v>66</v>
      </c>
      <c r="W43" s="124">
        <f>IF(V43="","",COUNTIFS($C$18:$C$2015,V$13,$D$18:$D$2015,"&gt;="&amp;V43,$D$18:$D$2015,"&lt;"&amp;V44))</f>
        <v/>
      </c>
      <c r="X43" s="14" t="n"/>
      <c r="Y43" s="16" t="n">
        <v>66</v>
      </c>
      <c r="Z43" s="124">
        <f>IF(Y43="","",COUNTIFS($C$18:$C$2015,Y$13,$D$18:$D$2015,"&gt;="&amp;Y43,$D$18:$D$2015,"&lt;"&amp;Y44))</f>
        <v/>
      </c>
      <c r="AA43" s="14" t="n"/>
      <c r="AB43" s="16" t="n">
        <v>38</v>
      </c>
      <c r="AC43" s="124">
        <f>IF(AB43="","",COUNTIFS($C$18:$C$2015,AB$13,$D$18:$D$2015,"&gt;="&amp;AB43,$D$18:$D$2015,"&lt;"&amp;AB44))</f>
        <v/>
      </c>
      <c r="AD43" s="14" t="n"/>
    </row>
    <row r="44">
      <c r="A44" s="56" t="n"/>
      <c r="B44" s="57" t="n"/>
      <c r="C44" s="59" t="n"/>
      <c r="E44" s="16" t="n"/>
      <c r="F44" s="13" t="n"/>
      <c r="G44" s="16" t="n">
        <v>39</v>
      </c>
      <c r="H44" s="124">
        <f>IF(G44="","",COUNTIFS($C$18:$C$2015,G$13,$D$18:$D$2015,"&gt;="&amp;G44,$D$18:$D$2015,"&lt;"&amp;G45))</f>
        <v/>
      </c>
      <c r="I44" s="14" t="n"/>
      <c r="J44" s="16" t="n"/>
      <c r="K44" s="124">
        <f>IF(J44="","",COUNTIFS($C$18:$C$2015,J$13,$D$18:$D$2015,"&gt;="&amp;J44,$D$18:$D$2015,"&lt;"&amp;J45))</f>
        <v/>
      </c>
      <c r="L44" s="14" t="n"/>
      <c r="M44" s="16" t="n">
        <v>68</v>
      </c>
      <c r="N44" s="124">
        <f>IF(M44="","",COUNTIFS($C$18:$C$2015,M$13,$D$18:$D$2015,"&gt;="&amp;M44,$D$18:$D$2015,"&lt;"&amp;M45))</f>
        <v/>
      </c>
      <c r="O44" s="14" t="n"/>
      <c r="P44" s="16" t="n">
        <v>39</v>
      </c>
      <c r="Q44" s="124">
        <f>IF(P44="","",COUNTIFS($C$18:$C$2015,P$13,$D$18:$D$2015,"&gt;="&amp;P44,$D$18:$D$2015,"&lt;"&amp;P45))</f>
        <v/>
      </c>
      <c r="R44" s="14" t="n"/>
      <c r="S44" s="16" t="n">
        <v>68</v>
      </c>
      <c r="T44" s="124">
        <f>IF(S44="","",COUNTIFS($C$18:$C$2015,S$13,$D$18:$D$2015,"&gt;="&amp;S44,$D$18:$D$2015,"&lt;"&amp;S45))</f>
        <v/>
      </c>
      <c r="U44" s="14" t="n"/>
      <c r="V44" s="16" t="n">
        <v>68</v>
      </c>
      <c r="W44" s="124">
        <f>IF(V44="","",COUNTIFS($C$18:$C$2015,V$13,$D$18:$D$2015,"&gt;="&amp;V44,$D$18:$D$2015,"&lt;"&amp;V45))</f>
        <v/>
      </c>
      <c r="X44" s="14" t="n"/>
      <c r="Y44" s="16" t="n">
        <v>68</v>
      </c>
      <c r="Z44" s="124">
        <f>IF(Y44="","",COUNTIFS($C$18:$C$2015,Y$13,$D$18:$D$2015,"&gt;="&amp;Y44,$D$18:$D$2015,"&lt;"&amp;Y45))</f>
        <v/>
      </c>
      <c r="AA44" s="14" t="n"/>
      <c r="AB44" s="16" t="n">
        <v>39</v>
      </c>
      <c r="AC44" s="124">
        <f>IF(AB44="","",COUNTIFS($C$18:$C$2015,AB$13,$D$18:$D$2015,"&gt;="&amp;AB44,$D$18:$D$2015,"&lt;"&amp;AB45))</f>
        <v/>
      </c>
      <c r="AD44" s="14" t="n"/>
    </row>
    <row r="45">
      <c r="A45" s="58" t="n"/>
      <c r="B45" s="59" t="n"/>
      <c r="C45" s="59" t="n"/>
      <c r="E45" s="16" t="n"/>
      <c r="F45" s="13" t="n"/>
      <c r="G45" s="16" t="n">
        <v>40</v>
      </c>
      <c r="H45" s="124">
        <f>IF(G45="","",COUNTIFS($C$18:$C$2015,G$13,$D$18:$D$2015,"&gt;="&amp;G45,$D$18:$D$2015,"&lt;"&amp;G46))</f>
        <v/>
      </c>
      <c r="I45" s="14" t="n"/>
      <c r="J45" s="16" t="n"/>
      <c r="K45" s="124">
        <f>IF(J45="","",COUNTIFS($C$18:$C$2015,J$13,$D$18:$D$2015,"&gt;="&amp;J45,$D$18:$D$2015,"&lt;"&amp;J46))</f>
        <v/>
      </c>
      <c r="L45" s="14" t="n"/>
      <c r="M45" s="16" t="n">
        <v>70</v>
      </c>
      <c r="N45" s="124">
        <f>IF(M45="","",COUNTIFS($C$18:$C$2015,M$13,$D$18:$D$2015,"&gt;="&amp;M45,$D$18:$D$2015,"&lt;"&amp;M46))</f>
        <v/>
      </c>
      <c r="O45" s="14" t="n"/>
      <c r="P45" s="16" t="n">
        <v>40</v>
      </c>
      <c r="Q45" s="124">
        <f>IF(P45="","",COUNTIFS($C$18:$C$2015,P$13,$D$18:$D$2015,"&gt;="&amp;P45,$D$18:$D$2015,"&lt;"&amp;P46))</f>
        <v/>
      </c>
      <c r="R45" s="14" t="n"/>
      <c r="S45" s="16" t="n">
        <v>70</v>
      </c>
      <c r="T45" s="124">
        <f>IF(S45="","",COUNTIFS($C$18:$C$2015,S$13,$D$18:$D$2015,"&gt;="&amp;S45,$D$18:$D$2015,"&lt;"&amp;S46))</f>
        <v/>
      </c>
      <c r="U45" s="14" t="n"/>
      <c r="V45" s="16" t="n">
        <v>70</v>
      </c>
      <c r="W45" s="124">
        <f>IF(V45="","",COUNTIFS($C$18:$C$2015,V$13,$D$18:$D$2015,"&gt;="&amp;V45,$D$18:$D$2015,"&lt;"&amp;V46))</f>
        <v/>
      </c>
      <c r="X45" s="14" t="n"/>
      <c r="Y45" s="16" t="n">
        <v>70</v>
      </c>
      <c r="Z45" s="124">
        <f>IF(Y45="","",COUNTIFS($C$18:$C$2015,Y$13,$D$18:$D$2015,"&gt;="&amp;Y45,$D$18:$D$2015,"&lt;"&amp;Y46))</f>
        <v/>
      </c>
      <c r="AA45" s="14" t="n"/>
      <c r="AB45" s="16" t="n">
        <v>40</v>
      </c>
      <c r="AC45" s="124">
        <f>IF(AB45="","",COUNTIFS($C$18:$C$2015,AB$13,$D$18:$D$2015,"&gt;="&amp;AB45,$D$18:$D$2015,"&lt;"&amp;AB46))</f>
        <v/>
      </c>
      <c r="AD45" s="14" t="n"/>
    </row>
    <row r="46">
      <c r="A46" s="56" t="n"/>
      <c r="B46" s="57" t="n"/>
      <c r="C46" s="59" t="n"/>
      <c r="E46" s="16" t="n"/>
      <c r="F46" s="13" t="n"/>
      <c r="G46" s="16" t="n">
        <v>41</v>
      </c>
      <c r="H46" s="124">
        <f>IF(G46="","",COUNTIFS($C$18:$C$2015,G$13,$D$18:$D$2015,"&gt;="&amp;G46,$D$18:$D$2015,"&lt;"&amp;G47))</f>
        <v/>
      </c>
      <c r="I46" s="14" t="n"/>
      <c r="J46" s="16" t="n"/>
      <c r="K46" s="124">
        <f>IF(J46="","",COUNTIFS($C$18:$C$2015,J$13,$D$18:$D$2015,"&gt;="&amp;J46,$D$18:$D$2015,"&lt;"&amp;J47))</f>
        <v/>
      </c>
      <c r="L46" s="14" t="n"/>
      <c r="M46" s="16" t="n">
        <v>72</v>
      </c>
      <c r="N46" s="124">
        <f>IF(M46="","",COUNTIFS($C$18:$C$2015,M$13,$D$18:$D$2015,"&gt;="&amp;M46,$D$18:$D$2015,"&lt;"&amp;M47))</f>
        <v/>
      </c>
      <c r="O46" s="14" t="n"/>
      <c r="P46" s="16" t="n">
        <v>41</v>
      </c>
      <c r="Q46" s="124">
        <f>IF(P46="","",COUNTIFS($C$18:$C$2015,P$13,$D$18:$D$2015,"&gt;="&amp;P46,$D$18:$D$2015,"&lt;"&amp;P47))</f>
        <v/>
      </c>
      <c r="R46" s="14" t="n"/>
      <c r="S46" s="16" t="n">
        <v>72</v>
      </c>
      <c r="T46" s="124">
        <f>IF(S46="","",COUNTIFS($C$18:$C$2015,S$13,$D$18:$D$2015,"&gt;="&amp;S46,$D$18:$D$2015,"&lt;"&amp;S47))</f>
        <v/>
      </c>
      <c r="U46" s="14" t="n"/>
      <c r="V46" s="16" t="n">
        <v>72</v>
      </c>
      <c r="W46" s="124">
        <f>IF(V46="","",COUNTIFS($C$18:$C$2015,V$13,$D$18:$D$2015,"&gt;="&amp;V46,$D$18:$D$2015,"&lt;"&amp;V47))</f>
        <v/>
      </c>
      <c r="X46" s="14" t="n"/>
      <c r="Y46" s="16" t="n">
        <v>72</v>
      </c>
      <c r="Z46" s="124">
        <f>IF(Y46="","",COUNTIFS($C$18:$C$2015,Y$13,$D$18:$D$2015,"&gt;="&amp;Y46,$D$18:$D$2015,"&lt;"&amp;Y47))</f>
        <v/>
      </c>
      <c r="AA46" s="14" t="n"/>
      <c r="AB46" s="16" t="n">
        <v>41</v>
      </c>
      <c r="AC46" s="124">
        <f>IF(AB46="","",COUNTIFS($C$18:$C$2015,AB$13,$D$18:$D$2015,"&gt;="&amp;AB46,$D$18:$D$2015,"&lt;"&amp;AB47))</f>
        <v/>
      </c>
      <c r="AD46" s="14" t="n"/>
    </row>
    <row r="47">
      <c r="A47" s="58" t="n"/>
      <c r="B47" s="59" t="n"/>
      <c r="C47" s="59" t="n"/>
      <c r="E47" s="16" t="n"/>
      <c r="F47" s="13" t="n"/>
      <c r="G47" s="16" t="n">
        <v>42</v>
      </c>
      <c r="H47" s="124">
        <f>IF(G47="","",COUNTIFS($C$18:$C$2015,G$13,$D$18:$D$2015,"&gt;="&amp;G47,$D$18:$D$2015,"&lt;"&amp;G48))</f>
        <v/>
      </c>
      <c r="I47" s="14" t="n"/>
      <c r="J47" s="16" t="n"/>
      <c r="K47" s="124">
        <f>IF(J47="","",COUNTIFS($C$18:$C$2015,J$13,$D$18:$D$2015,"&gt;="&amp;J47,$D$18:$D$2015,"&lt;"&amp;J48))</f>
        <v/>
      </c>
      <c r="L47" s="14" t="n"/>
      <c r="M47" s="16" t="n">
        <v>74</v>
      </c>
      <c r="N47" s="124">
        <f>IF(M47="","",COUNTIFS($C$18:$C$2015,M$13,$D$18:$D$2015,"&gt;="&amp;M47,$D$18:$D$2015,"&lt;"&amp;M48))</f>
        <v/>
      </c>
      <c r="O47" s="14" t="n"/>
      <c r="P47" s="16" t="n">
        <v>42</v>
      </c>
      <c r="Q47" s="124">
        <f>IF(P47="","",COUNTIFS($C$18:$C$2015,P$13,$D$18:$D$2015,"&gt;="&amp;P47,$D$18:$D$2015,"&lt;"&amp;P48))</f>
        <v/>
      </c>
      <c r="R47" s="14" t="n"/>
      <c r="S47" s="16" t="n">
        <v>74</v>
      </c>
      <c r="T47" s="124">
        <f>IF(S47="","",COUNTIFS($C$18:$C$2015,S$13,$D$18:$D$2015,"&gt;="&amp;S47,$D$18:$D$2015,"&lt;"&amp;S48))</f>
        <v/>
      </c>
      <c r="U47" s="14" t="n"/>
      <c r="V47" s="16" t="n">
        <v>74</v>
      </c>
      <c r="W47" s="124">
        <f>IF(V47="","",COUNTIFS($C$18:$C$2015,V$13,$D$18:$D$2015,"&gt;="&amp;V47,$D$18:$D$2015,"&lt;"&amp;V48))</f>
        <v/>
      </c>
      <c r="X47" s="14" t="n"/>
      <c r="Y47" s="16" t="n">
        <v>74</v>
      </c>
      <c r="Z47" s="124">
        <f>IF(Y47="","",COUNTIFS($C$18:$C$2015,Y$13,$D$18:$D$2015,"&gt;="&amp;Y47,$D$18:$D$2015,"&lt;"&amp;Y48))</f>
        <v/>
      </c>
      <c r="AA47" s="14" t="n"/>
      <c r="AB47" s="16" t="n">
        <v>42</v>
      </c>
      <c r="AC47" s="124">
        <f>IF(AB47="","",COUNTIFS($C$18:$C$2015,AB$13,$D$18:$D$2015,"&gt;="&amp;AB47,$D$18:$D$2015,"&lt;"&amp;AB48))</f>
        <v/>
      </c>
      <c r="AD47" s="14" t="n"/>
    </row>
    <row r="48">
      <c r="A48" s="56" t="n"/>
      <c r="B48" s="57" t="n"/>
      <c r="C48" s="59" t="n"/>
      <c r="E48" s="16" t="n"/>
      <c r="F48" s="13" t="n"/>
      <c r="G48" s="16" t="n">
        <v>43</v>
      </c>
      <c r="H48" s="124">
        <f>IF(G48="","",COUNTIFS($C$18:$C$2015,G$13,$D$18:$D$2015,"&gt;="&amp;G48,$D$18:$D$2015,"&lt;"&amp;G49))</f>
        <v/>
      </c>
      <c r="I48" s="14" t="n"/>
      <c r="J48" s="16" t="n"/>
      <c r="K48" s="124">
        <f>IF(J48="","",COUNTIFS($C$18:$C$2015,J$13,$D$18:$D$2015,"&gt;="&amp;J48,$D$18:$D$2015,"&lt;"&amp;J49))</f>
        <v/>
      </c>
      <c r="L48" s="14" t="n"/>
      <c r="M48" s="16" t="n">
        <v>76</v>
      </c>
      <c r="N48" s="124">
        <f>IF(M48="","",COUNTIFS($C$18:$C$2015,M$13,$D$18:$D$2015,"&gt;="&amp;M48,$D$18:$D$2015,"&lt;"&amp;M49))</f>
        <v/>
      </c>
      <c r="O48" s="14" t="n"/>
      <c r="P48" s="16" t="n">
        <v>43</v>
      </c>
      <c r="Q48" s="124">
        <f>IF(P48="","",COUNTIFS($C$18:$C$2015,P$13,$D$18:$D$2015,"&gt;="&amp;P48,$D$18:$D$2015,"&lt;"&amp;P49))</f>
        <v/>
      </c>
      <c r="R48" s="14" t="n"/>
      <c r="S48" s="16" t="n">
        <v>76</v>
      </c>
      <c r="T48" s="124">
        <f>IF(S48="","",COUNTIFS($C$18:$C$2015,S$13,$D$18:$D$2015,"&gt;="&amp;S48,$D$18:$D$2015,"&lt;"&amp;S49))</f>
        <v/>
      </c>
      <c r="U48" s="14" t="n"/>
      <c r="V48" s="16" t="n">
        <v>76</v>
      </c>
      <c r="W48" s="124">
        <f>IF(V48="","",COUNTIFS($C$18:$C$2015,V$13,$D$18:$D$2015,"&gt;="&amp;V48,$D$18:$D$2015,"&lt;"&amp;V49))</f>
        <v/>
      </c>
      <c r="X48" s="14" t="n"/>
      <c r="Y48" s="16" t="n">
        <v>76</v>
      </c>
      <c r="Z48" s="124">
        <f>IF(Y48="","",COUNTIFS($C$18:$C$2015,Y$13,$D$18:$D$2015,"&gt;="&amp;Y48,$D$18:$D$2015,"&lt;"&amp;Y49))</f>
        <v/>
      </c>
      <c r="AA48" s="14" t="n"/>
      <c r="AB48" s="16" t="n">
        <v>43</v>
      </c>
      <c r="AC48" s="124">
        <f>IF(AB48="","",COUNTIFS($C$18:$C$2015,AB$13,$D$18:$D$2015,"&gt;="&amp;AB48,$D$18:$D$2015,"&lt;"&amp;AB49))</f>
        <v/>
      </c>
      <c r="AD48" s="14" t="n"/>
    </row>
    <row r="49">
      <c r="A49" s="58" t="n"/>
      <c r="B49" s="59" t="n"/>
      <c r="C49" s="59" t="n"/>
      <c r="E49" s="16" t="n"/>
      <c r="F49" s="13" t="n"/>
      <c r="G49" s="16" t="n">
        <v>44</v>
      </c>
      <c r="H49" s="124">
        <f>IF(G49="","",COUNTIFS($C$18:$C$2015,G$13,$D$18:$D$2015,"&gt;="&amp;G49,$D$18:$D$2015,"&lt;"&amp;G50))</f>
        <v/>
      </c>
      <c r="I49" s="14" t="n"/>
      <c r="J49" s="16" t="n"/>
      <c r="K49" s="124">
        <f>IF(J49="","",COUNTIFS($C$18:$C$2015,J$13,$D$18:$D$2015,"&gt;="&amp;J49,$D$18:$D$2015,"&lt;"&amp;J50))</f>
        <v/>
      </c>
      <c r="L49" s="14" t="n"/>
      <c r="M49" s="16" t="n">
        <v>78</v>
      </c>
      <c r="N49" s="124">
        <f>IF(M49="","",COUNTIFS($C$18:$C$2015,M$13,$D$18:$D$2015,"&gt;="&amp;M49,$D$18:$D$2015,"&lt;"&amp;M50))</f>
        <v/>
      </c>
      <c r="O49" s="14" t="n"/>
      <c r="P49" s="16" t="n">
        <v>44</v>
      </c>
      <c r="Q49" s="124">
        <f>IF(P49="","",COUNTIFS($C$18:$C$2015,P$13,$D$18:$D$2015,"&gt;="&amp;P49,$D$18:$D$2015,"&lt;"&amp;P50))</f>
        <v/>
      </c>
      <c r="R49" s="14" t="n"/>
      <c r="S49" s="16" t="n">
        <v>78</v>
      </c>
      <c r="T49" s="124">
        <f>IF(S49="","",COUNTIFS($C$18:$C$2015,S$13,$D$18:$D$2015,"&gt;="&amp;S49,$D$18:$D$2015,"&lt;"&amp;S50))</f>
        <v/>
      </c>
      <c r="U49" s="14" t="n"/>
      <c r="V49" s="16" t="n">
        <v>78</v>
      </c>
      <c r="W49" s="124">
        <f>IF(V49="","",COUNTIFS($C$18:$C$2015,V$13,$D$18:$D$2015,"&gt;="&amp;V49,$D$18:$D$2015,"&lt;"&amp;V50))</f>
        <v/>
      </c>
      <c r="X49" s="14" t="n"/>
      <c r="Y49" s="16" t="n">
        <v>78</v>
      </c>
      <c r="Z49" s="124">
        <f>IF(Y49="","",COUNTIFS($C$18:$C$2015,Y$13,$D$18:$D$2015,"&gt;="&amp;Y49,$D$18:$D$2015,"&lt;"&amp;Y50))</f>
        <v/>
      </c>
      <c r="AA49" s="14" t="n"/>
      <c r="AB49" s="16" t="n">
        <v>44</v>
      </c>
      <c r="AC49" s="124">
        <f>IF(AB49="","",COUNTIFS($C$18:$C$2015,AB$13,$D$18:$D$2015,"&gt;="&amp;AB49,$D$18:$D$2015,"&lt;"&amp;AB50))</f>
        <v/>
      </c>
      <c r="AD49" s="14" t="n"/>
    </row>
    <row r="50">
      <c r="A50" s="56" t="n"/>
      <c r="B50" s="57" t="n"/>
      <c r="C50" s="59" t="n"/>
      <c r="E50" s="16" t="n"/>
      <c r="F50" s="13" t="n"/>
      <c r="G50" s="16" t="n">
        <v>45</v>
      </c>
      <c r="H50" s="124">
        <f>IF(G50="","",COUNTIFS($C$18:$C$2015,G$13,$D$18:$D$2015,"&gt;="&amp;G50,$D$18:$D$2015,"&lt;"&amp;G51))</f>
        <v/>
      </c>
      <c r="I50" s="14" t="n"/>
      <c r="J50" s="16" t="n"/>
      <c r="K50" s="124">
        <f>IF(J50="","",COUNTIFS($C$18:$C$2015,J$13,$D$18:$D$2015,"&gt;="&amp;J50,$D$18:$D$2015,"&lt;"&amp;J51))</f>
        <v/>
      </c>
      <c r="L50" s="14" t="n"/>
      <c r="M50" s="16" t="n">
        <v>80</v>
      </c>
      <c r="N50" s="124">
        <f>IF(M50="","",COUNTIFS($C$18:$C$2015,M$13,$D$18:$D$2015,"&gt;="&amp;M50,$D$18:$D$2015,"&lt;"&amp;M51))</f>
        <v/>
      </c>
      <c r="O50" s="14" t="n"/>
      <c r="P50" s="16" t="n">
        <v>45</v>
      </c>
      <c r="Q50" s="124">
        <f>IF(P50="","",COUNTIFS($C$18:$C$2015,P$13,$D$18:$D$2015,"&gt;="&amp;P50,$D$18:$D$2015,"&lt;"&amp;P51))</f>
        <v/>
      </c>
      <c r="R50" s="14" t="n"/>
      <c r="S50" s="16" t="n">
        <v>80</v>
      </c>
      <c r="T50" s="124">
        <f>IF(S50="","",COUNTIFS($C$18:$C$2015,S$13,$D$18:$D$2015,"&gt;="&amp;S50,$D$18:$D$2015,"&lt;"&amp;S51))</f>
        <v/>
      </c>
      <c r="U50" s="14" t="n"/>
      <c r="V50" s="16" t="n">
        <v>80</v>
      </c>
      <c r="W50" s="124">
        <f>IF(V50="","",COUNTIFS($C$18:$C$2015,V$13,$D$18:$D$2015,"&gt;="&amp;V50,$D$18:$D$2015,"&lt;"&amp;V51))</f>
        <v/>
      </c>
      <c r="X50" s="14" t="n"/>
      <c r="Y50" s="16" t="n">
        <v>80</v>
      </c>
      <c r="Z50" s="124">
        <f>IF(Y50="","",COUNTIFS($C$18:$C$2015,Y$13,$D$18:$D$2015,"&gt;="&amp;Y50,$D$18:$D$2015,"&lt;"&amp;Y51))</f>
        <v/>
      </c>
      <c r="AA50" s="14" t="n"/>
      <c r="AB50" s="16" t="n">
        <v>45</v>
      </c>
      <c r="AC50" s="124">
        <f>IF(AB50="","",COUNTIFS($C$18:$C$2015,AB$13,$D$18:$D$2015,"&gt;="&amp;AB50,$D$18:$D$2015,"&lt;"&amp;AB51))</f>
        <v/>
      </c>
      <c r="AD50" s="14" t="n"/>
    </row>
    <row r="51">
      <c r="A51" s="58" t="n"/>
      <c r="B51" s="59" t="n"/>
      <c r="C51" s="59" t="n"/>
      <c r="E51" s="16" t="n"/>
      <c r="F51" s="13" t="n"/>
      <c r="G51" s="16" t="n">
        <v>46</v>
      </c>
      <c r="H51" s="124">
        <f>IF(G51="","",COUNTIFS($C$18:$C$2015,G$13,$D$18:$D$2015,"&gt;="&amp;G51,$D$18:$D$2015,"&lt;"&amp;G52))</f>
        <v/>
      </c>
      <c r="I51" s="14" t="n"/>
      <c r="J51" s="16" t="n"/>
      <c r="K51" s="124">
        <f>IF(J51="","",COUNTIFS($C$18:$C$2015,J$13,$D$18:$D$2015,"&gt;="&amp;J51,$D$18:$D$2015,"&lt;"&amp;J52))</f>
        <v/>
      </c>
      <c r="L51" s="14" t="n"/>
      <c r="M51" s="16" t="n">
        <v>82</v>
      </c>
      <c r="N51" s="124">
        <f>IF(M51="","",COUNTIFS($C$18:$C$2015,M$13,$D$18:$D$2015,"&gt;="&amp;M51,$D$18:$D$2015,"&lt;"&amp;M52))</f>
        <v/>
      </c>
      <c r="O51" s="14" t="n"/>
      <c r="P51" s="16" t="n">
        <v>46</v>
      </c>
      <c r="Q51" s="124">
        <f>IF(P51="","",COUNTIFS($C$18:$C$2015,P$13,$D$18:$D$2015,"&gt;="&amp;P51,$D$18:$D$2015,"&lt;"&amp;P52))</f>
        <v/>
      </c>
      <c r="R51" s="14" t="n"/>
      <c r="S51" s="16" t="n">
        <v>82</v>
      </c>
      <c r="T51" s="124">
        <f>IF(S51="","",COUNTIFS($C$18:$C$2015,S$13,$D$18:$D$2015,"&gt;="&amp;S51,$D$18:$D$2015,"&lt;"&amp;S52))</f>
        <v/>
      </c>
      <c r="U51" s="14" t="n"/>
      <c r="V51" s="16" t="n"/>
      <c r="W51" s="124">
        <f>IF(V51="","",COUNTIFS($C$18:$C$2015,V$13,$D$18:$D$2015,"&gt;="&amp;V51,$D$18:$D$2015,"&lt;"&amp;V52))</f>
        <v/>
      </c>
      <c r="X51" s="14" t="n"/>
      <c r="Y51" s="16" t="n"/>
      <c r="Z51" s="124">
        <f>IF(Y51="","",COUNTIFS($C$18:$C$2015,Y$13,$D$18:$D$2015,"&gt;="&amp;Y51,$D$18:$D$2015,"&lt;"&amp;Y52))</f>
        <v/>
      </c>
      <c r="AA51" s="14" t="n"/>
      <c r="AB51" s="16" t="n">
        <v>46</v>
      </c>
      <c r="AC51" s="124">
        <f>IF(AB51="","",COUNTIFS($C$18:$C$2015,AB$13,$D$18:$D$2015,"&gt;="&amp;AB51,$D$18:$D$2015,"&lt;"&amp;AB52))</f>
        <v/>
      </c>
      <c r="AD51" s="14" t="n"/>
    </row>
    <row r="52">
      <c r="A52" s="56" t="n"/>
      <c r="B52" s="57" t="n"/>
      <c r="C52" s="59" t="n"/>
      <c r="E52" s="16" t="n"/>
      <c r="F52" s="13" t="n"/>
      <c r="G52" s="16" t="n">
        <v>47</v>
      </c>
      <c r="H52" s="124">
        <f>IF(G52="","",COUNTIFS($C$18:$C$2015,G$13,$D$18:$D$2015,"&gt;="&amp;G52,$D$18:$D$2015,"&lt;"&amp;G53))</f>
        <v/>
      </c>
      <c r="I52" s="14" t="n"/>
      <c r="J52" s="16" t="n"/>
      <c r="K52" s="124">
        <f>IF(J52="","",COUNTIFS($C$18:$C$2015,J$13,$D$18:$D$2015,"&gt;="&amp;J52,$D$18:$D$2015,"&lt;"&amp;J53))</f>
        <v/>
      </c>
      <c r="L52" s="14" t="n"/>
      <c r="M52" s="16" t="n">
        <v>84</v>
      </c>
      <c r="N52" s="124">
        <f>IF(M52="","",COUNTIFS($C$18:$C$2015,M$13,$D$18:$D$2015,"&gt;="&amp;M52,$D$18:$D$2015,"&lt;"&amp;M53))</f>
        <v/>
      </c>
      <c r="O52" s="14" t="n"/>
      <c r="P52" s="16" t="n">
        <v>47</v>
      </c>
      <c r="Q52" s="124">
        <f>IF(P52="","",COUNTIFS($C$18:$C$2015,P$13,$D$18:$D$2015,"&gt;="&amp;P52,$D$18:$D$2015,"&lt;"&amp;P53))</f>
        <v/>
      </c>
      <c r="R52" s="14" t="n"/>
      <c r="S52" s="16" t="n">
        <v>84</v>
      </c>
      <c r="T52" s="124">
        <f>IF(S52="","",COUNTIFS($C$18:$C$2015,S$13,$D$18:$D$2015,"&gt;="&amp;S52,$D$18:$D$2015,"&lt;"&amp;S53))</f>
        <v/>
      </c>
      <c r="U52" s="14" t="n"/>
      <c r="V52" s="16" t="n"/>
      <c r="W52" s="124">
        <f>IF(V52="","",COUNTIFS($C$18:$C$2015,V$13,$D$18:$D$2015,"&gt;="&amp;V52,$D$18:$D$2015,"&lt;"&amp;V53))</f>
        <v/>
      </c>
      <c r="X52" s="14" t="n"/>
      <c r="Y52" s="16" t="n"/>
      <c r="Z52" s="124">
        <f>IF(Y52="","",COUNTIFS($C$18:$C$2015,Y$13,$D$18:$D$2015,"&gt;="&amp;Y52,$D$18:$D$2015,"&lt;"&amp;Y53))</f>
        <v/>
      </c>
      <c r="AA52" s="14" t="n"/>
      <c r="AB52" s="16" t="n">
        <v>47</v>
      </c>
      <c r="AC52" s="124">
        <f>IF(AB52="","",COUNTIFS($C$18:$C$2015,AB$13,$D$18:$D$2015,"&gt;="&amp;AB52,$D$18:$D$2015,"&lt;"&amp;AB53))</f>
        <v/>
      </c>
      <c r="AD52" s="14" t="n"/>
    </row>
    <row r="53">
      <c r="A53" s="58" t="n"/>
      <c r="B53" s="59" t="n"/>
      <c r="C53" s="59" t="n"/>
      <c r="E53" s="16" t="n"/>
      <c r="F53" s="13" t="n"/>
      <c r="G53" s="16" t="n">
        <v>48</v>
      </c>
      <c r="H53" s="124">
        <f>IF(G53="","",COUNTIFS($C$18:$C$2015,G$13,$D$18:$D$2015,"&gt;="&amp;G53,$D$18:$D$2015,"&lt;"&amp;G54))</f>
        <v/>
      </c>
      <c r="I53" s="14" t="n"/>
      <c r="J53" s="16" t="n"/>
      <c r="K53" s="124">
        <f>IF(J53="","",COUNTIFS($C$18:$C$2015,J$13,$D$18:$D$2015,"&gt;="&amp;J53,$D$18:$D$2015,"&lt;"&amp;J54))</f>
        <v/>
      </c>
      <c r="L53" s="14" t="n"/>
      <c r="M53" s="16" t="n">
        <v>86</v>
      </c>
      <c r="N53" s="124">
        <f>IF(M53="","",COUNTIFS($C$18:$C$2015,M$13,$D$18:$D$2015,"&gt;="&amp;M53,$D$18:$D$2015,"&lt;"&amp;M54))</f>
        <v/>
      </c>
      <c r="O53" s="14" t="n"/>
      <c r="P53" s="16" t="n">
        <v>48</v>
      </c>
      <c r="Q53" s="124">
        <f>IF(P53="","",COUNTIFS($C$18:$C$2015,P$13,$D$18:$D$2015,"&gt;="&amp;P53,$D$18:$D$2015,"&lt;"&amp;P54))</f>
        <v/>
      </c>
      <c r="R53" s="14" t="n"/>
      <c r="S53" s="16" t="n">
        <v>86</v>
      </c>
      <c r="T53" s="124">
        <f>IF(S53="","",COUNTIFS($C$18:$C$2015,S$13,$D$18:$D$2015,"&gt;="&amp;S53,$D$18:$D$2015,"&lt;"&amp;S54))</f>
        <v/>
      </c>
      <c r="U53" s="14" t="n"/>
      <c r="V53" s="16" t="n"/>
      <c r="W53" s="124">
        <f>IF(V53="","",COUNTIFS($C$18:$C$2015,V$13,$D$18:$D$2015,"&gt;="&amp;V53,$D$18:$D$2015,"&lt;"&amp;V54))</f>
        <v/>
      </c>
      <c r="X53" s="14" t="n"/>
      <c r="Y53" s="16" t="n"/>
      <c r="Z53" s="124">
        <f>IF(Y53="","",COUNTIFS($C$18:$C$2015,Y$13,$D$18:$D$2015,"&gt;="&amp;Y53,$D$18:$D$2015,"&lt;"&amp;Y54))</f>
        <v/>
      </c>
      <c r="AA53" s="14" t="n"/>
      <c r="AB53" s="16" t="n">
        <v>48</v>
      </c>
      <c r="AC53" s="124">
        <f>IF(AB53="","",COUNTIFS($C$18:$C$2015,AB$13,$D$18:$D$2015,"&gt;="&amp;AB53,$D$18:$D$2015,"&lt;"&amp;AB54))</f>
        <v/>
      </c>
      <c r="AD53" s="14" t="n"/>
    </row>
    <row r="54">
      <c r="A54" s="56" t="n"/>
      <c r="B54" s="57" t="n"/>
      <c r="C54" s="59" t="n"/>
      <c r="E54" s="16" t="n"/>
      <c r="F54" s="13" t="n"/>
      <c r="G54" s="16" t="n">
        <v>49</v>
      </c>
      <c r="H54" s="124">
        <f>IF(G54="","",COUNTIFS($C$18:$C$2015,G$13,$D$18:$D$2015,"&gt;="&amp;G54,$D$18:$D$2015,"&lt;"&amp;G55))</f>
        <v/>
      </c>
      <c r="I54" s="14" t="n"/>
      <c r="J54" s="16" t="n"/>
      <c r="K54" s="124">
        <f>IF(J54="","",COUNTIFS($C$18:$C$2015,J$13,$D$18:$D$2015,"&gt;="&amp;J54,$D$18:$D$2015,"&lt;"&amp;J55))</f>
        <v/>
      </c>
      <c r="L54" s="14" t="n"/>
      <c r="M54" s="16" t="n">
        <v>88</v>
      </c>
      <c r="N54" s="124">
        <f>IF(M54="","",COUNTIFS($C$18:$C$2015,M$13,$D$18:$D$2015,"&gt;="&amp;M54,$D$18:$D$2015,"&lt;"&amp;M55))</f>
        <v/>
      </c>
      <c r="O54" s="14" t="n"/>
      <c r="P54" s="16" t="n">
        <v>49</v>
      </c>
      <c r="Q54" s="124">
        <f>IF(P54="","",COUNTIFS($C$18:$C$2015,P$13,$D$18:$D$2015,"&gt;="&amp;P54,$D$18:$D$2015,"&lt;"&amp;P55))</f>
        <v/>
      </c>
      <c r="R54" s="14" t="n"/>
      <c r="S54" s="16" t="n">
        <v>88</v>
      </c>
      <c r="T54" s="124">
        <f>IF(S54="","",COUNTIFS($C$18:$C$2015,S$13,$D$18:$D$2015,"&gt;="&amp;S54,$D$18:$D$2015,"&lt;"&amp;S55))</f>
        <v/>
      </c>
      <c r="U54" s="14" t="n"/>
      <c r="V54" s="16" t="n"/>
      <c r="W54" s="124">
        <f>IF(V54="","",COUNTIFS($C$18:$C$2015,V$13,$D$18:$D$2015,"&gt;="&amp;V54,$D$18:$D$2015,"&lt;"&amp;V55))</f>
        <v/>
      </c>
      <c r="X54" s="14" t="n"/>
      <c r="Y54" s="16" t="n"/>
      <c r="Z54" s="124">
        <f>IF(Y54="","",COUNTIFS($C$18:$C$2015,Y$13,$D$18:$D$2015,"&gt;="&amp;Y54,$D$18:$D$2015,"&lt;"&amp;Y55))</f>
        <v/>
      </c>
      <c r="AA54" s="14" t="n"/>
      <c r="AB54" s="16" t="n">
        <v>49</v>
      </c>
      <c r="AC54" s="124">
        <f>IF(AB54="","",COUNTIFS($C$18:$C$2015,AB$13,$D$18:$D$2015,"&gt;="&amp;AB54,$D$18:$D$2015,"&lt;"&amp;AB55))</f>
        <v/>
      </c>
      <c r="AD54" s="14" t="n"/>
    </row>
    <row r="55">
      <c r="A55" s="58" t="n"/>
      <c r="B55" s="59" t="n"/>
      <c r="C55" s="59" t="n"/>
      <c r="E55" s="16" t="n"/>
      <c r="F55" s="13" t="n"/>
      <c r="G55" s="16" t="n">
        <v>50</v>
      </c>
      <c r="H55" s="124">
        <f>IF(G55="","",COUNTIFS($C$18:$C$2015,G$13,$D$18:$D$2015,"&gt;="&amp;G55,$D$18:$D$2015,"&lt;"&amp;G56))</f>
        <v/>
      </c>
      <c r="I55" s="14" t="n"/>
      <c r="J55" s="16" t="n"/>
      <c r="K55" s="124">
        <f>IF(J55="","",COUNTIFS($C$18:$C$2015,J$13,$D$18:$D$2015,"&gt;="&amp;J55,$D$18:$D$2015,"&lt;"&amp;J56))</f>
        <v/>
      </c>
      <c r="L55" s="14" t="n"/>
      <c r="M55" s="16" t="n">
        <v>90</v>
      </c>
      <c r="N55" s="124">
        <f>IF(M55="","",COUNTIFS($C$18:$C$2015,M$13,$D$18:$D$2015,"&gt;="&amp;M55,$D$18:$D$2015,"&lt;"&amp;M56))</f>
        <v/>
      </c>
      <c r="O55" s="14" t="n"/>
      <c r="P55" s="16" t="n">
        <v>50</v>
      </c>
      <c r="Q55" s="124">
        <f>IF(P55="","",COUNTIFS($C$18:$C$2015,P$13,$D$18:$D$2015,"&gt;="&amp;P55,$D$18:$D$2015,"&lt;"&amp;P56))</f>
        <v/>
      </c>
      <c r="R55" s="14" t="n"/>
      <c r="S55" s="16" t="n">
        <v>90</v>
      </c>
      <c r="T55" s="124">
        <f>IF(S55="","",COUNTIFS($C$18:$C$2015,S$13,$D$18:$D$2015,"&gt;="&amp;S55,$D$18:$D$2015,"&lt;"&amp;S56))</f>
        <v/>
      </c>
      <c r="U55" s="14" t="n"/>
      <c r="V55" s="16" t="n"/>
      <c r="W55" s="124">
        <f>IF(V55="","",COUNTIFS($C$18:$C$2015,V$13,$D$18:$D$2015,"&gt;="&amp;V55,$D$18:$D$2015,"&lt;"&amp;V56))</f>
        <v/>
      </c>
      <c r="X55" s="14" t="n"/>
      <c r="Y55" s="16" t="n"/>
      <c r="Z55" s="124">
        <f>IF(Y55="","",COUNTIFS($C$18:$C$2015,Y$13,$D$18:$D$2015,"&gt;="&amp;Y55,$D$18:$D$2015,"&lt;"&amp;Y56))</f>
        <v/>
      </c>
      <c r="AA55" s="14" t="n"/>
      <c r="AB55" s="16" t="n">
        <v>50</v>
      </c>
      <c r="AC55" s="124">
        <f>IF(AB55="","",COUNTIFS($C$18:$C$2015,AB$13,$D$18:$D$2015,"&gt;="&amp;AB55,$D$18:$D$2015,"&lt;"&amp;AB56))</f>
        <v/>
      </c>
      <c r="AD55" s="14" t="n"/>
    </row>
    <row r="56">
      <c r="A56" s="56" t="n"/>
      <c r="B56" s="57" t="n"/>
      <c r="C56" s="59" t="n"/>
      <c r="E56" s="16" t="n"/>
      <c r="F56" s="13" t="n"/>
      <c r="G56" s="16" t="n">
        <v>51</v>
      </c>
      <c r="H56" s="124">
        <f>IF(G56="","",COUNTIFS($C$18:$C$2015,G$13,$D$18:$D$2015,"&gt;="&amp;G56,$D$18:$D$2015,"&lt;"&amp;G57))</f>
        <v/>
      </c>
      <c r="I56" s="14" t="n"/>
      <c r="J56" s="16" t="n"/>
      <c r="K56" s="124">
        <f>IF(J56="","",COUNTIFS($C$18:$C$2015,J$13,$D$18:$D$2015,"&gt;="&amp;J56,$D$18:$D$2015,"&lt;"&amp;J57))</f>
        <v/>
      </c>
      <c r="L56" s="14" t="n"/>
      <c r="M56" s="16" t="n"/>
      <c r="N56" s="124">
        <f>IF(M56="","",COUNTIFS($C$18:$C$2015,M$13,$D$18:$D$2015,"&gt;="&amp;M56,$D$18:$D$2015,"&lt;"&amp;M57))</f>
        <v/>
      </c>
      <c r="O56" s="14" t="n"/>
      <c r="P56" s="16" t="n">
        <v>51</v>
      </c>
      <c r="Q56" s="124">
        <f>IF(P56="","",COUNTIFS($C$18:$C$2015,P$13,$D$18:$D$2015,"&gt;="&amp;P56,$D$18:$D$2015,"&lt;"&amp;P57))</f>
        <v/>
      </c>
      <c r="R56" s="14" t="n"/>
      <c r="S56" s="16" t="n">
        <v>92</v>
      </c>
      <c r="T56" s="124">
        <f>IF(S56="","",COUNTIFS($C$18:$C$2015,S$13,$D$18:$D$2015,"&gt;="&amp;S56,$D$18:$D$2015,"&lt;"&amp;S57))</f>
        <v/>
      </c>
      <c r="U56" s="14" t="n"/>
      <c r="V56" s="16" t="n"/>
      <c r="W56" s="124">
        <f>IF(V56="","",COUNTIFS($C$18:$C$2015,V$13,$D$18:$D$2015,"&gt;="&amp;V56,$D$18:$D$2015,"&lt;"&amp;V57))</f>
        <v/>
      </c>
      <c r="X56" s="14" t="n"/>
      <c r="Y56" s="16" t="n"/>
      <c r="Z56" s="124">
        <f>IF(Y56="","",COUNTIFS($C$18:$C$2015,Y$13,$D$18:$D$2015,"&gt;="&amp;Y56,$D$18:$D$2015,"&lt;"&amp;Y57))</f>
        <v/>
      </c>
      <c r="AA56" s="14" t="n"/>
      <c r="AB56" s="16" t="n">
        <v>51</v>
      </c>
      <c r="AC56" s="124">
        <f>IF(AB56="","",COUNTIFS($C$18:$C$2015,AB$13,$D$18:$D$2015,"&gt;="&amp;AB56,$D$18:$D$2015,"&lt;"&amp;AB57))</f>
        <v/>
      </c>
      <c r="AD56" s="14" t="n"/>
    </row>
    <row r="57">
      <c r="A57" s="58" t="n"/>
      <c r="B57" s="59" t="n"/>
      <c r="C57" s="59" t="n"/>
      <c r="E57" s="16" t="n"/>
      <c r="F57" s="13" t="n"/>
      <c r="G57" s="16" t="n">
        <v>52</v>
      </c>
      <c r="H57" s="124">
        <f>IF(G57="","",COUNTIFS($C$18:$C$2015,G$13,$D$18:$D$2015,"&gt;="&amp;G57,$D$18:$D$2015,"&lt;"&amp;G58))</f>
        <v/>
      </c>
      <c r="I57" s="14" t="n"/>
      <c r="J57" s="16" t="n"/>
      <c r="K57" s="124">
        <f>IF(J57="","",COUNTIFS($C$18:$C$2015,J$13,$D$18:$D$2015,"&gt;="&amp;J57,$D$18:$D$2015,"&lt;"&amp;J58))</f>
        <v/>
      </c>
      <c r="L57" s="14" t="n"/>
      <c r="M57" s="16" t="n"/>
      <c r="N57" s="124">
        <f>IF(M57="","",COUNTIFS($C$18:$C$2015,M$13,$D$18:$D$2015,"&gt;="&amp;M57,$D$18:$D$2015,"&lt;"&amp;M58))</f>
        <v/>
      </c>
      <c r="O57" s="14" t="n"/>
      <c r="P57" s="16" t="n">
        <v>52</v>
      </c>
      <c r="Q57" s="124">
        <f>IF(P57="","",COUNTIFS($C$18:$C$2015,P$13,$D$18:$D$2015,"&gt;="&amp;P57,$D$18:$D$2015,"&lt;"&amp;P58))</f>
        <v/>
      </c>
      <c r="R57" s="14" t="n"/>
      <c r="S57" s="16" t="n">
        <v>94</v>
      </c>
      <c r="T57" s="124">
        <f>IF(S57="","",COUNTIFS($C$18:$C$2015,S$13,$D$18:$D$2015,"&gt;="&amp;S57,$D$18:$D$2015,"&lt;"&amp;S58))</f>
        <v/>
      </c>
      <c r="U57" s="14" t="n"/>
      <c r="V57" s="16" t="n"/>
      <c r="W57" s="124">
        <f>IF(V57="","",COUNTIFS($C$18:$C$2015,V$13,$D$18:$D$2015,"&gt;="&amp;V57,$D$18:$D$2015,"&lt;"&amp;V58))</f>
        <v/>
      </c>
      <c r="X57" s="14" t="n"/>
      <c r="Y57" s="16" t="n"/>
      <c r="Z57" s="124">
        <f>IF(Y57="","",COUNTIFS($C$18:$C$2015,Y$13,$D$18:$D$2015,"&gt;="&amp;Y57,$D$18:$D$2015,"&lt;"&amp;Y58))</f>
        <v/>
      </c>
      <c r="AA57" s="14" t="n"/>
      <c r="AB57" s="16" t="n">
        <v>52</v>
      </c>
      <c r="AC57" s="124">
        <f>IF(AB57="","",COUNTIFS($C$18:$C$2015,AB$13,$D$18:$D$2015,"&gt;="&amp;AB57,$D$18:$D$2015,"&lt;"&amp;AB58))</f>
        <v/>
      </c>
      <c r="AD57" s="14" t="n"/>
    </row>
    <row r="58">
      <c r="A58" s="56" t="n"/>
      <c r="B58" s="57" t="n"/>
      <c r="C58" s="59" t="n"/>
      <c r="E58" s="16" t="n"/>
      <c r="F58" s="13" t="n"/>
      <c r="G58" s="16" t="n">
        <v>53</v>
      </c>
      <c r="H58" s="124">
        <f>IF(G58="","",COUNTIFS($C$18:$C$2015,G$13,$D$18:$D$2015,"&gt;="&amp;G58,$D$18:$D$2015,"&lt;"&amp;G59))</f>
        <v/>
      </c>
      <c r="I58" s="14" t="n"/>
      <c r="J58" s="16" t="n"/>
      <c r="K58" s="124">
        <f>IF(J58="","",COUNTIFS($C$18:$C$2015,J$13,$D$18:$D$2015,"&gt;="&amp;J58,$D$18:$D$2015,"&lt;"&amp;J59))</f>
        <v/>
      </c>
      <c r="L58" s="14" t="n"/>
      <c r="M58" s="16" t="n"/>
      <c r="N58" s="124">
        <f>IF(M58="","",COUNTIFS($C$18:$C$2015,M$13,$D$18:$D$2015,"&gt;="&amp;M58,$D$18:$D$2015,"&lt;"&amp;M59))</f>
        <v/>
      </c>
      <c r="O58" s="14" t="n"/>
      <c r="P58" s="16" t="n">
        <v>53</v>
      </c>
      <c r="Q58" s="124">
        <f>IF(P58="","",COUNTIFS($C$18:$C$2015,P$13,$D$18:$D$2015,"&gt;="&amp;P58,$D$18:$D$2015,"&lt;"&amp;P59))</f>
        <v/>
      </c>
      <c r="R58" s="14" t="n"/>
      <c r="S58" s="16" t="n">
        <v>96</v>
      </c>
      <c r="T58" s="124">
        <f>IF(S58="","",COUNTIFS($C$18:$C$2015,S$13,$D$18:$D$2015,"&gt;="&amp;S58,$D$18:$D$2015,"&lt;"&amp;S59))</f>
        <v/>
      </c>
      <c r="U58" s="14" t="n"/>
      <c r="V58" s="16" t="n"/>
      <c r="W58" s="124">
        <f>IF(V58="","",COUNTIFS($C$18:$C$2015,V$13,$D$18:$D$2015,"&gt;="&amp;V58,$D$18:$D$2015,"&lt;"&amp;V59))</f>
        <v/>
      </c>
      <c r="X58" s="14" t="n"/>
      <c r="Y58" s="16" t="n"/>
      <c r="Z58" s="124">
        <f>IF(Y58="","",COUNTIFS($C$18:$C$2015,Y$13,$D$18:$D$2015,"&gt;="&amp;Y58,$D$18:$D$2015,"&lt;"&amp;Y59))</f>
        <v/>
      </c>
      <c r="AA58" s="14" t="n"/>
      <c r="AB58" s="16" t="n">
        <v>53</v>
      </c>
      <c r="AC58" s="124">
        <f>IF(AB58="","",COUNTIFS($C$18:$C$2015,AB$13,$D$18:$D$2015,"&gt;="&amp;AB58,$D$18:$D$2015,"&lt;"&amp;AB59))</f>
        <v/>
      </c>
      <c r="AD58" s="14" t="n"/>
    </row>
    <row r="59">
      <c r="A59" s="58" t="n"/>
      <c r="B59" s="59" t="n"/>
      <c r="C59" s="59" t="n"/>
      <c r="E59" s="16" t="n"/>
      <c r="F59" s="13" t="n"/>
      <c r="G59" s="16" t="n">
        <v>54</v>
      </c>
      <c r="H59" s="124">
        <f>IF(G59="","",COUNTIFS($C$18:$C$2015,G$13,$D$18:$D$2015,"&gt;="&amp;G59,$D$18:$D$2015,"&lt;"&amp;G60))</f>
        <v/>
      </c>
      <c r="I59" s="14" t="n"/>
      <c r="J59" s="16" t="n"/>
      <c r="K59" s="124">
        <f>IF(J59="","",COUNTIFS($C$18:$C$2015,J$13,$D$18:$D$2015,"&gt;="&amp;J59,$D$18:$D$2015,"&lt;"&amp;J60))</f>
        <v/>
      </c>
      <c r="L59" s="14" t="n"/>
      <c r="M59" s="16" t="n"/>
      <c r="N59" s="124">
        <f>IF(M59="","",COUNTIFS($C$18:$C$2015,M$13,$D$18:$D$2015,"&gt;="&amp;M59,$D$18:$D$2015,"&lt;"&amp;M60))</f>
        <v/>
      </c>
      <c r="O59" s="14" t="n"/>
      <c r="P59" s="16" t="n">
        <v>54</v>
      </c>
      <c r="Q59" s="124">
        <f>IF(P59="","",COUNTIFS($C$18:$C$2015,P$13,$D$18:$D$2015,"&gt;="&amp;P59,$D$18:$D$2015,"&lt;"&amp;P60))</f>
        <v/>
      </c>
      <c r="R59" s="14" t="n"/>
      <c r="S59" s="16" t="n">
        <v>98</v>
      </c>
      <c r="T59" s="124">
        <f>IF(S59="","",COUNTIFS($C$18:$C$2015,S$13,$D$18:$D$2015,"&gt;="&amp;S59,$D$18:$D$2015,"&lt;"&amp;S60))</f>
        <v/>
      </c>
      <c r="U59" s="14" t="n"/>
      <c r="V59" s="16" t="n"/>
      <c r="W59" s="124">
        <f>IF(V59="","",COUNTIFS($C$18:$C$2015,V$13,$D$18:$D$2015,"&gt;="&amp;V59,$D$18:$D$2015,"&lt;"&amp;V60))</f>
        <v/>
      </c>
      <c r="X59" s="14" t="n"/>
      <c r="Y59" s="16" t="n"/>
      <c r="Z59" s="124">
        <f>IF(Y59="","",COUNTIFS($C$18:$C$2015,Y$13,$D$18:$D$2015,"&gt;="&amp;Y59,$D$18:$D$2015,"&lt;"&amp;Y60))</f>
        <v/>
      </c>
      <c r="AA59" s="14" t="n"/>
      <c r="AB59" s="16" t="n">
        <v>54</v>
      </c>
      <c r="AC59" s="124">
        <f>IF(AB59="","",COUNTIFS($C$18:$C$2015,AB$13,$D$18:$D$2015,"&gt;="&amp;AB59,$D$18:$D$2015,"&lt;"&amp;AB60))</f>
        <v/>
      </c>
      <c r="AD59" s="14" t="n"/>
    </row>
    <row r="60">
      <c r="A60" s="56" t="n"/>
      <c r="B60" s="57" t="n"/>
      <c r="C60" s="59" t="n"/>
      <c r="E60" s="16" t="n"/>
      <c r="F60" s="13" t="n"/>
      <c r="G60" s="16" t="n">
        <v>55</v>
      </c>
      <c r="H60" s="124">
        <f>IF(G60="","",COUNTIFS($C$18:$C$2015,G$13,$D$18:$D$2015,"&gt;="&amp;G60,$D$18:$D$2015,"&lt;"&amp;G61))</f>
        <v/>
      </c>
      <c r="I60" s="14" t="n"/>
      <c r="J60" s="16" t="n"/>
      <c r="K60" s="124">
        <f>IF(J60="","",COUNTIFS($C$18:$C$2015,J$13,$D$18:$D$2015,"&gt;="&amp;J60,$D$18:$D$2015,"&lt;"&amp;J61))</f>
        <v/>
      </c>
      <c r="L60" s="14" t="n"/>
      <c r="M60" s="16" t="n"/>
      <c r="N60" s="124">
        <f>IF(M60="","",COUNTIFS($C$18:$C$2015,M$13,$D$18:$D$2015,"&gt;="&amp;M60,$D$18:$D$2015,"&lt;"&amp;M61))</f>
        <v/>
      </c>
      <c r="O60" s="14" t="n"/>
      <c r="P60" s="16" t="n">
        <v>55</v>
      </c>
      <c r="Q60" s="124">
        <f>IF(P60="","",COUNTIFS($C$18:$C$2015,P$13,$D$18:$D$2015,"&gt;="&amp;P60,$D$18:$D$2015,"&lt;"&amp;P61))</f>
        <v/>
      </c>
      <c r="R60" s="14" t="n"/>
      <c r="S60" s="16" t="n">
        <v>100</v>
      </c>
      <c r="T60" s="124">
        <f>IF(S60="","",COUNTIFS($C$18:$C$2015,S$13,$D$18:$D$2015,"&gt;="&amp;S60,$D$18:$D$2015,"&lt;"&amp;S61))</f>
        <v/>
      </c>
      <c r="U60" s="14" t="n"/>
      <c r="V60" s="16" t="n"/>
      <c r="W60" s="124">
        <f>IF(V60="","",COUNTIFS($C$18:$C$2015,V$13,$D$18:$D$2015,"&gt;="&amp;V60,$D$18:$D$2015,"&lt;"&amp;V61))</f>
        <v/>
      </c>
      <c r="X60" s="14" t="n"/>
      <c r="Y60" s="16" t="n"/>
      <c r="Z60" s="124">
        <f>IF(Y60="","",COUNTIFS($C$18:$C$2015,Y$13,$D$18:$D$2015,"&gt;="&amp;Y60,$D$18:$D$2015,"&lt;"&amp;Y61))</f>
        <v/>
      </c>
      <c r="AA60" s="14" t="n"/>
      <c r="AB60" s="16" t="n">
        <v>55</v>
      </c>
      <c r="AC60" s="124">
        <f>IF(AB60="","",COUNTIFS($C$18:$C$2015,AB$13,$D$18:$D$2015,"&gt;="&amp;AB60,$D$18:$D$2015,"&lt;"&amp;AB61))</f>
        <v/>
      </c>
      <c r="AD60" s="14" t="n"/>
    </row>
    <row r="61">
      <c r="A61" s="58" t="n"/>
      <c r="B61" s="59" t="n"/>
      <c r="C61" s="59" t="n"/>
      <c r="E61" s="16" t="n"/>
      <c r="F61" s="13" t="n"/>
      <c r="G61" s="16" t="n">
        <v>56</v>
      </c>
      <c r="H61" s="124">
        <f>IF(G61="","",COUNTIFS($C$18:$C$2015,G$13,$D$18:$D$2015,"&gt;="&amp;G61,$D$18:$D$2015,"&lt;"&amp;G62))</f>
        <v/>
      </c>
      <c r="I61" s="14" t="n"/>
      <c r="J61" s="16" t="n"/>
      <c r="K61" s="124">
        <f>IF(J61="","",COUNTIFS($C$18:$C$2015,J$13,$D$18:$D$2015,"&gt;="&amp;J61,$D$18:$D$2015,"&lt;"&amp;J62))</f>
        <v/>
      </c>
      <c r="L61" s="14" t="n"/>
      <c r="M61" s="16" t="n"/>
      <c r="N61" s="124">
        <f>IF(M61="","",COUNTIFS($C$18:$C$2015,M$13,$D$18:$D$2015,"&gt;="&amp;M61,$D$18:$D$2015,"&lt;"&amp;M62))</f>
        <v/>
      </c>
      <c r="O61" s="14" t="n"/>
      <c r="P61" s="16" t="n">
        <v>56</v>
      </c>
      <c r="Q61" s="124">
        <f>IF(P61="","",COUNTIFS($C$18:$C$2015,P$13,$D$18:$D$2015,"&gt;="&amp;P61,$D$18:$D$2015,"&lt;"&amp;P62))</f>
        <v/>
      </c>
      <c r="R61" s="14" t="n"/>
      <c r="S61" s="16" t="n"/>
      <c r="T61" s="124">
        <f>IF(S61="","",COUNTIFS($C$18:$C$2015,S$13,$D$18:$D$2015,"&gt;="&amp;S61,$D$18:$D$2015,"&lt;"&amp;S62))</f>
        <v/>
      </c>
      <c r="U61" s="14" t="n"/>
      <c r="V61" s="16" t="n"/>
      <c r="W61" s="124">
        <f>IF(V61="","",COUNTIFS($C$18:$C$2015,V$13,$D$18:$D$2015,"&gt;="&amp;V61,$D$18:$D$2015,"&lt;"&amp;V62))</f>
        <v/>
      </c>
      <c r="X61" s="14" t="n"/>
      <c r="Y61" s="16" t="n"/>
      <c r="Z61" s="124">
        <f>IF(Y61="","",COUNTIFS($C$18:$C$2015,Y$13,$D$18:$D$2015,"&gt;="&amp;Y61,$D$18:$D$2015,"&lt;"&amp;Y62))</f>
        <v/>
      </c>
      <c r="AA61" s="14" t="n"/>
      <c r="AB61" s="16" t="n">
        <v>56</v>
      </c>
      <c r="AC61" s="124">
        <f>IF(AB61="","",COUNTIFS($C$18:$C$2015,AB$13,$D$18:$D$2015,"&gt;="&amp;AB61,$D$18:$D$2015,"&lt;"&amp;AB62))</f>
        <v/>
      </c>
      <c r="AD61" s="14" t="n"/>
    </row>
    <row r="62">
      <c r="A62" s="56" t="n"/>
      <c r="B62" s="57" t="n"/>
      <c r="C62" s="59" t="n"/>
      <c r="E62" s="16" t="n"/>
      <c r="F62" s="13" t="n"/>
      <c r="G62" s="16" t="n">
        <v>57</v>
      </c>
      <c r="H62" s="124">
        <f>IF(G62="","",COUNTIFS($C$18:$C$2015,G$13,$D$18:$D$2015,"&gt;="&amp;G62,$D$18:$D$2015,"&lt;"&amp;G63))</f>
        <v/>
      </c>
      <c r="I62" s="14" t="n"/>
      <c r="J62" s="16" t="n"/>
      <c r="K62" s="124">
        <f>IF(J62="","",COUNTIFS($C$18:$C$2015,J$13,$D$18:$D$2015,"&gt;="&amp;J62,$D$18:$D$2015,"&lt;"&amp;J63))</f>
        <v/>
      </c>
      <c r="L62" s="14" t="n"/>
      <c r="M62" s="16" t="n"/>
      <c r="N62" s="124">
        <f>IF(M62="","",COUNTIFS($C$18:$C$2015,M$13,$D$18:$D$2015,"&gt;="&amp;M62,$D$18:$D$2015,"&lt;"&amp;M63))</f>
        <v/>
      </c>
      <c r="O62" s="14" t="n"/>
      <c r="P62" s="16" t="n">
        <v>57</v>
      </c>
      <c r="Q62" s="124">
        <f>IF(P62="","",COUNTIFS($C$18:$C$2015,P$13,$D$18:$D$2015,"&gt;="&amp;P62,$D$18:$D$2015,"&lt;"&amp;P63))</f>
        <v/>
      </c>
      <c r="R62" s="14" t="n"/>
      <c r="S62" s="16" t="n"/>
      <c r="T62" s="124">
        <f>IF(S62="","",COUNTIFS($C$18:$C$2015,S$13,$D$18:$D$2015,"&gt;="&amp;S62,$D$18:$D$2015,"&lt;"&amp;S63))</f>
        <v/>
      </c>
      <c r="U62" s="14" t="n"/>
      <c r="V62" s="16" t="n"/>
      <c r="W62" s="124">
        <f>IF(V62="","",COUNTIFS($C$18:$C$2015,V$13,$D$18:$D$2015,"&gt;="&amp;V62,$D$18:$D$2015,"&lt;"&amp;V63))</f>
        <v/>
      </c>
      <c r="X62" s="14" t="n"/>
      <c r="Y62" s="16" t="n"/>
      <c r="Z62" s="124">
        <f>IF(Y62="","",COUNTIFS($C$18:$C$2015,Y$13,$D$18:$D$2015,"&gt;="&amp;Y62,$D$18:$D$2015,"&lt;"&amp;Y63))</f>
        <v/>
      </c>
      <c r="AA62" s="14" t="n"/>
      <c r="AB62" s="16" t="n">
        <v>57</v>
      </c>
      <c r="AC62" s="124">
        <f>IF(AB62="","",COUNTIFS($C$18:$C$2015,AB$13,$D$18:$D$2015,"&gt;="&amp;AB62,$D$18:$D$2015,"&lt;"&amp;AB63))</f>
        <v/>
      </c>
      <c r="AD62" s="14" t="n"/>
    </row>
    <row r="63">
      <c r="A63" s="58" t="n"/>
      <c r="B63" s="59" t="n"/>
      <c r="C63" s="59" t="n"/>
      <c r="E63" s="16" t="n"/>
      <c r="F63" s="13" t="n"/>
      <c r="G63" s="16" t="n">
        <v>58</v>
      </c>
      <c r="H63" s="124">
        <f>IF(G63="","",COUNTIFS($C$18:$C$2015,G$13,$D$18:$D$2015,"&gt;="&amp;G63,$D$18:$D$2015,"&lt;"&amp;G64))</f>
        <v/>
      </c>
      <c r="I63" s="14" t="n"/>
      <c r="J63" s="16" t="n"/>
      <c r="K63" s="124">
        <f>IF(J63="","",COUNTIFS($C$18:$C$2015,J$13,$D$18:$D$2015,"&gt;="&amp;J63,$D$18:$D$2015,"&lt;"&amp;J64))</f>
        <v/>
      </c>
      <c r="L63" s="14" t="n"/>
      <c r="M63" s="16" t="n"/>
      <c r="N63" s="124">
        <f>IF(M63="","",COUNTIFS($C$18:$C$2015,M$13,$D$18:$D$2015,"&gt;="&amp;M63,$D$18:$D$2015,"&lt;"&amp;M64))</f>
        <v/>
      </c>
      <c r="O63" s="14" t="n"/>
      <c r="P63" s="16" t="n">
        <v>58</v>
      </c>
      <c r="Q63" s="124">
        <f>IF(P63="","",COUNTIFS($C$18:$C$2015,P$13,$D$18:$D$2015,"&gt;="&amp;P63,$D$18:$D$2015,"&lt;"&amp;P64))</f>
        <v/>
      </c>
      <c r="R63" s="14" t="n"/>
      <c r="S63" s="16" t="n"/>
      <c r="T63" s="124">
        <f>IF(S63="","",COUNTIFS($C$18:$C$2015,S$13,$D$18:$D$2015,"&gt;="&amp;S63,$D$18:$D$2015,"&lt;"&amp;S64))</f>
        <v/>
      </c>
      <c r="U63" s="14" t="n"/>
      <c r="V63" s="16" t="n"/>
      <c r="W63" s="124">
        <f>IF(V63="","",COUNTIFS($C$18:$C$2015,V$13,$D$18:$D$2015,"&gt;="&amp;V63,$D$18:$D$2015,"&lt;"&amp;V64))</f>
        <v/>
      </c>
      <c r="X63" s="14" t="n"/>
      <c r="Y63" s="16" t="n"/>
      <c r="Z63" s="124">
        <f>IF(Y63="","",COUNTIFS($C$18:$C$2015,Y$13,$D$18:$D$2015,"&gt;="&amp;Y63,$D$18:$D$2015,"&lt;"&amp;Y64))</f>
        <v/>
      </c>
      <c r="AA63" s="14" t="n"/>
      <c r="AB63" s="16" t="n">
        <v>58</v>
      </c>
      <c r="AC63" s="124">
        <f>IF(AB63="","",COUNTIFS($C$18:$C$2015,AB$13,$D$18:$D$2015,"&gt;="&amp;AB63,$D$18:$D$2015,"&lt;"&amp;AB64))</f>
        <v/>
      </c>
      <c r="AD63" s="14" t="n"/>
    </row>
    <row r="64">
      <c r="A64" s="56" t="n"/>
      <c r="B64" s="57" t="n"/>
      <c r="C64" s="59" t="n"/>
      <c r="E64" s="16" t="n"/>
      <c r="F64" s="13" t="n"/>
      <c r="G64" s="16" t="n">
        <v>59</v>
      </c>
      <c r="H64" s="124">
        <f>IF(G64="","",COUNTIFS($C$18:$C$2015,G$13,$D$18:$D$2015,"&gt;="&amp;G64,$D$18:$D$2015,"&lt;"&amp;G65))</f>
        <v/>
      </c>
      <c r="I64" s="14" t="n"/>
      <c r="J64" s="16" t="n"/>
      <c r="K64" s="124">
        <f>IF(J64="","",COUNTIFS($C$18:$C$2015,J$13,$D$18:$D$2015,"&gt;="&amp;J64,$D$18:$D$2015,"&lt;"&amp;J65))</f>
        <v/>
      </c>
      <c r="L64" s="14" t="n"/>
      <c r="M64" s="16" t="n"/>
      <c r="N64" s="124">
        <f>IF(M64="","",COUNTIFS($C$18:$C$2015,M$13,$D$18:$D$2015,"&gt;="&amp;M64,$D$18:$D$2015,"&lt;"&amp;M65))</f>
        <v/>
      </c>
      <c r="O64" s="14" t="n"/>
      <c r="P64" s="16" t="n">
        <v>59</v>
      </c>
      <c r="Q64" s="124">
        <f>IF(P64="","",COUNTIFS($C$18:$C$2015,P$13,$D$18:$D$2015,"&gt;="&amp;P64,$D$18:$D$2015,"&lt;"&amp;P65))</f>
        <v/>
      </c>
      <c r="R64" s="14" t="n"/>
      <c r="S64" s="16" t="n"/>
      <c r="T64" s="124">
        <f>IF(S64="","",COUNTIFS($C$18:$C$2015,S$13,$D$18:$D$2015,"&gt;="&amp;S64,$D$18:$D$2015,"&lt;"&amp;S65))</f>
        <v/>
      </c>
      <c r="U64" s="14" t="n"/>
      <c r="V64" s="16" t="n"/>
      <c r="W64" s="124">
        <f>IF(V64="","",COUNTIFS($C$18:$C$2015,V$13,$D$18:$D$2015,"&gt;="&amp;V64,$D$18:$D$2015,"&lt;"&amp;V65))</f>
        <v/>
      </c>
      <c r="X64" s="14" t="n"/>
      <c r="Y64" s="16" t="n"/>
      <c r="Z64" s="124">
        <f>IF(Y64="","",COUNTIFS($C$18:$C$2015,Y$13,$D$18:$D$2015,"&gt;="&amp;Y64,$D$18:$D$2015,"&lt;"&amp;Y65))</f>
        <v/>
      </c>
      <c r="AA64" s="14" t="n"/>
      <c r="AB64" s="16" t="n">
        <v>59</v>
      </c>
      <c r="AC64" s="124">
        <f>IF(AB64="","",COUNTIFS($C$18:$C$2015,AB$13,$D$18:$D$2015,"&gt;="&amp;AB64,$D$18:$D$2015,"&lt;"&amp;AB65))</f>
        <v/>
      </c>
      <c r="AD64" s="14" t="n"/>
    </row>
    <row r="65">
      <c r="A65" s="58" t="n"/>
      <c r="B65" s="59" t="n"/>
      <c r="C65" s="59" t="n"/>
      <c r="E65" s="16" t="n"/>
      <c r="F65" s="13" t="n"/>
      <c r="G65" s="16" t="n">
        <v>60</v>
      </c>
      <c r="H65" s="124">
        <f>IF(G65="","",COUNTIFS($C$18:$C$2015,G$13,$D$18:$D$2015,"&gt;="&amp;G65,$D$18:$D$2015,"&lt;"&amp;G66))</f>
        <v/>
      </c>
      <c r="I65" s="14" t="n"/>
      <c r="J65" s="16" t="n"/>
      <c r="K65" s="124">
        <f>IF(J65="","",COUNTIFS($C$18:$C$2015,J$13,$D$18:$D$2015,"&gt;="&amp;J65,$D$18:$D$2015,"&lt;"&amp;J66))</f>
        <v/>
      </c>
      <c r="L65" s="14" t="n"/>
      <c r="M65" s="16" t="n"/>
      <c r="N65" s="124">
        <f>IF(M65="","",COUNTIFS($C$18:$C$2015,M$13,$D$18:$D$2015,"&gt;="&amp;M65,$D$18:$D$2015,"&lt;"&amp;M66))</f>
        <v/>
      </c>
      <c r="O65" s="14" t="n"/>
      <c r="P65" s="16" t="n">
        <v>60</v>
      </c>
      <c r="Q65" s="124">
        <f>IF(P65="","",COUNTIFS($C$18:$C$2015,P$13,$D$18:$D$2015,"&gt;="&amp;P65,$D$18:$D$2015,"&lt;"&amp;P66))</f>
        <v/>
      </c>
      <c r="R65" s="14" t="n"/>
      <c r="S65" s="16" t="n"/>
      <c r="T65" s="124">
        <f>IF(S65="","",COUNTIFS($C$18:$C$2015,S$13,$D$18:$D$2015,"&gt;="&amp;S65,$D$18:$D$2015,"&lt;"&amp;S66))</f>
        <v/>
      </c>
      <c r="U65" s="14" t="n"/>
      <c r="V65" s="16" t="n"/>
      <c r="W65" s="124">
        <f>IF(V65="","",COUNTIFS($C$18:$C$2015,V$13,$D$18:$D$2015,"&gt;="&amp;V65,$D$18:$D$2015,"&lt;"&amp;V66))</f>
        <v/>
      </c>
      <c r="X65" s="14" t="n"/>
      <c r="Y65" s="16" t="n"/>
      <c r="Z65" s="124">
        <f>IF(Y65="","",COUNTIFS($C$18:$C$2015,Y$13,$D$18:$D$2015,"&gt;="&amp;Y65,$D$18:$D$2015,"&lt;"&amp;Y66))</f>
        <v/>
      </c>
      <c r="AA65" s="14" t="n"/>
      <c r="AB65" s="16" t="n">
        <v>60</v>
      </c>
      <c r="AC65" s="124">
        <f>IF(AB65="","",COUNTIFS($C$18:$C$2015,AB$13,$D$18:$D$2015,"&gt;="&amp;AB65,$D$18:$D$2015,"&lt;"&amp;AB66))</f>
        <v/>
      </c>
      <c r="AD65" s="14" t="n"/>
    </row>
    <row r="66">
      <c r="A66" s="56" t="n"/>
      <c r="B66" s="57" t="n"/>
      <c r="C66" s="59" t="n"/>
      <c r="E66" s="16" t="n"/>
      <c r="F66" s="13" t="n"/>
      <c r="G66" s="16" t="n">
        <v>61</v>
      </c>
      <c r="H66" s="124">
        <f>IF(G66="","",COUNTIFS($C$18:$C$2015,G$13,$D$18:$D$2015,"&gt;="&amp;G66,$D$18:$D$2015,"&lt;"&amp;G67))</f>
        <v/>
      </c>
      <c r="I66" s="14" t="n"/>
      <c r="J66" s="16" t="n"/>
      <c r="K66" s="124">
        <f>IF(J66="","",COUNTIFS($C$18:$C$2015,J$13,$D$18:$D$2015,"&gt;="&amp;J66,$D$18:$D$2015,"&lt;"&amp;J67))</f>
        <v/>
      </c>
      <c r="L66" s="14" t="n"/>
      <c r="M66" s="16" t="n"/>
      <c r="N66" s="124">
        <f>IF(M66="","",COUNTIFS($C$18:$C$2015,M$13,$D$18:$D$2015,"&gt;="&amp;M66,$D$18:$D$2015,"&lt;"&amp;M67))</f>
        <v/>
      </c>
      <c r="O66" s="14" t="n"/>
      <c r="P66" s="16" t="n">
        <v>61</v>
      </c>
      <c r="Q66" s="124">
        <f>IF(P66="","",COUNTIFS($C$18:$C$2015,P$13,$D$18:$D$2015,"&gt;="&amp;P66,$D$18:$D$2015,"&lt;"&amp;P67))</f>
        <v/>
      </c>
      <c r="R66" s="14" t="n"/>
      <c r="S66" s="16" t="n"/>
      <c r="T66" s="124">
        <f>IF(S66="","",COUNTIFS($C$18:$C$2015,S$13,$D$18:$D$2015,"&gt;="&amp;S66,$D$18:$D$2015,"&lt;"&amp;S67))</f>
        <v/>
      </c>
      <c r="U66" s="14" t="n"/>
      <c r="V66" s="16" t="n"/>
      <c r="W66" s="124">
        <f>IF(V66="","",COUNTIFS($C$18:$C$2015,V$13,$D$18:$D$2015,"&gt;="&amp;V66,$D$18:$D$2015,"&lt;"&amp;V67))</f>
        <v/>
      </c>
      <c r="X66" s="14" t="n"/>
      <c r="Y66" s="16" t="n"/>
      <c r="Z66" s="124">
        <f>IF(Y66="","",COUNTIFS($C$18:$C$2015,Y$13,$D$18:$D$2015,"&gt;="&amp;Y66,$D$18:$D$2015,"&lt;"&amp;Y67))</f>
        <v/>
      </c>
      <c r="AA66" s="14" t="n"/>
      <c r="AB66" s="16" t="n">
        <v>61</v>
      </c>
      <c r="AC66" s="124">
        <f>IF(AB66="","",COUNTIFS($C$18:$C$2015,AB$13,$D$18:$D$2015,"&gt;="&amp;AB66,$D$18:$D$2015,"&lt;"&amp;AB67))</f>
        <v/>
      </c>
      <c r="AD66" s="14" t="n"/>
    </row>
    <row r="67">
      <c r="A67" s="58" t="n"/>
      <c r="B67" s="59" t="n"/>
      <c r="C67" s="59" t="n"/>
      <c r="E67" s="16" t="n"/>
      <c r="F67" s="13" t="n"/>
      <c r="G67" s="16" t="n">
        <v>62</v>
      </c>
      <c r="H67" s="124">
        <f>IF(G67="","",COUNTIFS($C$18:$C$2015,G$13,$D$18:$D$2015,"&gt;="&amp;G67,$D$18:$D$2015,"&lt;"&amp;G68))</f>
        <v/>
      </c>
      <c r="I67" s="14" t="n"/>
      <c r="J67" s="16" t="n"/>
      <c r="K67" s="124">
        <f>IF(J67="","",COUNTIFS($C$18:$C$2015,J$13,$D$18:$D$2015,"&gt;="&amp;J67,$D$18:$D$2015,"&lt;"&amp;J68))</f>
        <v/>
      </c>
      <c r="L67" s="14" t="n"/>
      <c r="M67" s="16" t="n"/>
      <c r="N67" s="124">
        <f>IF(M67="","",COUNTIFS($C$18:$C$2015,M$13,$D$18:$D$2015,"&gt;="&amp;M67,$D$18:$D$2015,"&lt;"&amp;M68))</f>
        <v/>
      </c>
      <c r="O67" s="14" t="n"/>
      <c r="P67" s="16" t="n">
        <v>62</v>
      </c>
      <c r="Q67" s="124">
        <f>IF(P67="","",COUNTIFS($C$18:$C$2015,P$13,$D$18:$D$2015,"&gt;="&amp;P67,$D$18:$D$2015,"&lt;"&amp;P68))</f>
        <v/>
      </c>
      <c r="R67" s="14" t="n"/>
      <c r="S67" s="16" t="n"/>
      <c r="T67" s="124">
        <f>IF(S67="","",COUNTIFS($C$18:$C$2015,S$13,$D$18:$D$2015,"&gt;="&amp;S67,$D$18:$D$2015,"&lt;"&amp;S68))</f>
        <v/>
      </c>
      <c r="U67" s="14" t="n"/>
      <c r="V67" s="16" t="n"/>
      <c r="W67" s="124">
        <f>IF(V67="","",COUNTIFS($C$18:$C$2015,V$13,$D$18:$D$2015,"&gt;="&amp;V67,$D$18:$D$2015,"&lt;"&amp;V68))</f>
        <v/>
      </c>
      <c r="X67" s="14" t="n"/>
      <c r="Y67" s="16" t="n"/>
      <c r="Z67" s="124">
        <f>IF(Y67="","",COUNTIFS($C$18:$C$2015,Y$13,$D$18:$D$2015,"&gt;="&amp;Y67,$D$18:$D$2015,"&lt;"&amp;Y68))</f>
        <v/>
      </c>
      <c r="AA67" s="14" t="n"/>
      <c r="AB67" s="16" t="n">
        <v>62</v>
      </c>
      <c r="AC67" s="124">
        <f>IF(AB67="","",COUNTIFS($C$18:$C$2015,AB$13,$D$18:$D$2015,"&gt;="&amp;AB67,$D$18:$D$2015,"&lt;"&amp;AB68))</f>
        <v/>
      </c>
      <c r="AD67" s="14" t="n"/>
    </row>
    <row r="68">
      <c r="A68" s="56" t="n"/>
      <c r="B68" s="57" t="n"/>
      <c r="C68" s="59" t="n"/>
      <c r="E68" s="16" t="n"/>
      <c r="F68" s="13" t="n"/>
      <c r="G68" s="16" t="n">
        <v>63</v>
      </c>
      <c r="H68" s="124">
        <f>IF(G68="","",COUNTIFS($C$18:$C$2015,G$13,$D$18:$D$2015,"&gt;="&amp;G68,$D$18:$D$2015,"&lt;"&amp;G69))</f>
        <v/>
      </c>
      <c r="I68" s="14" t="n"/>
      <c r="J68" s="16" t="n"/>
      <c r="K68" s="124">
        <f>IF(J68="","",COUNTIFS($C$18:$C$2015,J$13,$D$18:$D$2015,"&gt;="&amp;J68,$D$18:$D$2015,"&lt;"&amp;J69))</f>
        <v/>
      </c>
      <c r="L68" s="14" t="n"/>
      <c r="M68" s="16" t="n"/>
      <c r="N68" s="124">
        <f>IF(M68="","",COUNTIFS($C$18:$C$2015,M$13,$D$18:$D$2015,"&gt;="&amp;M68,$D$18:$D$2015,"&lt;"&amp;M69))</f>
        <v/>
      </c>
      <c r="O68" s="14" t="n"/>
      <c r="P68" s="16" t="n">
        <v>63</v>
      </c>
      <c r="Q68" s="124">
        <f>IF(P68="","",COUNTIFS($C$18:$C$2015,P$13,$D$18:$D$2015,"&gt;="&amp;P68,$D$18:$D$2015,"&lt;"&amp;P69))</f>
        <v/>
      </c>
      <c r="R68" s="14" t="n"/>
      <c r="S68" s="16" t="n"/>
      <c r="T68" s="124">
        <f>IF(S68="","",COUNTIFS($C$18:$C$2015,S$13,$D$18:$D$2015,"&gt;="&amp;S68,$D$18:$D$2015,"&lt;"&amp;S69))</f>
        <v/>
      </c>
      <c r="U68" s="14" t="n"/>
      <c r="V68" s="16" t="n"/>
      <c r="W68" s="124">
        <f>IF(V68="","",COUNTIFS($C$18:$C$2015,V$13,$D$18:$D$2015,"&gt;="&amp;V68,$D$18:$D$2015,"&lt;"&amp;V69))</f>
        <v/>
      </c>
      <c r="X68" s="14" t="n"/>
      <c r="Y68" s="16" t="n"/>
      <c r="Z68" s="124">
        <f>IF(Y68="","",COUNTIFS($C$18:$C$2015,Y$13,$D$18:$D$2015,"&gt;="&amp;Y68,$D$18:$D$2015,"&lt;"&amp;Y69))</f>
        <v/>
      </c>
      <c r="AA68" s="14" t="n"/>
      <c r="AB68" s="16" t="n"/>
      <c r="AC68" s="124">
        <f>IF(AB68="","",COUNTIFS($C$18:$C$2015,AB$13,$D$18:$D$2015,"&gt;="&amp;AB68,$D$18:$D$2015,"&lt;"&amp;AB69))</f>
        <v/>
      </c>
      <c r="AD68" s="14" t="n"/>
    </row>
    <row r="69">
      <c r="A69" s="58" t="n"/>
      <c r="B69" s="59" t="n"/>
      <c r="C69" s="59" t="n"/>
      <c r="E69" s="16" t="n"/>
      <c r="F69" s="13" t="n"/>
      <c r="G69" s="16" t="n">
        <v>64</v>
      </c>
      <c r="H69" s="124">
        <f>IF(G69="","",COUNTIFS($C$18:$C$2015,G$13,$D$18:$D$2015,"&gt;="&amp;G69,$D$18:$D$2015,"&lt;"&amp;G70))</f>
        <v/>
      </c>
      <c r="I69" s="14" t="n"/>
      <c r="J69" s="16" t="n"/>
      <c r="K69" s="124">
        <f>IF(J69="","",COUNTIFS($C$18:$C$2015,J$13,$D$18:$D$2015,"&gt;="&amp;J69,$D$18:$D$2015,"&lt;"&amp;J70))</f>
        <v/>
      </c>
      <c r="L69" s="14" t="n"/>
      <c r="M69" s="16" t="n"/>
      <c r="N69" s="124">
        <f>IF(M69="","",COUNTIFS($C$18:$C$2015,M$13,$D$18:$D$2015,"&gt;="&amp;M69,$D$18:$D$2015,"&lt;"&amp;M70))</f>
        <v/>
      </c>
      <c r="O69" s="14" t="n"/>
      <c r="P69" s="16" t="n">
        <v>64</v>
      </c>
      <c r="Q69" s="124">
        <f>IF(P69="","",COUNTIFS($C$18:$C$2015,P$13,$D$18:$D$2015,"&gt;="&amp;P69,$D$18:$D$2015,"&lt;"&amp;P70))</f>
        <v/>
      </c>
      <c r="R69" s="14" t="n"/>
      <c r="S69" s="16" t="n"/>
      <c r="T69" s="124">
        <f>IF(S69="","",COUNTIFS($C$18:$C$2015,S$13,$D$18:$D$2015,"&gt;="&amp;S69,$D$18:$D$2015,"&lt;"&amp;S70))</f>
        <v/>
      </c>
      <c r="U69" s="14" t="n"/>
      <c r="V69" s="16" t="n"/>
      <c r="W69" s="124">
        <f>IF(V69="","",COUNTIFS($C$18:$C$2015,V$13,$D$18:$D$2015,"&gt;="&amp;V69,$D$18:$D$2015,"&lt;"&amp;V70))</f>
        <v/>
      </c>
      <c r="X69" s="14" t="n"/>
      <c r="Y69" s="16" t="n"/>
      <c r="Z69" s="124">
        <f>IF(Y69="","",COUNTIFS($C$18:$C$2015,Y$13,$D$18:$D$2015,"&gt;="&amp;Y69,$D$18:$D$2015,"&lt;"&amp;Y70))</f>
        <v/>
      </c>
      <c r="AA69" s="14" t="n"/>
      <c r="AB69" s="16" t="n"/>
      <c r="AC69" s="124">
        <f>IF(AB69="","",COUNTIFS($C$18:$C$2015,AB$13,$D$18:$D$2015,"&gt;="&amp;AB69,$D$18:$D$2015,"&lt;"&amp;AB70))</f>
        <v/>
      </c>
      <c r="AD69" s="14" t="n"/>
    </row>
    <row r="70">
      <c r="A70" s="56" t="n"/>
      <c r="B70" s="57" t="n"/>
      <c r="C70" s="59" t="n"/>
      <c r="E70" s="16" t="n"/>
      <c r="F70" s="13" t="n"/>
      <c r="G70" s="16" t="n">
        <v>65</v>
      </c>
      <c r="H70" s="124">
        <f>IF(G70="","",COUNTIFS($C$18:$C$2015,G$13,$D$18:$D$2015,"&gt;="&amp;G70,$D$18:$D$2015,"&lt;"&amp;G71))</f>
        <v/>
      </c>
      <c r="I70" s="14" t="n"/>
      <c r="J70" s="16" t="n"/>
      <c r="K70" s="124">
        <f>IF(J70="","",COUNTIFS($C$18:$C$2015,J$13,$D$18:$D$2015,"&gt;="&amp;J70,$D$18:$D$2015,"&lt;"&amp;J71))</f>
        <v/>
      </c>
      <c r="L70" s="14" t="n"/>
      <c r="M70" s="16" t="n"/>
      <c r="N70" s="124">
        <f>IF(M70="","",COUNTIFS($C$18:$C$2015,M$13,$D$18:$D$2015,"&gt;="&amp;M70,$D$18:$D$2015,"&lt;"&amp;M71))</f>
        <v/>
      </c>
      <c r="O70" s="14" t="n"/>
      <c r="P70" s="16" t="n">
        <v>65</v>
      </c>
      <c r="Q70" s="124">
        <f>IF(P70="","",COUNTIFS($C$18:$C$2015,P$13,$D$18:$D$2015,"&gt;="&amp;P70,$D$18:$D$2015,"&lt;"&amp;P71))</f>
        <v/>
      </c>
      <c r="R70" s="14" t="n"/>
      <c r="S70" s="16" t="n"/>
      <c r="T70" s="124">
        <f>IF(S70="","",COUNTIFS($C$18:$C$2015,S$13,$D$18:$D$2015,"&gt;="&amp;S70,$D$18:$D$2015,"&lt;"&amp;S71))</f>
        <v/>
      </c>
      <c r="U70" s="14" t="n"/>
      <c r="V70" s="16" t="n"/>
      <c r="W70" s="124">
        <f>IF(V70="","",COUNTIFS($C$18:$C$2015,V$13,$D$18:$D$2015,"&gt;="&amp;V70,$D$18:$D$2015,"&lt;"&amp;V71))</f>
        <v/>
      </c>
      <c r="X70" s="14" t="n"/>
      <c r="Y70" s="16" t="n"/>
      <c r="Z70" s="124">
        <f>IF(Y70="","",COUNTIFS($C$18:$C$2015,Y$13,$D$18:$D$2015,"&gt;="&amp;Y70,$D$18:$D$2015,"&lt;"&amp;Y71))</f>
        <v/>
      </c>
      <c r="AA70" s="14" t="n"/>
      <c r="AB70" s="16" t="n"/>
      <c r="AC70" s="124">
        <f>IF(AB70="","",COUNTIFS($C$18:$C$2015,AB$13,$D$18:$D$2015,"&gt;="&amp;AB70,$D$18:$D$2015,"&lt;"&amp;AB71))</f>
        <v/>
      </c>
      <c r="AD70" s="14" t="n"/>
    </row>
    <row r="71">
      <c r="A71" s="58" t="n"/>
      <c r="B71" s="59" t="n"/>
      <c r="C71" s="59" t="n"/>
      <c r="E71" s="16" t="n"/>
      <c r="F71" s="13" t="n"/>
      <c r="G71" s="16" t="n">
        <v>66</v>
      </c>
      <c r="H71" s="124">
        <f>IF(G71="","",COUNTIFS($C$18:$C$2015,G$13,$D$18:$D$2015,"&gt;="&amp;G71,$D$18:$D$2015,"&lt;"&amp;G72))</f>
        <v/>
      </c>
      <c r="I71" s="14" t="n"/>
      <c r="J71" s="16" t="n"/>
      <c r="K71" s="124">
        <f>IF(J71="","",COUNTIFS($C$18:$C$2015,J$13,$D$18:$D$2015,"&gt;="&amp;J71,$D$18:$D$2015,"&lt;"&amp;J72))</f>
        <v/>
      </c>
      <c r="L71" s="14" t="n"/>
      <c r="M71" s="16" t="n"/>
      <c r="N71" s="124">
        <f>IF(M71="","",COUNTIFS($C$18:$C$2015,M$13,$D$18:$D$2015,"&gt;="&amp;M71,$D$18:$D$2015,"&lt;"&amp;M72))</f>
        <v/>
      </c>
      <c r="O71" s="14" t="n"/>
      <c r="P71" s="16" t="n">
        <v>66</v>
      </c>
      <c r="Q71" s="124">
        <f>IF(P71="","",COUNTIFS($C$18:$C$2015,P$13,$D$18:$D$2015,"&gt;="&amp;P71,$D$18:$D$2015,"&lt;"&amp;P72))</f>
        <v/>
      </c>
      <c r="R71" s="14" t="n"/>
      <c r="S71" s="16" t="n"/>
      <c r="T71" s="124">
        <f>IF(S71="","",COUNTIFS($C$18:$C$2015,S$13,$D$18:$D$2015,"&gt;="&amp;S71,$D$18:$D$2015,"&lt;"&amp;S72))</f>
        <v/>
      </c>
      <c r="U71" s="14" t="n"/>
      <c r="V71" s="16" t="n"/>
      <c r="W71" s="124">
        <f>IF(V71="","",COUNTIFS($C$18:$C$2015,V$13,$D$18:$D$2015,"&gt;="&amp;V71,$D$18:$D$2015,"&lt;"&amp;V72))</f>
        <v/>
      </c>
      <c r="X71" s="14" t="n"/>
      <c r="Y71" s="16" t="n"/>
      <c r="Z71" s="124">
        <f>IF(Y71="","",COUNTIFS($C$18:$C$2015,Y$13,$D$18:$D$2015,"&gt;="&amp;Y71,$D$18:$D$2015,"&lt;"&amp;Y72))</f>
        <v/>
      </c>
      <c r="AA71" s="14" t="n"/>
      <c r="AB71" s="16" t="n"/>
      <c r="AC71" s="124">
        <f>IF(AB71="","",COUNTIFS($C$18:$C$2015,AB$13,$D$18:$D$2015,"&gt;="&amp;AB71,$D$18:$D$2015,"&lt;"&amp;AB72))</f>
        <v/>
      </c>
      <c r="AD71" s="14" t="n"/>
    </row>
    <row r="72">
      <c r="A72" s="56" t="n"/>
      <c r="B72" s="57" t="n"/>
      <c r="C72" s="59" t="n"/>
      <c r="E72" s="16" t="n"/>
      <c r="F72" s="13" t="n"/>
      <c r="G72" s="16" t="n">
        <v>67</v>
      </c>
      <c r="H72" s="124">
        <f>IF(G72="","",COUNTIFS($C$18:$C$2015,G$13,$D$18:$D$2015,"&gt;="&amp;G72,$D$18:$D$2015,"&lt;"&amp;G73))</f>
        <v/>
      </c>
      <c r="I72" s="14" t="n"/>
      <c r="J72" s="16" t="n"/>
      <c r="K72" s="124">
        <f>IF(J72="","",COUNTIFS($C$18:$C$2015,J$13,$D$18:$D$2015,"&gt;="&amp;J72,$D$18:$D$2015,"&lt;"&amp;J73))</f>
        <v/>
      </c>
      <c r="L72" s="14" t="n"/>
      <c r="M72" s="16" t="n"/>
      <c r="N72" s="124">
        <f>IF(M72="","",COUNTIFS($C$18:$C$2015,M$13,$D$18:$D$2015,"&gt;="&amp;M72,$D$18:$D$2015,"&lt;"&amp;M73))</f>
        <v/>
      </c>
      <c r="O72" s="14" t="n"/>
      <c r="P72" s="16" t="n">
        <v>67</v>
      </c>
      <c r="Q72" s="124">
        <f>IF(P72="","",COUNTIFS($C$18:$C$2015,P$13,$D$18:$D$2015,"&gt;="&amp;P72,$D$18:$D$2015,"&lt;"&amp;P73))</f>
        <v/>
      </c>
      <c r="R72" s="14" t="n"/>
      <c r="S72" s="16" t="n"/>
      <c r="T72" s="124">
        <f>IF(S72="","",COUNTIFS($C$18:$C$2015,S$13,$D$18:$D$2015,"&gt;="&amp;S72,$D$18:$D$2015,"&lt;"&amp;S73))</f>
        <v/>
      </c>
      <c r="U72" s="14" t="n"/>
      <c r="V72" s="16" t="n"/>
      <c r="W72" s="124">
        <f>IF(V72="","",COUNTIFS($C$18:$C$2015,V$13,$D$18:$D$2015,"&gt;="&amp;V72,$D$18:$D$2015,"&lt;"&amp;V73))</f>
        <v/>
      </c>
      <c r="X72" s="14" t="n"/>
      <c r="Y72" s="16" t="n"/>
      <c r="Z72" s="124">
        <f>IF(Y72="","",COUNTIFS($C$18:$C$2015,Y$13,$D$18:$D$2015,"&gt;="&amp;Y72,$D$18:$D$2015,"&lt;"&amp;Y73))</f>
        <v/>
      </c>
      <c r="AA72" s="14" t="n"/>
      <c r="AB72" s="16" t="n"/>
      <c r="AC72" s="124">
        <f>IF(AB72="","",COUNTIFS($C$18:$C$2015,AB$13,$D$18:$D$2015,"&gt;="&amp;AB72,$D$18:$D$2015,"&lt;"&amp;AB73))</f>
        <v/>
      </c>
      <c r="AD72" s="14" t="n"/>
    </row>
    <row r="73">
      <c r="A73" s="58" t="n"/>
      <c r="B73" s="59" t="n"/>
      <c r="C73" s="59" t="n"/>
      <c r="E73" s="16" t="n"/>
      <c r="F73" s="13" t="n"/>
      <c r="G73" s="16" t="n">
        <v>68</v>
      </c>
      <c r="H73" s="124">
        <f>IF(G73="","",COUNTIFS($C$18:$C$2015,G$13,$D$18:$D$2015,"&gt;="&amp;G73,$D$18:$D$2015,"&lt;"&amp;G74))</f>
        <v/>
      </c>
      <c r="I73" s="14" t="n"/>
      <c r="J73" s="16" t="n"/>
      <c r="K73" s="124">
        <f>IF(J73="","",COUNTIFS($C$18:$C$2015,J$13,$D$18:$D$2015,"&gt;="&amp;J73,$D$18:$D$2015,"&lt;"&amp;J74))</f>
        <v/>
      </c>
      <c r="L73" s="14" t="n"/>
      <c r="M73" s="16" t="n"/>
      <c r="N73" s="124">
        <f>IF(M73="","",COUNTIFS($C$18:$C$2015,M$13,$D$18:$D$2015,"&gt;="&amp;M73,$D$18:$D$2015,"&lt;"&amp;M74))</f>
        <v/>
      </c>
      <c r="O73" s="14" t="n"/>
      <c r="P73" s="16" t="n">
        <v>68</v>
      </c>
      <c r="Q73" s="124">
        <f>IF(P73="","",COUNTIFS($C$18:$C$2015,P$13,$D$18:$D$2015,"&gt;="&amp;P73,$D$18:$D$2015,"&lt;"&amp;P74))</f>
        <v/>
      </c>
      <c r="R73" s="14" t="n"/>
      <c r="S73" s="16" t="n"/>
      <c r="T73" s="124">
        <f>IF(S73="","",COUNTIFS($C$18:$C$2015,S$13,$D$18:$D$2015,"&gt;="&amp;S73,$D$18:$D$2015,"&lt;"&amp;S74))</f>
        <v/>
      </c>
      <c r="U73" s="14" t="n"/>
      <c r="V73" s="16" t="n"/>
      <c r="W73" s="124">
        <f>IF(V73="","",COUNTIFS($C$18:$C$2015,V$13,$D$18:$D$2015,"&gt;="&amp;V73,$D$18:$D$2015,"&lt;"&amp;V74))</f>
        <v/>
      </c>
      <c r="X73" s="14" t="n"/>
      <c r="Y73" s="16" t="n"/>
      <c r="Z73" s="124">
        <f>IF(Y73="","",COUNTIFS($C$18:$C$2015,Y$13,$D$18:$D$2015,"&gt;="&amp;Y73,$D$18:$D$2015,"&lt;"&amp;Y74))</f>
        <v/>
      </c>
      <c r="AA73" s="14" t="n"/>
      <c r="AB73" s="16" t="n"/>
      <c r="AC73" s="124">
        <f>IF(AB73="","",COUNTIFS($C$18:$C$2015,AB$13,$D$18:$D$2015,"&gt;="&amp;AB73,$D$18:$D$2015,"&lt;"&amp;AB74))</f>
        <v/>
      </c>
      <c r="AD73" s="14" t="n"/>
    </row>
    <row r="74">
      <c r="A74" s="56" t="n"/>
      <c r="B74" s="57" t="n"/>
      <c r="C74" s="59" t="n"/>
      <c r="E74" s="16" t="n"/>
      <c r="F74" s="13" t="n"/>
      <c r="G74" s="16" t="n">
        <v>69</v>
      </c>
      <c r="H74" s="124">
        <f>IF(G74="","",COUNTIFS($C$18:$C$2015,G$13,$D$18:$D$2015,"&gt;="&amp;G74,$D$18:$D$2015,"&lt;"&amp;G75))</f>
        <v/>
      </c>
      <c r="I74" s="14" t="n"/>
      <c r="J74" s="16" t="n"/>
      <c r="K74" s="124">
        <f>IF(J74="","",COUNTIFS($C$18:$C$2015,J$13,$D$18:$D$2015,"&gt;="&amp;J74,$D$18:$D$2015,"&lt;"&amp;J75))</f>
        <v/>
      </c>
      <c r="L74" s="14" t="n"/>
      <c r="M74" s="16" t="n"/>
      <c r="N74" s="124">
        <f>IF(M74="","",COUNTIFS($C$18:$C$2015,M$13,$D$18:$D$2015,"&gt;="&amp;M74,$D$18:$D$2015,"&lt;"&amp;M75))</f>
        <v/>
      </c>
      <c r="O74" s="14" t="n"/>
      <c r="P74" s="16" t="n">
        <v>69</v>
      </c>
      <c r="Q74" s="124">
        <f>IF(P74="","",COUNTIFS($C$18:$C$2015,P$13,$D$18:$D$2015,"&gt;="&amp;P74,$D$18:$D$2015,"&lt;"&amp;P75))</f>
        <v/>
      </c>
      <c r="R74" s="14" t="n"/>
      <c r="S74" s="16" t="n"/>
      <c r="T74" s="124">
        <f>IF(S74="","",COUNTIFS($C$18:$C$2015,S$13,$D$18:$D$2015,"&gt;="&amp;S74,$D$18:$D$2015,"&lt;"&amp;S75))</f>
        <v/>
      </c>
      <c r="U74" s="14" t="n"/>
      <c r="V74" s="16" t="n"/>
      <c r="W74" s="124">
        <f>IF(V74="","",COUNTIFS($C$18:$C$2015,V$13,$D$18:$D$2015,"&gt;="&amp;V74,$D$18:$D$2015,"&lt;"&amp;V75))</f>
        <v/>
      </c>
      <c r="X74" s="14" t="n"/>
      <c r="Y74" s="16" t="n"/>
      <c r="Z74" s="124">
        <f>IF(Y74="","",COUNTIFS($C$18:$C$2015,Y$13,$D$18:$D$2015,"&gt;="&amp;Y74,$D$18:$D$2015,"&lt;"&amp;Y75))</f>
        <v/>
      </c>
      <c r="AA74" s="14" t="n"/>
      <c r="AB74" s="16" t="n"/>
      <c r="AC74" s="124">
        <f>IF(AB74="","",COUNTIFS($C$18:$C$2015,AB$13,$D$18:$D$2015,"&gt;="&amp;AB74,$D$18:$D$2015,"&lt;"&amp;AB75))</f>
        <v/>
      </c>
      <c r="AD74" s="14" t="n"/>
    </row>
    <row r="75">
      <c r="A75" s="58" t="n"/>
      <c r="B75" s="59" t="n"/>
      <c r="C75" s="59" t="n"/>
      <c r="E75" s="16" t="n"/>
      <c r="F75" s="13" t="n"/>
      <c r="G75" s="16" t="n">
        <v>70</v>
      </c>
      <c r="H75" s="124">
        <f>IF(G75="","",COUNTIFS($C$18:$C$2015,G$13,$D$18:$D$2015,"&gt;="&amp;G75,$D$18:$D$2015,"&lt;"&amp;G76))</f>
        <v/>
      </c>
      <c r="I75" s="14" t="n"/>
      <c r="J75" s="16" t="n"/>
      <c r="K75" s="124">
        <f>IF(J75="","",COUNTIFS($C$18:$C$2015,J$13,$D$18:$D$2015,"&gt;="&amp;J75,$D$18:$D$2015,"&lt;"&amp;J76))</f>
        <v/>
      </c>
      <c r="L75" s="14" t="n"/>
      <c r="M75" s="16" t="n"/>
      <c r="N75" s="124">
        <f>IF(M75="","",COUNTIFS($C$18:$C$2015,M$13,$D$18:$D$2015,"&gt;="&amp;M75,$D$18:$D$2015,"&lt;"&amp;M76))</f>
        <v/>
      </c>
      <c r="O75" s="14" t="n"/>
      <c r="P75" s="16" t="n">
        <v>70</v>
      </c>
      <c r="Q75" s="124">
        <f>IF(P75="","",COUNTIFS($C$18:$C$2015,P$13,$D$18:$D$2015,"&gt;="&amp;P75,$D$18:$D$2015,"&lt;"&amp;P76))</f>
        <v/>
      </c>
      <c r="R75" s="14" t="n"/>
      <c r="S75" s="16" t="n"/>
      <c r="T75" s="124">
        <f>IF(S75="","",COUNTIFS($C$18:$C$2015,S$13,$D$18:$D$2015,"&gt;="&amp;S75,$D$18:$D$2015,"&lt;"&amp;S76))</f>
        <v/>
      </c>
      <c r="U75" s="14" t="n"/>
      <c r="V75" s="16" t="n"/>
      <c r="W75" s="124">
        <f>IF(V75="","",COUNTIFS($C$18:$C$2015,V$13,$D$18:$D$2015,"&gt;="&amp;V75,$D$18:$D$2015,"&lt;"&amp;V76))</f>
        <v/>
      </c>
      <c r="X75" s="14" t="n"/>
      <c r="Y75" s="16" t="n"/>
      <c r="Z75" s="124">
        <f>IF(Y75="","",COUNTIFS($C$18:$C$2015,Y$13,$D$18:$D$2015,"&gt;="&amp;Y75,$D$18:$D$2015,"&lt;"&amp;Y76))</f>
        <v/>
      </c>
      <c r="AA75" s="14" t="n"/>
      <c r="AB75" s="16" t="n"/>
      <c r="AC75" s="124">
        <f>IF(AB75="","",COUNTIFS($C$18:$C$2015,AB$13,$D$18:$D$2015,"&gt;="&amp;AB75,$D$18:$D$2015,"&lt;"&amp;AB76))</f>
        <v/>
      </c>
      <c r="AD75" s="14" t="n"/>
    </row>
    <row r="76">
      <c r="A76" s="56" t="n"/>
      <c r="B76" s="57" t="n"/>
      <c r="C76" s="59" t="n"/>
      <c r="E76" s="16" t="n"/>
      <c r="F76" s="13" t="n"/>
      <c r="G76" s="16" t="n">
        <v>71</v>
      </c>
      <c r="H76" s="124">
        <f>IF(G76="","",COUNTIFS($C$18:$C$2015,G$13,$D$18:$D$2015,"&gt;="&amp;G76,$D$18:$D$2015,"&lt;"&amp;G77))</f>
        <v/>
      </c>
      <c r="I76" s="14" t="n"/>
      <c r="J76" s="16" t="n"/>
      <c r="K76" s="124">
        <f>IF(J76="","",COUNTIFS($C$18:$C$2015,J$13,$D$18:$D$2015,"&gt;="&amp;J76,$D$18:$D$2015,"&lt;"&amp;J77))</f>
        <v/>
      </c>
      <c r="L76" s="14" t="n"/>
      <c r="M76" s="16" t="n"/>
      <c r="N76" s="124">
        <f>IF(M76="","",COUNTIFS($C$18:$C$2015,M$13,$D$18:$D$2015,"&gt;="&amp;M76,$D$18:$D$2015,"&lt;"&amp;M77))</f>
        <v/>
      </c>
      <c r="O76" s="14" t="n"/>
      <c r="P76" s="16" t="n">
        <v>71</v>
      </c>
      <c r="Q76" s="124">
        <f>IF(P76="","",COUNTIFS($C$18:$C$2015,P$13,$D$18:$D$2015,"&gt;="&amp;P76,$D$18:$D$2015,"&lt;"&amp;P77))</f>
        <v/>
      </c>
      <c r="R76" s="14" t="n"/>
      <c r="S76" s="16" t="n"/>
      <c r="T76" s="124">
        <f>IF(S76="","",COUNTIFS($C$18:$C$2015,S$13,$D$18:$D$2015,"&gt;="&amp;S76,$D$18:$D$2015,"&lt;"&amp;S77))</f>
        <v/>
      </c>
      <c r="U76" s="14" t="n"/>
      <c r="V76" s="16" t="n"/>
      <c r="W76" s="124">
        <f>IF(V76="","",COUNTIFS($C$18:$C$2015,V$13,$D$18:$D$2015,"&gt;="&amp;V76,$D$18:$D$2015,"&lt;"&amp;V77))</f>
        <v/>
      </c>
      <c r="X76" s="14" t="n"/>
      <c r="Y76" s="16" t="n"/>
      <c r="Z76" s="124">
        <f>IF(Y76="","",COUNTIFS($C$18:$C$2015,Y$13,$D$18:$D$2015,"&gt;="&amp;Y76,$D$18:$D$2015,"&lt;"&amp;Y77))</f>
        <v/>
      </c>
      <c r="AA76" s="14" t="n"/>
      <c r="AB76" s="16" t="n"/>
      <c r="AC76" s="124">
        <f>IF(AB76="","",COUNTIFS($C$18:$C$2015,AB$13,$D$18:$D$2015,"&gt;="&amp;AB76,$D$18:$D$2015,"&lt;"&amp;AB77))</f>
        <v/>
      </c>
      <c r="AD76" s="14" t="n"/>
    </row>
    <row r="77">
      <c r="A77" s="58" t="n"/>
      <c r="B77" s="59" t="n"/>
      <c r="C77" s="59" t="n"/>
      <c r="E77" s="16" t="n"/>
      <c r="F77" s="13" t="n"/>
      <c r="G77" s="16" t="n">
        <v>72</v>
      </c>
      <c r="H77" s="124">
        <f>IF(G77="","",COUNTIFS($C$18:$C$2015,G$13,$D$18:$D$2015,"&gt;="&amp;G77,$D$18:$D$2015,"&lt;"&amp;G78))</f>
        <v/>
      </c>
      <c r="I77" s="14" t="n"/>
      <c r="J77" s="16" t="n"/>
      <c r="K77" s="124">
        <f>IF(J77="","",COUNTIFS($C$18:$C$2015,J$13,$D$18:$D$2015,"&gt;="&amp;J77,$D$18:$D$2015,"&lt;"&amp;J78))</f>
        <v/>
      </c>
      <c r="L77" s="14" t="n"/>
      <c r="M77" s="16" t="n"/>
      <c r="N77" s="124">
        <f>IF(M77="","",COUNTIFS($C$18:$C$2015,M$13,$D$18:$D$2015,"&gt;="&amp;M77,$D$18:$D$2015,"&lt;"&amp;M78))</f>
        <v/>
      </c>
      <c r="O77" s="14" t="n"/>
      <c r="P77" s="16" t="n">
        <v>72</v>
      </c>
      <c r="Q77" s="124">
        <f>IF(P77="","",COUNTIFS($C$18:$C$2015,P$13,$D$18:$D$2015,"&gt;="&amp;P77,$D$18:$D$2015,"&lt;"&amp;P78))</f>
        <v/>
      </c>
      <c r="R77" s="14" t="n"/>
      <c r="S77" s="16" t="n"/>
      <c r="T77" s="124">
        <f>IF(S77="","",COUNTIFS($C$18:$C$2015,S$13,$D$18:$D$2015,"&gt;="&amp;S77,$D$18:$D$2015,"&lt;"&amp;S78))</f>
        <v/>
      </c>
      <c r="U77" s="14" t="n"/>
      <c r="V77" s="16" t="n"/>
      <c r="W77" s="124">
        <f>IF(V77="","",COUNTIFS($C$18:$C$2015,V$13,$D$18:$D$2015,"&gt;="&amp;V77,$D$18:$D$2015,"&lt;"&amp;V78))</f>
        <v/>
      </c>
      <c r="X77" s="14" t="n"/>
      <c r="Y77" s="16" t="n"/>
      <c r="Z77" s="124">
        <f>IF(Y77="","",COUNTIFS($C$18:$C$2015,Y$13,$D$18:$D$2015,"&gt;="&amp;Y77,$D$18:$D$2015,"&lt;"&amp;Y78))</f>
        <v/>
      </c>
      <c r="AA77" s="14" t="n"/>
      <c r="AB77" s="16" t="n"/>
      <c r="AC77" s="124">
        <f>IF(AB77="","",COUNTIFS($C$18:$C$2015,AB$13,$D$18:$D$2015,"&gt;="&amp;AB77,$D$18:$D$2015,"&lt;"&amp;AB78))</f>
        <v/>
      </c>
      <c r="AD77" s="14" t="n"/>
    </row>
    <row r="78">
      <c r="A78" s="56" t="n"/>
      <c r="B78" s="57" t="n"/>
      <c r="C78" s="59" t="n"/>
      <c r="E78" s="16" t="n"/>
      <c r="F78" s="13" t="n"/>
      <c r="G78" s="16" t="n">
        <v>73</v>
      </c>
      <c r="H78" s="124">
        <f>IF(G78="","",COUNTIFS($C$18:$C$2015,G$13,$D$18:$D$2015,"&gt;="&amp;G78,$D$18:$D$2015,"&lt;"&amp;G79))</f>
        <v/>
      </c>
      <c r="I78" s="14" t="n"/>
      <c r="J78" s="16" t="n"/>
      <c r="K78" s="124">
        <f>IF(J78="","",COUNTIFS($C$18:$C$2015,J$13,$D$18:$D$2015,"&gt;="&amp;J78,$D$18:$D$2015,"&lt;"&amp;J79))</f>
        <v/>
      </c>
      <c r="L78" s="14" t="n"/>
      <c r="M78" s="16" t="n"/>
      <c r="N78" s="124">
        <f>IF(M78="","",COUNTIFS($C$18:$C$2015,M$13,$D$18:$D$2015,"&gt;="&amp;M78,$D$18:$D$2015,"&lt;"&amp;M79))</f>
        <v/>
      </c>
      <c r="O78" s="14" t="n"/>
      <c r="P78" s="16" t="n">
        <v>73</v>
      </c>
      <c r="Q78" s="124">
        <f>IF(P78="","",COUNTIFS($C$18:$C$2015,P$13,$D$18:$D$2015,"&gt;="&amp;P78,$D$18:$D$2015,"&lt;"&amp;P79))</f>
        <v/>
      </c>
      <c r="R78" s="14" t="n"/>
      <c r="S78" s="16" t="n"/>
      <c r="T78" s="124">
        <f>IF(S78="","",COUNTIFS($C$18:$C$2015,S$13,$D$18:$D$2015,"&gt;="&amp;S78,$D$18:$D$2015,"&lt;"&amp;S79))</f>
        <v/>
      </c>
      <c r="U78" s="14" t="n"/>
      <c r="V78" s="16" t="n"/>
      <c r="W78" s="124">
        <f>IF(V78="","",COUNTIFS($C$18:$C$2015,V$13,$D$18:$D$2015,"&gt;="&amp;V78,$D$18:$D$2015,"&lt;"&amp;V79))</f>
        <v/>
      </c>
      <c r="X78" s="14" t="n"/>
      <c r="Y78" s="16" t="n"/>
      <c r="Z78" s="124">
        <f>IF(Y78="","",COUNTIFS($C$18:$C$2015,Y$13,$D$18:$D$2015,"&gt;="&amp;Y78,$D$18:$D$2015,"&lt;"&amp;Y79))</f>
        <v/>
      </c>
      <c r="AA78" s="14" t="n"/>
      <c r="AB78" s="16" t="n"/>
      <c r="AC78" s="124">
        <f>IF(AB78="","",COUNTIFS($C$18:$C$2015,AB$13,$D$18:$D$2015,"&gt;="&amp;AB78,$D$18:$D$2015,"&lt;"&amp;AB79))</f>
        <v/>
      </c>
      <c r="AD78" s="14" t="n"/>
    </row>
    <row r="79">
      <c r="A79" s="58" t="n"/>
      <c r="B79" s="59" t="n"/>
      <c r="C79" s="59" t="n"/>
      <c r="E79" s="16" t="n"/>
      <c r="F79" s="13" t="n"/>
      <c r="G79" s="16" t="n">
        <v>74</v>
      </c>
      <c r="H79" s="124">
        <f>IF(G79="","",COUNTIFS($C$18:$C$2015,G$13,$D$18:$D$2015,"&gt;="&amp;G79,$D$18:$D$2015,"&lt;"&amp;G80))</f>
        <v/>
      </c>
      <c r="I79" s="14" t="n"/>
      <c r="J79" s="16" t="n"/>
      <c r="K79" s="124">
        <f>IF(J79="","",COUNTIFS($C$18:$C$2015,J$13,$D$18:$D$2015,"&gt;="&amp;J79,$D$18:$D$2015,"&lt;"&amp;J80))</f>
        <v/>
      </c>
      <c r="L79" s="14" t="n"/>
      <c r="M79" s="16" t="n"/>
      <c r="N79" s="124">
        <f>IF(M79="","",COUNTIFS($C$18:$C$2015,M$13,$D$18:$D$2015,"&gt;="&amp;M79,$D$18:$D$2015,"&lt;"&amp;M80))</f>
        <v/>
      </c>
      <c r="O79" s="14" t="n"/>
      <c r="P79" s="16" t="n">
        <v>74</v>
      </c>
      <c r="Q79" s="124">
        <f>IF(P79="","",COUNTIFS($C$18:$C$2015,P$13,$D$18:$D$2015,"&gt;="&amp;P79,$D$18:$D$2015,"&lt;"&amp;P80))</f>
        <v/>
      </c>
      <c r="R79" s="14" t="n"/>
      <c r="S79" s="16" t="n"/>
      <c r="T79" s="124">
        <f>IF(S79="","",COUNTIFS($C$18:$C$2015,S$13,$D$18:$D$2015,"&gt;="&amp;S79,$D$18:$D$2015,"&lt;"&amp;S80))</f>
        <v/>
      </c>
      <c r="U79" s="14" t="n"/>
      <c r="V79" s="16" t="n"/>
      <c r="W79" s="124">
        <f>IF(V79="","",COUNTIFS($C$18:$C$2015,V$13,$D$18:$D$2015,"&gt;="&amp;V79,$D$18:$D$2015,"&lt;"&amp;V80))</f>
        <v/>
      </c>
      <c r="X79" s="14" t="n"/>
      <c r="Y79" s="16" t="n"/>
      <c r="Z79" s="124">
        <f>IF(Y79="","",COUNTIFS($C$18:$C$2015,Y$13,$D$18:$D$2015,"&gt;="&amp;Y79,$D$18:$D$2015,"&lt;"&amp;Y80))</f>
        <v/>
      </c>
      <c r="AA79" s="14" t="n"/>
      <c r="AB79" s="16" t="n"/>
      <c r="AC79" s="124">
        <f>IF(AB79="","",COUNTIFS($C$18:$C$2015,AB$13,$D$18:$D$2015,"&gt;="&amp;AB79,$D$18:$D$2015,"&lt;"&amp;AB80))</f>
        <v/>
      </c>
      <c r="AD79" s="14" t="n"/>
    </row>
    <row r="80">
      <c r="A80" s="56" t="n"/>
      <c r="B80" s="57" t="n"/>
      <c r="C80" s="59" t="n"/>
      <c r="E80" s="16" t="n"/>
      <c r="F80" s="13" t="n"/>
      <c r="G80" s="16" t="n">
        <v>75</v>
      </c>
      <c r="H80" s="124">
        <f>IF(G80="","",COUNTIFS($C$18:$C$2015,G$13,$D$18:$D$2015,"&gt;="&amp;G80,$D$18:$D$2015,"&lt;"&amp;G81))</f>
        <v/>
      </c>
      <c r="I80" s="14" t="n"/>
      <c r="J80" s="16" t="n"/>
      <c r="K80" s="124">
        <f>IF(J80="","",COUNTIFS($C$18:$C$2015,J$13,$D$18:$D$2015,"&gt;="&amp;J80,$D$18:$D$2015,"&lt;"&amp;J81))</f>
        <v/>
      </c>
      <c r="L80" s="14" t="n"/>
      <c r="M80" s="16" t="n"/>
      <c r="N80" s="124">
        <f>IF(M80="","",COUNTIFS($C$18:$C$2015,M$13,$D$18:$D$2015,"&gt;="&amp;M80,$D$18:$D$2015,"&lt;"&amp;M81))</f>
        <v/>
      </c>
      <c r="O80" s="14" t="n"/>
      <c r="P80" s="16" t="n">
        <v>75</v>
      </c>
      <c r="Q80" s="124">
        <f>IF(P80="","",COUNTIFS($C$18:$C$2015,P$13,$D$18:$D$2015,"&gt;="&amp;P80,$D$18:$D$2015,"&lt;"&amp;P81))</f>
        <v/>
      </c>
      <c r="R80" s="14" t="n"/>
      <c r="S80" s="16" t="n"/>
      <c r="T80" s="124">
        <f>IF(S80="","",COUNTIFS($C$18:$C$2015,S$13,$D$18:$D$2015,"&gt;="&amp;S80,$D$18:$D$2015,"&lt;"&amp;S81))</f>
        <v/>
      </c>
      <c r="U80" s="14" t="n"/>
      <c r="V80" s="16" t="n"/>
      <c r="W80" s="124">
        <f>IF(V80="","",COUNTIFS($C$18:$C$2015,V$13,$D$18:$D$2015,"&gt;="&amp;V80,$D$18:$D$2015,"&lt;"&amp;V81))</f>
        <v/>
      </c>
      <c r="X80" s="14" t="n"/>
      <c r="Y80" s="16" t="n"/>
      <c r="Z80" s="124">
        <f>IF(Y80="","",COUNTIFS($C$18:$C$2015,Y$13,$D$18:$D$2015,"&gt;="&amp;Y80,$D$18:$D$2015,"&lt;"&amp;Y81))</f>
        <v/>
      </c>
      <c r="AA80" s="14" t="n"/>
      <c r="AB80" s="16" t="n"/>
      <c r="AC80" s="124">
        <f>IF(AB80="","",COUNTIFS($C$18:$C$2015,AB$13,$D$18:$D$2015,"&gt;="&amp;AB80,$D$18:$D$2015,"&lt;"&amp;AB81))</f>
        <v/>
      </c>
      <c r="AD80" s="14" t="n"/>
    </row>
    <row r="81">
      <c r="A81" s="58" t="n"/>
      <c r="B81" s="59" t="n"/>
      <c r="C81" s="59" t="n"/>
      <c r="E81" s="16" t="n"/>
      <c r="F81" s="13" t="n"/>
      <c r="G81" s="16" t="n">
        <v>76</v>
      </c>
      <c r="H81" s="124">
        <f>IF(G81="","",COUNTIFS($C$18:$C$2015,G$13,$D$18:$D$2015,"&gt;="&amp;G81,$D$18:$D$2015,"&lt;"&amp;G82))</f>
        <v/>
      </c>
      <c r="I81" s="14" t="n"/>
      <c r="J81" s="16" t="n"/>
      <c r="K81" s="124">
        <f>IF(J81="","",COUNTIFS($C$18:$C$2015,J$13,$D$18:$D$2015,"&gt;="&amp;J81,$D$18:$D$2015,"&lt;"&amp;J82))</f>
        <v/>
      </c>
      <c r="L81" s="14" t="n"/>
      <c r="M81" s="16" t="n"/>
      <c r="N81" s="124">
        <f>IF(M81="","",COUNTIFS($C$18:$C$2015,M$13,$D$18:$D$2015,"&gt;="&amp;M81,$D$18:$D$2015,"&lt;"&amp;M82))</f>
        <v/>
      </c>
      <c r="O81" s="14" t="n"/>
      <c r="P81" s="16" t="n">
        <v>76</v>
      </c>
      <c r="Q81" s="124">
        <f>IF(P81="","",COUNTIFS($C$18:$C$2015,P$13,$D$18:$D$2015,"&gt;="&amp;P81,$D$18:$D$2015,"&lt;"&amp;P82))</f>
        <v/>
      </c>
      <c r="R81" s="14" t="n"/>
      <c r="S81" s="16" t="n"/>
      <c r="T81" s="124">
        <f>IF(S81="","",COUNTIFS($C$18:$C$2015,S$13,$D$18:$D$2015,"&gt;="&amp;S81,$D$18:$D$2015,"&lt;"&amp;S82))</f>
        <v/>
      </c>
      <c r="U81" s="14" t="n"/>
      <c r="V81" s="16" t="n"/>
      <c r="W81" s="124">
        <f>IF(V81="","",COUNTIFS($C$18:$C$2015,V$13,$D$18:$D$2015,"&gt;="&amp;V81,$D$18:$D$2015,"&lt;"&amp;V82))</f>
        <v/>
      </c>
      <c r="X81" s="14" t="n"/>
      <c r="Y81" s="16" t="n"/>
      <c r="Z81" s="124">
        <f>IF(Y81="","",COUNTIFS($C$18:$C$2015,Y$13,$D$18:$D$2015,"&gt;="&amp;Y81,$D$18:$D$2015,"&lt;"&amp;Y82))</f>
        <v/>
      </c>
      <c r="AA81" s="14" t="n"/>
      <c r="AB81" s="16" t="n"/>
      <c r="AC81" s="124">
        <f>IF(AB81="","",COUNTIFS($C$18:$C$2015,AB$13,$D$18:$D$2015,"&gt;="&amp;AB81,$D$18:$D$2015,"&lt;"&amp;AB82))</f>
        <v/>
      </c>
      <c r="AD81" s="14" t="n"/>
    </row>
    <row r="82">
      <c r="A82" s="56" t="n"/>
      <c r="B82" s="57" t="n"/>
      <c r="C82" s="59" t="n"/>
      <c r="E82" s="16" t="n"/>
      <c r="F82" s="13" t="n"/>
      <c r="G82" s="16" t="n">
        <v>77</v>
      </c>
      <c r="H82" s="124">
        <f>IF(G82="","",COUNTIFS($C$18:$C$2015,G$13,$D$18:$D$2015,"&gt;="&amp;G82,$D$18:$D$2015,"&lt;"&amp;G83))</f>
        <v/>
      </c>
      <c r="I82" s="14" t="n"/>
      <c r="J82" s="16" t="n"/>
      <c r="K82" s="124">
        <f>IF(J82="","",COUNTIFS($C$18:$C$2015,J$13,$D$18:$D$2015,"&gt;="&amp;J82,$D$18:$D$2015,"&lt;"&amp;J83))</f>
        <v/>
      </c>
      <c r="L82" s="14" t="n"/>
      <c r="M82" s="16" t="n"/>
      <c r="N82" s="124">
        <f>IF(M82="","",COUNTIFS($C$18:$C$2015,M$13,$D$18:$D$2015,"&gt;="&amp;M82,$D$18:$D$2015,"&lt;"&amp;M83))</f>
        <v/>
      </c>
      <c r="O82" s="14" t="n"/>
      <c r="P82" s="16" t="n">
        <v>77</v>
      </c>
      <c r="Q82" s="124">
        <f>IF(P82="","",COUNTIFS($C$18:$C$2015,P$13,$D$18:$D$2015,"&gt;="&amp;P82,$D$18:$D$2015,"&lt;"&amp;P83))</f>
        <v/>
      </c>
      <c r="R82" s="14" t="n"/>
      <c r="S82" s="16" t="n"/>
      <c r="T82" s="124">
        <f>IF(S82="","",COUNTIFS($C$18:$C$2015,S$13,$D$18:$D$2015,"&gt;="&amp;S82,$D$18:$D$2015,"&lt;"&amp;S83))</f>
        <v/>
      </c>
      <c r="U82" s="14" t="n"/>
      <c r="V82" s="16" t="n"/>
      <c r="W82" s="124">
        <f>IF(V82="","",COUNTIFS($C$18:$C$2015,V$13,$D$18:$D$2015,"&gt;="&amp;V82,$D$18:$D$2015,"&lt;"&amp;V83))</f>
        <v/>
      </c>
      <c r="X82" s="14" t="n"/>
      <c r="Y82" s="16" t="n"/>
      <c r="Z82" s="124">
        <f>IF(Y82="","",COUNTIFS($C$18:$C$2015,Y$13,$D$18:$D$2015,"&gt;="&amp;Y82,$D$18:$D$2015,"&lt;"&amp;Y83))</f>
        <v/>
      </c>
      <c r="AA82" s="14" t="n"/>
      <c r="AB82" s="16" t="n"/>
      <c r="AC82" s="124">
        <f>IF(AB82="","",COUNTIFS($C$18:$C$2015,AB$13,$D$18:$D$2015,"&gt;="&amp;AB82,$D$18:$D$2015,"&lt;"&amp;AB83))</f>
        <v/>
      </c>
      <c r="AD82" s="14" t="n"/>
    </row>
    <row r="83">
      <c r="A83" s="58" t="n"/>
      <c r="B83" s="59" t="n"/>
      <c r="C83" s="59" t="n"/>
      <c r="E83" s="16" t="n"/>
      <c r="F83" s="13" t="n"/>
      <c r="G83" s="16" t="n">
        <v>78</v>
      </c>
      <c r="H83" s="124">
        <f>IF(G83="","",COUNTIFS($C$18:$C$2015,G$13,$D$18:$D$2015,"&gt;="&amp;G83,$D$18:$D$2015,"&lt;"&amp;G84))</f>
        <v/>
      </c>
      <c r="I83" s="14" t="n"/>
      <c r="J83" s="16" t="n"/>
      <c r="K83" s="124">
        <f>IF(J83="","",COUNTIFS($C$18:$C$2015,J$13,$D$18:$D$2015,"&gt;="&amp;J83,$D$18:$D$2015,"&lt;"&amp;J84))</f>
        <v/>
      </c>
      <c r="L83" s="14" t="n"/>
      <c r="M83" s="16" t="n"/>
      <c r="N83" s="124">
        <f>IF(M83="","",COUNTIFS($C$18:$C$2015,M$13,$D$18:$D$2015,"&gt;="&amp;M83,$D$18:$D$2015,"&lt;"&amp;M84))</f>
        <v/>
      </c>
      <c r="O83" s="14" t="n"/>
      <c r="P83" s="16" t="n">
        <v>78</v>
      </c>
      <c r="Q83" s="124">
        <f>IF(P83="","",COUNTIFS($C$18:$C$2015,P$13,$D$18:$D$2015,"&gt;="&amp;P83,$D$18:$D$2015,"&lt;"&amp;P84))</f>
        <v/>
      </c>
      <c r="R83" s="14" t="n"/>
      <c r="S83" s="16" t="n"/>
      <c r="T83" s="124">
        <f>IF(S83="","",COUNTIFS($C$18:$C$2015,S$13,$D$18:$D$2015,"&gt;="&amp;S83,$D$18:$D$2015,"&lt;"&amp;S84))</f>
        <v/>
      </c>
      <c r="U83" s="14" t="n"/>
      <c r="V83" s="16" t="n"/>
      <c r="W83" s="124">
        <f>IF(V83="","",COUNTIFS($C$18:$C$2015,V$13,$D$18:$D$2015,"&gt;="&amp;V83,$D$18:$D$2015,"&lt;"&amp;V84))</f>
        <v/>
      </c>
      <c r="X83" s="14" t="n"/>
      <c r="Y83" s="16" t="n"/>
      <c r="Z83" s="124">
        <f>IF(Y83="","",COUNTIFS($C$18:$C$2015,Y$13,$D$18:$D$2015,"&gt;="&amp;Y83,$D$18:$D$2015,"&lt;"&amp;Y84))</f>
        <v/>
      </c>
      <c r="AA83" s="14" t="n"/>
      <c r="AB83" s="16" t="n"/>
      <c r="AC83" s="124">
        <f>IF(AB83="","",COUNTIFS($C$18:$C$2015,AB$13,$D$18:$D$2015,"&gt;="&amp;AB83,$D$18:$D$2015,"&lt;"&amp;AB84))</f>
        <v/>
      </c>
      <c r="AD83" s="14" t="n"/>
    </row>
    <row r="84">
      <c r="A84" s="56" t="n"/>
      <c r="B84" s="57" t="n"/>
      <c r="C84" s="59" t="n"/>
      <c r="E84" s="16" t="n"/>
      <c r="F84" s="13" t="n"/>
      <c r="G84" s="16" t="n">
        <v>79</v>
      </c>
      <c r="H84" s="124">
        <f>IF(G84="","",COUNTIFS($C$18:$C$2015,G$13,$D$18:$D$2015,"&gt;="&amp;G84,$D$18:$D$2015,"&lt;"&amp;G85))</f>
        <v/>
      </c>
      <c r="I84" s="14" t="n"/>
      <c r="J84" s="16" t="n"/>
      <c r="K84" s="124">
        <f>IF(J84="","",COUNTIFS($C$18:$C$2015,J$13,$D$18:$D$2015,"&gt;="&amp;J84,$D$18:$D$2015,"&lt;"&amp;J85))</f>
        <v/>
      </c>
      <c r="L84" s="14" t="n"/>
      <c r="M84" s="16" t="n"/>
      <c r="N84" s="124">
        <f>IF(M84="","",COUNTIFS($C$18:$C$2015,M$13,$D$18:$D$2015,"&gt;="&amp;M84,$D$18:$D$2015,"&lt;"&amp;M85))</f>
        <v/>
      </c>
      <c r="O84" s="14" t="n"/>
      <c r="P84" s="16" t="n">
        <v>79</v>
      </c>
      <c r="Q84" s="124">
        <f>IF(P84="","",COUNTIFS($C$18:$C$2015,P$13,$D$18:$D$2015,"&gt;="&amp;P84,$D$18:$D$2015,"&lt;"&amp;P85))</f>
        <v/>
      </c>
      <c r="R84" s="14" t="n"/>
      <c r="S84" s="16" t="n"/>
      <c r="T84" s="124">
        <f>IF(S84="","",COUNTIFS($C$18:$C$2015,S$13,$D$18:$D$2015,"&gt;="&amp;S84,$D$18:$D$2015,"&lt;"&amp;S85))</f>
        <v/>
      </c>
      <c r="U84" s="14" t="n"/>
      <c r="V84" s="16" t="n"/>
      <c r="W84" s="124">
        <f>IF(V84="","",COUNTIFS($C$18:$C$2015,V$13,$D$18:$D$2015,"&gt;="&amp;V84,$D$18:$D$2015,"&lt;"&amp;V85))</f>
        <v/>
      </c>
      <c r="X84" s="14" t="n"/>
      <c r="Y84" s="16" t="n"/>
      <c r="Z84" s="124">
        <f>IF(Y84="","",COUNTIFS($C$18:$C$2015,Y$13,$D$18:$D$2015,"&gt;="&amp;Y84,$D$18:$D$2015,"&lt;"&amp;Y85))</f>
        <v/>
      </c>
      <c r="AA84" s="14" t="n"/>
      <c r="AB84" s="16" t="n"/>
      <c r="AC84" s="124">
        <f>IF(AB84="","",COUNTIFS($C$18:$C$2015,AB$13,$D$18:$D$2015,"&gt;="&amp;AB84,$D$18:$D$2015,"&lt;"&amp;AB85))</f>
        <v/>
      </c>
      <c r="AD84" s="14" t="n"/>
    </row>
    <row r="85">
      <c r="A85" s="58" t="n"/>
      <c r="B85" s="59" t="n"/>
      <c r="C85" s="59" t="n"/>
      <c r="E85" s="16" t="n"/>
      <c r="F85" s="13" t="n"/>
      <c r="G85" s="16" t="n">
        <v>80</v>
      </c>
      <c r="H85" s="124">
        <f>IF(G85="","",COUNTIFS($C$18:$C$2015,G$13,$D$18:$D$2015,"&gt;="&amp;G85,$D$18:$D$2015,"&lt;"&amp;G86))</f>
        <v/>
      </c>
      <c r="I85" s="14" t="n"/>
      <c r="J85" s="16" t="n"/>
      <c r="K85" s="124">
        <f>IF(J85="","",COUNTIFS($C$18:$C$2015,J$13,$D$18:$D$2015,"&gt;="&amp;J85,$D$18:$D$2015,"&lt;"&amp;J86))</f>
        <v/>
      </c>
      <c r="L85" s="14" t="n"/>
      <c r="M85" s="16" t="n"/>
      <c r="N85" s="124">
        <f>IF(M85="","",COUNTIFS($C$18:$C$2015,M$13,$D$18:$D$2015,"&gt;="&amp;M85,$D$18:$D$2015,"&lt;"&amp;M86))</f>
        <v/>
      </c>
      <c r="O85" s="14" t="n"/>
      <c r="P85" s="16" t="n">
        <v>80</v>
      </c>
      <c r="Q85" s="124">
        <f>IF(P85="","",COUNTIFS($C$18:$C$2015,P$13,$D$18:$D$2015,"&gt;="&amp;P85,$D$18:$D$2015,"&lt;"&amp;P86))</f>
        <v/>
      </c>
      <c r="R85" s="14" t="n"/>
      <c r="S85" s="16" t="n"/>
      <c r="T85" s="124">
        <f>IF(S85="","",COUNTIFS($C$18:$C$2015,S$13,$D$18:$D$2015,"&gt;="&amp;S85,$D$18:$D$2015,"&lt;"&amp;S86))</f>
        <v/>
      </c>
      <c r="U85" s="14" t="n"/>
      <c r="V85" s="16" t="n"/>
      <c r="W85" s="124">
        <f>IF(V85="","",COUNTIFS($C$18:$C$2015,V$13,$D$18:$D$2015,"&gt;="&amp;V85,$D$18:$D$2015,"&lt;"&amp;V86))</f>
        <v/>
      </c>
      <c r="X85" s="14" t="n"/>
      <c r="Y85" s="16" t="n"/>
      <c r="Z85" s="124">
        <f>IF(Y85="","",COUNTIFS($C$18:$C$2015,Y$13,$D$18:$D$2015,"&gt;="&amp;Y85,$D$18:$D$2015,"&lt;"&amp;Y86))</f>
        <v/>
      </c>
      <c r="AA85" s="14" t="n"/>
      <c r="AB85" s="16" t="n"/>
      <c r="AC85" s="124">
        <f>IF(AB85="","",COUNTIFS($C$18:$C$2015,AB$13,$D$18:$D$2015,"&gt;="&amp;AB85,$D$18:$D$2015,"&lt;"&amp;AB86))</f>
        <v/>
      </c>
      <c r="AD85" s="14" t="n"/>
    </row>
    <row r="86">
      <c r="A86" s="56" t="n"/>
      <c r="B86" s="57" t="n"/>
      <c r="C86" s="59" t="n"/>
      <c r="E86" s="16" t="n"/>
      <c r="F86" s="13" t="n"/>
      <c r="G86" s="16" t="n"/>
      <c r="H86" s="124">
        <f>IF(G86="","",COUNTIFS($C$18:$C$2015,G$13,$D$18:$D$2015,"&gt;="&amp;G86,$D$18:$D$2015,"&lt;"&amp;G87))</f>
        <v/>
      </c>
      <c r="I86" s="14" t="n"/>
      <c r="J86" s="16" t="n"/>
      <c r="K86" s="124">
        <f>IF(J86="","",COUNTIFS($C$18:$C$2015,J$13,$D$18:$D$2015,"&gt;="&amp;J86,$D$18:$D$2015,"&lt;"&amp;J87))</f>
        <v/>
      </c>
      <c r="L86" s="14" t="n"/>
      <c r="M86" s="16" t="n"/>
      <c r="N86" s="124">
        <f>IF(M86="","",COUNTIFS($C$18:$C$2015,M$13,$D$18:$D$2015,"&gt;="&amp;M86,$D$18:$D$2015,"&lt;"&amp;M87))</f>
        <v/>
      </c>
      <c r="O86" s="14" t="n"/>
      <c r="P86" s="16" t="n"/>
      <c r="Q86" s="124">
        <f>IF(P86="","",COUNTIFS($C$18:$C$2015,P$13,$D$18:$D$2015,"&gt;="&amp;P86,$D$18:$D$2015,"&lt;"&amp;P87))</f>
        <v/>
      </c>
      <c r="R86" s="14" t="n"/>
      <c r="S86" s="16" t="n"/>
      <c r="T86" s="124">
        <f>IF(S86="","",COUNTIFS($C$18:$C$2015,S$13,$D$18:$D$2015,"&gt;="&amp;S86,$D$18:$D$2015,"&lt;"&amp;S87))</f>
        <v/>
      </c>
      <c r="U86" s="14" t="n"/>
      <c r="V86" s="16" t="n"/>
      <c r="W86" s="124">
        <f>IF(V86="","",COUNTIFS($C$18:$C$2015,V$13,$D$18:$D$2015,"&gt;="&amp;V86,$D$18:$D$2015,"&lt;"&amp;V87))</f>
        <v/>
      </c>
      <c r="X86" s="14" t="n"/>
      <c r="Y86" s="16" t="n"/>
      <c r="Z86" s="124">
        <f>IF(Y86="","",COUNTIFS($C$18:$C$2015,Y$13,$D$18:$D$2015,"&gt;="&amp;Y86,$D$18:$D$2015,"&lt;"&amp;Y87))</f>
        <v/>
      </c>
      <c r="AA86" s="14" t="n"/>
      <c r="AB86" s="16" t="n"/>
      <c r="AC86" s="124">
        <f>IF(AB86="","",COUNTIFS($C$18:$C$2015,AB$13,$D$18:$D$2015,"&gt;="&amp;AB86,$D$18:$D$2015,"&lt;"&amp;AB87))</f>
        <v/>
      </c>
      <c r="AD86" s="14" t="n"/>
    </row>
    <row r="87">
      <c r="A87" s="58" t="n"/>
      <c r="B87" s="59" t="n"/>
      <c r="C87" s="59" t="n"/>
      <c r="E87" s="16" t="n"/>
      <c r="F87" s="13" t="n"/>
      <c r="G87" s="16" t="n"/>
      <c r="H87" s="124">
        <f>IF(G87="","",COUNTIFS($C$18:$C$2015,G$13,$D$18:$D$2015,"&gt;="&amp;G87,$D$18:$D$2015,"&lt;"&amp;G88))</f>
        <v/>
      </c>
      <c r="I87" s="14" t="n"/>
      <c r="J87" s="16" t="n"/>
      <c r="K87" s="124">
        <f>IF(J87="","",COUNTIFS($C$18:$C$2015,J$13,$D$18:$D$2015,"&gt;="&amp;J87,$D$18:$D$2015,"&lt;"&amp;J88))</f>
        <v/>
      </c>
      <c r="L87" s="14" t="n"/>
      <c r="M87" s="16" t="n"/>
      <c r="N87" s="124">
        <f>IF(M87="","",COUNTIFS($C$18:$C$2015,M$13,$D$18:$D$2015,"&gt;="&amp;M87,$D$18:$D$2015,"&lt;"&amp;M88))</f>
        <v/>
      </c>
      <c r="O87" s="14" t="n"/>
      <c r="P87" s="16" t="n"/>
      <c r="Q87" s="124">
        <f>IF(P87="","",COUNTIFS($C$18:$C$2015,P$13,$D$18:$D$2015,"&gt;="&amp;P87,$D$18:$D$2015,"&lt;"&amp;P88))</f>
        <v/>
      </c>
      <c r="R87" s="14" t="n"/>
      <c r="S87" s="16" t="n"/>
      <c r="T87" s="124">
        <f>IF(S87="","",COUNTIFS($C$18:$C$2015,S$13,$D$18:$D$2015,"&gt;="&amp;S87,$D$18:$D$2015,"&lt;"&amp;S88))</f>
        <v/>
      </c>
      <c r="U87" s="14" t="n"/>
      <c r="V87" s="16" t="n"/>
      <c r="W87" s="124">
        <f>IF(V87="","",COUNTIFS($C$18:$C$2015,V$13,$D$18:$D$2015,"&gt;="&amp;V87,$D$18:$D$2015,"&lt;"&amp;V88))</f>
        <v/>
      </c>
      <c r="X87" s="14" t="n"/>
      <c r="Y87" s="16" t="n"/>
      <c r="Z87" s="124">
        <f>IF(Y87="","",COUNTIFS($C$18:$C$2015,Y$13,$D$18:$D$2015,"&gt;="&amp;Y87,$D$18:$D$2015,"&lt;"&amp;Y88))</f>
        <v/>
      </c>
      <c r="AA87" s="14" t="n"/>
      <c r="AB87" s="16" t="n"/>
      <c r="AC87" s="124">
        <f>IF(AB87="","",COUNTIFS($C$18:$C$2015,AB$13,$D$18:$D$2015,"&gt;="&amp;AB87,$D$18:$D$2015,"&lt;"&amp;AB88))</f>
        <v/>
      </c>
      <c r="AD87" s="14" t="n"/>
    </row>
    <row r="88">
      <c r="A88" s="56" t="n"/>
      <c r="B88" s="57" t="n"/>
      <c r="C88" s="59" t="n"/>
      <c r="E88" s="16" t="n"/>
      <c r="F88" s="13" t="n"/>
      <c r="G88" s="16" t="n"/>
      <c r="H88" s="124">
        <f>IF(G88="","",COUNTIFS($C$18:$C$2015,G$13,$D$18:$D$2015,"&gt;="&amp;G88,$D$18:$D$2015,"&lt;"&amp;G89))</f>
        <v/>
      </c>
      <c r="I88" s="14" t="n"/>
      <c r="J88" s="16" t="n"/>
      <c r="K88" s="124">
        <f>IF(J88="","",COUNTIFS($C$18:$C$2015,J$13,$D$18:$D$2015,"&gt;="&amp;J88,$D$18:$D$2015,"&lt;"&amp;J89))</f>
        <v/>
      </c>
      <c r="L88" s="14" t="n"/>
      <c r="M88" s="16" t="n"/>
      <c r="N88" s="124">
        <f>IF(M88="","",COUNTIFS($C$18:$C$2015,M$13,$D$18:$D$2015,"&gt;="&amp;M88,$D$18:$D$2015,"&lt;"&amp;M89))</f>
        <v/>
      </c>
      <c r="O88" s="14" t="n"/>
      <c r="P88" s="16" t="n"/>
      <c r="Q88" s="124">
        <f>IF(P88="","",COUNTIFS($C$18:$C$2015,P$13,$D$18:$D$2015,"&gt;="&amp;P88,$D$18:$D$2015,"&lt;"&amp;P89))</f>
        <v/>
      </c>
      <c r="R88" s="14" t="n"/>
      <c r="S88" s="16" t="n"/>
      <c r="T88" s="124">
        <f>IF(S88="","",COUNTIFS($C$18:$C$2015,S$13,$D$18:$D$2015,"&gt;="&amp;S88,$D$18:$D$2015,"&lt;"&amp;S89))</f>
        <v/>
      </c>
      <c r="U88" s="14" t="n"/>
      <c r="V88" s="16" t="n"/>
      <c r="W88" s="124">
        <f>IF(V88="","",COUNTIFS($C$18:$C$2015,V$13,$D$18:$D$2015,"&gt;="&amp;V88,$D$18:$D$2015,"&lt;"&amp;V89))</f>
        <v/>
      </c>
      <c r="X88" s="14" t="n"/>
      <c r="Y88" s="16" t="n"/>
      <c r="Z88" s="124">
        <f>IF(Y88="","",COUNTIFS($C$18:$C$2015,Y$13,$D$18:$D$2015,"&gt;="&amp;Y88,$D$18:$D$2015,"&lt;"&amp;Y89))</f>
        <v/>
      </c>
      <c r="AA88" s="14" t="n"/>
      <c r="AB88" s="16" t="n"/>
      <c r="AC88" s="124">
        <f>IF(AB88="","",COUNTIFS($C$18:$C$2015,AB$13,$D$18:$D$2015,"&gt;="&amp;AB88,$D$18:$D$2015,"&lt;"&amp;AB89))</f>
        <v/>
      </c>
      <c r="AD88" s="14" t="n"/>
    </row>
    <row r="89">
      <c r="A89" s="58" t="n"/>
      <c r="B89" s="59" t="n"/>
      <c r="C89" s="59" t="n"/>
      <c r="E89" s="16" t="n"/>
      <c r="F89" s="13" t="n"/>
      <c r="G89" s="16" t="n"/>
      <c r="H89" s="124">
        <f>IF(G89="","",COUNTIFS($C$18:$C$2015,G$13,$D$18:$D$2015,"&gt;="&amp;G89,$D$18:$D$2015,"&lt;"&amp;G90))</f>
        <v/>
      </c>
      <c r="I89" s="14" t="n"/>
      <c r="J89" s="16" t="n"/>
      <c r="K89" s="124">
        <f>IF(J89="","",COUNTIFS($C$18:$C$2015,J$13,$D$18:$D$2015,"&gt;="&amp;J89,$D$18:$D$2015,"&lt;"&amp;J90))</f>
        <v/>
      </c>
      <c r="L89" s="14" t="n"/>
      <c r="M89" s="16" t="n"/>
      <c r="N89" s="124">
        <f>IF(M89="","",COUNTIFS($C$18:$C$2015,M$13,$D$18:$D$2015,"&gt;="&amp;M89,$D$18:$D$2015,"&lt;"&amp;M90))</f>
        <v/>
      </c>
      <c r="O89" s="14" t="n"/>
      <c r="P89" s="16" t="n"/>
      <c r="Q89" s="124">
        <f>IF(P89="","",COUNTIFS($C$18:$C$2015,P$13,$D$18:$D$2015,"&gt;="&amp;P89,$D$18:$D$2015,"&lt;"&amp;P90))</f>
        <v/>
      </c>
      <c r="R89" s="14" t="n"/>
      <c r="S89" s="16" t="n"/>
      <c r="T89" s="124">
        <f>IF(S89="","",COUNTIFS($C$18:$C$2015,S$13,$D$18:$D$2015,"&gt;="&amp;S89,$D$18:$D$2015,"&lt;"&amp;S90))</f>
        <v/>
      </c>
      <c r="U89" s="14" t="n"/>
      <c r="V89" s="16" t="n"/>
      <c r="W89" s="124">
        <f>IF(V89="","",COUNTIFS($C$18:$C$2015,V$13,$D$18:$D$2015,"&gt;="&amp;V89,$D$18:$D$2015,"&lt;"&amp;V90))</f>
        <v/>
      </c>
      <c r="X89" s="14" t="n"/>
      <c r="Y89" s="16" t="n"/>
      <c r="Z89" s="124">
        <f>IF(Y89="","",COUNTIFS($C$18:$C$2015,Y$13,$D$18:$D$2015,"&gt;="&amp;Y89,$D$18:$D$2015,"&lt;"&amp;Y90))</f>
        <v/>
      </c>
      <c r="AA89" s="14" t="n"/>
      <c r="AB89" s="16" t="n"/>
      <c r="AC89" s="124">
        <f>IF(AB89="","",COUNTIFS($C$18:$C$2015,AB$13,$D$18:$D$2015,"&gt;="&amp;AB89,$D$18:$D$2015,"&lt;"&amp;AB90))</f>
        <v/>
      </c>
      <c r="AD89" s="14" t="n"/>
    </row>
    <row r="90">
      <c r="A90" s="56" t="n"/>
      <c r="B90" s="57" t="n"/>
      <c r="C90" s="59" t="n"/>
      <c r="E90" s="16" t="n"/>
      <c r="F90" s="13" t="n"/>
      <c r="G90" s="16" t="n"/>
      <c r="H90" s="124">
        <f>IF(G90="","",COUNTIFS($C$18:$C$2015,G$13,$D$18:$D$2015,"&gt;="&amp;G90,$D$18:$D$2015,"&lt;"&amp;G91))</f>
        <v/>
      </c>
      <c r="I90" s="14" t="n"/>
      <c r="J90" s="16" t="n"/>
      <c r="K90" s="124">
        <f>IF(J90="","",COUNTIFS($C$18:$C$2015,J$13,$D$18:$D$2015,"&gt;="&amp;J90,$D$18:$D$2015,"&lt;"&amp;J91))</f>
        <v/>
      </c>
      <c r="L90" s="14" t="n"/>
      <c r="M90" s="16" t="n"/>
      <c r="N90" s="124">
        <f>IF(M90="","",COUNTIFS($C$18:$C$2015,M$13,$D$18:$D$2015,"&gt;="&amp;M90,$D$18:$D$2015,"&lt;"&amp;M91))</f>
        <v/>
      </c>
      <c r="O90" s="14" t="n"/>
      <c r="P90" s="16" t="n"/>
      <c r="Q90" s="124">
        <f>IF(P90="","",COUNTIFS($C$18:$C$2015,P$13,$D$18:$D$2015,"&gt;="&amp;P90,$D$18:$D$2015,"&lt;"&amp;P91))</f>
        <v/>
      </c>
      <c r="R90" s="14" t="n"/>
      <c r="S90" s="16" t="n"/>
      <c r="T90" s="124">
        <f>IF(S90="","",COUNTIFS($C$18:$C$2015,S$13,$D$18:$D$2015,"&gt;="&amp;S90,$D$18:$D$2015,"&lt;"&amp;S91))</f>
        <v/>
      </c>
      <c r="U90" s="14" t="n"/>
      <c r="V90" s="16" t="n"/>
      <c r="W90" s="124">
        <f>IF(V90="","",COUNTIFS($C$18:$C$2015,V$13,$D$18:$D$2015,"&gt;="&amp;V90,$D$18:$D$2015,"&lt;"&amp;V91))</f>
        <v/>
      </c>
      <c r="X90" s="14" t="n"/>
      <c r="Y90" s="16" t="n"/>
      <c r="Z90" s="124">
        <f>IF(Y90="","",COUNTIFS($C$18:$C$2015,Y$13,$D$18:$D$2015,"&gt;="&amp;Y90,$D$18:$D$2015,"&lt;"&amp;Y91))</f>
        <v/>
      </c>
      <c r="AA90" s="14" t="n"/>
      <c r="AB90" s="16" t="n"/>
      <c r="AC90" s="124">
        <f>IF(AB90="","",COUNTIFS($C$18:$C$2015,AB$13,$D$18:$D$2015,"&gt;="&amp;AB90,$D$18:$D$2015,"&lt;"&amp;AB91))</f>
        <v/>
      </c>
      <c r="AD90" s="14" t="n"/>
    </row>
    <row r="91">
      <c r="A91" s="58" t="n"/>
      <c r="B91" s="59" t="n"/>
      <c r="C91" s="59" t="n"/>
      <c r="E91" s="16" t="n"/>
      <c r="F91" s="13" t="n"/>
      <c r="G91" s="16" t="n"/>
      <c r="H91" s="124">
        <f>IF(G91="","",COUNTIFS($C$18:$C$2015,G$13,$D$18:$D$2015,"&gt;="&amp;G91,$D$18:$D$2015,"&lt;"&amp;G92))</f>
        <v/>
      </c>
      <c r="I91" s="14" t="n"/>
      <c r="J91" s="16" t="n"/>
      <c r="K91" s="124">
        <f>IF(J91="","",COUNTIFS($C$18:$C$2015,J$13,$D$18:$D$2015,"&gt;="&amp;J91,$D$18:$D$2015,"&lt;"&amp;J92))</f>
        <v/>
      </c>
      <c r="L91" s="14" t="n"/>
      <c r="M91" s="16" t="n"/>
      <c r="N91" s="124">
        <f>IF(M91="","",COUNTIFS($C$18:$C$2015,M$13,$D$18:$D$2015,"&gt;="&amp;M91,$D$18:$D$2015,"&lt;"&amp;M92))</f>
        <v/>
      </c>
      <c r="O91" s="14" t="n"/>
      <c r="P91" s="16" t="n"/>
      <c r="Q91" s="124">
        <f>IF(P91="","",COUNTIFS($C$18:$C$2015,P$13,$D$18:$D$2015,"&gt;="&amp;P91,$D$18:$D$2015,"&lt;"&amp;P92))</f>
        <v/>
      </c>
      <c r="R91" s="14" t="n"/>
      <c r="S91" s="16" t="n"/>
      <c r="T91" s="124">
        <f>IF(S91="","",COUNTIFS($C$18:$C$2015,S$13,$D$18:$D$2015,"&gt;="&amp;S91,$D$18:$D$2015,"&lt;"&amp;S92))</f>
        <v/>
      </c>
      <c r="U91" s="14" t="n"/>
      <c r="V91" s="16" t="n"/>
      <c r="W91" s="124">
        <f>IF(V91="","",COUNTIFS($C$18:$C$2015,V$13,$D$18:$D$2015,"&gt;="&amp;V91,$D$18:$D$2015,"&lt;"&amp;V92))</f>
        <v/>
      </c>
      <c r="X91" s="14" t="n"/>
      <c r="Y91" s="16" t="n"/>
      <c r="Z91" s="124">
        <f>IF(Y91="","",COUNTIFS($C$18:$C$2015,Y$13,$D$18:$D$2015,"&gt;="&amp;Y91,$D$18:$D$2015,"&lt;"&amp;Y92))</f>
        <v/>
      </c>
      <c r="AA91" s="14" t="n"/>
      <c r="AB91" s="16" t="n"/>
      <c r="AC91" s="124">
        <f>IF(AB91="","",COUNTIFS($C$18:$C$2015,AB$13,$D$18:$D$2015,"&gt;="&amp;AB91,$D$18:$D$2015,"&lt;"&amp;AB92))</f>
        <v/>
      </c>
      <c r="AD91" s="14" t="n"/>
    </row>
    <row r="92">
      <c r="A92" s="56" t="n"/>
      <c r="B92" s="57" t="n"/>
      <c r="C92" s="59" t="n"/>
      <c r="E92" s="16" t="n"/>
      <c r="F92" s="13" t="n"/>
      <c r="G92" s="16" t="n"/>
      <c r="H92" s="124">
        <f>IF(G92="","",COUNTIFS($C$18:$C$2015,G$13,$D$18:$D$2015,"&gt;="&amp;G92,$D$18:$D$2015,"&lt;"&amp;G93))</f>
        <v/>
      </c>
      <c r="I92" s="14" t="n"/>
      <c r="J92" s="16" t="n"/>
      <c r="K92" s="124">
        <f>IF(J92="","",COUNTIFS($C$18:$C$2015,J$13,$D$18:$D$2015,"&gt;="&amp;J92,$D$18:$D$2015,"&lt;"&amp;J93))</f>
        <v/>
      </c>
      <c r="L92" s="14" t="n"/>
      <c r="M92" s="16" t="n"/>
      <c r="N92" s="124">
        <f>IF(M92="","",COUNTIFS($C$18:$C$2015,M$13,$D$18:$D$2015,"&gt;="&amp;M92,$D$18:$D$2015,"&lt;"&amp;M93))</f>
        <v/>
      </c>
      <c r="O92" s="14" t="n"/>
      <c r="P92" s="16" t="n"/>
      <c r="Q92" s="124">
        <f>IF(P92="","",COUNTIFS($C$18:$C$2015,P$13,$D$18:$D$2015,"&gt;="&amp;P92,$D$18:$D$2015,"&lt;"&amp;P93))</f>
        <v/>
      </c>
      <c r="R92" s="14" t="n"/>
      <c r="S92" s="16" t="n"/>
      <c r="T92" s="124">
        <f>IF(S92="","",COUNTIFS($C$18:$C$2015,S$13,$D$18:$D$2015,"&gt;="&amp;S92,$D$18:$D$2015,"&lt;"&amp;S93))</f>
        <v/>
      </c>
      <c r="U92" s="14" t="n"/>
      <c r="V92" s="16" t="n"/>
      <c r="W92" s="124">
        <f>IF(V92="","",COUNTIFS($C$18:$C$2015,V$13,$D$18:$D$2015,"&gt;="&amp;V92,$D$18:$D$2015,"&lt;"&amp;V93))</f>
        <v/>
      </c>
      <c r="X92" s="14" t="n"/>
      <c r="Y92" s="16" t="n"/>
      <c r="Z92" s="124">
        <f>IF(Y92="","",COUNTIFS($C$18:$C$2015,Y$13,$D$18:$D$2015,"&gt;="&amp;Y92,$D$18:$D$2015,"&lt;"&amp;Y93))</f>
        <v/>
      </c>
      <c r="AA92" s="14" t="n"/>
      <c r="AB92" s="16" t="n"/>
      <c r="AC92" s="124">
        <f>IF(AB92="","",COUNTIFS($C$18:$C$2015,AB$13,$D$18:$D$2015,"&gt;="&amp;AB92,$D$18:$D$2015,"&lt;"&amp;AB93))</f>
        <v/>
      </c>
      <c r="AD92" s="14" t="n"/>
    </row>
    <row r="93">
      <c r="A93" s="58" t="n"/>
      <c r="B93" s="59" t="n"/>
      <c r="C93" s="59" t="n"/>
      <c r="E93" s="16" t="n"/>
      <c r="F93" s="13" t="n"/>
      <c r="G93" s="16" t="n"/>
      <c r="H93" s="124">
        <f>IF(G93="","",COUNTIFS($C$18:$C$2015,G$13,$D$18:$D$2015,"&gt;="&amp;G93,$D$18:$D$2015,"&lt;"&amp;G94))</f>
        <v/>
      </c>
      <c r="I93" s="14" t="n"/>
      <c r="J93" s="16" t="n"/>
      <c r="K93" s="124">
        <f>IF(J93="","",COUNTIFS($C$18:$C$2015,J$13,$D$18:$D$2015,"&gt;="&amp;J93,$D$18:$D$2015,"&lt;"&amp;J94))</f>
        <v/>
      </c>
      <c r="L93" s="14" t="n"/>
      <c r="M93" s="16" t="n"/>
      <c r="N93" s="124">
        <f>IF(M93="","",COUNTIFS($C$18:$C$2015,M$13,$D$18:$D$2015,"&gt;="&amp;M93,$D$18:$D$2015,"&lt;"&amp;M94))</f>
        <v/>
      </c>
      <c r="O93" s="14" t="n"/>
      <c r="P93" s="16" t="n"/>
      <c r="Q93" s="124">
        <f>IF(P93="","",COUNTIFS($C$18:$C$2015,P$13,$D$18:$D$2015,"&gt;="&amp;P93,$D$18:$D$2015,"&lt;"&amp;P94))</f>
        <v/>
      </c>
      <c r="R93" s="14" t="n"/>
      <c r="S93" s="16" t="n"/>
      <c r="T93" s="124">
        <f>IF(S93="","",COUNTIFS($C$18:$C$2015,S$13,$D$18:$D$2015,"&gt;="&amp;S93,$D$18:$D$2015,"&lt;"&amp;S94))</f>
        <v/>
      </c>
      <c r="U93" s="14" t="n"/>
      <c r="V93" s="16" t="n"/>
      <c r="W93" s="124">
        <f>IF(V93="","",COUNTIFS($C$18:$C$2015,V$13,$D$18:$D$2015,"&gt;="&amp;V93,$D$18:$D$2015,"&lt;"&amp;V94))</f>
        <v/>
      </c>
      <c r="X93" s="14" t="n"/>
      <c r="Y93" s="16" t="n"/>
      <c r="Z93" s="124">
        <f>IF(Y93="","",COUNTIFS($C$18:$C$2015,Y$13,$D$18:$D$2015,"&gt;="&amp;Y93,$D$18:$D$2015,"&lt;"&amp;Y94))</f>
        <v/>
      </c>
      <c r="AA93" s="14" t="n"/>
      <c r="AB93" s="16" t="n"/>
      <c r="AC93" s="124">
        <f>IF(AB93="","",COUNTIFS($C$18:$C$2015,AB$13,$D$18:$D$2015,"&gt;="&amp;AB93,$D$18:$D$2015,"&lt;"&amp;AB94))</f>
        <v/>
      </c>
      <c r="AD93" s="14" t="n"/>
    </row>
    <row r="94">
      <c r="A94" s="56" t="n"/>
      <c r="B94" s="57" t="n"/>
      <c r="C94" s="59" t="n"/>
      <c r="E94" s="16" t="n"/>
      <c r="F94" s="13" t="n"/>
      <c r="G94" s="16" t="n"/>
      <c r="H94" s="124">
        <f>IF(G94="","",COUNTIFS($C$18:$C$2015,G$13,$D$18:$D$2015,"&gt;="&amp;G94,$D$18:$D$2015,"&lt;"&amp;G95))</f>
        <v/>
      </c>
      <c r="I94" s="14" t="n"/>
      <c r="J94" s="16" t="n"/>
      <c r="K94" s="124">
        <f>IF(J94="","",COUNTIFS($C$18:$C$2015,J$13,$D$18:$D$2015,"&gt;="&amp;J94,$D$18:$D$2015,"&lt;"&amp;J95))</f>
        <v/>
      </c>
      <c r="L94" s="14" t="n"/>
      <c r="M94" s="16" t="n"/>
      <c r="N94" s="124">
        <f>IF(M94="","",COUNTIFS($C$18:$C$2015,M$13,$D$18:$D$2015,"&gt;="&amp;M94,$D$18:$D$2015,"&lt;"&amp;M95))</f>
        <v/>
      </c>
      <c r="O94" s="14" t="n"/>
      <c r="P94" s="16" t="n"/>
      <c r="Q94" s="124">
        <f>IF(P94="","",COUNTIFS($C$18:$C$2015,P$13,$D$18:$D$2015,"&gt;="&amp;P94,$D$18:$D$2015,"&lt;"&amp;P95))</f>
        <v/>
      </c>
      <c r="R94" s="14" t="n"/>
      <c r="S94" s="16" t="n"/>
      <c r="T94" s="124">
        <f>IF(S94="","",COUNTIFS($C$18:$C$2015,S$13,$D$18:$D$2015,"&gt;="&amp;S94,$D$18:$D$2015,"&lt;"&amp;S95))</f>
        <v/>
      </c>
      <c r="U94" s="14" t="n"/>
      <c r="V94" s="16" t="n"/>
      <c r="W94" s="124">
        <f>IF(V94="","",COUNTIFS($C$18:$C$2015,V$13,$D$18:$D$2015,"&gt;="&amp;V94,$D$18:$D$2015,"&lt;"&amp;V95))</f>
        <v/>
      </c>
      <c r="X94" s="14" t="n"/>
      <c r="Y94" s="16" t="n"/>
      <c r="Z94" s="124">
        <f>IF(Y94="","",COUNTIFS($C$18:$C$2015,Y$13,$D$18:$D$2015,"&gt;="&amp;Y94,$D$18:$D$2015,"&lt;"&amp;Y95))</f>
        <v/>
      </c>
      <c r="AA94" s="14" t="n"/>
      <c r="AB94" s="16" t="n"/>
      <c r="AC94" s="124">
        <f>IF(AB94="","",COUNTIFS($C$18:$C$2015,AB$13,$D$18:$D$2015,"&gt;="&amp;AB94,$D$18:$D$2015,"&lt;"&amp;AB95))</f>
        <v/>
      </c>
      <c r="AD94" s="14" t="n"/>
    </row>
    <row r="95">
      <c r="A95" s="58" t="n"/>
      <c r="B95" s="59" t="n"/>
      <c r="C95" s="59" t="n"/>
      <c r="E95" s="16" t="n"/>
      <c r="F95" s="13" t="n"/>
      <c r="G95" s="16" t="n"/>
      <c r="H95" s="124">
        <f>IF(G95="","",COUNTIFS($C$18:$C$2015,G$13,$D$18:$D$2015,"&gt;="&amp;G95,$D$18:$D$2015,"&lt;"&amp;G96))</f>
        <v/>
      </c>
      <c r="I95" s="14" t="n"/>
      <c r="J95" s="16" t="n"/>
      <c r="K95" s="124">
        <f>IF(J95="","",COUNTIFS($C$18:$C$2015,J$13,$D$18:$D$2015,"&gt;="&amp;J95,$D$18:$D$2015,"&lt;"&amp;J96))</f>
        <v/>
      </c>
      <c r="L95" s="14" t="n"/>
      <c r="M95" s="16" t="n"/>
      <c r="N95" s="124">
        <f>IF(M95="","",COUNTIFS($C$18:$C$2015,M$13,$D$18:$D$2015,"&gt;="&amp;M95,$D$18:$D$2015,"&lt;"&amp;M96))</f>
        <v/>
      </c>
      <c r="O95" s="14" t="n"/>
      <c r="P95" s="16" t="n"/>
      <c r="Q95" s="124">
        <f>IF(P95="","",COUNTIFS($C$18:$C$2015,P$13,$D$18:$D$2015,"&gt;="&amp;P95,$D$18:$D$2015,"&lt;"&amp;P96))</f>
        <v/>
      </c>
      <c r="R95" s="14" t="n"/>
      <c r="S95" s="16" t="n"/>
      <c r="T95" s="124">
        <f>IF(S95="","",COUNTIFS($C$18:$C$2015,S$13,$D$18:$D$2015,"&gt;="&amp;S95,$D$18:$D$2015,"&lt;"&amp;S96))</f>
        <v/>
      </c>
      <c r="U95" s="14" t="n"/>
      <c r="V95" s="16" t="n"/>
      <c r="W95" s="124">
        <f>IF(V95="","",COUNTIFS($C$18:$C$2015,V$13,$D$18:$D$2015,"&gt;="&amp;V95,$D$18:$D$2015,"&lt;"&amp;V96))</f>
        <v/>
      </c>
      <c r="X95" s="14" t="n"/>
      <c r="Y95" s="16" t="n"/>
      <c r="Z95" s="124">
        <f>IF(Y95="","",COUNTIFS($C$18:$C$2015,Y$13,$D$18:$D$2015,"&gt;="&amp;Y95,$D$18:$D$2015,"&lt;"&amp;Y96))</f>
        <v/>
      </c>
      <c r="AA95" s="14" t="n"/>
      <c r="AB95" s="16" t="n"/>
      <c r="AC95" s="124">
        <f>IF(AB95="","",COUNTIFS($C$18:$C$2015,AB$13,$D$18:$D$2015,"&gt;="&amp;AB95,$D$18:$D$2015,"&lt;"&amp;AB96))</f>
        <v/>
      </c>
      <c r="AD95" s="14" t="n"/>
    </row>
    <row r="96">
      <c r="A96" s="56" t="n"/>
      <c r="B96" s="57" t="n"/>
      <c r="C96" s="59" t="n"/>
      <c r="E96" s="16" t="n"/>
      <c r="F96" s="13" t="n"/>
      <c r="G96" s="16" t="n"/>
      <c r="H96" s="124">
        <f>IF(G96="","",COUNTIFS($C$18:$C$2015,G$13,$D$18:$D$2015,"&gt;="&amp;G96,$D$18:$D$2015,"&lt;"&amp;G97))</f>
        <v/>
      </c>
      <c r="I96" s="14" t="n"/>
      <c r="J96" s="16" t="n"/>
      <c r="K96" s="124">
        <f>IF(J96="","",COUNTIFS($C$18:$C$2015,J$13,$D$18:$D$2015,"&gt;="&amp;J96,$D$18:$D$2015,"&lt;"&amp;J97))</f>
        <v/>
      </c>
      <c r="L96" s="14" t="n"/>
      <c r="M96" s="16" t="n"/>
      <c r="N96" s="124">
        <f>IF(M96="","",COUNTIFS($C$18:$C$2015,M$13,$D$18:$D$2015,"&gt;="&amp;M96,$D$18:$D$2015,"&lt;"&amp;M97))</f>
        <v/>
      </c>
      <c r="O96" s="14" t="n"/>
      <c r="P96" s="16" t="n"/>
      <c r="Q96" s="124">
        <f>IF(P96="","",COUNTIFS($C$18:$C$2015,P$13,$D$18:$D$2015,"&gt;="&amp;P96,$D$18:$D$2015,"&lt;"&amp;P97))</f>
        <v/>
      </c>
      <c r="R96" s="14" t="n"/>
      <c r="S96" s="16" t="n"/>
      <c r="T96" s="124">
        <f>IF(S96="","",COUNTIFS($C$18:$C$2015,S$13,$D$18:$D$2015,"&gt;="&amp;S96,$D$18:$D$2015,"&lt;"&amp;S97))</f>
        <v/>
      </c>
      <c r="U96" s="14" t="n"/>
      <c r="V96" s="16" t="n"/>
      <c r="W96" s="124">
        <f>IF(V96="","",COUNTIFS($C$18:$C$2015,V$13,$D$18:$D$2015,"&gt;="&amp;V96,$D$18:$D$2015,"&lt;"&amp;V97))</f>
        <v/>
      </c>
      <c r="X96" s="14" t="n"/>
      <c r="Y96" s="16" t="n"/>
      <c r="Z96" s="124">
        <f>IF(Y96="","",COUNTIFS($C$18:$C$2015,Y$13,$D$18:$D$2015,"&gt;="&amp;Y96,$D$18:$D$2015,"&lt;"&amp;Y97))</f>
        <v/>
      </c>
      <c r="AA96" s="14" t="n"/>
      <c r="AB96" s="16" t="n"/>
      <c r="AC96" s="124">
        <f>IF(AB96="","",COUNTIFS($C$18:$C$2015,AB$13,$D$18:$D$2015,"&gt;="&amp;AB96,$D$18:$D$2015,"&lt;"&amp;AB97))</f>
        <v/>
      </c>
      <c r="AD96" s="14" t="n"/>
    </row>
    <row r="97">
      <c r="A97" s="58" t="n"/>
      <c r="B97" s="59" t="n"/>
      <c r="C97" s="59" t="n"/>
      <c r="E97" s="16" t="n"/>
      <c r="F97" s="13" t="n"/>
      <c r="G97" s="16" t="n"/>
      <c r="H97" s="124">
        <f>IF(G97="","",COUNTIFS($C$18:$C$2015,G$13,$D$18:$D$2015,"&gt;="&amp;G97,$D$18:$D$2015,"&lt;"&amp;G98))</f>
        <v/>
      </c>
      <c r="I97" s="14" t="n"/>
      <c r="J97" s="16" t="n"/>
      <c r="K97" s="124">
        <f>IF(J97="","",COUNTIFS($C$18:$C$2015,J$13,$D$18:$D$2015,"&gt;="&amp;J97,$D$18:$D$2015,"&lt;"&amp;J98))</f>
        <v/>
      </c>
      <c r="L97" s="14" t="n"/>
      <c r="M97" s="16" t="n"/>
      <c r="N97" s="124">
        <f>IF(M97="","",COUNTIFS($C$18:$C$2015,M$13,$D$18:$D$2015,"&gt;="&amp;M97,$D$18:$D$2015,"&lt;"&amp;M98))</f>
        <v/>
      </c>
      <c r="O97" s="14" t="n"/>
      <c r="P97" s="16" t="n"/>
      <c r="Q97" s="124">
        <f>IF(P97="","",COUNTIFS($C$18:$C$2015,P$13,$D$18:$D$2015,"&gt;="&amp;P97,$D$18:$D$2015,"&lt;"&amp;P98))</f>
        <v/>
      </c>
      <c r="R97" s="14" t="n"/>
      <c r="S97" s="16" t="n"/>
      <c r="T97" s="124">
        <f>IF(S97="","",COUNTIFS($C$18:$C$2015,S$13,$D$18:$D$2015,"&gt;="&amp;S97,$D$18:$D$2015,"&lt;"&amp;S98))</f>
        <v/>
      </c>
      <c r="U97" s="14" t="n"/>
      <c r="V97" s="16" t="n"/>
      <c r="W97" s="124">
        <f>IF(V97="","",COUNTIFS($C$18:$C$2015,V$13,$D$18:$D$2015,"&gt;="&amp;V97,$D$18:$D$2015,"&lt;"&amp;V98))</f>
        <v/>
      </c>
      <c r="X97" s="14" t="n"/>
      <c r="Y97" s="16" t="n"/>
      <c r="Z97" s="124">
        <f>IF(Y97="","",COUNTIFS($C$18:$C$2015,Y$13,$D$18:$D$2015,"&gt;="&amp;Y97,$D$18:$D$2015,"&lt;"&amp;Y98))</f>
        <v/>
      </c>
      <c r="AA97" s="14" t="n"/>
      <c r="AB97" s="16" t="n"/>
      <c r="AC97" s="124">
        <f>IF(AB97="","",COUNTIFS($C$18:$C$2015,AB$13,$D$18:$D$2015,"&gt;="&amp;AB97,$D$18:$D$2015,"&lt;"&amp;AB98))</f>
        <v/>
      </c>
      <c r="AD97" s="14" t="n"/>
    </row>
    <row r="98">
      <c r="A98" s="56" t="n"/>
      <c r="B98" s="57" t="n"/>
      <c r="C98" s="59" t="n"/>
      <c r="E98" s="16" t="n"/>
      <c r="F98" s="13" t="n"/>
      <c r="G98" s="16" t="n"/>
      <c r="H98" s="124">
        <f>IF(G98="","",COUNTIFS($C$18:$C$2015,G$13,$D$18:$D$2015,"&gt;="&amp;G98,$D$18:$D$2015,"&lt;"&amp;G99))</f>
        <v/>
      </c>
      <c r="I98" s="14" t="n"/>
      <c r="J98" s="16" t="n"/>
      <c r="K98" s="124">
        <f>IF(J98="","",COUNTIFS($C$18:$C$2015,J$13,$D$18:$D$2015,"&gt;="&amp;J98,$D$18:$D$2015,"&lt;"&amp;J99))</f>
        <v/>
      </c>
      <c r="L98" s="14" t="n"/>
      <c r="M98" s="16" t="n"/>
      <c r="N98" s="124">
        <f>IF(M98="","",COUNTIFS($C$18:$C$2015,M$13,$D$18:$D$2015,"&gt;="&amp;M98,$D$18:$D$2015,"&lt;"&amp;M99))</f>
        <v/>
      </c>
      <c r="O98" s="14" t="n"/>
      <c r="P98" s="16" t="n"/>
      <c r="Q98" s="124">
        <f>IF(P98="","",COUNTIFS($C$18:$C$2015,P$13,$D$18:$D$2015,"&gt;="&amp;P98,$D$18:$D$2015,"&lt;"&amp;P99))</f>
        <v/>
      </c>
      <c r="R98" s="14" t="n"/>
      <c r="S98" s="16" t="n"/>
      <c r="T98" s="124">
        <f>IF(S98="","",COUNTIFS($C$18:$C$2015,S$13,$D$18:$D$2015,"&gt;="&amp;S98,$D$18:$D$2015,"&lt;"&amp;S99))</f>
        <v/>
      </c>
      <c r="U98" s="14" t="n"/>
      <c r="V98" s="16" t="n"/>
      <c r="W98" s="124">
        <f>IF(V98="","",COUNTIFS($C$18:$C$2015,V$13,$D$18:$D$2015,"&gt;="&amp;V98,$D$18:$D$2015,"&lt;"&amp;V99))</f>
        <v/>
      </c>
      <c r="X98" s="14" t="n"/>
      <c r="Y98" s="16" t="n"/>
      <c r="Z98" s="124">
        <f>IF(Y98="","",COUNTIFS($C$18:$C$2015,Y$13,$D$18:$D$2015,"&gt;="&amp;Y98,$D$18:$D$2015,"&lt;"&amp;Y99))</f>
        <v/>
      </c>
      <c r="AA98" s="14" t="n"/>
      <c r="AB98" s="16" t="n"/>
      <c r="AC98" s="124">
        <f>IF(AB98="","",COUNTIFS($C$18:$C$2015,AB$13,$D$18:$D$2015,"&gt;="&amp;AB98,$D$18:$D$2015,"&lt;"&amp;AB99))</f>
        <v/>
      </c>
      <c r="AD98" s="14" t="n"/>
    </row>
    <row r="99">
      <c r="A99" s="58" t="n"/>
      <c r="B99" s="59" t="n"/>
      <c r="C99" s="59" t="n"/>
      <c r="E99" s="16" t="n"/>
      <c r="F99" s="13" t="n"/>
      <c r="G99" s="16" t="n"/>
      <c r="H99" s="124">
        <f>IF(G99="","",COUNTIFS($C$18:$C$2015,G$13,$D$18:$D$2015,"&gt;="&amp;G99,$D$18:$D$2015,"&lt;"&amp;G100))</f>
        <v/>
      </c>
      <c r="I99" s="14" t="n"/>
      <c r="J99" s="16" t="n"/>
      <c r="K99" s="124">
        <f>IF(J99="","",COUNTIFS($C$18:$C$2015,J$13,$D$18:$D$2015,"&gt;="&amp;J99,$D$18:$D$2015,"&lt;"&amp;J100))</f>
        <v/>
      </c>
      <c r="L99" s="14" t="n"/>
      <c r="M99" s="16" t="n"/>
      <c r="N99" s="124">
        <f>IF(M99="","",COUNTIFS($C$18:$C$2015,M$13,$D$18:$D$2015,"&gt;="&amp;M99,$D$18:$D$2015,"&lt;"&amp;M100))</f>
        <v/>
      </c>
      <c r="O99" s="14" t="n"/>
      <c r="P99" s="16" t="n"/>
      <c r="Q99" s="124">
        <f>IF(P99="","",COUNTIFS($C$18:$C$2015,P$13,$D$18:$D$2015,"&gt;="&amp;P99,$D$18:$D$2015,"&lt;"&amp;P100))</f>
        <v/>
      </c>
      <c r="R99" s="14" t="n"/>
      <c r="S99" s="16" t="n"/>
      <c r="T99" s="124">
        <f>IF(S99="","",COUNTIFS($C$18:$C$2015,S$13,$D$18:$D$2015,"&gt;="&amp;S99,$D$18:$D$2015,"&lt;"&amp;S100))</f>
        <v/>
      </c>
      <c r="U99" s="14" t="n"/>
      <c r="V99" s="16" t="n"/>
      <c r="W99" s="124">
        <f>IF(V99="","",COUNTIFS($C$18:$C$2015,V$13,$D$18:$D$2015,"&gt;="&amp;V99,$D$18:$D$2015,"&lt;"&amp;V100))</f>
        <v/>
      </c>
      <c r="X99" s="14" t="n"/>
      <c r="Y99" s="16" t="n"/>
      <c r="Z99" s="124">
        <f>IF(Y99="","",COUNTIFS($C$18:$C$2015,Y$13,$D$18:$D$2015,"&gt;="&amp;Y99,$D$18:$D$2015,"&lt;"&amp;Y100))</f>
        <v/>
      </c>
      <c r="AA99" s="14" t="n"/>
      <c r="AB99" s="16" t="n"/>
      <c r="AC99" s="124">
        <f>IF(AB99="","",COUNTIFS($C$18:$C$2015,AB$13,$D$18:$D$2015,"&gt;="&amp;AB99,$D$18:$D$2015,"&lt;"&amp;AB100))</f>
        <v/>
      </c>
      <c r="AD99" s="14" t="n"/>
    </row>
    <row r="100">
      <c r="A100" s="56" t="n"/>
      <c r="B100" s="57" t="n"/>
      <c r="C100" s="59" t="n"/>
      <c r="E100" s="16" t="n"/>
      <c r="F100" s="13" t="n"/>
      <c r="G100" s="16" t="n"/>
      <c r="H100" s="124">
        <f>IF(G100="","",COUNTIFS($C$18:$C$2015,G$13,$D$18:$D$2015,"&gt;="&amp;G100,$D$18:$D$2015,"&lt;"&amp;G101))</f>
        <v/>
      </c>
      <c r="I100" s="14" t="n"/>
      <c r="J100" s="16" t="n"/>
      <c r="K100" s="124">
        <f>IF(J100="","",COUNTIFS($C$18:$C$2015,J$13,$D$18:$D$2015,"&gt;="&amp;J100,$D$18:$D$2015,"&lt;"&amp;J101))</f>
        <v/>
      </c>
      <c r="L100" s="14" t="n"/>
      <c r="M100" s="16" t="n"/>
      <c r="N100" s="124">
        <f>IF(M100="","",COUNTIFS($C$18:$C$2015,M$13,$D$18:$D$2015,"&gt;="&amp;M100,$D$18:$D$2015,"&lt;"&amp;M101))</f>
        <v/>
      </c>
      <c r="O100" s="14" t="n"/>
      <c r="P100" s="16" t="n"/>
      <c r="Q100" s="124">
        <f>IF(P100="","",COUNTIFS($C$18:$C$2015,P$13,$D$18:$D$2015,"&gt;="&amp;P100,$D$18:$D$2015,"&lt;"&amp;P101))</f>
        <v/>
      </c>
      <c r="R100" s="14" t="n"/>
      <c r="S100" s="16" t="n"/>
      <c r="T100" s="124">
        <f>IF(S100="","",COUNTIFS($C$18:$C$2015,S$13,$D$18:$D$2015,"&gt;="&amp;S100,$D$18:$D$2015,"&lt;"&amp;S101))</f>
        <v/>
      </c>
      <c r="U100" s="14" t="n"/>
      <c r="V100" s="16" t="n"/>
      <c r="W100" s="124">
        <f>IF(V100="","",COUNTIFS($C$18:$C$2015,V$13,$D$18:$D$2015,"&gt;="&amp;V100,$D$18:$D$2015,"&lt;"&amp;V101))</f>
        <v/>
      </c>
      <c r="X100" s="14" t="n"/>
      <c r="Y100" s="16" t="n"/>
      <c r="Z100" s="124">
        <f>IF(Y100="","",COUNTIFS($C$18:$C$2015,Y$13,$D$18:$D$2015,"&gt;="&amp;Y100,$D$18:$D$2015,"&lt;"&amp;Y101))</f>
        <v/>
      </c>
      <c r="AA100" s="14" t="n"/>
      <c r="AB100" s="16" t="n"/>
      <c r="AC100" s="124">
        <f>IF(AB100="","",COUNTIFS($C$18:$C$2015,AB$13,$D$18:$D$2015,"&gt;="&amp;AB100,$D$18:$D$2015,"&lt;"&amp;AB101))</f>
        <v/>
      </c>
      <c r="AD100" s="14" t="n"/>
    </row>
    <row r="101">
      <c r="A101" s="58" t="n"/>
      <c r="B101" s="59" t="n"/>
      <c r="C101" s="59" t="n"/>
      <c r="E101" s="16" t="n"/>
      <c r="F101" s="13" t="n"/>
      <c r="G101" s="16" t="n"/>
      <c r="H101" s="124">
        <f>IF(G101="","",COUNTIFS($C$18:$C$2015,G$13,$D$18:$D$2015,"&gt;="&amp;G101,$D$18:$D$2015,"&lt;"&amp;G102))</f>
        <v/>
      </c>
      <c r="I101" s="14" t="n"/>
      <c r="J101" s="16" t="n"/>
      <c r="K101" s="124">
        <f>IF(J101="","",COUNTIFS($C$18:$C$2015,J$13,$D$18:$D$2015,"&gt;="&amp;J101,$D$18:$D$2015,"&lt;"&amp;J102))</f>
        <v/>
      </c>
      <c r="L101" s="14" t="n"/>
      <c r="M101" s="16" t="n"/>
      <c r="N101" s="124">
        <f>IF(M101="","",COUNTIFS($C$18:$C$2015,M$13,$D$18:$D$2015,"&gt;="&amp;M101,$D$18:$D$2015,"&lt;"&amp;M102))</f>
        <v/>
      </c>
      <c r="O101" s="14" t="n"/>
      <c r="P101" s="16" t="n"/>
      <c r="Q101" s="124">
        <f>IF(P101="","",COUNTIFS($C$18:$C$2015,P$13,$D$18:$D$2015,"&gt;="&amp;P101,$D$18:$D$2015,"&lt;"&amp;P102))</f>
        <v/>
      </c>
      <c r="R101" s="14" t="n"/>
      <c r="S101" s="16" t="n"/>
      <c r="T101" s="124">
        <f>IF(S101="","",COUNTIFS($C$18:$C$2015,S$13,$D$18:$D$2015,"&gt;="&amp;S101,$D$18:$D$2015,"&lt;"&amp;S102))</f>
        <v/>
      </c>
      <c r="U101" s="14" t="n"/>
      <c r="V101" s="16" t="n"/>
      <c r="W101" s="124">
        <f>IF(V101="","",COUNTIFS($C$18:$C$2015,V$13,$D$18:$D$2015,"&gt;="&amp;V101,$D$18:$D$2015,"&lt;"&amp;V102))</f>
        <v/>
      </c>
      <c r="X101" s="14" t="n"/>
      <c r="Y101" s="16" t="n"/>
      <c r="Z101" s="124">
        <f>IF(Y101="","",COUNTIFS($C$18:$C$2015,Y$13,$D$18:$D$2015,"&gt;="&amp;Y101,$D$18:$D$2015,"&lt;"&amp;Y102))</f>
        <v/>
      </c>
      <c r="AA101" s="14" t="n"/>
      <c r="AB101" s="16" t="n"/>
      <c r="AC101" s="124">
        <f>IF(AB101="","",COUNTIFS($C$18:$C$2015,AB$13,$D$18:$D$2015,"&gt;="&amp;AB101,$D$18:$D$2015,"&lt;"&amp;AB102))</f>
        <v/>
      </c>
      <c r="AD101" s="14" t="n"/>
    </row>
    <row r="102">
      <c r="A102" s="56" t="n"/>
      <c r="B102" s="57" t="n"/>
      <c r="C102" s="59" t="n"/>
      <c r="E102" s="16" t="n"/>
      <c r="F102" s="13" t="n"/>
      <c r="G102" s="16" t="n"/>
      <c r="H102" s="124">
        <f>IF(G102="","",COUNTIFS($C$18:$C$2015,G$13,$D$18:$D$2015,"&gt;="&amp;G102,$D$18:$D$2015,"&lt;"&amp;G103))</f>
        <v/>
      </c>
      <c r="I102" s="14" t="n"/>
      <c r="J102" s="16" t="n"/>
      <c r="K102" s="124">
        <f>IF(J102="","",COUNTIFS($C$18:$C$2015,J$13,$D$18:$D$2015,"&gt;="&amp;J102,$D$18:$D$2015,"&lt;"&amp;J103))</f>
        <v/>
      </c>
      <c r="L102" s="14" t="n"/>
      <c r="M102" s="16" t="n"/>
      <c r="N102" s="124">
        <f>IF(M102="","",COUNTIFS($C$18:$C$2015,M$13,$D$18:$D$2015,"&gt;="&amp;M102,$D$18:$D$2015,"&lt;"&amp;M103))</f>
        <v/>
      </c>
      <c r="O102" s="14" t="n"/>
      <c r="P102" s="16" t="n"/>
      <c r="Q102" s="124">
        <f>IF(P102="","",COUNTIFS($C$18:$C$2015,P$13,$D$18:$D$2015,"&gt;="&amp;P102,$D$18:$D$2015,"&lt;"&amp;P103))</f>
        <v/>
      </c>
      <c r="R102" s="14" t="n"/>
      <c r="S102" s="16" t="n"/>
      <c r="T102" s="124">
        <f>IF(S102="","",COUNTIFS($C$18:$C$2015,S$13,$D$18:$D$2015,"&gt;="&amp;S102,$D$18:$D$2015,"&lt;"&amp;S103))</f>
        <v/>
      </c>
      <c r="U102" s="14" t="n"/>
      <c r="V102" s="16" t="n"/>
      <c r="W102" s="124">
        <f>IF(V102="","",COUNTIFS($C$18:$C$2015,V$13,$D$18:$D$2015,"&gt;="&amp;V102,$D$18:$D$2015,"&lt;"&amp;V103))</f>
        <v/>
      </c>
      <c r="X102" s="14" t="n"/>
      <c r="Y102" s="16" t="n"/>
      <c r="Z102" s="124">
        <f>IF(Y102="","",COUNTIFS($C$18:$C$2015,Y$13,$D$18:$D$2015,"&gt;="&amp;Y102,$D$18:$D$2015,"&lt;"&amp;Y103))</f>
        <v/>
      </c>
      <c r="AA102" s="14" t="n"/>
      <c r="AB102" s="16" t="n"/>
      <c r="AC102" s="124">
        <f>IF(AB102="","",COUNTIFS($C$18:$C$2015,AB$13,$D$18:$D$2015,"&gt;="&amp;AB102,$D$18:$D$2015,"&lt;"&amp;AB103))</f>
        <v/>
      </c>
      <c r="AD102" s="14" t="n"/>
    </row>
    <row r="103">
      <c r="A103" s="58" t="n"/>
      <c r="B103" s="59" t="n"/>
      <c r="C103" s="59" t="n"/>
      <c r="E103" s="16" t="n"/>
      <c r="F103" s="13" t="n"/>
      <c r="G103" s="16" t="n"/>
      <c r="H103" s="124">
        <f>IF(G103="","",COUNTIFS($C$18:$C$2015,G$13,$D$18:$D$2015,"&gt;="&amp;G103,$D$18:$D$2015,"&lt;"&amp;G104))</f>
        <v/>
      </c>
      <c r="I103" s="14" t="n"/>
      <c r="J103" s="16" t="n"/>
      <c r="K103" s="124">
        <f>IF(J103="","",COUNTIFS($C$18:$C$2015,J$13,$D$18:$D$2015,"&gt;="&amp;J103,$D$18:$D$2015,"&lt;"&amp;J104))</f>
        <v/>
      </c>
      <c r="L103" s="14" t="n"/>
      <c r="M103" s="16" t="n"/>
      <c r="N103" s="124">
        <f>IF(M103="","",COUNTIFS($C$18:$C$2015,M$13,$D$18:$D$2015,"&gt;="&amp;M103,$D$18:$D$2015,"&lt;"&amp;M104))</f>
        <v/>
      </c>
      <c r="O103" s="14" t="n"/>
      <c r="P103" s="16" t="n"/>
      <c r="Q103" s="124">
        <f>IF(P103="","",COUNTIFS($C$18:$C$2015,P$13,$D$18:$D$2015,"&gt;="&amp;P103,$D$18:$D$2015,"&lt;"&amp;P104))</f>
        <v/>
      </c>
      <c r="R103" s="14" t="n"/>
      <c r="S103" s="16" t="n"/>
      <c r="T103" s="124">
        <f>IF(S103="","",COUNTIFS($C$18:$C$2015,S$13,$D$18:$D$2015,"&gt;="&amp;S103,$D$18:$D$2015,"&lt;"&amp;S104))</f>
        <v/>
      </c>
      <c r="U103" s="14" t="n"/>
      <c r="V103" s="16" t="n"/>
      <c r="W103" s="124">
        <f>IF(V103="","",COUNTIFS($C$18:$C$2015,V$13,$D$18:$D$2015,"&gt;="&amp;V103,$D$18:$D$2015,"&lt;"&amp;V104))</f>
        <v/>
      </c>
      <c r="X103" s="14" t="n"/>
      <c r="Y103" s="16" t="n"/>
      <c r="Z103" s="124">
        <f>IF(Y103="","",COUNTIFS($C$18:$C$2015,Y$13,$D$18:$D$2015,"&gt;="&amp;Y103,$D$18:$D$2015,"&lt;"&amp;Y104))</f>
        <v/>
      </c>
      <c r="AA103" s="14" t="n"/>
      <c r="AB103" s="16" t="n"/>
      <c r="AC103" s="124">
        <f>IF(AB103="","",COUNTIFS($C$18:$C$2015,AB$13,$D$18:$D$2015,"&gt;="&amp;AB103,$D$18:$D$2015,"&lt;"&amp;AB104))</f>
        <v/>
      </c>
      <c r="AD103" s="14" t="n"/>
    </row>
    <row r="104">
      <c r="A104" s="56" t="n"/>
      <c r="B104" s="57" t="n"/>
      <c r="C104" s="59" t="n"/>
      <c r="E104" s="16" t="n"/>
      <c r="F104" s="13" t="n"/>
      <c r="G104" s="16" t="n"/>
      <c r="H104" s="124">
        <f>IF(G104="","",COUNTIFS($C$18:$C$2015,G$13,$D$18:$D$2015,"&gt;="&amp;G104,$D$18:$D$2015,"&lt;"&amp;G105))</f>
        <v/>
      </c>
      <c r="I104" s="14" t="n"/>
      <c r="J104" s="16" t="n"/>
      <c r="K104" s="124">
        <f>IF(J104="","",COUNTIFS($C$18:$C$2015,J$13,$D$18:$D$2015,"&gt;="&amp;J104,$D$18:$D$2015,"&lt;"&amp;J105))</f>
        <v/>
      </c>
      <c r="L104" s="14" t="n"/>
      <c r="M104" s="16" t="n"/>
      <c r="N104" s="124">
        <f>IF(M104="","",COUNTIFS($C$18:$C$2015,M$13,$D$18:$D$2015,"&gt;="&amp;M104,$D$18:$D$2015,"&lt;"&amp;M105))</f>
        <v/>
      </c>
      <c r="O104" s="14" t="n"/>
      <c r="P104" s="16" t="n"/>
      <c r="Q104" s="124">
        <f>IF(P104="","",COUNTIFS($C$18:$C$2015,P$13,$D$18:$D$2015,"&gt;="&amp;P104,$D$18:$D$2015,"&lt;"&amp;P105))</f>
        <v/>
      </c>
      <c r="R104" s="14" t="n"/>
      <c r="S104" s="16" t="n"/>
      <c r="T104" s="124">
        <f>IF(S104="","",COUNTIFS($C$18:$C$2015,S$13,$D$18:$D$2015,"&gt;="&amp;S104,$D$18:$D$2015,"&lt;"&amp;S105))</f>
        <v/>
      </c>
      <c r="U104" s="14" t="n"/>
      <c r="V104" s="16" t="n"/>
      <c r="W104" s="124">
        <f>IF(V104="","",COUNTIFS($C$18:$C$2015,V$13,$D$18:$D$2015,"&gt;="&amp;V104,$D$18:$D$2015,"&lt;"&amp;V105))</f>
        <v/>
      </c>
      <c r="X104" s="14" t="n"/>
      <c r="Y104" s="16" t="n"/>
      <c r="Z104" s="124">
        <f>IF(Y104="","",COUNTIFS($C$18:$C$2015,Y$13,$D$18:$D$2015,"&gt;="&amp;Y104,$D$18:$D$2015,"&lt;"&amp;Y105))</f>
        <v/>
      </c>
      <c r="AA104" s="14" t="n"/>
      <c r="AB104" s="16" t="n"/>
      <c r="AC104" s="124">
        <f>IF(AB104="","",COUNTIFS($C$18:$C$2015,AB$13,$D$18:$D$2015,"&gt;="&amp;AB104,$D$18:$D$2015,"&lt;"&amp;AB105))</f>
        <v/>
      </c>
      <c r="AD104" s="14" t="n"/>
    </row>
    <row r="105">
      <c r="A105" s="58" t="n"/>
      <c r="B105" s="59" t="n"/>
      <c r="C105" s="59" t="n"/>
      <c r="E105" s="16" t="n"/>
      <c r="F105" s="13" t="n"/>
      <c r="G105" s="16" t="n"/>
      <c r="H105" s="124">
        <f>IF(G105="","",COUNTIFS($C$18:$C$2015,G$13,$D$18:$D$2015,"&gt;="&amp;G105,$D$18:$D$2015,"&lt;"&amp;G106))</f>
        <v/>
      </c>
      <c r="I105" s="14" t="n"/>
      <c r="J105" s="16" t="n"/>
      <c r="K105" s="124">
        <f>IF(J105="","",COUNTIFS($C$18:$C$2015,J$13,$D$18:$D$2015,"&gt;="&amp;J105,$D$18:$D$2015,"&lt;"&amp;J106))</f>
        <v/>
      </c>
      <c r="L105" s="14" t="n"/>
      <c r="M105" s="16" t="n"/>
      <c r="N105" s="124">
        <f>IF(M105="","",COUNTIFS($C$18:$C$2015,M$13,$D$18:$D$2015,"&gt;="&amp;M105,$D$18:$D$2015,"&lt;"&amp;M106))</f>
        <v/>
      </c>
      <c r="O105" s="14" t="n"/>
      <c r="P105" s="16" t="n"/>
      <c r="Q105" s="124">
        <f>IF(P105="","",COUNTIFS($C$18:$C$2015,P$13,$D$18:$D$2015,"&gt;="&amp;P105,$D$18:$D$2015,"&lt;"&amp;P106))</f>
        <v/>
      </c>
      <c r="R105" s="14" t="n"/>
      <c r="S105" s="16" t="n"/>
      <c r="T105" s="124">
        <f>IF(S105="","",COUNTIFS($C$18:$C$2015,S$13,$D$18:$D$2015,"&gt;="&amp;S105,$D$18:$D$2015,"&lt;"&amp;S106))</f>
        <v/>
      </c>
      <c r="U105" s="14" t="n"/>
      <c r="V105" s="16" t="n"/>
      <c r="W105" s="124">
        <f>IF(V105="","",COUNTIFS($C$18:$C$2015,V$13,$D$18:$D$2015,"&gt;="&amp;V105,$D$18:$D$2015,"&lt;"&amp;V106))</f>
        <v/>
      </c>
      <c r="X105" s="14" t="n"/>
      <c r="Y105" s="16" t="n"/>
      <c r="Z105" s="124">
        <f>IF(Y105="","",COUNTIFS($C$18:$C$2015,Y$13,$D$18:$D$2015,"&gt;="&amp;Y105,$D$18:$D$2015,"&lt;"&amp;Y106))</f>
        <v/>
      </c>
      <c r="AA105" s="14" t="n"/>
      <c r="AB105" s="16" t="n"/>
      <c r="AC105" s="124">
        <f>IF(AB105="","",COUNTIFS($C$18:$C$2015,AB$13,$D$18:$D$2015,"&gt;="&amp;AB105,$D$18:$D$2015,"&lt;"&amp;AB106))</f>
        <v/>
      </c>
      <c r="AD105" s="14" t="n"/>
    </row>
    <row r="106">
      <c r="A106" s="56" t="n"/>
      <c r="B106" s="57" t="n"/>
      <c r="C106" s="59" t="n"/>
      <c r="E106" s="16" t="n"/>
      <c r="F106" s="13" t="n"/>
      <c r="G106" s="16" t="n"/>
      <c r="H106" s="124">
        <f>IF(G106="","",COUNTIFS($C$18:$C$2015,G$13,$D$18:$D$2015,"&gt;="&amp;G106,$D$18:$D$2015,"&lt;"&amp;G107))</f>
        <v/>
      </c>
      <c r="I106" s="14" t="n"/>
      <c r="J106" s="16" t="n"/>
      <c r="K106" s="124">
        <f>IF(J106="","",COUNTIFS($C$18:$C$2015,J$13,$D$18:$D$2015,"&gt;="&amp;J106,$D$18:$D$2015,"&lt;"&amp;J107))</f>
        <v/>
      </c>
      <c r="L106" s="14" t="n"/>
      <c r="M106" s="16" t="n"/>
      <c r="N106" s="124">
        <f>IF(M106="","",COUNTIFS($C$18:$C$2015,M$13,$D$18:$D$2015,"&gt;="&amp;M106,$D$18:$D$2015,"&lt;"&amp;M107))</f>
        <v/>
      </c>
      <c r="O106" s="14" t="n"/>
      <c r="P106" s="16" t="n"/>
      <c r="Q106" s="124">
        <f>IF(P106="","",COUNTIFS($C$18:$C$2015,P$13,$D$18:$D$2015,"&gt;="&amp;P106,$D$18:$D$2015,"&lt;"&amp;P107))</f>
        <v/>
      </c>
      <c r="R106" s="14" t="n"/>
      <c r="S106" s="16" t="n"/>
      <c r="T106" s="124">
        <f>IF(S106="","",COUNTIFS($C$18:$C$2015,S$13,$D$18:$D$2015,"&gt;="&amp;S106,$D$18:$D$2015,"&lt;"&amp;S107))</f>
        <v/>
      </c>
      <c r="U106" s="14" t="n"/>
      <c r="V106" s="16" t="n"/>
      <c r="W106" s="124">
        <f>IF(V106="","",COUNTIFS($C$18:$C$2015,V$13,$D$18:$D$2015,"&gt;="&amp;V106,$D$18:$D$2015,"&lt;"&amp;V107))</f>
        <v/>
      </c>
      <c r="X106" s="14" t="n"/>
      <c r="Y106" s="16" t="n"/>
      <c r="Z106" s="124">
        <f>IF(Y106="","",COUNTIFS($C$18:$C$2015,Y$13,$D$18:$D$2015,"&gt;="&amp;Y106,$D$18:$D$2015,"&lt;"&amp;Y107))</f>
        <v/>
      </c>
      <c r="AA106" s="14" t="n"/>
      <c r="AB106" s="16" t="n"/>
      <c r="AC106" s="124">
        <f>IF(AB106="","",COUNTIFS($C$18:$C$2015,AB$13,$D$18:$D$2015,"&gt;="&amp;AB106,$D$18:$D$2015,"&lt;"&amp;AB107))</f>
        <v/>
      </c>
      <c r="AD106" s="14" t="n"/>
    </row>
    <row r="107">
      <c r="A107" s="58" t="n"/>
      <c r="B107" s="59" t="n"/>
      <c r="C107" s="59" t="n"/>
      <c r="E107" s="16" t="n"/>
      <c r="F107" s="13" t="n"/>
      <c r="G107" s="16" t="n"/>
      <c r="H107" s="124">
        <f>IF(G107="","",COUNTIFS($C$18:$C$2015,G$13,$D$18:$D$2015,"&gt;="&amp;G107,$D$18:$D$2015,"&lt;"&amp;G108))</f>
        <v/>
      </c>
      <c r="I107" s="14" t="n"/>
      <c r="J107" s="16" t="n"/>
      <c r="K107" s="124">
        <f>IF(J107="","",COUNTIFS($C$18:$C$2015,J$13,$D$18:$D$2015,"&gt;="&amp;J107,$D$18:$D$2015,"&lt;"&amp;J108))</f>
        <v/>
      </c>
      <c r="L107" s="14" t="n"/>
      <c r="M107" s="16" t="n"/>
      <c r="N107" s="124">
        <f>IF(M107="","",COUNTIFS($C$18:$C$2015,M$13,$D$18:$D$2015,"&gt;="&amp;M107,$D$18:$D$2015,"&lt;"&amp;M108))</f>
        <v/>
      </c>
      <c r="O107" s="14" t="n"/>
      <c r="P107" s="16" t="n"/>
      <c r="Q107" s="124">
        <f>IF(P107="","",COUNTIFS($C$18:$C$2015,P$13,$D$18:$D$2015,"&gt;="&amp;P107,$D$18:$D$2015,"&lt;"&amp;P108))</f>
        <v/>
      </c>
      <c r="R107" s="14" t="n"/>
      <c r="S107" s="16" t="n"/>
      <c r="T107" s="124">
        <f>IF(S107="","",COUNTIFS($C$18:$C$2015,S$13,$D$18:$D$2015,"&gt;="&amp;S107,$D$18:$D$2015,"&lt;"&amp;S108))</f>
        <v/>
      </c>
      <c r="U107" s="14" t="n"/>
      <c r="V107" s="16" t="n"/>
      <c r="W107" s="124">
        <f>IF(V107="","",COUNTIFS($C$18:$C$2015,V$13,$D$18:$D$2015,"&gt;="&amp;V107,$D$18:$D$2015,"&lt;"&amp;V108))</f>
        <v/>
      </c>
      <c r="X107" s="14" t="n"/>
      <c r="Y107" s="16" t="n"/>
      <c r="Z107" s="124">
        <f>IF(Y107="","",COUNTIFS($C$18:$C$2015,Y$13,$D$18:$D$2015,"&gt;="&amp;Y107,$D$18:$D$2015,"&lt;"&amp;Y108))</f>
        <v/>
      </c>
      <c r="AA107" s="14" t="n"/>
      <c r="AB107" s="16" t="n"/>
      <c r="AC107" s="124">
        <f>IF(AB107="","",COUNTIFS($C$18:$C$2015,AB$13,$D$18:$D$2015,"&gt;="&amp;AB107,$D$18:$D$2015,"&lt;"&amp;AB108))</f>
        <v/>
      </c>
      <c r="AD107" s="14" t="n"/>
    </row>
    <row r="108">
      <c r="A108" s="56" t="n"/>
      <c r="B108" s="57" t="n"/>
      <c r="C108" s="59" t="n"/>
      <c r="E108" s="16" t="n"/>
      <c r="F108" s="13" t="n"/>
      <c r="G108" s="16" t="n"/>
      <c r="H108" s="124">
        <f>IF(G108="","",COUNTIFS($C$18:$C$2015,G$13,$D$18:$D$2015,"&gt;="&amp;G108,$D$18:$D$2015,"&lt;"&amp;G109))</f>
        <v/>
      </c>
      <c r="I108" s="14" t="n"/>
      <c r="J108" s="16" t="n"/>
      <c r="K108" s="124">
        <f>IF(J108="","",COUNTIFS($C$18:$C$2015,J$13,$D$18:$D$2015,"&gt;="&amp;J108,$D$18:$D$2015,"&lt;"&amp;J109))</f>
        <v/>
      </c>
      <c r="L108" s="14" t="n"/>
      <c r="M108" s="16" t="n"/>
      <c r="N108" s="124">
        <f>IF(M108="","",COUNTIFS($C$18:$C$2015,M$13,$D$18:$D$2015,"&gt;="&amp;M108,$D$18:$D$2015,"&lt;"&amp;M109))</f>
        <v/>
      </c>
      <c r="O108" s="14" t="n"/>
      <c r="P108" s="16" t="n"/>
      <c r="Q108" s="124">
        <f>IF(P108="","",COUNTIFS($C$18:$C$2015,P$13,$D$18:$D$2015,"&gt;="&amp;P108,$D$18:$D$2015,"&lt;"&amp;P109))</f>
        <v/>
      </c>
      <c r="R108" s="14" t="n"/>
      <c r="S108" s="16" t="n"/>
      <c r="T108" s="124">
        <f>IF(S108="","",COUNTIFS($C$18:$C$2015,S$13,$D$18:$D$2015,"&gt;="&amp;S108,$D$18:$D$2015,"&lt;"&amp;S109))</f>
        <v/>
      </c>
      <c r="U108" s="14" t="n"/>
      <c r="V108" s="16" t="n"/>
      <c r="W108" s="124">
        <f>IF(V108="","",COUNTIFS($C$18:$C$2015,V$13,$D$18:$D$2015,"&gt;="&amp;V108,$D$18:$D$2015,"&lt;"&amp;V109))</f>
        <v/>
      </c>
      <c r="X108" s="14" t="n"/>
      <c r="Y108" s="16" t="n"/>
      <c r="Z108" s="124">
        <f>IF(Y108="","",COUNTIFS($C$18:$C$2015,Y$13,$D$18:$D$2015,"&gt;="&amp;Y108,$D$18:$D$2015,"&lt;"&amp;Y109))</f>
        <v/>
      </c>
      <c r="AA108" s="14" t="n"/>
      <c r="AB108" s="16" t="n"/>
      <c r="AC108" s="124">
        <f>IF(AB108="","",COUNTIFS($C$18:$C$2015,AB$13,$D$18:$D$2015,"&gt;="&amp;AB108,$D$18:$D$2015,"&lt;"&amp;AB109))</f>
        <v/>
      </c>
      <c r="AD108" s="14" t="n"/>
    </row>
    <row r="109">
      <c r="A109" s="58" t="n"/>
      <c r="B109" s="59" t="n"/>
      <c r="C109" s="59" t="n"/>
      <c r="E109" s="16" t="n"/>
      <c r="F109" s="13" t="n"/>
      <c r="G109" s="16" t="n"/>
      <c r="H109" s="124">
        <f>IF(G109="","",COUNTIFS($C$18:$C$2015,G$13,$D$18:$D$2015,"&gt;="&amp;G109,$D$18:$D$2015,"&lt;"&amp;G110))</f>
        <v/>
      </c>
      <c r="I109" s="14" t="n"/>
      <c r="J109" s="16" t="n"/>
      <c r="K109" s="124">
        <f>IF(J109="","",COUNTIFS($C$18:$C$2015,J$13,$D$18:$D$2015,"&gt;="&amp;J109,$D$18:$D$2015,"&lt;"&amp;J110))</f>
        <v/>
      </c>
      <c r="L109" s="14" t="n"/>
      <c r="M109" s="16" t="n"/>
      <c r="N109" s="124">
        <f>IF(M109="","",COUNTIFS($C$18:$C$2015,M$13,$D$18:$D$2015,"&gt;="&amp;M109,$D$18:$D$2015,"&lt;"&amp;M110))</f>
        <v/>
      </c>
      <c r="O109" s="14" t="n"/>
      <c r="P109" s="16" t="n"/>
      <c r="Q109" s="124">
        <f>IF(P109="","",COUNTIFS($C$18:$C$2015,P$13,$D$18:$D$2015,"&gt;="&amp;P109,$D$18:$D$2015,"&lt;"&amp;P110))</f>
        <v/>
      </c>
      <c r="R109" s="14" t="n"/>
      <c r="S109" s="16" t="n"/>
      <c r="T109" s="124">
        <f>IF(S109="","",COUNTIFS($C$18:$C$2015,S$13,$D$18:$D$2015,"&gt;="&amp;S109,$D$18:$D$2015,"&lt;"&amp;S110))</f>
        <v/>
      </c>
      <c r="U109" s="14" t="n"/>
      <c r="V109" s="16" t="n"/>
      <c r="W109" s="124">
        <f>IF(V109="","",COUNTIFS($C$18:$C$2015,V$13,$D$18:$D$2015,"&gt;="&amp;V109,$D$18:$D$2015,"&lt;"&amp;V110))</f>
        <v/>
      </c>
      <c r="X109" s="14" t="n"/>
      <c r="Y109" s="16" t="n"/>
      <c r="Z109" s="124">
        <f>IF(Y109="","",COUNTIFS($C$18:$C$2015,Y$13,$D$18:$D$2015,"&gt;="&amp;Y109,$D$18:$D$2015,"&lt;"&amp;Y110))</f>
        <v/>
      </c>
      <c r="AA109" s="14" t="n"/>
      <c r="AB109" s="16" t="n"/>
      <c r="AC109" s="124">
        <f>IF(AB109="","",COUNTIFS($C$18:$C$2015,AB$13,$D$18:$D$2015,"&gt;="&amp;AB109,$D$18:$D$2015,"&lt;"&amp;AB110))</f>
        <v/>
      </c>
      <c r="AD109" s="14" t="n"/>
    </row>
    <row r="110">
      <c r="A110" s="56" t="n"/>
      <c r="B110" s="57" t="n"/>
      <c r="C110" s="59" t="n"/>
      <c r="E110" s="16" t="n"/>
      <c r="F110" s="13" t="n"/>
      <c r="G110" s="16" t="n"/>
      <c r="H110" s="124">
        <f>IF(G110="","",COUNTIFS($C$18:$C$2015,G$13,$D$18:$D$2015,"&gt;="&amp;G110,$D$18:$D$2015,"&lt;"&amp;G111))</f>
        <v/>
      </c>
      <c r="I110" s="14" t="n"/>
      <c r="J110" s="16" t="n"/>
      <c r="K110" s="124">
        <f>IF(J110="","",COUNTIFS($C$18:$C$2015,J$13,$D$18:$D$2015,"&gt;="&amp;J110,$D$18:$D$2015,"&lt;"&amp;J111))</f>
        <v/>
      </c>
      <c r="L110" s="14" t="n"/>
      <c r="M110" s="16" t="n"/>
      <c r="N110" s="124">
        <f>IF(M110="","",COUNTIFS($C$18:$C$2015,M$13,$D$18:$D$2015,"&gt;="&amp;M110,$D$18:$D$2015,"&lt;"&amp;M111))</f>
        <v/>
      </c>
      <c r="O110" s="14" t="n"/>
      <c r="P110" s="16" t="n"/>
      <c r="Q110" s="124">
        <f>IF(P110="","",COUNTIFS($C$18:$C$2015,P$13,$D$18:$D$2015,"&gt;="&amp;P110,$D$18:$D$2015,"&lt;"&amp;P111))</f>
        <v/>
      </c>
      <c r="R110" s="14" t="n"/>
      <c r="S110" s="16" t="n"/>
      <c r="T110" s="124">
        <f>IF(S110="","",COUNTIFS($C$18:$C$2015,S$13,$D$18:$D$2015,"&gt;="&amp;S110,$D$18:$D$2015,"&lt;"&amp;S111))</f>
        <v/>
      </c>
      <c r="U110" s="14" t="n"/>
      <c r="V110" s="16" t="n"/>
      <c r="W110" s="124">
        <f>IF(V110="","",COUNTIFS($C$18:$C$2015,V$13,$D$18:$D$2015,"&gt;="&amp;V110,$D$18:$D$2015,"&lt;"&amp;V111))</f>
        <v/>
      </c>
      <c r="X110" s="14" t="n"/>
      <c r="Y110" s="16" t="n"/>
      <c r="Z110" s="124">
        <f>IF(Y110="","",COUNTIFS($C$18:$C$2015,Y$13,$D$18:$D$2015,"&gt;="&amp;Y110,$D$18:$D$2015,"&lt;"&amp;Y111))</f>
        <v/>
      </c>
      <c r="AA110" s="14" t="n"/>
      <c r="AB110" s="16" t="n"/>
      <c r="AC110" s="124">
        <f>IF(AB110="","",COUNTIFS($C$18:$C$2015,AB$13,$D$18:$D$2015,"&gt;="&amp;AB110,$D$18:$D$2015,"&lt;"&amp;AB111))</f>
        <v/>
      </c>
      <c r="AD110" s="14" t="n"/>
    </row>
    <row r="111">
      <c r="A111" s="58" t="n"/>
      <c r="B111" s="59" t="n"/>
      <c r="C111" s="59" t="n"/>
      <c r="E111" s="16" t="n"/>
      <c r="F111" s="13" t="n"/>
      <c r="G111" s="16" t="n"/>
      <c r="H111" s="124">
        <f>IF(G111="","",COUNTIFS($C$18:$C$2015,G$13,$D$18:$D$2015,"&gt;="&amp;G111,$D$18:$D$2015,"&lt;"&amp;G112))</f>
        <v/>
      </c>
      <c r="I111" s="14" t="n"/>
      <c r="J111" s="16" t="n"/>
      <c r="K111" s="124">
        <f>IF(J111="","",COUNTIFS($C$18:$C$2015,J$13,$D$18:$D$2015,"&gt;="&amp;J111,$D$18:$D$2015,"&lt;"&amp;J112))</f>
        <v/>
      </c>
      <c r="L111" s="14" t="n"/>
      <c r="M111" s="16" t="n"/>
      <c r="N111" s="124">
        <f>IF(M111="","",COUNTIFS($C$18:$C$2015,M$13,$D$18:$D$2015,"&gt;="&amp;M111,$D$18:$D$2015,"&lt;"&amp;M112))</f>
        <v/>
      </c>
      <c r="O111" s="14" t="n"/>
      <c r="P111" s="16" t="n"/>
      <c r="Q111" s="124">
        <f>IF(P111="","",COUNTIFS($C$18:$C$2015,P$13,$D$18:$D$2015,"&gt;="&amp;P111,$D$18:$D$2015,"&lt;"&amp;P112))</f>
        <v/>
      </c>
      <c r="R111" s="14" t="n"/>
      <c r="S111" s="16" t="n"/>
      <c r="T111" s="124">
        <f>IF(S111="","",COUNTIFS($C$18:$C$2015,S$13,$D$18:$D$2015,"&gt;="&amp;S111,$D$18:$D$2015,"&lt;"&amp;S112))</f>
        <v/>
      </c>
      <c r="U111" s="14" t="n"/>
      <c r="V111" s="16" t="n"/>
      <c r="W111" s="124">
        <f>IF(V111="","",COUNTIFS($C$18:$C$2015,V$13,$D$18:$D$2015,"&gt;="&amp;V111,$D$18:$D$2015,"&lt;"&amp;V112))</f>
        <v/>
      </c>
      <c r="X111" s="14" t="n"/>
      <c r="Y111" s="16" t="n"/>
      <c r="Z111" s="124">
        <f>IF(Y111="","",COUNTIFS($C$18:$C$2015,Y$13,$D$18:$D$2015,"&gt;="&amp;Y111,$D$18:$D$2015,"&lt;"&amp;Y112))</f>
        <v/>
      </c>
      <c r="AA111" s="14" t="n"/>
      <c r="AB111" s="16" t="n"/>
      <c r="AC111" s="124">
        <f>IF(AB111="","",COUNTIFS($C$18:$C$2015,AB$13,$D$18:$D$2015,"&gt;="&amp;AB111,$D$18:$D$2015,"&lt;"&amp;AB112))</f>
        <v/>
      </c>
      <c r="AD111" s="14" t="n"/>
    </row>
    <row r="112">
      <c r="A112" s="56" t="n"/>
      <c r="B112" s="57" t="n"/>
      <c r="C112" s="59" t="n"/>
      <c r="E112" s="16" t="n"/>
      <c r="F112" s="13" t="n"/>
      <c r="G112" s="16" t="n"/>
      <c r="H112" s="124">
        <f>IF(G112="","",COUNTIFS($C$18:$C$2015,G$13,$D$18:$D$2015,"&gt;="&amp;G112,$D$18:$D$2015,"&lt;"&amp;G113))</f>
        <v/>
      </c>
      <c r="I112" s="14" t="n"/>
      <c r="J112" s="16" t="n"/>
      <c r="K112" s="124">
        <f>IF(J112="","",COUNTIFS($C$18:$C$2015,J$13,$D$18:$D$2015,"&gt;="&amp;J112,$D$18:$D$2015,"&lt;"&amp;J113))</f>
        <v/>
      </c>
      <c r="L112" s="14" t="n"/>
      <c r="M112" s="16" t="n"/>
      <c r="N112" s="124">
        <f>IF(M112="","",COUNTIFS($C$18:$C$2015,M$13,$D$18:$D$2015,"&gt;="&amp;M112,$D$18:$D$2015,"&lt;"&amp;M113))</f>
        <v/>
      </c>
      <c r="O112" s="14" t="n"/>
      <c r="P112" s="16" t="n"/>
      <c r="Q112" s="124">
        <f>IF(P112="","",COUNTIFS($C$18:$C$2015,P$13,$D$18:$D$2015,"&gt;="&amp;P112,$D$18:$D$2015,"&lt;"&amp;P113))</f>
        <v/>
      </c>
      <c r="R112" s="14" t="n"/>
      <c r="S112" s="16" t="n"/>
      <c r="T112" s="124">
        <f>IF(S112="","",COUNTIFS($C$18:$C$2015,S$13,$D$18:$D$2015,"&gt;="&amp;S112,$D$18:$D$2015,"&lt;"&amp;S113))</f>
        <v/>
      </c>
      <c r="U112" s="14" t="n"/>
      <c r="V112" s="16" t="n"/>
      <c r="W112" s="124">
        <f>IF(V112="","",COUNTIFS($C$18:$C$2015,V$13,$D$18:$D$2015,"&gt;="&amp;V112,$D$18:$D$2015,"&lt;"&amp;V113))</f>
        <v/>
      </c>
      <c r="X112" s="14" t="n"/>
      <c r="Y112" s="16" t="n"/>
      <c r="Z112" s="124">
        <f>IF(Y112="","",COUNTIFS($C$18:$C$2015,Y$13,$D$18:$D$2015,"&gt;="&amp;Y112,$D$18:$D$2015,"&lt;"&amp;Y113))</f>
        <v/>
      </c>
      <c r="AA112" s="14" t="n"/>
      <c r="AB112" s="16" t="n"/>
      <c r="AC112" s="124">
        <f>IF(AB112="","",COUNTIFS($C$18:$C$2015,AB$13,$D$18:$D$2015,"&gt;="&amp;AB112,$D$18:$D$2015,"&lt;"&amp;AB113))</f>
        <v/>
      </c>
      <c r="AD112" s="14" t="n"/>
    </row>
    <row r="113">
      <c r="A113" s="58" t="n"/>
      <c r="B113" s="59" t="n"/>
      <c r="C113" s="59" t="n"/>
      <c r="E113" s="16" t="n"/>
      <c r="F113" s="13" t="n"/>
      <c r="G113" s="16" t="n"/>
      <c r="H113" s="124">
        <f>IF(G113="","",COUNTIFS($C$18:$C$2015,G$13,$D$18:$D$2015,"&gt;="&amp;G113,$D$18:$D$2015,"&lt;"&amp;G114))</f>
        <v/>
      </c>
      <c r="I113" s="14" t="n"/>
      <c r="J113" s="16" t="n"/>
      <c r="K113" s="124">
        <f>IF(J113="","",COUNTIFS($C$18:$C$2015,J$13,$D$18:$D$2015,"&gt;="&amp;J113,$D$18:$D$2015,"&lt;"&amp;J114))</f>
        <v/>
      </c>
      <c r="L113" s="14" t="n"/>
      <c r="M113" s="16" t="n"/>
      <c r="N113" s="124">
        <f>IF(M113="","",COUNTIFS($C$18:$C$2015,M$13,$D$18:$D$2015,"&gt;="&amp;M113,$D$18:$D$2015,"&lt;"&amp;M114))</f>
        <v/>
      </c>
      <c r="O113" s="14" t="n"/>
      <c r="P113" s="16" t="n"/>
      <c r="Q113" s="124">
        <f>IF(P113="","",COUNTIFS($C$18:$C$2015,P$13,$D$18:$D$2015,"&gt;="&amp;P113,$D$18:$D$2015,"&lt;"&amp;P114))</f>
        <v/>
      </c>
      <c r="R113" s="14" t="n"/>
      <c r="S113" s="16" t="n"/>
      <c r="T113" s="124">
        <f>IF(S113="","",COUNTIFS($C$18:$C$2015,S$13,$D$18:$D$2015,"&gt;="&amp;S113,$D$18:$D$2015,"&lt;"&amp;S114))</f>
        <v/>
      </c>
      <c r="U113" s="14" t="n"/>
      <c r="V113" s="16" t="n"/>
      <c r="W113" s="124">
        <f>IF(V113="","",COUNTIFS($C$18:$C$2015,V$13,$D$18:$D$2015,"&gt;="&amp;V113,$D$18:$D$2015,"&lt;"&amp;V114))</f>
        <v/>
      </c>
      <c r="X113" s="14" t="n"/>
      <c r="Y113" s="16" t="n"/>
      <c r="Z113" s="124">
        <f>IF(Y113="","",COUNTIFS($C$18:$C$2015,Y$13,$D$18:$D$2015,"&gt;="&amp;Y113,$D$18:$D$2015,"&lt;"&amp;Y114))</f>
        <v/>
      </c>
      <c r="AA113" s="14" t="n"/>
      <c r="AB113" s="16" t="n"/>
      <c r="AC113" s="124">
        <f>IF(AB113="","",COUNTIFS($C$18:$C$2015,AB$13,$D$18:$D$2015,"&gt;="&amp;AB113,$D$18:$D$2015,"&lt;"&amp;AB114))</f>
        <v/>
      </c>
      <c r="AD113" s="14" t="n"/>
    </row>
    <row r="114">
      <c r="A114" s="56" t="n"/>
      <c r="B114" s="57" t="n"/>
      <c r="C114" s="59" t="n"/>
      <c r="E114" s="16" t="n"/>
      <c r="F114" s="13" t="n"/>
      <c r="G114" s="16" t="n"/>
      <c r="H114" s="124">
        <f>IF(G114="","",COUNTIFS($C$18:$C$2015,G$13,$D$18:$D$2015,"&gt;="&amp;G114,$D$18:$D$2015,"&lt;"&amp;G115))</f>
        <v/>
      </c>
      <c r="I114" s="14" t="n"/>
      <c r="J114" s="16" t="n"/>
      <c r="K114" s="124">
        <f>IF(J114="","",COUNTIFS($C$18:$C$2015,J$13,$D$18:$D$2015,"&gt;="&amp;J114,$D$18:$D$2015,"&lt;"&amp;J115))</f>
        <v/>
      </c>
      <c r="L114" s="14" t="n"/>
      <c r="M114" s="16" t="n"/>
      <c r="N114" s="124">
        <f>IF(M114="","",COUNTIFS($C$18:$C$2015,M$13,$D$18:$D$2015,"&gt;="&amp;M114,$D$18:$D$2015,"&lt;"&amp;M115))</f>
        <v/>
      </c>
      <c r="O114" s="14" t="n"/>
      <c r="P114" s="16" t="n"/>
      <c r="Q114" s="124">
        <f>IF(P114="","",COUNTIFS($C$18:$C$2015,P$13,$D$18:$D$2015,"&gt;="&amp;P114,$D$18:$D$2015,"&lt;"&amp;P115))</f>
        <v/>
      </c>
      <c r="R114" s="14" t="n"/>
      <c r="S114" s="16" t="n"/>
      <c r="T114" s="124">
        <f>IF(S114="","",COUNTIFS($C$18:$C$2015,S$13,$D$18:$D$2015,"&gt;="&amp;S114,$D$18:$D$2015,"&lt;"&amp;S115))</f>
        <v/>
      </c>
      <c r="U114" s="14" t="n"/>
      <c r="V114" s="16" t="n"/>
      <c r="W114" s="124">
        <f>IF(V114="","",COUNTIFS($C$18:$C$2015,V$13,$D$18:$D$2015,"&gt;="&amp;V114,$D$18:$D$2015,"&lt;"&amp;V115))</f>
        <v/>
      </c>
      <c r="X114" s="14" t="n"/>
      <c r="Y114" s="16" t="n"/>
      <c r="Z114" s="124">
        <f>IF(Y114="","",COUNTIFS($C$18:$C$2015,Y$13,$D$18:$D$2015,"&gt;="&amp;Y114,$D$18:$D$2015,"&lt;"&amp;Y115))</f>
        <v/>
      </c>
      <c r="AA114" s="14" t="n"/>
      <c r="AB114" s="16" t="n"/>
      <c r="AC114" s="124">
        <f>IF(AB114="","",COUNTIFS($C$18:$C$2015,AB$13,$D$18:$D$2015,"&gt;="&amp;AB114,$D$18:$D$2015,"&lt;"&amp;AB115))</f>
        <v/>
      </c>
      <c r="AD114" s="14" t="n"/>
    </row>
    <row r="115">
      <c r="A115" s="58" t="n"/>
      <c r="B115" s="59" t="n"/>
      <c r="C115" s="59" t="n"/>
      <c r="E115" s="16" t="n"/>
      <c r="F115" s="13" t="n"/>
      <c r="G115" s="16" t="n"/>
      <c r="H115" s="124">
        <f>IF(G115="","",COUNTIFS($C$18:$C$2015,G$13,$D$18:$D$2015,"&gt;="&amp;G115,$D$18:$D$2015,"&lt;"&amp;G116))</f>
        <v/>
      </c>
      <c r="I115" s="14" t="n"/>
      <c r="J115" s="16" t="n"/>
      <c r="K115" s="124">
        <f>IF(J115="","",COUNTIFS($C$18:$C$2015,J$13,$D$18:$D$2015,"&gt;="&amp;J115,$D$18:$D$2015,"&lt;"&amp;J116))</f>
        <v/>
      </c>
      <c r="L115" s="14" t="n"/>
      <c r="M115" s="16" t="n"/>
      <c r="N115" s="124">
        <f>IF(M115="","",COUNTIFS($C$18:$C$2015,M$13,$D$18:$D$2015,"&gt;="&amp;M115,$D$18:$D$2015,"&lt;"&amp;M116))</f>
        <v/>
      </c>
      <c r="O115" s="14" t="n"/>
      <c r="P115" s="16" t="n"/>
      <c r="Q115" s="124">
        <f>IF(P115="","",COUNTIFS($C$18:$C$2015,P$13,$D$18:$D$2015,"&gt;="&amp;P115,$D$18:$D$2015,"&lt;"&amp;P116))</f>
        <v/>
      </c>
      <c r="R115" s="14" t="n"/>
      <c r="S115" s="16" t="n"/>
      <c r="T115" s="124">
        <f>IF(S115="","",COUNTIFS($C$18:$C$2015,S$13,$D$18:$D$2015,"&gt;="&amp;S115,$D$18:$D$2015,"&lt;"&amp;S116))</f>
        <v/>
      </c>
      <c r="U115" s="14" t="n"/>
      <c r="V115" s="16" t="n"/>
      <c r="W115" s="124">
        <f>IF(V115="","",COUNTIFS($C$18:$C$2015,V$13,$D$18:$D$2015,"&gt;="&amp;V115,$D$18:$D$2015,"&lt;"&amp;V116))</f>
        <v/>
      </c>
      <c r="X115" s="14" t="n"/>
      <c r="Y115" s="16" t="n"/>
      <c r="Z115" s="124">
        <f>IF(Y115="","",COUNTIFS($C$18:$C$2015,Y$13,$D$18:$D$2015,"&gt;="&amp;Y115,$D$18:$D$2015,"&lt;"&amp;Y116))</f>
        <v/>
      </c>
      <c r="AA115" s="14" t="n"/>
      <c r="AB115" s="16" t="n"/>
      <c r="AC115" s="124">
        <f>IF(AB115="","",COUNTIFS($C$18:$C$2015,AB$13,$D$18:$D$2015,"&gt;="&amp;AB115,$D$18:$D$2015,"&lt;"&amp;AB116))</f>
        <v/>
      </c>
      <c r="AD115" s="14" t="n"/>
    </row>
    <row r="116">
      <c r="A116" s="56" t="n"/>
      <c r="B116" s="57" t="n"/>
      <c r="C116" s="59" t="n"/>
      <c r="E116" s="16" t="n"/>
      <c r="F116" s="13" t="n"/>
      <c r="G116" s="16" t="n"/>
      <c r="H116" s="124">
        <f>IF(G116="","",COUNTIFS($C$18:$C$2015,G$13,$D$18:$D$2015,"&gt;="&amp;G116,$D$18:$D$2015,"&lt;"&amp;G117))</f>
        <v/>
      </c>
      <c r="I116" s="14" t="n"/>
      <c r="J116" s="16" t="n"/>
      <c r="K116" s="124">
        <f>IF(J116="","",COUNTIFS($C$18:$C$2015,J$13,$D$18:$D$2015,"&gt;="&amp;J116,$D$18:$D$2015,"&lt;"&amp;J117))</f>
        <v/>
      </c>
      <c r="L116" s="14" t="n"/>
      <c r="M116" s="16" t="n"/>
      <c r="N116" s="124">
        <f>IF(M116="","",COUNTIFS($C$18:$C$2015,M$13,$D$18:$D$2015,"&gt;="&amp;M116,$D$18:$D$2015,"&lt;"&amp;M117))</f>
        <v/>
      </c>
      <c r="O116" s="14" t="n"/>
      <c r="P116" s="16" t="n"/>
      <c r="Q116" s="124">
        <f>IF(P116="","",COUNTIFS($C$18:$C$2015,P$13,$D$18:$D$2015,"&gt;="&amp;P116,$D$18:$D$2015,"&lt;"&amp;P117))</f>
        <v/>
      </c>
      <c r="R116" s="14" t="n"/>
      <c r="S116" s="16" t="n"/>
      <c r="T116" s="124">
        <f>IF(S116="","",COUNTIFS($C$18:$C$2015,S$13,$D$18:$D$2015,"&gt;="&amp;S116,$D$18:$D$2015,"&lt;"&amp;S117))</f>
        <v/>
      </c>
      <c r="U116" s="14" t="n"/>
      <c r="V116" s="16" t="n"/>
      <c r="W116" s="124">
        <f>IF(V116="","",COUNTIFS($C$18:$C$2015,V$13,$D$18:$D$2015,"&gt;="&amp;V116,$D$18:$D$2015,"&lt;"&amp;V117))</f>
        <v/>
      </c>
      <c r="X116" s="14" t="n"/>
      <c r="Y116" s="16" t="n"/>
      <c r="Z116" s="124">
        <f>IF(Y116="","",COUNTIFS($C$18:$C$2015,Y$13,$D$18:$D$2015,"&gt;="&amp;Y116,$D$18:$D$2015,"&lt;"&amp;Y117))</f>
        <v/>
      </c>
      <c r="AA116" s="14" t="n"/>
      <c r="AB116" s="16" t="n"/>
      <c r="AC116" s="124">
        <f>IF(AB116="","",COUNTIFS($C$18:$C$2015,AB$13,$D$18:$D$2015,"&gt;="&amp;AB116,$D$18:$D$2015,"&lt;"&amp;AB117))</f>
        <v/>
      </c>
      <c r="AD116" s="14" t="n"/>
    </row>
    <row r="117">
      <c r="A117" s="58" t="n"/>
      <c r="B117" s="59" t="n"/>
      <c r="C117" s="59" t="n"/>
      <c r="E117" s="16" t="n"/>
      <c r="F117" s="13" t="n"/>
      <c r="G117" s="16" t="n"/>
      <c r="H117" s="124">
        <f>IF(G117="","",COUNTIFS($C$18:$C$2015,G$13,$D$18:$D$2015,"&gt;="&amp;G117,$D$18:$D$2015,"&lt;"&amp;G118))</f>
        <v/>
      </c>
      <c r="I117" s="14" t="n"/>
      <c r="J117" s="16" t="n"/>
      <c r="K117" s="124">
        <f>IF(J117="","",COUNTIFS($C$18:$C$2015,J$13,$D$18:$D$2015,"&gt;="&amp;J117,$D$18:$D$2015,"&lt;"&amp;J118))</f>
        <v/>
      </c>
      <c r="L117" s="14" t="n"/>
      <c r="M117" s="16" t="n"/>
      <c r="N117" s="124">
        <f>IF(M117="","",COUNTIFS($C$18:$C$2015,M$13,$D$18:$D$2015,"&gt;="&amp;M117,$D$18:$D$2015,"&lt;"&amp;M118))</f>
        <v/>
      </c>
      <c r="O117" s="14" t="n"/>
      <c r="P117" s="16" t="n"/>
      <c r="Q117" s="124">
        <f>IF(P117="","",COUNTIFS($C$18:$C$2015,P$13,$D$18:$D$2015,"&gt;="&amp;P117,$D$18:$D$2015,"&lt;"&amp;P118))</f>
        <v/>
      </c>
      <c r="R117" s="14" t="n"/>
      <c r="S117" s="16" t="n"/>
      <c r="T117" s="124">
        <f>IF(S117="","",COUNTIFS($C$18:$C$2015,S$13,$D$18:$D$2015,"&gt;="&amp;S117,$D$18:$D$2015,"&lt;"&amp;S118))</f>
        <v/>
      </c>
      <c r="U117" s="14" t="n"/>
      <c r="V117" s="16" t="n"/>
      <c r="W117" s="124">
        <f>IF(V117="","",COUNTIFS($C$18:$C$2015,V$13,$D$18:$D$2015,"&gt;="&amp;V117,$D$18:$D$2015,"&lt;"&amp;V118))</f>
        <v/>
      </c>
      <c r="X117" s="14" t="n"/>
      <c r="Y117" s="16" t="n"/>
      <c r="Z117" s="124">
        <f>IF(Y117="","",COUNTIFS($C$18:$C$2015,Y$13,$D$18:$D$2015,"&gt;="&amp;Y117,$D$18:$D$2015,"&lt;"&amp;Y118))</f>
        <v/>
      </c>
      <c r="AA117" s="14" t="n"/>
      <c r="AB117" s="16" t="n"/>
      <c r="AC117" s="124">
        <f>IF(AB117="","",COUNTIFS($C$18:$C$2015,AB$13,$D$18:$D$2015,"&gt;="&amp;AB117,$D$18:$D$2015,"&lt;"&amp;AB118))</f>
        <v/>
      </c>
      <c r="AD117" s="14" t="n"/>
    </row>
    <row r="118">
      <c r="A118" s="56" t="n"/>
      <c r="B118" s="57" t="n"/>
      <c r="C118" s="59" t="n"/>
      <c r="E118" s="16" t="n"/>
      <c r="F118" s="13" t="n"/>
      <c r="G118" s="16" t="n"/>
      <c r="H118" s="124">
        <f>IF(G118="","",COUNTIFS($C$18:$C$2015,G$13,$D$18:$D$2015,"&gt;="&amp;G118,$D$18:$D$2015,"&lt;"&amp;G119))</f>
        <v/>
      </c>
      <c r="I118" s="14" t="n"/>
      <c r="J118" s="16" t="n"/>
      <c r="K118" s="124">
        <f>IF(J118="","",COUNTIFS($C$18:$C$2015,J$13,$D$18:$D$2015,"&gt;="&amp;J118,$D$18:$D$2015,"&lt;"&amp;J119))</f>
        <v/>
      </c>
      <c r="L118" s="14" t="n"/>
      <c r="M118" s="16" t="n"/>
      <c r="N118" s="124">
        <f>IF(M118="","",COUNTIFS($C$18:$C$2015,M$13,$D$18:$D$2015,"&gt;="&amp;M118,$D$18:$D$2015,"&lt;"&amp;M119))</f>
        <v/>
      </c>
      <c r="O118" s="14" t="n"/>
      <c r="P118" s="16" t="n"/>
      <c r="Q118" s="124">
        <f>IF(P118="","",COUNTIFS($C$18:$C$2015,P$13,$D$18:$D$2015,"&gt;="&amp;P118,$D$18:$D$2015,"&lt;"&amp;P119))</f>
        <v/>
      </c>
      <c r="R118" s="14" t="n"/>
      <c r="S118" s="16" t="n"/>
      <c r="T118" s="124">
        <f>IF(S118="","",COUNTIFS($C$18:$C$2015,S$13,$D$18:$D$2015,"&gt;="&amp;S118,$D$18:$D$2015,"&lt;"&amp;S119))</f>
        <v/>
      </c>
      <c r="U118" s="14" t="n"/>
      <c r="V118" s="16" t="n"/>
      <c r="W118" s="124">
        <f>IF(V118="","",COUNTIFS($C$18:$C$2015,V$13,$D$18:$D$2015,"&gt;="&amp;V118,$D$18:$D$2015,"&lt;"&amp;V119))</f>
        <v/>
      </c>
      <c r="X118" s="14" t="n"/>
      <c r="Y118" s="16" t="n"/>
      <c r="Z118" s="124">
        <f>IF(Y118="","",COUNTIFS($C$18:$C$2015,Y$13,$D$18:$D$2015,"&gt;="&amp;Y118,$D$18:$D$2015,"&lt;"&amp;Y119))</f>
        <v/>
      </c>
      <c r="AA118" s="14" t="n"/>
      <c r="AB118" s="16" t="n"/>
      <c r="AC118" s="124">
        <f>IF(AB118="","",COUNTIFS($C$18:$C$2015,AB$13,$D$18:$D$2015,"&gt;="&amp;AB118,$D$18:$D$2015,"&lt;"&amp;AB119))</f>
        <v/>
      </c>
      <c r="AD118" s="14" t="n"/>
    </row>
    <row r="119">
      <c r="A119" s="58" t="n"/>
      <c r="B119" s="59" t="n"/>
      <c r="C119" s="59" t="n"/>
      <c r="E119" s="16" t="n"/>
      <c r="F119" s="13" t="n"/>
      <c r="G119" s="16" t="n"/>
      <c r="H119" s="124">
        <f>IF(G119="","",COUNTIFS($C$18:$C$2015,G$13,$D$18:$D$2015,"&gt;="&amp;G119,$D$18:$D$2015,"&lt;"&amp;G120))</f>
        <v/>
      </c>
      <c r="I119" s="14" t="n"/>
      <c r="J119" s="16" t="n"/>
      <c r="K119" s="124">
        <f>IF(J119="","",COUNTIFS($C$18:$C$2015,J$13,$D$18:$D$2015,"&gt;="&amp;J119,$D$18:$D$2015,"&lt;"&amp;J120))</f>
        <v/>
      </c>
      <c r="L119" s="14" t="n"/>
      <c r="M119" s="16" t="n"/>
      <c r="N119" s="124">
        <f>IF(M119="","",COUNTIFS($C$18:$C$2015,M$13,$D$18:$D$2015,"&gt;="&amp;M119,$D$18:$D$2015,"&lt;"&amp;M120))</f>
        <v/>
      </c>
      <c r="O119" s="14" t="n"/>
      <c r="P119" s="16" t="n"/>
      <c r="Q119" s="124">
        <f>IF(P119="","",COUNTIFS($C$18:$C$2015,P$13,$D$18:$D$2015,"&gt;="&amp;P119,$D$18:$D$2015,"&lt;"&amp;P120))</f>
        <v/>
      </c>
      <c r="R119" s="14" t="n"/>
      <c r="S119" s="16" t="n"/>
      <c r="T119" s="124">
        <f>IF(S119="","",COUNTIFS($C$18:$C$2015,S$13,$D$18:$D$2015,"&gt;="&amp;S119,$D$18:$D$2015,"&lt;"&amp;S120))</f>
        <v/>
      </c>
      <c r="U119" s="14" t="n"/>
      <c r="V119" s="16" t="n"/>
      <c r="W119" s="124">
        <f>IF(V119="","",COUNTIFS($C$18:$C$2015,V$13,$D$18:$D$2015,"&gt;="&amp;V119,$D$18:$D$2015,"&lt;"&amp;V120))</f>
        <v/>
      </c>
      <c r="X119" s="14" t="n"/>
      <c r="Y119" s="16" t="n"/>
      <c r="Z119" s="124">
        <f>IF(Y119="","",COUNTIFS($C$18:$C$2015,Y$13,$D$18:$D$2015,"&gt;="&amp;Y119,$D$18:$D$2015,"&lt;"&amp;Y120))</f>
        <v/>
      </c>
      <c r="AA119" s="14" t="n"/>
      <c r="AB119" s="16" t="n"/>
      <c r="AC119" s="124">
        <f>IF(AB119="","",COUNTIFS($C$18:$C$2015,AB$13,$D$18:$D$2015,"&gt;="&amp;AB119,$D$18:$D$2015,"&lt;"&amp;AB120))</f>
        <v/>
      </c>
      <c r="AD119" s="14" t="n"/>
    </row>
    <row r="120">
      <c r="A120" s="56" t="n"/>
      <c r="B120" s="57" t="n"/>
      <c r="C120" s="59" t="n"/>
      <c r="E120" s="16" t="n"/>
      <c r="F120" s="13" t="n"/>
      <c r="G120" s="16" t="n"/>
      <c r="H120" s="124">
        <f>IF(G120="","",COUNTIFS($C$18:$C$2015,G$13,$D$18:$D$2015,"&gt;="&amp;G120,$D$18:$D$2015,"&lt;"&amp;G121))</f>
        <v/>
      </c>
      <c r="I120" s="14" t="n"/>
      <c r="J120" s="16" t="n"/>
      <c r="K120" s="124">
        <f>IF(J120="","",COUNTIFS($C$18:$C$2015,J$13,$D$18:$D$2015,"&gt;="&amp;J120,$D$18:$D$2015,"&lt;"&amp;J121))</f>
        <v/>
      </c>
      <c r="L120" s="14" t="n"/>
      <c r="M120" s="16" t="n"/>
      <c r="N120" s="124">
        <f>IF(M120="","",COUNTIFS($C$18:$C$2015,M$13,$D$18:$D$2015,"&gt;="&amp;M120,$D$18:$D$2015,"&lt;"&amp;M121))</f>
        <v/>
      </c>
      <c r="O120" s="14" t="n"/>
      <c r="P120" s="16" t="n"/>
      <c r="Q120" s="124">
        <f>IF(P120="","",COUNTIFS($C$18:$C$2015,P$13,$D$18:$D$2015,"&gt;="&amp;P120,$D$18:$D$2015,"&lt;"&amp;P121))</f>
        <v/>
      </c>
      <c r="R120" s="14" t="n"/>
      <c r="S120" s="16" t="n"/>
      <c r="T120" s="124">
        <f>IF(S120="","",COUNTIFS($C$18:$C$2015,S$13,$D$18:$D$2015,"&gt;="&amp;S120,$D$18:$D$2015,"&lt;"&amp;S121))</f>
        <v/>
      </c>
      <c r="U120" s="14" t="n"/>
      <c r="V120" s="16" t="n"/>
      <c r="W120" s="124">
        <f>IF(V120="","",COUNTIFS($C$18:$C$2015,V$13,$D$18:$D$2015,"&gt;="&amp;V120,$D$18:$D$2015,"&lt;"&amp;V121))</f>
        <v/>
      </c>
      <c r="X120" s="14" t="n"/>
      <c r="Y120" s="16" t="n"/>
      <c r="Z120" s="124">
        <f>IF(Y120="","",COUNTIFS($C$18:$C$2015,Y$13,$D$18:$D$2015,"&gt;="&amp;Y120,$D$18:$D$2015,"&lt;"&amp;Y121))</f>
        <v/>
      </c>
      <c r="AA120" s="14" t="n"/>
      <c r="AB120" s="16" t="n"/>
      <c r="AC120" s="124">
        <f>IF(AB120="","",COUNTIFS($C$18:$C$2015,AB$13,$D$18:$D$2015,"&gt;="&amp;AB120,$D$18:$D$2015,"&lt;"&amp;AB121))</f>
        <v/>
      </c>
      <c r="AD120" s="14" t="n"/>
    </row>
    <row r="121">
      <c r="A121" s="58" t="n"/>
      <c r="B121" s="59" t="n"/>
      <c r="C121" s="59" t="n"/>
      <c r="E121" s="16" t="n"/>
      <c r="F121" s="13" t="n"/>
      <c r="G121" s="16" t="n"/>
      <c r="H121" s="124">
        <f>IF(G121="","",COUNTIFS($C$18:$C$2015,G$13,$D$18:$D$2015,"&gt;="&amp;G121,$D$18:$D$2015,"&lt;"&amp;G122))</f>
        <v/>
      </c>
      <c r="I121" s="14" t="n"/>
      <c r="J121" s="16" t="n"/>
      <c r="K121" s="124">
        <f>IF(J121="","",COUNTIFS($C$18:$C$2015,J$13,$D$18:$D$2015,"&gt;="&amp;J121,$D$18:$D$2015,"&lt;"&amp;J122))</f>
        <v/>
      </c>
      <c r="L121" s="14" t="n"/>
      <c r="M121" s="16" t="n"/>
      <c r="N121" s="124">
        <f>IF(M121="","",COUNTIFS($C$18:$C$2015,M$13,$D$18:$D$2015,"&gt;="&amp;M121,$D$18:$D$2015,"&lt;"&amp;M122))</f>
        <v/>
      </c>
      <c r="O121" s="14" t="n"/>
      <c r="P121" s="16" t="n"/>
      <c r="Q121" s="124">
        <f>IF(P121="","",COUNTIFS($C$18:$C$2015,P$13,$D$18:$D$2015,"&gt;="&amp;P121,$D$18:$D$2015,"&lt;"&amp;P122))</f>
        <v/>
      </c>
      <c r="R121" s="14" t="n"/>
      <c r="S121" s="16" t="n"/>
      <c r="T121" s="124">
        <f>IF(S121="","",COUNTIFS($C$18:$C$2015,S$13,$D$18:$D$2015,"&gt;="&amp;S121,$D$18:$D$2015,"&lt;"&amp;S122))</f>
        <v/>
      </c>
      <c r="U121" s="14" t="n"/>
      <c r="V121" s="16" t="n"/>
      <c r="W121" s="124">
        <f>IF(V121="","",COUNTIFS($C$18:$C$2015,V$13,$D$18:$D$2015,"&gt;="&amp;V121,$D$18:$D$2015,"&lt;"&amp;V122))</f>
        <v/>
      </c>
      <c r="X121" s="14" t="n"/>
      <c r="Y121" s="16" t="n"/>
      <c r="Z121" s="124">
        <f>IF(Y121="","",COUNTIFS($C$18:$C$2015,Y$13,$D$18:$D$2015,"&gt;="&amp;Y121,$D$18:$D$2015,"&lt;"&amp;Y122))</f>
        <v/>
      </c>
      <c r="AA121" s="14" t="n"/>
      <c r="AB121" s="16" t="n"/>
      <c r="AC121" s="124">
        <f>IF(AB121="","",COUNTIFS($C$18:$C$2015,AB$13,$D$18:$D$2015,"&gt;="&amp;AB121,$D$18:$D$2015,"&lt;"&amp;AB122))</f>
        <v/>
      </c>
      <c r="AD121" s="14" t="n"/>
    </row>
    <row r="122">
      <c r="A122" s="56" t="n"/>
      <c r="B122" s="57" t="n"/>
      <c r="C122" s="59" t="n"/>
      <c r="E122" s="16" t="n"/>
      <c r="F122" s="13" t="n"/>
      <c r="G122" s="16" t="n"/>
      <c r="H122" s="124">
        <f>IF(G122="","",COUNTIFS($C$18:$C$2015,G$13,$D$18:$D$2015,"&gt;="&amp;G122,$D$18:$D$2015,"&lt;"&amp;G123))</f>
        <v/>
      </c>
      <c r="I122" s="14" t="n"/>
      <c r="J122" s="16" t="n"/>
      <c r="K122" s="124">
        <f>IF(J122="","",COUNTIFS($C$18:$C$2015,J$13,$D$18:$D$2015,"&gt;="&amp;J122,$D$18:$D$2015,"&lt;"&amp;J123))</f>
        <v/>
      </c>
      <c r="L122" s="14" t="n"/>
      <c r="M122" s="16" t="n"/>
      <c r="N122" s="124">
        <f>IF(M122="","",COUNTIFS($C$18:$C$2015,M$13,$D$18:$D$2015,"&gt;="&amp;M122,$D$18:$D$2015,"&lt;"&amp;M123))</f>
        <v/>
      </c>
      <c r="O122" s="14" t="n"/>
      <c r="P122" s="16" t="n"/>
      <c r="Q122" s="124">
        <f>IF(P122="","",COUNTIFS($C$18:$C$2015,P$13,$D$18:$D$2015,"&gt;="&amp;P122,$D$18:$D$2015,"&lt;"&amp;P123))</f>
        <v/>
      </c>
      <c r="R122" s="14" t="n"/>
      <c r="S122" s="16" t="n"/>
      <c r="T122" s="124">
        <f>IF(S122="","",COUNTIFS($C$18:$C$2015,S$13,$D$18:$D$2015,"&gt;="&amp;S122,$D$18:$D$2015,"&lt;"&amp;S123))</f>
        <v/>
      </c>
      <c r="U122" s="14" t="n"/>
      <c r="V122" s="16" t="n"/>
      <c r="W122" s="124">
        <f>IF(V122="","",COUNTIFS($C$18:$C$2015,V$13,$D$18:$D$2015,"&gt;="&amp;V122,$D$18:$D$2015,"&lt;"&amp;V123))</f>
        <v/>
      </c>
      <c r="X122" s="14" t="n"/>
      <c r="Y122" s="16" t="n"/>
      <c r="Z122" s="124">
        <f>IF(Y122="","",COUNTIFS($C$18:$C$2015,Y$13,$D$18:$D$2015,"&gt;="&amp;Y122,$D$18:$D$2015,"&lt;"&amp;Y123))</f>
        <v/>
      </c>
      <c r="AA122" s="14" t="n"/>
      <c r="AB122" s="16" t="n"/>
      <c r="AC122" s="124">
        <f>IF(AB122="","",COUNTIFS($C$18:$C$2015,AB$13,$D$18:$D$2015,"&gt;="&amp;AB122,$D$18:$D$2015,"&lt;"&amp;AB123))</f>
        <v/>
      </c>
      <c r="AD122" s="14" t="n"/>
    </row>
    <row r="123">
      <c r="A123" s="58" t="n"/>
      <c r="B123" s="59" t="n"/>
      <c r="C123" s="59" t="n"/>
      <c r="E123" s="16" t="n"/>
      <c r="F123" s="13" t="n"/>
      <c r="G123" s="16" t="n"/>
      <c r="H123" s="124">
        <f>IF(G123="","",COUNTIFS($C$18:$C$2015,G$13,$D$18:$D$2015,"&gt;="&amp;G123,$D$18:$D$2015,"&lt;"&amp;G124))</f>
        <v/>
      </c>
      <c r="I123" s="14" t="n"/>
      <c r="J123" s="16" t="n"/>
      <c r="K123" s="124">
        <f>IF(J123="","",COUNTIFS($C$18:$C$2015,J$13,$D$18:$D$2015,"&gt;="&amp;J123,$D$18:$D$2015,"&lt;"&amp;J124))</f>
        <v/>
      </c>
      <c r="L123" s="14" t="n"/>
      <c r="M123" s="16" t="n"/>
      <c r="N123" s="124">
        <f>IF(M123="","",COUNTIFS($C$18:$C$2015,M$13,$D$18:$D$2015,"&gt;="&amp;M123,$D$18:$D$2015,"&lt;"&amp;M124))</f>
        <v/>
      </c>
      <c r="O123" s="14" t="n"/>
      <c r="P123" s="16" t="n"/>
      <c r="Q123" s="124">
        <f>IF(P123="","",COUNTIFS($C$18:$C$2015,P$13,$D$18:$D$2015,"&gt;="&amp;P123,$D$18:$D$2015,"&lt;"&amp;P124))</f>
        <v/>
      </c>
      <c r="R123" s="14" t="n"/>
      <c r="S123" s="16" t="n"/>
      <c r="T123" s="124">
        <f>IF(S123="","",COUNTIFS($C$18:$C$2015,S$13,$D$18:$D$2015,"&gt;="&amp;S123,$D$18:$D$2015,"&lt;"&amp;S124))</f>
        <v/>
      </c>
      <c r="U123" s="14" t="n"/>
      <c r="V123" s="16" t="n"/>
      <c r="W123" s="124">
        <f>IF(V123="","",COUNTIFS($C$18:$C$2015,V$13,$D$18:$D$2015,"&gt;="&amp;V123,$D$18:$D$2015,"&lt;"&amp;V124))</f>
        <v/>
      </c>
      <c r="X123" s="14" t="n"/>
      <c r="Y123" s="16" t="n"/>
      <c r="Z123" s="124">
        <f>IF(Y123="","",COUNTIFS($C$18:$C$2015,Y$13,$D$18:$D$2015,"&gt;="&amp;Y123,$D$18:$D$2015,"&lt;"&amp;Y124))</f>
        <v/>
      </c>
      <c r="AA123" s="14" t="n"/>
      <c r="AB123" s="16" t="n"/>
      <c r="AC123" s="124">
        <f>IF(AB123="","",COUNTIFS($C$18:$C$2015,AB$13,$D$18:$D$2015,"&gt;="&amp;AB123,$D$18:$D$2015,"&lt;"&amp;AB124))</f>
        <v/>
      </c>
      <c r="AD123" s="14" t="n"/>
    </row>
    <row r="124">
      <c r="A124" s="56" t="n"/>
      <c r="B124" s="57" t="n"/>
      <c r="C124" s="59" t="n"/>
      <c r="E124" s="16" t="n"/>
      <c r="F124" s="13" t="n"/>
      <c r="G124" s="16" t="n"/>
      <c r="H124" s="124">
        <f>IF(G124="","",COUNTIFS($C$18:$C$2015,G$13,$D$18:$D$2015,"&gt;="&amp;G124,$D$18:$D$2015,"&lt;"&amp;G125))</f>
        <v/>
      </c>
      <c r="I124" s="14" t="n"/>
      <c r="J124" s="16" t="n"/>
      <c r="K124" s="124">
        <f>IF(J124="","",COUNTIFS($C$18:$C$2015,J$13,$D$18:$D$2015,"&gt;="&amp;J124,$D$18:$D$2015,"&lt;"&amp;J125))</f>
        <v/>
      </c>
      <c r="L124" s="14" t="n"/>
      <c r="M124" s="16" t="n"/>
      <c r="N124" s="124">
        <f>IF(M124="","",COUNTIFS($C$18:$C$2015,M$13,$D$18:$D$2015,"&gt;="&amp;M124,$D$18:$D$2015,"&lt;"&amp;M125))</f>
        <v/>
      </c>
      <c r="O124" s="14" t="n"/>
      <c r="P124" s="16" t="n"/>
      <c r="Q124" s="124">
        <f>IF(P124="","",COUNTIFS($C$18:$C$2015,P$13,$D$18:$D$2015,"&gt;="&amp;P124,$D$18:$D$2015,"&lt;"&amp;P125))</f>
        <v/>
      </c>
      <c r="R124" s="14" t="n"/>
      <c r="S124" s="16" t="n"/>
      <c r="T124" s="124">
        <f>IF(S124="","",COUNTIFS($C$18:$C$2015,S$13,$D$18:$D$2015,"&gt;="&amp;S124,$D$18:$D$2015,"&lt;"&amp;S125))</f>
        <v/>
      </c>
      <c r="U124" s="14" t="n"/>
      <c r="V124" s="16" t="n"/>
      <c r="W124" s="124">
        <f>IF(V124="","",COUNTIFS($C$18:$C$2015,V$13,$D$18:$D$2015,"&gt;="&amp;V124,$D$18:$D$2015,"&lt;"&amp;V125))</f>
        <v/>
      </c>
      <c r="X124" s="14" t="n"/>
      <c r="Y124" s="16" t="n"/>
      <c r="Z124" s="124">
        <f>IF(Y124="","",COUNTIFS($C$18:$C$2015,Y$13,$D$18:$D$2015,"&gt;="&amp;Y124,$D$18:$D$2015,"&lt;"&amp;Y125))</f>
        <v/>
      </c>
      <c r="AA124" s="14" t="n"/>
      <c r="AB124" s="16" t="n"/>
      <c r="AC124" s="124">
        <f>IF(AB124="","",COUNTIFS($C$18:$C$2015,AB$13,$D$18:$D$2015,"&gt;="&amp;AB124,$D$18:$D$2015,"&lt;"&amp;AB125))</f>
        <v/>
      </c>
      <c r="AD124" s="14" t="n"/>
    </row>
    <row r="125">
      <c r="A125" s="58" t="n"/>
      <c r="B125" s="59" t="n"/>
      <c r="C125" s="59" t="n"/>
      <c r="E125" s="16" t="n"/>
      <c r="F125" s="13" t="n"/>
      <c r="G125" s="16" t="n"/>
      <c r="H125" s="124">
        <f>IF(G125="","",COUNTIFS($C$18:$C$2015,G$13,$D$18:$D$2015,"&gt;="&amp;G125,$D$18:$D$2015,"&lt;"&amp;G126))</f>
        <v/>
      </c>
      <c r="I125" s="14" t="n"/>
      <c r="J125" s="16" t="n"/>
      <c r="K125" s="124">
        <f>IF(J125="","",COUNTIFS($C$18:$C$2015,J$13,$D$18:$D$2015,"&gt;="&amp;J125,$D$18:$D$2015,"&lt;"&amp;J126))</f>
        <v/>
      </c>
      <c r="L125" s="14" t="n"/>
      <c r="M125" s="16" t="n"/>
      <c r="N125" s="124">
        <f>IF(M125="","",COUNTIFS($C$18:$C$2015,M$13,$D$18:$D$2015,"&gt;="&amp;M125,$D$18:$D$2015,"&lt;"&amp;M126))</f>
        <v/>
      </c>
      <c r="O125" s="14" t="n"/>
      <c r="P125" s="16" t="n"/>
      <c r="Q125" s="124">
        <f>IF(P125="","",COUNTIFS($C$18:$C$2015,P$13,$D$18:$D$2015,"&gt;="&amp;P125,$D$18:$D$2015,"&lt;"&amp;P126))</f>
        <v/>
      </c>
      <c r="R125" s="14" t="n"/>
      <c r="S125" s="16" t="n"/>
      <c r="T125" s="124">
        <f>IF(S125="","",COUNTIFS($C$18:$C$2015,S$13,$D$18:$D$2015,"&gt;="&amp;S125,$D$18:$D$2015,"&lt;"&amp;S126))</f>
        <v/>
      </c>
      <c r="U125" s="14" t="n"/>
      <c r="V125" s="16" t="n"/>
      <c r="W125" s="124">
        <f>IF(V125="","",COUNTIFS($C$18:$C$2015,V$13,$D$18:$D$2015,"&gt;="&amp;V125,$D$18:$D$2015,"&lt;"&amp;V126))</f>
        <v/>
      </c>
      <c r="X125" s="14" t="n"/>
      <c r="Y125" s="16" t="n"/>
      <c r="Z125" s="124">
        <f>IF(Y125="","",COUNTIFS($C$18:$C$2015,Y$13,$D$18:$D$2015,"&gt;="&amp;Y125,$D$18:$D$2015,"&lt;"&amp;Y126))</f>
        <v/>
      </c>
      <c r="AA125" s="14" t="n"/>
      <c r="AB125" s="16" t="n"/>
      <c r="AC125" s="124">
        <f>IF(AB125="","",COUNTIFS($C$18:$C$2015,AB$13,$D$18:$D$2015,"&gt;="&amp;AB125,$D$18:$D$2015,"&lt;"&amp;AB126))</f>
        <v/>
      </c>
      <c r="AD125" s="14" t="n"/>
    </row>
    <row r="126">
      <c r="A126" s="56" t="n"/>
      <c r="B126" s="57" t="n"/>
      <c r="C126" s="59" t="n"/>
      <c r="E126" s="16" t="n"/>
      <c r="F126" s="13" t="n"/>
      <c r="G126" s="16" t="n"/>
      <c r="H126" s="124">
        <f>IF(G126="","",COUNTIFS($C$18:$C$2015,G$13,$D$18:$D$2015,"&gt;="&amp;G126,$D$18:$D$2015,"&lt;"&amp;G127))</f>
        <v/>
      </c>
      <c r="I126" s="14" t="n"/>
      <c r="J126" s="16" t="n"/>
      <c r="K126" s="124">
        <f>IF(J126="","",COUNTIFS($C$18:$C$2015,J$13,$D$18:$D$2015,"&gt;="&amp;J126,$D$18:$D$2015,"&lt;"&amp;J127))</f>
        <v/>
      </c>
      <c r="L126" s="14" t="n"/>
      <c r="M126" s="16" t="n"/>
      <c r="N126" s="124">
        <f>IF(M126="","",COUNTIFS($C$18:$C$2015,M$13,$D$18:$D$2015,"&gt;="&amp;M126,$D$18:$D$2015,"&lt;"&amp;M127))</f>
        <v/>
      </c>
      <c r="O126" s="14" t="n"/>
      <c r="P126" s="16" t="n"/>
      <c r="Q126" s="124">
        <f>IF(P126="","",COUNTIFS($C$18:$C$2015,P$13,$D$18:$D$2015,"&gt;="&amp;P126,$D$18:$D$2015,"&lt;"&amp;P127))</f>
        <v/>
      </c>
      <c r="R126" s="14" t="n"/>
      <c r="S126" s="16" t="n"/>
      <c r="T126" s="124">
        <f>IF(S126="","",COUNTIFS($C$18:$C$2015,S$13,$D$18:$D$2015,"&gt;="&amp;S126,$D$18:$D$2015,"&lt;"&amp;S127))</f>
        <v/>
      </c>
      <c r="U126" s="14" t="n"/>
      <c r="V126" s="16" t="n"/>
      <c r="W126" s="124">
        <f>IF(V126="","",COUNTIFS($C$18:$C$2015,V$13,$D$18:$D$2015,"&gt;="&amp;V126,$D$18:$D$2015,"&lt;"&amp;V127))</f>
        <v/>
      </c>
      <c r="X126" s="14" t="n"/>
      <c r="Y126" s="16" t="n"/>
      <c r="Z126" s="124">
        <f>IF(Y126="","",COUNTIFS($C$18:$C$2015,Y$13,$D$18:$D$2015,"&gt;="&amp;Y126,$D$18:$D$2015,"&lt;"&amp;Y127))</f>
        <v/>
      </c>
      <c r="AA126" s="14" t="n"/>
      <c r="AB126" s="16" t="n"/>
      <c r="AC126" s="124">
        <f>IF(AB126="","",COUNTIFS($C$18:$C$2015,AB$13,$D$18:$D$2015,"&gt;="&amp;AB126,$D$18:$D$2015,"&lt;"&amp;AB127))</f>
        <v/>
      </c>
      <c r="AD126" s="14" t="n"/>
    </row>
    <row r="127">
      <c r="A127" s="58" t="n"/>
      <c r="B127" s="59" t="n"/>
      <c r="C127" s="59" t="n"/>
      <c r="E127" s="16" t="n"/>
      <c r="F127" s="13" t="n"/>
      <c r="G127" s="16" t="n"/>
      <c r="H127" s="124">
        <f>IF(G127="","",COUNTIFS($C$18:$C$2015,G$13,$D$18:$D$2015,"&gt;="&amp;G127,$D$18:$D$2015,"&lt;"&amp;G128))</f>
        <v/>
      </c>
      <c r="I127" s="14" t="n"/>
      <c r="J127" s="16" t="n"/>
      <c r="K127" s="124">
        <f>IF(J127="","",COUNTIFS($C$18:$C$2015,J$13,$D$18:$D$2015,"&gt;="&amp;J127,$D$18:$D$2015,"&lt;"&amp;J128))</f>
        <v/>
      </c>
      <c r="L127" s="14" t="n"/>
      <c r="M127" s="16" t="n"/>
      <c r="N127" s="124">
        <f>IF(M127="","",COUNTIFS($C$18:$C$2015,M$13,$D$18:$D$2015,"&gt;="&amp;M127,$D$18:$D$2015,"&lt;"&amp;M128))</f>
        <v/>
      </c>
      <c r="O127" s="14" t="n"/>
      <c r="P127" s="16" t="n"/>
      <c r="Q127" s="124">
        <f>IF(P127="","",COUNTIFS($C$18:$C$2015,P$13,$D$18:$D$2015,"&gt;="&amp;P127,$D$18:$D$2015,"&lt;"&amp;P128))</f>
        <v/>
      </c>
      <c r="R127" s="14" t="n"/>
      <c r="S127" s="16" t="n"/>
      <c r="T127" s="124">
        <f>IF(S127="","",COUNTIFS($C$18:$C$2015,S$13,$D$18:$D$2015,"&gt;="&amp;S127,$D$18:$D$2015,"&lt;"&amp;S128))</f>
        <v/>
      </c>
      <c r="U127" s="14" t="n"/>
      <c r="V127" s="16" t="n"/>
      <c r="W127" s="124">
        <f>IF(V127="","",COUNTIFS($C$18:$C$2015,V$13,$D$18:$D$2015,"&gt;="&amp;V127,$D$18:$D$2015,"&lt;"&amp;V128))</f>
        <v/>
      </c>
      <c r="X127" s="14" t="n"/>
      <c r="Y127" s="16" t="n"/>
      <c r="Z127" s="124">
        <f>IF(Y127="","",COUNTIFS($C$18:$C$2015,Y$13,$D$18:$D$2015,"&gt;="&amp;Y127,$D$18:$D$2015,"&lt;"&amp;Y128))</f>
        <v/>
      </c>
      <c r="AA127" s="14" t="n"/>
      <c r="AB127" s="16" t="n"/>
      <c r="AC127" s="124">
        <f>IF(AB127="","",COUNTIFS($C$18:$C$2015,AB$13,$D$18:$D$2015,"&gt;="&amp;AB127,$D$18:$D$2015,"&lt;"&amp;AB128))</f>
        <v/>
      </c>
      <c r="AD127" s="14" t="n"/>
    </row>
    <row r="128">
      <c r="A128" s="56" t="n"/>
      <c r="B128" s="57" t="n"/>
      <c r="C128" s="59" t="n"/>
      <c r="E128" s="16" t="n"/>
      <c r="F128" s="13" t="n"/>
      <c r="G128" s="16" t="n"/>
      <c r="H128" s="124">
        <f>IF(G128="","",COUNTIFS($C$18:$C$2015,G$13,$D$18:$D$2015,"&gt;="&amp;G128,$D$18:$D$2015,"&lt;"&amp;G129))</f>
        <v/>
      </c>
      <c r="I128" s="14" t="n"/>
      <c r="J128" s="16" t="n"/>
      <c r="K128" s="124">
        <f>IF(J128="","",COUNTIFS($C$18:$C$2015,J$13,$D$18:$D$2015,"&gt;="&amp;J128,$D$18:$D$2015,"&lt;"&amp;J129))</f>
        <v/>
      </c>
      <c r="L128" s="14" t="n"/>
      <c r="M128" s="16" t="n"/>
      <c r="N128" s="124">
        <f>IF(M128="","",COUNTIFS($C$18:$C$2015,M$13,$D$18:$D$2015,"&gt;="&amp;M128,$D$18:$D$2015,"&lt;"&amp;M129))</f>
        <v/>
      </c>
      <c r="O128" s="14" t="n"/>
      <c r="P128" s="16" t="n"/>
      <c r="Q128" s="124">
        <f>IF(P128="","",COUNTIFS($C$18:$C$2015,P$13,$D$18:$D$2015,"&gt;="&amp;P128,$D$18:$D$2015,"&lt;"&amp;P129))</f>
        <v/>
      </c>
      <c r="R128" s="14" t="n"/>
      <c r="S128" s="16" t="n"/>
      <c r="T128" s="124">
        <f>IF(S128="","",COUNTIFS($C$18:$C$2015,S$13,$D$18:$D$2015,"&gt;="&amp;S128,$D$18:$D$2015,"&lt;"&amp;S129))</f>
        <v/>
      </c>
      <c r="U128" s="14" t="n"/>
      <c r="V128" s="16" t="n"/>
      <c r="W128" s="124">
        <f>IF(V128="","",COUNTIFS($C$18:$C$2015,V$13,$D$18:$D$2015,"&gt;="&amp;V128,$D$18:$D$2015,"&lt;"&amp;V129))</f>
        <v/>
      </c>
      <c r="X128" s="14" t="n"/>
      <c r="Y128" s="16" t="n"/>
      <c r="Z128" s="124">
        <f>IF(Y128="","",COUNTIFS($C$18:$C$2015,Y$13,$D$18:$D$2015,"&gt;="&amp;Y128,$D$18:$D$2015,"&lt;"&amp;Y129))</f>
        <v/>
      </c>
      <c r="AA128" s="14" t="n"/>
      <c r="AB128" s="16" t="n"/>
      <c r="AC128" s="124">
        <f>IF(AB128="","",COUNTIFS($C$18:$C$2015,AB$13,$D$18:$D$2015,"&gt;="&amp;AB128,$D$18:$D$2015,"&lt;"&amp;AB129))</f>
        <v/>
      </c>
      <c r="AD128" s="14" t="n"/>
    </row>
    <row r="129">
      <c r="A129" s="58" t="n"/>
      <c r="B129" s="59" t="n"/>
      <c r="C129" s="59" t="n"/>
      <c r="E129" s="16" t="n"/>
      <c r="F129" s="13" t="n"/>
      <c r="G129" s="16" t="n"/>
      <c r="H129" s="124">
        <f>IF(G129="","",COUNTIFS($C$18:$C$2015,G$13,$D$18:$D$2015,"&gt;="&amp;G129,$D$18:$D$2015,"&lt;"&amp;G130))</f>
        <v/>
      </c>
      <c r="I129" s="14" t="n"/>
      <c r="J129" s="16" t="n"/>
      <c r="K129" s="124">
        <f>IF(J129="","",COUNTIFS($C$18:$C$2015,J$13,$D$18:$D$2015,"&gt;="&amp;J129,$D$18:$D$2015,"&lt;"&amp;J130))</f>
        <v/>
      </c>
      <c r="L129" s="14" t="n"/>
      <c r="M129" s="16" t="n"/>
      <c r="N129" s="124">
        <f>IF(M129="","",COUNTIFS($C$18:$C$2015,M$13,$D$18:$D$2015,"&gt;="&amp;M129,$D$18:$D$2015,"&lt;"&amp;M130))</f>
        <v/>
      </c>
      <c r="O129" s="14" t="n"/>
      <c r="P129" s="16" t="n"/>
      <c r="Q129" s="124">
        <f>IF(P129="","",COUNTIFS($C$18:$C$2015,P$13,$D$18:$D$2015,"&gt;="&amp;P129,$D$18:$D$2015,"&lt;"&amp;P130))</f>
        <v/>
      </c>
      <c r="R129" s="14" t="n"/>
      <c r="S129" s="16" t="n"/>
      <c r="T129" s="124">
        <f>IF(S129="","",COUNTIFS($C$18:$C$2015,S$13,$D$18:$D$2015,"&gt;="&amp;S129,$D$18:$D$2015,"&lt;"&amp;S130))</f>
        <v/>
      </c>
      <c r="U129" s="14" t="n"/>
      <c r="V129" s="16" t="n"/>
      <c r="W129" s="124">
        <f>IF(V129="","",COUNTIFS($C$18:$C$2015,V$13,$D$18:$D$2015,"&gt;="&amp;V129,$D$18:$D$2015,"&lt;"&amp;V130))</f>
        <v/>
      </c>
      <c r="X129" s="14" t="n"/>
      <c r="Y129" s="16" t="n"/>
      <c r="Z129" s="124">
        <f>IF(Y129="","",COUNTIFS($C$18:$C$2015,Y$13,$D$18:$D$2015,"&gt;="&amp;Y129,$D$18:$D$2015,"&lt;"&amp;Y130))</f>
        <v/>
      </c>
      <c r="AA129" s="14" t="n"/>
      <c r="AB129" s="16" t="n"/>
      <c r="AC129" s="124">
        <f>IF(AB129="","",COUNTIFS($C$18:$C$2015,AB$13,$D$18:$D$2015,"&gt;="&amp;AB129,$D$18:$D$2015,"&lt;"&amp;AB130))</f>
        <v/>
      </c>
      <c r="AD129" s="14" t="n"/>
    </row>
    <row r="130">
      <c r="A130" s="56" t="n"/>
      <c r="B130" s="57" t="n"/>
      <c r="C130" s="59" t="n"/>
      <c r="E130" s="16" t="n"/>
      <c r="F130" s="13" t="n"/>
      <c r="G130" s="16" t="n"/>
      <c r="H130" s="124">
        <f>IF(G130="","",COUNTIFS($C$18:$C$2015,G$13,$D$18:$D$2015,"&gt;="&amp;G130,$D$18:$D$2015,"&lt;"&amp;G131))</f>
        <v/>
      </c>
      <c r="I130" s="14" t="n"/>
      <c r="J130" s="16" t="n"/>
      <c r="K130" s="124">
        <f>IF(J130="","",COUNTIFS($C$18:$C$2015,J$13,$D$18:$D$2015,"&gt;="&amp;J130,$D$18:$D$2015,"&lt;"&amp;J131))</f>
        <v/>
      </c>
      <c r="L130" s="14" t="n"/>
      <c r="M130" s="16" t="n"/>
      <c r="N130" s="124">
        <f>IF(M130="","",COUNTIFS($C$18:$C$2015,M$13,$D$18:$D$2015,"&gt;="&amp;M130,$D$18:$D$2015,"&lt;"&amp;M131))</f>
        <v/>
      </c>
      <c r="O130" s="14" t="n"/>
      <c r="P130" s="16" t="n"/>
      <c r="Q130" s="124">
        <f>IF(P130="","",COUNTIFS($C$18:$C$2015,P$13,$D$18:$D$2015,"&gt;="&amp;P130,$D$18:$D$2015,"&lt;"&amp;P131))</f>
        <v/>
      </c>
      <c r="R130" s="14" t="n"/>
      <c r="S130" s="16" t="n"/>
      <c r="T130" s="124">
        <f>IF(S130="","",COUNTIFS($C$18:$C$2015,S$13,$D$18:$D$2015,"&gt;="&amp;S130,$D$18:$D$2015,"&lt;"&amp;S131))</f>
        <v/>
      </c>
      <c r="U130" s="14" t="n"/>
      <c r="V130" s="16" t="n"/>
      <c r="W130" s="124">
        <f>IF(V130="","",COUNTIFS($C$18:$C$2015,V$13,$D$18:$D$2015,"&gt;="&amp;V130,$D$18:$D$2015,"&lt;"&amp;V131))</f>
        <v/>
      </c>
      <c r="X130" s="14" t="n"/>
      <c r="Y130" s="16" t="n"/>
      <c r="Z130" s="124">
        <f>IF(Y130="","",COUNTIFS($C$18:$C$2015,Y$13,$D$18:$D$2015,"&gt;="&amp;Y130,$D$18:$D$2015,"&lt;"&amp;Y131))</f>
        <v/>
      </c>
      <c r="AA130" s="14" t="n"/>
      <c r="AB130" s="16" t="n"/>
      <c r="AC130" s="124">
        <f>IF(AB130="","",COUNTIFS($C$18:$C$2015,AB$13,$D$18:$D$2015,"&gt;="&amp;AB130,$D$18:$D$2015,"&lt;"&amp;AB131))</f>
        <v/>
      </c>
      <c r="AD130" s="14" t="n"/>
    </row>
    <row r="131">
      <c r="A131" s="58" t="n"/>
      <c r="B131" s="59" t="n"/>
      <c r="C131" s="59" t="n"/>
      <c r="E131" s="16" t="n"/>
      <c r="F131" s="13" t="n"/>
      <c r="G131" s="16" t="n"/>
      <c r="H131" s="124">
        <f>IF(G131="","",COUNTIFS($C$18:$C$2015,G$13,$D$18:$D$2015,"&gt;="&amp;G131,$D$18:$D$2015,"&lt;"&amp;G132))</f>
        <v/>
      </c>
      <c r="I131" s="14" t="n"/>
      <c r="J131" s="16" t="n"/>
      <c r="K131" s="124">
        <f>IF(J131="","",COUNTIFS($C$18:$C$2015,J$13,$D$18:$D$2015,"&gt;="&amp;J131,$D$18:$D$2015,"&lt;"&amp;J132))</f>
        <v/>
      </c>
      <c r="L131" s="14" t="n"/>
      <c r="M131" s="16" t="n"/>
      <c r="N131" s="124">
        <f>IF(M131="","",COUNTIFS($C$18:$C$2015,M$13,$D$18:$D$2015,"&gt;="&amp;M131,$D$18:$D$2015,"&lt;"&amp;M132))</f>
        <v/>
      </c>
      <c r="O131" s="14" t="n"/>
      <c r="P131" s="16" t="n"/>
      <c r="Q131" s="124">
        <f>IF(P131="","",COUNTIFS($C$18:$C$2015,P$13,$D$18:$D$2015,"&gt;="&amp;P131,$D$18:$D$2015,"&lt;"&amp;P132))</f>
        <v/>
      </c>
      <c r="R131" s="14" t="n"/>
      <c r="S131" s="16" t="n"/>
      <c r="T131" s="124">
        <f>IF(S131="","",COUNTIFS($C$18:$C$2015,S$13,$D$18:$D$2015,"&gt;="&amp;S131,$D$18:$D$2015,"&lt;"&amp;S132))</f>
        <v/>
      </c>
      <c r="U131" s="14" t="n"/>
      <c r="V131" s="16" t="n"/>
      <c r="W131" s="124">
        <f>IF(V131="","",COUNTIFS($C$18:$C$2015,V$13,$D$18:$D$2015,"&gt;="&amp;V131,$D$18:$D$2015,"&lt;"&amp;V132))</f>
        <v/>
      </c>
      <c r="X131" s="14" t="n"/>
      <c r="Y131" s="16" t="n"/>
      <c r="Z131" s="124">
        <f>IF(Y131="","",COUNTIFS($C$18:$C$2015,Y$13,$D$18:$D$2015,"&gt;="&amp;Y131,$D$18:$D$2015,"&lt;"&amp;Y132))</f>
        <v/>
      </c>
      <c r="AA131" s="14" t="n"/>
      <c r="AB131" s="16" t="n"/>
      <c r="AC131" s="124">
        <f>IF(AB131="","",COUNTIFS($C$18:$C$2015,AB$13,$D$18:$D$2015,"&gt;="&amp;AB131,$D$18:$D$2015,"&lt;"&amp;AB132))</f>
        <v/>
      </c>
      <c r="AD131" s="14" t="n"/>
    </row>
    <row r="132">
      <c r="A132" s="56" t="n"/>
      <c r="B132" s="57" t="n"/>
      <c r="C132" s="59" t="n"/>
      <c r="E132" s="16" t="n"/>
      <c r="F132" s="13" t="n"/>
      <c r="G132" s="16" t="n"/>
      <c r="H132" s="124">
        <f>IF(G132="","",COUNTIFS($C$18:$C$2015,G$13,$D$18:$D$2015,"&gt;="&amp;G132,$D$18:$D$2015,"&lt;"&amp;G133))</f>
        <v/>
      </c>
      <c r="I132" s="14" t="n"/>
      <c r="J132" s="16" t="n"/>
      <c r="K132" s="124">
        <f>IF(J132="","",COUNTIFS($C$18:$C$2015,J$13,$D$18:$D$2015,"&gt;="&amp;J132,$D$18:$D$2015,"&lt;"&amp;J133))</f>
        <v/>
      </c>
      <c r="L132" s="14" t="n"/>
      <c r="M132" s="16" t="n"/>
      <c r="N132" s="124">
        <f>IF(M132="","",COUNTIFS($C$18:$C$2015,M$13,$D$18:$D$2015,"&gt;="&amp;M132,$D$18:$D$2015,"&lt;"&amp;M133))</f>
        <v/>
      </c>
      <c r="O132" s="14" t="n"/>
      <c r="P132" s="16" t="n"/>
      <c r="Q132" s="124">
        <f>IF(P132="","",COUNTIFS($C$18:$C$2015,P$13,$D$18:$D$2015,"&gt;="&amp;P132,$D$18:$D$2015,"&lt;"&amp;P133))</f>
        <v/>
      </c>
      <c r="R132" s="14" t="n"/>
      <c r="S132" s="16" t="n"/>
      <c r="T132" s="124">
        <f>IF(S132="","",COUNTIFS($C$18:$C$2015,S$13,$D$18:$D$2015,"&gt;="&amp;S132,$D$18:$D$2015,"&lt;"&amp;S133))</f>
        <v/>
      </c>
      <c r="U132" s="14" t="n"/>
      <c r="V132" s="16" t="n"/>
      <c r="W132" s="124">
        <f>IF(V132="","",COUNTIFS($C$18:$C$2015,V$13,$D$18:$D$2015,"&gt;="&amp;V132,$D$18:$D$2015,"&lt;"&amp;V133))</f>
        <v/>
      </c>
      <c r="X132" s="14" t="n"/>
      <c r="Y132" s="16" t="n"/>
      <c r="Z132" s="124">
        <f>IF(Y132="","",COUNTIFS($C$18:$C$2015,Y$13,$D$18:$D$2015,"&gt;="&amp;Y132,$D$18:$D$2015,"&lt;"&amp;Y133))</f>
        <v/>
      </c>
      <c r="AA132" s="14" t="n"/>
      <c r="AB132" s="16" t="n"/>
      <c r="AC132" s="124">
        <f>IF(AB132="","",COUNTIFS($C$18:$C$2015,AB$13,$D$18:$D$2015,"&gt;="&amp;AB132,$D$18:$D$2015,"&lt;"&amp;AB133))</f>
        <v/>
      </c>
      <c r="AD132" s="14" t="n"/>
    </row>
    <row r="133">
      <c r="A133" s="58" t="n"/>
      <c r="B133" s="59" t="n"/>
      <c r="C133" s="59" t="n"/>
      <c r="E133" s="16" t="n"/>
      <c r="F133" s="13" t="n"/>
      <c r="G133" s="16" t="n"/>
      <c r="H133" s="124">
        <f>IF(G133="","",COUNTIFS($C$18:$C$2015,G$13,$D$18:$D$2015,"&gt;="&amp;G133,$D$18:$D$2015,"&lt;"&amp;G134))</f>
        <v/>
      </c>
      <c r="I133" s="14" t="n"/>
      <c r="J133" s="16" t="n"/>
      <c r="K133" s="124">
        <f>IF(J133="","",COUNTIFS($C$18:$C$2015,J$13,$D$18:$D$2015,"&gt;="&amp;J133,$D$18:$D$2015,"&lt;"&amp;J134))</f>
        <v/>
      </c>
      <c r="L133" s="14" t="n"/>
      <c r="M133" s="16" t="n"/>
      <c r="N133" s="124">
        <f>IF(M133="","",COUNTIFS($C$18:$C$2015,M$13,$D$18:$D$2015,"&gt;="&amp;M133,$D$18:$D$2015,"&lt;"&amp;M134))</f>
        <v/>
      </c>
      <c r="O133" s="14" t="n"/>
      <c r="P133" s="16" t="n"/>
      <c r="Q133" s="124">
        <f>IF(P133="","",COUNTIFS($C$18:$C$2015,P$13,$D$18:$D$2015,"&gt;="&amp;P133,$D$18:$D$2015,"&lt;"&amp;P134))</f>
        <v/>
      </c>
      <c r="R133" s="14" t="n"/>
      <c r="S133" s="16" t="n"/>
      <c r="T133" s="124">
        <f>IF(S133="","",COUNTIFS($C$18:$C$2015,S$13,$D$18:$D$2015,"&gt;="&amp;S133,$D$18:$D$2015,"&lt;"&amp;S134))</f>
        <v/>
      </c>
      <c r="U133" s="14" t="n"/>
      <c r="V133" s="16" t="n"/>
      <c r="W133" s="124">
        <f>IF(V133="","",COUNTIFS($C$18:$C$2015,V$13,$D$18:$D$2015,"&gt;="&amp;V133,$D$18:$D$2015,"&lt;"&amp;V134))</f>
        <v/>
      </c>
      <c r="X133" s="14" t="n"/>
      <c r="Y133" s="16" t="n"/>
      <c r="Z133" s="124">
        <f>IF(Y133="","",COUNTIFS($C$18:$C$2015,Y$13,$D$18:$D$2015,"&gt;="&amp;Y133,$D$18:$D$2015,"&lt;"&amp;Y134))</f>
        <v/>
      </c>
      <c r="AA133" s="14" t="n"/>
      <c r="AB133" s="16" t="n"/>
      <c r="AC133" s="124">
        <f>IF(AB133="","",COUNTIFS($C$18:$C$2015,AB$13,$D$18:$D$2015,"&gt;="&amp;AB133,$D$18:$D$2015,"&lt;"&amp;AB134))</f>
        <v/>
      </c>
      <c r="AD133" s="14" t="n"/>
    </row>
    <row r="134">
      <c r="A134" s="56" t="n"/>
      <c r="B134" s="57" t="n"/>
      <c r="C134" s="59" t="n"/>
      <c r="E134" s="16" t="n"/>
      <c r="F134" s="13" t="n"/>
      <c r="G134" s="16" t="n"/>
      <c r="H134" s="124">
        <f>IF(G134="","",COUNTIFS($C$18:$C$2015,G$13,$D$18:$D$2015,"&gt;="&amp;G134,$D$18:$D$2015,"&lt;"&amp;G135))</f>
        <v/>
      </c>
      <c r="I134" s="14" t="n"/>
      <c r="J134" s="16" t="n"/>
      <c r="K134" s="124">
        <f>IF(J134="","",COUNTIFS($C$18:$C$2015,J$13,$D$18:$D$2015,"&gt;="&amp;J134,$D$18:$D$2015,"&lt;"&amp;J135))</f>
        <v/>
      </c>
      <c r="L134" s="14" t="n"/>
      <c r="M134" s="16" t="n"/>
      <c r="N134" s="124">
        <f>IF(M134="","",COUNTIFS($C$18:$C$2015,M$13,$D$18:$D$2015,"&gt;="&amp;M134,$D$18:$D$2015,"&lt;"&amp;M135))</f>
        <v/>
      </c>
      <c r="O134" s="14" t="n"/>
      <c r="P134" s="16" t="n"/>
      <c r="Q134" s="124">
        <f>IF(P134="","",COUNTIFS($C$18:$C$2015,P$13,$D$18:$D$2015,"&gt;="&amp;P134,$D$18:$D$2015,"&lt;"&amp;P135))</f>
        <v/>
      </c>
      <c r="R134" s="14" t="n"/>
      <c r="S134" s="16" t="n"/>
      <c r="T134" s="124">
        <f>IF(S134="","",COUNTIFS($C$18:$C$2015,S$13,$D$18:$D$2015,"&gt;="&amp;S134,$D$18:$D$2015,"&lt;"&amp;S135))</f>
        <v/>
      </c>
      <c r="U134" s="14" t="n"/>
      <c r="V134" s="16" t="n"/>
      <c r="W134" s="124">
        <f>IF(V134="","",COUNTIFS($C$18:$C$2015,V$13,$D$18:$D$2015,"&gt;="&amp;V134,$D$18:$D$2015,"&lt;"&amp;V135))</f>
        <v/>
      </c>
      <c r="X134" s="14" t="n"/>
      <c r="Y134" s="16" t="n"/>
      <c r="Z134" s="124">
        <f>IF(Y134="","",COUNTIFS($C$18:$C$2015,Y$13,$D$18:$D$2015,"&gt;="&amp;Y134,$D$18:$D$2015,"&lt;"&amp;Y135))</f>
        <v/>
      </c>
      <c r="AA134" s="14" t="n"/>
      <c r="AB134" s="16" t="n"/>
      <c r="AC134" s="124">
        <f>IF(AB134="","",COUNTIFS($C$18:$C$2015,AB$13,$D$18:$D$2015,"&gt;="&amp;AB134,$D$18:$D$2015,"&lt;"&amp;AB135))</f>
        <v/>
      </c>
      <c r="AD134" s="14" t="n"/>
    </row>
    <row r="135">
      <c r="A135" s="58" t="n"/>
      <c r="B135" s="59" t="n"/>
      <c r="C135" s="59" t="n"/>
      <c r="E135" s="16" t="n"/>
      <c r="F135" s="13" t="n"/>
      <c r="G135" s="16" t="n"/>
      <c r="H135" s="124">
        <f>IF(G135="","",COUNTIFS($C$18:$C$2015,G$13,$D$18:$D$2015,"&gt;="&amp;G135,$D$18:$D$2015,"&lt;"&amp;G136))</f>
        <v/>
      </c>
      <c r="I135" s="14" t="n"/>
      <c r="J135" s="16" t="n"/>
      <c r="K135" s="124">
        <f>IF(J135="","",COUNTIFS($C$18:$C$2015,J$13,$D$18:$D$2015,"&gt;="&amp;J135,$D$18:$D$2015,"&lt;"&amp;J136))</f>
        <v/>
      </c>
      <c r="L135" s="14" t="n"/>
      <c r="M135" s="16" t="n"/>
      <c r="N135" s="124">
        <f>IF(M135="","",COUNTIFS($C$18:$C$2015,M$13,$D$18:$D$2015,"&gt;="&amp;M135,$D$18:$D$2015,"&lt;"&amp;M136))</f>
        <v/>
      </c>
      <c r="O135" s="14" t="n"/>
      <c r="P135" s="16" t="n"/>
      <c r="Q135" s="124">
        <f>IF(P135="","",COUNTIFS($C$18:$C$2015,P$13,$D$18:$D$2015,"&gt;="&amp;P135,$D$18:$D$2015,"&lt;"&amp;P136))</f>
        <v/>
      </c>
      <c r="R135" s="14" t="n"/>
      <c r="S135" s="16" t="n"/>
      <c r="T135" s="124">
        <f>IF(S135="","",COUNTIFS($C$18:$C$2015,S$13,$D$18:$D$2015,"&gt;="&amp;S135,$D$18:$D$2015,"&lt;"&amp;S136))</f>
        <v/>
      </c>
      <c r="U135" s="14" t="n"/>
      <c r="V135" s="16" t="n"/>
      <c r="W135" s="124">
        <f>IF(V135="","",COUNTIFS($C$18:$C$2015,V$13,$D$18:$D$2015,"&gt;="&amp;V135,$D$18:$D$2015,"&lt;"&amp;V136))</f>
        <v/>
      </c>
      <c r="X135" s="14" t="n"/>
      <c r="Y135" s="16" t="n"/>
      <c r="Z135" s="124">
        <f>IF(Y135="","",COUNTIFS($C$18:$C$2015,Y$13,$D$18:$D$2015,"&gt;="&amp;Y135,$D$18:$D$2015,"&lt;"&amp;Y136))</f>
        <v/>
      </c>
      <c r="AA135" s="14" t="n"/>
      <c r="AB135" s="16" t="n"/>
      <c r="AC135" s="124">
        <f>IF(AB135="","",COUNTIFS($C$18:$C$2015,AB$13,$D$18:$D$2015,"&gt;="&amp;AB135,$D$18:$D$2015,"&lt;"&amp;AB136))</f>
        <v/>
      </c>
      <c r="AD135" s="14" t="n"/>
    </row>
    <row r="136">
      <c r="A136" s="56" t="n"/>
      <c r="B136" s="57" t="n"/>
      <c r="C136" s="59" t="n"/>
      <c r="E136" s="16" t="n"/>
      <c r="F136" s="13" t="n"/>
      <c r="G136" s="16" t="n"/>
      <c r="H136" s="124">
        <f>IF(G136="","",COUNTIFS($C$18:$C$2015,G$13,$D$18:$D$2015,"&gt;="&amp;G136,$D$18:$D$2015,"&lt;"&amp;G137))</f>
        <v/>
      </c>
      <c r="I136" s="14" t="n"/>
      <c r="J136" s="16" t="n"/>
      <c r="K136" s="124">
        <f>IF(J136="","",COUNTIFS($C$18:$C$2015,J$13,$D$18:$D$2015,"&gt;="&amp;J136,$D$18:$D$2015,"&lt;"&amp;J137))</f>
        <v/>
      </c>
      <c r="L136" s="14" t="n"/>
      <c r="M136" s="16" t="n"/>
      <c r="N136" s="124">
        <f>IF(M136="","",COUNTIFS($C$18:$C$2015,M$13,$D$18:$D$2015,"&gt;="&amp;M136,$D$18:$D$2015,"&lt;"&amp;M137))</f>
        <v/>
      </c>
      <c r="O136" s="14" t="n"/>
      <c r="P136" s="16" t="n"/>
      <c r="Q136" s="124">
        <f>IF(P136="","",COUNTIFS($C$18:$C$2015,P$13,$D$18:$D$2015,"&gt;="&amp;P136,$D$18:$D$2015,"&lt;"&amp;P137))</f>
        <v/>
      </c>
      <c r="R136" s="14" t="n"/>
      <c r="S136" s="16" t="n"/>
      <c r="T136" s="124">
        <f>IF(S136="","",COUNTIFS($C$18:$C$2015,S$13,$D$18:$D$2015,"&gt;="&amp;S136,$D$18:$D$2015,"&lt;"&amp;S137))</f>
        <v/>
      </c>
      <c r="U136" s="14" t="n"/>
      <c r="V136" s="16" t="n"/>
      <c r="W136" s="124">
        <f>IF(V136="","",COUNTIFS($C$18:$C$2015,V$13,$D$18:$D$2015,"&gt;="&amp;V136,$D$18:$D$2015,"&lt;"&amp;V137))</f>
        <v/>
      </c>
      <c r="X136" s="14" t="n"/>
      <c r="Y136" s="16" t="n"/>
      <c r="Z136" s="124">
        <f>IF(Y136="","",COUNTIFS($C$18:$C$2015,Y$13,$D$18:$D$2015,"&gt;="&amp;Y136,$D$18:$D$2015,"&lt;"&amp;Y137))</f>
        <v/>
      </c>
      <c r="AA136" s="14" t="n"/>
      <c r="AB136" s="16" t="n"/>
      <c r="AC136" s="124">
        <f>IF(AB136="","",COUNTIFS($C$18:$C$2015,AB$13,$D$18:$D$2015,"&gt;="&amp;AB136,$D$18:$D$2015,"&lt;"&amp;AB137))</f>
        <v/>
      </c>
      <c r="AD136" s="14" t="n"/>
    </row>
    <row r="137">
      <c r="A137" s="58" t="n"/>
      <c r="B137" s="59" t="n"/>
      <c r="C137" s="59" t="n"/>
      <c r="E137" s="16" t="n"/>
      <c r="F137" s="13" t="n"/>
      <c r="G137" s="16" t="n"/>
      <c r="H137" s="124">
        <f>IF(G137="","",COUNTIFS($C$18:$C$2015,G$13,$D$18:$D$2015,"&gt;="&amp;G137,$D$18:$D$2015,"&lt;"&amp;G138))</f>
        <v/>
      </c>
      <c r="I137" s="14" t="n"/>
      <c r="J137" s="16" t="n"/>
      <c r="K137" s="124">
        <f>IF(J137="","",COUNTIFS($C$18:$C$2015,J$13,$D$18:$D$2015,"&gt;="&amp;J137,$D$18:$D$2015,"&lt;"&amp;J138))</f>
        <v/>
      </c>
      <c r="L137" s="14" t="n"/>
      <c r="M137" s="16" t="n"/>
      <c r="N137" s="124">
        <f>IF(M137="","",COUNTIFS($C$18:$C$2015,M$13,$D$18:$D$2015,"&gt;="&amp;M137,$D$18:$D$2015,"&lt;"&amp;M138))</f>
        <v/>
      </c>
      <c r="O137" s="14" t="n"/>
      <c r="P137" s="16" t="n"/>
      <c r="Q137" s="124">
        <f>IF(P137="","",COUNTIFS($C$18:$C$2015,P$13,$D$18:$D$2015,"&gt;="&amp;P137,$D$18:$D$2015,"&lt;"&amp;P138))</f>
        <v/>
      </c>
      <c r="R137" s="14" t="n"/>
      <c r="S137" s="16" t="n"/>
      <c r="T137" s="124">
        <f>IF(S137="","",COUNTIFS($C$18:$C$2015,S$13,$D$18:$D$2015,"&gt;="&amp;S137,$D$18:$D$2015,"&lt;"&amp;S138))</f>
        <v/>
      </c>
      <c r="U137" s="14" t="n"/>
      <c r="V137" s="16" t="n"/>
      <c r="W137" s="124">
        <f>IF(V137="","",COUNTIFS($C$18:$C$2015,V$13,$D$18:$D$2015,"&gt;="&amp;V137,$D$18:$D$2015,"&lt;"&amp;V138))</f>
        <v/>
      </c>
      <c r="X137" s="14" t="n"/>
      <c r="Y137" s="16" t="n"/>
      <c r="Z137" s="124">
        <f>IF(Y137="","",COUNTIFS($C$18:$C$2015,Y$13,$D$18:$D$2015,"&gt;="&amp;Y137,$D$18:$D$2015,"&lt;"&amp;Y138))</f>
        <v/>
      </c>
      <c r="AA137" s="14" t="n"/>
      <c r="AB137" s="16" t="n"/>
      <c r="AC137" s="124">
        <f>IF(AB137="","",COUNTIFS($C$18:$C$2015,AB$13,$D$18:$D$2015,"&gt;="&amp;AB137,$D$18:$D$2015,"&lt;"&amp;AB138))</f>
        <v/>
      </c>
      <c r="AD137" s="14" t="n"/>
    </row>
    <row r="138">
      <c r="A138" s="56" t="n"/>
      <c r="B138" s="57" t="n"/>
      <c r="C138" s="59" t="n"/>
      <c r="E138" s="16" t="n"/>
      <c r="F138" s="13" t="n"/>
      <c r="G138" s="16" t="n"/>
      <c r="H138" s="124">
        <f>IF(G138="","",COUNTIFS($C$18:$C$2015,G$13,$D$18:$D$2015,"&gt;="&amp;G138,$D$18:$D$2015,"&lt;"&amp;G139))</f>
        <v/>
      </c>
      <c r="I138" s="14" t="n"/>
      <c r="J138" s="16" t="n"/>
      <c r="K138" s="124">
        <f>IF(J138="","",COUNTIFS($C$18:$C$2015,J$13,$D$18:$D$2015,"&gt;="&amp;J138,$D$18:$D$2015,"&lt;"&amp;J139))</f>
        <v/>
      </c>
      <c r="L138" s="14" t="n"/>
      <c r="M138" s="16" t="n"/>
      <c r="N138" s="124">
        <f>IF(M138="","",COUNTIFS($C$18:$C$2015,M$13,$D$18:$D$2015,"&gt;="&amp;M138,$D$18:$D$2015,"&lt;"&amp;M139))</f>
        <v/>
      </c>
      <c r="O138" s="14" t="n"/>
      <c r="P138" s="16" t="n"/>
      <c r="Q138" s="124">
        <f>IF(P138="","",COUNTIFS($C$18:$C$2015,P$13,$D$18:$D$2015,"&gt;="&amp;P138,$D$18:$D$2015,"&lt;"&amp;P139))</f>
        <v/>
      </c>
      <c r="R138" s="14" t="n"/>
      <c r="S138" s="16" t="n"/>
      <c r="T138" s="124">
        <f>IF(S138="","",COUNTIFS($C$18:$C$2015,S$13,$D$18:$D$2015,"&gt;="&amp;S138,$D$18:$D$2015,"&lt;"&amp;S139))</f>
        <v/>
      </c>
      <c r="U138" s="14" t="n"/>
      <c r="V138" s="16" t="n"/>
      <c r="W138" s="124">
        <f>IF(V138="","",COUNTIFS($C$18:$C$2015,V$13,$D$18:$D$2015,"&gt;="&amp;V138,$D$18:$D$2015,"&lt;"&amp;V139))</f>
        <v/>
      </c>
      <c r="X138" s="14" t="n"/>
      <c r="Y138" s="16" t="n"/>
      <c r="Z138" s="124">
        <f>IF(Y138="","",COUNTIFS($C$18:$C$2015,Y$13,$D$18:$D$2015,"&gt;="&amp;Y138,$D$18:$D$2015,"&lt;"&amp;Y139))</f>
        <v/>
      </c>
      <c r="AA138" s="14" t="n"/>
      <c r="AB138" s="16" t="n"/>
      <c r="AC138" s="124">
        <f>IF(AB138="","",COUNTIFS($C$18:$C$2015,AB$13,$D$18:$D$2015,"&gt;="&amp;AB138,$D$18:$D$2015,"&lt;"&amp;AB139))</f>
        <v/>
      </c>
      <c r="AD138" s="14" t="n"/>
    </row>
    <row r="139">
      <c r="A139" s="58" t="n"/>
      <c r="B139" s="59" t="n"/>
      <c r="C139" s="59" t="n"/>
      <c r="E139" s="16" t="n"/>
      <c r="F139" s="13" t="n"/>
      <c r="G139" s="16" t="n"/>
      <c r="H139" s="124">
        <f>IF(G139="","",COUNTIFS($C$18:$C$2015,G$13,$D$18:$D$2015,"&gt;="&amp;G139,$D$18:$D$2015,"&lt;"&amp;G140))</f>
        <v/>
      </c>
      <c r="I139" s="14" t="n"/>
      <c r="J139" s="16" t="n"/>
      <c r="K139" s="124">
        <f>IF(J139="","",COUNTIFS($C$18:$C$2015,J$13,$D$18:$D$2015,"&gt;="&amp;J139,$D$18:$D$2015,"&lt;"&amp;J140))</f>
        <v/>
      </c>
      <c r="L139" s="14" t="n"/>
      <c r="M139" s="16" t="n"/>
      <c r="N139" s="124">
        <f>IF(M139="","",COUNTIFS($C$18:$C$2015,M$13,$D$18:$D$2015,"&gt;="&amp;M139,$D$18:$D$2015,"&lt;"&amp;M140))</f>
        <v/>
      </c>
      <c r="O139" s="14" t="n"/>
      <c r="P139" s="16" t="n"/>
      <c r="Q139" s="124">
        <f>IF(P139="","",COUNTIFS($C$18:$C$2015,P$13,$D$18:$D$2015,"&gt;="&amp;P139,$D$18:$D$2015,"&lt;"&amp;P140))</f>
        <v/>
      </c>
      <c r="R139" s="14" t="n"/>
      <c r="S139" s="16" t="n"/>
      <c r="T139" s="124">
        <f>IF(S139="","",COUNTIFS($C$18:$C$2015,S$13,$D$18:$D$2015,"&gt;="&amp;S139,$D$18:$D$2015,"&lt;"&amp;S140))</f>
        <v/>
      </c>
      <c r="U139" s="14" t="n"/>
      <c r="V139" s="16" t="n"/>
      <c r="W139" s="124">
        <f>IF(V139="","",COUNTIFS($C$18:$C$2015,V$13,$D$18:$D$2015,"&gt;="&amp;V139,$D$18:$D$2015,"&lt;"&amp;V140))</f>
        <v/>
      </c>
      <c r="X139" s="14" t="n"/>
      <c r="Y139" s="16" t="n"/>
      <c r="Z139" s="124">
        <f>IF(Y139="","",COUNTIFS($C$18:$C$2015,Y$13,$D$18:$D$2015,"&gt;="&amp;Y139,$D$18:$D$2015,"&lt;"&amp;Y140))</f>
        <v/>
      </c>
      <c r="AA139" s="14" t="n"/>
      <c r="AB139" s="16" t="n"/>
      <c r="AC139" s="124">
        <f>IF(AB139="","",COUNTIFS($C$18:$C$2015,AB$13,$D$18:$D$2015,"&gt;="&amp;AB139,$D$18:$D$2015,"&lt;"&amp;AB140))</f>
        <v/>
      </c>
      <c r="AD139" s="14" t="n"/>
    </row>
    <row r="140">
      <c r="A140" s="56" t="n"/>
      <c r="B140" s="57" t="n"/>
      <c r="C140" s="59" t="n"/>
      <c r="E140" s="16" t="n"/>
      <c r="F140" s="13" t="n"/>
      <c r="G140" s="16" t="n"/>
      <c r="H140" s="124">
        <f>IF(G140="","",COUNTIFS($C$18:$C$2015,G$13,$D$18:$D$2015,"&gt;="&amp;G140,$D$18:$D$2015,"&lt;"&amp;G141))</f>
        <v/>
      </c>
      <c r="I140" s="14" t="n"/>
      <c r="J140" s="16" t="n"/>
      <c r="K140" s="124">
        <f>IF(J140="","",COUNTIFS($C$18:$C$2015,J$13,$D$18:$D$2015,"&gt;="&amp;J140,$D$18:$D$2015,"&lt;"&amp;J141))</f>
        <v/>
      </c>
      <c r="L140" s="14" t="n"/>
      <c r="M140" s="16" t="n"/>
      <c r="N140" s="124">
        <f>IF(M140="","",COUNTIFS($C$18:$C$2015,M$13,$D$18:$D$2015,"&gt;="&amp;M140,$D$18:$D$2015,"&lt;"&amp;M141))</f>
        <v/>
      </c>
      <c r="O140" s="14" t="n"/>
      <c r="P140" s="16" t="n"/>
      <c r="Q140" s="124">
        <f>IF(P140="","",COUNTIFS($C$18:$C$2015,P$13,$D$18:$D$2015,"&gt;="&amp;P140,$D$18:$D$2015,"&lt;"&amp;P141))</f>
        <v/>
      </c>
      <c r="R140" s="14" t="n"/>
      <c r="S140" s="16" t="n"/>
      <c r="T140" s="124">
        <f>IF(S140="","",COUNTIFS($C$18:$C$2015,S$13,$D$18:$D$2015,"&gt;="&amp;S140,$D$18:$D$2015,"&lt;"&amp;S141))</f>
        <v/>
      </c>
      <c r="U140" s="14" t="n"/>
      <c r="V140" s="16" t="n"/>
      <c r="W140" s="124">
        <f>IF(V140="","",COUNTIFS($C$18:$C$2015,V$13,$D$18:$D$2015,"&gt;="&amp;V140,$D$18:$D$2015,"&lt;"&amp;V141))</f>
        <v/>
      </c>
      <c r="X140" s="14" t="n"/>
      <c r="Y140" s="16" t="n"/>
      <c r="Z140" s="124">
        <f>IF(Y140="","",COUNTIFS($C$18:$C$2015,Y$13,$D$18:$D$2015,"&gt;="&amp;Y140,$D$18:$D$2015,"&lt;"&amp;Y141))</f>
        <v/>
      </c>
      <c r="AA140" s="14" t="n"/>
      <c r="AB140" s="16" t="n"/>
      <c r="AC140" s="124">
        <f>IF(AB140="","",COUNTIFS($C$18:$C$2015,AB$13,$D$18:$D$2015,"&gt;="&amp;AB140,$D$18:$D$2015,"&lt;"&amp;AB141))</f>
        <v/>
      </c>
      <c r="AD140" s="14" t="n"/>
    </row>
    <row r="141">
      <c r="A141" s="58" t="n"/>
      <c r="B141" s="59" t="n"/>
      <c r="C141" s="59" t="n"/>
      <c r="E141" s="16" t="n"/>
      <c r="F141" s="13" t="n"/>
      <c r="G141" s="16" t="n"/>
      <c r="H141" s="124">
        <f>IF(G141="","",COUNTIFS($C$18:$C$2015,G$13,$D$18:$D$2015,"&gt;="&amp;G141,$D$18:$D$2015,"&lt;"&amp;G142))</f>
        <v/>
      </c>
      <c r="I141" s="14" t="n"/>
      <c r="J141" s="16" t="n"/>
      <c r="K141" s="124">
        <f>IF(J141="","",COUNTIFS($C$18:$C$2015,J$13,$D$18:$D$2015,"&gt;="&amp;J141,$D$18:$D$2015,"&lt;"&amp;J142))</f>
        <v/>
      </c>
      <c r="L141" s="14" t="n"/>
      <c r="M141" s="16" t="n"/>
      <c r="N141" s="124">
        <f>IF(M141="","",COUNTIFS($C$18:$C$2015,M$13,$D$18:$D$2015,"&gt;="&amp;M141,$D$18:$D$2015,"&lt;"&amp;M142))</f>
        <v/>
      </c>
      <c r="O141" s="14" t="n"/>
      <c r="P141" s="16" t="n"/>
      <c r="Q141" s="124">
        <f>IF(P141="","",COUNTIFS($C$18:$C$2015,P$13,$D$18:$D$2015,"&gt;="&amp;P141,$D$18:$D$2015,"&lt;"&amp;P142))</f>
        <v/>
      </c>
      <c r="R141" s="14" t="n"/>
      <c r="S141" s="16" t="n"/>
      <c r="T141" s="124">
        <f>IF(S141="","",COUNTIFS($C$18:$C$2015,S$13,$D$18:$D$2015,"&gt;="&amp;S141,$D$18:$D$2015,"&lt;"&amp;S142))</f>
        <v/>
      </c>
      <c r="U141" s="14" t="n"/>
      <c r="V141" s="16" t="n"/>
      <c r="W141" s="124">
        <f>IF(V141="","",COUNTIFS($C$18:$C$2015,V$13,$D$18:$D$2015,"&gt;="&amp;V141,$D$18:$D$2015,"&lt;"&amp;V142))</f>
        <v/>
      </c>
      <c r="X141" s="14" t="n"/>
      <c r="Y141" s="16" t="n"/>
      <c r="Z141" s="124">
        <f>IF(Y141="","",COUNTIFS($C$18:$C$2015,Y$13,$D$18:$D$2015,"&gt;="&amp;Y141,$D$18:$D$2015,"&lt;"&amp;Y142))</f>
        <v/>
      </c>
      <c r="AA141" s="14" t="n"/>
      <c r="AB141" s="16" t="n"/>
      <c r="AC141" s="124">
        <f>IF(AB141="","",COUNTIFS($C$18:$C$2015,AB$13,$D$18:$D$2015,"&gt;="&amp;AB141,$D$18:$D$2015,"&lt;"&amp;AB142))</f>
        <v/>
      </c>
      <c r="AD141" s="14" t="n"/>
    </row>
    <row r="142">
      <c r="A142" s="56" t="n"/>
      <c r="B142" s="57" t="n"/>
      <c r="C142" s="59" t="n"/>
      <c r="E142" s="16" t="n"/>
      <c r="F142" s="13" t="n"/>
      <c r="G142" s="16" t="n"/>
      <c r="H142" s="124">
        <f>IF(G142="","",COUNTIFS($C$18:$C$2015,G$13,$D$18:$D$2015,"&gt;="&amp;G142,$D$18:$D$2015,"&lt;"&amp;G143))</f>
        <v/>
      </c>
      <c r="I142" s="14" t="n"/>
      <c r="J142" s="16" t="n"/>
      <c r="K142" s="124">
        <f>IF(J142="","",COUNTIFS($C$18:$C$2015,J$13,$D$18:$D$2015,"&gt;="&amp;J142,$D$18:$D$2015,"&lt;"&amp;J143))</f>
        <v/>
      </c>
      <c r="L142" s="14" t="n"/>
      <c r="M142" s="16" t="n"/>
      <c r="N142" s="124">
        <f>IF(M142="","",COUNTIFS($C$18:$C$2015,M$13,$D$18:$D$2015,"&gt;="&amp;M142,$D$18:$D$2015,"&lt;"&amp;M143))</f>
        <v/>
      </c>
      <c r="O142" s="14" t="n"/>
      <c r="P142" s="16" t="n"/>
      <c r="Q142" s="124">
        <f>IF(P142="","",COUNTIFS($C$18:$C$2015,P$13,$D$18:$D$2015,"&gt;="&amp;P142,$D$18:$D$2015,"&lt;"&amp;P143))</f>
        <v/>
      </c>
      <c r="R142" s="14" t="n"/>
      <c r="S142" s="16" t="n"/>
      <c r="T142" s="124">
        <f>IF(S142="","",COUNTIFS($C$18:$C$2015,S$13,$D$18:$D$2015,"&gt;="&amp;S142,$D$18:$D$2015,"&lt;"&amp;S143))</f>
        <v/>
      </c>
      <c r="U142" s="14" t="n"/>
      <c r="V142" s="16" t="n"/>
      <c r="W142" s="124">
        <f>IF(V142="","",COUNTIFS($C$18:$C$2015,V$13,$D$18:$D$2015,"&gt;="&amp;V142,$D$18:$D$2015,"&lt;"&amp;V143))</f>
        <v/>
      </c>
      <c r="X142" s="14" t="n"/>
      <c r="Y142" s="16" t="n"/>
      <c r="Z142" s="124">
        <f>IF(Y142="","",COUNTIFS($C$18:$C$2015,Y$13,$D$18:$D$2015,"&gt;="&amp;Y142,$D$18:$D$2015,"&lt;"&amp;Y143))</f>
        <v/>
      </c>
      <c r="AA142" s="14" t="n"/>
      <c r="AB142" s="16" t="n"/>
      <c r="AC142" s="124">
        <f>IF(AB142="","",COUNTIFS($C$18:$C$2015,AB$13,$D$18:$D$2015,"&gt;="&amp;AB142,$D$18:$D$2015,"&lt;"&amp;AB143))</f>
        <v/>
      </c>
      <c r="AD142" s="14" t="n"/>
    </row>
    <row r="143">
      <c r="A143" s="58" t="n"/>
      <c r="B143" s="59" t="n"/>
      <c r="C143" s="59" t="n"/>
      <c r="E143" s="16" t="n"/>
      <c r="F143" s="13" t="n"/>
      <c r="G143" s="16" t="n"/>
      <c r="H143" s="124">
        <f>IF(G143="","",COUNTIFS($C$18:$C$2015,G$13,$D$18:$D$2015,"&gt;="&amp;G143,$D$18:$D$2015,"&lt;"&amp;G144))</f>
        <v/>
      </c>
      <c r="I143" s="14" t="n"/>
      <c r="J143" s="16" t="n"/>
      <c r="K143" s="124">
        <f>IF(J143="","",COUNTIFS($C$18:$C$2015,J$13,$D$18:$D$2015,"&gt;="&amp;J143,$D$18:$D$2015,"&lt;"&amp;J144))</f>
        <v/>
      </c>
      <c r="L143" s="14" t="n"/>
      <c r="M143" s="16" t="n"/>
      <c r="N143" s="124">
        <f>IF(M143="","",COUNTIFS($C$18:$C$2015,M$13,$D$18:$D$2015,"&gt;="&amp;M143,$D$18:$D$2015,"&lt;"&amp;M144))</f>
        <v/>
      </c>
      <c r="O143" s="14" t="n"/>
      <c r="P143" s="16" t="n"/>
      <c r="Q143" s="124">
        <f>IF(P143="","",COUNTIFS($C$18:$C$2015,P$13,$D$18:$D$2015,"&gt;="&amp;P143,$D$18:$D$2015,"&lt;"&amp;P144))</f>
        <v/>
      </c>
      <c r="R143" s="14" t="n"/>
      <c r="S143" s="16" t="n"/>
      <c r="T143" s="124">
        <f>IF(S143="","",COUNTIFS($C$18:$C$2015,S$13,$D$18:$D$2015,"&gt;="&amp;S143,$D$18:$D$2015,"&lt;"&amp;S144))</f>
        <v/>
      </c>
      <c r="U143" s="14" t="n"/>
      <c r="V143" s="16" t="n"/>
      <c r="W143" s="124">
        <f>IF(V143="","",COUNTIFS($C$18:$C$2015,V$13,$D$18:$D$2015,"&gt;="&amp;V143,$D$18:$D$2015,"&lt;"&amp;V144))</f>
        <v/>
      </c>
      <c r="X143" s="14" t="n"/>
      <c r="Y143" s="16" t="n"/>
      <c r="Z143" s="124">
        <f>IF(Y143="","",COUNTIFS($C$18:$C$2015,Y$13,$D$18:$D$2015,"&gt;="&amp;Y143,$D$18:$D$2015,"&lt;"&amp;Y144))</f>
        <v/>
      </c>
      <c r="AA143" s="14" t="n"/>
      <c r="AB143" s="16" t="n"/>
      <c r="AC143" s="124">
        <f>IF(AB143="","",COUNTIFS($C$18:$C$2015,AB$13,$D$18:$D$2015,"&gt;="&amp;AB143,$D$18:$D$2015,"&lt;"&amp;AB144))</f>
        <v/>
      </c>
      <c r="AD143" s="14" t="n"/>
    </row>
    <row r="144">
      <c r="A144" s="56" t="n"/>
      <c r="B144" s="57" t="n"/>
      <c r="C144" s="59" t="n"/>
      <c r="E144" s="16" t="n"/>
      <c r="F144" s="13" t="n"/>
      <c r="G144" s="16" t="n"/>
      <c r="H144" s="124">
        <f>IF(G144="","",COUNTIFS($C$18:$C$2015,G$13,$D$18:$D$2015,"&gt;="&amp;G144,$D$18:$D$2015,"&lt;"&amp;G145))</f>
        <v/>
      </c>
      <c r="I144" s="14" t="n"/>
      <c r="J144" s="16" t="n"/>
      <c r="K144" s="124">
        <f>IF(J144="","",COUNTIFS($C$18:$C$2015,J$13,$D$18:$D$2015,"&gt;="&amp;J144,$D$18:$D$2015,"&lt;"&amp;J145))</f>
        <v/>
      </c>
      <c r="L144" s="14" t="n"/>
      <c r="M144" s="16" t="n"/>
      <c r="N144" s="124">
        <f>IF(M144="","",COUNTIFS($C$18:$C$2015,M$13,$D$18:$D$2015,"&gt;="&amp;M144,$D$18:$D$2015,"&lt;"&amp;M145))</f>
        <v/>
      </c>
      <c r="O144" s="14" t="n"/>
      <c r="P144" s="16" t="n"/>
      <c r="Q144" s="124">
        <f>IF(P144="","",COUNTIFS($C$18:$C$2015,P$13,$D$18:$D$2015,"&gt;="&amp;P144,$D$18:$D$2015,"&lt;"&amp;P145))</f>
        <v/>
      </c>
      <c r="R144" s="14" t="n"/>
      <c r="S144" s="16" t="n"/>
      <c r="T144" s="124">
        <f>IF(S144="","",COUNTIFS($C$18:$C$2015,S$13,$D$18:$D$2015,"&gt;="&amp;S144,$D$18:$D$2015,"&lt;"&amp;S145))</f>
        <v/>
      </c>
      <c r="U144" s="14" t="n"/>
      <c r="V144" s="16" t="n"/>
      <c r="W144" s="124">
        <f>IF(V144="","",COUNTIFS($C$18:$C$2015,V$13,$D$18:$D$2015,"&gt;="&amp;V144,$D$18:$D$2015,"&lt;"&amp;V145))</f>
        <v/>
      </c>
      <c r="X144" s="14" t="n"/>
      <c r="Y144" s="16" t="n"/>
      <c r="Z144" s="124">
        <f>IF(Y144="","",COUNTIFS($C$18:$C$2015,Y$13,$D$18:$D$2015,"&gt;="&amp;Y144,$D$18:$D$2015,"&lt;"&amp;Y145))</f>
        <v/>
      </c>
      <c r="AA144" s="14" t="n"/>
      <c r="AB144" s="16" t="n"/>
      <c r="AC144" s="124">
        <f>IF(AB144="","",COUNTIFS($C$18:$C$2015,AB$13,$D$18:$D$2015,"&gt;="&amp;AB144,$D$18:$D$2015,"&lt;"&amp;AB145))</f>
        <v/>
      </c>
      <c r="AD144" s="14" t="n"/>
    </row>
    <row r="145">
      <c r="A145" s="58" t="n"/>
      <c r="B145" s="59" t="n"/>
      <c r="C145" s="59" t="n"/>
      <c r="E145" s="16" t="n"/>
      <c r="F145" s="13" t="n"/>
      <c r="G145" s="16" t="n"/>
      <c r="H145" s="124">
        <f>IF(G145="","",COUNTIFS($C$18:$C$2015,G$13,$D$18:$D$2015,"&gt;="&amp;G145,$D$18:$D$2015,"&lt;"&amp;G146))</f>
        <v/>
      </c>
      <c r="I145" s="14" t="n"/>
      <c r="J145" s="16" t="n"/>
      <c r="K145" s="124">
        <f>IF(J145="","",COUNTIFS($C$18:$C$2015,J$13,$D$18:$D$2015,"&gt;="&amp;J145,$D$18:$D$2015,"&lt;"&amp;J146))</f>
        <v/>
      </c>
      <c r="L145" s="14" t="n"/>
      <c r="M145" s="16" t="n"/>
      <c r="N145" s="124">
        <f>IF(M145="","",COUNTIFS($C$18:$C$2015,M$13,$D$18:$D$2015,"&gt;="&amp;M145,$D$18:$D$2015,"&lt;"&amp;M146))</f>
        <v/>
      </c>
      <c r="O145" s="14" t="n"/>
      <c r="P145" s="16" t="n"/>
      <c r="Q145" s="124">
        <f>IF(P145="","",COUNTIFS($C$18:$C$2015,P$13,$D$18:$D$2015,"&gt;="&amp;P145,$D$18:$D$2015,"&lt;"&amp;P146))</f>
        <v/>
      </c>
      <c r="R145" s="14" t="n"/>
      <c r="S145" s="16" t="n"/>
      <c r="T145" s="124">
        <f>IF(S145="","",COUNTIFS($C$18:$C$2015,S$13,$D$18:$D$2015,"&gt;="&amp;S145,$D$18:$D$2015,"&lt;"&amp;S146))</f>
        <v/>
      </c>
      <c r="U145" s="14" t="n"/>
      <c r="V145" s="16" t="n"/>
      <c r="W145" s="124">
        <f>IF(V145="","",COUNTIFS($C$18:$C$2015,V$13,$D$18:$D$2015,"&gt;="&amp;V145,$D$18:$D$2015,"&lt;"&amp;V146))</f>
        <v/>
      </c>
      <c r="X145" s="14" t="n"/>
      <c r="Y145" s="16" t="n"/>
      <c r="Z145" s="124">
        <f>IF(Y145="","",COUNTIFS($C$18:$C$2015,Y$13,$D$18:$D$2015,"&gt;="&amp;Y145,$D$18:$D$2015,"&lt;"&amp;Y146))</f>
        <v/>
      </c>
      <c r="AA145" s="14" t="n"/>
      <c r="AB145" s="16" t="n"/>
      <c r="AC145" s="124">
        <f>IF(AB145="","",COUNTIFS($C$18:$C$2015,AB$13,$D$18:$D$2015,"&gt;="&amp;AB145,$D$18:$D$2015,"&lt;"&amp;AB146))</f>
        <v/>
      </c>
      <c r="AD145" s="14" t="n"/>
    </row>
    <row r="146">
      <c r="A146" s="56" t="n"/>
      <c r="B146" s="57" t="n"/>
      <c r="C146" s="59" t="n"/>
      <c r="E146" s="16" t="n"/>
      <c r="F146" s="13" t="n"/>
      <c r="G146" s="16" t="n"/>
      <c r="H146" s="124">
        <f>IF(G146="","",COUNTIFS($C$18:$C$2015,G$13,$D$18:$D$2015,"&gt;="&amp;G146,$D$18:$D$2015,"&lt;"&amp;G147))</f>
        <v/>
      </c>
      <c r="I146" s="14" t="n"/>
      <c r="J146" s="16" t="n"/>
      <c r="K146" s="124">
        <f>IF(J146="","",COUNTIFS($C$18:$C$2015,J$13,$D$18:$D$2015,"&gt;="&amp;J146,$D$18:$D$2015,"&lt;"&amp;J147))</f>
        <v/>
      </c>
      <c r="L146" s="14" t="n"/>
      <c r="M146" s="16" t="n"/>
      <c r="N146" s="124">
        <f>IF(M146="","",COUNTIFS($C$18:$C$2015,M$13,$D$18:$D$2015,"&gt;="&amp;M146,$D$18:$D$2015,"&lt;"&amp;M147))</f>
        <v/>
      </c>
      <c r="O146" s="14" t="n"/>
      <c r="P146" s="16" t="n"/>
      <c r="Q146" s="124">
        <f>IF(P146="","",COUNTIFS($C$18:$C$2015,P$13,$D$18:$D$2015,"&gt;="&amp;P146,$D$18:$D$2015,"&lt;"&amp;P147))</f>
        <v/>
      </c>
      <c r="R146" s="14" t="n"/>
      <c r="S146" s="16" t="n"/>
      <c r="T146" s="124">
        <f>IF(S146="","",COUNTIFS($C$18:$C$2015,S$13,$D$18:$D$2015,"&gt;="&amp;S146,$D$18:$D$2015,"&lt;"&amp;S147))</f>
        <v/>
      </c>
      <c r="U146" s="14" t="n"/>
      <c r="V146" s="16" t="n"/>
      <c r="W146" s="124">
        <f>IF(V146="","",COUNTIFS($C$18:$C$2015,V$13,$D$18:$D$2015,"&gt;="&amp;V146,$D$18:$D$2015,"&lt;"&amp;V147))</f>
        <v/>
      </c>
      <c r="X146" s="14" t="n"/>
      <c r="Y146" s="16" t="n"/>
      <c r="Z146" s="124">
        <f>IF(Y146="","",COUNTIFS($C$18:$C$2015,Y$13,$D$18:$D$2015,"&gt;="&amp;Y146,$D$18:$D$2015,"&lt;"&amp;Y147))</f>
        <v/>
      </c>
      <c r="AA146" s="14" t="n"/>
      <c r="AB146" s="16" t="n"/>
      <c r="AC146" s="124">
        <f>IF(AB146="","",COUNTIFS($C$18:$C$2015,AB$13,$D$18:$D$2015,"&gt;="&amp;AB146,$D$18:$D$2015,"&lt;"&amp;AB147))</f>
        <v/>
      </c>
      <c r="AD146" s="14" t="n"/>
    </row>
    <row r="147">
      <c r="A147" s="58" t="n"/>
      <c r="B147" s="59" t="n"/>
      <c r="C147" s="59" t="n"/>
      <c r="E147" s="16" t="n"/>
      <c r="F147" s="13" t="n"/>
      <c r="G147" s="16" t="n"/>
      <c r="H147" s="124">
        <f>IF(G147="","",COUNTIFS($C$18:$C$2015,G$13,$D$18:$D$2015,"&gt;="&amp;G147,$D$18:$D$2015,"&lt;"&amp;G148))</f>
        <v/>
      </c>
      <c r="I147" s="14" t="n"/>
      <c r="J147" s="16" t="n"/>
      <c r="K147" s="124">
        <f>IF(J147="","",COUNTIFS($C$18:$C$2015,J$13,$D$18:$D$2015,"&gt;="&amp;J147,$D$18:$D$2015,"&lt;"&amp;J148))</f>
        <v/>
      </c>
      <c r="L147" s="14" t="n"/>
      <c r="M147" s="16" t="n"/>
      <c r="N147" s="124">
        <f>IF(M147="","",COUNTIFS($C$18:$C$2015,M$13,$D$18:$D$2015,"&gt;="&amp;M147,$D$18:$D$2015,"&lt;"&amp;M148))</f>
        <v/>
      </c>
      <c r="O147" s="14" t="n"/>
      <c r="P147" s="16" t="n"/>
      <c r="Q147" s="124">
        <f>IF(P147="","",COUNTIFS($C$18:$C$2015,P$13,$D$18:$D$2015,"&gt;="&amp;P147,$D$18:$D$2015,"&lt;"&amp;P148))</f>
        <v/>
      </c>
      <c r="R147" s="14" t="n"/>
      <c r="S147" s="16" t="n"/>
      <c r="T147" s="124">
        <f>IF(S147="","",COUNTIFS($C$18:$C$2015,S$13,$D$18:$D$2015,"&gt;="&amp;S147,$D$18:$D$2015,"&lt;"&amp;S148))</f>
        <v/>
      </c>
      <c r="U147" s="14" t="n"/>
      <c r="V147" s="16" t="n"/>
      <c r="W147" s="124">
        <f>IF(V147="","",COUNTIFS($C$18:$C$2015,V$13,$D$18:$D$2015,"&gt;="&amp;V147,$D$18:$D$2015,"&lt;"&amp;V148))</f>
        <v/>
      </c>
      <c r="X147" s="14" t="n"/>
      <c r="Y147" s="16" t="n"/>
      <c r="Z147" s="124">
        <f>IF(Y147="","",COUNTIFS($C$18:$C$2015,Y$13,$D$18:$D$2015,"&gt;="&amp;Y147,$D$18:$D$2015,"&lt;"&amp;Y148))</f>
        <v/>
      </c>
      <c r="AA147" s="14" t="n"/>
      <c r="AB147" s="16" t="n"/>
      <c r="AC147" s="124">
        <f>IF(AB147="","",COUNTIFS($C$18:$C$2015,AB$13,$D$18:$D$2015,"&gt;="&amp;AB147,$D$18:$D$2015,"&lt;"&amp;AB148))</f>
        <v/>
      </c>
      <c r="AD147" s="14" t="n"/>
    </row>
    <row r="148">
      <c r="A148" s="56" t="n"/>
      <c r="B148" s="57" t="n"/>
      <c r="C148" s="59" t="n"/>
      <c r="E148" s="16" t="n"/>
      <c r="F148" s="13" t="n"/>
      <c r="G148" s="16" t="n"/>
      <c r="H148" s="124">
        <f>IF(G148="","",COUNTIFS($C$18:$C$2015,G$13,$D$18:$D$2015,"&gt;="&amp;G148,$D$18:$D$2015,"&lt;"&amp;G149))</f>
        <v/>
      </c>
      <c r="I148" s="14" t="n"/>
      <c r="J148" s="16" t="n"/>
      <c r="K148" s="124">
        <f>IF(J148="","",COUNTIFS($C$18:$C$2015,J$13,$D$18:$D$2015,"&gt;="&amp;J148,$D$18:$D$2015,"&lt;"&amp;J149))</f>
        <v/>
      </c>
      <c r="L148" s="14" t="n"/>
      <c r="M148" s="16" t="n"/>
      <c r="N148" s="124">
        <f>IF(M148="","",COUNTIFS($C$18:$C$2015,M$13,$D$18:$D$2015,"&gt;="&amp;M148,$D$18:$D$2015,"&lt;"&amp;M149))</f>
        <v/>
      </c>
      <c r="O148" s="14" t="n"/>
      <c r="P148" s="16" t="n"/>
      <c r="Q148" s="124">
        <f>IF(P148="","",COUNTIFS($C$18:$C$2015,P$13,$D$18:$D$2015,"&gt;="&amp;P148,$D$18:$D$2015,"&lt;"&amp;P149))</f>
        <v/>
      </c>
      <c r="R148" s="14" t="n"/>
      <c r="S148" s="16" t="n"/>
      <c r="T148" s="124">
        <f>IF(S148="","",COUNTIFS($C$18:$C$2015,S$13,$D$18:$D$2015,"&gt;="&amp;S148,$D$18:$D$2015,"&lt;"&amp;S149))</f>
        <v/>
      </c>
      <c r="U148" s="14" t="n"/>
      <c r="V148" s="16" t="n"/>
      <c r="W148" s="124">
        <f>IF(V148="","",COUNTIFS($C$18:$C$2015,V$13,$D$18:$D$2015,"&gt;="&amp;V148,$D$18:$D$2015,"&lt;"&amp;V149))</f>
        <v/>
      </c>
      <c r="X148" s="14" t="n"/>
      <c r="Y148" s="16" t="n"/>
      <c r="Z148" s="124">
        <f>IF(Y148="","",COUNTIFS($C$18:$C$2015,Y$13,$D$18:$D$2015,"&gt;="&amp;Y148,$D$18:$D$2015,"&lt;"&amp;Y149))</f>
        <v/>
      </c>
      <c r="AA148" s="14" t="n"/>
      <c r="AB148" s="16" t="n"/>
      <c r="AC148" s="124">
        <f>IF(AB148="","",COUNTIFS($C$18:$C$2015,AB$13,$D$18:$D$2015,"&gt;="&amp;AB148,$D$18:$D$2015,"&lt;"&amp;AB149))</f>
        <v/>
      </c>
      <c r="AD148" s="14" t="n"/>
    </row>
    <row r="149">
      <c r="A149" s="58" t="n"/>
      <c r="B149" s="59" t="n"/>
      <c r="C149" s="59" t="n"/>
      <c r="E149" s="16" t="n"/>
      <c r="F149" s="13" t="n"/>
      <c r="G149" s="16" t="n"/>
      <c r="H149" s="124">
        <f>IF(G149="","",COUNTIFS($C$18:$C$2015,G$13,$D$18:$D$2015,"&gt;="&amp;G149,$D$18:$D$2015,"&lt;"&amp;G150))</f>
        <v/>
      </c>
      <c r="I149" s="14" t="n"/>
      <c r="J149" s="16" t="n"/>
      <c r="K149" s="124">
        <f>IF(J149="","",COUNTIFS($C$18:$C$2015,J$13,$D$18:$D$2015,"&gt;="&amp;J149,$D$18:$D$2015,"&lt;"&amp;J150))</f>
        <v/>
      </c>
      <c r="L149" s="14" t="n"/>
      <c r="M149" s="16" t="n"/>
      <c r="N149" s="124">
        <f>IF(M149="","",COUNTIFS($C$18:$C$2015,M$13,$D$18:$D$2015,"&gt;="&amp;M149,$D$18:$D$2015,"&lt;"&amp;M150))</f>
        <v/>
      </c>
      <c r="O149" s="14" t="n"/>
      <c r="P149" s="16" t="n"/>
      <c r="Q149" s="124">
        <f>IF(P149="","",COUNTIFS($C$18:$C$2015,P$13,$D$18:$D$2015,"&gt;="&amp;P149,$D$18:$D$2015,"&lt;"&amp;P150))</f>
        <v/>
      </c>
      <c r="R149" s="14" t="n"/>
      <c r="S149" s="16" t="n"/>
      <c r="T149" s="124">
        <f>IF(S149="","",COUNTIFS($C$18:$C$2015,S$13,$D$18:$D$2015,"&gt;="&amp;S149,$D$18:$D$2015,"&lt;"&amp;S150))</f>
        <v/>
      </c>
      <c r="U149" s="14" t="n"/>
      <c r="V149" s="16" t="n"/>
      <c r="W149" s="124">
        <f>IF(V149="","",COUNTIFS($C$18:$C$2015,V$13,$D$18:$D$2015,"&gt;="&amp;V149,$D$18:$D$2015,"&lt;"&amp;V150))</f>
        <v/>
      </c>
      <c r="X149" s="14" t="n"/>
      <c r="Y149" s="16" t="n"/>
      <c r="Z149" s="124">
        <f>IF(Y149="","",COUNTIFS($C$18:$C$2015,Y$13,$D$18:$D$2015,"&gt;="&amp;Y149,$D$18:$D$2015,"&lt;"&amp;Y150))</f>
        <v/>
      </c>
      <c r="AA149" s="14" t="n"/>
      <c r="AB149" s="16" t="n"/>
      <c r="AC149" s="124">
        <f>IF(AB149="","",COUNTIFS($C$18:$C$2015,AB$13,$D$18:$D$2015,"&gt;="&amp;AB149,$D$18:$D$2015,"&lt;"&amp;AB150))</f>
        <v/>
      </c>
      <c r="AD149" s="14" t="n"/>
    </row>
    <row r="150">
      <c r="A150" s="56" t="n"/>
      <c r="B150" s="57" t="n"/>
      <c r="C150" s="59" t="n"/>
      <c r="E150" s="16" t="n"/>
      <c r="F150" s="13" t="n"/>
      <c r="G150" s="16" t="n"/>
      <c r="H150" s="124">
        <f>IF(G150="","",COUNTIFS($C$18:$C$2015,G$13,$D$18:$D$2015,"&gt;="&amp;G150,$D$18:$D$2015,"&lt;"&amp;G151))</f>
        <v/>
      </c>
      <c r="I150" s="14" t="n"/>
      <c r="J150" s="16" t="n"/>
      <c r="K150" s="124">
        <f>IF(J150="","",COUNTIFS($C$18:$C$2015,J$13,$D$18:$D$2015,"&gt;="&amp;J150,$D$18:$D$2015,"&lt;"&amp;J151))</f>
        <v/>
      </c>
      <c r="L150" s="14" t="n"/>
      <c r="M150" s="16" t="n"/>
      <c r="N150" s="124">
        <f>IF(M150="","",COUNTIFS($C$18:$C$2015,M$13,$D$18:$D$2015,"&gt;="&amp;M150,$D$18:$D$2015,"&lt;"&amp;M151))</f>
        <v/>
      </c>
      <c r="O150" s="14" t="n"/>
      <c r="P150" s="16" t="n"/>
      <c r="Q150" s="124">
        <f>IF(P150="","",COUNTIFS($C$18:$C$2015,P$13,$D$18:$D$2015,"&gt;="&amp;P150,$D$18:$D$2015,"&lt;"&amp;P151))</f>
        <v/>
      </c>
      <c r="R150" s="14" t="n"/>
      <c r="S150" s="16" t="n"/>
      <c r="T150" s="124">
        <f>IF(S150="","",COUNTIFS($C$18:$C$2015,S$13,$D$18:$D$2015,"&gt;="&amp;S150,$D$18:$D$2015,"&lt;"&amp;S151))</f>
        <v/>
      </c>
      <c r="U150" s="14" t="n"/>
      <c r="V150" s="16" t="n"/>
      <c r="W150" s="124">
        <f>IF(V150="","",COUNTIFS($C$18:$C$2015,V$13,$D$18:$D$2015,"&gt;="&amp;V150,$D$18:$D$2015,"&lt;"&amp;V151))</f>
        <v/>
      </c>
      <c r="X150" s="14" t="n"/>
      <c r="Y150" s="16" t="n"/>
      <c r="Z150" s="124">
        <f>IF(Y150="","",COUNTIFS($C$18:$C$2015,Y$13,$D$18:$D$2015,"&gt;="&amp;Y150,$D$18:$D$2015,"&lt;"&amp;Y151))</f>
        <v/>
      </c>
      <c r="AA150" s="14" t="n"/>
      <c r="AB150" s="16" t="n"/>
      <c r="AC150" s="124">
        <f>IF(AB150="","",COUNTIFS($C$18:$C$2015,AB$13,$D$18:$D$2015,"&gt;="&amp;AB150,$D$18:$D$2015,"&lt;"&amp;AB151))</f>
        <v/>
      </c>
      <c r="AD150" s="14" t="n"/>
    </row>
    <row r="151">
      <c r="A151" s="58" t="n"/>
      <c r="B151" s="59" t="n"/>
      <c r="C151" s="59" t="n"/>
      <c r="E151" s="16" t="n"/>
      <c r="F151" s="13" t="n"/>
      <c r="G151" s="16" t="n"/>
      <c r="H151" s="124">
        <f>IF(G151="","",COUNTIFS($C$18:$C$2015,G$13,$D$18:$D$2015,"&gt;="&amp;G151,$D$18:$D$2015,"&lt;"&amp;G152))</f>
        <v/>
      </c>
      <c r="I151" s="14" t="n"/>
      <c r="J151" s="16" t="n"/>
      <c r="K151" s="124">
        <f>IF(J151="","",COUNTIFS($C$18:$C$2015,J$13,$D$18:$D$2015,"&gt;="&amp;J151,$D$18:$D$2015,"&lt;"&amp;J152))</f>
        <v/>
      </c>
      <c r="L151" s="14" t="n"/>
      <c r="M151" s="16" t="n"/>
      <c r="N151" s="124">
        <f>IF(M151="","",COUNTIFS($C$18:$C$2015,M$13,$D$18:$D$2015,"&gt;="&amp;M151,$D$18:$D$2015,"&lt;"&amp;M152))</f>
        <v/>
      </c>
      <c r="O151" s="14" t="n"/>
      <c r="P151" s="16" t="n"/>
      <c r="Q151" s="124">
        <f>IF(P151="","",COUNTIFS($C$18:$C$2015,P$13,$D$18:$D$2015,"&gt;="&amp;P151,$D$18:$D$2015,"&lt;"&amp;P152))</f>
        <v/>
      </c>
      <c r="R151" s="14" t="n"/>
      <c r="S151" s="16" t="n"/>
      <c r="T151" s="124">
        <f>IF(S151="","",COUNTIFS($C$18:$C$2015,S$13,$D$18:$D$2015,"&gt;="&amp;S151,$D$18:$D$2015,"&lt;"&amp;S152))</f>
        <v/>
      </c>
      <c r="U151" s="14" t="n"/>
      <c r="V151" s="16" t="n"/>
      <c r="W151" s="124">
        <f>IF(V151="","",COUNTIFS($C$18:$C$2015,V$13,$D$18:$D$2015,"&gt;="&amp;V151,$D$18:$D$2015,"&lt;"&amp;V152))</f>
        <v/>
      </c>
      <c r="X151" s="14" t="n"/>
      <c r="Y151" s="16" t="n"/>
      <c r="Z151" s="124">
        <f>IF(Y151="","",COUNTIFS($C$18:$C$2015,Y$13,$D$18:$D$2015,"&gt;="&amp;Y151,$D$18:$D$2015,"&lt;"&amp;Y152))</f>
        <v/>
      </c>
      <c r="AA151" s="14" t="n"/>
      <c r="AB151" s="16" t="n"/>
      <c r="AC151" s="124">
        <f>IF(AB151="","",COUNTIFS($C$18:$C$2015,AB$13,$D$18:$D$2015,"&gt;="&amp;AB151,$D$18:$D$2015,"&lt;"&amp;AB152))</f>
        <v/>
      </c>
      <c r="AD151" s="14" t="n"/>
    </row>
    <row r="152">
      <c r="A152" s="56" t="n"/>
      <c r="B152" s="57" t="n"/>
      <c r="C152" s="59" t="n"/>
      <c r="E152" s="16" t="n"/>
      <c r="F152" s="13" t="n"/>
      <c r="G152" s="16" t="n"/>
      <c r="H152" s="124">
        <f>IF(G152="","",COUNTIFS($C$18:$C$2015,G$13,$D$18:$D$2015,"&gt;="&amp;G152,$D$18:$D$2015,"&lt;"&amp;G153))</f>
        <v/>
      </c>
      <c r="I152" s="14" t="n"/>
      <c r="J152" s="16" t="n"/>
      <c r="K152" s="124">
        <f>IF(J152="","",COUNTIFS($C$18:$C$2015,J$13,$D$18:$D$2015,"&gt;="&amp;J152,$D$18:$D$2015,"&lt;"&amp;J153))</f>
        <v/>
      </c>
      <c r="L152" s="14" t="n"/>
      <c r="M152" s="16" t="n"/>
      <c r="N152" s="124">
        <f>IF(M152="","",COUNTIFS($C$18:$C$2015,M$13,$D$18:$D$2015,"&gt;="&amp;M152,$D$18:$D$2015,"&lt;"&amp;M153))</f>
        <v/>
      </c>
      <c r="O152" s="14" t="n"/>
      <c r="P152" s="16" t="n"/>
      <c r="Q152" s="124">
        <f>IF(P152="","",COUNTIFS($C$18:$C$2015,P$13,$D$18:$D$2015,"&gt;="&amp;P152,$D$18:$D$2015,"&lt;"&amp;P153))</f>
        <v/>
      </c>
      <c r="R152" s="14" t="n"/>
      <c r="S152" s="16" t="n"/>
      <c r="T152" s="124">
        <f>IF(S152="","",COUNTIFS($C$18:$C$2015,S$13,$D$18:$D$2015,"&gt;="&amp;S152,$D$18:$D$2015,"&lt;"&amp;S153))</f>
        <v/>
      </c>
      <c r="U152" s="14" t="n"/>
      <c r="V152" s="16" t="n"/>
      <c r="W152" s="124">
        <f>IF(V152="","",COUNTIFS($C$18:$C$2015,V$13,$D$18:$D$2015,"&gt;="&amp;V152,$D$18:$D$2015,"&lt;"&amp;V153))</f>
        <v/>
      </c>
      <c r="X152" s="14" t="n"/>
      <c r="Y152" s="16" t="n"/>
      <c r="Z152" s="124">
        <f>IF(Y152="","",COUNTIFS($C$18:$C$2015,Y$13,$D$18:$D$2015,"&gt;="&amp;Y152,$D$18:$D$2015,"&lt;"&amp;Y153))</f>
        <v/>
      </c>
      <c r="AA152" s="14" t="n"/>
      <c r="AB152" s="16" t="n"/>
      <c r="AC152" s="124">
        <f>IF(AB152="","",COUNTIFS($C$18:$C$2015,AB$13,$D$18:$D$2015,"&gt;="&amp;AB152,$D$18:$D$2015,"&lt;"&amp;AB153))</f>
        <v/>
      </c>
      <c r="AD152" s="14" t="n"/>
    </row>
    <row r="153">
      <c r="A153" s="58" t="n"/>
      <c r="B153" s="59" t="n"/>
      <c r="C153" s="59" t="n"/>
      <c r="E153" s="16" t="n"/>
      <c r="F153" s="13" t="n"/>
      <c r="G153" s="16" t="n"/>
      <c r="H153" s="124">
        <f>IF(G153="","",COUNTIFS($C$18:$C$2015,G$13,$D$18:$D$2015,"&gt;="&amp;G153,$D$18:$D$2015,"&lt;"&amp;G154))</f>
        <v/>
      </c>
      <c r="I153" s="14" t="n"/>
      <c r="J153" s="16" t="n"/>
      <c r="K153" s="124">
        <f>IF(J153="","",COUNTIFS($C$18:$C$2015,J$13,$D$18:$D$2015,"&gt;="&amp;J153,$D$18:$D$2015,"&lt;"&amp;J154))</f>
        <v/>
      </c>
      <c r="L153" s="14" t="n"/>
      <c r="M153" s="16" t="n"/>
      <c r="N153" s="124">
        <f>IF(M153="","",COUNTIFS($C$18:$C$2015,M$13,$D$18:$D$2015,"&gt;="&amp;M153,$D$18:$D$2015,"&lt;"&amp;M154))</f>
        <v/>
      </c>
      <c r="O153" s="14" t="n"/>
      <c r="P153" s="16" t="n"/>
      <c r="Q153" s="124">
        <f>IF(P153="","",COUNTIFS($C$18:$C$2015,P$13,$D$18:$D$2015,"&gt;="&amp;P153,$D$18:$D$2015,"&lt;"&amp;P154))</f>
        <v/>
      </c>
      <c r="R153" s="14" t="n"/>
      <c r="S153" s="16" t="n"/>
      <c r="T153" s="124">
        <f>IF(S153="","",COUNTIFS($C$18:$C$2015,S$13,$D$18:$D$2015,"&gt;="&amp;S153,$D$18:$D$2015,"&lt;"&amp;S154))</f>
        <v/>
      </c>
      <c r="U153" s="14" t="n"/>
      <c r="V153" s="16" t="n"/>
      <c r="W153" s="124">
        <f>IF(V153="","",COUNTIFS($C$18:$C$2015,V$13,$D$18:$D$2015,"&gt;="&amp;V153,$D$18:$D$2015,"&lt;"&amp;V154))</f>
        <v/>
      </c>
      <c r="X153" s="14" t="n"/>
      <c r="Y153" s="16" t="n"/>
      <c r="Z153" s="124">
        <f>IF(Y153="","",COUNTIFS($C$18:$C$2015,Y$13,$D$18:$D$2015,"&gt;="&amp;Y153,$D$18:$D$2015,"&lt;"&amp;Y154))</f>
        <v/>
      </c>
      <c r="AA153" s="14" t="n"/>
      <c r="AB153" s="16" t="n"/>
      <c r="AC153" s="124">
        <f>IF(AB153="","",COUNTIFS($C$18:$C$2015,AB$13,$D$18:$D$2015,"&gt;="&amp;AB153,$D$18:$D$2015,"&lt;"&amp;AB154))</f>
        <v/>
      </c>
      <c r="AD153" s="14" t="n"/>
    </row>
    <row r="154">
      <c r="A154" s="56" t="n"/>
      <c r="B154" s="57" t="n"/>
      <c r="C154" s="59" t="n"/>
      <c r="E154" s="16" t="n"/>
      <c r="F154" s="13" t="n"/>
      <c r="G154" s="16" t="n"/>
      <c r="H154" s="124">
        <f>IF(G154="","",COUNTIFS($C$18:$C$2015,G$13,$D$18:$D$2015,"&gt;="&amp;G154,$D$18:$D$2015,"&lt;"&amp;G155))</f>
        <v/>
      </c>
      <c r="I154" s="14" t="n"/>
      <c r="J154" s="16" t="n"/>
      <c r="K154" s="124">
        <f>IF(J154="","",COUNTIFS($C$18:$C$2015,J$13,$D$18:$D$2015,"&gt;="&amp;J154,$D$18:$D$2015,"&lt;"&amp;J155))</f>
        <v/>
      </c>
      <c r="L154" s="14" t="n"/>
      <c r="M154" s="16" t="n"/>
      <c r="N154" s="124">
        <f>IF(M154="","",COUNTIFS($C$18:$C$2015,M$13,$D$18:$D$2015,"&gt;="&amp;M154,$D$18:$D$2015,"&lt;"&amp;M155))</f>
        <v/>
      </c>
      <c r="O154" s="14" t="n"/>
      <c r="P154" s="16" t="n"/>
      <c r="Q154" s="124">
        <f>IF(P154="","",COUNTIFS($C$18:$C$2015,P$13,$D$18:$D$2015,"&gt;="&amp;P154,$D$18:$D$2015,"&lt;"&amp;P155))</f>
        <v/>
      </c>
      <c r="R154" s="14" t="n"/>
      <c r="S154" s="16" t="n"/>
      <c r="T154" s="124">
        <f>IF(S154="","",COUNTIFS($C$18:$C$2015,S$13,$D$18:$D$2015,"&gt;="&amp;S154,$D$18:$D$2015,"&lt;"&amp;S155))</f>
        <v/>
      </c>
      <c r="U154" s="14" t="n"/>
      <c r="V154" s="16" t="n"/>
      <c r="W154" s="124">
        <f>IF(V154="","",COUNTIFS($C$18:$C$2015,V$13,$D$18:$D$2015,"&gt;="&amp;V154,$D$18:$D$2015,"&lt;"&amp;V155))</f>
        <v/>
      </c>
      <c r="X154" s="14" t="n"/>
      <c r="Y154" s="16" t="n"/>
      <c r="Z154" s="124">
        <f>IF(Y154="","",COUNTIFS($C$18:$C$2015,Y$13,$D$18:$D$2015,"&gt;="&amp;Y154,$D$18:$D$2015,"&lt;"&amp;Y155))</f>
        <v/>
      </c>
      <c r="AA154" s="14" t="n"/>
      <c r="AB154" s="16" t="n"/>
      <c r="AC154" s="124">
        <f>IF(AB154="","",COUNTIFS($C$18:$C$2015,AB$13,$D$18:$D$2015,"&gt;="&amp;AB154,$D$18:$D$2015,"&lt;"&amp;AB155))</f>
        <v/>
      </c>
      <c r="AD154" s="14" t="n"/>
    </row>
    <row r="155">
      <c r="A155" s="58" t="n"/>
      <c r="B155" s="59" t="n"/>
      <c r="C155" s="59" t="n"/>
      <c r="E155" s="16" t="n"/>
      <c r="F155" s="13" t="n"/>
      <c r="G155" s="16" t="n"/>
      <c r="H155" s="124">
        <f>IF(G155="","",COUNTIFS($C$18:$C$2015,G$13,$D$18:$D$2015,"&gt;="&amp;G155,$D$18:$D$2015,"&lt;"&amp;G156))</f>
        <v/>
      </c>
      <c r="I155" s="14" t="n"/>
      <c r="J155" s="16" t="n"/>
      <c r="K155" s="124">
        <f>IF(J155="","",COUNTIFS($C$18:$C$2015,J$13,$D$18:$D$2015,"&gt;="&amp;J155,$D$18:$D$2015,"&lt;"&amp;J156))</f>
        <v/>
      </c>
      <c r="L155" s="14" t="n"/>
      <c r="M155" s="16" t="n"/>
      <c r="N155" s="124">
        <f>IF(M155="","",COUNTIFS($C$18:$C$2015,M$13,$D$18:$D$2015,"&gt;="&amp;M155,$D$18:$D$2015,"&lt;"&amp;M156))</f>
        <v/>
      </c>
      <c r="O155" s="14" t="n"/>
      <c r="P155" s="16" t="n"/>
      <c r="Q155" s="124">
        <f>IF(P155="","",COUNTIFS($C$18:$C$2015,P$13,$D$18:$D$2015,"&gt;="&amp;P155,$D$18:$D$2015,"&lt;"&amp;P156))</f>
        <v/>
      </c>
      <c r="R155" s="14" t="n"/>
      <c r="S155" s="16" t="n"/>
      <c r="T155" s="124">
        <f>IF(S155="","",COUNTIFS($C$18:$C$2015,S$13,$D$18:$D$2015,"&gt;="&amp;S155,$D$18:$D$2015,"&lt;"&amp;S156))</f>
        <v/>
      </c>
      <c r="U155" s="14" t="n"/>
      <c r="V155" s="16" t="n"/>
      <c r="W155" s="124">
        <f>IF(V155="","",COUNTIFS($C$18:$C$2015,V$13,$D$18:$D$2015,"&gt;="&amp;V155,$D$18:$D$2015,"&lt;"&amp;V156))</f>
        <v/>
      </c>
      <c r="X155" s="14" t="n"/>
      <c r="Y155" s="16" t="n"/>
      <c r="Z155" s="124">
        <f>IF(Y155="","",COUNTIFS($C$18:$C$2015,Y$13,$D$18:$D$2015,"&gt;="&amp;Y155,$D$18:$D$2015,"&lt;"&amp;Y156))</f>
        <v/>
      </c>
      <c r="AA155" s="14" t="n"/>
      <c r="AB155" s="16" t="n"/>
      <c r="AC155" s="124">
        <f>IF(AB155="","",COUNTIFS($C$18:$C$2015,AB$13,$D$18:$D$2015,"&gt;="&amp;AB155,$D$18:$D$2015,"&lt;"&amp;AB156))</f>
        <v/>
      </c>
      <c r="AD155" s="14" t="n"/>
    </row>
    <row r="156">
      <c r="A156" s="56" t="n"/>
      <c r="B156" s="57" t="n"/>
      <c r="C156" s="59" t="n"/>
      <c r="E156" s="16" t="n"/>
      <c r="F156" s="13" t="n"/>
      <c r="G156" s="16" t="n"/>
      <c r="H156" s="124">
        <f>IF(G156="","",COUNTIFS($C$18:$C$2015,G$13,$D$18:$D$2015,"&gt;="&amp;G156,$D$18:$D$2015,"&lt;"&amp;G157))</f>
        <v/>
      </c>
      <c r="I156" s="14" t="n"/>
      <c r="J156" s="16" t="n"/>
      <c r="K156" s="124">
        <f>IF(J156="","",COUNTIFS($C$18:$C$2015,J$13,$D$18:$D$2015,"&gt;="&amp;J156,$D$18:$D$2015,"&lt;"&amp;J157))</f>
        <v/>
      </c>
      <c r="L156" s="14" t="n"/>
      <c r="M156" s="16" t="n"/>
      <c r="N156" s="124">
        <f>IF(M156="","",COUNTIFS($C$18:$C$2015,M$13,$D$18:$D$2015,"&gt;="&amp;M156,$D$18:$D$2015,"&lt;"&amp;M157))</f>
        <v/>
      </c>
      <c r="O156" s="14" t="n"/>
      <c r="P156" s="16" t="n"/>
      <c r="Q156" s="124">
        <f>IF(P156="","",COUNTIFS($C$18:$C$2015,P$13,$D$18:$D$2015,"&gt;="&amp;P156,$D$18:$D$2015,"&lt;"&amp;P157))</f>
        <v/>
      </c>
      <c r="R156" s="14" t="n"/>
      <c r="S156" s="16" t="n"/>
      <c r="T156" s="124">
        <f>IF(S156="","",COUNTIFS($C$18:$C$2015,S$13,$D$18:$D$2015,"&gt;="&amp;S156,$D$18:$D$2015,"&lt;"&amp;S157))</f>
        <v/>
      </c>
      <c r="U156" s="14" t="n"/>
      <c r="V156" s="16" t="n"/>
      <c r="W156" s="124">
        <f>IF(V156="","",COUNTIFS($C$18:$C$2015,V$13,$D$18:$D$2015,"&gt;="&amp;V156,$D$18:$D$2015,"&lt;"&amp;V157))</f>
        <v/>
      </c>
      <c r="X156" s="14" t="n"/>
      <c r="Y156" s="16" t="n"/>
      <c r="Z156" s="124">
        <f>IF(Y156="","",COUNTIFS($C$18:$C$2015,Y$13,$D$18:$D$2015,"&gt;="&amp;Y156,$D$18:$D$2015,"&lt;"&amp;Y157))</f>
        <v/>
      </c>
      <c r="AA156" s="14" t="n"/>
      <c r="AB156" s="16" t="n"/>
      <c r="AC156" s="124">
        <f>IF(AB156="","",COUNTIFS($C$18:$C$2015,AB$13,$D$18:$D$2015,"&gt;="&amp;AB156,$D$18:$D$2015,"&lt;"&amp;AB157))</f>
        <v/>
      </c>
      <c r="AD156" s="14" t="n"/>
    </row>
    <row r="157">
      <c r="A157" s="58" t="n"/>
      <c r="B157" s="59" t="n"/>
      <c r="C157" s="59" t="n"/>
      <c r="E157" s="16" t="n"/>
      <c r="F157" s="13" t="n"/>
      <c r="G157" s="16" t="n"/>
      <c r="H157" s="124">
        <f>IF(G157="","",COUNTIFS($C$18:$C$2015,G$13,$D$18:$D$2015,"&gt;="&amp;G157,$D$18:$D$2015,"&lt;"&amp;G158))</f>
        <v/>
      </c>
      <c r="I157" s="14" t="n"/>
      <c r="J157" s="16" t="n"/>
      <c r="K157" s="124">
        <f>IF(J157="","",COUNTIFS($C$18:$C$2015,J$13,$D$18:$D$2015,"&gt;="&amp;J157,$D$18:$D$2015,"&lt;"&amp;J158))</f>
        <v/>
      </c>
      <c r="L157" s="14" t="n"/>
      <c r="M157" s="16" t="n"/>
      <c r="N157" s="124">
        <f>IF(M157="","",COUNTIFS($C$18:$C$2015,M$13,$D$18:$D$2015,"&gt;="&amp;M157,$D$18:$D$2015,"&lt;"&amp;M158))</f>
        <v/>
      </c>
      <c r="O157" s="14" t="n"/>
      <c r="P157" s="16" t="n"/>
      <c r="Q157" s="124">
        <f>IF(P157="","",COUNTIFS($C$18:$C$2015,P$13,$D$18:$D$2015,"&gt;="&amp;P157,$D$18:$D$2015,"&lt;"&amp;P158))</f>
        <v/>
      </c>
      <c r="R157" s="14" t="n"/>
      <c r="S157" s="16" t="n"/>
      <c r="T157" s="124">
        <f>IF(S157="","",COUNTIFS($C$18:$C$2015,S$13,$D$18:$D$2015,"&gt;="&amp;S157,$D$18:$D$2015,"&lt;"&amp;S158))</f>
        <v/>
      </c>
      <c r="U157" s="14" t="n"/>
      <c r="V157" s="16" t="n"/>
      <c r="W157" s="124">
        <f>IF(V157="","",COUNTIFS($C$18:$C$2015,V$13,$D$18:$D$2015,"&gt;="&amp;V157,$D$18:$D$2015,"&lt;"&amp;V158))</f>
        <v/>
      </c>
      <c r="X157" s="14" t="n"/>
      <c r="Y157" s="16" t="n"/>
      <c r="Z157" s="124">
        <f>IF(Y157="","",COUNTIFS($C$18:$C$2015,Y$13,$D$18:$D$2015,"&gt;="&amp;Y157,$D$18:$D$2015,"&lt;"&amp;Y158))</f>
        <v/>
      </c>
      <c r="AA157" s="14" t="n"/>
      <c r="AB157" s="16" t="n"/>
      <c r="AC157" s="124">
        <f>IF(AB157="","",COUNTIFS($C$18:$C$2015,AB$13,$D$18:$D$2015,"&gt;="&amp;AB157,$D$18:$D$2015,"&lt;"&amp;AB158))</f>
        <v/>
      </c>
      <c r="AD157" s="14" t="n"/>
    </row>
    <row r="158">
      <c r="A158" s="56" t="n"/>
      <c r="B158" s="57" t="n"/>
      <c r="C158" s="59" t="n"/>
      <c r="E158" s="16" t="n"/>
      <c r="F158" s="13" t="n"/>
      <c r="G158" s="16" t="n"/>
      <c r="H158" s="124">
        <f>IF(G158="","",COUNTIFS($C$18:$C$2015,G$13,$D$18:$D$2015,"&gt;="&amp;G158,$D$18:$D$2015,"&lt;"&amp;G159))</f>
        <v/>
      </c>
      <c r="I158" s="14" t="n"/>
      <c r="J158" s="16" t="n"/>
      <c r="K158" s="124">
        <f>IF(J158="","",COUNTIFS($C$18:$C$2015,J$13,$D$18:$D$2015,"&gt;="&amp;J158,$D$18:$D$2015,"&lt;"&amp;J159))</f>
        <v/>
      </c>
      <c r="L158" s="14" t="n"/>
      <c r="M158" s="16" t="n"/>
      <c r="N158" s="124">
        <f>IF(M158="","",COUNTIFS($C$18:$C$2015,M$13,$D$18:$D$2015,"&gt;="&amp;M158,$D$18:$D$2015,"&lt;"&amp;M159))</f>
        <v/>
      </c>
      <c r="O158" s="14" t="n"/>
      <c r="P158" s="16" t="n"/>
      <c r="Q158" s="124">
        <f>IF(P158="","",COUNTIFS($C$18:$C$2015,P$13,$D$18:$D$2015,"&gt;="&amp;P158,$D$18:$D$2015,"&lt;"&amp;P159))</f>
        <v/>
      </c>
      <c r="R158" s="14" t="n"/>
      <c r="S158" s="16" t="n"/>
      <c r="T158" s="124">
        <f>IF(S158="","",COUNTIFS($C$18:$C$2015,S$13,$D$18:$D$2015,"&gt;="&amp;S158,$D$18:$D$2015,"&lt;"&amp;S159))</f>
        <v/>
      </c>
      <c r="U158" s="14" t="n"/>
      <c r="V158" s="16" t="n"/>
      <c r="W158" s="124">
        <f>IF(V158="","",COUNTIFS($C$18:$C$2015,V$13,$D$18:$D$2015,"&gt;="&amp;V158,$D$18:$D$2015,"&lt;"&amp;V159))</f>
        <v/>
      </c>
      <c r="X158" s="14" t="n"/>
      <c r="Y158" s="16" t="n"/>
      <c r="Z158" s="124">
        <f>IF(Y158="","",COUNTIFS($C$18:$C$2015,Y$13,$D$18:$D$2015,"&gt;="&amp;Y158,$D$18:$D$2015,"&lt;"&amp;Y159))</f>
        <v/>
      </c>
      <c r="AA158" s="14" t="n"/>
      <c r="AB158" s="16" t="n"/>
      <c r="AC158" s="124">
        <f>IF(AB158="","",COUNTIFS($C$18:$C$2015,AB$13,$D$18:$D$2015,"&gt;="&amp;AB158,$D$18:$D$2015,"&lt;"&amp;AB159))</f>
        <v/>
      </c>
      <c r="AD158" s="14" t="n"/>
    </row>
    <row r="159">
      <c r="A159" s="58" t="n"/>
      <c r="B159" s="59" t="n"/>
      <c r="C159" s="59" t="n"/>
      <c r="E159" s="16" t="n"/>
      <c r="F159" s="13" t="n"/>
      <c r="G159" s="16" t="n"/>
      <c r="H159" s="124">
        <f>IF(G159="","",COUNTIFS($C$18:$C$2015,G$13,$D$18:$D$2015,"&gt;="&amp;G159,$D$18:$D$2015,"&lt;"&amp;G160))</f>
        <v/>
      </c>
      <c r="I159" s="14" t="n"/>
      <c r="J159" s="16" t="n"/>
      <c r="K159" s="124">
        <f>IF(J159="","",COUNTIFS($C$18:$C$2015,J$13,$D$18:$D$2015,"&gt;="&amp;J159,$D$18:$D$2015,"&lt;"&amp;J160))</f>
        <v/>
      </c>
      <c r="L159" s="14" t="n"/>
      <c r="M159" s="16" t="n"/>
      <c r="N159" s="124">
        <f>IF(M159="","",COUNTIFS($C$18:$C$2015,M$13,$D$18:$D$2015,"&gt;="&amp;M159,$D$18:$D$2015,"&lt;"&amp;M160))</f>
        <v/>
      </c>
      <c r="O159" s="14" t="n"/>
      <c r="P159" s="16" t="n"/>
      <c r="Q159" s="124">
        <f>IF(P159="","",COUNTIFS($C$18:$C$2015,P$13,$D$18:$D$2015,"&gt;="&amp;P159,$D$18:$D$2015,"&lt;"&amp;P160))</f>
        <v/>
      </c>
      <c r="R159" s="14" t="n"/>
      <c r="S159" s="16" t="n"/>
      <c r="T159" s="124">
        <f>IF(S159="","",COUNTIFS($C$18:$C$2015,S$13,$D$18:$D$2015,"&gt;="&amp;S159,$D$18:$D$2015,"&lt;"&amp;S160))</f>
        <v/>
      </c>
      <c r="U159" s="14" t="n"/>
      <c r="V159" s="16" t="n"/>
      <c r="W159" s="124">
        <f>IF(V159="","",COUNTIFS($C$18:$C$2015,V$13,$D$18:$D$2015,"&gt;="&amp;V159,$D$18:$D$2015,"&lt;"&amp;V160))</f>
        <v/>
      </c>
      <c r="X159" s="14" t="n"/>
      <c r="Y159" s="16" t="n"/>
      <c r="Z159" s="124">
        <f>IF(Y159="","",COUNTIFS($C$18:$C$2015,Y$13,$D$18:$D$2015,"&gt;="&amp;Y159,$D$18:$D$2015,"&lt;"&amp;Y160))</f>
        <v/>
      </c>
      <c r="AA159" s="14" t="n"/>
      <c r="AB159" s="16" t="n"/>
      <c r="AC159" s="124">
        <f>IF(AB159="","",COUNTIFS($C$18:$C$2015,AB$13,$D$18:$D$2015,"&gt;="&amp;AB159,$D$18:$D$2015,"&lt;"&amp;AB160))</f>
        <v/>
      </c>
      <c r="AD159" s="14" t="n"/>
    </row>
    <row r="160">
      <c r="A160" s="56" t="n"/>
      <c r="B160" s="57" t="n"/>
      <c r="C160" s="59" t="n"/>
      <c r="E160" s="16" t="n"/>
      <c r="F160" s="13" t="n"/>
      <c r="G160" s="16" t="n"/>
      <c r="H160" s="124">
        <f>IF(G160="","",COUNTIFS($C$18:$C$2015,G$13,$D$18:$D$2015,"&gt;="&amp;G160,$D$18:$D$2015,"&lt;"&amp;G161))</f>
        <v/>
      </c>
      <c r="I160" s="14" t="n"/>
      <c r="J160" s="16" t="n"/>
      <c r="K160" s="124">
        <f>IF(J160="","",COUNTIFS($C$18:$C$2015,J$13,$D$18:$D$2015,"&gt;="&amp;J160,$D$18:$D$2015,"&lt;"&amp;J161))</f>
        <v/>
      </c>
      <c r="L160" s="14" t="n"/>
      <c r="M160" s="16" t="n"/>
      <c r="N160" s="124">
        <f>IF(M160="","",COUNTIFS($C$18:$C$2015,M$13,$D$18:$D$2015,"&gt;="&amp;M160,$D$18:$D$2015,"&lt;"&amp;M161))</f>
        <v/>
      </c>
      <c r="O160" s="14" t="n"/>
      <c r="P160" s="16" t="n"/>
      <c r="Q160" s="124">
        <f>IF(P160="","",COUNTIFS($C$18:$C$2015,P$13,$D$18:$D$2015,"&gt;="&amp;P160,$D$18:$D$2015,"&lt;"&amp;P161))</f>
        <v/>
      </c>
      <c r="R160" s="14" t="n"/>
      <c r="S160" s="16" t="n"/>
      <c r="T160" s="124">
        <f>IF(S160="","",COUNTIFS($C$18:$C$2015,S$13,$D$18:$D$2015,"&gt;="&amp;S160,$D$18:$D$2015,"&lt;"&amp;S161))</f>
        <v/>
      </c>
      <c r="U160" s="14" t="n"/>
      <c r="V160" s="16" t="n"/>
      <c r="W160" s="124">
        <f>IF(V160="","",COUNTIFS($C$18:$C$2015,V$13,$D$18:$D$2015,"&gt;="&amp;V160,$D$18:$D$2015,"&lt;"&amp;V161))</f>
        <v/>
      </c>
      <c r="X160" s="14" t="n"/>
      <c r="Y160" s="16" t="n"/>
      <c r="Z160" s="124">
        <f>IF(Y160="","",COUNTIFS($C$18:$C$2015,Y$13,$D$18:$D$2015,"&gt;="&amp;Y160,$D$18:$D$2015,"&lt;"&amp;Y161))</f>
        <v/>
      </c>
      <c r="AA160" s="14" t="n"/>
      <c r="AB160" s="16" t="n"/>
      <c r="AC160" s="124">
        <f>IF(AB160="","",COUNTIFS($C$18:$C$2015,AB$13,$D$18:$D$2015,"&gt;="&amp;AB160,$D$18:$D$2015,"&lt;"&amp;AB161))</f>
        <v/>
      </c>
      <c r="AD160" s="14" t="n"/>
    </row>
    <row r="161">
      <c r="A161" s="58" t="n"/>
      <c r="B161" s="59" t="n"/>
      <c r="C161" s="59" t="n"/>
      <c r="E161" s="16" t="n"/>
      <c r="F161" s="13" t="n"/>
      <c r="G161" s="16" t="n"/>
      <c r="H161" s="124">
        <f>IF(G161="","",COUNTIFS($C$18:$C$2015,G$13,$D$18:$D$2015,"&gt;="&amp;G161,$D$18:$D$2015,"&lt;"&amp;G162))</f>
        <v/>
      </c>
      <c r="I161" s="14" t="n"/>
      <c r="J161" s="16" t="n"/>
      <c r="K161" s="124">
        <f>IF(J161="","",COUNTIFS($C$18:$C$2015,J$13,$D$18:$D$2015,"&gt;="&amp;J161,$D$18:$D$2015,"&lt;"&amp;J162))</f>
        <v/>
      </c>
      <c r="L161" s="14" t="n"/>
      <c r="M161" s="16" t="n"/>
      <c r="N161" s="124">
        <f>IF(M161="","",COUNTIFS($C$18:$C$2015,M$13,$D$18:$D$2015,"&gt;="&amp;M161,$D$18:$D$2015,"&lt;"&amp;M162))</f>
        <v/>
      </c>
      <c r="O161" s="14" t="n"/>
      <c r="P161" s="16" t="n"/>
      <c r="Q161" s="124">
        <f>IF(P161="","",COUNTIFS($C$18:$C$2015,P$13,$D$18:$D$2015,"&gt;="&amp;P161,$D$18:$D$2015,"&lt;"&amp;P162))</f>
        <v/>
      </c>
      <c r="R161" s="14" t="n"/>
      <c r="S161" s="16" t="n"/>
      <c r="T161" s="124">
        <f>IF(S161="","",COUNTIFS($C$18:$C$2015,S$13,$D$18:$D$2015,"&gt;="&amp;S161,$D$18:$D$2015,"&lt;"&amp;S162))</f>
        <v/>
      </c>
      <c r="U161" s="14" t="n"/>
      <c r="V161" s="16" t="n"/>
      <c r="W161" s="124">
        <f>IF(V161="","",COUNTIFS($C$18:$C$2015,V$13,$D$18:$D$2015,"&gt;="&amp;V161,$D$18:$D$2015,"&lt;"&amp;V162))</f>
        <v/>
      </c>
      <c r="X161" s="14" t="n"/>
      <c r="Y161" s="16" t="n"/>
      <c r="Z161" s="124">
        <f>IF(Y161="","",COUNTIFS($C$18:$C$2015,Y$13,$D$18:$D$2015,"&gt;="&amp;Y161,$D$18:$D$2015,"&lt;"&amp;Y162))</f>
        <v/>
      </c>
      <c r="AA161" s="14" t="n"/>
      <c r="AB161" s="16" t="n"/>
      <c r="AC161" s="124">
        <f>IF(AB161="","",COUNTIFS($C$18:$C$2015,AB$13,$D$18:$D$2015,"&gt;="&amp;AB161,$D$18:$D$2015,"&lt;"&amp;AB162))</f>
        <v/>
      </c>
      <c r="AD161" s="14" t="n"/>
    </row>
    <row r="162">
      <c r="A162" s="56" t="n"/>
      <c r="B162" s="57" t="n"/>
      <c r="C162" s="59" t="n"/>
      <c r="E162" s="16" t="n"/>
      <c r="F162" s="13" t="n"/>
      <c r="G162" s="16" t="n"/>
      <c r="H162" s="124">
        <f>IF(G162="","",COUNTIFS($C$18:$C$2015,G$13,$D$18:$D$2015,"&gt;="&amp;G162,$D$18:$D$2015,"&lt;"&amp;G163))</f>
        <v/>
      </c>
      <c r="I162" s="14" t="n"/>
      <c r="J162" s="16" t="n"/>
      <c r="K162" s="124">
        <f>IF(J162="","",COUNTIFS($C$18:$C$2015,J$13,$D$18:$D$2015,"&gt;="&amp;J162,$D$18:$D$2015,"&lt;"&amp;J163))</f>
        <v/>
      </c>
      <c r="L162" s="14" t="n"/>
      <c r="M162" s="16" t="n"/>
      <c r="N162" s="124">
        <f>IF(M162="","",COUNTIFS($C$18:$C$2015,M$13,$D$18:$D$2015,"&gt;="&amp;M162,$D$18:$D$2015,"&lt;"&amp;M163))</f>
        <v/>
      </c>
      <c r="O162" s="14" t="n"/>
      <c r="P162" s="16" t="n"/>
      <c r="Q162" s="124">
        <f>IF(P162="","",COUNTIFS($C$18:$C$2015,P$13,$D$18:$D$2015,"&gt;="&amp;P162,$D$18:$D$2015,"&lt;"&amp;P163))</f>
        <v/>
      </c>
      <c r="R162" s="14" t="n"/>
      <c r="S162" s="16" t="n"/>
      <c r="T162" s="124">
        <f>IF(S162="","",COUNTIFS($C$18:$C$2015,S$13,$D$18:$D$2015,"&gt;="&amp;S162,$D$18:$D$2015,"&lt;"&amp;S163))</f>
        <v/>
      </c>
      <c r="U162" s="14" t="n"/>
      <c r="V162" s="16" t="n"/>
      <c r="W162" s="124">
        <f>IF(V162="","",COUNTIFS($C$18:$C$2015,V$13,$D$18:$D$2015,"&gt;="&amp;V162,$D$18:$D$2015,"&lt;"&amp;V163))</f>
        <v/>
      </c>
      <c r="X162" s="14" t="n"/>
      <c r="Y162" s="16" t="n"/>
      <c r="Z162" s="124">
        <f>IF(Y162="","",COUNTIFS($C$18:$C$2015,Y$13,$D$18:$D$2015,"&gt;="&amp;Y162,$D$18:$D$2015,"&lt;"&amp;Y163))</f>
        <v/>
      </c>
      <c r="AA162" s="14" t="n"/>
      <c r="AB162" s="16" t="n"/>
      <c r="AC162" s="124">
        <f>IF(AB162="","",COUNTIFS($C$18:$C$2015,AB$13,$D$18:$D$2015,"&gt;="&amp;AB162,$D$18:$D$2015,"&lt;"&amp;AB163))</f>
        <v/>
      </c>
      <c r="AD162" s="14" t="n"/>
    </row>
    <row r="163">
      <c r="A163" s="58" t="n"/>
      <c r="B163" s="59" t="n"/>
      <c r="C163" s="59" t="n"/>
      <c r="E163" s="16" t="n"/>
      <c r="F163" s="13" t="n"/>
      <c r="G163" s="16" t="n"/>
      <c r="H163" s="124">
        <f>IF(G163="","",COUNTIFS($C$18:$C$2015,G$13,$D$18:$D$2015,"&gt;="&amp;G163,$D$18:$D$2015,"&lt;"&amp;G164))</f>
        <v/>
      </c>
      <c r="I163" s="14" t="n"/>
      <c r="J163" s="16" t="n"/>
      <c r="K163" s="124">
        <f>IF(J163="","",COUNTIFS($C$18:$C$2015,J$13,$D$18:$D$2015,"&gt;="&amp;J163,$D$18:$D$2015,"&lt;"&amp;J164))</f>
        <v/>
      </c>
      <c r="L163" s="14" t="n"/>
      <c r="M163" s="16" t="n"/>
      <c r="N163" s="124">
        <f>IF(M163="","",COUNTIFS($C$18:$C$2015,M$13,$D$18:$D$2015,"&gt;="&amp;M163,$D$18:$D$2015,"&lt;"&amp;M164))</f>
        <v/>
      </c>
      <c r="O163" s="14" t="n"/>
      <c r="P163" s="16" t="n"/>
      <c r="Q163" s="124">
        <f>IF(P163="","",COUNTIFS($C$18:$C$2015,P$13,$D$18:$D$2015,"&gt;="&amp;P163,$D$18:$D$2015,"&lt;"&amp;P164))</f>
        <v/>
      </c>
      <c r="R163" s="14" t="n"/>
      <c r="S163" s="16" t="n"/>
      <c r="T163" s="124">
        <f>IF(S163="","",COUNTIFS($C$18:$C$2015,S$13,$D$18:$D$2015,"&gt;="&amp;S163,$D$18:$D$2015,"&lt;"&amp;S164))</f>
        <v/>
      </c>
      <c r="U163" s="14" t="n"/>
      <c r="V163" s="16" t="n"/>
      <c r="W163" s="124">
        <f>IF(V163="","",COUNTIFS($C$18:$C$2015,V$13,$D$18:$D$2015,"&gt;="&amp;V163,$D$18:$D$2015,"&lt;"&amp;V164))</f>
        <v/>
      </c>
      <c r="X163" s="14" t="n"/>
      <c r="Y163" s="16" t="n"/>
      <c r="Z163" s="124">
        <f>IF(Y163="","",COUNTIFS($C$18:$C$2015,Y$13,$D$18:$D$2015,"&gt;="&amp;Y163,$D$18:$D$2015,"&lt;"&amp;Y164))</f>
        <v/>
      </c>
      <c r="AA163" s="14" t="n"/>
      <c r="AB163" s="16" t="n"/>
      <c r="AC163" s="124">
        <f>IF(AB163="","",COUNTIFS($C$18:$C$2015,AB$13,$D$18:$D$2015,"&gt;="&amp;AB163,$D$18:$D$2015,"&lt;"&amp;AB164))</f>
        <v/>
      </c>
      <c r="AD163" s="14" t="n"/>
    </row>
    <row r="164">
      <c r="A164" s="56" t="n"/>
      <c r="B164" s="57" t="n"/>
      <c r="C164" s="59" t="n"/>
      <c r="E164" s="16" t="n"/>
      <c r="F164" s="13" t="n"/>
      <c r="G164" s="16" t="n"/>
      <c r="H164" s="124">
        <f>IF(G164="","",COUNTIFS($C$18:$C$2015,G$13,$D$18:$D$2015,"&gt;="&amp;G164,$D$18:$D$2015,"&lt;"&amp;G165))</f>
        <v/>
      </c>
      <c r="I164" s="14" t="n"/>
      <c r="J164" s="16" t="n"/>
      <c r="K164" s="124">
        <f>IF(J164="","",COUNTIFS($C$18:$C$2015,J$13,$D$18:$D$2015,"&gt;="&amp;J164,$D$18:$D$2015,"&lt;"&amp;J165))</f>
        <v/>
      </c>
      <c r="L164" s="14" t="n"/>
      <c r="M164" s="16" t="n"/>
      <c r="N164" s="124">
        <f>IF(M164="","",COUNTIFS($C$18:$C$2015,M$13,$D$18:$D$2015,"&gt;="&amp;M164,$D$18:$D$2015,"&lt;"&amp;M165))</f>
        <v/>
      </c>
      <c r="O164" s="14" t="n"/>
      <c r="P164" s="16" t="n"/>
      <c r="Q164" s="124">
        <f>IF(P164="","",COUNTIFS($C$18:$C$2015,P$13,$D$18:$D$2015,"&gt;="&amp;P164,$D$18:$D$2015,"&lt;"&amp;P165))</f>
        <v/>
      </c>
      <c r="R164" s="14" t="n"/>
      <c r="S164" s="16" t="n"/>
      <c r="T164" s="124">
        <f>IF(S164="","",COUNTIFS($C$18:$C$2015,S$13,$D$18:$D$2015,"&gt;="&amp;S164,$D$18:$D$2015,"&lt;"&amp;S165))</f>
        <v/>
      </c>
      <c r="U164" s="14" t="n"/>
      <c r="V164" s="16" t="n"/>
      <c r="W164" s="124">
        <f>IF(V164="","",COUNTIFS($C$18:$C$2015,V$13,$D$18:$D$2015,"&gt;="&amp;V164,$D$18:$D$2015,"&lt;"&amp;V165))</f>
        <v/>
      </c>
      <c r="X164" s="14" t="n"/>
      <c r="Y164" s="16" t="n"/>
      <c r="Z164" s="124">
        <f>IF(Y164="","",COUNTIFS($C$18:$C$2015,Y$13,$D$18:$D$2015,"&gt;="&amp;Y164,$D$18:$D$2015,"&lt;"&amp;Y165))</f>
        <v/>
      </c>
      <c r="AA164" s="14" t="n"/>
      <c r="AB164" s="16" t="n"/>
      <c r="AC164" s="124">
        <f>IF(AB164="","",COUNTIFS($C$18:$C$2015,AB$13,$D$18:$D$2015,"&gt;="&amp;AB164,$D$18:$D$2015,"&lt;"&amp;AB165))</f>
        <v/>
      </c>
      <c r="AD164" s="14" t="n"/>
    </row>
    <row r="165">
      <c r="A165" s="58" t="n"/>
      <c r="B165" s="59" t="n"/>
      <c r="C165" s="59" t="n"/>
      <c r="E165" s="16" t="n"/>
      <c r="F165" s="13" t="n"/>
      <c r="G165" s="16" t="n"/>
      <c r="H165" s="124">
        <f>IF(G165="","",COUNTIFS($C$18:$C$2015,G$13,$D$18:$D$2015,"&gt;="&amp;G165,$D$18:$D$2015,"&lt;"&amp;G166))</f>
        <v/>
      </c>
      <c r="I165" s="14" t="n"/>
      <c r="J165" s="16" t="n"/>
      <c r="K165" s="124">
        <f>IF(J165="","",COUNTIFS($C$18:$C$2015,J$13,$D$18:$D$2015,"&gt;="&amp;J165,$D$18:$D$2015,"&lt;"&amp;J166))</f>
        <v/>
      </c>
      <c r="L165" s="14" t="n"/>
      <c r="M165" s="16" t="n"/>
      <c r="N165" s="124">
        <f>IF(M165="","",COUNTIFS($C$18:$C$2015,M$13,$D$18:$D$2015,"&gt;="&amp;M165,$D$18:$D$2015,"&lt;"&amp;M166))</f>
        <v/>
      </c>
      <c r="O165" s="14" t="n"/>
      <c r="P165" s="16" t="n"/>
      <c r="Q165" s="124">
        <f>IF(P165="","",COUNTIFS($C$18:$C$2015,P$13,$D$18:$D$2015,"&gt;="&amp;P165,$D$18:$D$2015,"&lt;"&amp;P166))</f>
        <v/>
      </c>
      <c r="R165" s="14" t="n"/>
      <c r="S165" s="16" t="n"/>
      <c r="T165" s="124">
        <f>IF(S165="","",COUNTIFS($C$18:$C$2015,S$13,$D$18:$D$2015,"&gt;="&amp;S165,$D$18:$D$2015,"&lt;"&amp;S166))</f>
        <v/>
      </c>
      <c r="U165" s="14" t="n"/>
      <c r="V165" s="16" t="n"/>
      <c r="W165" s="124">
        <f>IF(V165="","",COUNTIFS($C$18:$C$2015,V$13,$D$18:$D$2015,"&gt;="&amp;V165,$D$18:$D$2015,"&lt;"&amp;V166))</f>
        <v/>
      </c>
      <c r="X165" s="14" t="n"/>
      <c r="Y165" s="16" t="n"/>
      <c r="Z165" s="124">
        <f>IF(Y165="","",COUNTIFS($C$18:$C$2015,Y$13,$D$18:$D$2015,"&gt;="&amp;Y165,$D$18:$D$2015,"&lt;"&amp;Y166))</f>
        <v/>
      </c>
      <c r="AA165" s="14" t="n"/>
      <c r="AB165" s="16" t="n"/>
      <c r="AC165" s="124">
        <f>IF(AB165="","",COUNTIFS($C$18:$C$2015,AB$13,$D$18:$D$2015,"&gt;="&amp;AB165,$D$18:$D$2015,"&lt;"&amp;AB166))</f>
        <v/>
      </c>
      <c r="AD165" s="14" t="n"/>
    </row>
    <row r="166">
      <c r="A166" s="56" t="n"/>
      <c r="B166" s="57" t="n"/>
      <c r="C166" s="59" t="n"/>
      <c r="E166" s="16" t="n"/>
      <c r="F166" s="13" t="n"/>
      <c r="G166" s="16" t="n"/>
      <c r="H166" s="124">
        <f>IF(G166="","",COUNTIFS($C$18:$C$2015,G$13,$D$18:$D$2015,"&gt;="&amp;G166,$D$18:$D$2015,"&lt;"&amp;G167))</f>
        <v/>
      </c>
      <c r="I166" s="14" t="n"/>
      <c r="J166" s="16" t="n"/>
      <c r="K166" s="124">
        <f>IF(J166="","",COUNTIFS($C$18:$C$2015,J$13,$D$18:$D$2015,"&gt;="&amp;J166,$D$18:$D$2015,"&lt;"&amp;J167))</f>
        <v/>
      </c>
      <c r="L166" s="14" t="n"/>
      <c r="M166" s="16" t="n"/>
      <c r="N166" s="124">
        <f>IF(M166="","",COUNTIFS($C$18:$C$2015,M$13,$D$18:$D$2015,"&gt;="&amp;M166,$D$18:$D$2015,"&lt;"&amp;M167))</f>
        <v/>
      </c>
      <c r="O166" s="14" t="n"/>
      <c r="P166" s="16" t="n"/>
      <c r="Q166" s="124">
        <f>IF(P166="","",COUNTIFS($C$18:$C$2015,P$13,$D$18:$D$2015,"&gt;="&amp;P166,$D$18:$D$2015,"&lt;"&amp;P167))</f>
        <v/>
      </c>
      <c r="R166" s="14" t="n"/>
      <c r="S166" s="16" t="n"/>
      <c r="T166" s="124">
        <f>IF(S166="","",COUNTIFS($C$18:$C$2015,S$13,$D$18:$D$2015,"&gt;="&amp;S166,$D$18:$D$2015,"&lt;"&amp;S167))</f>
        <v/>
      </c>
      <c r="U166" s="14" t="n"/>
      <c r="V166" s="16" t="n"/>
      <c r="W166" s="124">
        <f>IF(V166="","",COUNTIFS($C$18:$C$2015,V$13,$D$18:$D$2015,"&gt;="&amp;V166,$D$18:$D$2015,"&lt;"&amp;V167))</f>
        <v/>
      </c>
      <c r="X166" s="14" t="n"/>
      <c r="Y166" s="16" t="n"/>
      <c r="Z166" s="124">
        <f>IF(Y166="","",COUNTIFS($C$18:$C$2015,Y$13,$D$18:$D$2015,"&gt;="&amp;Y166,$D$18:$D$2015,"&lt;"&amp;Y167))</f>
        <v/>
      </c>
      <c r="AA166" s="14" t="n"/>
      <c r="AB166" s="16" t="n"/>
      <c r="AC166" s="124">
        <f>IF(AB166="","",COUNTIFS($C$18:$C$2015,AB$13,$D$18:$D$2015,"&gt;="&amp;AB166,$D$18:$D$2015,"&lt;"&amp;AB167))</f>
        <v/>
      </c>
      <c r="AD166" s="14" t="n"/>
    </row>
    <row r="167">
      <c r="A167" s="58" t="n"/>
      <c r="B167" s="59" t="n"/>
      <c r="C167" s="59" t="n"/>
      <c r="E167" s="16" t="n"/>
      <c r="F167" s="13" t="n"/>
      <c r="G167" s="16" t="n"/>
      <c r="H167" s="124">
        <f>IF(G167="","",COUNTIFS($C$18:$C$2015,G$13,$D$18:$D$2015,"&gt;="&amp;G167,$D$18:$D$2015,"&lt;"&amp;G168))</f>
        <v/>
      </c>
      <c r="I167" s="14" t="n"/>
      <c r="J167" s="16" t="n"/>
      <c r="K167" s="124">
        <f>IF(J167="","",COUNTIFS($C$18:$C$2015,J$13,$D$18:$D$2015,"&gt;="&amp;J167,$D$18:$D$2015,"&lt;"&amp;J168))</f>
        <v/>
      </c>
      <c r="L167" s="14" t="n"/>
      <c r="M167" s="16" t="n"/>
      <c r="N167" s="124">
        <f>IF(M167="","",COUNTIFS($C$18:$C$2015,M$13,$D$18:$D$2015,"&gt;="&amp;M167,$D$18:$D$2015,"&lt;"&amp;M168))</f>
        <v/>
      </c>
      <c r="O167" s="14" t="n"/>
      <c r="P167" s="16" t="n"/>
      <c r="Q167" s="124">
        <f>IF(P167="","",COUNTIFS($C$18:$C$2015,P$13,$D$18:$D$2015,"&gt;="&amp;P167,$D$18:$D$2015,"&lt;"&amp;P168))</f>
        <v/>
      </c>
      <c r="R167" s="14" t="n"/>
      <c r="S167" s="16" t="n"/>
      <c r="T167" s="124">
        <f>IF(S167="","",COUNTIFS($C$18:$C$2015,S$13,$D$18:$D$2015,"&gt;="&amp;S167,$D$18:$D$2015,"&lt;"&amp;S168))</f>
        <v/>
      </c>
      <c r="U167" s="14" t="n"/>
      <c r="V167" s="16" t="n"/>
      <c r="W167" s="124">
        <f>IF(V167="","",COUNTIFS($C$18:$C$2015,V$13,$D$18:$D$2015,"&gt;="&amp;V167,$D$18:$D$2015,"&lt;"&amp;V168))</f>
        <v/>
      </c>
      <c r="X167" s="14" t="n"/>
      <c r="Y167" s="16" t="n"/>
      <c r="Z167" s="124">
        <f>IF(Y167="","",COUNTIFS($C$18:$C$2015,Y$13,$D$18:$D$2015,"&gt;="&amp;Y167,$D$18:$D$2015,"&lt;"&amp;Y168))</f>
        <v/>
      </c>
      <c r="AA167" s="14" t="n"/>
      <c r="AB167" s="16" t="n"/>
      <c r="AC167" s="124">
        <f>IF(AB167="","",COUNTIFS($C$18:$C$2015,AB$13,$D$18:$D$2015,"&gt;="&amp;AB167,$D$18:$D$2015,"&lt;"&amp;AB168))</f>
        <v/>
      </c>
      <c r="AD167" s="14" t="n"/>
    </row>
    <row r="168">
      <c r="A168" s="56" t="n"/>
      <c r="B168" s="57" t="n"/>
      <c r="C168" s="59" t="n"/>
      <c r="E168" s="16" t="n"/>
      <c r="F168" s="13" t="n"/>
      <c r="G168" s="16" t="n"/>
      <c r="H168" s="124">
        <f>IF(G168="","",COUNTIFS($C$18:$C$2015,G$13,$D$18:$D$2015,"&gt;="&amp;G168,$D$18:$D$2015,"&lt;"&amp;G169))</f>
        <v/>
      </c>
      <c r="I168" s="14" t="n"/>
      <c r="J168" s="16" t="n"/>
      <c r="K168" s="124">
        <f>IF(J168="","",COUNTIFS($C$18:$C$2015,J$13,$D$18:$D$2015,"&gt;="&amp;J168,$D$18:$D$2015,"&lt;"&amp;J169))</f>
        <v/>
      </c>
      <c r="L168" s="14" t="n"/>
      <c r="M168" s="16" t="n"/>
      <c r="N168" s="124">
        <f>IF(M168="","",COUNTIFS($C$18:$C$2015,M$13,$D$18:$D$2015,"&gt;="&amp;M168,$D$18:$D$2015,"&lt;"&amp;M169))</f>
        <v/>
      </c>
      <c r="O168" s="14" t="n"/>
      <c r="P168" s="16" t="n"/>
      <c r="Q168" s="124">
        <f>IF(P168="","",COUNTIFS($C$18:$C$2015,P$13,$D$18:$D$2015,"&gt;="&amp;P168,$D$18:$D$2015,"&lt;"&amp;P169))</f>
        <v/>
      </c>
      <c r="R168" s="14" t="n"/>
      <c r="S168" s="16" t="n"/>
      <c r="T168" s="124">
        <f>IF(S168="","",COUNTIFS($C$18:$C$2015,S$13,$D$18:$D$2015,"&gt;="&amp;S168,$D$18:$D$2015,"&lt;"&amp;S169))</f>
        <v/>
      </c>
      <c r="U168" s="14" t="n"/>
      <c r="V168" s="16" t="n"/>
      <c r="W168" s="124">
        <f>IF(V168="","",COUNTIFS($C$18:$C$2015,V$13,$D$18:$D$2015,"&gt;="&amp;V168,$D$18:$D$2015,"&lt;"&amp;V169))</f>
        <v/>
      </c>
      <c r="X168" s="14" t="n"/>
      <c r="Y168" s="16" t="n"/>
      <c r="Z168" s="124">
        <f>IF(Y168="","",COUNTIFS($C$18:$C$2015,Y$13,$D$18:$D$2015,"&gt;="&amp;Y168,$D$18:$D$2015,"&lt;"&amp;Y169))</f>
        <v/>
      </c>
      <c r="AA168" s="14" t="n"/>
      <c r="AB168" s="16" t="n"/>
      <c r="AC168" s="124">
        <f>IF(AB168="","",COUNTIFS($C$18:$C$2015,AB$13,$D$18:$D$2015,"&gt;="&amp;AB168,$D$18:$D$2015,"&lt;"&amp;AB169))</f>
        <v/>
      </c>
      <c r="AD168" s="14" t="n"/>
    </row>
    <row r="169">
      <c r="A169" s="58" t="n"/>
      <c r="B169" s="59" t="n"/>
      <c r="C169" s="59" t="n"/>
      <c r="E169" s="16" t="n"/>
      <c r="F169" s="13" t="n"/>
      <c r="G169" s="16" t="n"/>
      <c r="H169" s="124">
        <f>IF(G169="","",COUNTIFS($C$18:$C$2015,G$13,$D$18:$D$2015,"&gt;="&amp;G169,$D$18:$D$2015,"&lt;"&amp;G170))</f>
        <v/>
      </c>
      <c r="I169" s="14" t="n"/>
      <c r="J169" s="16" t="n"/>
      <c r="K169" s="124">
        <f>IF(J169="","",COUNTIFS($C$18:$C$2015,J$13,$D$18:$D$2015,"&gt;="&amp;J169,$D$18:$D$2015,"&lt;"&amp;J170))</f>
        <v/>
      </c>
      <c r="L169" s="14" t="n"/>
      <c r="M169" s="16" t="n"/>
      <c r="N169" s="124">
        <f>IF(M169="","",COUNTIFS($C$18:$C$2015,M$13,$D$18:$D$2015,"&gt;="&amp;M169,$D$18:$D$2015,"&lt;"&amp;M170))</f>
        <v/>
      </c>
      <c r="O169" s="14" t="n"/>
      <c r="P169" s="16" t="n"/>
      <c r="Q169" s="124">
        <f>IF(P169="","",COUNTIFS($C$18:$C$2015,P$13,$D$18:$D$2015,"&gt;="&amp;P169,$D$18:$D$2015,"&lt;"&amp;P170))</f>
        <v/>
      </c>
      <c r="R169" s="14" t="n"/>
      <c r="S169" s="16" t="n"/>
      <c r="T169" s="124">
        <f>IF(S169="","",COUNTIFS($C$18:$C$2015,S$13,$D$18:$D$2015,"&gt;="&amp;S169,$D$18:$D$2015,"&lt;"&amp;S170))</f>
        <v/>
      </c>
      <c r="U169" s="14" t="n"/>
      <c r="V169" s="16" t="n"/>
      <c r="W169" s="124">
        <f>IF(V169="","",COUNTIFS($C$18:$C$2015,V$13,$D$18:$D$2015,"&gt;="&amp;V169,$D$18:$D$2015,"&lt;"&amp;V170))</f>
        <v/>
      </c>
      <c r="X169" s="14" t="n"/>
      <c r="Y169" s="16" t="n"/>
      <c r="Z169" s="124">
        <f>IF(Y169="","",COUNTIFS($C$18:$C$2015,Y$13,$D$18:$D$2015,"&gt;="&amp;Y169,$D$18:$D$2015,"&lt;"&amp;Y170))</f>
        <v/>
      </c>
      <c r="AA169" s="14" t="n"/>
      <c r="AB169" s="16" t="n"/>
      <c r="AC169" s="124">
        <f>IF(AB169="","",COUNTIFS($C$18:$C$2015,AB$13,$D$18:$D$2015,"&gt;="&amp;AB169,$D$18:$D$2015,"&lt;"&amp;AB170))</f>
        <v/>
      </c>
      <c r="AD169" s="14" t="n"/>
    </row>
    <row r="170">
      <c r="A170" s="56" t="n"/>
      <c r="B170" s="57" t="n"/>
      <c r="C170" s="59" t="n"/>
      <c r="E170" s="16" t="n"/>
      <c r="F170" s="13" t="n"/>
      <c r="G170" s="16" t="n"/>
      <c r="H170" s="124">
        <f>IF(G170="","",COUNTIFS($C$18:$C$2015,G$13,$D$18:$D$2015,"&gt;="&amp;G170,$D$18:$D$2015,"&lt;"&amp;G171))</f>
        <v/>
      </c>
      <c r="I170" s="14" t="n"/>
      <c r="J170" s="16" t="n"/>
      <c r="K170" s="124">
        <f>IF(J170="","",COUNTIFS($C$18:$C$2015,J$13,$D$18:$D$2015,"&gt;="&amp;J170,$D$18:$D$2015,"&lt;"&amp;J171))</f>
        <v/>
      </c>
      <c r="L170" s="14" t="n"/>
      <c r="M170" s="16" t="n"/>
      <c r="N170" s="124">
        <f>IF(M170="","",COUNTIFS($C$18:$C$2015,M$13,$D$18:$D$2015,"&gt;="&amp;M170,$D$18:$D$2015,"&lt;"&amp;M171))</f>
        <v/>
      </c>
      <c r="O170" s="14" t="n"/>
      <c r="P170" s="16" t="n"/>
      <c r="Q170" s="124">
        <f>IF(P170="","",COUNTIFS($C$18:$C$2015,P$13,$D$18:$D$2015,"&gt;="&amp;P170,$D$18:$D$2015,"&lt;"&amp;P171))</f>
        <v/>
      </c>
      <c r="R170" s="14" t="n"/>
      <c r="S170" s="16" t="n"/>
      <c r="T170" s="124">
        <f>IF(S170="","",COUNTIFS($C$18:$C$2015,S$13,$D$18:$D$2015,"&gt;="&amp;S170,$D$18:$D$2015,"&lt;"&amp;S171))</f>
        <v/>
      </c>
      <c r="U170" s="14" t="n"/>
      <c r="V170" s="16" t="n"/>
      <c r="W170" s="124">
        <f>IF(V170="","",COUNTIFS($C$18:$C$2015,V$13,$D$18:$D$2015,"&gt;="&amp;V170,$D$18:$D$2015,"&lt;"&amp;V171))</f>
        <v/>
      </c>
      <c r="X170" s="14" t="n"/>
      <c r="Y170" s="16" t="n"/>
      <c r="Z170" s="124">
        <f>IF(Y170="","",COUNTIFS($C$18:$C$2015,Y$13,$D$18:$D$2015,"&gt;="&amp;Y170,$D$18:$D$2015,"&lt;"&amp;Y171))</f>
        <v/>
      </c>
      <c r="AA170" s="14" t="n"/>
      <c r="AB170" s="16" t="n"/>
      <c r="AC170" s="124">
        <f>IF(AB170="","",COUNTIFS($C$18:$C$2015,AB$13,$D$18:$D$2015,"&gt;="&amp;AB170,$D$18:$D$2015,"&lt;"&amp;AB171))</f>
        <v/>
      </c>
      <c r="AD170" s="14" t="n"/>
    </row>
    <row r="171">
      <c r="A171" s="58" t="n"/>
      <c r="B171" s="59" t="n"/>
      <c r="C171" s="59" t="n"/>
      <c r="E171" s="16" t="n"/>
      <c r="F171" s="13" t="n"/>
      <c r="G171" s="16" t="n"/>
      <c r="H171" s="124">
        <f>IF(G171="","",COUNTIFS($C$18:$C$2015,G$13,$D$18:$D$2015,"&gt;="&amp;G171,$D$18:$D$2015,"&lt;"&amp;G172))</f>
        <v/>
      </c>
      <c r="I171" s="14" t="n"/>
      <c r="J171" s="16" t="n"/>
      <c r="K171" s="124">
        <f>IF(J171="","",COUNTIFS($C$18:$C$2015,J$13,$D$18:$D$2015,"&gt;="&amp;J171,$D$18:$D$2015,"&lt;"&amp;J172))</f>
        <v/>
      </c>
      <c r="L171" s="14" t="n"/>
      <c r="M171" s="16" t="n"/>
      <c r="N171" s="124">
        <f>IF(M171="","",COUNTIFS($C$18:$C$2015,M$13,$D$18:$D$2015,"&gt;="&amp;M171,$D$18:$D$2015,"&lt;"&amp;M172))</f>
        <v/>
      </c>
      <c r="O171" s="14" t="n"/>
      <c r="P171" s="16" t="n"/>
      <c r="Q171" s="124">
        <f>IF(P171="","",COUNTIFS($C$18:$C$2015,P$13,$D$18:$D$2015,"&gt;="&amp;P171,$D$18:$D$2015,"&lt;"&amp;P172))</f>
        <v/>
      </c>
      <c r="R171" s="14" t="n"/>
      <c r="S171" s="16" t="n"/>
      <c r="T171" s="124">
        <f>IF(S171="","",COUNTIFS($C$18:$C$2015,S$13,$D$18:$D$2015,"&gt;="&amp;S171,$D$18:$D$2015,"&lt;"&amp;S172))</f>
        <v/>
      </c>
      <c r="U171" s="14" t="n"/>
      <c r="V171" s="16" t="n"/>
      <c r="W171" s="124">
        <f>IF(V171="","",COUNTIFS($C$18:$C$2015,V$13,$D$18:$D$2015,"&gt;="&amp;V171,$D$18:$D$2015,"&lt;"&amp;V172))</f>
        <v/>
      </c>
      <c r="X171" s="14" t="n"/>
      <c r="Y171" s="16" t="n"/>
      <c r="Z171" s="124">
        <f>IF(Y171="","",COUNTIFS($C$18:$C$2015,Y$13,$D$18:$D$2015,"&gt;="&amp;Y171,$D$18:$D$2015,"&lt;"&amp;Y172))</f>
        <v/>
      </c>
      <c r="AA171" s="14" t="n"/>
      <c r="AB171" s="16" t="n"/>
      <c r="AC171" s="124">
        <f>IF(AB171="","",COUNTIFS($C$18:$C$2015,AB$13,$D$18:$D$2015,"&gt;="&amp;AB171,$D$18:$D$2015,"&lt;"&amp;AB172))</f>
        <v/>
      </c>
      <c r="AD171" s="14" t="n"/>
    </row>
    <row r="172">
      <c r="A172" s="56" t="n"/>
      <c r="B172" s="57" t="n"/>
      <c r="C172" s="59" t="n"/>
      <c r="E172" s="16" t="n"/>
      <c r="F172" s="13" t="n"/>
      <c r="G172" s="16" t="n"/>
      <c r="H172" s="124">
        <f>IF(G172="","",COUNTIFS($C$18:$C$2015,G$13,$D$18:$D$2015,"&gt;="&amp;G172,$D$18:$D$2015,"&lt;"&amp;G173))</f>
        <v/>
      </c>
      <c r="I172" s="14" t="n"/>
      <c r="J172" s="16" t="n"/>
      <c r="K172" s="124">
        <f>IF(J172="","",COUNTIFS($C$18:$C$2015,J$13,$D$18:$D$2015,"&gt;="&amp;J172,$D$18:$D$2015,"&lt;"&amp;J173))</f>
        <v/>
      </c>
      <c r="L172" s="14" t="n"/>
      <c r="M172" s="16" t="n"/>
      <c r="N172" s="124">
        <f>IF(M172="","",COUNTIFS($C$18:$C$2015,M$13,$D$18:$D$2015,"&gt;="&amp;M172,$D$18:$D$2015,"&lt;"&amp;M173))</f>
        <v/>
      </c>
      <c r="O172" s="14" t="n"/>
      <c r="P172" s="16" t="n"/>
      <c r="Q172" s="124">
        <f>IF(P172="","",COUNTIFS($C$18:$C$2015,P$13,$D$18:$D$2015,"&gt;="&amp;P172,$D$18:$D$2015,"&lt;"&amp;P173))</f>
        <v/>
      </c>
      <c r="R172" s="14" t="n"/>
      <c r="S172" s="16" t="n"/>
      <c r="T172" s="124">
        <f>IF(S172="","",COUNTIFS($C$18:$C$2015,S$13,$D$18:$D$2015,"&gt;="&amp;S172,$D$18:$D$2015,"&lt;"&amp;S173))</f>
        <v/>
      </c>
      <c r="U172" s="14" t="n"/>
      <c r="V172" s="16" t="n"/>
      <c r="W172" s="124">
        <f>IF(V172="","",COUNTIFS($C$18:$C$2015,V$13,$D$18:$D$2015,"&gt;="&amp;V172,$D$18:$D$2015,"&lt;"&amp;V173))</f>
        <v/>
      </c>
      <c r="X172" s="14" t="n"/>
      <c r="Y172" s="16" t="n"/>
      <c r="Z172" s="124">
        <f>IF(Y172="","",COUNTIFS($C$18:$C$2015,Y$13,$D$18:$D$2015,"&gt;="&amp;Y172,$D$18:$D$2015,"&lt;"&amp;Y173))</f>
        <v/>
      </c>
      <c r="AA172" s="14" t="n"/>
      <c r="AB172" s="16" t="n"/>
      <c r="AC172" s="124">
        <f>IF(AB172="","",COUNTIFS($C$18:$C$2015,AB$13,$D$18:$D$2015,"&gt;="&amp;AB172,$D$18:$D$2015,"&lt;"&amp;AB173))</f>
        <v/>
      </c>
      <c r="AD172" s="14" t="n"/>
    </row>
    <row r="173">
      <c r="A173" s="58" t="n"/>
      <c r="B173" s="59" t="n"/>
      <c r="C173" s="59" t="n"/>
      <c r="E173" s="16" t="n"/>
      <c r="F173" s="13" t="n"/>
      <c r="G173" s="16" t="n"/>
      <c r="H173" s="124">
        <f>IF(G173="","",COUNTIFS($C$18:$C$2015,G$13,$D$18:$D$2015,"&gt;="&amp;G173,$D$18:$D$2015,"&lt;"&amp;G174))</f>
        <v/>
      </c>
      <c r="I173" s="14" t="n"/>
      <c r="J173" s="16" t="n"/>
      <c r="K173" s="124">
        <f>IF(J173="","",COUNTIFS($C$18:$C$2015,J$13,$D$18:$D$2015,"&gt;="&amp;J173,$D$18:$D$2015,"&lt;"&amp;J174))</f>
        <v/>
      </c>
      <c r="L173" s="14" t="n"/>
      <c r="M173" s="16" t="n"/>
      <c r="N173" s="124">
        <f>IF(M173="","",COUNTIFS($C$18:$C$2015,M$13,$D$18:$D$2015,"&gt;="&amp;M173,$D$18:$D$2015,"&lt;"&amp;M174))</f>
        <v/>
      </c>
      <c r="O173" s="14" t="n"/>
      <c r="P173" s="16" t="n"/>
      <c r="Q173" s="124">
        <f>IF(P173="","",COUNTIFS($C$18:$C$2015,P$13,$D$18:$D$2015,"&gt;="&amp;P173,$D$18:$D$2015,"&lt;"&amp;P174))</f>
        <v/>
      </c>
      <c r="R173" s="14" t="n"/>
      <c r="S173" s="16" t="n"/>
      <c r="T173" s="124">
        <f>IF(S173="","",COUNTIFS($C$18:$C$2015,S$13,$D$18:$D$2015,"&gt;="&amp;S173,$D$18:$D$2015,"&lt;"&amp;S174))</f>
        <v/>
      </c>
      <c r="U173" s="14" t="n"/>
      <c r="V173" s="16" t="n"/>
      <c r="W173" s="124">
        <f>IF(V173="","",COUNTIFS($C$18:$C$2015,V$13,$D$18:$D$2015,"&gt;="&amp;V173,$D$18:$D$2015,"&lt;"&amp;V174))</f>
        <v/>
      </c>
      <c r="X173" s="14" t="n"/>
      <c r="Y173" s="16" t="n"/>
      <c r="Z173" s="124">
        <f>IF(Y173="","",COUNTIFS($C$18:$C$2015,Y$13,$D$18:$D$2015,"&gt;="&amp;Y173,$D$18:$D$2015,"&lt;"&amp;Y174))</f>
        <v/>
      </c>
      <c r="AA173" s="14" t="n"/>
      <c r="AB173" s="16" t="n"/>
      <c r="AC173" s="124">
        <f>IF(AB173="","",COUNTIFS($C$18:$C$2015,AB$13,$D$18:$D$2015,"&gt;="&amp;AB173,$D$18:$D$2015,"&lt;"&amp;AB174))</f>
        <v/>
      </c>
      <c r="AD173" s="14" t="n"/>
    </row>
    <row r="174">
      <c r="A174" s="56" t="n"/>
      <c r="B174" s="57" t="n"/>
      <c r="C174" s="59" t="n"/>
      <c r="E174" s="16" t="n"/>
      <c r="F174" s="13" t="n"/>
      <c r="G174" s="16" t="n"/>
      <c r="H174" s="124">
        <f>IF(G174="","",COUNTIFS($C$18:$C$2015,G$13,$D$18:$D$2015,"&gt;="&amp;G174,$D$18:$D$2015,"&lt;"&amp;G175))</f>
        <v/>
      </c>
      <c r="I174" s="14" t="n"/>
      <c r="J174" s="16" t="n"/>
      <c r="K174" s="124">
        <f>IF(J174="","",COUNTIFS($C$18:$C$2015,J$13,$D$18:$D$2015,"&gt;="&amp;J174,$D$18:$D$2015,"&lt;"&amp;J175))</f>
        <v/>
      </c>
      <c r="L174" s="14" t="n"/>
      <c r="M174" s="16" t="n"/>
      <c r="N174" s="124">
        <f>IF(M174="","",COUNTIFS($C$18:$C$2015,M$13,$D$18:$D$2015,"&gt;="&amp;M174,$D$18:$D$2015,"&lt;"&amp;M175))</f>
        <v/>
      </c>
      <c r="O174" s="14" t="n"/>
      <c r="P174" s="16" t="n"/>
      <c r="Q174" s="124">
        <f>IF(P174="","",COUNTIFS($C$18:$C$2015,P$13,$D$18:$D$2015,"&gt;="&amp;P174,$D$18:$D$2015,"&lt;"&amp;P175))</f>
        <v/>
      </c>
      <c r="R174" s="14" t="n"/>
      <c r="S174" s="16" t="n"/>
      <c r="T174" s="124">
        <f>IF(S174="","",COUNTIFS($C$18:$C$2015,S$13,$D$18:$D$2015,"&gt;="&amp;S174,$D$18:$D$2015,"&lt;"&amp;S175))</f>
        <v/>
      </c>
      <c r="U174" s="14" t="n"/>
      <c r="V174" s="16" t="n"/>
      <c r="W174" s="124">
        <f>IF(V174="","",COUNTIFS($C$18:$C$2015,V$13,$D$18:$D$2015,"&gt;="&amp;V174,$D$18:$D$2015,"&lt;"&amp;V175))</f>
        <v/>
      </c>
      <c r="X174" s="14" t="n"/>
      <c r="Y174" s="16" t="n"/>
      <c r="Z174" s="124">
        <f>IF(Y174="","",COUNTIFS($C$18:$C$2015,Y$13,$D$18:$D$2015,"&gt;="&amp;Y174,$D$18:$D$2015,"&lt;"&amp;Y175))</f>
        <v/>
      </c>
      <c r="AA174" s="14" t="n"/>
      <c r="AB174" s="16" t="n"/>
      <c r="AC174" s="124">
        <f>IF(AB174="","",COUNTIFS($C$18:$C$2015,AB$13,$D$18:$D$2015,"&gt;="&amp;AB174,$D$18:$D$2015,"&lt;"&amp;AB175))</f>
        <v/>
      </c>
      <c r="AD174" s="14" t="n"/>
    </row>
    <row r="175">
      <c r="A175" s="58" t="n"/>
      <c r="B175" s="59" t="n"/>
      <c r="C175" s="59" t="n"/>
      <c r="E175" s="16" t="n"/>
      <c r="F175" s="13" t="n"/>
      <c r="G175" s="16" t="n"/>
      <c r="H175" s="124">
        <f>IF(G175="","",COUNTIFS($C$18:$C$2015,G$13,$D$18:$D$2015,"&gt;="&amp;G175,$D$18:$D$2015,"&lt;"&amp;G176))</f>
        <v/>
      </c>
      <c r="I175" s="14" t="n"/>
      <c r="J175" s="16" t="n"/>
      <c r="K175" s="124">
        <f>IF(J175="","",COUNTIFS($C$18:$C$2015,J$13,$D$18:$D$2015,"&gt;="&amp;J175,$D$18:$D$2015,"&lt;"&amp;J176))</f>
        <v/>
      </c>
      <c r="L175" s="14" t="n"/>
      <c r="M175" s="16" t="n"/>
      <c r="N175" s="124">
        <f>IF(M175="","",COUNTIFS($C$18:$C$2015,M$13,$D$18:$D$2015,"&gt;="&amp;M175,$D$18:$D$2015,"&lt;"&amp;M176))</f>
        <v/>
      </c>
      <c r="O175" s="14" t="n"/>
      <c r="P175" s="16" t="n"/>
      <c r="Q175" s="124">
        <f>IF(P175="","",COUNTIFS($C$18:$C$2015,P$13,$D$18:$D$2015,"&gt;="&amp;P175,$D$18:$D$2015,"&lt;"&amp;P176))</f>
        <v/>
      </c>
      <c r="R175" s="14" t="n"/>
      <c r="S175" s="16" t="n"/>
      <c r="T175" s="124">
        <f>IF(S175="","",COUNTIFS($C$18:$C$2015,S$13,$D$18:$D$2015,"&gt;="&amp;S175,$D$18:$D$2015,"&lt;"&amp;S176))</f>
        <v/>
      </c>
      <c r="U175" s="14" t="n"/>
      <c r="V175" s="16" t="n"/>
      <c r="W175" s="124">
        <f>IF(V175="","",COUNTIFS($C$18:$C$2015,V$13,$D$18:$D$2015,"&gt;="&amp;V175,$D$18:$D$2015,"&lt;"&amp;V176))</f>
        <v/>
      </c>
      <c r="X175" s="14" t="n"/>
      <c r="Y175" s="16" t="n"/>
      <c r="Z175" s="124">
        <f>IF(Y175="","",COUNTIFS($C$18:$C$2015,Y$13,$D$18:$D$2015,"&gt;="&amp;Y175,$D$18:$D$2015,"&lt;"&amp;Y176))</f>
        <v/>
      </c>
      <c r="AA175" s="14" t="n"/>
      <c r="AB175" s="16" t="n"/>
      <c r="AC175" s="124">
        <f>IF(AB175="","",COUNTIFS($C$18:$C$2015,AB$13,$D$18:$D$2015,"&gt;="&amp;AB175,$D$18:$D$2015,"&lt;"&amp;AB176))</f>
        <v/>
      </c>
      <c r="AD175" s="14" t="n"/>
    </row>
    <row r="176">
      <c r="A176" s="56" t="n"/>
      <c r="B176" s="57" t="n"/>
      <c r="C176" s="59" t="n"/>
      <c r="E176" s="16" t="n"/>
      <c r="F176" s="13" t="n"/>
      <c r="G176" s="16" t="n"/>
      <c r="H176" s="124">
        <f>IF(G176="","",COUNTIFS($C$18:$C$2015,G$13,$D$18:$D$2015,"&gt;="&amp;G176,$D$18:$D$2015,"&lt;"&amp;G177))</f>
        <v/>
      </c>
      <c r="I176" s="14" t="n"/>
      <c r="J176" s="16" t="n"/>
      <c r="K176" s="124">
        <f>IF(J176="","",COUNTIFS($C$18:$C$2015,J$13,$D$18:$D$2015,"&gt;="&amp;J176,$D$18:$D$2015,"&lt;"&amp;J177))</f>
        <v/>
      </c>
      <c r="L176" s="14" t="n"/>
      <c r="M176" s="16" t="n"/>
      <c r="N176" s="124">
        <f>IF(M176="","",COUNTIFS($C$18:$C$2015,M$13,$D$18:$D$2015,"&gt;="&amp;M176,$D$18:$D$2015,"&lt;"&amp;M177))</f>
        <v/>
      </c>
      <c r="O176" s="14" t="n"/>
      <c r="P176" s="16" t="n"/>
      <c r="Q176" s="124">
        <f>IF(P176="","",COUNTIFS($C$18:$C$2015,P$13,$D$18:$D$2015,"&gt;="&amp;P176,$D$18:$D$2015,"&lt;"&amp;P177))</f>
        <v/>
      </c>
      <c r="R176" s="14" t="n"/>
      <c r="S176" s="16" t="n"/>
      <c r="T176" s="124">
        <f>IF(S176="","",COUNTIFS($C$18:$C$2015,S$13,$D$18:$D$2015,"&gt;="&amp;S176,$D$18:$D$2015,"&lt;"&amp;S177))</f>
        <v/>
      </c>
      <c r="U176" s="14" t="n"/>
      <c r="V176" s="16" t="n"/>
      <c r="W176" s="124">
        <f>IF(V176="","",COUNTIFS($C$18:$C$2015,V$13,$D$18:$D$2015,"&gt;="&amp;V176,$D$18:$D$2015,"&lt;"&amp;V177))</f>
        <v/>
      </c>
      <c r="X176" s="14" t="n"/>
      <c r="Y176" s="16" t="n"/>
      <c r="Z176" s="124">
        <f>IF(Y176="","",COUNTIFS($C$18:$C$2015,Y$13,$D$18:$D$2015,"&gt;="&amp;Y176,$D$18:$D$2015,"&lt;"&amp;Y177))</f>
        <v/>
      </c>
      <c r="AA176" s="14" t="n"/>
      <c r="AB176" s="16" t="n"/>
      <c r="AC176" s="124">
        <f>IF(AB176="","",COUNTIFS($C$18:$C$2015,AB$13,$D$18:$D$2015,"&gt;="&amp;AB176,$D$18:$D$2015,"&lt;"&amp;AB177))</f>
        <v/>
      </c>
      <c r="AD176" s="14" t="n"/>
    </row>
    <row r="177">
      <c r="A177" s="58" t="n"/>
      <c r="B177" s="59" t="n"/>
      <c r="C177" s="59" t="n"/>
      <c r="E177" s="16" t="n"/>
      <c r="F177" s="13" t="n"/>
      <c r="G177" s="16" t="n"/>
      <c r="H177" s="124">
        <f>IF(G177="","",COUNTIFS($C$18:$C$2015,G$13,$D$18:$D$2015,"&gt;="&amp;G177,$D$18:$D$2015,"&lt;"&amp;G178))</f>
        <v/>
      </c>
      <c r="I177" s="14" t="n"/>
      <c r="J177" s="16" t="n"/>
      <c r="K177" s="124">
        <f>IF(J177="","",COUNTIFS($C$18:$C$2015,J$13,$D$18:$D$2015,"&gt;="&amp;J177,$D$18:$D$2015,"&lt;"&amp;J178))</f>
        <v/>
      </c>
      <c r="L177" s="14" t="n"/>
      <c r="M177" s="16" t="n"/>
      <c r="N177" s="124">
        <f>IF(M177="","",COUNTIFS($C$18:$C$2015,M$13,$D$18:$D$2015,"&gt;="&amp;M177,$D$18:$D$2015,"&lt;"&amp;M178))</f>
        <v/>
      </c>
      <c r="O177" s="14" t="n"/>
      <c r="P177" s="16" t="n"/>
      <c r="Q177" s="124">
        <f>IF(P177="","",COUNTIFS($C$18:$C$2015,P$13,$D$18:$D$2015,"&gt;="&amp;P177,$D$18:$D$2015,"&lt;"&amp;P178))</f>
        <v/>
      </c>
      <c r="R177" s="14" t="n"/>
      <c r="S177" s="16" t="n"/>
      <c r="T177" s="124">
        <f>IF(S177="","",COUNTIFS($C$18:$C$2015,S$13,$D$18:$D$2015,"&gt;="&amp;S177,$D$18:$D$2015,"&lt;"&amp;S178))</f>
        <v/>
      </c>
      <c r="U177" s="14" t="n"/>
      <c r="V177" s="16" t="n"/>
      <c r="W177" s="124">
        <f>IF(V177="","",COUNTIFS($C$18:$C$2015,V$13,$D$18:$D$2015,"&gt;="&amp;V177,$D$18:$D$2015,"&lt;"&amp;V178))</f>
        <v/>
      </c>
      <c r="X177" s="14" t="n"/>
      <c r="Y177" s="16" t="n"/>
      <c r="Z177" s="124">
        <f>IF(Y177="","",COUNTIFS($C$18:$C$2015,Y$13,$D$18:$D$2015,"&gt;="&amp;Y177,$D$18:$D$2015,"&lt;"&amp;Y178))</f>
        <v/>
      </c>
      <c r="AA177" s="14" t="n"/>
      <c r="AB177" s="16" t="n"/>
      <c r="AC177" s="124">
        <f>IF(AB177="","",COUNTIFS($C$18:$C$2015,AB$13,$D$18:$D$2015,"&gt;="&amp;AB177,$D$18:$D$2015,"&lt;"&amp;AB178))</f>
        <v/>
      </c>
      <c r="AD177" s="14" t="n"/>
    </row>
    <row r="178">
      <c r="A178" s="56" t="n"/>
      <c r="B178" s="57" t="n"/>
      <c r="C178" s="59" t="n"/>
      <c r="E178" s="16" t="n"/>
      <c r="F178" s="13" t="n"/>
      <c r="G178" s="16" t="n"/>
      <c r="H178" s="124">
        <f>IF(G178="","",COUNTIFS($C$18:$C$2015,G$13,$D$18:$D$2015,"&gt;="&amp;G178,$D$18:$D$2015,"&lt;"&amp;G179))</f>
        <v/>
      </c>
      <c r="I178" s="14" t="n"/>
      <c r="J178" s="16" t="n"/>
      <c r="K178" s="124">
        <f>IF(J178="","",COUNTIFS($C$18:$C$2015,J$13,$D$18:$D$2015,"&gt;="&amp;J178,$D$18:$D$2015,"&lt;"&amp;J179))</f>
        <v/>
      </c>
      <c r="L178" s="14" t="n"/>
      <c r="M178" s="16" t="n"/>
      <c r="N178" s="124">
        <f>IF(M178="","",COUNTIFS($C$18:$C$2015,M$13,$D$18:$D$2015,"&gt;="&amp;M178,$D$18:$D$2015,"&lt;"&amp;M179))</f>
        <v/>
      </c>
      <c r="O178" s="14" t="n"/>
      <c r="P178" s="16" t="n"/>
      <c r="Q178" s="124">
        <f>IF(P178="","",COUNTIFS($C$18:$C$2015,P$13,$D$18:$D$2015,"&gt;="&amp;P178,$D$18:$D$2015,"&lt;"&amp;P179))</f>
        <v/>
      </c>
      <c r="R178" s="14" t="n"/>
      <c r="S178" s="16" t="n"/>
      <c r="T178" s="124">
        <f>IF(S178="","",COUNTIFS($C$18:$C$2015,S$13,$D$18:$D$2015,"&gt;="&amp;S178,$D$18:$D$2015,"&lt;"&amp;S179))</f>
        <v/>
      </c>
      <c r="U178" s="14" t="n"/>
      <c r="V178" s="16" t="n"/>
      <c r="W178" s="124">
        <f>IF(V178="","",COUNTIFS($C$18:$C$2015,V$13,$D$18:$D$2015,"&gt;="&amp;V178,$D$18:$D$2015,"&lt;"&amp;V179))</f>
        <v/>
      </c>
      <c r="X178" s="14" t="n"/>
      <c r="Y178" s="16" t="n"/>
      <c r="Z178" s="124">
        <f>IF(Y178="","",COUNTIFS($C$18:$C$2015,Y$13,$D$18:$D$2015,"&gt;="&amp;Y178,$D$18:$D$2015,"&lt;"&amp;Y179))</f>
        <v/>
      </c>
      <c r="AA178" s="14" t="n"/>
      <c r="AB178" s="16" t="n"/>
      <c r="AC178" s="124">
        <f>IF(AB178="","",COUNTIFS($C$18:$C$2015,AB$13,$D$18:$D$2015,"&gt;="&amp;AB178,$D$18:$D$2015,"&lt;"&amp;AB179))</f>
        <v/>
      </c>
      <c r="AD178" s="14" t="n"/>
    </row>
    <row r="179">
      <c r="A179" s="58" t="n"/>
      <c r="B179" s="59" t="n"/>
      <c r="C179" s="59" t="n"/>
      <c r="E179" s="16" t="n"/>
      <c r="F179" s="13" t="n"/>
      <c r="G179" s="16" t="n"/>
      <c r="H179" s="124">
        <f>IF(G179="","",COUNTIFS($C$18:$C$2015,G$13,$D$18:$D$2015,"&gt;="&amp;G179,$D$18:$D$2015,"&lt;"&amp;G180))</f>
        <v/>
      </c>
      <c r="I179" s="14" t="n"/>
      <c r="J179" s="16" t="n"/>
      <c r="K179" s="124">
        <f>IF(J179="","",COUNTIFS($C$18:$C$2015,J$13,$D$18:$D$2015,"&gt;="&amp;J179,$D$18:$D$2015,"&lt;"&amp;J180))</f>
        <v/>
      </c>
      <c r="L179" s="14" t="n"/>
      <c r="M179" s="16" t="n"/>
      <c r="N179" s="124">
        <f>IF(M179="","",COUNTIFS($C$18:$C$2015,M$13,$D$18:$D$2015,"&gt;="&amp;M179,$D$18:$D$2015,"&lt;"&amp;M180))</f>
        <v/>
      </c>
      <c r="O179" s="14" t="n"/>
      <c r="P179" s="16" t="n"/>
      <c r="Q179" s="124">
        <f>IF(P179="","",COUNTIFS($C$18:$C$2015,P$13,$D$18:$D$2015,"&gt;="&amp;P179,$D$18:$D$2015,"&lt;"&amp;P180))</f>
        <v/>
      </c>
      <c r="R179" s="14" t="n"/>
      <c r="S179" s="16" t="n"/>
      <c r="T179" s="124">
        <f>IF(S179="","",COUNTIFS($C$18:$C$2015,S$13,$D$18:$D$2015,"&gt;="&amp;S179,$D$18:$D$2015,"&lt;"&amp;S180))</f>
        <v/>
      </c>
      <c r="U179" s="14" t="n"/>
      <c r="V179" s="16" t="n"/>
      <c r="W179" s="124">
        <f>IF(V179="","",COUNTIFS($C$18:$C$2015,V$13,$D$18:$D$2015,"&gt;="&amp;V179,$D$18:$D$2015,"&lt;"&amp;V180))</f>
        <v/>
      </c>
      <c r="X179" s="14" t="n"/>
      <c r="Y179" s="16" t="n"/>
      <c r="Z179" s="124">
        <f>IF(Y179="","",COUNTIFS($C$18:$C$2015,Y$13,$D$18:$D$2015,"&gt;="&amp;Y179,$D$18:$D$2015,"&lt;"&amp;Y180))</f>
        <v/>
      </c>
      <c r="AA179" s="14" t="n"/>
      <c r="AB179" s="16" t="n"/>
      <c r="AC179" s="124">
        <f>IF(AB179="","",COUNTIFS($C$18:$C$2015,AB$13,$D$18:$D$2015,"&gt;="&amp;AB179,$D$18:$D$2015,"&lt;"&amp;AB180))</f>
        <v/>
      </c>
      <c r="AD179" s="14" t="n"/>
    </row>
    <row r="180">
      <c r="A180" s="56" t="n"/>
      <c r="B180" s="57" t="n"/>
      <c r="C180" s="59" t="n"/>
      <c r="E180" s="16" t="n"/>
      <c r="F180" s="13" t="n"/>
      <c r="G180" s="16" t="n"/>
      <c r="H180" s="124">
        <f>IF(G180="","",COUNTIFS($C$18:$C$2015,G$13,$D$18:$D$2015,"&gt;="&amp;G180,$D$18:$D$2015,"&lt;"&amp;G181))</f>
        <v/>
      </c>
      <c r="I180" s="14" t="n"/>
      <c r="J180" s="16" t="n"/>
      <c r="K180" s="124">
        <f>IF(J180="","",COUNTIFS($C$18:$C$2015,J$13,$D$18:$D$2015,"&gt;="&amp;J180,$D$18:$D$2015,"&lt;"&amp;J181))</f>
        <v/>
      </c>
      <c r="L180" s="14" t="n"/>
      <c r="M180" s="16" t="n"/>
      <c r="N180" s="124">
        <f>IF(M180="","",COUNTIFS($C$18:$C$2015,M$13,$D$18:$D$2015,"&gt;="&amp;M180,$D$18:$D$2015,"&lt;"&amp;M181))</f>
        <v/>
      </c>
      <c r="O180" s="14" t="n"/>
      <c r="P180" s="16" t="n"/>
      <c r="Q180" s="124">
        <f>IF(P180="","",COUNTIFS($C$18:$C$2015,P$13,$D$18:$D$2015,"&gt;="&amp;P180,$D$18:$D$2015,"&lt;"&amp;P181))</f>
        <v/>
      </c>
      <c r="R180" s="14" t="n"/>
      <c r="S180" s="16" t="n"/>
      <c r="T180" s="124">
        <f>IF(S180="","",COUNTIFS($C$18:$C$2015,S$13,$D$18:$D$2015,"&gt;="&amp;S180,$D$18:$D$2015,"&lt;"&amp;S181))</f>
        <v/>
      </c>
      <c r="U180" s="14" t="n"/>
      <c r="V180" s="16" t="n"/>
      <c r="W180" s="124">
        <f>IF(V180="","",COUNTIFS($C$18:$C$2015,V$13,$D$18:$D$2015,"&gt;="&amp;V180,$D$18:$D$2015,"&lt;"&amp;V181))</f>
        <v/>
      </c>
      <c r="X180" s="14" t="n"/>
      <c r="Y180" s="16" t="n"/>
      <c r="Z180" s="124">
        <f>IF(Y180="","",COUNTIFS($C$18:$C$2015,Y$13,$D$18:$D$2015,"&gt;="&amp;Y180,$D$18:$D$2015,"&lt;"&amp;Y181))</f>
        <v/>
      </c>
      <c r="AA180" s="14" t="n"/>
      <c r="AB180" s="16" t="n"/>
      <c r="AC180" s="124">
        <f>IF(AB180="","",COUNTIFS($C$18:$C$2015,AB$13,$D$18:$D$2015,"&gt;="&amp;AB180,$D$18:$D$2015,"&lt;"&amp;AB181))</f>
        <v/>
      </c>
      <c r="AD180" s="14" t="n"/>
    </row>
    <row r="181">
      <c r="A181" s="58" t="n"/>
      <c r="B181" s="59" t="n"/>
      <c r="C181" s="59" t="n"/>
      <c r="E181" s="16" t="n"/>
      <c r="F181" s="13" t="n"/>
      <c r="G181" s="16" t="n"/>
      <c r="H181" s="124">
        <f>IF(G181="","",COUNTIFS($C$18:$C$2015,G$13,$D$18:$D$2015,"&gt;="&amp;G181,$D$18:$D$2015,"&lt;"&amp;G182))</f>
        <v/>
      </c>
      <c r="I181" s="14" t="n"/>
      <c r="J181" s="16" t="n"/>
      <c r="K181" s="124">
        <f>IF(J181="","",COUNTIFS($C$18:$C$2015,J$13,$D$18:$D$2015,"&gt;="&amp;J181,$D$18:$D$2015,"&lt;"&amp;J182))</f>
        <v/>
      </c>
      <c r="L181" s="14" t="n"/>
      <c r="M181" s="16" t="n"/>
      <c r="N181" s="124">
        <f>IF(M181="","",COUNTIFS($C$18:$C$2015,M$13,$D$18:$D$2015,"&gt;="&amp;M181,$D$18:$D$2015,"&lt;"&amp;M182))</f>
        <v/>
      </c>
      <c r="O181" s="14" t="n"/>
      <c r="P181" s="16" t="n"/>
      <c r="Q181" s="124">
        <f>IF(P181="","",COUNTIFS($C$18:$C$2015,P$13,$D$18:$D$2015,"&gt;="&amp;P181,$D$18:$D$2015,"&lt;"&amp;P182))</f>
        <v/>
      </c>
      <c r="R181" s="14" t="n"/>
      <c r="S181" s="16" t="n"/>
      <c r="T181" s="124">
        <f>IF(S181="","",COUNTIFS($C$18:$C$2015,S$13,$D$18:$D$2015,"&gt;="&amp;S181,$D$18:$D$2015,"&lt;"&amp;S182))</f>
        <v/>
      </c>
      <c r="U181" s="14" t="n"/>
      <c r="V181" s="16" t="n"/>
      <c r="W181" s="124">
        <f>IF(V181="","",COUNTIFS($C$18:$C$2015,V$13,$D$18:$D$2015,"&gt;="&amp;V181,$D$18:$D$2015,"&lt;"&amp;V182))</f>
        <v/>
      </c>
      <c r="X181" s="14" t="n"/>
      <c r="Y181" s="16" t="n"/>
      <c r="Z181" s="124">
        <f>IF(Y181="","",COUNTIFS($C$18:$C$2015,Y$13,$D$18:$D$2015,"&gt;="&amp;Y181,$D$18:$D$2015,"&lt;"&amp;Y182))</f>
        <v/>
      </c>
      <c r="AA181" s="14" t="n"/>
      <c r="AB181" s="16" t="n"/>
      <c r="AC181" s="124">
        <f>IF(AB181="","",COUNTIFS($C$18:$C$2015,AB$13,$D$18:$D$2015,"&gt;="&amp;AB181,$D$18:$D$2015,"&lt;"&amp;AB182))</f>
        <v/>
      </c>
      <c r="AD181" s="14" t="n"/>
    </row>
    <row r="182">
      <c r="A182" s="56" t="n"/>
      <c r="B182" s="57" t="n"/>
      <c r="C182" s="59" t="n"/>
      <c r="E182" s="16" t="n"/>
      <c r="F182" s="13" t="n"/>
      <c r="G182" s="16" t="n"/>
      <c r="H182" s="124">
        <f>IF(G182="","",COUNTIFS($C$18:$C$2015,G$13,$D$18:$D$2015,"&gt;="&amp;G182,$D$18:$D$2015,"&lt;"&amp;G183))</f>
        <v/>
      </c>
      <c r="I182" s="14" t="n"/>
      <c r="J182" s="16" t="n"/>
      <c r="K182" s="124">
        <f>IF(J182="","",COUNTIFS($C$18:$C$2015,J$13,$D$18:$D$2015,"&gt;="&amp;J182,$D$18:$D$2015,"&lt;"&amp;J183))</f>
        <v/>
      </c>
      <c r="L182" s="14" t="n"/>
      <c r="M182" s="16" t="n"/>
      <c r="N182" s="124">
        <f>IF(M182="","",COUNTIFS($C$18:$C$2015,M$13,$D$18:$D$2015,"&gt;="&amp;M182,$D$18:$D$2015,"&lt;"&amp;M183))</f>
        <v/>
      </c>
      <c r="O182" s="14" t="n"/>
      <c r="P182" s="16" t="n"/>
      <c r="Q182" s="124">
        <f>IF(P182="","",COUNTIFS($C$18:$C$2015,P$13,$D$18:$D$2015,"&gt;="&amp;P182,$D$18:$D$2015,"&lt;"&amp;P183))</f>
        <v/>
      </c>
      <c r="R182" s="14" t="n"/>
      <c r="S182" s="16" t="n"/>
      <c r="T182" s="124">
        <f>IF(S182="","",COUNTIFS($C$18:$C$2015,S$13,$D$18:$D$2015,"&gt;="&amp;S182,$D$18:$D$2015,"&lt;"&amp;S183))</f>
        <v/>
      </c>
      <c r="U182" s="14" t="n"/>
      <c r="V182" s="16" t="n"/>
      <c r="W182" s="124">
        <f>IF(V182="","",COUNTIFS($C$18:$C$2015,V$13,$D$18:$D$2015,"&gt;="&amp;V182,$D$18:$D$2015,"&lt;"&amp;V183))</f>
        <v/>
      </c>
      <c r="X182" s="14" t="n"/>
      <c r="Y182" s="16" t="n"/>
      <c r="Z182" s="124">
        <f>IF(Y182="","",COUNTIFS($C$18:$C$2015,Y$13,$D$18:$D$2015,"&gt;="&amp;Y182,$D$18:$D$2015,"&lt;"&amp;Y183))</f>
        <v/>
      </c>
      <c r="AA182" s="14" t="n"/>
      <c r="AB182" s="16" t="n"/>
      <c r="AC182" s="124">
        <f>IF(AB182="","",COUNTIFS($C$18:$C$2015,AB$13,$D$18:$D$2015,"&gt;="&amp;AB182,$D$18:$D$2015,"&lt;"&amp;AB183))</f>
        <v/>
      </c>
      <c r="AD182" s="14" t="n"/>
    </row>
    <row r="183">
      <c r="A183" s="58" t="n"/>
      <c r="B183" s="59" t="n"/>
      <c r="C183" s="59" t="n"/>
      <c r="E183" s="16" t="n"/>
      <c r="F183" s="13" t="n"/>
      <c r="G183" s="16" t="n"/>
      <c r="H183" s="124">
        <f>IF(G183="","",COUNTIFS($C$18:$C$2015,G$13,$D$18:$D$2015,"&gt;="&amp;G183,$D$18:$D$2015,"&lt;"&amp;G184))</f>
        <v/>
      </c>
      <c r="I183" s="14" t="n"/>
      <c r="J183" s="16" t="n"/>
      <c r="K183" s="124">
        <f>IF(J183="","",COUNTIFS($C$18:$C$2015,J$13,$D$18:$D$2015,"&gt;="&amp;J183,$D$18:$D$2015,"&lt;"&amp;J184))</f>
        <v/>
      </c>
      <c r="L183" s="14" t="n"/>
      <c r="M183" s="16" t="n"/>
      <c r="N183" s="124">
        <f>IF(M183="","",COUNTIFS($C$18:$C$2015,M$13,$D$18:$D$2015,"&gt;="&amp;M183,$D$18:$D$2015,"&lt;"&amp;M184))</f>
        <v/>
      </c>
      <c r="O183" s="14" t="n"/>
      <c r="P183" s="16" t="n"/>
      <c r="Q183" s="124">
        <f>IF(P183="","",COUNTIFS($C$18:$C$2015,P$13,$D$18:$D$2015,"&gt;="&amp;P183,$D$18:$D$2015,"&lt;"&amp;P184))</f>
        <v/>
      </c>
      <c r="R183" s="14" t="n"/>
      <c r="S183" s="16" t="n"/>
      <c r="T183" s="124">
        <f>IF(S183="","",COUNTIFS($C$18:$C$2015,S$13,$D$18:$D$2015,"&gt;="&amp;S183,$D$18:$D$2015,"&lt;"&amp;S184))</f>
        <v/>
      </c>
      <c r="U183" s="14" t="n"/>
      <c r="V183" s="16" t="n"/>
      <c r="W183" s="124">
        <f>IF(V183="","",COUNTIFS($C$18:$C$2015,V$13,$D$18:$D$2015,"&gt;="&amp;V183,$D$18:$D$2015,"&lt;"&amp;V184))</f>
        <v/>
      </c>
      <c r="X183" s="14" t="n"/>
      <c r="Y183" s="16" t="n"/>
      <c r="Z183" s="124">
        <f>IF(Y183="","",COUNTIFS($C$18:$C$2015,Y$13,$D$18:$D$2015,"&gt;="&amp;Y183,$D$18:$D$2015,"&lt;"&amp;Y184))</f>
        <v/>
      </c>
      <c r="AA183" s="14" t="n"/>
      <c r="AB183" s="16" t="n"/>
      <c r="AC183" s="124">
        <f>IF(AB183="","",COUNTIFS($C$18:$C$2015,AB$13,$D$18:$D$2015,"&gt;="&amp;AB183,$D$18:$D$2015,"&lt;"&amp;AB184))</f>
        <v/>
      </c>
      <c r="AD183" s="14" t="n"/>
    </row>
    <row r="184">
      <c r="A184" s="56" t="n"/>
      <c r="B184" s="57" t="n"/>
      <c r="C184" s="59" t="n"/>
      <c r="E184" s="16" t="n"/>
      <c r="F184" s="13" t="n"/>
      <c r="G184" s="16" t="n"/>
      <c r="H184" s="124">
        <f>IF(G184="","",COUNTIFS($C$18:$C$2015,G$13,$D$18:$D$2015,"&gt;="&amp;G184,$D$18:$D$2015,"&lt;"&amp;G185))</f>
        <v/>
      </c>
      <c r="I184" s="14" t="n"/>
      <c r="J184" s="16" t="n"/>
      <c r="K184" s="124">
        <f>IF(J184="","",COUNTIFS($C$18:$C$2015,J$13,$D$18:$D$2015,"&gt;="&amp;J184,$D$18:$D$2015,"&lt;"&amp;J185))</f>
        <v/>
      </c>
      <c r="L184" s="14" t="n"/>
      <c r="M184" s="16" t="n"/>
      <c r="N184" s="124">
        <f>IF(M184="","",COUNTIFS($C$18:$C$2015,M$13,$D$18:$D$2015,"&gt;="&amp;M184,$D$18:$D$2015,"&lt;"&amp;M185))</f>
        <v/>
      </c>
      <c r="O184" s="14" t="n"/>
      <c r="P184" s="16" t="n"/>
      <c r="Q184" s="124">
        <f>IF(P184="","",COUNTIFS($C$18:$C$2015,P$13,$D$18:$D$2015,"&gt;="&amp;P184,$D$18:$D$2015,"&lt;"&amp;P185))</f>
        <v/>
      </c>
      <c r="R184" s="14" t="n"/>
      <c r="S184" s="16" t="n"/>
      <c r="T184" s="124">
        <f>IF(S184="","",COUNTIFS($C$18:$C$2015,S$13,$D$18:$D$2015,"&gt;="&amp;S184,$D$18:$D$2015,"&lt;"&amp;S185))</f>
        <v/>
      </c>
      <c r="U184" s="14" t="n"/>
      <c r="V184" s="16" t="n"/>
      <c r="W184" s="124">
        <f>IF(V184="","",COUNTIFS($C$18:$C$2015,V$13,$D$18:$D$2015,"&gt;="&amp;V184,$D$18:$D$2015,"&lt;"&amp;V185))</f>
        <v/>
      </c>
      <c r="X184" s="14" t="n"/>
      <c r="Y184" s="16" t="n"/>
      <c r="Z184" s="124">
        <f>IF(Y184="","",COUNTIFS($C$18:$C$2015,Y$13,$D$18:$D$2015,"&gt;="&amp;Y184,$D$18:$D$2015,"&lt;"&amp;Y185))</f>
        <v/>
      </c>
      <c r="AA184" s="14" t="n"/>
      <c r="AB184" s="16" t="n"/>
      <c r="AC184" s="124">
        <f>IF(AB184="","",COUNTIFS($C$18:$C$2015,AB$13,$D$18:$D$2015,"&gt;="&amp;AB184,$D$18:$D$2015,"&lt;"&amp;AB185))</f>
        <v/>
      </c>
      <c r="AD184" s="14" t="n"/>
    </row>
    <row r="185">
      <c r="A185" s="58" t="n"/>
      <c r="B185" s="59" t="n"/>
      <c r="C185" s="59" t="n"/>
      <c r="E185" s="16" t="n"/>
      <c r="F185" s="13" t="n"/>
      <c r="G185" s="16" t="n"/>
      <c r="H185" s="124">
        <f>IF(G185="","",COUNTIFS($C$18:$C$2015,G$13,$D$18:$D$2015,"&gt;="&amp;G185,$D$18:$D$2015,"&lt;"&amp;G186))</f>
        <v/>
      </c>
      <c r="I185" s="14" t="n"/>
      <c r="J185" s="16" t="n"/>
      <c r="K185" s="124">
        <f>IF(J185="","",COUNTIFS($C$18:$C$2015,J$13,$D$18:$D$2015,"&gt;="&amp;J185,$D$18:$D$2015,"&lt;"&amp;J186))</f>
        <v/>
      </c>
      <c r="L185" s="14" t="n"/>
      <c r="M185" s="16" t="n"/>
      <c r="N185" s="124">
        <f>IF(M185="","",COUNTIFS($C$18:$C$2015,M$13,$D$18:$D$2015,"&gt;="&amp;M185,$D$18:$D$2015,"&lt;"&amp;M186))</f>
        <v/>
      </c>
      <c r="O185" s="14" t="n"/>
      <c r="P185" s="16" t="n"/>
      <c r="Q185" s="124">
        <f>IF(P185="","",COUNTIFS($C$18:$C$2015,P$13,$D$18:$D$2015,"&gt;="&amp;P185,$D$18:$D$2015,"&lt;"&amp;P186))</f>
        <v/>
      </c>
      <c r="R185" s="14" t="n"/>
      <c r="S185" s="16" t="n"/>
      <c r="T185" s="124">
        <f>IF(S185="","",COUNTIFS($C$18:$C$2015,S$13,$D$18:$D$2015,"&gt;="&amp;S185,$D$18:$D$2015,"&lt;"&amp;S186))</f>
        <v/>
      </c>
      <c r="U185" s="14" t="n"/>
      <c r="V185" s="16" t="n"/>
      <c r="W185" s="124">
        <f>IF(V185="","",COUNTIFS($C$18:$C$2015,V$13,$D$18:$D$2015,"&gt;="&amp;V185,$D$18:$D$2015,"&lt;"&amp;V186))</f>
        <v/>
      </c>
      <c r="X185" s="14" t="n"/>
      <c r="Y185" s="16" t="n"/>
      <c r="Z185" s="124">
        <f>IF(Y185="","",COUNTIFS($C$18:$C$2015,Y$13,$D$18:$D$2015,"&gt;="&amp;Y185,$D$18:$D$2015,"&lt;"&amp;Y186))</f>
        <v/>
      </c>
      <c r="AA185" s="14" t="n"/>
      <c r="AB185" s="16" t="n"/>
      <c r="AC185" s="124">
        <f>IF(AB185="","",COUNTIFS($C$18:$C$2015,AB$13,$D$18:$D$2015,"&gt;="&amp;AB185,$D$18:$D$2015,"&lt;"&amp;AB186))</f>
        <v/>
      </c>
      <c r="AD185" s="14" t="n"/>
    </row>
    <row r="186">
      <c r="A186" s="56" t="n"/>
      <c r="B186" s="57" t="n"/>
      <c r="C186" s="59" t="n"/>
      <c r="E186" s="16" t="n"/>
      <c r="F186" s="13" t="n"/>
      <c r="G186" s="16" t="n"/>
      <c r="H186" s="124">
        <f>IF(G186="","",COUNTIFS($C$18:$C$2015,G$13,$D$18:$D$2015,"&gt;="&amp;G186,$D$18:$D$2015,"&lt;"&amp;G187))</f>
        <v/>
      </c>
      <c r="I186" s="14" t="n"/>
      <c r="J186" s="16" t="n"/>
      <c r="K186" s="124">
        <f>IF(J186="","",COUNTIFS($C$18:$C$2015,J$13,$D$18:$D$2015,"&gt;="&amp;J186,$D$18:$D$2015,"&lt;"&amp;J187))</f>
        <v/>
      </c>
      <c r="L186" s="14" t="n"/>
      <c r="M186" s="16" t="n"/>
      <c r="N186" s="124">
        <f>IF(M186="","",COUNTIFS($C$18:$C$2015,M$13,$D$18:$D$2015,"&gt;="&amp;M186,$D$18:$D$2015,"&lt;"&amp;M187))</f>
        <v/>
      </c>
      <c r="O186" s="14" t="n"/>
      <c r="P186" s="16" t="n"/>
      <c r="Q186" s="124">
        <f>IF(P186="","",COUNTIFS($C$18:$C$2015,P$13,$D$18:$D$2015,"&gt;="&amp;P186,$D$18:$D$2015,"&lt;"&amp;P187))</f>
        <v/>
      </c>
      <c r="R186" s="14" t="n"/>
      <c r="S186" s="16" t="n"/>
      <c r="T186" s="124">
        <f>IF(S186="","",COUNTIFS($C$18:$C$2015,S$13,$D$18:$D$2015,"&gt;="&amp;S186,$D$18:$D$2015,"&lt;"&amp;S187))</f>
        <v/>
      </c>
      <c r="U186" s="14" t="n"/>
      <c r="V186" s="16" t="n"/>
      <c r="W186" s="124">
        <f>IF(V186="","",COUNTIFS($C$18:$C$2015,V$13,$D$18:$D$2015,"&gt;="&amp;V186,$D$18:$D$2015,"&lt;"&amp;V187))</f>
        <v/>
      </c>
      <c r="X186" s="14" t="n"/>
      <c r="Y186" s="16" t="n"/>
      <c r="Z186" s="124">
        <f>IF(Y186="","",COUNTIFS($C$18:$C$2015,Y$13,$D$18:$D$2015,"&gt;="&amp;Y186,$D$18:$D$2015,"&lt;"&amp;Y187))</f>
        <v/>
      </c>
      <c r="AA186" s="14" t="n"/>
      <c r="AB186" s="16" t="n"/>
      <c r="AC186" s="124">
        <f>IF(AB186="","",COUNTIFS($C$18:$C$2015,AB$13,$D$18:$D$2015,"&gt;="&amp;AB186,$D$18:$D$2015,"&lt;"&amp;AB187))</f>
        <v/>
      </c>
      <c r="AD186" s="14" t="n"/>
    </row>
    <row r="187">
      <c r="A187" s="58" t="n"/>
      <c r="B187" s="59" t="n"/>
      <c r="C187" s="59" t="n"/>
      <c r="E187" s="16" t="n"/>
      <c r="F187" s="13" t="n"/>
      <c r="G187" s="16" t="n"/>
      <c r="H187" s="124">
        <f>IF(G187="","",COUNTIFS($C$18:$C$2015,G$13,$D$18:$D$2015,"&gt;="&amp;G187,$D$18:$D$2015,"&lt;"&amp;G188))</f>
        <v/>
      </c>
      <c r="I187" s="14" t="n"/>
      <c r="J187" s="16" t="n"/>
      <c r="K187" s="124">
        <f>IF(J187="","",COUNTIFS($C$18:$C$2015,J$13,$D$18:$D$2015,"&gt;="&amp;J187,$D$18:$D$2015,"&lt;"&amp;J188))</f>
        <v/>
      </c>
      <c r="L187" s="14" t="n"/>
      <c r="M187" s="16" t="n"/>
      <c r="N187" s="124">
        <f>IF(M187="","",COUNTIFS($C$18:$C$2015,M$13,$D$18:$D$2015,"&gt;="&amp;M187,$D$18:$D$2015,"&lt;"&amp;M188))</f>
        <v/>
      </c>
      <c r="O187" s="14" t="n"/>
      <c r="P187" s="16" t="n"/>
      <c r="Q187" s="124">
        <f>IF(P187="","",COUNTIFS($C$18:$C$2015,P$13,$D$18:$D$2015,"&gt;="&amp;P187,$D$18:$D$2015,"&lt;"&amp;P188))</f>
        <v/>
      </c>
      <c r="R187" s="14" t="n"/>
      <c r="S187" s="16" t="n"/>
      <c r="T187" s="124">
        <f>IF(S187="","",COUNTIFS($C$18:$C$2015,S$13,$D$18:$D$2015,"&gt;="&amp;S187,$D$18:$D$2015,"&lt;"&amp;S188))</f>
        <v/>
      </c>
      <c r="U187" s="14" t="n"/>
      <c r="V187" s="16" t="n"/>
      <c r="W187" s="124">
        <f>IF(V187="","",COUNTIFS($C$18:$C$2015,V$13,$D$18:$D$2015,"&gt;="&amp;V187,$D$18:$D$2015,"&lt;"&amp;V188))</f>
        <v/>
      </c>
      <c r="X187" s="14" t="n"/>
      <c r="Y187" s="16" t="n"/>
      <c r="Z187" s="124">
        <f>IF(Y187="","",COUNTIFS($C$18:$C$2015,Y$13,$D$18:$D$2015,"&gt;="&amp;Y187,$D$18:$D$2015,"&lt;"&amp;Y188))</f>
        <v/>
      </c>
      <c r="AA187" s="14" t="n"/>
      <c r="AB187" s="16" t="n"/>
      <c r="AC187" s="124">
        <f>IF(AB187="","",COUNTIFS($C$18:$C$2015,AB$13,$D$18:$D$2015,"&gt;="&amp;AB187,$D$18:$D$2015,"&lt;"&amp;AB188))</f>
        <v/>
      </c>
      <c r="AD187" s="14" t="n"/>
    </row>
    <row r="188">
      <c r="A188" s="56" t="n"/>
      <c r="B188" s="57" t="n"/>
      <c r="C188" s="59" t="n"/>
      <c r="E188" s="16" t="n"/>
      <c r="F188" s="13" t="n"/>
      <c r="G188" s="16" t="n"/>
      <c r="H188" s="124">
        <f>IF(G188="","",COUNTIFS($C$18:$C$2015,G$13,$D$18:$D$2015,"&gt;="&amp;G188,$D$18:$D$2015,"&lt;"&amp;G189))</f>
        <v/>
      </c>
      <c r="I188" s="14" t="n"/>
      <c r="J188" s="16" t="n"/>
      <c r="K188" s="124">
        <f>IF(J188="","",COUNTIFS($C$18:$C$2015,J$13,$D$18:$D$2015,"&gt;="&amp;J188,$D$18:$D$2015,"&lt;"&amp;J189))</f>
        <v/>
      </c>
      <c r="L188" s="14" t="n"/>
      <c r="M188" s="16" t="n"/>
      <c r="N188" s="124">
        <f>IF(M188="","",COUNTIFS($C$18:$C$2015,M$13,$D$18:$D$2015,"&gt;="&amp;M188,$D$18:$D$2015,"&lt;"&amp;M189))</f>
        <v/>
      </c>
      <c r="O188" s="14" t="n"/>
      <c r="P188" s="16" t="n"/>
      <c r="Q188" s="124">
        <f>IF(P188="","",COUNTIFS($C$18:$C$2015,P$13,$D$18:$D$2015,"&gt;="&amp;P188,$D$18:$D$2015,"&lt;"&amp;P189))</f>
        <v/>
      </c>
      <c r="R188" s="14" t="n"/>
      <c r="S188" s="16" t="n"/>
      <c r="T188" s="124">
        <f>IF(S188="","",COUNTIFS($C$18:$C$2015,S$13,$D$18:$D$2015,"&gt;="&amp;S188,$D$18:$D$2015,"&lt;"&amp;S189))</f>
        <v/>
      </c>
      <c r="U188" s="14" t="n"/>
      <c r="V188" s="16" t="n"/>
      <c r="W188" s="124">
        <f>IF(V188="","",COUNTIFS($C$18:$C$2015,V$13,$D$18:$D$2015,"&gt;="&amp;V188,$D$18:$D$2015,"&lt;"&amp;V189))</f>
        <v/>
      </c>
      <c r="X188" s="14" t="n"/>
      <c r="Y188" s="16" t="n"/>
      <c r="Z188" s="124">
        <f>IF(Y188="","",COUNTIFS($C$18:$C$2015,Y$13,$D$18:$D$2015,"&gt;="&amp;Y188,$D$18:$D$2015,"&lt;"&amp;Y189))</f>
        <v/>
      </c>
      <c r="AA188" s="14" t="n"/>
      <c r="AB188" s="16" t="n"/>
      <c r="AC188" s="124">
        <f>IF(AB188="","",COUNTIFS($C$18:$C$2015,AB$13,$D$18:$D$2015,"&gt;="&amp;AB188,$D$18:$D$2015,"&lt;"&amp;AB189))</f>
        <v/>
      </c>
      <c r="AD188" s="14" t="n"/>
    </row>
    <row r="189">
      <c r="A189" s="58" t="n"/>
      <c r="B189" s="59" t="n"/>
      <c r="C189" s="59" t="n"/>
      <c r="E189" s="16" t="n"/>
      <c r="F189" s="13" t="n"/>
      <c r="G189" s="16" t="n"/>
      <c r="H189" s="124">
        <f>IF(G189="","",COUNTIFS($C$18:$C$2015,G$13,$D$18:$D$2015,"&gt;="&amp;G189,$D$18:$D$2015,"&lt;"&amp;G190))</f>
        <v/>
      </c>
      <c r="I189" s="14" t="n"/>
      <c r="J189" s="16" t="n"/>
      <c r="K189" s="124">
        <f>IF(J189="","",COUNTIFS($C$18:$C$2015,J$13,$D$18:$D$2015,"&gt;="&amp;J189,$D$18:$D$2015,"&lt;"&amp;J190))</f>
        <v/>
      </c>
      <c r="L189" s="14" t="n"/>
      <c r="M189" s="16" t="n"/>
      <c r="N189" s="124">
        <f>IF(M189="","",COUNTIFS($C$18:$C$2015,M$13,$D$18:$D$2015,"&gt;="&amp;M189,$D$18:$D$2015,"&lt;"&amp;M190))</f>
        <v/>
      </c>
      <c r="O189" s="14" t="n"/>
      <c r="P189" s="16" t="n"/>
      <c r="Q189" s="124">
        <f>IF(P189="","",COUNTIFS($C$18:$C$2015,P$13,$D$18:$D$2015,"&gt;="&amp;P189,$D$18:$D$2015,"&lt;"&amp;P190))</f>
        <v/>
      </c>
      <c r="R189" s="14" t="n"/>
      <c r="S189" s="16" t="n"/>
      <c r="T189" s="124">
        <f>IF(S189="","",COUNTIFS($C$18:$C$2015,S$13,$D$18:$D$2015,"&gt;="&amp;S189,$D$18:$D$2015,"&lt;"&amp;S190))</f>
        <v/>
      </c>
      <c r="U189" s="14" t="n"/>
      <c r="V189" s="16" t="n"/>
      <c r="W189" s="124">
        <f>IF(V189="","",COUNTIFS($C$18:$C$2015,V$13,$D$18:$D$2015,"&gt;="&amp;V189,$D$18:$D$2015,"&lt;"&amp;V190))</f>
        <v/>
      </c>
      <c r="X189" s="14" t="n"/>
      <c r="Y189" s="16" t="n"/>
      <c r="Z189" s="124">
        <f>IF(Y189="","",COUNTIFS($C$18:$C$2015,Y$13,$D$18:$D$2015,"&gt;="&amp;Y189,$D$18:$D$2015,"&lt;"&amp;Y190))</f>
        <v/>
      </c>
      <c r="AA189" s="14" t="n"/>
      <c r="AB189" s="16" t="n"/>
      <c r="AC189" s="124">
        <f>IF(AB189="","",COUNTIFS($C$18:$C$2015,AB$13,$D$18:$D$2015,"&gt;="&amp;AB189,$D$18:$D$2015,"&lt;"&amp;AB190))</f>
        <v/>
      </c>
      <c r="AD189" s="14" t="n"/>
    </row>
    <row r="190">
      <c r="A190" s="56" t="n"/>
      <c r="B190" s="57" t="n"/>
      <c r="C190" s="59" t="n"/>
      <c r="E190" s="16" t="n"/>
      <c r="F190" s="13" t="n"/>
      <c r="G190" s="16" t="n"/>
      <c r="H190" s="124">
        <f>IF(G190="","",COUNTIFS($C$18:$C$2015,G$13,$D$18:$D$2015,"&gt;="&amp;G190,$D$18:$D$2015,"&lt;"&amp;G191))</f>
        <v/>
      </c>
      <c r="I190" s="14" t="n"/>
      <c r="J190" s="16" t="n"/>
      <c r="K190" s="124">
        <f>IF(J190="","",COUNTIFS($C$18:$C$2015,J$13,$D$18:$D$2015,"&gt;="&amp;J190,$D$18:$D$2015,"&lt;"&amp;J191))</f>
        <v/>
      </c>
      <c r="L190" s="14" t="n"/>
      <c r="M190" s="16" t="n"/>
      <c r="N190" s="124">
        <f>IF(M190="","",COUNTIFS($C$18:$C$2015,M$13,$D$18:$D$2015,"&gt;="&amp;M190,$D$18:$D$2015,"&lt;"&amp;M191))</f>
        <v/>
      </c>
      <c r="O190" s="14" t="n"/>
      <c r="P190" s="16" t="n"/>
      <c r="Q190" s="124">
        <f>IF(P190="","",COUNTIFS($C$18:$C$2015,P$13,$D$18:$D$2015,"&gt;="&amp;P190,$D$18:$D$2015,"&lt;"&amp;P191))</f>
        <v/>
      </c>
      <c r="R190" s="14" t="n"/>
      <c r="S190" s="16" t="n"/>
      <c r="T190" s="124">
        <f>IF(S190="","",COUNTIFS($C$18:$C$2015,S$13,$D$18:$D$2015,"&gt;="&amp;S190,$D$18:$D$2015,"&lt;"&amp;S191))</f>
        <v/>
      </c>
      <c r="U190" s="14" t="n"/>
      <c r="V190" s="16" t="n"/>
      <c r="W190" s="124">
        <f>IF(V190="","",COUNTIFS($C$18:$C$2015,V$13,$D$18:$D$2015,"&gt;="&amp;V190,$D$18:$D$2015,"&lt;"&amp;V191))</f>
        <v/>
      </c>
      <c r="X190" s="14" t="n"/>
      <c r="Y190" s="16" t="n"/>
      <c r="Z190" s="124">
        <f>IF(Y190="","",COUNTIFS($C$18:$C$2015,Y$13,$D$18:$D$2015,"&gt;="&amp;Y190,$D$18:$D$2015,"&lt;"&amp;Y191))</f>
        <v/>
      </c>
      <c r="AA190" s="14" t="n"/>
      <c r="AB190" s="16" t="n"/>
      <c r="AC190" s="124">
        <f>IF(AB190="","",COUNTIFS($C$18:$C$2015,AB$13,$D$18:$D$2015,"&gt;="&amp;AB190,$D$18:$D$2015,"&lt;"&amp;AB191))</f>
        <v/>
      </c>
      <c r="AD190" s="14" t="n"/>
    </row>
    <row r="191">
      <c r="A191" s="58" t="n"/>
      <c r="B191" s="59" t="n"/>
      <c r="C191" s="59" t="n"/>
      <c r="E191" s="16" t="n"/>
      <c r="F191" s="13" t="n"/>
      <c r="G191" s="16" t="n"/>
      <c r="H191" s="124">
        <f>IF(G191="","",COUNTIFS($C$18:$C$2015,G$13,$D$18:$D$2015,"&gt;="&amp;G191,$D$18:$D$2015,"&lt;"&amp;G192))</f>
        <v/>
      </c>
      <c r="I191" s="14" t="n"/>
      <c r="J191" s="16" t="n"/>
      <c r="K191" s="124">
        <f>IF(J191="","",COUNTIFS($C$18:$C$2015,J$13,$D$18:$D$2015,"&gt;="&amp;J191,$D$18:$D$2015,"&lt;"&amp;J192))</f>
        <v/>
      </c>
      <c r="L191" s="14" t="n"/>
      <c r="M191" s="16" t="n"/>
      <c r="N191" s="124">
        <f>IF(M191="","",COUNTIFS($C$18:$C$2015,M$13,$D$18:$D$2015,"&gt;="&amp;M191,$D$18:$D$2015,"&lt;"&amp;M192))</f>
        <v/>
      </c>
      <c r="O191" s="14" t="n"/>
      <c r="P191" s="16" t="n"/>
      <c r="Q191" s="124">
        <f>IF(P191="","",COUNTIFS($C$18:$C$2015,P$13,$D$18:$D$2015,"&gt;="&amp;P191,$D$18:$D$2015,"&lt;"&amp;P192))</f>
        <v/>
      </c>
      <c r="R191" s="14" t="n"/>
      <c r="S191" s="16" t="n"/>
      <c r="T191" s="124">
        <f>IF(S191="","",COUNTIFS($C$18:$C$2015,S$13,$D$18:$D$2015,"&gt;="&amp;S191,$D$18:$D$2015,"&lt;"&amp;S192))</f>
        <v/>
      </c>
      <c r="U191" s="14" t="n"/>
      <c r="V191" s="16" t="n"/>
      <c r="W191" s="124">
        <f>IF(V191="","",COUNTIFS($C$18:$C$2015,V$13,$D$18:$D$2015,"&gt;="&amp;V191,$D$18:$D$2015,"&lt;"&amp;V192))</f>
        <v/>
      </c>
      <c r="X191" s="14" t="n"/>
      <c r="Y191" s="16" t="n"/>
      <c r="Z191" s="124">
        <f>IF(Y191="","",COUNTIFS($C$18:$C$2015,Y$13,$D$18:$D$2015,"&gt;="&amp;Y191,$D$18:$D$2015,"&lt;"&amp;Y192))</f>
        <v/>
      </c>
      <c r="AA191" s="14" t="n"/>
      <c r="AB191" s="16" t="n"/>
      <c r="AC191" s="124">
        <f>IF(AB191="","",COUNTIFS($C$18:$C$2015,AB$13,$D$18:$D$2015,"&gt;="&amp;AB191,$D$18:$D$2015,"&lt;"&amp;AB192))</f>
        <v/>
      </c>
      <c r="AD191" s="14" t="n"/>
    </row>
    <row r="192">
      <c r="A192" s="56" t="n"/>
      <c r="B192" s="57" t="n"/>
      <c r="C192" s="59" t="n"/>
      <c r="E192" s="16" t="n"/>
      <c r="F192" s="13" t="n"/>
      <c r="G192" s="16" t="n"/>
      <c r="H192" s="124">
        <f>IF(G192="","",COUNTIFS($C$18:$C$2015,G$13,$D$18:$D$2015,"&gt;="&amp;G192,$D$18:$D$2015,"&lt;"&amp;G193))</f>
        <v/>
      </c>
      <c r="I192" s="14" t="n"/>
      <c r="J192" s="16" t="n"/>
      <c r="K192" s="124">
        <f>IF(J192="","",COUNTIFS($C$18:$C$2015,J$13,$D$18:$D$2015,"&gt;="&amp;J192,$D$18:$D$2015,"&lt;"&amp;J193))</f>
        <v/>
      </c>
      <c r="L192" s="14" t="n"/>
      <c r="M192" s="16" t="n"/>
      <c r="N192" s="124">
        <f>IF(M192="","",COUNTIFS($C$18:$C$2015,M$13,$D$18:$D$2015,"&gt;="&amp;M192,$D$18:$D$2015,"&lt;"&amp;M193))</f>
        <v/>
      </c>
      <c r="O192" s="14" t="n"/>
      <c r="P192" s="16" t="n"/>
      <c r="Q192" s="124">
        <f>IF(P192="","",COUNTIFS($C$18:$C$2015,P$13,$D$18:$D$2015,"&gt;="&amp;P192,$D$18:$D$2015,"&lt;"&amp;P193))</f>
        <v/>
      </c>
      <c r="R192" s="14" t="n"/>
      <c r="S192" s="16" t="n"/>
      <c r="T192" s="124">
        <f>IF(S192="","",COUNTIFS($C$18:$C$2015,S$13,$D$18:$D$2015,"&gt;="&amp;S192,$D$18:$D$2015,"&lt;"&amp;S193))</f>
        <v/>
      </c>
      <c r="U192" s="14" t="n"/>
      <c r="V192" s="16" t="n"/>
      <c r="W192" s="124">
        <f>IF(V192="","",COUNTIFS($C$18:$C$2015,V$13,$D$18:$D$2015,"&gt;="&amp;V192,$D$18:$D$2015,"&lt;"&amp;V193))</f>
        <v/>
      </c>
      <c r="X192" s="14" t="n"/>
      <c r="Y192" s="16" t="n"/>
      <c r="Z192" s="124">
        <f>IF(Y192="","",COUNTIFS($C$18:$C$2015,Y$13,$D$18:$D$2015,"&gt;="&amp;Y192,$D$18:$D$2015,"&lt;"&amp;Y193))</f>
        <v/>
      </c>
      <c r="AA192" s="14" t="n"/>
      <c r="AB192" s="16" t="n"/>
      <c r="AC192" s="124">
        <f>IF(AB192="","",COUNTIFS($C$18:$C$2015,AB$13,$D$18:$D$2015,"&gt;="&amp;AB192,$D$18:$D$2015,"&lt;"&amp;AB193))</f>
        <v/>
      </c>
      <c r="AD192" s="14" t="n"/>
    </row>
    <row r="193">
      <c r="A193" s="58" t="n"/>
      <c r="B193" s="59" t="n"/>
      <c r="C193" s="59" t="n"/>
      <c r="E193" s="16" t="n"/>
      <c r="F193" s="13" t="n"/>
      <c r="G193" s="16" t="n"/>
      <c r="H193" s="124">
        <f>IF(G193="","",COUNTIFS($C$18:$C$2015,G$13,$D$18:$D$2015,"&gt;="&amp;G193,$D$18:$D$2015,"&lt;"&amp;G194))</f>
        <v/>
      </c>
      <c r="I193" s="14" t="n"/>
      <c r="J193" s="16" t="n"/>
      <c r="K193" s="124">
        <f>IF(J193="","",COUNTIFS($C$18:$C$2015,J$13,$D$18:$D$2015,"&gt;="&amp;J193,$D$18:$D$2015,"&lt;"&amp;J194))</f>
        <v/>
      </c>
      <c r="L193" s="14" t="n"/>
      <c r="M193" s="16" t="n"/>
      <c r="N193" s="124">
        <f>IF(M193="","",COUNTIFS($C$18:$C$2015,M$13,$D$18:$D$2015,"&gt;="&amp;M193,$D$18:$D$2015,"&lt;"&amp;M194))</f>
        <v/>
      </c>
      <c r="O193" s="14" t="n"/>
      <c r="P193" s="16" t="n"/>
      <c r="Q193" s="124">
        <f>IF(P193="","",COUNTIFS($C$18:$C$2015,P$13,$D$18:$D$2015,"&gt;="&amp;P193,$D$18:$D$2015,"&lt;"&amp;P194))</f>
        <v/>
      </c>
      <c r="R193" s="14" t="n"/>
      <c r="S193" s="16" t="n"/>
      <c r="T193" s="124">
        <f>IF(S193="","",COUNTIFS($C$18:$C$2015,S$13,$D$18:$D$2015,"&gt;="&amp;S193,$D$18:$D$2015,"&lt;"&amp;S194))</f>
        <v/>
      </c>
      <c r="U193" s="14" t="n"/>
      <c r="V193" s="16" t="n"/>
      <c r="W193" s="124">
        <f>IF(V193="","",COUNTIFS($C$18:$C$2015,V$13,$D$18:$D$2015,"&gt;="&amp;V193,$D$18:$D$2015,"&lt;"&amp;V194))</f>
        <v/>
      </c>
      <c r="X193" s="14" t="n"/>
      <c r="Y193" s="16" t="n"/>
      <c r="Z193" s="124">
        <f>IF(Y193="","",COUNTIFS($C$18:$C$2015,Y$13,$D$18:$D$2015,"&gt;="&amp;Y193,$D$18:$D$2015,"&lt;"&amp;Y194))</f>
        <v/>
      </c>
      <c r="AA193" s="14" t="n"/>
      <c r="AB193" s="16" t="n"/>
      <c r="AC193" s="124">
        <f>IF(AB193="","",COUNTIFS($C$18:$C$2015,AB$13,$D$18:$D$2015,"&gt;="&amp;AB193,$D$18:$D$2015,"&lt;"&amp;AB194))</f>
        <v/>
      </c>
      <c r="AD193" s="14" t="n"/>
    </row>
    <row r="194">
      <c r="A194" s="56" t="n"/>
      <c r="B194" s="57" t="n"/>
      <c r="C194" s="59" t="n"/>
      <c r="E194" s="16" t="n"/>
      <c r="F194" s="13" t="n"/>
      <c r="G194" s="16" t="n"/>
      <c r="H194" s="124">
        <f>IF(G194="","",COUNTIFS($C$18:$C$2015,G$13,$D$18:$D$2015,"&gt;="&amp;G194,$D$18:$D$2015,"&lt;"&amp;G195))</f>
        <v/>
      </c>
      <c r="I194" s="14" t="n"/>
      <c r="J194" s="16" t="n"/>
      <c r="K194" s="124">
        <f>IF(J194="","",COUNTIFS($C$18:$C$2015,J$13,$D$18:$D$2015,"&gt;="&amp;J194,$D$18:$D$2015,"&lt;"&amp;J195))</f>
        <v/>
      </c>
      <c r="L194" s="14" t="n"/>
      <c r="M194" s="16" t="n"/>
      <c r="N194" s="124">
        <f>IF(M194="","",COUNTIFS($C$18:$C$2015,M$13,$D$18:$D$2015,"&gt;="&amp;M194,$D$18:$D$2015,"&lt;"&amp;M195))</f>
        <v/>
      </c>
      <c r="O194" s="14" t="n"/>
      <c r="P194" s="16" t="n"/>
      <c r="Q194" s="124">
        <f>IF(P194="","",COUNTIFS($C$18:$C$2015,P$13,$D$18:$D$2015,"&gt;="&amp;P194,$D$18:$D$2015,"&lt;"&amp;P195))</f>
        <v/>
      </c>
      <c r="R194" s="14" t="n"/>
      <c r="S194" s="16" t="n"/>
      <c r="T194" s="124">
        <f>IF(S194="","",COUNTIFS($C$18:$C$2015,S$13,$D$18:$D$2015,"&gt;="&amp;S194,$D$18:$D$2015,"&lt;"&amp;S195))</f>
        <v/>
      </c>
      <c r="U194" s="14" t="n"/>
      <c r="V194" s="16" t="n"/>
      <c r="W194" s="124">
        <f>IF(V194="","",COUNTIFS($C$18:$C$2015,V$13,$D$18:$D$2015,"&gt;="&amp;V194,$D$18:$D$2015,"&lt;"&amp;V195))</f>
        <v/>
      </c>
      <c r="X194" s="14" t="n"/>
      <c r="Y194" s="16" t="n"/>
      <c r="Z194" s="124">
        <f>IF(Y194="","",COUNTIFS($C$18:$C$2015,Y$13,$D$18:$D$2015,"&gt;="&amp;Y194,$D$18:$D$2015,"&lt;"&amp;Y195))</f>
        <v/>
      </c>
      <c r="AA194" s="14" t="n"/>
      <c r="AB194" s="16" t="n"/>
      <c r="AC194" s="124">
        <f>IF(AB194="","",COUNTIFS($C$18:$C$2015,AB$13,$D$18:$D$2015,"&gt;="&amp;AB194,$D$18:$D$2015,"&lt;"&amp;AB195))</f>
        <v/>
      </c>
      <c r="AD194" s="14" t="n"/>
    </row>
    <row r="195">
      <c r="A195" s="58" t="n"/>
      <c r="B195" s="59" t="n"/>
      <c r="C195" s="59" t="n"/>
      <c r="E195" s="16" t="n"/>
      <c r="F195" s="13" t="n"/>
      <c r="G195" s="16" t="n"/>
      <c r="H195" s="124">
        <f>IF(G195="","",COUNTIFS($C$18:$C$2015,G$13,$D$18:$D$2015,"&gt;="&amp;G195,$D$18:$D$2015,"&lt;"&amp;G196))</f>
        <v/>
      </c>
      <c r="I195" s="14" t="n"/>
      <c r="J195" s="16" t="n"/>
      <c r="K195" s="124">
        <f>IF(J195="","",COUNTIFS($C$18:$C$2015,J$13,$D$18:$D$2015,"&gt;="&amp;J195,$D$18:$D$2015,"&lt;"&amp;J196))</f>
        <v/>
      </c>
      <c r="L195" s="14" t="n"/>
      <c r="M195" s="16" t="n"/>
      <c r="N195" s="124">
        <f>IF(M195="","",COUNTIFS($C$18:$C$2015,M$13,$D$18:$D$2015,"&gt;="&amp;M195,$D$18:$D$2015,"&lt;"&amp;M196))</f>
        <v/>
      </c>
      <c r="O195" s="14" t="n"/>
      <c r="P195" s="16" t="n"/>
      <c r="Q195" s="124">
        <f>IF(P195="","",COUNTIFS($C$18:$C$2015,P$13,$D$18:$D$2015,"&gt;="&amp;P195,$D$18:$D$2015,"&lt;"&amp;P196))</f>
        <v/>
      </c>
      <c r="R195" s="14" t="n"/>
      <c r="S195" s="16" t="n"/>
      <c r="T195" s="124">
        <f>IF(S195="","",COUNTIFS($C$18:$C$2015,S$13,$D$18:$D$2015,"&gt;="&amp;S195,$D$18:$D$2015,"&lt;"&amp;S196))</f>
        <v/>
      </c>
      <c r="U195" s="14" t="n"/>
      <c r="V195" s="16" t="n"/>
      <c r="W195" s="124">
        <f>IF(V195="","",COUNTIFS($C$18:$C$2015,V$13,$D$18:$D$2015,"&gt;="&amp;V195,$D$18:$D$2015,"&lt;"&amp;V196))</f>
        <v/>
      </c>
      <c r="X195" s="14" t="n"/>
      <c r="Y195" s="16" t="n"/>
      <c r="Z195" s="124">
        <f>IF(Y195="","",COUNTIFS($C$18:$C$2015,Y$13,$D$18:$D$2015,"&gt;="&amp;Y195,$D$18:$D$2015,"&lt;"&amp;Y196))</f>
        <v/>
      </c>
      <c r="AA195" s="14" t="n"/>
      <c r="AB195" s="16" t="n"/>
      <c r="AC195" s="124">
        <f>IF(AB195="","",COUNTIFS($C$18:$C$2015,AB$13,$D$18:$D$2015,"&gt;="&amp;AB195,$D$18:$D$2015,"&lt;"&amp;AB196))</f>
        <v/>
      </c>
      <c r="AD195" s="14" t="n"/>
    </row>
    <row r="196">
      <c r="A196" s="56" t="n"/>
      <c r="B196" s="57" t="n"/>
      <c r="C196" s="59" t="n"/>
      <c r="E196" s="16" t="n"/>
      <c r="F196" s="13" t="n"/>
      <c r="G196" s="16" t="n"/>
      <c r="H196" s="124">
        <f>IF(G196="","",COUNTIFS($C$18:$C$2015,G$13,$D$18:$D$2015,"&gt;="&amp;G196,$D$18:$D$2015,"&lt;"&amp;G197))</f>
        <v/>
      </c>
      <c r="I196" s="14" t="n"/>
      <c r="J196" s="16" t="n"/>
      <c r="K196" s="124">
        <f>IF(J196="","",COUNTIFS($C$18:$C$2015,J$13,$D$18:$D$2015,"&gt;="&amp;J196,$D$18:$D$2015,"&lt;"&amp;J197))</f>
        <v/>
      </c>
      <c r="L196" s="14" t="n"/>
      <c r="M196" s="16" t="n"/>
      <c r="N196" s="124">
        <f>IF(M196="","",COUNTIFS($C$18:$C$2015,M$13,$D$18:$D$2015,"&gt;="&amp;M196,$D$18:$D$2015,"&lt;"&amp;M197))</f>
        <v/>
      </c>
      <c r="O196" s="14" t="n"/>
      <c r="P196" s="16" t="n"/>
      <c r="Q196" s="124">
        <f>IF(P196="","",COUNTIFS($C$18:$C$2015,P$13,$D$18:$D$2015,"&gt;="&amp;P196,$D$18:$D$2015,"&lt;"&amp;P197))</f>
        <v/>
      </c>
      <c r="R196" s="14" t="n"/>
      <c r="S196" s="16" t="n"/>
      <c r="T196" s="124">
        <f>IF(S196="","",COUNTIFS($C$18:$C$2015,S$13,$D$18:$D$2015,"&gt;="&amp;S196,$D$18:$D$2015,"&lt;"&amp;S197))</f>
        <v/>
      </c>
      <c r="U196" s="14" t="n"/>
      <c r="V196" s="16" t="n"/>
      <c r="W196" s="124">
        <f>IF(V196="","",COUNTIFS($C$18:$C$2015,V$13,$D$18:$D$2015,"&gt;="&amp;V196,$D$18:$D$2015,"&lt;"&amp;V197))</f>
        <v/>
      </c>
      <c r="X196" s="14" t="n"/>
      <c r="Y196" s="16" t="n"/>
      <c r="Z196" s="124">
        <f>IF(Y196="","",COUNTIFS($C$18:$C$2015,Y$13,$D$18:$D$2015,"&gt;="&amp;Y196,$D$18:$D$2015,"&lt;"&amp;Y197))</f>
        <v/>
      </c>
      <c r="AA196" s="14" t="n"/>
      <c r="AB196" s="16" t="n"/>
      <c r="AC196" s="124">
        <f>IF(AB196="","",COUNTIFS($C$18:$C$2015,AB$13,$D$18:$D$2015,"&gt;="&amp;AB196,$D$18:$D$2015,"&lt;"&amp;AB197))</f>
        <v/>
      </c>
      <c r="AD196" s="14" t="n"/>
    </row>
    <row r="197">
      <c r="A197" s="58" t="n"/>
      <c r="B197" s="59" t="n"/>
      <c r="C197" s="59" t="n"/>
      <c r="E197" s="16" t="n"/>
      <c r="F197" s="13" t="n"/>
      <c r="G197" s="16" t="n"/>
      <c r="H197" s="124">
        <f>IF(G197="","",COUNTIFS($C$18:$C$2015,G$13,$D$18:$D$2015,"&gt;="&amp;G197,$D$18:$D$2015,"&lt;"&amp;G198))</f>
        <v/>
      </c>
      <c r="I197" s="14" t="n"/>
      <c r="J197" s="16" t="n"/>
      <c r="K197" s="124">
        <f>IF(J197="","",COUNTIFS($C$18:$C$2015,J$13,$D$18:$D$2015,"&gt;="&amp;J197,$D$18:$D$2015,"&lt;"&amp;J198))</f>
        <v/>
      </c>
      <c r="L197" s="14" t="n"/>
      <c r="M197" s="16" t="n"/>
      <c r="N197" s="124">
        <f>IF(M197="","",COUNTIFS($C$18:$C$2015,M$13,$D$18:$D$2015,"&gt;="&amp;M197,$D$18:$D$2015,"&lt;"&amp;M198))</f>
        <v/>
      </c>
      <c r="O197" s="14" t="n"/>
      <c r="P197" s="16" t="n"/>
      <c r="Q197" s="124">
        <f>IF(P197="","",COUNTIFS($C$18:$C$2015,P$13,$D$18:$D$2015,"&gt;="&amp;P197,$D$18:$D$2015,"&lt;"&amp;P198))</f>
        <v/>
      </c>
      <c r="R197" s="14" t="n"/>
      <c r="S197" s="16" t="n"/>
      <c r="T197" s="124">
        <f>IF(S197="","",COUNTIFS($C$18:$C$2015,S$13,$D$18:$D$2015,"&gt;="&amp;S197,$D$18:$D$2015,"&lt;"&amp;S198))</f>
        <v/>
      </c>
      <c r="U197" s="14" t="n"/>
      <c r="V197" s="16" t="n"/>
      <c r="W197" s="124">
        <f>IF(V197="","",COUNTIFS($C$18:$C$2015,V$13,$D$18:$D$2015,"&gt;="&amp;V197,$D$18:$D$2015,"&lt;"&amp;V198))</f>
        <v/>
      </c>
      <c r="X197" s="14" t="n"/>
      <c r="Y197" s="16" t="n"/>
      <c r="Z197" s="124">
        <f>IF(Y197="","",COUNTIFS($C$18:$C$2015,Y$13,$D$18:$D$2015,"&gt;="&amp;Y197,$D$18:$D$2015,"&lt;"&amp;Y198))</f>
        <v/>
      </c>
      <c r="AA197" s="14" t="n"/>
      <c r="AB197" s="16" t="n"/>
      <c r="AC197" s="124">
        <f>IF(AB197="","",COUNTIFS($C$18:$C$2015,AB$13,$D$18:$D$2015,"&gt;="&amp;AB197,$D$18:$D$2015,"&lt;"&amp;AB198))</f>
        <v/>
      </c>
      <c r="AD197" s="14" t="n"/>
    </row>
    <row r="198">
      <c r="A198" s="56" t="n"/>
      <c r="B198" s="57" t="n"/>
      <c r="C198" s="59" t="n"/>
      <c r="E198" s="16" t="n"/>
      <c r="F198" s="13" t="n"/>
      <c r="G198" s="16" t="n"/>
      <c r="H198" s="124">
        <f>IF(G198="","",COUNTIFS($C$18:$C$2015,G$13,$D$18:$D$2015,"&gt;="&amp;G198,$D$18:$D$2015,"&lt;"&amp;G199))</f>
        <v/>
      </c>
      <c r="I198" s="14" t="n"/>
      <c r="J198" s="16" t="n"/>
      <c r="K198" s="124">
        <f>IF(J198="","",COUNTIFS($C$18:$C$2015,J$13,$D$18:$D$2015,"&gt;="&amp;J198,$D$18:$D$2015,"&lt;"&amp;J199))</f>
        <v/>
      </c>
      <c r="L198" s="14" t="n"/>
      <c r="M198" s="16" t="n"/>
      <c r="N198" s="124">
        <f>IF(M198="","",COUNTIFS($C$18:$C$2015,M$13,$D$18:$D$2015,"&gt;="&amp;M198,$D$18:$D$2015,"&lt;"&amp;M199))</f>
        <v/>
      </c>
      <c r="O198" s="14" t="n"/>
      <c r="P198" s="16" t="n"/>
      <c r="Q198" s="124">
        <f>IF(P198="","",COUNTIFS($C$18:$C$2015,P$13,$D$18:$D$2015,"&gt;="&amp;P198,$D$18:$D$2015,"&lt;"&amp;P199))</f>
        <v/>
      </c>
      <c r="R198" s="14" t="n"/>
      <c r="S198" s="16" t="n"/>
      <c r="T198" s="124">
        <f>IF(S198="","",COUNTIFS($C$18:$C$2015,S$13,$D$18:$D$2015,"&gt;="&amp;S198,$D$18:$D$2015,"&lt;"&amp;S199))</f>
        <v/>
      </c>
      <c r="U198" s="14" t="n"/>
      <c r="V198" s="16" t="n"/>
      <c r="W198" s="124">
        <f>IF(V198="","",COUNTIFS($C$18:$C$2015,V$13,$D$18:$D$2015,"&gt;="&amp;V198,$D$18:$D$2015,"&lt;"&amp;V199))</f>
        <v/>
      </c>
      <c r="X198" s="14" t="n"/>
      <c r="Y198" s="16" t="n"/>
      <c r="Z198" s="124">
        <f>IF(Y198="","",COUNTIFS($C$18:$C$2015,Y$13,$D$18:$D$2015,"&gt;="&amp;Y198,$D$18:$D$2015,"&lt;"&amp;Y199))</f>
        <v/>
      </c>
      <c r="AA198" s="14" t="n"/>
      <c r="AB198" s="16" t="n"/>
      <c r="AC198" s="124">
        <f>IF(AB198="","",COUNTIFS($C$18:$C$2015,AB$13,$D$18:$D$2015,"&gt;="&amp;AB198,$D$18:$D$2015,"&lt;"&amp;AB199))</f>
        <v/>
      </c>
      <c r="AD198" s="14" t="n"/>
    </row>
    <row r="199">
      <c r="A199" s="58" t="n"/>
      <c r="B199" s="59" t="n"/>
      <c r="C199" s="59" t="n"/>
      <c r="E199" s="16" t="n"/>
      <c r="F199" s="13" t="n"/>
      <c r="G199" s="16" t="n"/>
      <c r="H199" s="124">
        <f>IF(G199="","",COUNTIFS($C$18:$C$2015,G$13,$D$18:$D$2015,"&gt;="&amp;G199,$D$18:$D$2015,"&lt;"&amp;G200))</f>
        <v/>
      </c>
      <c r="I199" s="14" t="n"/>
      <c r="J199" s="16" t="n"/>
      <c r="K199" s="124">
        <f>IF(J199="","",COUNTIFS($C$18:$C$2015,J$13,$D$18:$D$2015,"&gt;="&amp;J199,$D$18:$D$2015,"&lt;"&amp;J200))</f>
        <v/>
      </c>
      <c r="L199" s="14" t="n"/>
      <c r="M199" s="16" t="n"/>
      <c r="N199" s="124">
        <f>IF(M199="","",COUNTIFS($C$18:$C$2015,M$13,$D$18:$D$2015,"&gt;="&amp;M199,$D$18:$D$2015,"&lt;"&amp;M200))</f>
        <v/>
      </c>
      <c r="O199" s="14" t="n"/>
      <c r="P199" s="16" t="n"/>
      <c r="Q199" s="124">
        <f>IF(P199="","",COUNTIFS($C$18:$C$2015,P$13,$D$18:$D$2015,"&gt;="&amp;P199,$D$18:$D$2015,"&lt;"&amp;P200))</f>
        <v/>
      </c>
      <c r="R199" s="14" t="n"/>
      <c r="S199" s="16" t="n"/>
      <c r="T199" s="124">
        <f>IF(S199="","",COUNTIFS($C$18:$C$2015,S$13,$D$18:$D$2015,"&gt;="&amp;S199,$D$18:$D$2015,"&lt;"&amp;S200))</f>
        <v/>
      </c>
      <c r="U199" s="14" t="n"/>
      <c r="V199" s="16" t="n"/>
      <c r="W199" s="124">
        <f>IF(V199="","",COUNTIFS($C$18:$C$2015,V$13,$D$18:$D$2015,"&gt;="&amp;V199,$D$18:$D$2015,"&lt;"&amp;V200))</f>
        <v/>
      </c>
      <c r="X199" s="14" t="n"/>
      <c r="Y199" s="16" t="n"/>
      <c r="Z199" s="124">
        <f>IF(Y199="","",COUNTIFS($C$18:$C$2015,Y$13,$D$18:$D$2015,"&gt;="&amp;Y199,$D$18:$D$2015,"&lt;"&amp;Y200))</f>
        <v/>
      </c>
      <c r="AA199" s="14" t="n"/>
      <c r="AB199" s="16" t="n"/>
      <c r="AC199" s="124">
        <f>IF(AB199="","",COUNTIFS($C$18:$C$2015,AB$13,$D$18:$D$2015,"&gt;="&amp;AB199,$D$18:$D$2015,"&lt;"&amp;AB200))</f>
        <v/>
      </c>
      <c r="AD199" s="14" t="n"/>
    </row>
    <row r="200">
      <c r="A200" s="56" t="n"/>
      <c r="B200" s="57" t="n"/>
      <c r="C200" s="59" t="n"/>
      <c r="E200" s="16" t="n"/>
      <c r="F200" s="13" t="n"/>
      <c r="G200" s="16" t="n"/>
      <c r="H200" s="124">
        <f>IF(G200="","",COUNTIFS($C$18:$C$2015,G$13,$D$18:$D$2015,"&gt;="&amp;G200,$D$18:$D$2015,"&lt;"&amp;G201))</f>
        <v/>
      </c>
      <c r="I200" s="14" t="n"/>
      <c r="J200" s="16" t="n"/>
      <c r="K200" s="124">
        <f>IF(J200="","",COUNTIFS($C$18:$C$2015,J$13,$D$18:$D$2015,"&gt;="&amp;J200,$D$18:$D$2015,"&lt;"&amp;J201))</f>
        <v/>
      </c>
      <c r="L200" s="14" t="n"/>
      <c r="M200" s="16" t="n"/>
      <c r="N200" s="124">
        <f>IF(M200="","",COUNTIFS($C$18:$C$2015,M$13,$D$18:$D$2015,"&gt;="&amp;M200,$D$18:$D$2015,"&lt;"&amp;M201))</f>
        <v/>
      </c>
      <c r="O200" s="14" t="n"/>
      <c r="P200" s="16" t="n"/>
      <c r="Q200" s="124">
        <f>IF(P200="","",COUNTIFS($C$18:$C$2015,P$13,$D$18:$D$2015,"&gt;="&amp;P200,$D$18:$D$2015,"&lt;"&amp;P201))</f>
        <v/>
      </c>
      <c r="R200" s="14" t="n"/>
      <c r="S200" s="16" t="n"/>
      <c r="T200" s="124">
        <f>IF(S200="","",COUNTIFS($C$18:$C$2015,S$13,$D$18:$D$2015,"&gt;="&amp;S200,$D$18:$D$2015,"&lt;"&amp;S201))</f>
        <v/>
      </c>
      <c r="U200" s="14" t="n"/>
      <c r="V200" s="16" t="n"/>
      <c r="W200" s="124">
        <f>IF(V200="","",COUNTIFS($C$18:$C$2015,V$13,$D$18:$D$2015,"&gt;="&amp;V200,$D$18:$D$2015,"&lt;"&amp;V201))</f>
        <v/>
      </c>
      <c r="X200" s="14" t="n"/>
      <c r="Y200" s="16" t="n"/>
      <c r="Z200" s="124">
        <f>IF(Y200="","",COUNTIFS($C$18:$C$2015,Y$13,$D$18:$D$2015,"&gt;="&amp;Y200,$D$18:$D$2015,"&lt;"&amp;Y201))</f>
        <v/>
      </c>
      <c r="AA200" s="14" t="n"/>
      <c r="AB200" s="16" t="n"/>
      <c r="AC200" s="124">
        <f>IF(AB200="","",COUNTIFS($C$18:$C$2015,AB$13,$D$18:$D$2015,"&gt;="&amp;AB200,$D$18:$D$2015,"&lt;"&amp;AB201))</f>
        <v/>
      </c>
      <c r="AD200" s="14" t="n"/>
    </row>
    <row r="201">
      <c r="A201" s="58" t="n"/>
      <c r="B201" s="59" t="n"/>
      <c r="C201" s="59" t="n"/>
      <c r="E201" s="16" t="n"/>
      <c r="F201" s="13" t="n"/>
      <c r="G201" s="16" t="n"/>
      <c r="H201" s="124">
        <f>IF(G201="","",COUNTIFS($C$18:$C$2015,G$13,$D$18:$D$2015,"&gt;="&amp;G201,$D$18:$D$2015,"&lt;"&amp;G202))</f>
        <v/>
      </c>
      <c r="I201" s="14" t="n"/>
      <c r="J201" s="16" t="n"/>
      <c r="K201" s="124">
        <f>IF(J201="","",COUNTIFS($C$18:$C$2015,J$13,$D$18:$D$2015,"&gt;="&amp;J201,$D$18:$D$2015,"&lt;"&amp;J202))</f>
        <v/>
      </c>
      <c r="L201" s="14" t="n"/>
      <c r="M201" s="16" t="n"/>
      <c r="N201" s="124">
        <f>IF(M201="","",COUNTIFS($C$18:$C$2015,M$13,$D$18:$D$2015,"&gt;="&amp;M201,$D$18:$D$2015,"&lt;"&amp;M202))</f>
        <v/>
      </c>
      <c r="O201" s="14" t="n"/>
      <c r="P201" s="16" t="n"/>
      <c r="Q201" s="124">
        <f>IF(P201="","",COUNTIFS($C$18:$C$2015,P$13,$D$18:$D$2015,"&gt;="&amp;P201,$D$18:$D$2015,"&lt;"&amp;P202))</f>
        <v/>
      </c>
      <c r="R201" s="14" t="n"/>
      <c r="S201" s="16" t="n"/>
      <c r="T201" s="124">
        <f>IF(S201="","",COUNTIFS($C$18:$C$2015,S$13,$D$18:$D$2015,"&gt;="&amp;S201,$D$18:$D$2015,"&lt;"&amp;S202))</f>
        <v/>
      </c>
      <c r="U201" s="14" t="n"/>
      <c r="V201" s="16" t="n"/>
      <c r="W201" s="124">
        <f>IF(V201="","",COUNTIFS($C$18:$C$2015,V$13,$D$18:$D$2015,"&gt;="&amp;V201,$D$18:$D$2015,"&lt;"&amp;V202))</f>
        <v/>
      </c>
      <c r="X201" s="14" t="n"/>
      <c r="Y201" s="16" t="n"/>
      <c r="Z201" s="124">
        <f>IF(Y201="","",COUNTIFS($C$18:$C$2015,Y$13,$D$18:$D$2015,"&gt;="&amp;Y201,$D$18:$D$2015,"&lt;"&amp;Y202))</f>
        <v/>
      </c>
      <c r="AA201" s="14" t="n"/>
      <c r="AB201" s="16" t="n"/>
      <c r="AC201" s="124">
        <f>IF(AB201="","",COUNTIFS($C$18:$C$2015,AB$13,$D$18:$D$2015,"&gt;="&amp;AB201,$D$18:$D$2015,"&lt;"&amp;AB202))</f>
        <v/>
      </c>
      <c r="AD201" s="14" t="n"/>
    </row>
    <row r="202">
      <c r="A202" s="56" t="n"/>
      <c r="B202" s="57" t="n"/>
      <c r="C202" s="59" t="n"/>
      <c r="E202" s="16" t="n"/>
      <c r="F202" s="13" t="n"/>
      <c r="G202" s="16" t="n"/>
      <c r="H202" s="124">
        <f>IF(G202="","",COUNTIFS($C$18:$C$2015,G$13,$D$18:$D$2015,"&gt;="&amp;G202,$D$18:$D$2015,"&lt;"&amp;G203))</f>
        <v/>
      </c>
      <c r="I202" s="14" t="n"/>
      <c r="J202" s="16" t="n"/>
      <c r="K202" s="124">
        <f>IF(J202="","",COUNTIFS($C$18:$C$2015,J$13,$D$18:$D$2015,"&gt;="&amp;J202,$D$18:$D$2015,"&lt;"&amp;J203))</f>
        <v/>
      </c>
      <c r="L202" s="14" t="n"/>
      <c r="M202" s="16" t="n"/>
      <c r="N202" s="124">
        <f>IF(M202="","",COUNTIFS($C$18:$C$2015,M$13,$D$18:$D$2015,"&gt;="&amp;M202,$D$18:$D$2015,"&lt;"&amp;M203))</f>
        <v/>
      </c>
      <c r="O202" s="14" t="n"/>
      <c r="P202" s="16" t="n"/>
      <c r="Q202" s="124">
        <f>IF(P202="","",COUNTIFS($C$18:$C$2015,P$13,$D$18:$D$2015,"&gt;="&amp;P202,$D$18:$D$2015,"&lt;"&amp;P203))</f>
        <v/>
      </c>
      <c r="R202" s="14" t="n"/>
      <c r="S202" s="16" t="n"/>
      <c r="T202" s="124">
        <f>IF(S202="","",COUNTIFS($C$18:$C$2015,S$13,$D$18:$D$2015,"&gt;="&amp;S202,$D$18:$D$2015,"&lt;"&amp;S203))</f>
        <v/>
      </c>
      <c r="U202" s="14" t="n"/>
      <c r="V202" s="16" t="n"/>
      <c r="W202" s="124">
        <f>IF(V202="","",COUNTIFS($C$18:$C$2015,V$13,$D$18:$D$2015,"&gt;="&amp;V202,$D$18:$D$2015,"&lt;"&amp;V203))</f>
        <v/>
      </c>
      <c r="X202" s="14" t="n"/>
      <c r="Y202" s="16" t="n"/>
      <c r="Z202" s="124">
        <f>IF(Y202="","",COUNTIFS($C$18:$C$2015,Y$13,$D$18:$D$2015,"&gt;="&amp;Y202,$D$18:$D$2015,"&lt;"&amp;Y203))</f>
        <v/>
      </c>
      <c r="AA202" s="14" t="n"/>
      <c r="AB202" s="16" t="n"/>
      <c r="AC202" s="124">
        <f>IF(AB202="","",COUNTIFS($C$18:$C$2015,AB$13,$D$18:$D$2015,"&gt;="&amp;AB202,$D$18:$D$2015,"&lt;"&amp;AB203))</f>
        <v/>
      </c>
      <c r="AD202" s="14" t="n"/>
    </row>
    <row r="203">
      <c r="A203" s="58" t="n"/>
      <c r="B203" s="59" t="n"/>
      <c r="C203" s="59" t="n"/>
      <c r="E203" s="16" t="n"/>
      <c r="F203" s="13" t="n"/>
      <c r="G203" s="16" t="n"/>
      <c r="H203" s="124">
        <f>IF(G203="","",COUNTIFS($C$18:$C$2015,G$13,$D$18:$D$2015,"&gt;="&amp;G203,$D$18:$D$2015,"&lt;"&amp;G204))</f>
        <v/>
      </c>
      <c r="I203" s="14" t="n"/>
      <c r="J203" s="16" t="n"/>
      <c r="K203" s="124">
        <f>IF(J203="","",COUNTIFS($C$18:$C$2015,J$13,$D$18:$D$2015,"&gt;="&amp;J203,$D$18:$D$2015,"&lt;"&amp;J204))</f>
        <v/>
      </c>
      <c r="L203" s="14" t="n"/>
      <c r="M203" s="16" t="n"/>
      <c r="N203" s="124">
        <f>IF(M203="","",COUNTIFS($C$18:$C$2015,M$13,$D$18:$D$2015,"&gt;="&amp;M203,$D$18:$D$2015,"&lt;"&amp;M204))</f>
        <v/>
      </c>
      <c r="O203" s="14" t="n"/>
      <c r="P203" s="16" t="n"/>
      <c r="Q203" s="124">
        <f>IF(P203="","",COUNTIFS($C$18:$C$2015,P$13,$D$18:$D$2015,"&gt;="&amp;P203,$D$18:$D$2015,"&lt;"&amp;P204))</f>
        <v/>
      </c>
      <c r="R203" s="14" t="n"/>
      <c r="S203" s="16" t="n"/>
      <c r="T203" s="124">
        <f>IF(S203="","",COUNTIFS($C$18:$C$2015,S$13,$D$18:$D$2015,"&gt;="&amp;S203,$D$18:$D$2015,"&lt;"&amp;S204))</f>
        <v/>
      </c>
      <c r="U203" s="14" t="n"/>
      <c r="V203" s="16" t="n"/>
      <c r="W203" s="124">
        <f>IF(V203="","",COUNTIFS($C$18:$C$2015,V$13,$D$18:$D$2015,"&gt;="&amp;V203,$D$18:$D$2015,"&lt;"&amp;V204))</f>
        <v/>
      </c>
      <c r="X203" s="14" t="n"/>
      <c r="Y203" s="16" t="n"/>
      <c r="Z203" s="124">
        <f>IF(Y203="","",COUNTIFS($C$18:$C$2015,Y$13,$D$18:$D$2015,"&gt;="&amp;Y203,$D$18:$D$2015,"&lt;"&amp;Y204))</f>
        <v/>
      </c>
      <c r="AA203" s="14" t="n"/>
      <c r="AB203" s="16" t="n"/>
      <c r="AC203" s="124">
        <f>IF(AB203="","",COUNTIFS($C$18:$C$2015,AB$13,$D$18:$D$2015,"&gt;="&amp;AB203,$D$18:$D$2015,"&lt;"&amp;AB204))</f>
        <v/>
      </c>
      <c r="AD203" s="14" t="n"/>
    </row>
    <row r="204">
      <c r="A204" s="56" t="n"/>
      <c r="B204" s="57" t="n"/>
      <c r="C204" s="59" t="n"/>
      <c r="E204" s="16" t="n"/>
      <c r="F204" s="13" t="n"/>
      <c r="G204" s="16" t="n"/>
      <c r="H204" s="124">
        <f>IF(G204="","",COUNTIFS($C$18:$C$2015,G$13,$D$18:$D$2015,"&gt;="&amp;G204,$D$18:$D$2015,"&lt;"&amp;G205))</f>
        <v/>
      </c>
      <c r="I204" s="14" t="n"/>
      <c r="J204" s="16" t="n"/>
      <c r="K204" s="124">
        <f>IF(J204="","",COUNTIFS($C$18:$C$2015,J$13,$D$18:$D$2015,"&gt;="&amp;J204,$D$18:$D$2015,"&lt;"&amp;J205))</f>
        <v/>
      </c>
      <c r="L204" s="14" t="n"/>
      <c r="M204" s="16" t="n"/>
      <c r="N204" s="124">
        <f>IF(M204="","",COUNTIFS($C$18:$C$2015,M$13,$D$18:$D$2015,"&gt;="&amp;M204,$D$18:$D$2015,"&lt;"&amp;M205))</f>
        <v/>
      </c>
      <c r="O204" s="14" t="n"/>
      <c r="P204" s="16" t="n"/>
      <c r="Q204" s="124">
        <f>IF(P204="","",COUNTIFS($C$18:$C$2015,P$13,$D$18:$D$2015,"&gt;="&amp;P204,$D$18:$D$2015,"&lt;"&amp;P205))</f>
        <v/>
      </c>
      <c r="R204" s="14" t="n"/>
      <c r="S204" s="16" t="n"/>
      <c r="T204" s="124">
        <f>IF(S204="","",COUNTIFS($C$18:$C$2015,S$13,$D$18:$D$2015,"&gt;="&amp;S204,$D$18:$D$2015,"&lt;"&amp;S205))</f>
        <v/>
      </c>
      <c r="U204" s="14" t="n"/>
      <c r="V204" s="16" t="n"/>
      <c r="W204" s="124">
        <f>IF(V204="","",COUNTIFS($C$18:$C$2015,V$13,$D$18:$D$2015,"&gt;="&amp;V204,$D$18:$D$2015,"&lt;"&amp;V205))</f>
        <v/>
      </c>
      <c r="X204" s="14" t="n"/>
      <c r="Y204" s="16" t="n"/>
      <c r="Z204" s="124">
        <f>IF(Y204="","",COUNTIFS($C$18:$C$2015,Y$13,$D$18:$D$2015,"&gt;="&amp;Y204,$D$18:$D$2015,"&lt;"&amp;Y205))</f>
        <v/>
      </c>
      <c r="AA204" s="14" t="n"/>
      <c r="AB204" s="16" t="n"/>
      <c r="AC204" s="124">
        <f>IF(AB204="","",COUNTIFS($C$18:$C$2015,AB$13,$D$18:$D$2015,"&gt;="&amp;AB204,$D$18:$D$2015,"&lt;"&amp;AB205))</f>
        <v/>
      </c>
      <c r="AD204" s="14" t="n"/>
    </row>
    <row r="205">
      <c r="A205" s="58" t="n"/>
      <c r="B205" s="59" t="n"/>
      <c r="C205" s="59" t="n"/>
      <c r="E205" s="16" t="n"/>
      <c r="F205" s="13" t="n"/>
      <c r="G205" s="16" t="n"/>
      <c r="H205" s="124">
        <f>IF(G205="","",COUNTIFS($C$18:$C$2015,G$13,$D$18:$D$2015,"&gt;="&amp;G205,$D$18:$D$2015,"&lt;"&amp;G206))</f>
        <v/>
      </c>
      <c r="I205" s="14" t="n"/>
      <c r="J205" s="16" t="n"/>
      <c r="K205" s="124">
        <f>IF(J205="","",COUNTIFS($C$18:$C$2015,J$13,$D$18:$D$2015,"&gt;="&amp;J205,$D$18:$D$2015,"&lt;"&amp;J206))</f>
        <v/>
      </c>
      <c r="L205" s="14" t="n"/>
      <c r="M205" s="16" t="n"/>
      <c r="N205" s="124">
        <f>IF(M205="","",COUNTIFS($C$18:$C$2015,M$13,$D$18:$D$2015,"&gt;="&amp;M205,$D$18:$D$2015,"&lt;"&amp;M206))</f>
        <v/>
      </c>
      <c r="O205" s="14" t="n"/>
      <c r="P205" s="16" t="n"/>
      <c r="Q205" s="124">
        <f>IF(P205="","",COUNTIFS($C$18:$C$2015,P$13,$D$18:$D$2015,"&gt;="&amp;P205,$D$18:$D$2015,"&lt;"&amp;P206))</f>
        <v/>
      </c>
      <c r="R205" s="14" t="n"/>
      <c r="S205" s="16" t="n"/>
      <c r="T205" s="124">
        <f>IF(S205="","",COUNTIFS($C$18:$C$2015,S$13,$D$18:$D$2015,"&gt;="&amp;S205,$D$18:$D$2015,"&lt;"&amp;S206))</f>
        <v/>
      </c>
      <c r="U205" s="14" t="n"/>
      <c r="V205" s="16" t="n"/>
      <c r="W205" s="124">
        <f>IF(V205="","",COUNTIFS($C$18:$C$2015,V$13,$D$18:$D$2015,"&gt;="&amp;V205,$D$18:$D$2015,"&lt;"&amp;V206))</f>
        <v/>
      </c>
      <c r="X205" s="14" t="n"/>
      <c r="Y205" s="16" t="n"/>
      <c r="Z205" s="124">
        <f>IF(Y205="","",COUNTIFS($C$18:$C$2015,Y$13,$D$18:$D$2015,"&gt;="&amp;Y205,$D$18:$D$2015,"&lt;"&amp;Y206))</f>
        <v/>
      </c>
      <c r="AA205" s="14" t="n"/>
      <c r="AB205" s="16" t="n"/>
      <c r="AC205" s="124">
        <f>IF(AB205="","",COUNTIFS($C$18:$C$2015,AB$13,$D$18:$D$2015,"&gt;="&amp;AB205,$D$18:$D$2015,"&lt;"&amp;AB206))</f>
        <v/>
      </c>
      <c r="AD205" s="14" t="n"/>
    </row>
    <row r="206">
      <c r="A206" s="56" t="n"/>
      <c r="B206" s="57" t="n"/>
      <c r="C206" s="59" t="n"/>
      <c r="E206" s="16" t="n"/>
      <c r="F206" s="13" t="n"/>
      <c r="G206" s="16" t="n"/>
      <c r="H206" s="124">
        <f>IF(G206="","",COUNTIFS($C$18:$C$2015,G$13,$D$18:$D$2015,"&gt;="&amp;G206,$D$18:$D$2015,"&lt;"&amp;G207))</f>
        <v/>
      </c>
      <c r="I206" s="14" t="n"/>
      <c r="J206" s="16" t="n"/>
      <c r="K206" s="124">
        <f>IF(J206="","",COUNTIFS($C$18:$C$2015,J$13,$D$18:$D$2015,"&gt;="&amp;J206,$D$18:$D$2015,"&lt;"&amp;J207))</f>
        <v/>
      </c>
      <c r="L206" s="14" t="n"/>
      <c r="M206" s="16" t="n"/>
      <c r="N206" s="124">
        <f>IF(M206="","",COUNTIFS($C$18:$C$2015,M$13,$D$18:$D$2015,"&gt;="&amp;M206,$D$18:$D$2015,"&lt;"&amp;M207))</f>
        <v/>
      </c>
      <c r="O206" s="14" t="n"/>
      <c r="P206" s="16" t="n"/>
      <c r="Q206" s="124">
        <f>IF(P206="","",COUNTIFS($C$18:$C$2015,P$13,$D$18:$D$2015,"&gt;="&amp;P206,$D$18:$D$2015,"&lt;"&amp;P207))</f>
        <v/>
      </c>
      <c r="R206" s="14" t="n"/>
      <c r="S206" s="16" t="n"/>
      <c r="T206" s="124">
        <f>IF(S206="","",COUNTIFS($C$18:$C$2015,S$13,$D$18:$D$2015,"&gt;="&amp;S206,$D$18:$D$2015,"&lt;"&amp;S207))</f>
        <v/>
      </c>
      <c r="U206" s="14" t="n"/>
      <c r="V206" s="16" t="n"/>
      <c r="W206" s="124">
        <f>IF(V206="","",COUNTIFS($C$18:$C$2015,V$13,$D$18:$D$2015,"&gt;="&amp;V206,$D$18:$D$2015,"&lt;"&amp;V207))</f>
        <v/>
      </c>
      <c r="X206" s="14" t="n"/>
      <c r="Y206" s="16" t="n"/>
      <c r="Z206" s="124">
        <f>IF(Y206="","",COUNTIFS($C$18:$C$2015,Y$13,$D$18:$D$2015,"&gt;="&amp;Y206,$D$18:$D$2015,"&lt;"&amp;Y207))</f>
        <v/>
      </c>
      <c r="AA206" s="14" t="n"/>
      <c r="AB206" s="16" t="n"/>
      <c r="AC206" s="124">
        <f>IF(AB206="","",COUNTIFS($C$18:$C$2015,AB$13,$D$18:$D$2015,"&gt;="&amp;AB206,$D$18:$D$2015,"&lt;"&amp;AB207))</f>
        <v/>
      </c>
      <c r="AD206" s="14" t="n"/>
    </row>
    <row r="207">
      <c r="A207" s="58" t="n"/>
      <c r="B207" s="59" t="n"/>
      <c r="C207" s="59" t="n"/>
      <c r="E207" s="16" t="n"/>
      <c r="F207" s="13" t="n"/>
      <c r="G207" s="16" t="n"/>
      <c r="H207" s="124">
        <f>IF(G207="","",COUNTIFS($C$18:$C$2015,G$13,$D$18:$D$2015,"&gt;="&amp;G207,$D$18:$D$2015,"&lt;"&amp;G208))</f>
        <v/>
      </c>
      <c r="I207" s="14" t="n"/>
      <c r="J207" s="16" t="n"/>
      <c r="K207" s="124">
        <f>IF(J207="","",COUNTIFS($C$18:$C$2015,J$13,$D$18:$D$2015,"&gt;="&amp;J207,$D$18:$D$2015,"&lt;"&amp;J208))</f>
        <v/>
      </c>
      <c r="L207" s="14" t="n"/>
      <c r="M207" s="16" t="n"/>
      <c r="N207" s="124">
        <f>IF(M207="","",COUNTIFS($C$18:$C$2015,M$13,$D$18:$D$2015,"&gt;="&amp;M207,$D$18:$D$2015,"&lt;"&amp;M208))</f>
        <v/>
      </c>
      <c r="O207" s="14" t="n"/>
      <c r="P207" s="16" t="n"/>
      <c r="Q207" s="124">
        <f>IF(P207="","",COUNTIFS($C$18:$C$2015,P$13,$D$18:$D$2015,"&gt;="&amp;P207,$D$18:$D$2015,"&lt;"&amp;P208))</f>
        <v/>
      </c>
      <c r="R207" s="14" t="n"/>
      <c r="S207" s="16" t="n"/>
      <c r="T207" s="124">
        <f>IF(S207="","",COUNTIFS($C$18:$C$2015,S$13,$D$18:$D$2015,"&gt;="&amp;S207,$D$18:$D$2015,"&lt;"&amp;S208))</f>
        <v/>
      </c>
      <c r="U207" s="14" t="n"/>
      <c r="V207" s="16" t="n"/>
      <c r="W207" s="124">
        <f>IF(V207="","",COUNTIFS($C$18:$C$2015,V$13,$D$18:$D$2015,"&gt;="&amp;V207,$D$18:$D$2015,"&lt;"&amp;V208))</f>
        <v/>
      </c>
      <c r="X207" s="14" t="n"/>
      <c r="Y207" s="16" t="n"/>
      <c r="Z207" s="124">
        <f>IF(Y207="","",COUNTIFS($C$18:$C$2015,Y$13,$D$18:$D$2015,"&gt;="&amp;Y207,$D$18:$D$2015,"&lt;"&amp;Y208))</f>
        <v/>
      </c>
      <c r="AA207" s="14" t="n"/>
      <c r="AB207" s="16" t="n"/>
      <c r="AC207" s="124">
        <f>IF(AB207="","",COUNTIFS($C$18:$C$2015,AB$13,$D$18:$D$2015,"&gt;="&amp;AB207,$D$18:$D$2015,"&lt;"&amp;AB208))</f>
        <v/>
      </c>
      <c r="AD207" s="14" t="n"/>
    </row>
    <row r="208">
      <c r="A208" s="56" t="n"/>
      <c r="B208" s="57" t="n"/>
      <c r="C208" s="59" t="n"/>
      <c r="E208" s="16" t="n"/>
      <c r="F208" s="13" t="n"/>
      <c r="G208" s="16" t="n"/>
      <c r="H208" s="124">
        <f>IF(G208="","",COUNTIFS($C$18:$C$2015,G$13,$D$18:$D$2015,"&gt;="&amp;G208,$D$18:$D$2015,"&lt;"&amp;G209))</f>
        <v/>
      </c>
      <c r="I208" s="14" t="n"/>
      <c r="J208" s="16" t="n"/>
      <c r="K208" s="124">
        <f>IF(J208="","",COUNTIFS($C$18:$C$2015,J$13,$D$18:$D$2015,"&gt;="&amp;J208,$D$18:$D$2015,"&lt;"&amp;J209))</f>
        <v/>
      </c>
      <c r="L208" s="14" t="n"/>
      <c r="M208" s="16" t="n"/>
      <c r="N208" s="124">
        <f>IF(M208="","",COUNTIFS($C$18:$C$2015,M$13,$D$18:$D$2015,"&gt;="&amp;M208,$D$18:$D$2015,"&lt;"&amp;M209))</f>
        <v/>
      </c>
      <c r="O208" s="14" t="n"/>
      <c r="P208" s="16" t="n"/>
      <c r="Q208" s="124">
        <f>IF(P208="","",COUNTIFS($C$18:$C$2015,P$13,$D$18:$D$2015,"&gt;="&amp;P208,$D$18:$D$2015,"&lt;"&amp;P209))</f>
        <v/>
      </c>
      <c r="R208" s="14" t="n"/>
      <c r="S208" s="16" t="n"/>
      <c r="T208" s="124">
        <f>IF(S208="","",COUNTIFS($C$18:$C$2015,S$13,$D$18:$D$2015,"&gt;="&amp;S208,$D$18:$D$2015,"&lt;"&amp;S209))</f>
        <v/>
      </c>
      <c r="U208" s="14" t="n"/>
      <c r="V208" s="16" t="n"/>
      <c r="W208" s="124">
        <f>IF(V208="","",COUNTIFS($C$18:$C$2015,V$13,$D$18:$D$2015,"&gt;="&amp;V208,$D$18:$D$2015,"&lt;"&amp;V209))</f>
        <v/>
      </c>
      <c r="X208" s="14" t="n"/>
      <c r="Y208" s="16" t="n"/>
      <c r="Z208" s="124">
        <f>IF(Y208="","",COUNTIFS($C$18:$C$2015,Y$13,$D$18:$D$2015,"&gt;="&amp;Y208,$D$18:$D$2015,"&lt;"&amp;Y209))</f>
        <v/>
      </c>
      <c r="AA208" s="14" t="n"/>
      <c r="AB208" s="16" t="n"/>
      <c r="AC208" s="124">
        <f>IF(AB208="","",COUNTIFS($C$18:$C$2015,AB$13,$D$18:$D$2015,"&gt;="&amp;AB208,$D$18:$D$2015,"&lt;"&amp;AB209))</f>
        <v/>
      </c>
      <c r="AD208" s="14" t="n"/>
    </row>
    <row r="209">
      <c r="A209" s="58" t="n"/>
      <c r="B209" s="59" t="n"/>
      <c r="C209" s="59" t="n"/>
      <c r="E209" s="16" t="n"/>
      <c r="F209" s="13" t="n"/>
      <c r="G209" s="16" t="n"/>
      <c r="H209" s="124">
        <f>IF(G209="","",COUNTIFS($C$18:$C$2015,G$13,$D$18:$D$2015,"&gt;="&amp;G209,$D$18:$D$2015,"&lt;"&amp;G210))</f>
        <v/>
      </c>
      <c r="I209" s="14" t="n"/>
      <c r="J209" s="16" t="n"/>
      <c r="K209" s="124">
        <f>IF(J209="","",COUNTIFS($C$18:$C$2015,J$13,$D$18:$D$2015,"&gt;="&amp;J209,$D$18:$D$2015,"&lt;"&amp;J210))</f>
        <v/>
      </c>
      <c r="L209" s="14" t="n"/>
      <c r="M209" s="16" t="n"/>
      <c r="N209" s="124">
        <f>IF(M209="","",COUNTIFS($C$18:$C$2015,M$13,$D$18:$D$2015,"&gt;="&amp;M209,$D$18:$D$2015,"&lt;"&amp;M210))</f>
        <v/>
      </c>
      <c r="O209" s="14" t="n"/>
      <c r="P209" s="16" t="n"/>
      <c r="Q209" s="124">
        <f>IF(P209="","",COUNTIFS($C$18:$C$2015,P$13,$D$18:$D$2015,"&gt;="&amp;P209,$D$18:$D$2015,"&lt;"&amp;P210))</f>
        <v/>
      </c>
      <c r="R209" s="14" t="n"/>
      <c r="S209" s="16" t="n"/>
      <c r="T209" s="124">
        <f>IF(S209="","",COUNTIFS($C$18:$C$2015,S$13,$D$18:$D$2015,"&gt;="&amp;S209,$D$18:$D$2015,"&lt;"&amp;S210))</f>
        <v/>
      </c>
      <c r="U209" s="14" t="n"/>
      <c r="V209" s="16" t="n"/>
      <c r="W209" s="124">
        <f>IF(V209="","",COUNTIFS($C$18:$C$2015,V$13,$D$18:$D$2015,"&gt;="&amp;V209,$D$18:$D$2015,"&lt;"&amp;V210))</f>
        <v/>
      </c>
      <c r="X209" s="14" t="n"/>
      <c r="Y209" s="16" t="n"/>
      <c r="Z209" s="124">
        <f>IF(Y209="","",COUNTIFS($C$18:$C$2015,Y$13,$D$18:$D$2015,"&gt;="&amp;Y209,$D$18:$D$2015,"&lt;"&amp;Y210))</f>
        <v/>
      </c>
      <c r="AA209" s="14" t="n"/>
      <c r="AB209" s="16" t="n"/>
      <c r="AC209" s="124">
        <f>IF(AB209="","",COUNTIFS($C$18:$C$2015,AB$13,$D$18:$D$2015,"&gt;="&amp;AB209,$D$18:$D$2015,"&lt;"&amp;AB210))</f>
        <v/>
      </c>
      <c r="AD209" s="14" t="n"/>
    </row>
    <row r="210">
      <c r="A210" s="56" t="n"/>
      <c r="B210" s="57" t="n"/>
      <c r="C210" s="59" t="n"/>
      <c r="E210" s="16" t="n"/>
      <c r="F210" s="13" t="n"/>
      <c r="G210" s="16" t="n"/>
      <c r="H210" s="124">
        <f>IF(G210="","",COUNTIFS($C$18:$C$2015,G$13,$D$18:$D$2015,"&gt;="&amp;G210,$D$18:$D$2015,"&lt;"&amp;G211))</f>
        <v/>
      </c>
      <c r="I210" s="14" t="n"/>
      <c r="J210" s="16" t="n"/>
      <c r="K210" s="124">
        <f>IF(J210="","",COUNTIFS($C$18:$C$2015,J$13,$D$18:$D$2015,"&gt;="&amp;J210,$D$18:$D$2015,"&lt;"&amp;J211))</f>
        <v/>
      </c>
      <c r="L210" s="14" t="n"/>
      <c r="M210" s="16" t="n"/>
      <c r="N210" s="124">
        <f>IF(M210="","",COUNTIFS($C$18:$C$2015,M$13,$D$18:$D$2015,"&gt;="&amp;M210,$D$18:$D$2015,"&lt;"&amp;M211))</f>
        <v/>
      </c>
      <c r="O210" s="14" t="n"/>
      <c r="P210" s="16" t="n"/>
      <c r="Q210" s="124">
        <f>IF(P210="","",COUNTIFS($C$18:$C$2015,P$13,$D$18:$D$2015,"&gt;="&amp;P210,$D$18:$D$2015,"&lt;"&amp;P211))</f>
        <v/>
      </c>
      <c r="R210" s="14" t="n"/>
      <c r="S210" s="16" t="n"/>
      <c r="T210" s="124">
        <f>IF(S210="","",COUNTIFS($C$18:$C$2015,S$13,$D$18:$D$2015,"&gt;="&amp;S210,$D$18:$D$2015,"&lt;"&amp;S211))</f>
        <v/>
      </c>
      <c r="U210" s="14" t="n"/>
      <c r="V210" s="16" t="n"/>
      <c r="W210" s="124">
        <f>IF(V210="","",COUNTIFS($C$18:$C$2015,V$13,$D$18:$D$2015,"&gt;="&amp;V210,$D$18:$D$2015,"&lt;"&amp;V211))</f>
        <v/>
      </c>
      <c r="X210" s="14" t="n"/>
      <c r="Y210" s="16" t="n"/>
      <c r="Z210" s="124">
        <f>IF(Y210="","",COUNTIFS($C$18:$C$2015,Y$13,$D$18:$D$2015,"&gt;="&amp;Y210,$D$18:$D$2015,"&lt;"&amp;Y211))</f>
        <v/>
      </c>
      <c r="AA210" s="14" t="n"/>
      <c r="AB210" s="16" t="n"/>
      <c r="AC210" s="124">
        <f>IF(AB210="","",COUNTIFS($C$18:$C$2015,AB$13,$D$18:$D$2015,"&gt;="&amp;AB210,$D$18:$D$2015,"&lt;"&amp;AB211))</f>
        <v/>
      </c>
      <c r="AD210" s="14" t="n"/>
    </row>
    <row r="211">
      <c r="A211" s="58" t="n"/>
      <c r="B211" s="59" t="n"/>
      <c r="C211" s="59" t="n"/>
      <c r="E211" s="16" t="n"/>
      <c r="F211" s="13" t="n"/>
      <c r="G211" s="16" t="n"/>
      <c r="H211" s="124">
        <f>IF(G211="","",COUNTIFS($C$18:$C$2015,G$13,$D$18:$D$2015,"&gt;="&amp;G211,$D$18:$D$2015,"&lt;"&amp;G212))</f>
        <v/>
      </c>
      <c r="I211" s="14" t="n"/>
      <c r="J211" s="16" t="n"/>
      <c r="K211" s="124">
        <f>IF(J211="","",COUNTIFS($C$18:$C$2015,J$13,$D$18:$D$2015,"&gt;="&amp;J211,$D$18:$D$2015,"&lt;"&amp;J212))</f>
        <v/>
      </c>
      <c r="L211" s="14" t="n"/>
      <c r="M211" s="16" t="n"/>
      <c r="N211" s="124">
        <f>IF(M211="","",COUNTIFS($C$18:$C$2015,M$13,$D$18:$D$2015,"&gt;="&amp;M211,$D$18:$D$2015,"&lt;"&amp;M212))</f>
        <v/>
      </c>
      <c r="O211" s="14" t="n"/>
      <c r="P211" s="16" t="n"/>
      <c r="Q211" s="124">
        <f>IF(P211="","",COUNTIFS($C$18:$C$2015,P$13,$D$18:$D$2015,"&gt;="&amp;P211,$D$18:$D$2015,"&lt;"&amp;P212))</f>
        <v/>
      </c>
      <c r="R211" s="14" t="n"/>
      <c r="S211" s="16" t="n"/>
      <c r="T211" s="124">
        <f>IF(S211="","",COUNTIFS($C$18:$C$2015,S$13,$D$18:$D$2015,"&gt;="&amp;S211,$D$18:$D$2015,"&lt;"&amp;S212))</f>
        <v/>
      </c>
      <c r="U211" s="14" t="n"/>
      <c r="V211" s="16" t="n"/>
      <c r="W211" s="124">
        <f>IF(V211="","",COUNTIFS($C$18:$C$2015,V$13,$D$18:$D$2015,"&gt;="&amp;V211,$D$18:$D$2015,"&lt;"&amp;V212))</f>
        <v/>
      </c>
      <c r="X211" s="14" t="n"/>
      <c r="Y211" s="16" t="n"/>
      <c r="Z211" s="124">
        <f>IF(Y211="","",COUNTIFS($C$18:$C$2015,Y$13,$D$18:$D$2015,"&gt;="&amp;Y211,$D$18:$D$2015,"&lt;"&amp;Y212))</f>
        <v/>
      </c>
      <c r="AA211" s="14" t="n"/>
      <c r="AB211" s="16" t="n"/>
      <c r="AC211" s="124">
        <f>IF(AB211="","",COUNTIFS($C$18:$C$2015,AB$13,$D$18:$D$2015,"&gt;="&amp;AB211,$D$18:$D$2015,"&lt;"&amp;AB212))</f>
        <v/>
      </c>
      <c r="AD211" s="14" t="n"/>
    </row>
    <row r="212">
      <c r="A212" s="56" t="n"/>
      <c r="B212" s="57" t="n"/>
      <c r="C212" s="59" t="n"/>
      <c r="E212" s="16" t="n"/>
      <c r="F212" s="13" t="n"/>
      <c r="G212" s="16" t="n"/>
      <c r="H212" s="124">
        <f>IF(G212="","",COUNTIFS($C$18:$C$2015,G$13,$D$18:$D$2015,"&gt;="&amp;G212,$D$18:$D$2015,"&lt;"&amp;G213))</f>
        <v/>
      </c>
      <c r="I212" s="14" t="n"/>
      <c r="J212" s="16" t="n"/>
      <c r="K212" s="124">
        <f>IF(J212="","",COUNTIFS($C$18:$C$2015,J$13,$D$18:$D$2015,"&gt;="&amp;J212,$D$18:$D$2015,"&lt;"&amp;J213))</f>
        <v/>
      </c>
      <c r="L212" s="14" t="n"/>
      <c r="M212" s="16" t="n"/>
      <c r="N212" s="124">
        <f>IF(M212="","",COUNTIFS($C$18:$C$2015,M$13,$D$18:$D$2015,"&gt;="&amp;M212,$D$18:$D$2015,"&lt;"&amp;M213))</f>
        <v/>
      </c>
      <c r="O212" s="14" t="n"/>
      <c r="P212" s="16" t="n"/>
      <c r="Q212" s="124">
        <f>IF(P212="","",COUNTIFS($C$18:$C$2015,P$13,$D$18:$D$2015,"&gt;="&amp;P212,$D$18:$D$2015,"&lt;"&amp;P213))</f>
        <v/>
      </c>
      <c r="R212" s="14" t="n"/>
      <c r="S212" s="16" t="n"/>
      <c r="T212" s="124">
        <f>IF(S212="","",COUNTIFS($C$18:$C$2015,S$13,$D$18:$D$2015,"&gt;="&amp;S212,$D$18:$D$2015,"&lt;"&amp;S213))</f>
        <v/>
      </c>
      <c r="U212" s="14" t="n"/>
      <c r="V212" s="16" t="n"/>
      <c r="W212" s="124">
        <f>IF(V212="","",COUNTIFS($C$18:$C$2015,V$13,$D$18:$D$2015,"&gt;="&amp;V212,$D$18:$D$2015,"&lt;"&amp;V213))</f>
        <v/>
      </c>
      <c r="X212" s="14" t="n"/>
      <c r="Y212" s="16" t="n"/>
      <c r="Z212" s="124">
        <f>IF(Y212="","",COUNTIFS($C$18:$C$2015,Y$13,$D$18:$D$2015,"&gt;="&amp;Y212,$D$18:$D$2015,"&lt;"&amp;Y213))</f>
        <v/>
      </c>
      <c r="AA212" s="14" t="n"/>
      <c r="AB212" s="16" t="n"/>
      <c r="AC212" s="124">
        <f>IF(AB212="","",COUNTIFS($C$18:$C$2015,AB$13,$D$18:$D$2015,"&gt;="&amp;AB212,$D$18:$D$2015,"&lt;"&amp;AB213))</f>
        <v/>
      </c>
      <c r="AD212" s="14" t="n"/>
    </row>
    <row r="213">
      <c r="A213" s="58" t="n"/>
      <c r="B213" s="59" t="n"/>
      <c r="C213" s="59" t="n"/>
      <c r="E213" s="16" t="n"/>
      <c r="F213" s="13" t="n"/>
      <c r="G213" s="16" t="n"/>
      <c r="H213" s="124">
        <f>IF(G213="","",COUNTIFS($C$18:$C$2015,G$13,$D$18:$D$2015,"&gt;="&amp;G213,$D$18:$D$2015,"&lt;"&amp;G214))</f>
        <v/>
      </c>
      <c r="I213" s="14" t="n"/>
      <c r="J213" s="16" t="n"/>
      <c r="K213" s="124">
        <f>IF(J213="","",COUNTIFS($C$18:$C$2015,J$13,$D$18:$D$2015,"&gt;="&amp;J213,$D$18:$D$2015,"&lt;"&amp;J214))</f>
        <v/>
      </c>
      <c r="L213" s="14" t="n"/>
      <c r="M213" s="16" t="n"/>
      <c r="N213" s="124">
        <f>IF(M213="","",COUNTIFS($C$18:$C$2015,M$13,$D$18:$D$2015,"&gt;="&amp;M213,$D$18:$D$2015,"&lt;"&amp;M214))</f>
        <v/>
      </c>
      <c r="O213" s="14" t="n"/>
      <c r="P213" s="16" t="n"/>
      <c r="Q213" s="124">
        <f>IF(P213="","",COUNTIFS($C$18:$C$2015,P$13,$D$18:$D$2015,"&gt;="&amp;P213,$D$18:$D$2015,"&lt;"&amp;P214))</f>
        <v/>
      </c>
      <c r="R213" s="14" t="n"/>
      <c r="S213" s="16" t="n"/>
      <c r="T213" s="124">
        <f>IF(S213="","",COUNTIFS($C$18:$C$2015,S$13,$D$18:$D$2015,"&gt;="&amp;S213,$D$18:$D$2015,"&lt;"&amp;S214))</f>
        <v/>
      </c>
      <c r="U213" s="14" t="n"/>
      <c r="V213" s="16" t="n"/>
      <c r="W213" s="124">
        <f>IF(V213="","",COUNTIFS($C$18:$C$2015,V$13,$D$18:$D$2015,"&gt;="&amp;V213,$D$18:$D$2015,"&lt;"&amp;V214))</f>
        <v/>
      </c>
      <c r="X213" s="14" t="n"/>
      <c r="Y213" s="16" t="n"/>
      <c r="Z213" s="124">
        <f>IF(Y213="","",COUNTIFS($C$18:$C$2015,Y$13,$D$18:$D$2015,"&gt;="&amp;Y213,$D$18:$D$2015,"&lt;"&amp;Y214))</f>
        <v/>
      </c>
      <c r="AA213" s="14" t="n"/>
      <c r="AB213" s="16" t="n"/>
      <c r="AC213" s="124">
        <f>IF(AB213="","",COUNTIFS($C$18:$C$2015,AB$13,$D$18:$D$2015,"&gt;="&amp;AB213,$D$18:$D$2015,"&lt;"&amp;AB214))</f>
        <v/>
      </c>
      <c r="AD213" s="14" t="n"/>
    </row>
    <row r="214">
      <c r="A214" s="56" t="n"/>
      <c r="B214" s="57" t="n"/>
      <c r="C214" s="59" t="n"/>
      <c r="E214" s="16" t="n"/>
      <c r="F214" s="13" t="n"/>
      <c r="G214" s="16" t="n"/>
      <c r="H214" s="124">
        <f>IF(G214="","",COUNTIFS($C$18:$C$2015,G$13,$D$18:$D$2015,"&gt;="&amp;G214,$D$18:$D$2015,"&lt;"&amp;G215))</f>
        <v/>
      </c>
      <c r="I214" s="14" t="n"/>
      <c r="J214" s="16" t="n"/>
      <c r="K214" s="124">
        <f>IF(J214="","",COUNTIFS($C$18:$C$2015,J$13,$D$18:$D$2015,"&gt;="&amp;J214,$D$18:$D$2015,"&lt;"&amp;J215))</f>
        <v/>
      </c>
      <c r="L214" s="14" t="n"/>
      <c r="M214" s="16" t="n"/>
      <c r="N214" s="124">
        <f>IF(M214="","",COUNTIFS($C$18:$C$2015,M$13,$D$18:$D$2015,"&gt;="&amp;M214,$D$18:$D$2015,"&lt;"&amp;M215))</f>
        <v/>
      </c>
      <c r="O214" s="14" t="n"/>
      <c r="P214" s="16" t="n"/>
      <c r="Q214" s="124">
        <f>IF(P214="","",COUNTIFS($C$18:$C$2015,P$13,$D$18:$D$2015,"&gt;="&amp;P214,$D$18:$D$2015,"&lt;"&amp;P215))</f>
        <v/>
      </c>
      <c r="R214" s="14" t="n"/>
      <c r="S214" s="16" t="n"/>
      <c r="T214" s="124">
        <f>IF(S214="","",COUNTIFS($C$18:$C$2015,S$13,$D$18:$D$2015,"&gt;="&amp;S214,$D$18:$D$2015,"&lt;"&amp;S215))</f>
        <v/>
      </c>
      <c r="U214" s="14" t="n"/>
      <c r="V214" s="16" t="n"/>
      <c r="W214" s="124">
        <f>IF(V214="","",COUNTIFS($C$18:$C$2015,V$13,$D$18:$D$2015,"&gt;="&amp;V214,$D$18:$D$2015,"&lt;"&amp;V215))</f>
        <v/>
      </c>
      <c r="X214" s="14" t="n"/>
      <c r="Y214" s="16" t="n"/>
      <c r="Z214" s="124">
        <f>IF(Y214="","",COUNTIFS($C$18:$C$2015,Y$13,$D$18:$D$2015,"&gt;="&amp;Y214,$D$18:$D$2015,"&lt;"&amp;Y215))</f>
        <v/>
      </c>
      <c r="AA214" s="14" t="n"/>
      <c r="AB214" s="16" t="n"/>
      <c r="AC214" s="124">
        <f>IF(AB214="","",COUNTIFS($C$18:$C$2015,AB$13,$D$18:$D$2015,"&gt;="&amp;AB214,$D$18:$D$2015,"&lt;"&amp;AB215))</f>
        <v/>
      </c>
      <c r="AD214" s="14" t="n"/>
    </row>
    <row r="215">
      <c r="A215" s="58" t="n"/>
      <c r="B215" s="59" t="n"/>
      <c r="C215" s="59" t="n"/>
      <c r="E215" s="16" t="n"/>
      <c r="F215" s="13" t="n"/>
      <c r="G215" s="16" t="n"/>
      <c r="H215" s="124">
        <f>IF(G215="","",COUNTIFS($C$18:$C$2015,G$13,$D$18:$D$2015,"&gt;="&amp;G215,$D$18:$D$2015,"&lt;"&amp;G216))</f>
        <v/>
      </c>
      <c r="I215" s="14" t="n"/>
      <c r="J215" s="16" t="n"/>
      <c r="K215" s="124">
        <f>IF(J215="","",COUNTIFS($C$18:$C$2015,J$13,$D$18:$D$2015,"&gt;="&amp;J215,$D$18:$D$2015,"&lt;"&amp;J216))</f>
        <v/>
      </c>
      <c r="L215" s="14" t="n"/>
      <c r="M215" s="16" t="n"/>
      <c r="N215" s="124">
        <f>IF(M215="","",COUNTIFS($C$18:$C$2015,M$13,$D$18:$D$2015,"&gt;="&amp;M215,$D$18:$D$2015,"&lt;"&amp;M216))</f>
        <v/>
      </c>
      <c r="O215" s="14" t="n"/>
      <c r="P215" s="16" t="n"/>
      <c r="Q215" s="124">
        <f>IF(P215="","",COUNTIFS($C$18:$C$2015,P$13,$D$18:$D$2015,"&gt;="&amp;P215,$D$18:$D$2015,"&lt;"&amp;P216))</f>
        <v/>
      </c>
      <c r="R215" s="14" t="n"/>
      <c r="S215" s="16" t="n"/>
      <c r="T215" s="124">
        <f>IF(S215="","",COUNTIFS($C$18:$C$2015,S$13,$D$18:$D$2015,"&gt;="&amp;S215,$D$18:$D$2015,"&lt;"&amp;S216))</f>
        <v/>
      </c>
      <c r="U215" s="14" t="n"/>
      <c r="V215" s="16" t="n"/>
      <c r="W215" s="124">
        <f>IF(V215="","",COUNTIFS($C$18:$C$2015,V$13,$D$18:$D$2015,"&gt;="&amp;V215,$D$18:$D$2015,"&lt;"&amp;V216))</f>
        <v/>
      </c>
      <c r="X215" s="14" t="n"/>
      <c r="Y215" s="16" t="n"/>
      <c r="Z215" s="124">
        <f>IF(Y215="","",COUNTIFS($C$18:$C$2015,Y$13,$D$18:$D$2015,"&gt;="&amp;Y215,$D$18:$D$2015,"&lt;"&amp;Y216))</f>
        <v/>
      </c>
      <c r="AA215" s="14" t="n"/>
      <c r="AB215" s="16" t="n"/>
      <c r="AC215" s="124">
        <f>IF(AB215="","",COUNTIFS($C$18:$C$2015,AB$13,$D$18:$D$2015,"&gt;="&amp;AB215,$D$18:$D$2015,"&lt;"&amp;AB216))</f>
        <v/>
      </c>
      <c r="AD215" s="14" t="n"/>
    </row>
    <row r="216">
      <c r="A216" s="56" t="n"/>
      <c r="B216" s="57" t="n"/>
      <c r="C216" s="59" t="n"/>
      <c r="E216" s="16" t="n"/>
      <c r="F216" s="13" t="n"/>
      <c r="G216" s="16" t="n"/>
      <c r="H216" s="124">
        <f>IF(G216="","",COUNTIFS($C$18:$C$2015,G$13,$D$18:$D$2015,"&gt;="&amp;G216,$D$18:$D$2015,"&lt;"&amp;G217))</f>
        <v/>
      </c>
      <c r="I216" s="14" t="n"/>
      <c r="J216" s="16" t="n"/>
      <c r="K216" s="124">
        <f>IF(J216="","",COUNTIFS($C$18:$C$2015,J$13,$D$18:$D$2015,"&gt;="&amp;J216,$D$18:$D$2015,"&lt;"&amp;J217))</f>
        <v/>
      </c>
      <c r="L216" s="14" t="n"/>
      <c r="M216" s="16" t="n"/>
      <c r="N216" s="124">
        <f>IF(M216="","",COUNTIFS($C$18:$C$2015,M$13,$D$18:$D$2015,"&gt;="&amp;M216,$D$18:$D$2015,"&lt;"&amp;M217))</f>
        <v/>
      </c>
      <c r="O216" s="14" t="n"/>
      <c r="P216" s="16" t="n"/>
      <c r="Q216" s="124">
        <f>IF(P216="","",COUNTIFS($C$18:$C$2015,P$13,$D$18:$D$2015,"&gt;="&amp;P216,$D$18:$D$2015,"&lt;"&amp;P217))</f>
        <v/>
      </c>
      <c r="R216" s="14" t="n"/>
      <c r="S216" s="16" t="n"/>
      <c r="T216" s="124">
        <f>IF(S216="","",COUNTIFS($C$18:$C$2015,S$13,$D$18:$D$2015,"&gt;="&amp;S216,$D$18:$D$2015,"&lt;"&amp;S217))</f>
        <v/>
      </c>
      <c r="U216" s="14" t="n"/>
      <c r="V216" s="16" t="n"/>
      <c r="W216" s="124">
        <f>IF(V216="","",COUNTIFS($C$18:$C$2015,V$13,$D$18:$D$2015,"&gt;="&amp;V216,$D$18:$D$2015,"&lt;"&amp;V217))</f>
        <v/>
      </c>
      <c r="X216" s="14" t="n"/>
      <c r="Y216" s="16" t="n"/>
      <c r="Z216" s="124">
        <f>IF(Y216="","",COUNTIFS($C$18:$C$2015,Y$13,$D$18:$D$2015,"&gt;="&amp;Y216,$D$18:$D$2015,"&lt;"&amp;Y217))</f>
        <v/>
      </c>
      <c r="AA216" s="14" t="n"/>
      <c r="AB216" s="16" t="n"/>
      <c r="AC216" s="124">
        <f>IF(AB216="","",COUNTIFS($C$18:$C$2015,AB$13,$D$18:$D$2015,"&gt;="&amp;AB216,$D$18:$D$2015,"&lt;"&amp;AB217))</f>
        <v/>
      </c>
      <c r="AD216" s="14" t="n"/>
    </row>
    <row r="217">
      <c r="A217" s="58" t="n"/>
      <c r="B217" s="59" t="n"/>
      <c r="C217" s="59" t="n"/>
      <c r="E217" s="16" t="n"/>
      <c r="F217" s="13" t="n"/>
      <c r="G217" s="16" t="n"/>
      <c r="H217" s="124">
        <f>IF(G217="","",COUNTIFS($C$18:$C$2015,G$13,$D$18:$D$2015,"&gt;="&amp;G217,$D$18:$D$2015,"&lt;"&amp;G218))</f>
        <v/>
      </c>
      <c r="I217" s="14" t="n"/>
      <c r="J217" s="16" t="n"/>
      <c r="K217" s="124">
        <f>IF(J217="","",COUNTIFS($C$18:$C$2015,J$13,$D$18:$D$2015,"&gt;="&amp;J217,$D$18:$D$2015,"&lt;"&amp;J218))</f>
        <v/>
      </c>
      <c r="L217" s="14" t="n"/>
      <c r="M217" s="16" t="n"/>
      <c r="N217" s="124">
        <f>IF(M217="","",COUNTIFS($C$18:$C$2015,M$13,$D$18:$D$2015,"&gt;="&amp;M217,$D$18:$D$2015,"&lt;"&amp;M218))</f>
        <v/>
      </c>
      <c r="O217" s="14" t="n"/>
      <c r="P217" s="16" t="n"/>
      <c r="Q217" s="124">
        <f>IF(P217="","",COUNTIFS($C$18:$C$2015,P$13,$D$18:$D$2015,"&gt;="&amp;P217,$D$18:$D$2015,"&lt;"&amp;P218))</f>
        <v/>
      </c>
      <c r="R217" s="14" t="n"/>
      <c r="S217" s="16" t="n"/>
      <c r="T217" s="124">
        <f>IF(S217="","",COUNTIFS($C$18:$C$2015,S$13,$D$18:$D$2015,"&gt;="&amp;S217,$D$18:$D$2015,"&lt;"&amp;S218))</f>
        <v/>
      </c>
      <c r="U217" s="14" t="n"/>
      <c r="V217" s="16" t="n"/>
      <c r="W217" s="124">
        <f>IF(V217="","",COUNTIFS($C$18:$C$2015,V$13,$D$18:$D$2015,"&gt;="&amp;V217,$D$18:$D$2015,"&lt;"&amp;V218))</f>
        <v/>
      </c>
      <c r="X217" s="14" t="n"/>
      <c r="Y217" s="16" t="n"/>
      <c r="Z217" s="124">
        <f>IF(Y217="","",COUNTIFS($C$18:$C$2015,Y$13,$D$18:$D$2015,"&gt;="&amp;Y217,$D$18:$D$2015,"&lt;"&amp;Y218))</f>
        <v/>
      </c>
      <c r="AA217" s="14" t="n"/>
      <c r="AB217" s="16" t="n"/>
      <c r="AC217" s="124">
        <f>IF(AB217="","",COUNTIFS($C$18:$C$2015,AB$13,$D$18:$D$2015,"&gt;="&amp;AB217,$D$18:$D$2015,"&lt;"&amp;AB218))</f>
        <v/>
      </c>
      <c r="AD217" s="14" t="n"/>
    </row>
    <row r="218">
      <c r="A218" s="56" t="n"/>
      <c r="B218" s="57" t="n"/>
      <c r="C218" s="59" t="n"/>
      <c r="E218" s="16" t="n"/>
      <c r="F218" s="13" t="n"/>
      <c r="G218" s="16" t="n"/>
      <c r="H218" s="124">
        <f>IF(G218="","",COUNTIFS($C$18:$C$2015,G$13,$D$18:$D$2015,"&gt;="&amp;G218,$D$18:$D$2015,"&lt;"&amp;G219))</f>
        <v/>
      </c>
      <c r="I218" s="14" t="n"/>
      <c r="J218" s="16" t="n"/>
      <c r="K218" s="124">
        <f>IF(J218="","",COUNTIFS($C$18:$C$2015,J$13,$D$18:$D$2015,"&gt;="&amp;J218,$D$18:$D$2015,"&lt;"&amp;J219))</f>
        <v/>
      </c>
      <c r="L218" s="14" t="n"/>
      <c r="M218" s="16" t="n"/>
      <c r="N218" s="124">
        <f>IF(M218="","",COUNTIFS($C$18:$C$2015,M$13,$D$18:$D$2015,"&gt;="&amp;M218,$D$18:$D$2015,"&lt;"&amp;M219))</f>
        <v/>
      </c>
      <c r="O218" s="14" t="n"/>
      <c r="P218" s="16" t="n"/>
      <c r="Q218" s="124">
        <f>IF(P218="","",COUNTIFS($C$18:$C$2015,P$13,$D$18:$D$2015,"&gt;="&amp;P218,$D$18:$D$2015,"&lt;"&amp;P219))</f>
        <v/>
      </c>
      <c r="R218" s="14" t="n"/>
      <c r="S218" s="16" t="n"/>
      <c r="T218" s="124">
        <f>IF(S218="","",COUNTIFS($C$18:$C$2015,S$13,$D$18:$D$2015,"&gt;="&amp;S218,$D$18:$D$2015,"&lt;"&amp;S219))</f>
        <v/>
      </c>
      <c r="U218" s="14" t="n"/>
      <c r="V218" s="16" t="n"/>
      <c r="W218" s="124">
        <f>IF(V218="","",COUNTIFS($C$18:$C$2015,V$13,$D$18:$D$2015,"&gt;="&amp;V218,$D$18:$D$2015,"&lt;"&amp;V219))</f>
        <v/>
      </c>
      <c r="X218" s="14" t="n"/>
      <c r="Y218" s="16" t="n"/>
      <c r="Z218" s="124">
        <f>IF(Y218="","",COUNTIFS($C$18:$C$2015,Y$13,$D$18:$D$2015,"&gt;="&amp;Y218,$D$18:$D$2015,"&lt;"&amp;Y219))</f>
        <v/>
      </c>
      <c r="AA218" s="14" t="n"/>
      <c r="AB218" s="16" t="n"/>
      <c r="AC218" s="124">
        <f>IF(AB218="","",COUNTIFS($C$18:$C$2015,AB$13,$D$18:$D$2015,"&gt;="&amp;AB218,$D$18:$D$2015,"&lt;"&amp;AB219))</f>
        <v/>
      </c>
      <c r="AD218" s="14" t="n"/>
    </row>
    <row r="219">
      <c r="A219" s="58" t="n"/>
      <c r="B219" s="59" t="n"/>
      <c r="C219" s="59" t="n"/>
      <c r="E219" s="16" t="n"/>
      <c r="F219" s="13" t="n"/>
      <c r="G219" s="16" t="n"/>
      <c r="H219" s="124">
        <f>IF(G219="","",COUNTIFS($C$18:$C$2015,G$13,$D$18:$D$2015,"&gt;="&amp;G219,$D$18:$D$2015,"&lt;"&amp;G220))</f>
        <v/>
      </c>
      <c r="I219" s="14" t="n"/>
      <c r="J219" s="16" t="n"/>
      <c r="K219" s="124">
        <f>IF(J219="","",COUNTIFS($C$18:$C$2015,J$13,$D$18:$D$2015,"&gt;="&amp;J219,$D$18:$D$2015,"&lt;"&amp;J220))</f>
        <v/>
      </c>
      <c r="L219" s="14" t="n"/>
      <c r="M219" s="16" t="n"/>
      <c r="N219" s="124">
        <f>IF(M219="","",COUNTIFS($C$18:$C$2015,M$13,$D$18:$D$2015,"&gt;="&amp;M219,$D$18:$D$2015,"&lt;"&amp;M220))</f>
        <v/>
      </c>
      <c r="O219" s="14" t="n"/>
      <c r="P219" s="16" t="n"/>
      <c r="Q219" s="124">
        <f>IF(P219="","",COUNTIFS($C$18:$C$2015,P$13,$D$18:$D$2015,"&gt;="&amp;P219,$D$18:$D$2015,"&lt;"&amp;P220))</f>
        <v/>
      </c>
      <c r="R219" s="14" t="n"/>
      <c r="S219" s="16" t="n"/>
      <c r="T219" s="124">
        <f>IF(S219="","",COUNTIFS($C$18:$C$2015,S$13,$D$18:$D$2015,"&gt;="&amp;S219,$D$18:$D$2015,"&lt;"&amp;S220))</f>
        <v/>
      </c>
      <c r="U219" s="14" t="n"/>
      <c r="V219" s="16" t="n"/>
      <c r="W219" s="124">
        <f>IF(V219="","",COUNTIFS($C$18:$C$2015,V$13,$D$18:$D$2015,"&gt;="&amp;V219,$D$18:$D$2015,"&lt;"&amp;V220))</f>
        <v/>
      </c>
      <c r="X219" s="14" t="n"/>
      <c r="Y219" s="16" t="n"/>
      <c r="Z219" s="124">
        <f>IF(Y219="","",COUNTIFS($C$18:$C$2015,Y$13,$D$18:$D$2015,"&gt;="&amp;Y219,$D$18:$D$2015,"&lt;"&amp;Y220))</f>
        <v/>
      </c>
      <c r="AA219" s="14" t="n"/>
      <c r="AB219" s="16" t="n"/>
      <c r="AC219" s="124">
        <f>IF(AB219="","",COUNTIFS($C$18:$C$2015,AB$13,$D$18:$D$2015,"&gt;="&amp;AB219,$D$18:$D$2015,"&lt;"&amp;AB220))</f>
        <v/>
      </c>
      <c r="AD219" s="14" t="n"/>
    </row>
    <row r="220">
      <c r="A220" s="56" t="n"/>
      <c r="B220" s="57" t="n"/>
      <c r="C220" s="59" t="n"/>
      <c r="E220" s="16" t="n"/>
      <c r="F220" s="13" t="n"/>
      <c r="G220" s="16" t="n"/>
      <c r="H220" s="124">
        <f>IF(G220="","",COUNTIFS($C$18:$C$2015,G$13,$D$18:$D$2015,"&gt;="&amp;G220,$D$18:$D$2015,"&lt;"&amp;G221))</f>
        <v/>
      </c>
      <c r="I220" s="14" t="n"/>
      <c r="J220" s="16" t="n"/>
      <c r="K220" s="124">
        <f>IF(J220="","",COUNTIFS($C$18:$C$2015,J$13,$D$18:$D$2015,"&gt;="&amp;J220,$D$18:$D$2015,"&lt;"&amp;J221))</f>
        <v/>
      </c>
      <c r="L220" s="14" t="n"/>
      <c r="M220" s="16" t="n"/>
      <c r="N220" s="124">
        <f>IF(M220="","",COUNTIFS($C$18:$C$2015,M$13,$D$18:$D$2015,"&gt;="&amp;M220,$D$18:$D$2015,"&lt;"&amp;M221))</f>
        <v/>
      </c>
      <c r="O220" s="14" t="n"/>
      <c r="P220" s="16" t="n"/>
      <c r="Q220" s="124">
        <f>IF(P220="","",COUNTIFS($C$18:$C$2015,P$13,$D$18:$D$2015,"&gt;="&amp;P220,$D$18:$D$2015,"&lt;"&amp;P221))</f>
        <v/>
      </c>
      <c r="R220" s="14" t="n"/>
      <c r="S220" s="16" t="n"/>
      <c r="T220" s="124">
        <f>IF(S220="","",COUNTIFS($C$18:$C$2015,S$13,$D$18:$D$2015,"&gt;="&amp;S220,$D$18:$D$2015,"&lt;"&amp;S221))</f>
        <v/>
      </c>
      <c r="U220" s="14" t="n"/>
      <c r="V220" s="16" t="n"/>
      <c r="W220" s="124">
        <f>IF(V220="","",COUNTIFS($C$18:$C$2015,V$13,$D$18:$D$2015,"&gt;="&amp;V220,$D$18:$D$2015,"&lt;"&amp;V221))</f>
        <v/>
      </c>
      <c r="X220" s="14" t="n"/>
      <c r="Y220" s="16" t="n"/>
      <c r="Z220" s="124">
        <f>IF(Y220="","",COUNTIFS($C$18:$C$2015,Y$13,$D$18:$D$2015,"&gt;="&amp;Y220,$D$18:$D$2015,"&lt;"&amp;Y221))</f>
        <v/>
      </c>
      <c r="AA220" s="14" t="n"/>
      <c r="AB220" s="16" t="n"/>
      <c r="AC220" s="124">
        <f>IF(AB220="","",COUNTIFS($C$18:$C$2015,AB$13,$D$18:$D$2015,"&gt;="&amp;AB220,$D$18:$D$2015,"&lt;"&amp;AB221))</f>
        <v/>
      </c>
      <c r="AD220" s="14" t="n"/>
    </row>
    <row r="221">
      <c r="A221" s="58" t="n"/>
      <c r="B221" s="59" t="n"/>
      <c r="C221" s="59" t="n"/>
      <c r="E221" s="16" t="n"/>
      <c r="F221" s="13" t="n"/>
      <c r="G221" s="16" t="n"/>
      <c r="H221" s="124">
        <f>IF(G221="","",COUNTIFS($C$18:$C$2015,G$13,$D$18:$D$2015,"&gt;="&amp;G221,$D$18:$D$2015,"&lt;"&amp;G222))</f>
        <v/>
      </c>
      <c r="I221" s="14" t="n"/>
      <c r="J221" s="16" t="n"/>
      <c r="K221" s="124">
        <f>IF(J221="","",COUNTIFS($C$18:$C$2015,J$13,$D$18:$D$2015,"&gt;="&amp;J221,$D$18:$D$2015,"&lt;"&amp;J222))</f>
        <v/>
      </c>
      <c r="L221" s="14" t="n"/>
      <c r="M221" s="16" t="n"/>
      <c r="N221" s="124">
        <f>IF(M221="","",COUNTIFS($C$18:$C$2015,M$13,$D$18:$D$2015,"&gt;="&amp;M221,$D$18:$D$2015,"&lt;"&amp;M222))</f>
        <v/>
      </c>
      <c r="O221" s="14" t="n"/>
      <c r="P221" s="16" t="n"/>
      <c r="Q221" s="124">
        <f>IF(P221="","",COUNTIFS($C$18:$C$2015,P$13,$D$18:$D$2015,"&gt;="&amp;P221,$D$18:$D$2015,"&lt;"&amp;P222))</f>
        <v/>
      </c>
      <c r="R221" s="14" t="n"/>
      <c r="S221" s="16" t="n"/>
      <c r="T221" s="124">
        <f>IF(S221="","",COUNTIFS($C$18:$C$2015,S$13,$D$18:$D$2015,"&gt;="&amp;S221,$D$18:$D$2015,"&lt;"&amp;S222))</f>
        <v/>
      </c>
      <c r="U221" s="14" t="n"/>
      <c r="V221" s="16" t="n"/>
      <c r="W221" s="124">
        <f>IF(V221="","",COUNTIFS($C$18:$C$2015,V$13,$D$18:$D$2015,"&gt;="&amp;V221,$D$18:$D$2015,"&lt;"&amp;V222))</f>
        <v/>
      </c>
      <c r="X221" s="14" t="n"/>
      <c r="Y221" s="16" t="n"/>
      <c r="Z221" s="124">
        <f>IF(Y221="","",COUNTIFS($C$18:$C$2015,Y$13,$D$18:$D$2015,"&gt;="&amp;Y221,$D$18:$D$2015,"&lt;"&amp;Y222))</f>
        <v/>
      </c>
      <c r="AA221" s="14" t="n"/>
      <c r="AB221" s="16" t="n"/>
      <c r="AC221" s="124">
        <f>IF(AB221="","",COUNTIFS($C$18:$C$2015,AB$13,$D$18:$D$2015,"&gt;="&amp;AB221,$D$18:$D$2015,"&lt;"&amp;AB222))</f>
        <v/>
      </c>
      <c r="AD221" s="14" t="n"/>
    </row>
    <row r="222">
      <c r="A222" s="56" t="n"/>
      <c r="B222" s="57" t="n"/>
      <c r="C222" s="59" t="n"/>
      <c r="E222" s="16" t="n"/>
      <c r="F222" s="13" t="n"/>
      <c r="G222" s="16" t="n"/>
      <c r="H222" s="124">
        <f>IF(G222="","",COUNTIFS($C$18:$C$2015,G$13,$D$18:$D$2015,"&gt;="&amp;G222,$D$18:$D$2015,"&lt;"&amp;G223))</f>
        <v/>
      </c>
      <c r="I222" s="14" t="n"/>
      <c r="J222" s="16" t="n"/>
      <c r="K222" s="124">
        <f>IF(J222="","",COUNTIFS($C$18:$C$2015,J$13,$D$18:$D$2015,"&gt;="&amp;J222,$D$18:$D$2015,"&lt;"&amp;J223))</f>
        <v/>
      </c>
      <c r="L222" s="14" t="n"/>
      <c r="M222" s="16" t="n"/>
      <c r="N222" s="124">
        <f>IF(M222="","",COUNTIFS($C$18:$C$2015,M$13,$D$18:$D$2015,"&gt;="&amp;M222,$D$18:$D$2015,"&lt;"&amp;M223))</f>
        <v/>
      </c>
      <c r="O222" s="14" t="n"/>
      <c r="P222" s="16" t="n"/>
      <c r="Q222" s="124">
        <f>IF(P222="","",COUNTIFS($C$18:$C$2015,P$13,$D$18:$D$2015,"&gt;="&amp;P222,$D$18:$D$2015,"&lt;"&amp;P223))</f>
        <v/>
      </c>
      <c r="R222" s="14" t="n"/>
      <c r="S222" s="16" t="n"/>
      <c r="T222" s="124">
        <f>IF(S222="","",COUNTIFS($C$18:$C$2015,S$13,$D$18:$D$2015,"&gt;="&amp;S222,$D$18:$D$2015,"&lt;"&amp;S223))</f>
        <v/>
      </c>
      <c r="U222" s="14" t="n"/>
      <c r="V222" s="16" t="n"/>
      <c r="W222" s="124">
        <f>IF(V222="","",COUNTIFS($C$18:$C$2015,V$13,$D$18:$D$2015,"&gt;="&amp;V222,$D$18:$D$2015,"&lt;"&amp;V223))</f>
        <v/>
      </c>
      <c r="X222" s="14" t="n"/>
      <c r="Y222" s="16" t="n"/>
      <c r="Z222" s="124">
        <f>IF(Y222="","",COUNTIFS($C$18:$C$2015,Y$13,$D$18:$D$2015,"&gt;="&amp;Y222,$D$18:$D$2015,"&lt;"&amp;Y223))</f>
        <v/>
      </c>
      <c r="AA222" s="14" t="n"/>
      <c r="AB222" s="16" t="n"/>
      <c r="AC222" s="124">
        <f>IF(AB222="","",COUNTIFS($C$18:$C$2015,AB$13,$D$18:$D$2015,"&gt;="&amp;AB222,$D$18:$D$2015,"&lt;"&amp;AB223))</f>
        <v/>
      </c>
      <c r="AD222" s="14" t="n"/>
    </row>
    <row r="223">
      <c r="A223" s="58" t="n"/>
      <c r="B223" s="59" t="n"/>
      <c r="C223" s="59" t="n"/>
      <c r="E223" s="16" t="n"/>
      <c r="F223" s="13" t="n"/>
      <c r="G223" s="16" t="n"/>
      <c r="H223" s="124">
        <f>IF(G223="","",COUNTIFS($C$18:$C$2015,G$13,$D$18:$D$2015,"&gt;="&amp;G223,$D$18:$D$2015,"&lt;"&amp;G224))</f>
        <v/>
      </c>
      <c r="I223" s="14" t="n"/>
      <c r="J223" s="16" t="n"/>
      <c r="K223" s="124">
        <f>IF(J223="","",COUNTIFS($C$18:$C$2015,J$13,$D$18:$D$2015,"&gt;="&amp;J223,$D$18:$D$2015,"&lt;"&amp;J224))</f>
        <v/>
      </c>
      <c r="L223" s="14" t="n"/>
      <c r="M223" s="16" t="n"/>
      <c r="N223" s="124">
        <f>IF(M223="","",COUNTIFS($C$18:$C$2015,M$13,$D$18:$D$2015,"&gt;="&amp;M223,$D$18:$D$2015,"&lt;"&amp;M224))</f>
        <v/>
      </c>
      <c r="O223" s="14" t="n"/>
      <c r="P223" s="16" t="n"/>
      <c r="Q223" s="124">
        <f>IF(P223="","",COUNTIFS($C$18:$C$2015,P$13,$D$18:$D$2015,"&gt;="&amp;P223,$D$18:$D$2015,"&lt;"&amp;P224))</f>
        <v/>
      </c>
      <c r="R223" s="14" t="n"/>
      <c r="S223" s="16" t="n"/>
      <c r="T223" s="124">
        <f>IF(S223="","",COUNTIFS($C$18:$C$2015,S$13,$D$18:$D$2015,"&gt;="&amp;S223,$D$18:$D$2015,"&lt;"&amp;S224))</f>
        <v/>
      </c>
      <c r="U223" s="14" t="n"/>
      <c r="V223" s="16" t="n"/>
      <c r="W223" s="124">
        <f>IF(V223="","",COUNTIFS($C$18:$C$2015,V$13,$D$18:$D$2015,"&gt;="&amp;V223,$D$18:$D$2015,"&lt;"&amp;V224))</f>
        <v/>
      </c>
      <c r="X223" s="14" t="n"/>
      <c r="Y223" s="16" t="n"/>
      <c r="Z223" s="124">
        <f>IF(Y223="","",COUNTIFS($C$18:$C$2015,Y$13,$D$18:$D$2015,"&gt;="&amp;Y223,$D$18:$D$2015,"&lt;"&amp;Y224))</f>
        <v/>
      </c>
      <c r="AA223" s="14" t="n"/>
      <c r="AB223" s="16" t="n"/>
      <c r="AC223" s="124">
        <f>IF(AB223="","",COUNTIFS($C$18:$C$2015,AB$13,$D$18:$D$2015,"&gt;="&amp;AB223,$D$18:$D$2015,"&lt;"&amp;AB224))</f>
        <v/>
      </c>
      <c r="AD223" s="14" t="n"/>
    </row>
    <row r="224">
      <c r="A224" s="56" t="n"/>
      <c r="B224" s="57" t="n"/>
      <c r="C224" s="59" t="n"/>
      <c r="E224" s="16" t="n"/>
      <c r="F224" s="13" t="n"/>
      <c r="G224" s="16" t="n"/>
      <c r="H224" s="124">
        <f>IF(G224="","",COUNTIFS($C$18:$C$2015,G$13,$D$18:$D$2015,"&gt;="&amp;G224,$D$18:$D$2015,"&lt;"&amp;G225))</f>
        <v/>
      </c>
      <c r="I224" s="14" t="n"/>
      <c r="J224" s="16" t="n"/>
      <c r="K224" s="124">
        <f>IF(J224="","",COUNTIFS($C$18:$C$2015,J$13,$D$18:$D$2015,"&gt;="&amp;J224,$D$18:$D$2015,"&lt;"&amp;J225))</f>
        <v/>
      </c>
      <c r="L224" s="14" t="n"/>
      <c r="M224" s="16" t="n"/>
      <c r="N224" s="124">
        <f>IF(M224="","",COUNTIFS($C$18:$C$2015,M$13,$D$18:$D$2015,"&gt;="&amp;M224,$D$18:$D$2015,"&lt;"&amp;M225))</f>
        <v/>
      </c>
      <c r="O224" s="14" t="n"/>
      <c r="P224" s="16" t="n"/>
      <c r="Q224" s="124">
        <f>IF(P224="","",COUNTIFS($C$18:$C$2015,P$13,$D$18:$D$2015,"&gt;="&amp;P224,$D$18:$D$2015,"&lt;"&amp;P225))</f>
        <v/>
      </c>
      <c r="R224" s="14" t="n"/>
      <c r="S224" s="16" t="n"/>
      <c r="T224" s="124">
        <f>IF(S224="","",COUNTIFS($C$18:$C$2015,S$13,$D$18:$D$2015,"&gt;="&amp;S224,$D$18:$D$2015,"&lt;"&amp;S225))</f>
        <v/>
      </c>
      <c r="U224" s="14" t="n"/>
      <c r="V224" s="16" t="n"/>
      <c r="W224" s="124">
        <f>IF(V224="","",COUNTIFS($C$18:$C$2015,V$13,$D$18:$D$2015,"&gt;="&amp;V224,$D$18:$D$2015,"&lt;"&amp;V225))</f>
        <v/>
      </c>
      <c r="X224" s="14" t="n"/>
      <c r="Y224" s="16" t="n"/>
      <c r="Z224" s="124">
        <f>IF(Y224="","",COUNTIFS($C$18:$C$2015,Y$13,$D$18:$D$2015,"&gt;="&amp;Y224,$D$18:$D$2015,"&lt;"&amp;Y225))</f>
        <v/>
      </c>
      <c r="AA224" s="14" t="n"/>
      <c r="AB224" s="16" t="n"/>
      <c r="AC224" s="124">
        <f>IF(AB224="","",COUNTIFS($C$18:$C$2015,AB$13,$D$18:$D$2015,"&gt;="&amp;AB224,$D$18:$D$2015,"&lt;"&amp;AB225))</f>
        <v/>
      </c>
      <c r="AD224" s="14" t="n"/>
    </row>
    <row r="225">
      <c r="A225" s="58" t="n"/>
      <c r="B225" s="59" t="n"/>
      <c r="C225" s="59" t="n"/>
      <c r="E225" s="16" t="n"/>
      <c r="F225" s="13" t="n"/>
      <c r="G225" s="16" t="n"/>
      <c r="H225" s="124">
        <f>IF(G225="","",COUNTIFS($C$18:$C$2015,G$13,$D$18:$D$2015,"&gt;="&amp;G225,$D$18:$D$2015,"&lt;"&amp;G226))</f>
        <v/>
      </c>
      <c r="I225" s="14" t="n"/>
      <c r="J225" s="16" t="n"/>
      <c r="K225" s="124">
        <f>IF(J225="","",COUNTIFS($C$18:$C$2015,J$13,$D$18:$D$2015,"&gt;="&amp;J225,$D$18:$D$2015,"&lt;"&amp;J226))</f>
        <v/>
      </c>
      <c r="L225" s="14" t="n"/>
      <c r="M225" s="16" t="n"/>
      <c r="N225" s="124">
        <f>IF(M225="","",COUNTIFS($C$18:$C$2015,M$13,$D$18:$D$2015,"&gt;="&amp;M225,$D$18:$D$2015,"&lt;"&amp;M226))</f>
        <v/>
      </c>
      <c r="O225" s="14" t="n"/>
      <c r="P225" s="16" t="n"/>
      <c r="Q225" s="124">
        <f>IF(P225="","",COUNTIFS($C$18:$C$2015,P$13,$D$18:$D$2015,"&gt;="&amp;P225,$D$18:$D$2015,"&lt;"&amp;P226))</f>
        <v/>
      </c>
      <c r="R225" s="14" t="n"/>
      <c r="S225" s="16" t="n"/>
      <c r="T225" s="124">
        <f>IF(S225="","",COUNTIFS($C$18:$C$2015,S$13,$D$18:$D$2015,"&gt;="&amp;S225,$D$18:$D$2015,"&lt;"&amp;S226))</f>
        <v/>
      </c>
      <c r="U225" s="14" t="n"/>
      <c r="V225" s="16" t="n"/>
      <c r="W225" s="124">
        <f>IF(V225="","",COUNTIFS($C$18:$C$2015,V$13,$D$18:$D$2015,"&gt;="&amp;V225,$D$18:$D$2015,"&lt;"&amp;V226))</f>
        <v/>
      </c>
      <c r="X225" s="14" t="n"/>
      <c r="Y225" s="16" t="n"/>
      <c r="Z225" s="124">
        <f>IF(Y225="","",COUNTIFS($C$18:$C$2015,Y$13,$D$18:$D$2015,"&gt;="&amp;Y225,$D$18:$D$2015,"&lt;"&amp;Y226))</f>
        <v/>
      </c>
      <c r="AA225" s="14" t="n"/>
      <c r="AB225" s="16" t="n"/>
      <c r="AC225" s="124">
        <f>IF(AB225="","",COUNTIFS($C$18:$C$2015,AB$13,$D$18:$D$2015,"&gt;="&amp;AB225,$D$18:$D$2015,"&lt;"&amp;AB226))</f>
        <v/>
      </c>
      <c r="AD225" s="14" t="n"/>
    </row>
    <row r="226">
      <c r="A226" s="56" t="n"/>
      <c r="B226" s="57" t="n"/>
      <c r="C226" s="59" t="n"/>
      <c r="E226" s="16" t="n"/>
      <c r="F226" s="13" t="n"/>
      <c r="G226" s="16" t="n"/>
      <c r="H226" s="124">
        <f>IF(G226="","",COUNTIFS($C$18:$C$2015,G$13,$D$18:$D$2015,"&gt;="&amp;G226,$D$18:$D$2015,"&lt;"&amp;G227))</f>
        <v/>
      </c>
      <c r="I226" s="14" t="n"/>
      <c r="J226" s="16" t="n"/>
      <c r="K226" s="124">
        <f>IF(J226="","",COUNTIFS($C$18:$C$2015,J$13,$D$18:$D$2015,"&gt;="&amp;J226,$D$18:$D$2015,"&lt;"&amp;J227))</f>
        <v/>
      </c>
      <c r="L226" s="14" t="n"/>
      <c r="M226" s="16" t="n"/>
      <c r="N226" s="124">
        <f>IF(M226="","",COUNTIFS($C$18:$C$2015,M$13,$D$18:$D$2015,"&gt;="&amp;M226,$D$18:$D$2015,"&lt;"&amp;M227))</f>
        <v/>
      </c>
      <c r="O226" s="14" t="n"/>
      <c r="P226" s="16" t="n"/>
      <c r="Q226" s="124">
        <f>IF(P226="","",COUNTIFS($C$18:$C$2015,P$13,$D$18:$D$2015,"&gt;="&amp;P226,$D$18:$D$2015,"&lt;"&amp;P227))</f>
        <v/>
      </c>
      <c r="R226" s="14" t="n"/>
      <c r="S226" s="16" t="n"/>
      <c r="T226" s="124">
        <f>IF(S226="","",COUNTIFS($C$18:$C$2015,S$13,$D$18:$D$2015,"&gt;="&amp;S226,$D$18:$D$2015,"&lt;"&amp;S227))</f>
        <v/>
      </c>
      <c r="U226" s="14" t="n"/>
      <c r="V226" s="16" t="n"/>
      <c r="W226" s="124">
        <f>IF(V226="","",COUNTIFS($C$18:$C$2015,V$13,$D$18:$D$2015,"&gt;="&amp;V226,$D$18:$D$2015,"&lt;"&amp;V227))</f>
        <v/>
      </c>
      <c r="X226" s="14" t="n"/>
      <c r="Y226" s="16" t="n"/>
      <c r="Z226" s="124">
        <f>IF(Y226="","",COUNTIFS($C$18:$C$2015,Y$13,$D$18:$D$2015,"&gt;="&amp;Y226,$D$18:$D$2015,"&lt;"&amp;Y227))</f>
        <v/>
      </c>
      <c r="AA226" s="14" t="n"/>
      <c r="AB226" s="16" t="n"/>
      <c r="AC226" s="124">
        <f>IF(AB226="","",COUNTIFS($C$18:$C$2015,AB$13,$D$18:$D$2015,"&gt;="&amp;AB226,$D$18:$D$2015,"&lt;"&amp;AB227))</f>
        <v/>
      </c>
      <c r="AD226" s="14" t="n"/>
    </row>
    <row r="227">
      <c r="A227" s="58" t="n"/>
      <c r="B227" s="59" t="n"/>
      <c r="C227" s="59" t="n"/>
      <c r="E227" s="16" t="n"/>
      <c r="F227" s="13" t="n"/>
      <c r="G227" s="16" t="n"/>
      <c r="H227" s="124">
        <f>IF(G227="","",COUNTIFS($C$18:$C$2015,G$13,$D$18:$D$2015,"&gt;="&amp;G227,$D$18:$D$2015,"&lt;"&amp;G228))</f>
        <v/>
      </c>
      <c r="I227" s="14" t="n"/>
      <c r="J227" s="16" t="n"/>
      <c r="K227" s="124">
        <f>IF(J227="","",COUNTIFS($C$18:$C$2015,J$13,$D$18:$D$2015,"&gt;="&amp;J227,$D$18:$D$2015,"&lt;"&amp;J228))</f>
        <v/>
      </c>
      <c r="L227" s="14" t="n"/>
      <c r="M227" s="16" t="n"/>
      <c r="N227" s="124">
        <f>IF(M227="","",COUNTIFS($C$18:$C$2015,M$13,$D$18:$D$2015,"&gt;="&amp;M227,$D$18:$D$2015,"&lt;"&amp;M228))</f>
        <v/>
      </c>
      <c r="O227" s="14" t="n"/>
      <c r="P227" s="16" t="n"/>
      <c r="Q227" s="124">
        <f>IF(P227="","",COUNTIFS($C$18:$C$2015,P$13,$D$18:$D$2015,"&gt;="&amp;P227,$D$18:$D$2015,"&lt;"&amp;P228))</f>
        <v/>
      </c>
      <c r="R227" s="14" t="n"/>
      <c r="S227" s="16" t="n"/>
      <c r="T227" s="124">
        <f>IF(S227="","",COUNTIFS($C$18:$C$2015,S$13,$D$18:$D$2015,"&gt;="&amp;S227,$D$18:$D$2015,"&lt;"&amp;S228))</f>
        <v/>
      </c>
      <c r="U227" s="14" t="n"/>
      <c r="V227" s="16" t="n"/>
      <c r="W227" s="124">
        <f>IF(V227="","",COUNTIFS($C$18:$C$2015,V$13,$D$18:$D$2015,"&gt;="&amp;V227,$D$18:$D$2015,"&lt;"&amp;V228))</f>
        <v/>
      </c>
      <c r="X227" s="14" t="n"/>
      <c r="Y227" s="16" t="n"/>
      <c r="Z227" s="124">
        <f>IF(Y227="","",COUNTIFS($C$18:$C$2015,Y$13,$D$18:$D$2015,"&gt;="&amp;Y227,$D$18:$D$2015,"&lt;"&amp;Y228))</f>
        <v/>
      </c>
      <c r="AA227" s="14" t="n"/>
      <c r="AB227" s="16" t="n"/>
      <c r="AC227" s="124">
        <f>IF(AB227="","",COUNTIFS($C$18:$C$2015,AB$13,$D$18:$D$2015,"&gt;="&amp;AB227,$D$18:$D$2015,"&lt;"&amp;AB228))</f>
        <v/>
      </c>
      <c r="AD227" s="14" t="n"/>
    </row>
    <row r="228">
      <c r="A228" s="56" t="n"/>
      <c r="B228" s="57" t="n"/>
      <c r="C228" s="59" t="n"/>
      <c r="E228" s="16" t="n"/>
      <c r="F228" s="13" t="n"/>
      <c r="G228" s="16" t="n"/>
      <c r="H228" s="124">
        <f>IF(G228="","",COUNTIFS($C$18:$C$2015,G$13,$D$18:$D$2015,"&gt;="&amp;G228,$D$18:$D$2015,"&lt;"&amp;G229))</f>
        <v/>
      </c>
      <c r="I228" s="14" t="n"/>
      <c r="J228" s="16" t="n"/>
      <c r="K228" s="124">
        <f>IF(J228="","",COUNTIFS($C$18:$C$2015,J$13,$D$18:$D$2015,"&gt;="&amp;J228,$D$18:$D$2015,"&lt;"&amp;J229))</f>
        <v/>
      </c>
      <c r="L228" s="14" t="n"/>
      <c r="M228" s="16" t="n"/>
      <c r="N228" s="124">
        <f>IF(M228="","",COUNTIFS($C$18:$C$2015,M$13,$D$18:$D$2015,"&gt;="&amp;M228,$D$18:$D$2015,"&lt;"&amp;M229))</f>
        <v/>
      </c>
      <c r="O228" s="14" t="n"/>
      <c r="P228" s="16" t="n"/>
      <c r="Q228" s="124">
        <f>IF(P228="","",COUNTIFS($C$18:$C$2015,P$13,$D$18:$D$2015,"&gt;="&amp;P228,$D$18:$D$2015,"&lt;"&amp;P229))</f>
        <v/>
      </c>
      <c r="R228" s="14" t="n"/>
      <c r="S228" s="16" t="n"/>
      <c r="T228" s="124">
        <f>IF(S228="","",COUNTIFS($C$18:$C$2015,S$13,$D$18:$D$2015,"&gt;="&amp;S228,$D$18:$D$2015,"&lt;"&amp;S229))</f>
        <v/>
      </c>
      <c r="U228" s="14" t="n"/>
      <c r="V228" s="16" t="n"/>
      <c r="W228" s="124">
        <f>IF(V228="","",COUNTIFS($C$18:$C$2015,V$13,$D$18:$D$2015,"&gt;="&amp;V228,$D$18:$D$2015,"&lt;"&amp;V229))</f>
        <v/>
      </c>
      <c r="X228" s="14" t="n"/>
      <c r="Y228" s="16" t="n"/>
      <c r="Z228" s="124">
        <f>IF(Y228="","",COUNTIFS($C$18:$C$2015,Y$13,$D$18:$D$2015,"&gt;="&amp;Y228,$D$18:$D$2015,"&lt;"&amp;Y229))</f>
        <v/>
      </c>
      <c r="AA228" s="14" t="n"/>
      <c r="AB228" s="16" t="n"/>
      <c r="AC228" s="124">
        <f>IF(AB228="","",COUNTIFS($C$18:$C$2015,AB$13,$D$18:$D$2015,"&gt;="&amp;AB228,$D$18:$D$2015,"&lt;"&amp;AB229))</f>
        <v/>
      </c>
      <c r="AD228" s="14" t="n"/>
    </row>
    <row r="229">
      <c r="A229" s="58" t="n"/>
      <c r="B229" s="59" t="n"/>
      <c r="C229" s="59" t="n"/>
      <c r="E229" s="16" t="n"/>
      <c r="F229" s="13" t="n"/>
      <c r="G229" s="16" t="n"/>
      <c r="H229" s="124">
        <f>IF(G229="","",COUNTIFS($C$18:$C$2015,G$13,$D$18:$D$2015,"&gt;="&amp;G229,$D$18:$D$2015,"&lt;"&amp;G230))</f>
        <v/>
      </c>
      <c r="I229" s="14" t="n"/>
      <c r="J229" s="16" t="n"/>
      <c r="K229" s="124">
        <f>IF(J229="","",COUNTIFS($C$18:$C$2015,J$13,$D$18:$D$2015,"&gt;="&amp;J229,$D$18:$D$2015,"&lt;"&amp;J230))</f>
        <v/>
      </c>
      <c r="L229" s="14" t="n"/>
      <c r="M229" s="16" t="n"/>
      <c r="N229" s="124">
        <f>IF(M229="","",COUNTIFS($C$18:$C$2015,M$13,$D$18:$D$2015,"&gt;="&amp;M229,$D$18:$D$2015,"&lt;"&amp;M230))</f>
        <v/>
      </c>
      <c r="O229" s="14" t="n"/>
      <c r="P229" s="16" t="n"/>
      <c r="Q229" s="124">
        <f>IF(P229="","",COUNTIFS($C$18:$C$2015,P$13,$D$18:$D$2015,"&gt;="&amp;P229,$D$18:$D$2015,"&lt;"&amp;P230))</f>
        <v/>
      </c>
      <c r="R229" s="14" t="n"/>
      <c r="S229" s="16" t="n"/>
      <c r="T229" s="124">
        <f>IF(S229="","",COUNTIFS($C$18:$C$2015,S$13,$D$18:$D$2015,"&gt;="&amp;S229,$D$18:$D$2015,"&lt;"&amp;S230))</f>
        <v/>
      </c>
      <c r="U229" s="14" t="n"/>
      <c r="V229" s="16" t="n"/>
      <c r="W229" s="124">
        <f>IF(V229="","",COUNTIFS($C$18:$C$2015,V$13,$D$18:$D$2015,"&gt;="&amp;V229,$D$18:$D$2015,"&lt;"&amp;V230))</f>
        <v/>
      </c>
      <c r="X229" s="14" t="n"/>
      <c r="Y229" s="16" t="n"/>
      <c r="Z229" s="124">
        <f>IF(Y229="","",COUNTIFS($C$18:$C$2015,Y$13,$D$18:$D$2015,"&gt;="&amp;Y229,$D$18:$D$2015,"&lt;"&amp;Y230))</f>
        <v/>
      </c>
      <c r="AA229" s="14" t="n"/>
      <c r="AB229" s="16" t="n"/>
      <c r="AC229" s="124">
        <f>IF(AB229="","",COUNTIFS($C$18:$C$2015,AB$13,$D$18:$D$2015,"&gt;="&amp;AB229,$D$18:$D$2015,"&lt;"&amp;AB230))</f>
        <v/>
      </c>
      <c r="AD229" s="14" t="n"/>
    </row>
    <row r="230">
      <c r="A230" s="56" t="n"/>
      <c r="B230" s="57" t="n"/>
      <c r="C230" s="59" t="n"/>
      <c r="E230" s="16" t="n"/>
      <c r="F230" s="13" t="n"/>
      <c r="G230" s="16" t="n"/>
      <c r="H230" s="124">
        <f>IF(G230="","",COUNTIFS($C$18:$C$2015,G$13,$D$18:$D$2015,"&gt;="&amp;G230,$D$18:$D$2015,"&lt;"&amp;G231))</f>
        <v/>
      </c>
      <c r="I230" s="14" t="n"/>
      <c r="J230" s="16" t="n"/>
      <c r="K230" s="124">
        <f>IF(J230="","",COUNTIFS($C$18:$C$2015,J$13,$D$18:$D$2015,"&gt;="&amp;J230,$D$18:$D$2015,"&lt;"&amp;J231))</f>
        <v/>
      </c>
      <c r="L230" s="14" t="n"/>
      <c r="M230" s="16" t="n"/>
      <c r="N230" s="124">
        <f>IF(M230="","",COUNTIFS($C$18:$C$2015,M$13,$D$18:$D$2015,"&gt;="&amp;M230,$D$18:$D$2015,"&lt;"&amp;M231))</f>
        <v/>
      </c>
      <c r="O230" s="14" t="n"/>
      <c r="P230" s="16" t="n"/>
      <c r="Q230" s="124">
        <f>IF(P230="","",COUNTIFS($C$18:$C$2015,P$13,$D$18:$D$2015,"&gt;="&amp;P230,$D$18:$D$2015,"&lt;"&amp;P231))</f>
        <v/>
      </c>
      <c r="R230" s="14" t="n"/>
      <c r="S230" s="16" t="n"/>
      <c r="T230" s="124">
        <f>IF(S230="","",COUNTIFS($C$18:$C$2015,S$13,$D$18:$D$2015,"&gt;="&amp;S230,$D$18:$D$2015,"&lt;"&amp;S231))</f>
        <v/>
      </c>
      <c r="U230" s="14" t="n"/>
      <c r="V230" s="16" t="n"/>
      <c r="W230" s="124">
        <f>IF(V230="","",COUNTIFS($C$18:$C$2015,V$13,$D$18:$D$2015,"&gt;="&amp;V230,$D$18:$D$2015,"&lt;"&amp;V231))</f>
        <v/>
      </c>
      <c r="X230" s="14" t="n"/>
      <c r="Y230" s="16" t="n"/>
      <c r="Z230" s="124">
        <f>IF(Y230="","",COUNTIFS($C$18:$C$2015,Y$13,$D$18:$D$2015,"&gt;="&amp;Y230,$D$18:$D$2015,"&lt;"&amp;Y231))</f>
        <v/>
      </c>
      <c r="AA230" s="14" t="n"/>
      <c r="AB230" s="16" t="n"/>
      <c r="AC230" s="124">
        <f>IF(AB230="","",COUNTIFS($C$18:$C$2015,AB$13,$D$18:$D$2015,"&gt;="&amp;AB230,$D$18:$D$2015,"&lt;"&amp;AB231))</f>
        <v/>
      </c>
      <c r="AD230" s="14" t="n"/>
    </row>
    <row r="231">
      <c r="A231" s="58" t="n"/>
      <c r="B231" s="59" t="n"/>
      <c r="C231" s="59" t="n"/>
      <c r="E231" s="16" t="n"/>
      <c r="F231" s="13" t="n"/>
      <c r="G231" s="16" t="n"/>
      <c r="H231" s="124">
        <f>IF(G231="","",COUNTIFS($C$18:$C$2015,G$13,$D$18:$D$2015,"&gt;="&amp;G231,$D$18:$D$2015,"&lt;"&amp;G232))</f>
        <v/>
      </c>
      <c r="I231" s="14" t="n"/>
      <c r="J231" s="16" t="n"/>
      <c r="K231" s="124">
        <f>IF(J231="","",COUNTIFS($C$18:$C$2015,J$13,$D$18:$D$2015,"&gt;="&amp;J231,$D$18:$D$2015,"&lt;"&amp;J232))</f>
        <v/>
      </c>
      <c r="L231" s="14" t="n"/>
      <c r="M231" s="16" t="n"/>
      <c r="N231" s="124">
        <f>IF(M231="","",COUNTIFS($C$18:$C$2015,M$13,$D$18:$D$2015,"&gt;="&amp;M231,$D$18:$D$2015,"&lt;"&amp;M232))</f>
        <v/>
      </c>
      <c r="O231" s="14" t="n"/>
      <c r="P231" s="16" t="n"/>
      <c r="Q231" s="124">
        <f>IF(P231="","",COUNTIFS($C$18:$C$2015,P$13,$D$18:$D$2015,"&gt;="&amp;P231,$D$18:$D$2015,"&lt;"&amp;P232))</f>
        <v/>
      </c>
      <c r="R231" s="14" t="n"/>
      <c r="S231" s="16" t="n"/>
      <c r="T231" s="124">
        <f>IF(S231="","",COUNTIFS($C$18:$C$2015,S$13,$D$18:$D$2015,"&gt;="&amp;S231,$D$18:$D$2015,"&lt;"&amp;S232))</f>
        <v/>
      </c>
      <c r="U231" s="14" t="n"/>
      <c r="V231" s="16" t="n"/>
      <c r="W231" s="124">
        <f>IF(V231="","",COUNTIFS($C$18:$C$2015,V$13,$D$18:$D$2015,"&gt;="&amp;V231,$D$18:$D$2015,"&lt;"&amp;V232))</f>
        <v/>
      </c>
      <c r="X231" s="14" t="n"/>
      <c r="Y231" s="16" t="n"/>
      <c r="Z231" s="124">
        <f>IF(Y231="","",COUNTIFS($C$18:$C$2015,Y$13,$D$18:$D$2015,"&gt;="&amp;Y231,$D$18:$D$2015,"&lt;"&amp;Y232))</f>
        <v/>
      </c>
      <c r="AA231" s="14" t="n"/>
      <c r="AB231" s="16" t="n"/>
      <c r="AC231" s="124">
        <f>IF(AB231="","",COUNTIFS($C$18:$C$2015,AB$13,$D$18:$D$2015,"&gt;="&amp;AB231,$D$18:$D$2015,"&lt;"&amp;AB232))</f>
        <v/>
      </c>
      <c r="AD231" s="14" t="n"/>
    </row>
    <row r="232">
      <c r="A232" s="56" t="n"/>
      <c r="B232" s="57" t="n"/>
      <c r="C232" s="59" t="n"/>
      <c r="E232" s="16" t="n"/>
      <c r="F232" s="13" t="n"/>
      <c r="G232" s="16" t="n"/>
      <c r="H232" s="124">
        <f>IF(G232="","",COUNTIFS($C$18:$C$2015,G$13,$D$18:$D$2015,"&gt;="&amp;G232,$D$18:$D$2015,"&lt;"&amp;G233))</f>
        <v/>
      </c>
      <c r="I232" s="14" t="n"/>
      <c r="J232" s="16" t="n"/>
      <c r="K232" s="124">
        <f>IF(J232="","",COUNTIFS($C$18:$C$2015,J$13,$D$18:$D$2015,"&gt;="&amp;J232,$D$18:$D$2015,"&lt;"&amp;J233))</f>
        <v/>
      </c>
      <c r="L232" s="14" t="n"/>
      <c r="M232" s="16" t="n"/>
      <c r="N232" s="124">
        <f>IF(M232="","",COUNTIFS($C$18:$C$2015,M$13,$D$18:$D$2015,"&gt;="&amp;M232,$D$18:$D$2015,"&lt;"&amp;M233))</f>
        <v/>
      </c>
      <c r="O232" s="14" t="n"/>
      <c r="P232" s="16" t="n"/>
      <c r="Q232" s="124">
        <f>IF(P232="","",COUNTIFS($C$18:$C$2015,P$13,$D$18:$D$2015,"&gt;="&amp;P232,$D$18:$D$2015,"&lt;"&amp;P233))</f>
        <v/>
      </c>
      <c r="R232" s="14" t="n"/>
      <c r="S232" s="16" t="n"/>
      <c r="T232" s="124">
        <f>IF(S232="","",COUNTIFS($C$18:$C$2015,S$13,$D$18:$D$2015,"&gt;="&amp;S232,$D$18:$D$2015,"&lt;"&amp;S233))</f>
        <v/>
      </c>
      <c r="U232" s="14" t="n"/>
      <c r="V232" s="16" t="n"/>
      <c r="W232" s="124">
        <f>IF(V232="","",COUNTIFS($C$18:$C$2015,V$13,$D$18:$D$2015,"&gt;="&amp;V232,$D$18:$D$2015,"&lt;"&amp;V233))</f>
        <v/>
      </c>
      <c r="X232" s="14" t="n"/>
      <c r="Y232" s="16" t="n"/>
      <c r="Z232" s="124">
        <f>IF(Y232="","",COUNTIFS($C$18:$C$2015,Y$13,$D$18:$D$2015,"&gt;="&amp;Y232,$D$18:$D$2015,"&lt;"&amp;Y233))</f>
        <v/>
      </c>
      <c r="AA232" s="14" t="n"/>
      <c r="AB232" s="16" t="n"/>
      <c r="AC232" s="124">
        <f>IF(AB232="","",COUNTIFS($C$18:$C$2015,AB$13,$D$18:$D$2015,"&gt;="&amp;AB232,$D$18:$D$2015,"&lt;"&amp;AB233))</f>
        <v/>
      </c>
      <c r="AD232" s="14" t="n"/>
    </row>
    <row r="233">
      <c r="A233" s="58" t="n"/>
      <c r="B233" s="59" t="n"/>
      <c r="C233" s="59" t="n"/>
      <c r="E233" s="16" t="n"/>
      <c r="F233" s="13" t="n"/>
      <c r="G233" s="16" t="n"/>
      <c r="H233" s="124">
        <f>IF(G233="","",COUNTIFS($C$18:$C$2015,G$13,$D$18:$D$2015,"&gt;="&amp;G233,$D$18:$D$2015,"&lt;"&amp;G234))</f>
        <v/>
      </c>
      <c r="I233" s="14" t="n"/>
      <c r="J233" s="16" t="n"/>
      <c r="K233" s="124">
        <f>IF(J233="","",COUNTIFS($C$18:$C$2015,J$13,$D$18:$D$2015,"&gt;="&amp;J233,$D$18:$D$2015,"&lt;"&amp;J234))</f>
        <v/>
      </c>
      <c r="L233" s="14" t="n"/>
      <c r="M233" s="16" t="n"/>
      <c r="N233" s="124">
        <f>IF(M233="","",COUNTIFS($C$18:$C$2015,M$13,$D$18:$D$2015,"&gt;="&amp;M233,$D$18:$D$2015,"&lt;"&amp;M234))</f>
        <v/>
      </c>
      <c r="O233" s="14" t="n"/>
      <c r="P233" s="16" t="n"/>
      <c r="Q233" s="124">
        <f>IF(P233="","",COUNTIFS($C$18:$C$2015,P$13,$D$18:$D$2015,"&gt;="&amp;P233,$D$18:$D$2015,"&lt;"&amp;P234))</f>
        <v/>
      </c>
      <c r="R233" s="14" t="n"/>
      <c r="S233" s="16" t="n"/>
      <c r="T233" s="124">
        <f>IF(S233="","",COUNTIFS($C$18:$C$2015,S$13,$D$18:$D$2015,"&gt;="&amp;S233,$D$18:$D$2015,"&lt;"&amp;S234))</f>
        <v/>
      </c>
      <c r="U233" s="14" t="n"/>
      <c r="V233" s="16" t="n"/>
      <c r="W233" s="124">
        <f>IF(V233="","",COUNTIFS($C$18:$C$2015,V$13,$D$18:$D$2015,"&gt;="&amp;V233,$D$18:$D$2015,"&lt;"&amp;V234))</f>
        <v/>
      </c>
      <c r="X233" s="14" t="n"/>
      <c r="Y233" s="16" t="n"/>
      <c r="Z233" s="124">
        <f>IF(Y233="","",COUNTIFS($C$18:$C$2015,Y$13,$D$18:$D$2015,"&gt;="&amp;Y233,$D$18:$D$2015,"&lt;"&amp;Y234))</f>
        <v/>
      </c>
      <c r="AA233" s="14" t="n"/>
      <c r="AB233" s="16" t="n"/>
      <c r="AC233" s="124">
        <f>IF(AB233="","",COUNTIFS($C$18:$C$2015,AB$13,$D$18:$D$2015,"&gt;="&amp;AB233,$D$18:$D$2015,"&lt;"&amp;AB234))</f>
        <v/>
      </c>
      <c r="AD233" s="14" t="n"/>
    </row>
    <row r="234">
      <c r="A234" s="56" t="n"/>
      <c r="B234" s="57" t="n"/>
      <c r="C234" s="59" t="n"/>
      <c r="E234" s="16" t="n"/>
      <c r="F234" s="13" t="n"/>
      <c r="G234" s="16" t="n"/>
      <c r="H234" s="124">
        <f>IF(G234="","",COUNTIFS($C$18:$C$2015,G$13,$D$18:$D$2015,"&gt;="&amp;G234,$D$18:$D$2015,"&lt;"&amp;G235))</f>
        <v/>
      </c>
      <c r="I234" s="14" t="n"/>
      <c r="J234" s="16" t="n"/>
      <c r="K234" s="124">
        <f>IF(J234="","",COUNTIFS($C$18:$C$2015,J$13,$D$18:$D$2015,"&gt;="&amp;J234,$D$18:$D$2015,"&lt;"&amp;J235))</f>
        <v/>
      </c>
      <c r="L234" s="14" t="n"/>
      <c r="M234" s="16" t="n"/>
      <c r="N234" s="124">
        <f>IF(M234="","",COUNTIFS($C$18:$C$2015,M$13,$D$18:$D$2015,"&gt;="&amp;M234,$D$18:$D$2015,"&lt;"&amp;M235))</f>
        <v/>
      </c>
      <c r="O234" s="14" t="n"/>
      <c r="P234" s="16" t="n"/>
      <c r="Q234" s="124">
        <f>IF(P234="","",COUNTIFS($C$18:$C$2015,P$13,$D$18:$D$2015,"&gt;="&amp;P234,$D$18:$D$2015,"&lt;"&amp;P235))</f>
        <v/>
      </c>
      <c r="R234" s="14" t="n"/>
      <c r="S234" s="16" t="n"/>
      <c r="T234" s="124">
        <f>IF(S234="","",COUNTIFS($C$18:$C$2015,S$13,$D$18:$D$2015,"&gt;="&amp;S234,$D$18:$D$2015,"&lt;"&amp;S235))</f>
        <v/>
      </c>
      <c r="U234" s="14" t="n"/>
      <c r="V234" s="16" t="n"/>
      <c r="W234" s="124">
        <f>IF(V234="","",COUNTIFS($C$18:$C$2015,V$13,$D$18:$D$2015,"&gt;="&amp;V234,$D$18:$D$2015,"&lt;"&amp;V235))</f>
        <v/>
      </c>
      <c r="X234" s="14" t="n"/>
      <c r="Y234" s="16" t="n"/>
      <c r="Z234" s="124">
        <f>IF(Y234="","",COUNTIFS($C$18:$C$2015,Y$13,$D$18:$D$2015,"&gt;="&amp;Y234,$D$18:$D$2015,"&lt;"&amp;Y235))</f>
        <v/>
      </c>
      <c r="AA234" s="14" t="n"/>
      <c r="AB234" s="16" t="n"/>
      <c r="AC234" s="124">
        <f>IF(AB234="","",COUNTIFS($C$18:$C$2015,AB$13,$D$18:$D$2015,"&gt;="&amp;AB234,$D$18:$D$2015,"&lt;"&amp;AB235))</f>
        <v/>
      </c>
      <c r="AD234" s="14" t="n"/>
    </row>
    <row r="235">
      <c r="A235" s="58" t="n"/>
      <c r="B235" s="59" t="n"/>
      <c r="C235" s="59" t="n"/>
      <c r="E235" s="16" t="n"/>
      <c r="F235" s="13" t="n"/>
      <c r="G235" s="16" t="n"/>
      <c r="H235" s="124">
        <f>IF(G235="","",COUNTIFS($C$18:$C$2015,G$13,$D$18:$D$2015,"&gt;="&amp;G235,$D$18:$D$2015,"&lt;"&amp;G236))</f>
        <v/>
      </c>
      <c r="I235" s="14" t="n"/>
      <c r="J235" s="16" t="n"/>
      <c r="K235" s="124">
        <f>IF(J235="","",COUNTIFS($C$18:$C$2015,J$13,$D$18:$D$2015,"&gt;="&amp;J235,$D$18:$D$2015,"&lt;"&amp;J236))</f>
        <v/>
      </c>
      <c r="L235" s="14" t="n"/>
      <c r="M235" s="16" t="n"/>
      <c r="N235" s="124">
        <f>IF(M235="","",COUNTIFS($C$18:$C$2015,M$13,$D$18:$D$2015,"&gt;="&amp;M235,$D$18:$D$2015,"&lt;"&amp;M236))</f>
        <v/>
      </c>
      <c r="O235" s="14" t="n"/>
      <c r="P235" s="16" t="n"/>
      <c r="Q235" s="124">
        <f>IF(P235="","",COUNTIFS($C$18:$C$2015,P$13,$D$18:$D$2015,"&gt;="&amp;P235,$D$18:$D$2015,"&lt;"&amp;P236))</f>
        <v/>
      </c>
      <c r="R235" s="14" t="n"/>
      <c r="S235" s="16" t="n"/>
      <c r="T235" s="124">
        <f>IF(S235="","",COUNTIFS($C$18:$C$2015,S$13,$D$18:$D$2015,"&gt;="&amp;S235,$D$18:$D$2015,"&lt;"&amp;S236))</f>
        <v/>
      </c>
      <c r="U235" s="14" t="n"/>
      <c r="V235" s="16" t="n"/>
      <c r="W235" s="124">
        <f>IF(V235="","",COUNTIFS($C$18:$C$2015,V$13,$D$18:$D$2015,"&gt;="&amp;V235,$D$18:$D$2015,"&lt;"&amp;V236))</f>
        <v/>
      </c>
      <c r="X235" s="14" t="n"/>
      <c r="Y235" s="16" t="n"/>
      <c r="Z235" s="124">
        <f>IF(Y235="","",COUNTIFS($C$18:$C$2015,Y$13,$D$18:$D$2015,"&gt;="&amp;Y235,$D$18:$D$2015,"&lt;"&amp;Y236))</f>
        <v/>
      </c>
      <c r="AA235" s="14" t="n"/>
      <c r="AB235" s="16" t="n"/>
      <c r="AC235" s="124">
        <f>IF(AB235="","",COUNTIFS($C$18:$C$2015,AB$13,$D$18:$D$2015,"&gt;="&amp;AB235,$D$18:$D$2015,"&lt;"&amp;AB236))</f>
        <v/>
      </c>
      <c r="AD235" s="14" t="n"/>
    </row>
    <row r="236">
      <c r="A236" s="56" t="n"/>
      <c r="B236" s="57" t="n"/>
      <c r="C236" s="59" t="n"/>
      <c r="E236" s="16" t="n"/>
      <c r="F236" s="13" t="n"/>
      <c r="G236" s="16" t="n"/>
      <c r="H236" s="124">
        <f>IF(G236="","",COUNTIFS($C$18:$C$2015,G$13,$D$18:$D$2015,"&gt;="&amp;G236,$D$18:$D$2015,"&lt;"&amp;G237))</f>
        <v/>
      </c>
      <c r="I236" s="14" t="n"/>
      <c r="J236" s="16" t="n"/>
      <c r="K236" s="124">
        <f>IF(J236="","",COUNTIFS($C$18:$C$2015,J$13,$D$18:$D$2015,"&gt;="&amp;J236,$D$18:$D$2015,"&lt;"&amp;J237))</f>
        <v/>
      </c>
      <c r="L236" s="14" t="n"/>
      <c r="M236" s="16" t="n"/>
      <c r="N236" s="124">
        <f>IF(M236="","",COUNTIFS($C$18:$C$2015,M$13,$D$18:$D$2015,"&gt;="&amp;M236,$D$18:$D$2015,"&lt;"&amp;M237))</f>
        <v/>
      </c>
      <c r="O236" s="14" t="n"/>
      <c r="P236" s="16" t="n"/>
      <c r="Q236" s="124">
        <f>IF(P236="","",COUNTIFS($C$18:$C$2015,P$13,$D$18:$D$2015,"&gt;="&amp;P236,$D$18:$D$2015,"&lt;"&amp;P237))</f>
        <v/>
      </c>
      <c r="R236" s="14" t="n"/>
      <c r="S236" s="16" t="n"/>
      <c r="T236" s="124">
        <f>IF(S236="","",COUNTIFS($C$18:$C$2015,S$13,$D$18:$D$2015,"&gt;="&amp;S236,$D$18:$D$2015,"&lt;"&amp;S237))</f>
        <v/>
      </c>
      <c r="U236" s="14" t="n"/>
      <c r="V236" s="16" t="n"/>
      <c r="W236" s="124">
        <f>IF(V236="","",COUNTIFS($C$18:$C$2015,V$13,$D$18:$D$2015,"&gt;="&amp;V236,$D$18:$D$2015,"&lt;"&amp;V237))</f>
        <v/>
      </c>
      <c r="X236" s="14" t="n"/>
      <c r="Y236" s="16" t="n"/>
      <c r="Z236" s="124">
        <f>IF(Y236="","",COUNTIFS($C$18:$C$2015,Y$13,$D$18:$D$2015,"&gt;="&amp;Y236,$D$18:$D$2015,"&lt;"&amp;Y237))</f>
        <v/>
      </c>
      <c r="AA236" s="14" t="n"/>
      <c r="AB236" s="16" t="n"/>
      <c r="AC236" s="124">
        <f>IF(AB236="","",COUNTIFS($C$18:$C$2015,AB$13,$D$18:$D$2015,"&gt;="&amp;AB236,$D$18:$D$2015,"&lt;"&amp;AB237))</f>
        <v/>
      </c>
      <c r="AD236" s="14" t="n"/>
    </row>
    <row r="237">
      <c r="A237" s="58" t="n"/>
      <c r="B237" s="59" t="n"/>
      <c r="C237" s="59" t="n"/>
      <c r="E237" s="16" t="n"/>
      <c r="F237" s="13" t="n"/>
      <c r="G237" s="16" t="n"/>
      <c r="H237" s="124">
        <f>IF(G237="","",COUNTIFS($C$18:$C$2015,G$13,$D$18:$D$2015,"&gt;="&amp;G237,$D$18:$D$2015,"&lt;"&amp;G238))</f>
        <v/>
      </c>
      <c r="I237" s="14" t="n"/>
      <c r="J237" s="16" t="n"/>
      <c r="K237" s="124">
        <f>IF(J237="","",COUNTIFS($C$18:$C$2015,J$13,$D$18:$D$2015,"&gt;="&amp;J237,$D$18:$D$2015,"&lt;"&amp;J238))</f>
        <v/>
      </c>
      <c r="L237" s="14" t="n"/>
      <c r="M237" s="16" t="n"/>
      <c r="N237" s="124">
        <f>IF(M237="","",COUNTIFS($C$18:$C$2015,M$13,$D$18:$D$2015,"&gt;="&amp;M237,$D$18:$D$2015,"&lt;"&amp;M238))</f>
        <v/>
      </c>
      <c r="O237" s="14" t="n"/>
      <c r="P237" s="16" t="n"/>
      <c r="Q237" s="124">
        <f>IF(P237="","",COUNTIFS($C$18:$C$2015,P$13,$D$18:$D$2015,"&gt;="&amp;P237,$D$18:$D$2015,"&lt;"&amp;P238))</f>
        <v/>
      </c>
      <c r="R237" s="14" t="n"/>
      <c r="S237" s="16" t="n"/>
      <c r="T237" s="124">
        <f>IF(S237="","",COUNTIFS($C$18:$C$2015,S$13,$D$18:$D$2015,"&gt;="&amp;S237,$D$18:$D$2015,"&lt;"&amp;S238))</f>
        <v/>
      </c>
      <c r="U237" s="14" t="n"/>
      <c r="V237" s="16" t="n"/>
      <c r="W237" s="124">
        <f>IF(V237="","",COUNTIFS($C$18:$C$2015,V$13,$D$18:$D$2015,"&gt;="&amp;V237,$D$18:$D$2015,"&lt;"&amp;V238))</f>
        <v/>
      </c>
      <c r="X237" s="14" t="n"/>
      <c r="Y237" s="16" t="n"/>
      <c r="Z237" s="124">
        <f>IF(Y237="","",COUNTIFS($C$18:$C$2015,Y$13,$D$18:$D$2015,"&gt;="&amp;Y237,$D$18:$D$2015,"&lt;"&amp;Y238))</f>
        <v/>
      </c>
      <c r="AA237" s="14" t="n"/>
      <c r="AB237" s="16" t="n"/>
      <c r="AC237" s="124">
        <f>IF(AB237="","",COUNTIFS($C$18:$C$2015,AB$13,$D$18:$D$2015,"&gt;="&amp;AB237,$D$18:$D$2015,"&lt;"&amp;AB238))</f>
        <v/>
      </c>
      <c r="AD237" s="14" t="n"/>
    </row>
    <row r="238">
      <c r="A238" s="56" t="n"/>
      <c r="B238" s="57" t="n"/>
      <c r="C238" s="59" t="n"/>
      <c r="E238" s="16" t="n"/>
      <c r="F238" s="13" t="n"/>
      <c r="G238" s="16" t="n"/>
      <c r="H238" s="124">
        <f>IF(G238="","",COUNTIFS($C$18:$C$2015,G$13,$D$18:$D$2015,"&gt;="&amp;G238,$D$18:$D$2015,"&lt;"&amp;G239))</f>
        <v/>
      </c>
      <c r="I238" s="14" t="n"/>
      <c r="J238" s="16" t="n"/>
      <c r="K238" s="124">
        <f>IF(J238="","",COUNTIFS($C$18:$C$2015,J$13,$D$18:$D$2015,"&gt;="&amp;J238,$D$18:$D$2015,"&lt;"&amp;J239))</f>
        <v/>
      </c>
      <c r="L238" s="14" t="n"/>
      <c r="M238" s="16" t="n"/>
      <c r="N238" s="124">
        <f>IF(M238="","",COUNTIFS($C$18:$C$2015,M$13,$D$18:$D$2015,"&gt;="&amp;M238,$D$18:$D$2015,"&lt;"&amp;M239))</f>
        <v/>
      </c>
      <c r="O238" s="14" t="n"/>
      <c r="P238" s="16" t="n"/>
      <c r="Q238" s="124">
        <f>IF(P238="","",COUNTIFS($C$18:$C$2015,P$13,$D$18:$D$2015,"&gt;="&amp;P238,$D$18:$D$2015,"&lt;"&amp;P239))</f>
        <v/>
      </c>
      <c r="R238" s="14" t="n"/>
      <c r="S238" s="16" t="n"/>
      <c r="T238" s="124">
        <f>IF(S238="","",COUNTIFS($C$18:$C$2015,S$13,$D$18:$D$2015,"&gt;="&amp;S238,$D$18:$D$2015,"&lt;"&amp;S239))</f>
        <v/>
      </c>
      <c r="U238" s="14" t="n"/>
      <c r="V238" s="16" t="n"/>
      <c r="W238" s="124">
        <f>IF(V238="","",COUNTIFS($C$18:$C$2015,V$13,$D$18:$D$2015,"&gt;="&amp;V238,$D$18:$D$2015,"&lt;"&amp;V239))</f>
        <v/>
      </c>
      <c r="X238" s="14" t="n"/>
      <c r="Y238" s="16" t="n"/>
      <c r="Z238" s="124">
        <f>IF(Y238="","",COUNTIFS($C$18:$C$2015,Y$13,$D$18:$D$2015,"&gt;="&amp;Y238,$D$18:$D$2015,"&lt;"&amp;Y239))</f>
        <v/>
      </c>
      <c r="AA238" s="14" t="n"/>
      <c r="AB238" s="16" t="n"/>
      <c r="AC238" s="124">
        <f>IF(AB238="","",COUNTIFS($C$18:$C$2015,AB$13,$D$18:$D$2015,"&gt;="&amp;AB238,$D$18:$D$2015,"&lt;"&amp;AB239))</f>
        <v/>
      </c>
      <c r="AD238" s="14" t="n"/>
    </row>
    <row r="239">
      <c r="A239" s="58" t="n"/>
      <c r="B239" s="59" t="n"/>
      <c r="C239" s="59" t="n"/>
      <c r="E239" s="16" t="n"/>
      <c r="F239" s="13" t="n"/>
      <c r="G239" s="16" t="n"/>
      <c r="H239" s="124">
        <f>IF(G239="","",COUNTIFS($C$18:$C$2015,G$13,$D$18:$D$2015,"&gt;="&amp;G239,$D$18:$D$2015,"&lt;"&amp;G240))</f>
        <v/>
      </c>
      <c r="I239" s="14" t="n"/>
      <c r="J239" s="16" t="n"/>
      <c r="K239" s="124">
        <f>IF(J239="","",COUNTIFS($C$18:$C$2015,J$13,$D$18:$D$2015,"&gt;="&amp;J239,$D$18:$D$2015,"&lt;"&amp;J240))</f>
        <v/>
      </c>
      <c r="L239" s="14" t="n"/>
      <c r="M239" s="16" t="n"/>
      <c r="N239" s="124">
        <f>IF(M239="","",COUNTIFS($C$18:$C$2015,M$13,$D$18:$D$2015,"&gt;="&amp;M239,$D$18:$D$2015,"&lt;"&amp;M240))</f>
        <v/>
      </c>
      <c r="O239" s="14" t="n"/>
      <c r="P239" s="16" t="n"/>
      <c r="Q239" s="124">
        <f>IF(P239="","",COUNTIFS($C$18:$C$2015,P$13,$D$18:$D$2015,"&gt;="&amp;P239,$D$18:$D$2015,"&lt;"&amp;P240))</f>
        <v/>
      </c>
      <c r="R239" s="14" t="n"/>
      <c r="S239" s="16" t="n"/>
      <c r="T239" s="124">
        <f>IF(S239="","",COUNTIFS($C$18:$C$2015,S$13,$D$18:$D$2015,"&gt;="&amp;S239,$D$18:$D$2015,"&lt;"&amp;S240))</f>
        <v/>
      </c>
      <c r="U239" s="14" t="n"/>
      <c r="V239" s="16" t="n"/>
      <c r="W239" s="124">
        <f>IF(V239="","",COUNTIFS($C$18:$C$2015,V$13,$D$18:$D$2015,"&gt;="&amp;V239,$D$18:$D$2015,"&lt;"&amp;V240))</f>
        <v/>
      </c>
      <c r="X239" s="14" t="n"/>
      <c r="Y239" s="16" t="n"/>
      <c r="Z239" s="124">
        <f>IF(Y239="","",COUNTIFS($C$18:$C$2015,Y$13,$D$18:$D$2015,"&gt;="&amp;Y239,$D$18:$D$2015,"&lt;"&amp;Y240))</f>
        <v/>
      </c>
      <c r="AA239" s="14" t="n"/>
      <c r="AB239" s="16" t="n"/>
      <c r="AC239" s="124">
        <f>IF(AB239="","",COUNTIFS($C$18:$C$2015,AB$13,$D$18:$D$2015,"&gt;="&amp;AB239,$D$18:$D$2015,"&lt;"&amp;AB240))</f>
        <v/>
      </c>
      <c r="AD239" s="14" t="n"/>
    </row>
    <row r="240">
      <c r="A240" s="56" t="n"/>
      <c r="B240" s="57" t="n"/>
      <c r="C240" s="59" t="n"/>
      <c r="E240" s="16" t="n"/>
      <c r="F240" s="13" t="n"/>
      <c r="G240" s="16" t="n"/>
      <c r="H240" s="124">
        <f>IF(G240="","",COUNTIFS($C$18:$C$2015,G$13,$D$18:$D$2015,"&gt;="&amp;G240,$D$18:$D$2015,"&lt;"&amp;G241))</f>
        <v/>
      </c>
      <c r="I240" s="14" t="n"/>
      <c r="J240" s="16" t="n"/>
      <c r="K240" s="124">
        <f>IF(J240="","",COUNTIFS($C$18:$C$2015,J$13,$D$18:$D$2015,"&gt;="&amp;J240,$D$18:$D$2015,"&lt;"&amp;J241))</f>
        <v/>
      </c>
      <c r="L240" s="14" t="n"/>
      <c r="M240" s="16" t="n"/>
      <c r="N240" s="124">
        <f>IF(M240="","",COUNTIFS($C$18:$C$2015,M$13,$D$18:$D$2015,"&gt;="&amp;M240,$D$18:$D$2015,"&lt;"&amp;M241))</f>
        <v/>
      </c>
      <c r="O240" s="14" t="n"/>
      <c r="P240" s="16" t="n"/>
      <c r="Q240" s="124">
        <f>IF(P240="","",COUNTIFS($C$18:$C$2015,P$13,$D$18:$D$2015,"&gt;="&amp;P240,$D$18:$D$2015,"&lt;"&amp;P241))</f>
        <v/>
      </c>
      <c r="R240" s="14" t="n"/>
      <c r="S240" s="16" t="n"/>
      <c r="T240" s="124">
        <f>IF(S240="","",COUNTIFS($C$18:$C$2015,S$13,$D$18:$D$2015,"&gt;="&amp;S240,$D$18:$D$2015,"&lt;"&amp;S241))</f>
        <v/>
      </c>
      <c r="U240" s="14" t="n"/>
      <c r="V240" s="16" t="n"/>
      <c r="W240" s="124">
        <f>IF(V240="","",COUNTIFS($C$18:$C$2015,V$13,$D$18:$D$2015,"&gt;="&amp;V240,$D$18:$D$2015,"&lt;"&amp;V241))</f>
        <v/>
      </c>
      <c r="X240" s="14" t="n"/>
      <c r="Y240" s="16" t="n"/>
      <c r="Z240" s="124">
        <f>IF(Y240="","",COUNTIFS($C$18:$C$2015,Y$13,$D$18:$D$2015,"&gt;="&amp;Y240,$D$18:$D$2015,"&lt;"&amp;Y241))</f>
        <v/>
      </c>
      <c r="AA240" s="14" t="n"/>
      <c r="AB240" s="16" t="n"/>
      <c r="AC240" s="124">
        <f>IF(AB240="","",COUNTIFS($C$18:$C$2015,AB$13,$D$18:$D$2015,"&gt;="&amp;AB240,$D$18:$D$2015,"&lt;"&amp;AB241))</f>
        <v/>
      </c>
      <c r="AD240" s="14" t="n"/>
    </row>
    <row r="241">
      <c r="A241" s="58" t="n"/>
      <c r="B241" s="59" t="n"/>
      <c r="C241" s="59" t="n"/>
      <c r="E241" s="16" t="n"/>
      <c r="F241" s="13" t="n"/>
      <c r="G241" s="16" t="n"/>
      <c r="H241" s="124">
        <f>IF(G241="","",COUNTIFS($C$18:$C$2015,G$13,$D$18:$D$2015,"&gt;="&amp;G241,$D$18:$D$2015,"&lt;"&amp;G242))</f>
        <v/>
      </c>
      <c r="I241" s="14" t="n"/>
      <c r="J241" s="16" t="n"/>
      <c r="K241" s="124">
        <f>IF(J241="","",COUNTIFS($C$18:$C$2015,J$13,$D$18:$D$2015,"&gt;="&amp;J241,$D$18:$D$2015,"&lt;"&amp;J242))</f>
        <v/>
      </c>
      <c r="L241" s="14" t="n"/>
      <c r="M241" s="16" t="n"/>
      <c r="N241" s="124">
        <f>IF(M241="","",COUNTIFS($C$18:$C$2015,M$13,$D$18:$D$2015,"&gt;="&amp;M241,$D$18:$D$2015,"&lt;"&amp;M242))</f>
        <v/>
      </c>
      <c r="O241" s="14" t="n"/>
      <c r="P241" s="16" t="n"/>
      <c r="Q241" s="124">
        <f>IF(P241="","",COUNTIFS($C$18:$C$2015,P$13,$D$18:$D$2015,"&gt;="&amp;P241,$D$18:$D$2015,"&lt;"&amp;P242))</f>
        <v/>
      </c>
      <c r="R241" s="14" t="n"/>
      <c r="S241" s="16" t="n"/>
      <c r="T241" s="124">
        <f>IF(S241="","",COUNTIFS($C$18:$C$2015,S$13,$D$18:$D$2015,"&gt;="&amp;S241,$D$18:$D$2015,"&lt;"&amp;S242))</f>
        <v/>
      </c>
      <c r="U241" s="14" t="n"/>
      <c r="V241" s="16" t="n"/>
      <c r="W241" s="124">
        <f>IF(V241="","",COUNTIFS($C$18:$C$2015,V$13,$D$18:$D$2015,"&gt;="&amp;V241,$D$18:$D$2015,"&lt;"&amp;V242))</f>
        <v/>
      </c>
      <c r="X241" s="14" t="n"/>
      <c r="Y241" s="16" t="n"/>
      <c r="Z241" s="124">
        <f>IF(Y241="","",COUNTIFS($C$18:$C$2015,Y$13,$D$18:$D$2015,"&gt;="&amp;Y241,$D$18:$D$2015,"&lt;"&amp;Y242))</f>
        <v/>
      </c>
      <c r="AA241" s="14" t="n"/>
      <c r="AB241" s="16" t="n"/>
      <c r="AC241" s="124">
        <f>IF(AB241="","",COUNTIFS($C$18:$C$2015,AB$13,$D$18:$D$2015,"&gt;="&amp;AB241,$D$18:$D$2015,"&lt;"&amp;AB242))</f>
        <v/>
      </c>
      <c r="AD241" s="14" t="n"/>
    </row>
    <row r="242">
      <c r="A242" s="56" t="n"/>
      <c r="B242" s="57" t="n"/>
      <c r="C242" s="59" t="n"/>
      <c r="E242" s="16" t="n"/>
      <c r="F242" s="13" t="n"/>
      <c r="G242" s="16" t="n"/>
      <c r="H242" s="124">
        <f>IF(G242="","",COUNTIFS($C$18:$C$2015,G$13,$D$18:$D$2015,"&gt;="&amp;G242,$D$18:$D$2015,"&lt;"&amp;G243))</f>
        <v/>
      </c>
      <c r="I242" s="14" t="n"/>
      <c r="J242" s="16" t="n"/>
      <c r="K242" s="124">
        <f>IF(J242="","",COUNTIFS($C$18:$C$2015,J$13,$D$18:$D$2015,"&gt;="&amp;J242,$D$18:$D$2015,"&lt;"&amp;J243))</f>
        <v/>
      </c>
      <c r="L242" s="14" t="n"/>
      <c r="M242" s="16" t="n"/>
      <c r="N242" s="124">
        <f>IF(M242="","",COUNTIFS($C$18:$C$2015,M$13,$D$18:$D$2015,"&gt;="&amp;M242,$D$18:$D$2015,"&lt;"&amp;M243))</f>
        <v/>
      </c>
      <c r="O242" s="14" t="n"/>
      <c r="P242" s="16" t="n"/>
      <c r="Q242" s="124">
        <f>IF(P242="","",COUNTIFS($C$18:$C$2015,P$13,$D$18:$D$2015,"&gt;="&amp;P242,$D$18:$D$2015,"&lt;"&amp;P243))</f>
        <v/>
      </c>
      <c r="R242" s="14" t="n"/>
      <c r="S242" s="16" t="n"/>
      <c r="T242" s="124">
        <f>IF(S242="","",COUNTIFS($C$18:$C$2015,S$13,$D$18:$D$2015,"&gt;="&amp;S242,$D$18:$D$2015,"&lt;"&amp;S243))</f>
        <v/>
      </c>
      <c r="U242" s="14" t="n"/>
      <c r="V242" s="16" t="n"/>
      <c r="W242" s="124">
        <f>IF(V242="","",COUNTIFS($C$18:$C$2015,V$13,$D$18:$D$2015,"&gt;="&amp;V242,$D$18:$D$2015,"&lt;"&amp;V243))</f>
        <v/>
      </c>
      <c r="X242" s="14" t="n"/>
      <c r="Y242" s="16" t="n"/>
      <c r="Z242" s="124">
        <f>IF(Y242="","",COUNTIFS($C$18:$C$2015,Y$13,$D$18:$D$2015,"&gt;="&amp;Y242,$D$18:$D$2015,"&lt;"&amp;Y243))</f>
        <v/>
      </c>
      <c r="AA242" s="14" t="n"/>
      <c r="AB242" s="16" t="n"/>
      <c r="AC242" s="124">
        <f>IF(AB242="","",COUNTIFS($C$18:$C$2015,AB$13,$D$18:$D$2015,"&gt;="&amp;AB242,$D$18:$D$2015,"&lt;"&amp;AB243))</f>
        <v/>
      </c>
      <c r="AD242" s="14" t="n"/>
    </row>
    <row r="243">
      <c r="A243" s="58" t="n"/>
      <c r="B243" s="59" t="n"/>
      <c r="C243" s="59" t="n"/>
      <c r="E243" s="16" t="n"/>
      <c r="F243" s="13" t="n"/>
      <c r="G243" s="16" t="n"/>
      <c r="H243" s="124">
        <f>IF(G243="","",COUNTIFS($C$18:$C$2015,G$13,$D$18:$D$2015,"&gt;="&amp;G243,$D$18:$D$2015,"&lt;"&amp;G244))</f>
        <v/>
      </c>
      <c r="I243" s="14" t="n"/>
      <c r="J243" s="16" t="n"/>
      <c r="K243" s="124">
        <f>IF(J243="","",COUNTIFS($C$18:$C$2015,J$13,$D$18:$D$2015,"&gt;="&amp;J243,$D$18:$D$2015,"&lt;"&amp;J244))</f>
        <v/>
      </c>
      <c r="L243" s="14" t="n"/>
      <c r="M243" s="16" t="n"/>
      <c r="N243" s="124">
        <f>IF(M243="","",COUNTIFS($C$18:$C$2015,M$13,$D$18:$D$2015,"&gt;="&amp;M243,$D$18:$D$2015,"&lt;"&amp;M244))</f>
        <v/>
      </c>
      <c r="O243" s="14" t="n"/>
      <c r="P243" s="16" t="n"/>
      <c r="Q243" s="124">
        <f>IF(P243="","",COUNTIFS($C$18:$C$2015,P$13,$D$18:$D$2015,"&gt;="&amp;P243,$D$18:$D$2015,"&lt;"&amp;P244))</f>
        <v/>
      </c>
      <c r="R243" s="14" t="n"/>
      <c r="S243" s="16" t="n"/>
      <c r="T243" s="124">
        <f>IF(S243="","",COUNTIFS($C$18:$C$2015,S$13,$D$18:$D$2015,"&gt;="&amp;S243,$D$18:$D$2015,"&lt;"&amp;S244))</f>
        <v/>
      </c>
      <c r="U243" s="14" t="n"/>
      <c r="V243" s="16" t="n"/>
      <c r="W243" s="124">
        <f>IF(V243="","",COUNTIFS($C$18:$C$2015,V$13,$D$18:$D$2015,"&gt;="&amp;V243,$D$18:$D$2015,"&lt;"&amp;V244))</f>
        <v/>
      </c>
      <c r="X243" s="14" t="n"/>
      <c r="Y243" s="16" t="n"/>
      <c r="Z243" s="124">
        <f>IF(Y243="","",COUNTIFS($C$18:$C$2015,Y$13,$D$18:$D$2015,"&gt;="&amp;Y243,$D$18:$D$2015,"&lt;"&amp;Y244))</f>
        <v/>
      </c>
      <c r="AA243" s="14" t="n"/>
      <c r="AB243" s="16" t="n"/>
      <c r="AC243" s="124">
        <f>IF(AB243="","",COUNTIFS($C$18:$C$2015,AB$13,$D$18:$D$2015,"&gt;="&amp;AB243,$D$18:$D$2015,"&lt;"&amp;AB244))</f>
        <v/>
      </c>
      <c r="AD243" s="14" t="n"/>
    </row>
    <row r="244">
      <c r="A244" s="56" t="n"/>
      <c r="B244" s="57" t="n"/>
      <c r="C244" s="59" t="n"/>
      <c r="E244" s="16" t="n"/>
      <c r="F244" s="13" t="n"/>
      <c r="G244" s="16" t="n"/>
      <c r="H244" s="124">
        <f>IF(G244="","",COUNTIFS($C$18:$C$2015,G$13,$D$18:$D$2015,"&gt;="&amp;G244,$D$18:$D$2015,"&lt;"&amp;G245))</f>
        <v/>
      </c>
      <c r="I244" s="14" t="n"/>
      <c r="J244" s="16" t="n"/>
      <c r="K244" s="124">
        <f>IF(J244="","",COUNTIFS($C$18:$C$2015,J$13,$D$18:$D$2015,"&gt;="&amp;J244,$D$18:$D$2015,"&lt;"&amp;J245))</f>
        <v/>
      </c>
      <c r="L244" s="14" t="n"/>
      <c r="M244" s="16" t="n"/>
      <c r="N244" s="124">
        <f>IF(M244="","",COUNTIFS($C$18:$C$2015,M$13,$D$18:$D$2015,"&gt;="&amp;M244,$D$18:$D$2015,"&lt;"&amp;M245))</f>
        <v/>
      </c>
      <c r="O244" s="14" t="n"/>
      <c r="P244" s="16" t="n"/>
      <c r="Q244" s="124">
        <f>IF(P244="","",COUNTIFS($C$18:$C$2015,P$13,$D$18:$D$2015,"&gt;="&amp;P244,$D$18:$D$2015,"&lt;"&amp;P245))</f>
        <v/>
      </c>
      <c r="R244" s="14" t="n"/>
      <c r="S244" s="16" t="n"/>
      <c r="T244" s="124">
        <f>IF(S244="","",COUNTIFS($C$18:$C$2015,S$13,$D$18:$D$2015,"&gt;="&amp;S244,$D$18:$D$2015,"&lt;"&amp;S245))</f>
        <v/>
      </c>
      <c r="U244" s="14" t="n"/>
      <c r="V244" s="16" t="n"/>
      <c r="W244" s="124">
        <f>IF(V244="","",COUNTIFS($C$18:$C$2015,V$13,$D$18:$D$2015,"&gt;="&amp;V244,$D$18:$D$2015,"&lt;"&amp;V245))</f>
        <v/>
      </c>
      <c r="X244" s="14" t="n"/>
      <c r="Y244" s="16" t="n"/>
      <c r="Z244" s="124">
        <f>IF(Y244="","",COUNTIFS($C$18:$C$2015,Y$13,$D$18:$D$2015,"&gt;="&amp;Y244,$D$18:$D$2015,"&lt;"&amp;Y245))</f>
        <v/>
      </c>
      <c r="AA244" s="14" t="n"/>
      <c r="AB244" s="16" t="n"/>
      <c r="AC244" s="124">
        <f>IF(AB244="","",COUNTIFS($C$18:$C$2015,AB$13,$D$18:$D$2015,"&gt;="&amp;AB244,$D$18:$D$2015,"&lt;"&amp;AB245))</f>
        <v/>
      </c>
      <c r="AD244" s="14" t="n"/>
    </row>
    <row r="245">
      <c r="A245" s="58" t="n"/>
      <c r="B245" s="59" t="n"/>
      <c r="C245" s="59" t="n"/>
      <c r="E245" s="16" t="n"/>
      <c r="F245" s="13" t="n"/>
      <c r="G245" s="16" t="n"/>
      <c r="H245" s="124">
        <f>IF(G245="","",COUNTIFS($C$18:$C$2015,G$13,$D$18:$D$2015,"&gt;="&amp;G245,$D$18:$D$2015,"&lt;"&amp;G246))</f>
        <v/>
      </c>
      <c r="I245" s="14" t="n"/>
      <c r="J245" s="16" t="n"/>
      <c r="K245" s="124">
        <f>IF(J245="","",COUNTIFS($C$18:$C$2015,J$13,$D$18:$D$2015,"&gt;="&amp;J245,$D$18:$D$2015,"&lt;"&amp;J246))</f>
        <v/>
      </c>
      <c r="L245" s="14" t="n"/>
      <c r="M245" s="16" t="n"/>
      <c r="N245" s="124">
        <f>IF(M245="","",COUNTIFS($C$18:$C$2015,M$13,$D$18:$D$2015,"&gt;="&amp;M245,$D$18:$D$2015,"&lt;"&amp;M246))</f>
        <v/>
      </c>
      <c r="O245" s="14" t="n"/>
      <c r="P245" s="16" t="n"/>
      <c r="Q245" s="124">
        <f>IF(P245="","",COUNTIFS($C$18:$C$2015,P$13,$D$18:$D$2015,"&gt;="&amp;P245,$D$18:$D$2015,"&lt;"&amp;P246))</f>
        <v/>
      </c>
      <c r="R245" s="14" t="n"/>
      <c r="S245" s="16" t="n"/>
      <c r="T245" s="124">
        <f>IF(S245="","",COUNTIFS($C$18:$C$2015,S$13,$D$18:$D$2015,"&gt;="&amp;S245,$D$18:$D$2015,"&lt;"&amp;S246))</f>
        <v/>
      </c>
      <c r="U245" s="14" t="n"/>
      <c r="V245" s="16" t="n"/>
      <c r="W245" s="124">
        <f>IF(V245="","",COUNTIFS($C$18:$C$2015,V$13,$D$18:$D$2015,"&gt;="&amp;V245,$D$18:$D$2015,"&lt;"&amp;V246))</f>
        <v/>
      </c>
      <c r="X245" s="14" t="n"/>
      <c r="Y245" s="16" t="n"/>
      <c r="Z245" s="124">
        <f>IF(Y245="","",COUNTIFS($C$18:$C$2015,Y$13,$D$18:$D$2015,"&gt;="&amp;Y245,$D$18:$D$2015,"&lt;"&amp;Y246))</f>
        <v/>
      </c>
      <c r="AA245" s="14" t="n"/>
      <c r="AB245" s="16" t="n"/>
      <c r="AC245" s="124">
        <f>IF(AB245="","",COUNTIFS($C$18:$C$2015,AB$13,$D$18:$D$2015,"&gt;="&amp;AB245,$D$18:$D$2015,"&lt;"&amp;AB246))</f>
        <v/>
      </c>
      <c r="AD245" s="14" t="n"/>
    </row>
    <row r="246">
      <c r="A246" s="56" t="n"/>
      <c r="B246" s="57" t="n"/>
      <c r="C246" s="59" t="n"/>
      <c r="E246" s="16" t="n"/>
      <c r="F246" s="13" t="n"/>
      <c r="G246" s="16" t="n"/>
      <c r="H246" s="124">
        <f>IF(G246="","",COUNTIFS($C$18:$C$2015,G$13,$D$18:$D$2015,"&gt;="&amp;G246,$D$18:$D$2015,"&lt;"&amp;G247))</f>
        <v/>
      </c>
      <c r="I246" s="14" t="n"/>
      <c r="J246" s="16" t="n"/>
      <c r="K246" s="124">
        <f>IF(J246="","",COUNTIFS($C$18:$C$2015,J$13,$D$18:$D$2015,"&gt;="&amp;J246,$D$18:$D$2015,"&lt;"&amp;J247))</f>
        <v/>
      </c>
      <c r="L246" s="14" t="n"/>
      <c r="M246" s="16" t="n"/>
      <c r="N246" s="124">
        <f>IF(M246="","",COUNTIFS($C$18:$C$2015,M$13,$D$18:$D$2015,"&gt;="&amp;M246,$D$18:$D$2015,"&lt;"&amp;M247))</f>
        <v/>
      </c>
      <c r="O246" s="14" t="n"/>
      <c r="P246" s="16" t="n"/>
      <c r="Q246" s="124">
        <f>IF(P246="","",COUNTIFS($C$18:$C$2015,P$13,$D$18:$D$2015,"&gt;="&amp;P246,$D$18:$D$2015,"&lt;"&amp;P247))</f>
        <v/>
      </c>
      <c r="R246" s="14" t="n"/>
      <c r="S246" s="16" t="n"/>
      <c r="T246" s="124">
        <f>IF(S246="","",COUNTIFS($C$18:$C$2015,S$13,$D$18:$D$2015,"&gt;="&amp;S246,$D$18:$D$2015,"&lt;"&amp;S247))</f>
        <v/>
      </c>
      <c r="U246" s="14" t="n"/>
      <c r="V246" s="16" t="n"/>
      <c r="W246" s="124">
        <f>IF(V246="","",COUNTIFS($C$18:$C$2015,V$13,$D$18:$D$2015,"&gt;="&amp;V246,$D$18:$D$2015,"&lt;"&amp;V247))</f>
        <v/>
      </c>
      <c r="X246" s="14" t="n"/>
      <c r="Y246" s="16" t="n"/>
      <c r="Z246" s="124">
        <f>IF(Y246="","",COUNTIFS($C$18:$C$2015,Y$13,$D$18:$D$2015,"&gt;="&amp;Y246,$D$18:$D$2015,"&lt;"&amp;Y247))</f>
        <v/>
      </c>
      <c r="AA246" s="14" t="n"/>
      <c r="AB246" s="16" t="n"/>
      <c r="AC246" s="124">
        <f>IF(AB246="","",COUNTIFS($C$18:$C$2015,AB$13,$D$18:$D$2015,"&gt;="&amp;AB246,$D$18:$D$2015,"&lt;"&amp;AB247))</f>
        <v/>
      </c>
      <c r="AD246" s="14" t="n"/>
    </row>
    <row r="247">
      <c r="A247" s="58" t="n"/>
      <c r="B247" s="59" t="n"/>
      <c r="C247" s="59" t="n"/>
      <c r="E247" s="16" t="n"/>
      <c r="F247" s="13" t="n"/>
      <c r="G247" s="16" t="n"/>
      <c r="H247" s="124">
        <f>IF(G247="","",COUNTIFS($C$18:$C$2015,G$13,$D$18:$D$2015,"&gt;="&amp;G247,$D$18:$D$2015,"&lt;"&amp;G248))</f>
        <v/>
      </c>
      <c r="I247" s="14" t="n"/>
      <c r="J247" s="16" t="n"/>
      <c r="K247" s="124">
        <f>IF(J247="","",COUNTIFS($C$18:$C$2015,J$13,$D$18:$D$2015,"&gt;="&amp;J247,$D$18:$D$2015,"&lt;"&amp;J248))</f>
        <v/>
      </c>
      <c r="L247" s="14" t="n"/>
      <c r="M247" s="16" t="n"/>
      <c r="N247" s="124">
        <f>IF(M247="","",COUNTIFS($C$18:$C$2015,M$13,$D$18:$D$2015,"&gt;="&amp;M247,$D$18:$D$2015,"&lt;"&amp;M248))</f>
        <v/>
      </c>
      <c r="O247" s="14" t="n"/>
      <c r="P247" s="16" t="n"/>
      <c r="Q247" s="124">
        <f>IF(P247="","",COUNTIFS($C$18:$C$2015,P$13,$D$18:$D$2015,"&gt;="&amp;P247,$D$18:$D$2015,"&lt;"&amp;P248))</f>
        <v/>
      </c>
      <c r="R247" s="14" t="n"/>
      <c r="S247" s="16" t="n"/>
      <c r="T247" s="124">
        <f>IF(S247="","",COUNTIFS($C$18:$C$2015,S$13,$D$18:$D$2015,"&gt;="&amp;S247,$D$18:$D$2015,"&lt;"&amp;S248))</f>
        <v/>
      </c>
      <c r="U247" s="14" t="n"/>
      <c r="V247" s="16" t="n"/>
      <c r="W247" s="124">
        <f>IF(V247="","",COUNTIFS($C$18:$C$2015,V$13,$D$18:$D$2015,"&gt;="&amp;V247,$D$18:$D$2015,"&lt;"&amp;V248))</f>
        <v/>
      </c>
      <c r="X247" s="14" t="n"/>
      <c r="Y247" s="16" t="n"/>
      <c r="Z247" s="124">
        <f>IF(Y247="","",COUNTIFS($C$18:$C$2015,Y$13,$D$18:$D$2015,"&gt;="&amp;Y247,$D$18:$D$2015,"&lt;"&amp;Y248))</f>
        <v/>
      </c>
      <c r="AA247" s="14" t="n"/>
      <c r="AB247" s="16" t="n"/>
      <c r="AC247" s="124">
        <f>IF(AB247="","",COUNTIFS($C$18:$C$2015,AB$13,$D$18:$D$2015,"&gt;="&amp;AB247,$D$18:$D$2015,"&lt;"&amp;AB248))</f>
        <v/>
      </c>
      <c r="AD247" s="14" t="n"/>
    </row>
    <row r="248">
      <c r="A248" s="56" t="n"/>
      <c r="B248" s="57" t="n"/>
      <c r="C248" s="59" t="n"/>
      <c r="E248" s="16" t="n"/>
      <c r="F248" s="13" t="n"/>
      <c r="G248" s="16" t="n"/>
      <c r="H248" s="124">
        <f>IF(G248="","",COUNTIFS($C$18:$C$2015,G$13,$D$18:$D$2015,"&gt;="&amp;G248,$D$18:$D$2015,"&lt;"&amp;G249))</f>
        <v/>
      </c>
      <c r="I248" s="14" t="n"/>
      <c r="J248" s="16" t="n"/>
      <c r="K248" s="124">
        <f>IF(J248="","",COUNTIFS($C$18:$C$2015,J$13,$D$18:$D$2015,"&gt;="&amp;J248,$D$18:$D$2015,"&lt;"&amp;J249))</f>
        <v/>
      </c>
      <c r="L248" s="14" t="n"/>
      <c r="M248" s="16" t="n"/>
      <c r="N248" s="124">
        <f>IF(M248="","",COUNTIFS($C$18:$C$2015,M$13,$D$18:$D$2015,"&gt;="&amp;M248,$D$18:$D$2015,"&lt;"&amp;M249))</f>
        <v/>
      </c>
      <c r="O248" s="14" t="n"/>
      <c r="P248" s="16" t="n"/>
      <c r="Q248" s="124">
        <f>IF(P248="","",COUNTIFS($C$18:$C$2015,P$13,$D$18:$D$2015,"&gt;="&amp;P248,$D$18:$D$2015,"&lt;"&amp;P249))</f>
        <v/>
      </c>
      <c r="R248" s="14" t="n"/>
      <c r="S248" s="16" t="n"/>
      <c r="T248" s="124">
        <f>IF(S248="","",COUNTIFS($C$18:$C$2015,S$13,$D$18:$D$2015,"&gt;="&amp;S248,$D$18:$D$2015,"&lt;"&amp;S249))</f>
        <v/>
      </c>
      <c r="U248" s="14" t="n"/>
      <c r="V248" s="16" t="n"/>
      <c r="W248" s="124">
        <f>IF(V248="","",COUNTIFS($C$18:$C$2015,V$13,$D$18:$D$2015,"&gt;="&amp;V248,$D$18:$D$2015,"&lt;"&amp;V249))</f>
        <v/>
      </c>
      <c r="X248" s="14" t="n"/>
      <c r="Y248" s="16" t="n"/>
      <c r="Z248" s="124">
        <f>IF(Y248="","",COUNTIFS($C$18:$C$2015,Y$13,$D$18:$D$2015,"&gt;="&amp;Y248,$D$18:$D$2015,"&lt;"&amp;Y249))</f>
        <v/>
      </c>
      <c r="AA248" s="14" t="n"/>
      <c r="AB248" s="16" t="n"/>
      <c r="AC248" s="124">
        <f>IF(AB248="","",COUNTIFS($C$18:$C$2015,AB$13,$D$18:$D$2015,"&gt;="&amp;AB248,$D$18:$D$2015,"&lt;"&amp;AB249))</f>
        <v/>
      </c>
      <c r="AD248" s="14" t="n"/>
    </row>
    <row r="249">
      <c r="A249" s="58" t="n"/>
      <c r="B249" s="59" t="n"/>
      <c r="C249" s="59" t="n"/>
      <c r="E249" s="16" t="n"/>
      <c r="F249" s="13" t="n"/>
      <c r="G249" s="16" t="n"/>
      <c r="H249" s="124">
        <f>IF(G249="","",COUNTIFS($C$18:$C$2015,G$13,$D$18:$D$2015,"&gt;="&amp;G249,$D$18:$D$2015,"&lt;"&amp;G250))</f>
        <v/>
      </c>
      <c r="I249" s="14" t="n"/>
      <c r="J249" s="16" t="n"/>
      <c r="K249" s="124">
        <f>IF(J249="","",COUNTIFS($C$18:$C$2015,J$13,$D$18:$D$2015,"&gt;="&amp;J249,$D$18:$D$2015,"&lt;"&amp;J250))</f>
        <v/>
      </c>
      <c r="L249" s="14" t="n"/>
      <c r="M249" s="16" t="n"/>
      <c r="N249" s="124">
        <f>IF(M249="","",COUNTIFS($C$18:$C$2015,M$13,$D$18:$D$2015,"&gt;="&amp;M249,$D$18:$D$2015,"&lt;"&amp;M250))</f>
        <v/>
      </c>
      <c r="O249" s="14" t="n"/>
      <c r="P249" s="16" t="n"/>
      <c r="Q249" s="124">
        <f>IF(P249="","",COUNTIFS($C$18:$C$2015,P$13,$D$18:$D$2015,"&gt;="&amp;P249,$D$18:$D$2015,"&lt;"&amp;P250))</f>
        <v/>
      </c>
      <c r="R249" s="14" t="n"/>
      <c r="S249" s="16" t="n"/>
      <c r="T249" s="124">
        <f>IF(S249="","",COUNTIFS($C$18:$C$2015,S$13,$D$18:$D$2015,"&gt;="&amp;S249,$D$18:$D$2015,"&lt;"&amp;S250))</f>
        <v/>
      </c>
      <c r="U249" s="14" t="n"/>
      <c r="V249" s="16" t="n"/>
      <c r="W249" s="124">
        <f>IF(V249="","",COUNTIFS($C$18:$C$2015,V$13,$D$18:$D$2015,"&gt;="&amp;V249,$D$18:$D$2015,"&lt;"&amp;V250))</f>
        <v/>
      </c>
      <c r="X249" s="14" t="n"/>
      <c r="Y249" s="16" t="n"/>
      <c r="Z249" s="124">
        <f>IF(Y249="","",COUNTIFS($C$18:$C$2015,Y$13,$D$18:$D$2015,"&gt;="&amp;Y249,$D$18:$D$2015,"&lt;"&amp;Y250))</f>
        <v/>
      </c>
      <c r="AA249" s="14" t="n"/>
      <c r="AB249" s="16" t="n"/>
      <c r="AC249" s="124">
        <f>IF(AB249="","",COUNTIFS($C$18:$C$2015,AB$13,$D$18:$D$2015,"&gt;="&amp;AB249,$D$18:$D$2015,"&lt;"&amp;AB250))</f>
        <v/>
      </c>
      <c r="AD249" s="14" t="n"/>
    </row>
    <row r="250">
      <c r="A250" s="56" t="n"/>
      <c r="B250" s="57" t="n"/>
      <c r="C250" s="59" t="n"/>
      <c r="E250" s="16" t="n"/>
      <c r="F250" s="13" t="n"/>
      <c r="G250" s="16" t="n"/>
      <c r="H250" s="124">
        <f>IF(G250="","",COUNTIFS($C$18:$C$2015,G$13,$D$18:$D$2015,"&gt;="&amp;G250,$D$18:$D$2015,"&lt;"&amp;G251))</f>
        <v/>
      </c>
      <c r="I250" s="14" t="n"/>
      <c r="J250" s="16" t="n"/>
      <c r="K250" s="124">
        <f>IF(J250="","",COUNTIFS($C$18:$C$2015,J$13,$D$18:$D$2015,"&gt;="&amp;J250,$D$18:$D$2015,"&lt;"&amp;J251))</f>
        <v/>
      </c>
      <c r="L250" s="14" t="n"/>
      <c r="M250" s="16" t="n"/>
      <c r="N250" s="124">
        <f>IF(M250="","",COUNTIFS($C$18:$C$2015,M$13,$D$18:$D$2015,"&gt;="&amp;M250,$D$18:$D$2015,"&lt;"&amp;M251))</f>
        <v/>
      </c>
      <c r="O250" s="14" t="n"/>
      <c r="P250" s="16" t="n"/>
      <c r="Q250" s="124">
        <f>IF(P250="","",COUNTIFS($C$18:$C$2015,P$13,$D$18:$D$2015,"&gt;="&amp;P250,$D$18:$D$2015,"&lt;"&amp;P251))</f>
        <v/>
      </c>
      <c r="R250" s="14" t="n"/>
      <c r="S250" s="16" t="n"/>
      <c r="T250" s="124">
        <f>IF(S250="","",COUNTIFS($C$18:$C$2015,S$13,$D$18:$D$2015,"&gt;="&amp;S250,$D$18:$D$2015,"&lt;"&amp;S251))</f>
        <v/>
      </c>
      <c r="U250" s="14" t="n"/>
      <c r="V250" s="16" t="n"/>
      <c r="W250" s="124">
        <f>IF(V250="","",COUNTIFS($C$18:$C$2015,V$13,$D$18:$D$2015,"&gt;="&amp;V250,$D$18:$D$2015,"&lt;"&amp;V251))</f>
        <v/>
      </c>
      <c r="X250" s="14" t="n"/>
      <c r="Y250" s="16" t="n"/>
      <c r="Z250" s="124">
        <f>IF(Y250="","",COUNTIFS($C$18:$C$2015,Y$13,$D$18:$D$2015,"&gt;="&amp;Y250,$D$18:$D$2015,"&lt;"&amp;Y251))</f>
        <v/>
      </c>
      <c r="AA250" s="14" t="n"/>
      <c r="AB250" s="16" t="n"/>
      <c r="AC250" s="124">
        <f>IF(AB250="","",COUNTIFS($C$18:$C$2015,AB$13,$D$18:$D$2015,"&gt;="&amp;AB250,$D$18:$D$2015,"&lt;"&amp;AB251))</f>
        <v/>
      </c>
      <c r="AD250" s="14" t="n"/>
    </row>
    <row r="251">
      <c r="A251" s="58" t="n"/>
      <c r="B251" s="59" t="n"/>
      <c r="C251" s="59" t="n"/>
      <c r="E251" s="16" t="n"/>
      <c r="F251" s="13" t="n"/>
      <c r="G251" s="16" t="n"/>
      <c r="H251" s="124">
        <f>IF(G251="","",COUNTIFS($C$18:$C$2015,G$13,$D$18:$D$2015,"&gt;="&amp;G251,$D$18:$D$2015,"&lt;"&amp;G252))</f>
        <v/>
      </c>
      <c r="I251" s="14" t="n"/>
      <c r="J251" s="16" t="n"/>
      <c r="K251" s="124">
        <f>IF(J251="","",COUNTIFS($C$18:$C$2015,J$13,$D$18:$D$2015,"&gt;="&amp;J251,$D$18:$D$2015,"&lt;"&amp;J252))</f>
        <v/>
      </c>
      <c r="L251" s="14" t="n"/>
      <c r="M251" s="16" t="n"/>
      <c r="N251" s="124">
        <f>IF(M251="","",COUNTIFS($C$18:$C$2015,M$13,$D$18:$D$2015,"&gt;="&amp;M251,$D$18:$D$2015,"&lt;"&amp;M252))</f>
        <v/>
      </c>
      <c r="O251" s="14" t="n"/>
      <c r="P251" s="16" t="n"/>
      <c r="Q251" s="124">
        <f>IF(P251="","",COUNTIFS($C$18:$C$2015,P$13,$D$18:$D$2015,"&gt;="&amp;P251,$D$18:$D$2015,"&lt;"&amp;P252))</f>
        <v/>
      </c>
      <c r="R251" s="14" t="n"/>
      <c r="S251" s="16" t="n"/>
      <c r="T251" s="124">
        <f>IF(S251="","",COUNTIFS($C$18:$C$2015,S$13,$D$18:$D$2015,"&gt;="&amp;S251,$D$18:$D$2015,"&lt;"&amp;S252))</f>
        <v/>
      </c>
      <c r="U251" s="14" t="n"/>
      <c r="V251" s="16" t="n"/>
      <c r="W251" s="124">
        <f>IF(V251="","",COUNTIFS($C$18:$C$2015,V$13,$D$18:$D$2015,"&gt;="&amp;V251,$D$18:$D$2015,"&lt;"&amp;V252))</f>
        <v/>
      </c>
      <c r="X251" s="14" t="n"/>
      <c r="Y251" s="16" t="n"/>
      <c r="Z251" s="124">
        <f>IF(Y251="","",COUNTIFS($C$18:$C$2015,Y$13,$D$18:$D$2015,"&gt;="&amp;Y251,$D$18:$D$2015,"&lt;"&amp;Y252))</f>
        <v/>
      </c>
      <c r="AA251" s="14" t="n"/>
      <c r="AB251" s="16" t="n"/>
      <c r="AC251" s="124">
        <f>IF(AB251="","",COUNTIFS($C$18:$C$2015,AB$13,$D$18:$D$2015,"&gt;="&amp;AB251,$D$18:$D$2015,"&lt;"&amp;AB252))</f>
        <v/>
      </c>
      <c r="AD251" s="14" t="n"/>
    </row>
    <row r="252">
      <c r="A252" s="56" t="n"/>
      <c r="B252" s="57" t="n"/>
      <c r="C252" s="59" t="n"/>
      <c r="E252" s="16" t="n"/>
      <c r="F252" s="13" t="n"/>
      <c r="G252" s="16" t="n"/>
      <c r="H252" s="124">
        <f>IF(G252="","",COUNTIFS($C$18:$C$2015,G$13,$D$18:$D$2015,"&gt;="&amp;G252,$D$18:$D$2015,"&lt;"&amp;G253))</f>
        <v/>
      </c>
      <c r="I252" s="14" t="n"/>
      <c r="J252" s="16" t="n"/>
      <c r="K252" s="124">
        <f>IF(J252="","",COUNTIFS($C$18:$C$2015,J$13,$D$18:$D$2015,"&gt;="&amp;J252,$D$18:$D$2015,"&lt;"&amp;J253))</f>
        <v/>
      </c>
      <c r="L252" s="14" t="n"/>
      <c r="M252" s="16" t="n"/>
      <c r="N252" s="124">
        <f>IF(M252="","",COUNTIFS($C$18:$C$2015,M$13,$D$18:$D$2015,"&gt;="&amp;M252,$D$18:$D$2015,"&lt;"&amp;M253))</f>
        <v/>
      </c>
      <c r="O252" s="14" t="n"/>
      <c r="P252" s="16" t="n"/>
      <c r="Q252" s="124">
        <f>IF(P252="","",COUNTIFS($C$18:$C$2015,P$13,$D$18:$D$2015,"&gt;="&amp;P252,$D$18:$D$2015,"&lt;"&amp;P253))</f>
        <v/>
      </c>
      <c r="R252" s="14" t="n"/>
      <c r="S252" s="16" t="n"/>
      <c r="T252" s="124">
        <f>IF(S252="","",COUNTIFS($C$18:$C$2015,S$13,$D$18:$D$2015,"&gt;="&amp;S252,$D$18:$D$2015,"&lt;"&amp;S253))</f>
        <v/>
      </c>
      <c r="U252" s="14" t="n"/>
      <c r="V252" s="16" t="n"/>
      <c r="W252" s="124">
        <f>IF(V252="","",COUNTIFS($C$18:$C$2015,V$13,$D$18:$D$2015,"&gt;="&amp;V252,$D$18:$D$2015,"&lt;"&amp;V253))</f>
        <v/>
      </c>
      <c r="X252" s="14" t="n"/>
      <c r="Y252" s="16" t="n"/>
      <c r="Z252" s="124">
        <f>IF(Y252="","",COUNTIFS($C$18:$C$2015,Y$13,$D$18:$D$2015,"&gt;="&amp;Y252,$D$18:$D$2015,"&lt;"&amp;Y253))</f>
        <v/>
      </c>
      <c r="AA252" s="14" t="n"/>
      <c r="AB252" s="16" t="n"/>
      <c r="AC252" s="124">
        <f>IF(AB252="","",COUNTIFS($C$18:$C$2015,AB$13,$D$18:$D$2015,"&gt;="&amp;AB252,$D$18:$D$2015,"&lt;"&amp;AB253))</f>
        <v/>
      </c>
      <c r="AD252" s="14" t="n"/>
    </row>
    <row r="253">
      <c r="A253" s="58" t="n"/>
      <c r="B253" s="59" t="n"/>
      <c r="C253" s="59" t="n"/>
      <c r="E253" s="16" t="n"/>
      <c r="F253" s="13" t="n"/>
      <c r="G253" s="16" t="n"/>
      <c r="H253" s="124">
        <f>IF(G253="","",COUNTIFS($C$18:$C$2015,G$13,$D$18:$D$2015,"&gt;="&amp;G253,$D$18:$D$2015,"&lt;"&amp;G254))</f>
        <v/>
      </c>
      <c r="I253" s="14" t="n"/>
      <c r="J253" s="16" t="n"/>
      <c r="K253" s="124">
        <f>IF(J253="","",COUNTIFS($C$18:$C$2015,J$13,$D$18:$D$2015,"&gt;="&amp;J253,$D$18:$D$2015,"&lt;"&amp;J254))</f>
        <v/>
      </c>
      <c r="L253" s="14" t="n"/>
      <c r="M253" s="16" t="n"/>
      <c r="N253" s="124">
        <f>IF(M253="","",COUNTIFS($C$18:$C$2015,M$13,$D$18:$D$2015,"&gt;="&amp;M253,$D$18:$D$2015,"&lt;"&amp;M254))</f>
        <v/>
      </c>
      <c r="O253" s="14" t="n"/>
      <c r="P253" s="16" t="n"/>
      <c r="Q253" s="124">
        <f>IF(P253="","",COUNTIFS($C$18:$C$2015,P$13,$D$18:$D$2015,"&gt;="&amp;P253,$D$18:$D$2015,"&lt;"&amp;P254))</f>
        <v/>
      </c>
      <c r="R253" s="14" t="n"/>
      <c r="S253" s="16" t="n"/>
      <c r="T253" s="124">
        <f>IF(S253="","",COUNTIFS($C$18:$C$2015,S$13,$D$18:$D$2015,"&gt;="&amp;S253,$D$18:$D$2015,"&lt;"&amp;S254))</f>
        <v/>
      </c>
      <c r="U253" s="14" t="n"/>
      <c r="V253" s="16" t="n"/>
      <c r="W253" s="124">
        <f>IF(V253="","",COUNTIFS($C$18:$C$2015,V$13,$D$18:$D$2015,"&gt;="&amp;V253,$D$18:$D$2015,"&lt;"&amp;V254))</f>
        <v/>
      </c>
      <c r="X253" s="14" t="n"/>
      <c r="Y253" s="16" t="n"/>
      <c r="Z253" s="124">
        <f>IF(Y253="","",COUNTIFS($C$18:$C$2015,Y$13,$D$18:$D$2015,"&gt;="&amp;Y253,$D$18:$D$2015,"&lt;"&amp;Y254))</f>
        <v/>
      </c>
      <c r="AA253" s="14" t="n"/>
      <c r="AB253" s="16" t="n"/>
      <c r="AC253" s="124">
        <f>IF(AB253="","",COUNTIFS($C$18:$C$2015,AB$13,$D$18:$D$2015,"&gt;="&amp;AB253,$D$18:$D$2015,"&lt;"&amp;AB254))</f>
        <v/>
      </c>
      <c r="AD253" s="14" t="n"/>
    </row>
    <row r="254">
      <c r="A254" s="56" t="n"/>
      <c r="B254" s="57" t="n"/>
      <c r="C254" s="59" t="n"/>
      <c r="E254" s="16" t="n"/>
      <c r="F254" s="13" t="n"/>
      <c r="G254" s="16" t="n"/>
      <c r="H254" s="124">
        <f>IF(G254="","",COUNTIFS($C$18:$C$2015,G$13,$D$18:$D$2015,"&gt;="&amp;G254,$D$18:$D$2015,"&lt;"&amp;G255))</f>
        <v/>
      </c>
      <c r="I254" s="14" t="n"/>
      <c r="J254" s="16" t="n"/>
      <c r="K254" s="124">
        <f>IF(J254="","",COUNTIFS($C$18:$C$2015,J$13,$D$18:$D$2015,"&gt;="&amp;J254,$D$18:$D$2015,"&lt;"&amp;J255))</f>
        <v/>
      </c>
      <c r="L254" s="14" t="n"/>
      <c r="M254" s="16" t="n"/>
      <c r="N254" s="124">
        <f>IF(M254="","",COUNTIFS($C$18:$C$2015,M$13,$D$18:$D$2015,"&gt;="&amp;M254,$D$18:$D$2015,"&lt;"&amp;M255))</f>
        <v/>
      </c>
      <c r="O254" s="14" t="n"/>
      <c r="P254" s="16" t="n"/>
      <c r="Q254" s="124">
        <f>IF(P254="","",COUNTIFS($C$18:$C$2015,P$13,$D$18:$D$2015,"&gt;="&amp;P254,$D$18:$D$2015,"&lt;"&amp;P255))</f>
        <v/>
      </c>
      <c r="R254" s="14" t="n"/>
      <c r="S254" s="16" t="n"/>
      <c r="T254" s="124">
        <f>IF(S254="","",COUNTIFS($C$18:$C$2015,S$13,$D$18:$D$2015,"&gt;="&amp;S254,$D$18:$D$2015,"&lt;"&amp;S255))</f>
        <v/>
      </c>
      <c r="U254" s="14" t="n"/>
      <c r="V254" s="16" t="n"/>
      <c r="W254" s="124">
        <f>IF(V254="","",COUNTIFS($C$18:$C$2015,V$13,$D$18:$D$2015,"&gt;="&amp;V254,$D$18:$D$2015,"&lt;"&amp;V255))</f>
        <v/>
      </c>
      <c r="X254" s="14" t="n"/>
      <c r="Y254" s="16" t="n"/>
      <c r="Z254" s="124">
        <f>IF(Y254="","",COUNTIFS($C$18:$C$2015,Y$13,$D$18:$D$2015,"&gt;="&amp;Y254,$D$18:$D$2015,"&lt;"&amp;Y255))</f>
        <v/>
      </c>
      <c r="AA254" s="14" t="n"/>
      <c r="AB254" s="16" t="n"/>
      <c r="AC254" s="124">
        <f>IF(AB254="","",COUNTIFS($C$18:$C$2015,AB$13,$D$18:$D$2015,"&gt;="&amp;AB254,$D$18:$D$2015,"&lt;"&amp;AB255))</f>
        <v/>
      </c>
      <c r="AD254" s="14" t="n"/>
    </row>
    <row r="255">
      <c r="A255" s="58" t="n"/>
      <c r="B255" s="59" t="n"/>
      <c r="C255" s="59" t="n"/>
      <c r="E255" s="16" t="n"/>
      <c r="F255" s="13" t="n"/>
      <c r="G255" s="16" t="n"/>
      <c r="H255" s="124">
        <f>IF(G255="","",COUNTIFS($C$18:$C$2015,G$13,$D$18:$D$2015,"&gt;="&amp;G255,$D$18:$D$2015,"&lt;"&amp;G256))</f>
        <v/>
      </c>
      <c r="I255" s="14" t="n"/>
      <c r="J255" s="16" t="n"/>
      <c r="K255" s="124">
        <f>IF(J255="","",COUNTIFS($C$18:$C$2015,J$13,$D$18:$D$2015,"&gt;="&amp;J255,$D$18:$D$2015,"&lt;"&amp;J256))</f>
        <v/>
      </c>
      <c r="L255" s="14" t="n"/>
      <c r="M255" s="16" t="n"/>
      <c r="N255" s="124">
        <f>IF(M255="","",COUNTIFS($C$18:$C$2015,M$13,$D$18:$D$2015,"&gt;="&amp;M255,$D$18:$D$2015,"&lt;"&amp;M256))</f>
        <v/>
      </c>
      <c r="O255" s="14" t="n"/>
      <c r="P255" s="16" t="n"/>
      <c r="Q255" s="124">
        <f>IF(P255="","",COUNTIFS($C$18:$C$2015,P$13,$D$18:$D$2015,"&gt;="&amp;P255,$D$18:$D$2015,"&lt;"&amp;P256))</f>
        <v/>
      </c>
      <c r="R255" s="14" t="n"/>
      <c r="S255" s="16" t="n"/>
      <c r="T255" s="124">
        <f>IF(S255="","",COUNTIFS($C$18:$C$2015,S$13,$D$18:$D$2015,"&gt;="&amp;S255,$D$18:$D$2015,"&lt;"&amp;S256))</f>
        <v/>
      </c>
      <c r="U255" s="14" t="n"/>
      <c r="V255" s="16" t="n"/>
      <c r="W255" s="124">
        <f>IF(V255="","",COUNTIFS($C$18:$C$2015,V$13,$D$18:$D$2015,"&gt;="&amp;V255,$D$18:$D$2015,"&lt;"&amp;V256))</f>
        <v/>
      </c>
      <c r="X255" s="14" t="n"/>
      <c r="Y255" s="16" t="n"/>
      <c r="Z255" s="124">
        <f>IF(Y255="","",COUNTIFS($C$18:$C$2015,Y$13,$D$18:$D$2015,"&gt;="&amp;Y255,$D$18:$D$2015,"&lt;"&amp;Y256))</f>
        <v/>
      </c>
      <c r="AA255" s="14" t="n"/>
      <c r="AB255" s="16" t="n"/>
      <c r="AC255" s="124">
        <f>IF(AB255="","",COUNTIFS($C$18:$C$2015,AB$13,$D$18:$D$2015,"&gt;="&amp;AB255,$D$18:$D$2015,"&lt;"&amp;AB256))</f>
        <v/>
      </c>
      <c r="AD255" s="14" t="n"/>
    </row>
    <row r="256">
      <c r="A256" s="56" t="n"/>
      <c r="B256" s="57" t="n"/>
      <c r="C256" s="59" t="n"/>
      <c r="E256" s="16" t="n"/>
      <c r="F256" s="13" t="n"/>
      <c r="G256" s="16" t="n"/>
      <c r="H256" s="124">
        <f>IF(G256="","",COUNTIFS($C$18:$C$2015,G$13,$D$18:$D$2015,"&gt;="&amp;G256,$D$18:$D$2015,"&lt;"&amp;G257))</f>
        <v/>
      </c>
      <c r="I256" s="14" t="n"/>
      <c r="J256" s="16" t="n"/>
      <c r="K256" s="124">
        <f>IF(J256="","",COUNTIFS($C$18:$C$2015,J$13,$D$18:$D$2015,"&gt;="&amp;J256,$D$18:$D$2015,"&lt;"&amp;J257))</f>
        <v/>
      </c>
      <c r="L256" s="14" t="n"/>
      <c r="M256" s="16" t="n"/>
      <c r="N256" s="124">
        <f>IF(M256="","",COUNTIFS($C$18:$C$2015,M$13,$D$18:$D$2015,"&gt;="&amp;M256,$D$18:$D$2015,"&lt;"&amp;M257))</f>
        <v/>
      </c>
      <c r="O256" s="14" t="n"/>
      <c r="P256" s="16" t="n"/>
      <c r="Q256" s="124">
        <f>IF(P256="","",COUNTIFS($C$18:$C$2015,P$13,$D$18:$D$2015,"&gt;="&amp;P256,$D$18:$D$2015,"&lt;"&amp;P257))</f>
        <v/>
      </c>
      <c r="R256" s="14" t="n"/>
      <c r="S256" s="16" t="n"/>
      <c r="T256" s="124">
        <f>IF(S256="","",COUNTIFS($C$18:$C$2015,S$13,$D$18:$D$2015,"&gt;="&amp;S256,$D$18:$D$2015,"&lt;"&amp;S257))</f>
        <v/>
      </c>
      <c r="U256" s="14" t="n"/>
      <c r="V256" s="16" t="n"/>
      <c r="W256" s="124">
        <f>IF(V256="","",COUNTIFS($C$18:$C$2015,V$13,$D$18:$D$2015,"&gt;="&amp;V256,$D$18:$D$2015,"&lt;"&amp;V257))</f>
        <v/>
      </c>
      <c r="X256" s="14" t="n"/>
      <c r="Y256" s="16" t="n"/>
      <c r="Z256" s="124">
        <f>IF(Y256="","",COUNTIFS($C$18:$C$2015,Y$13,$D$18:$D$2015,"&gt;="&amp;Y256,$D$18:$D$2015,"&lt;"&amp;Y257))</f>
        <v/>
      </c>
      <c r="AA256" s="14" t="n"/>
      <c r="AB256" s="16" t="n"/>
      <c r="AC256" s="124">
        <f>IF(AB256="","",COUNTIFS($C$18:$C$2015,AB$13,$D$18:$D$2015,"&gt;="&amp;AB256,$D$18:$D$2015,"&lt;"&amp;AB257))</f>
        <v/>
      </c>
      <c r="AD256" s="14" t="n"/>
    </row>
    <row r="257">
      <c r="A257" s="58" t="n"/>
      <c r="B257" s="59" t="n"/>
      <c r="C257" s="59" t="n"/>
      <c r="E257" s="16" t="n"/>
      <c r="F257" s="13" t="n"/>
      <c r="G257" s="16" t="n"/>
      <c r="H257" s="124">
        <f>IF(G257="","",COUNTIFS($C$18:$C$2015,G$13,$D$18:$D$2015,"&gt;="&amp;G257,$D$18:$D$2015,"&lt;"&amp;G258))</f>
        <v/>
      </c>
      <c r="I257" s="14" t="n"/>
      <c r="J257" s="16" t="n"/>
      <c r="K257" s="124">
        <f>IF(J257="","",COUNTIFS($C$18:$C$2015,J$13,$D$18:$D$2015,"&gt;="&amp;J257,$D$18:$D$2015,"&lt;"&amp;J258))</f>
        <v/>
      </c>
      <c r="L257" s="14" t="n"/>
      <c r="M257" s="16" t="n"/>
      <c r="N257" s="124">
        <f>IF(M257="","",COUNTIFS($C$18:$C$2015,M$13,$D$18:$D$2015,"&gt;="&amp;M257,$D$18:$D$2015,"&lt;"&amp;M258))</f>
        <v/>
      </c>
      <c r="O257" s="14" t="n"/>
      <c r="P257" s="16" t="n"/>
      <c r="Q257" s="124">
        <f>IF(P257="","",COUNTIFS($C$18:$C$2015,P$13,$D$18:$D$2015,"&gt;="&amp;P257,$D$18:$D$2015,"&lt;"&amp;P258))</f>
        <v/>
      </c>
      <c r="R257" s="14" t="n"/>
      <c r="S257" s="16" t="n"/>
      <c r="T257" s="124">
        <f>IF(S257="","",COUNTIFS($C$18:$C$2015,S$13,$D$18:$D$2015,"&gt;="&amp;S257,$D$18:$D$2015,"&lt;"&amp;S258))</f>
        <v/>
      </c>
      <c r="U257" s="14" t="n"/>
      <c r="V257" s="16" t="n"/>
      <c r="W257" s="124">
        <f>IF(V257="","",COUNTIFS($C$18:$C$2015,V$13,$D$18:$D$2015,"&gt;="&amp;V257,$D$18:$D$2015,"&lt;"&amp;V258))</f>
        <v/>
      </c>
      <c r="X257" s="14" t="n"/>
      <c r="Y257" s="16" t="n"/>
      <c r="Z257" s="124">
        <f>IF(Y257="","",COUNTIFS($C$18:$C$2015,Y$13,$D$18:$D$2015,"&gt;="&amp;Y257,$D$18:$D$2015,"&lt;"&amp;Y258))</f>
        <v/>
      </c>
      <c r="AA257" s="14" t="n"/>
      <c r="AB257" s="16" t="n"/>
      <c r="AC257" s="124">
        <f>IF(AB257="","",COUNTIFS($C$18:$C$2015,AB$13,$D$18:$D$2015,"&gt;="&amp;AB257,$D$18:$D$2015,"&lt;"&amp;AB258))</f>
        <v/>
      </c>
      <c r="AD257" s="14" t="n"/>
    </row>
    <row r="258">
      <c r="A258" s="56" t="n"/>
      <c r="B258" s="57" t="n"/>
      <c r="C258" s="59" t="n"/>
      <c r="E258" s="16" t="n"/>
      <c r="F258" s="13" t="n"/>
      <c r="G258" s="16" t="n"/>
      <c r="H258" s="124">
        <f>IF(G258="","",COUNTIFS($C$18:$C$2015,G$13,$D$18:$D$2015,"&gt;="&amp;G258,$D$18:$D$2015,"&lt;"&amp;G259))</f>
        <v/>
      </c>
      <c r="I258" s="14" t="n"/>
      <c r="J258" s="16" t="n"/>
      <c r="K258" s="124">
        <f>IF(J258="","",COUNTIFS($C$18:$C$2015,J$13,$D$18:$D$2015,"&gt;="&amp;J258,$D$18:$D$2015,"&lt;"&amp;J259))</f>
        <v/>
      </c>
      <c r="L258" s="14" t="n"/>
      <c r="M258" s="16" t="n"/>
      <c r="N258" s="124">
        <f>IF(M258="","",COUNTIFS($C$18:$C$2015,M$13,$D$18:$D$2015,"&gt;="&amp;M258,$D$18:$D$2015,"&lt;"&amp;M259))</f>
        <v/>
      </c>
      <c r="O258" s="14" t="n"/>
      <c r="P258" s="16" t="n"/>
      <c r="Q258" s="124">
        <f>IF(P258="","",COUNTIFS($C$18:$C$2015,P$13,$D$18:$D$2015,"&gt;="&amp;P258,$D$18:$D$2015,"&lt;"&amp;P259))</f>
        <v/>
      </c>
      <c r="R258" s="14" t="n"/>
      <c r="S258" s="16" t="n"/>
      <c r="T258" s="124">
        <f>IF(S258="","",COUNTIFS($C$18:$C$2015,S$13,$D$18:$D$2015,"&gt;="&amp;S258,$D$18:$D$2015,"&lt;"&amp;S259))</f>
        <v/>
      </c>
      <c r="U258" s="14" t="n"/>
      <c r="V258" s="16" t="n"/>
      <c r="W258" s="124">
        <f>IF(V258="","",COUNTIFS($C$18:$C$2015,V$13,$D$18:$D$2015,"&gt;="&amp;V258,$D$18:$D$2015,"&lt;"&amp;V259))</f>
        <v/>
      </c>
      <c r="X258" s="14" t="n"/>
      <c r="Y258" s="16" t="n"/>
      <c r="Z258" s="124">
        <f>IF(Y258="","",COUNTIFS($C$18:$C$2015,Y$13,$D$18:$D$2015,"&gt;="&amp;Y258,$D$18:$D$2015,"&lt;"&amp;Y259))</f>
        <v/>
      </c>
      <c r="AA258" s="14" t="n"/>
      <c r="AB258" s="16" t="n"/>
      <c r="AC258" s="124">
        <f>IF(AB258="","",COUNTIFS($C$18:$C$2015,AB$13,$D$18:$D$2015,"&gt;="&amp;AB258,$D$18:$D$2015,"&lt;"&amp;AB259))</f>
        <v/>
      </c>
      <c r="AD258" s="14" t="n"/>
    </row>
    <row r="259">
      <c r="A259" s="58" t="n"/>
      <c r="B259" s="59" t="n"/>
      <c r="C259" s="59" t="n"/>
      <c r="E259" s="16" t="n"/>
      <c r="F259" s="13" t="n"/>
      <c r="G259" s="16" t="n"/>
      <c r="H259" s="124">
        <f>IF(G259="","",COUNTIFS($C$18:$C$2015,G$13,$D$18:$D$2015,"&gt;="&amp;G259,$D$18:$D$2015,"&lt;"&amp;G260))</f>
        <v/>
      </c>
      <c r="I259" s="14" t="n"/>
      <c r="J259" s="16" t="n"/>
      <c r="K259" s="124">
        <f>IF(J259="","",COUNTIFS($C$18:$C$2015,J$13,$D$18:$D$2015,"&gt;="&amp;J259,$D$18:$D$2015,"&lt;"&amp;J260))</f>
        <v/>
      </c>
      <c r="L259" s="14" t="n"/>
      <c r="M259" s="16" t="n"/>
      <c r="N259" s="124">
        <f>IF(M259="","",COUNTIFS($C$18:$C$2015,M$13,$D$18:$D$2015,"&gt;="&amp;M259,$D$18:$D$2015,"&lt;"&amp;M260))</f>
        <v/>
      </c>
      <c r="O259" s="14" t="n"/>
      <c r="P259" s="16" t="n"/>
      <c r="Q259" s="124">
        <f>IF(P259="","",COUNTIFS($C$18:$C$2015,P$13,$D$18:$D$2015,"&gt;="&amp;P259,$D$18:$D$2015,"&lt;"&amp;P260))</f>
        <v/>
      </c>
      <c r="R259" s="14" t="n"/>
      <c r="S259" s="16" t="n"/>
      <c r="T259" s="124">
        <f>IF(S259="","",COUNTIFS($C$18:$C$2015,S$13,$D$18:$D$2015,"&gt;="&amp;S259,$D$18:$D$2015,"&lt;"&amp;S260))</f>
        <v/>
      </c>
      <c r="U259" s="14" t="n"/>
      <c r="V259" s="16" t="n"/>
      <c r="W259" s="124">
        <f>IF(V259="","",COUNTIFS($C$18:$C$2015,V$13,$D$18:$D$2015,"&gt;="&amp;V259,$D$18:$D$2015,"&lt;"&amp;V260))</f>
        <v/>
      </c>
      <c r="X259" s="14" t="n"/>
      <c r="Y259" s="16" t="n"/>
      <c r="Z259" s="124">
        <f>IF(Y259="","",COUNTIFS($C$18:$C$2015,Y$13,$D$18:$D$2015,"&gt;="&amp;Y259,$D$18:$D$2015,"&lt;"&amp;Y260))</f>
        <v/>
      </c>
      <c r="AA259" s="14" t="n"/>
      <c r="AB259" s="16" t="n"/>
      <c r="AC259" s="124">
        <f>IF(AB259="","",COUNTIFS($C$18:$C$2015,AB$13,$D$18:$D$2015,"&gt;="&amp;AB259,$D$18:$D$2015,"&lt;"&amp;AB260))</f>
        <v/>
      </c>
      <c r="AD259" s="14" t="n"/>
    </row>
    <row r="260">
      <c r="A260" s="56" t="n"/>
      <c r="B260" s="57" t="n"/>
      <c r="C260" s="59" t="n"/>
      <c r="E260" s="16" t="n"/>
      <c r="F260" s="13" t="n"/>
      <c r="G260" s="16" t="n"/>
      <c r="H260" s="124">
        <f>IF(G260="","",COUNTIFS($C$18:$C$2015,G$13,$D$18:$D$2015,"&gt;="&amp;G260,$D$18:$D$2015,"&lt;"&amp;G261))</f>
        <v/>
      </c>
      <c r="I260" s="14" t="n"/>
      <c r="J260" s="16" t="n"/>
      <c r="K260" s="124">
        <f>IF(J260="","",COUNTIFS($C$18:$C$2015,J$13,$D$18:$D$2015,"&gt;="&amp;J260,$D$18:$D$2015,"&lt;"&amp;J261))</f>
        <v/>
      </c>
      <c r="L260" s="14" t="n"/>
      <c r="M260" s="16" t="n"/>
      <c r="N260" s="124">
        <f>IF(M260="","",COUNTIFS($C$18:$C$2015,M$13,$D$18:$D$2015,"&gt;="&amp;M260,$D$18:$D$2015,"&lt;"&amp;M261))</f>
        <v/>
      </c>
      <c r="O260" s="14" t="n"/>
      <c r="P260" s="16" t="n"/>
      <c r="Q260" s="124">
        <f>IF(P260="","",COUNTIFS($C$18:$C$2015,P$13,$D$18:$D$2015,"&gt;="&amp;P260,$D$18:$D$2015,"&lt;"&amp;P261))</f>
        <v/>
      </c>
      <c r="R260" s="14" t="n"/>
      <c r="S260" s="16" t="n"/>
      <c r="T260" s="124">
        <f>IF(S260="","",COUNTIFS($C$18:$C$2015,S$13,$D$18:$D$2015,"&gt;="&amp;S260,$D$18:$D$2015,"&lt;"&amp;S261))</f>
        <v/>
      </c>
      <c r="U260" s="14" t="n"/>
      <c r="V260" s="16" t="n"/>
      <c r="W260" s="124">
        <f>IF(V260="","",COUNTIFS($C$18:$C$2015,V$13,$D$18:$D$2015,"&gt;="&amp;V260,$D$18:$D$2015,"&lt;"&amp;V261))</f>
        <v/>
      </c>
      <c r="X260" s="14" t="n"/>
      <c r="Y260" s="16" t="n"/>
      <c r="Z260" s="124">
        <f>IF(Y260="","",COUNTIFS($C$18:$C$2015,Y$13,$D$18:$D$2015,"&gt;="&amp;Y260,$D$18:$D$2015,"&lt;"&amp;Y261))</f>
        <v/>
      </c>
      <c r="AA260" s="14" t="n"/>
      <c r="AB260" s="16" t="n"/>
      <c r="AC260" s="124">
        <f>IF(AB260="","",COUNTIFS($C$18:$C$2015,AB$13,$D$18:$D$2015,"&gt;="&amp;AB260,$D$18:$D$2015,"&lt;"&amp;AB261))</f>
        <v/>
      </c>
      <c r="AD260" s="14" t="n"/>
    </row>
    <row r="261">
      <c r="A261" s="58" t="n"/>
      <c r="B261" s="59" t="n"/>
      <c r="C261" s="59" t="n"/>
      <c r="E261" s="16" t="n"/>
      <c r="F261" s="13" t="n"/>
      <c r="G261" s="16" t="n"/>
      <c r="H261" s="124">
        <f>IF(G261="","",COUNTIFS($C$18:$C$2015,G$13,$D$18:$D$2015,"&gt;="&amp;G261,$D$18:$D$2015,"&lt;"&amp;G262))</f>
        <v/>
      </c>
      <c r="I261" s="14" t="n"/>
      <c r="J261" s="16" t="n"/>
      <c r="K261" s="124">
        <f>IF(J261="","",COUNTIFS($C$18:$C$2015,J$13,$D$18:$D$2015,"&gt;="&amp;J261,$D$18:$D$2015,"&lt;"&amp;J262))</f>
        <v/>
      </c>
      <c r="L261" s="14" t="n"/>
      <c r="M261" s="16" t="n"/>
      <c r="N261" s="124">
        <f>IF(M261="","",COUNTIFS($C$18:$C$2015,M$13,$D$18:$D$2015,"&gt;="&amp;M261,$D$18:$D$2015,"&lt;"&amp;M262))</f>
        <v/>
      </c>
      <c r="O261" s="14" t="n"/>
      <c r="P261" s="16" t="n"/>
      <c r="Q261" s="124">
        <f>IF(P261="","",COUNTIFS($C$18:$C$2015,P$13,$D$18:$D$2015,"&gt;="&amp;P261,$D$18:$D$2015,"&lt;"&amp;P262))</f>
        <v/>
      </c>
      <c r="R261" s="14" t="n"/>
      <c r="S261" s="16" t="n"/>
      <c r="T261" s="124">
        <f>IF(S261="","",COUNTIFS($C$18:$C$2015,S$13,$D$18:$D$2015,"&gt;="&amp;S261,$D$18:$D$2015,"&lt;"&amp;S262))</f>
        <v/>
      </c>
      <c r="U261" s="14" t="n"/>
      <c r="V261" s="16" t="n"/>
      <c r="W261" s="124">
        <f>IF(V261="","",COUNTIFS($C$18:$C$2015,V$13,$D$18:$D$2015,"&gt;="&amp;V261,$D$18:$D$2015,"&lt;"&amp;V262))</f>
        <v/>
      </c>
      <c r="X261" s="14" t="n"/>
      <c r="Y261" s="16" t="n"/>
      <c r="Z261" s="124">
        <f>IF(Y261="","",COUNTIFS($C$18:$C$2015,Y$13,$D$18:$D$2015,"&gt;="&amp;Y261,$D$18:$D$2015,"&lt;"&amp;Y262))</f>
        <v/>
      </c>
      <c r="AA261" s="14" t="n"/>
      <c r="AB261" s="16" t="n"/>
      <c r="AC261" s="124">
        <f>IF(AB261="","",COUNTIFS($C$18:$C$2015,AB$13,$D$18:$D$2015,"&gt;="&amp;AB261,$D$18:$D$2015,"&lt;"&amp;AB262))</f>
        <v/>
      </c>
      <c r="AD261" s="14" t="n"/>
    </row>
    <row r="262">
      <c r="A262" s="56" t="n"/>
      <c r="B262" s="57" t="n"/>
      <c r="C262" s="59" t="n"/>
      <c r="E262" s="16" t="n"/>
      <c r="F262" s="13" t="n"/>
      <c r="G262" s="16" t="n"/>
      <c r="H262" s="124">
        <f>IF(G262="","",COUNTIFS($C$18:$C$2015,G$13,$D$18:$D$2015,"&gt;="&amp;G262,$D$18:$D$2015,"&lt;"&amp;G263))</f>
        <v/>
      </c>
      <c r="I262" s="14" t="n"/>
      <c r="J262" s="16" t="n"/>
      <c r="K262" s="124">
        <f>IF(J262="","",COUNTIFS($C$18:$C$2015,J$13,$D$18:$D$2015,"&gt;="&amp;J262,$D$18:$D$2015,"&lt;"&amp;J263))</f>
        <v/>
      </c>
      <c r="L262" s="14" t="n"/>
      <c r="M262" s="16" t="n"/>
      <c r="N262" s="124">
        <f>IF(M262="","",COUNTIFS($C$18:$C$2015,M$13,$D$18:$D$2015,"&gt;="&amp;M262,$D$18:$D$2015,"&lt;"&amp;M263))</f>
        <v/>
      </c>
      <c r="O262" s="14" t="n"/>
      <c r="P262" s="16" t="n"/>
      <c r="Q262" s="124">
        <f>IF(P262="","",COUNTIFS($C$18:$C$2015,P$13,$D$18:$D$2015,"&gt;="&amp;P262,$D$18:$D$2015,"&lt;"&amp;P263))</f>
        <v/>
      </c>
      <c r="R262" s="14" t="n"/>
      <c r="S262" s="16" t="n"/>
      <c r="T262" s="124">
        <f>IF(S262="","",COUNTIFS($C$18:$C$2015,S$13,$D$18:$D$2015,"&gt;="&amp;S262,$D$18:$D$2015,"&lt;"&amp;S263))</f>
        <v/>
      </c>
      <c r="U262" s="14" t="n"/>
      <c r="V262" s="16" t="n"/>
      <c r="W262" s="124">
        <f>IF(V262="","",COUNTIFS($C$18:$C$2015,V$13,$D$18:$D$2015,"&gt;="&amp;V262,$D$18:$D$2015,"&lt;"&amp;V263))</f>
        <v/>
      </c>
      <c r="X262" s="14" t="n"/>
      <c r="Y262" s="16" t="n"/>
      <c r="Z262" s="124">
        <f>IF(Y262="","",COUNTIFS($C$18:$C$2015,Y$13,$D$18:$D$2015,"&gt;="&amp;Y262,$D$18:$D$2015,"&lt;"&amp;Y263))</f>
        <v/>
      </c>
      <c r="AA262" s="14" t="n"/>
      <c r="AB262" s="16" t="n"/>
      <c r="AC262" s="124">
        <f>IF(AB262="","",COUNTIFS($C$18:$C$2015,AB$13,$D$18:$D$2015,"&gt;="&amp;AB262,$D$18:$D$2015,"&lt;"&amp;AB263))</f>
        <v/>
      </c>
      <c r="AD262" s="14" t="n"/>
    </row>
    <row r="263">
      <c r="A263" s="58" t="n"/>
      <c r="B263" s="59" t="n"/>
      <c r="C263" s="59" t="n"/>
      <c r="E263" s="16" t="n"/>
      <c r="F263" s="13" t="n"/>
      <c r="G263" s="16" t="n"/>
      <c r="H263" s="124">
        <f>IF(G263="","",COUNTIFS($C$18:$C$2015,G$13,$D$18:$D$2015,"&gt;="&amp;G263,$D$18:$D$2015,"&lt;"&amp;G264))</f>
        <v/>
      </c>
      <c r="I263" s="14" t="n"/>
      <c r="J263" s="16" t="n"/>
      <c r="K263" s="124">
        <f>IF(J263="","",COUNTIFS($C$18:$C$2015,J$13,$D$18:$D$2015,"&gt;="&amp;J263,$D$18:$D$2015,"&lt;"&amp;J264))</f>
        <v/>
      </c>
      <c r="L263" s="14" t="n"/>
      <c r="M263" s="16" t="n"/>
      <c r="N263" s="124">
        <f>IF(M263="","",COUNTIFS($C$18:$C$2015,M$13,$D$18:$D$2015,"&gt;="&amp;M263,$D$18:$D$2015,"&lt;"&amp;M264))</f>
        <v/>
      </c>
      <c r="O263" s="14" t="n"/>
      <c r="P263" s="16" t="n"/>
      <c r="Q263" s="124">
        <f>IF(P263="","",COUNTIFS($C$18:$C$2015,P$13,$D$18:$D$2015,"&gt;="&amp;P263,$D$18:$D$2015,"&lt;"&amp;P264))</f>
        <v/>
      </c>
      <c r="R263" s="14" t="n"/>
      <c r="S263" s="16" t="n"/>
      <c r="T263" s="124">
        <f>IF(S263="","",COUNTIFS($C$18:$C$2015,S$13,$D$18:$D$2015,"&gt;="&amp;S263,$D$18:$D$2015,"&lt;"&amp;S264))</f>
        <v/>
      </c>
      <c r="U263" s="14" t="n"/>
      <c r="V263" s="16" t="n"/>
      <c r="W263" s="124">
        <f>IF(V263="","",COUNTIFS($C$18:$C$2015,V$13,$D$18:$D$2015,"&gt;="&amp;V263,$D$18:$D$2015,"&lt;"&amp;V264))</f>
        <v/>
      </c>
      <c r="X263" s="14" t="n"/>
      <c r="Y263" s="16" t="n"/>
      <c r="Z263" s="124">
        <f>IF(Y263="","",COUNTIFS($C$18:$C$2015,Y$13,$D$18:$D$2015,"&gt;="&amp;Y263,$D$18:$D$2015,"&lt;"&amp;Y264))</f>
        <v/>
      </c>
      <c r="AA263" s="14" t="n"/>
      <c r="AB263" s="16" t="n"/>
      <c r="AC263" s="124">
        <f>IF(AB263="","",COUNTIFS($C$18:$C$2015,AB$13,$D$18:$D$2015,"&gt;="&amp;AB263,$D$18:$D$2015,"&lt;"&amp;AB264))</f>
        <v/>
      </c>
      <c r="AD263" s="14" t="n"/>
    </row>
    <row r="264">
      <c r="A264" s="56" t="n"/>
      <c r="B264" s="57" t="n"/>
      <c r="C264" s="59" t="n"/>
      <c r="E264" s="16" t="n"/>
      <c r="F264" s="13" t="n"/>
      <c r="G264" s="16" t="n"/>
      <c r="H264" s="124">
        <f>IF(G264="","",COUNTIFS($C$18:$C$2015,G$13,$D$18:$D$2015,"&gt;="&amp;G264,$D$18:$D$2015,"&lt;"&amp;G265))</f>
        <v/>
      </c>
      <c r="I264" s="14" t="n"/>
      <c r="J264" s="16" t="n"/>
      <c r="K264" s="124">
        <f>IF(J264="","",COUNTIFS($C$18:$C$2015,J$13,$D$18:$D$2015,"&gt;="&amp;J264,$D$18:$D$2015,"&lt;"&amp;J265))</f>
        <v/>
      </c>
      <c r="L264" s="14" t="n"/>
      <c r="M264" s="16" t="n"/>
      <c r="N264" s="124">
        <f>IF(M264="","",COUNTIFS($C$18:$C$2015,M$13,$D$18:$D$2015,"&gt;="&amp;M264,$D$18:$D$2015,"&lt;"&amp;M265))</f>
        <v/>
      </c>
      <c r="O264" s="14" t="n"/>
      <c r="P264" s="16" t="n"/>
      <c r="Q264" s="124">
        <f>IF(P264="","",COUNTIFS($C$18:$C$2015,P$13,$D$18:$D$2015,"&gt;="&amp;P264,$D$18:$D$2015,"&lt;"&amp;P265))</f>
        <v/>
      </c>
      <c r="R264" s="14" t="n"/>
      <c r="S264" s="16" t="n"/>
      <c r="T264" s="124">
        <f>IF(S264="","",COUNTIFS($C$18:$C$2015,S$13,$D$18:$D$2015,"&gt;="&amp;S264,$D$18:$D$2015,"&lt;"&amp;S265))</f>
        <v/>
      </c>
      <c r="U264" s="14" t="n"/>
      <c r="V264" s="16" t="n"/>
      <c r="W264" s="124">
        <f>IF(V264="","",COUNTIFS($C$18:$C$2015,V$13,$D$18:$D$2015,"&gt;="&amp;V264,$D$18:$D$2015,"&lt;"&amp;V265))</f>
        <v/>
      </c>
      <c r="X264" s="14" t="n"/>
      <c r="Y264" s="16" t="n"/>
      <c r="Z264" s="124">
        <f>IF(Y264="","",COUNTIFS($C$18:$C$2015,Y$13,$D$18:$D$2015,"&gt;="&amp;Y264,$D$18:$D$2015,"&lt;"&amp;Y265))</f>
        <v/>
      </c>
      <c r="AA264" s="14" t="n"/>
      <c r="AB264" s="16" t="n"/>
      <c r="AC264" s="124">
        <f>IF(AB264="","",COUNTIFS($C$18:$C$2015,AB$13,$D$18:$D$2015,"&gt;="&amp;AB264,$D$18:$D$2015,"&lt;"&amp;AB265))</f>
        <v/>
      </c>
      <c r="AD264" s="14" t="n"/>
    </row>
    <row r="265">
      <c r="A265" s="58" t="n"/>
      <c r="B265" s="59" t="n"/>
      <c r="C265" s="59" t="n"/>
      <c r="E265" s="16" t="n"/>
      <c r="F265" s="13" t="n"/>
      <c r="G265" s="16" t="n"/>
      <c r="H265" s="125" t="n"/>
      <c r="I265" s="14" t="n"/>
      <c r="J265" s="16" t="n"/>
      <c r="K265" s="125" t="n"/>
      <c r="L265" s="14" t="n"/>
      <c r="M265" s="16" t="n"/>
      <c r="N265" s="125" t="n"/>
      <c r="O265" s="14" t="n"/>
      <c r="P265" s="16" t="n"/>
      <c r="Q265" s="125" t="n"/>
      <c r="R265" s="14" t="n"/>
      <c r="S265" s="16" t="n"/>
      <c r="T265" s="125" t="n"/>
      <c r="U265" s="14" t="n"/>
      <c r="V265" s="16" t="n"/>
      <c r="W265" s="125" t="n"/>
      <c r="X265" s="14" t="n"/>
      <c r="Y265" s="16" t="n"/>
      <c r="Z265" s="125" t="n"/>
      <c r="AA265" s="14" t="n"/>
      <c r="AB265" s="16" t="n"/>
      <c r="AC265" s="125" t="n"/>
      <c r="AD265" s="14" t="n"/>
    </row>
    <row r="266">
      <c r="A266" s="56" t="n"/>
      <c r="B266" s="57" t="n"/>
      <c r="C266" s="59" t="n"/>
      <c r="E266" s="16" t="n"/>
      <c r="F266" s="13" t="n"/>
      <c r="G266" s="16" t="n"/>
      <c r="H266" s="125" t="n"/>
      <c r="I266" s="14" t="n"/>
      <c r="J266" s="16" t="n"/>
      <c r="K266" s="125" t="n"/>
      <c r="L266" s="14" t="n"/>
      <c r="M266" s="16" t="n"/>
      <c r="N266" s="125" t="n"/>
      <c r="O266" s="14" t="n"/>
      <c r="P266" s="16" t="n"/>
      <c r="Q266" s="125" t="n"/>
      <c r="R266" s="14" t="n"/>
      <c r="S266" s="16" t="n"/>
      <c r="T266" s="125" t="n"/>
      <c r="U266" s="14" t="n"/>
      <c r="V266" s="16" t="n"/>
      <c r="W266" s="125" t="n"/>
      <c r="X266" s="14" t="n"/>
      <c r="Y266" s="16" t="n"/>
      <c r="Z266" s="125" t="n"/>
      <c r="AA266" s="14" t="n"/>
      <c r="AB266" s="16" t="n"/>
      <c r="AC266" s="125" t="n"/>
      <c r="AD266" s="14" t="n"/>
    </row>
    <row r="267">
      <c r="A267" s="58" t="n"/>
      <c r="B267" s="59" t="n"/>
      <c r="C267" s="59" t="n"/>
      <c r="E267" s="16" t="n"/>
      <c r="F267" s="13" t="n"/>
      <c r="G267" s="16" t="n"/>
      <c r="H267" s="125" t="n"/>
      <c r="I267" s="14" t="n"/>
      <c r="J267" s="16" t="n"/>
      <c r="K267" s="125" t="n"/>
      <c r="L267" s="14" t="n"/>
      <c r="M267" s="16" t="n"/>
      <c r="N267" s="125" t="n"/>
      <c r="O267" s="14" t="n"/>
      <c r="P267" s="16" t="n"/>
      <c r="Q267" s="125" t="n"/>
      <c r="R267" s="14" t="n"/>
      <c r="S267" s="16" t="n"/>
      <c r="T267" s="125" t="n"/>
      <c r="U267" s="14" t="n"/>
      <c r="V267" s="16" t="n"/>
      <c r="W267" s="125" t="n"/>
      <c r="X267" s="14" t="n"/>
      <c r="Y267" s="16" t="n"/>
      <c r="Z267" s="125" t="n"/>
      <c r="AA267" s="14" t="n"/>
      <c r="AB267" s="16" t="n"/>
      <c r="AC267" s="125" t="n"/>
      <c r="AD267" s="14" t="n"/>
    </row>
    <row r="268">
      <c r="A268" s="56" t="n"/>
      <c r="B268" s="57" t="n"/>
      <c r="C268" s="59" t="n"/>
      <c r="E268" s="16" t="n"/>
      <c r="F268" s="13" t="n"/>
      <c r="G268" s="16" t="n"/>
      <c r="H268" s="125" t="n"/>
      <c r="I268" s="14" t="n"/>
      <c r="J268" s="16" t="n"/>
      <c r="K268" s="125" t="n"/>
      <c r="L268" s="14" t="n"/>
      <c r="M268" s="16" t="n"/>
      <c r="N268" s="125" t="n"/>
      <c r="O268" s="14" t="n"/>
      <c r="P268" s="16" t="n"/>
      <c r="Q268" s="125" t="n"/>
      <c r="R268" s="14" t="n"/>
      <c r="S268" s="16" t="n"/>
      <c r="T268" s="125" t="n"/>
      <c r="U268" s="14" t="n"/>
      <c r="V268" s="16" t="n"/>
      <c r="W268" s="125" t="n"/>
      <c r="X268" s="14" t="n"/>
      <c r="Y268" s="16" t="n"/>
      <c r="Z268" s="125" t="n"/>
      <c r="AA268" s="14" t="n"/>
      <c r="AB268" s="16" t="n"/>
      <c r="AC268" s="125" t="n"/>
      <c r="AD268" s="14" t="n"/>
    </row>
    <row r="269">
      <c r="A269" s="58" t="n"/>
      <c r="B269" s="59" t="n"/>
      <c r="C269" s="59" t="n"/>
      <c r="E269" s="16" t="n"/>
      <c r="F269" s="13" t="n"/>
      <c r="G269" s="16" t="n"/>
      <c r="H269" s="125" t="n"/>
      <c r="I269" s="14" t="n"/>
      <c r="J269" s="16" t="n"/>
      <c r="K269" s="125" t="n"/>
      <c r="L269" s="14" t="n"/>
      <c r="M269" s="16" t="n"/>
      <c r="N269" s="125" t="n"/>
      <c r="O269" s="14" t="n"/>
      <c r="P269" s="16" t="n"/>
      <c r="Q269" s="125" t="n"/>
      <c r="R269" s="14" t="n"/>
      <c r="S269" s="16" t="n"/>
      <c r="T269" s="125" t="n"/>
      <c r="U269" s="14" t="n"/>
      <c r="V269" s="16" t="n"/>
      <c r="W269" s="125" t="n"/>
      <c r="X269" s="14" t="n"/>
      <c r="Y269" s="16" t="n"/>
      <c r="Z269" s="125" t="n"/>
      <c r="AA269" s="14" t="n"/>
      <c r="AB269" s="16" t="n"/>
      <c r="AC269" s="125" t="n"/>
      <c r="AD269" s="14" t="n"/>
    </row>
    <row r="270">
      <c r="A270" s="56" t="n"/>
      <c r="B270" s="57" t="n"/>
      <c r="C270" s="59" t="n"/>
      <c r="E270" s="16" t="n"/>
      <c r="F270" s="13" t="n"/>
      <c r="G270" s="16" t="n"/>
      <c r="H270" s="125" t="n"/>
      <c r="I270" s="14" t="n"/>
      <c r="J270" s="16" t="n"/>
      <c r="K270" s="125" t="n"/>
      <c r="L270" s="14" t="n"/>
      <c r="M270" s="16" t="n"/>
      <c r="N270" s="125" t="n"/>
      <c r="O270" s="14" t="n"/>
      <c r="P270" s="16" t="n"/>
      <c r="Q270" s="125" t="n"/>
      <c r="R270" s="14" t="n"/>
      <c r="S270" s="16" t="n"/>
      <c r="T270" s="125" t="n"/>
      <c r="U270" s="14" t="n"/>
      <c r="V270" s="16" t="n"/>
      <c r="W270" s="125" t="n"/>
      <c r="X270" s="14" t="n"/>
      <c r="Y270" s="16" t="n"/>
      <c r="Z270" s="125" t="n"/>
      <c r="AA270" s="14" t="n"/>
      <c r="AB270" s="16" t="n"/>
      <c r="AC270" s="125" t="n"/>
      <c r="AD270" s="14" t="n"/>
    </row>
    <row r="271">
      <c r="A271" s="58" t="n"/>
      <c r="B271" s="59" t="n"/>
      <c r="C271" s="59" t="n"/>
      <c r="E271" s="16" t="n"/>
      <c r="F271" s="13" t="n"/>
      <c r="G271" s="16" t="n"/>
      <c r="H271" s="125" t="n"/>
      <c r="I271" s="14" t="n"/>
      <c r="J271" s="16" t="n"/>
      <c r="K271" s="125" t="n"/>
      <c r="L271" s="14" t="n"/>
      <c r="M271" s="16" t="n"/>
      <c r="N271" s="125" t="n"/>
      <c r="O271" s="14" t="n"/>
      <c r="P271" s="16" t="n"/>
      <c r="Q271" s="125" t="n"/>
      <c r="R271" s="14" t="n"/>
      <c r="S271" s="16" t="n"/>
      <c r="T271" s="125" t="n"/>
      <c r="U271" s="14" t="n"/>
      <c r="V271" s="16" t="n"/>
      <c r="W271" s="125" t="n"/>
      <c r="X271" s="14" t="n"/>
      <c r="Y271" s="16" t="n"/>
      <c r="Z271" s="125" t="n"/>
      <c r="AA271" s="14" t="n"/>
      <c r="AB271" s="16" t="n"/>
      <c r="AC271" s="125" t="n"/>
      <c r="AD271" s="14" t="n"/>
    </row>
    <row r="272">
      <c r="A272" s="56" t="n"/>
      <c r="B272" s="57" t="n"/>
      <c r="C272" s="59" t="n"/>
      <c r="E272" s="16" t="n"/>
      <c r="F272" s="13" t="n"/>
      <c r="G272" s="16" t="n"/>
      <c r="H272" s="125" t="n"/>
      <c r="I272" s="14" t="n"/>
      <c r="J272" s="16" t="n"/>
      <c r="K272" s="125" t="n"/>
      <c r="L272" s="14" t="n"/>
      <c r="M272" s="16" t="n"/>
      <c r="N272" s="125" t="n"/>
      <c r="O272" s="14" t="n"/>
      <c r="P272" s="16" t="n"/>
      <c r="Q272" s="125" t="n"/>
      <c r="R272" s="14" t="n"/>
      <c r="S272" s="16" t="n"/>
      <c r="T272" s="125" t="n"/>
      <c r="U272" s="14" t="n"/>
      <c r="V272" s="16" t="n"/>
      <c r="W272" s="125" t="n"/>
      <c r="X272" s="14" t="n"/>
      <c r="Y272" s="16" t="n"/>
      <c r="Z272" s="125" t="n"/>
      <c r="AA272" s="14" t="n"/>
      <c r="AB272" s="16" t="n"/>
      <c r="AC272" s="125" t="n"/>
      <c r="AD272" s="14" t="n"/>
    </row>
    <row r="273">
      <c r="A273" s="58" t="n"/>
      <c r="B273" s="59" t="n"/>
      <c r="C273" s="59" t="n"/>
      <c r="E273" s="16" t="n"/>
      <c r="F273" s="13" t="n"/>
      <c r="G273" s="16" t="n"/>
      <c r="H273" s="125" t="n"/>
      <c r="I273" s="14" t="n"/>
      <c r="J273" s="16" t="n"/>
      <c r="K273" s="125" t="n"/>
      <c r="L273" s="14" t="n"/>
      <c r="M273" s="16" t="n"/>
      <c r="N273" s="125" t="n"/>
      <c r="O273" s="14" t="n"/>
      <c r="P273" s="16" t="n"/>
      <c r="Q273" s="125" t="n"/>
      <c r="R273" s="14" t="n"/>
      <c r="S273" s="16" t="n"/>
      <c r="T273" s="125" t="n"/>
      <c r="U273" s="14" t="n"/>
      <c r="V273" s="16" t="n"/>
      <c r="W273" s="125" t="n"/>
      <c r="X273" s="14" t="n"/>
      <c r="Y273" s="16" t="n"/>
      <c r="Z273" s="125" t="n"/>
      <c r="AA273" s="14" t="n"/>
      <c r="AB273" s="16" t="n"/>
      <c r="AC273" s="125" t="n"/>
      <c r="AD273" s="14" t="n"/>
    </row>
    <row r="274">
      <c r="A274" s="56" t="n"/>
      <c r="B274" s="57" t="n"/>
      <c r="C274" s="59" t="n"/>
      <c r="E274" s="16" t="n"/>
      <c r="F274" s="13" t="n"/>
      <c r="G274" s="16" t="n"/>
      <c r="H274" s="125" t="n"/>
      <c r="I274" s="14" t="n"/>
      <c r="J274" s="16" t="n"/>
      <c r="K274" s="125" t="n"/>
      <c r="L274" s="14" t="n"/>
      <c r="M274" s="16" t="n"/>
      <c r="N274" s="125" t="n"/>
      <c r="O274" s="14" t="n"/>
      <c r="P274" s="16" t="n"/>
      <c r="Q274" s="125" t="n"/>
      <c r="R274" s="14" t="n"/>
      <c r="S274" s="16" t="n"/>
      <c r="T274" s="125" t="n"/>
      <c r="U274" s="14" t="n"/>
      <c r="V274" s="16" t="n"/>
      <c r="W274" s="125" t="n"/>
      <c r="X274" s="14" t="n"/>
      <c r="Y274" s="16" t="n"/>
      <c r="Z274" s="125" t="n"/>
      <c r="AA274" s="14" t="n"/>
      <c r="AB274" s="16" t="n"/>
      <c r="AC274" s="125" t="n"/>
      <c r="AD274" s="14" t="n"/>
    </row>
    <row r="275">
      <c r="A275" s="58" t="n"/>
      <c r="B275" s="59" t="n"/>
      <c r="C275" s="59" t="n"/>
      <c r="E275" s="16" t="n"/>
      <c r="F275" s="13" t="n"/>
      <c r="G275" s="16" t="n"/>
      <c r="H275" s="125" t="n"/>
      <c r="I275" s="14" t="n"/>
      <c r="J275" s="16" t="n"/>
      <c r="K275" s="125" t="n"/>
      <c r="L275" s="14" t="n"/>
      <c r="M275" s="16" t="n"/>
      <c r="N275" s="125" t="n"/>
      <c r="O275" s="14" t="n"/>
      <c r="P275" s="16" t="n"/>
      <c r="Q275" s="125" t="n"/>
      <c r="R275" s="14" t="n"/>
      <c r="S275" s="16" t="n"/>
      <c r="T275" s="125" t="n"/>
      <c r="U275" s="14" t="n"/>
      <c r="V275" s="16" t="n"/>
      <c r="W275" s="125" t="n"/>
      <c r="X275" s="14" t="n"/>
      <c r="Y275" s="16" t="n"/>
      <c r="Z275" s="125" t="n"/>
      <c r="AA275" s="14" t="n"/>
      <c r="AB275" s="16" t="n"/>
      <c r="AC275" s="125" t="n"/>
      <c r="AD275" s="14" t="n"/>
    </row>
    <row r="276">
      <c r="A276" s="56" t="n"/>
      <c r="B276" s="57" t="n"/>
      <c r="C276" s="59" t="n"/>
      <c r="E276" s="16" t="n"/>
      <c r="F276" s="13" t="n"/>
      <c r="G276" s="16" t="n"/>
      <c r="H276" s="125" t="n"/>
      <c r="I276" s="14" t="n"/>
      <c r="J276" s="16" t="n"/>
      <c r="K276" s="125" t="n"/>
      <c r="L276" s="14" t="n"/>
      <c r="M276" s="16" t="n"/>
      <c r="N276" s="125" t="n"/>
      <c r="O276" s="14" t="n"/>
      <c r="P276" s="16" t="n"/>
      <c r="Q276" s="125" t="n"/>
      <c r="R276" s="14" t="n"/>
      <c r="S276" s="16" t="n"/>
      <c r="T276" s="125" t="n"/>
      <c r="U276" s="14" t="n"/>
      <c r="V276" s="16" t="n"/>
      <c r="W276" s="125" t="n"/>
      <c r="X276" s="14" t="n"/>
      <c r="Y276" s="16" t="n"/>
      <c r="Z276" s="125" t="n"/>
      <c r="AA276" s="14" t="n"/>
      <c r="AB276" s="16" t="n"/>
      <c r="AC276" s="125" t="n"/>
      <c r="AD276" s="14" t="n"/>
    </row>
    <row r="277">
      <c r="A277" s="58" t="n"/>
      <c r="B277" s="59" t="n"/>
      <c r="C277" s="59" t="n"/>
      <c r="E277" s="16" t="n"/>
      <c r="F277" s="13" t="n"/>
      <c r="G277" s="16" t="n"/>
      <c r="H277" s="125" t="n"/>
      <c r="I277" s="14" t="n"/>
      <c r="J277" s="16" t="n"/>
      <c r="K277" s="125" t="n"/>
      <c r="L277" s="14" t="n"/>
      <c r="M277" s="16" t="n"/>
      <c r="N277" s="125" t="n"/>
      <c r="O277" s="14" t="n"/>
      <c r="P277" s="16" t="n"/>
      <c r="Q277" s="125" t="n"/>
      <c r="R277" s="14" t="n"/>
      <c r="S277" s="16" t="n"/>
      <c r="T277" s="125" t="n"/>
      <c r="U277" s="14" t="n"/>
      <c r="V277" s="16" t="n"/>
      <c r="W277" s="125" t="n"/>
      <c r="X277" s="14" t="n"/>
      <c r="Y277" s="16" t="n"/>
      <c r="Z277" s="125" t="n"/>
      <c r="AA277" s="14" t="n"/>
      <c r="AB277" s="16" t="n"/>
      <c r="AC277" s="125" t="n"/>
      <c r="AD277" s="14" t="n"/>
    </row>
    <row r="278">
      <c r="A278" s="56" t="n"/>
      <c r="B278" s="57" t="n"/>
      <c r="C278" s="59" t="n"/>
      <c r="E278" s="16" t="n"/>
      <c r="F278" s="13" t="n"/>
      <c r="G278" s="16" t="n"/>
      <c r="H278" s="125" t="n"/>
      <c r="I278" s="14" t="n"/>
      <c r="J278" s="16" t="n"/>
      <c r="K278" s="125" t="n"/>
      <c r="L278" s="14" t="n"/>
      <c r="M278" s="16" t="n"/>
      <c r="N278" s="125" t="n"/>
      <c r="O278" s="14" t="n"/>
      <c r="P278" s="16" t="n"/>
      <c r="Q278" s="125" t="n"/>
      <c r="R278" s="14" t="n"/>
      <c r="S278" s="16" t="n"/>
      <c r="T278" s="125" t="n"/>
      <c r="U278" s="14" t="n"/>
      <c r="V278" s="16" t="n"/>
      <c r="W278" s="125" t="n"/>
      <c r="X278" s="14" t="n"/>
      <c r="Y278" s="16" t="n"/>
      <c r="Z278" s="125" t="n"/>
      <c r="AA278" s="14" t="n"/>
      <c r="AB278" s="16" t="n"/>
      <c r="AC278" s="125" t="n"/>
      <c r="AD278" s="14" t="n"/>
    </row>
    <row r="279">
      <c r="A279" s="58" t="n"/>
      <c r="B279" s="59" t="n"/>
      <c r="C279" s="59" t="n"/>
      <c r="E279" s="16" t="n"/>
      <c r="F279" s="13" t="n"/>
      <c r="G279" s="16" t="n"/>
      <c r="H279" s="125" t="n"/>
      <c r="I279" s="14" t="n"/>
      <c r="J279" s="16" t="n"/>
      <c r="K279" s="125" t="n"/>
      <c r="L279" s="14" t="n"/>
      <c r="M279" s="16" t="n"/>
      <c r="N279" s="125" t="n"/>
      <c r="O279" s="14" t="n"/>
      <c r="P279" s="16" t="n"/>
      <c r="Q279" s="125" t="n"/>
      <c r="R279" s="14" t="n"/>
      <c r="S279" s="16" t="n"/>
      <c r="T279" s="125" t="n"/>
      <c r="U279" s="14" t="n"/>
      <c r="V279" s="16" t="n"/>
      <c r="W279" s="125" t="n"/>
      <c r="X279" s="14" t="n"/>
      <c r="Y279" s="16" t="n"/>
      <c r="Z279" s="125" t="n"/>
      <c r="AA279" s="14" t="n"/>
      <c r="AB279" s="16" t="n"/>
      <c r="AC279" s="125" t="n"/>
      <c r="AD279" s="14" t="n"/>
    </row>
    <row r="280">
      <c r="A280" s="56" t="n"/>
      <c r="B280" s="57" t="n"/>
      <c r="C280" s="59" t="n"/>
      <c r="E280" s="16" t="n"/>
      <c r="F280" s="13" t="n"/>
      <c r="G280" s="16" t="n"/>
      <c r="H280" s="125" t="n"/>
      <c r="I280" s="14" t="n"/>
      <c r="J280" s="16" t="n"/>
      <c r="K280" s="125" t="n"/>
      <c r="L280" s="14" t="n"/>
      <c r="M280" s="16" t="n"/>
      <c r="N280" s="125" t="n"/>
      <c r="O280" s="14" t="n"/>
      <c r="P280" s="16" t="n"/>
      <c r="Q280" s="125" t="n"/>
      <c r="R280" s="14" t="n"/>
      <c r="S280" s="16" t="n"/>
      <c r="T280" s="125" t="n"/>
      <c r="U280" s="14" t="n"/>
      <c r="V280" s="16" t="n"/>
      <c r="W280" s="125" t="n"/>
      <c r="X280" s="14" t="n"/>
      <c r="Y280" s="16" t="n"/>
      <c r="Z280" s="125" t="n"/>
      <c r="AA280" s="14" t="n"/>
      <c r="AB280" s="16" t="n"/>
      <c r="AC280" s="125" t="n"/>
      <c r="AD280" s="14" t="n"/>
    </row>
  </sheetData>
  <autoFilter ref="A14:E14"/>
  <conditionalFormatting sqref="E15:E280">
    <cfRule type="cellIs" priority="1" operator="greaterThan" dxfId="3">
      <formula>0</formula>
    </cfRule>
  </conditionalFormatting>
  <conditionalFormatting sqref="G15:G215">
    <cfRule type="expression" priority="55" dxfId="2">
      <formula>AND(NOT(ISBLANK(G15)),G15&lt;H$7)</formula>
    </cfRule>
    <cfRule type="expression" priority="56" dxfId="1">
      <formula>AND(G15&lt;=(H$7),(G15+H$5)&gt;(H$7))</formula>
    </cfRule>
    <cfRule type="expression" priority="57" dxfId="0">
      <formula>AND(NOT(ISBLANK(G15)),G15&gt;H$7)</formula>
    </cfRule>
  </conditionalFormatting>
  <conditionalFormatting sqref="G15:G264">
    <cfRule type="cellIs" priority="59" operator="greaterThan" dxfId="3">
      <formula>0</formula>
    </cfRule>
  </conditionalFormatting>
  <conditionalFormatting sqref="H2">
    <cfRule type="iconSet" priority="54">
      <iconSet iconSet="3Symbols2">
        <cfvo type="percent" val="0"/>
        <cfvo type="num" val="30" gte="0"/>
        <cfvo type="num" val="50" gte="0"/>
      </iconSet>
    </cfRule>
  </conditionalFormatting>
  <conditionalFormatting sqref="H15:H264">
    <cfRule type="dataBar" priority="58">
      <dataBar>
        <cfvo type="num" val="0"/>
        <cfvo type="max"/>
        <color rgb="FF638EC6"/>
      </dataBar>
    </cfRule>
  </conditionalFormatting>
  <conditionalFormatting sqref="J15:J215">
    <cfRule type="expression" priority="48" dxfId="2">
      <formula>AND(NOT(ISBLANK(J15)),J15&lt;K$7)</formula>
    </cfRule>
    <cfRule type="expression" priority="49" dxfId="1">
      <formula>AND(J15&lt;=(K$7),(J15+K$5)&gt;(K$7))</formula>
    </cfRule>
    <cfRule type="expression" priority="50" dxfId="0">
      <formula>AND(NOT(ISBLANK(J15)),J15&gt;K$7)</formula>
    </cfRule>
  </conditionalFormatting>
  <conditionalFormatting sqref="J15:J264">
    <cfRule type="cellIs" priority="52" operator="greaterThan" dxfId="3">
      <formula>0</formula>
    </cfRule>
  </conditionalFormatting>
  <conditionalFormatting sqref="K2">
    <cfRule type="iconSet" priority="47">
      <iconSet iconSet="3Symbols2">
        <cfvo type="percent" val="0"/>
        <cfvo type="num" val="30" gte="0"/>
        <cfvo type="num" val="50" gte="0"/>
      </iconSet>
    </cfRule>
  </conditionalFormatting>
  <conditionalFormatting sqref="K15:K264">
    <cfRule type="dataBar" priority="51">
      <dataBar>
        <cfvo type="num" val="0"/>
        <cfvo type="max"/>
        <color rgb="FF638EC6"/>
      </dataBar>
    </cfRule>
  </conditionalFormatting>
  <conditionalFormatting sqref="M15:M215">
    <cfRule type="expression" priority="41" dxfId="2">
      <formula>AND(NOT(ISBLANK(M15)),M15&lt;N$7)</formula>
    </cfRule>
    <cfRule type="expression" priority="42" dxfId="1">
      <formula>AND(M15&lt;=(N$7),(M15+N$5)&gt;(N$7))</formula>
    </cfRule>
    <cfRule type="expression" priority="43" dxfId="0">
      <formula>AND(NOT(ISBLANK(M15)),M15&gt;N$7)</formula>
    </cfRule>
  </conditionalFormatting>
  <conditionalFormatting sqref="M15:M264">
    <cfRule type="cellIs" priority="45" operator="greaterThan" dxfId="3">
      <formula>0</formula>
    </cfRule>
  </conditionalFormatting>
  <conditionalFormatting sqref="N2">
    <cfRule type="iconSet" priority="40">
      <iconSet iconSet="3Symbols2">
        <cfvo type="percent" val="0"/>
        <cfvo type="num" val="30" gte="0"/>
        <cfvo type="num" val="50" gte="0"/>
      </iconSet>
    </cfRule>
  </conditionalFormatting>
  <conditionalFormatting sqref="N15:N264">
    <cfRule type="dataBar" priority="44">
      <dataBar>
        <cfvo type="num" val="0"/>
        <cfvo type="max"/>
        <color rgb="FF638EC6"/>
      </dataBar>
    </cfRule>
  </conditionalFormatting>
  <conditionalFormatting sqref="P15:P215">
    <cfRule type="expression" priority="34" dxfId="2">
      <formula>AND(NOT(ISBLANK(P15)),P15&lt;Q$7)</formula>
    </cfRule>
    <cfRule type="expression" priority="35" dxfId="1">
      <formula>AND(P15&lt;=(Q$7),(P15+Q$5)&gt;(Q$7))</formula>
    </cfRule>
    <cfRule type="expression" priority="36" dxfId="0">
      <formula>AND(NOT(ISBLANK(P15)),P15&gt;Q$7)</formula>
    </cfRule>
  </conditionalFormatting>
  <conditionalFormatting sqref="P15:P264">
    <cfRule type="cellIs" priority="38" operator="greaterThan" dxfId="3">
      <formula>0</formula>
    </cfRule>
  </conditionalFormatting>
  <conditionalFormatting sqref="Q2">
    <cfRule type="iconSet" priority="33">
      <iconSet iconSet="3Symbols2">
        <cfvo type="percent" val="0"/>
        <cfvo type="num" val="30" gte="0"/>
        <cfvo type="num" val="50" gte="0"/>
      </iconSet>
    </cfRule>
  </conditionalFormatting>
  <conditionalFormatting sqref="Q15:Q264">
    <cfRule type="dataBar" priority="37">
      <dataBar>
        <cfvo type="num" val="0"/>
        <cfvo type="max"/>
        <color rgb="FF638EC6"/>
      </dataBar>
    </cfRule>
  </conditionalFormatting>
  <conditionalFormatting sqref="S15:S215">
    <cfRule type="expression" priority="27" dxfId="2">
      <formula>AND(NOT(ISBLANK(S15)),S15&lt;T$7)</formula>
    </cfRule>
    <cfRule type="expression" priority="28" dxfId="1">
      <formula>AND(S15&lt;=(T$7),(S15+T$5)&gt;(T$7))</formula>
    </cfRule>
    <cfRule type="expression" priority="29" dxfId="0">
      <formula>AND(NOT(ISBLANK(S15)),S15&gt;T$7)</formula>
    </cfRule>
  </conditionalFormatting>
  <conditionalFormatting sqref="S15:S264">
    <cfRule type="cellIs" priority="31" operator="greaterThan" dxfId="3">
      <formula>0</formula>
    </cfRule>
  </conditionalFormatting>
  <conditionalFormatting sqref="T2">
    <cfRule type="iconSet" priority="26">
      <iconSet iconSet="3Symbols2">
        <cfvo type="percent" val="0"/>
        <cfvo type="num" val="30" gte="0"/>
        <cfvo type="num" val="50" gte="0"/>
      </iconSet>
    </cfRule>
  </conditionalFormatting>
  <conditionalFormatting sqref="T15:T264">
    <cfRule type="dataBar" priority="30">
      <dataBar>
        <cfvo type="num" val="0"/>
        <cfvo type="max"/>
        <color rgb="FF638EC6"/>
      </dataBar>
    </cfRule>
  </conditionalFormatting>
  <conditionalFormatting sqref="V15:V215">
    <cfRule type="expression" priority="20" dxfId="2">
      <formula>AND(NOT(ISBLANK(V15)),V15&lt;W$7)</formula>
    </cfRule>
    <cfRule type="expression" priority="21" dxfId="1">
      <formula>AND(V15&lt;=(W$7),(V15+W$5)&gt;(W$7))</formula>
    </cfRule>
    <cfRule type="expression" priority="22" dxfId="0">
      <formula>AND(NOT(ISBLANK(V15)),V15&gt;W$7)</formula>
    </cfRule>
  </conditionalFormatting>
  <conditionalFormatting sqref="V15:V264">
    <cfRule type="cellIs" priority="24" operator="greaterThan" dxfId="3">
      <formula>0</formula>
    </cfRule>
  </conditionalFormatting>
  <conditionalFormatting sqref="W2">
    <cfRule type="iconSet" priority="19">
      <iconSet iconSet="3Symbols2">
        <cfvo type="percent" val="0"/>
        <cfvo type="num" val="30" gte="0"/>
        <cfvo type="num" val="50" gte="0"/>
      </iconSet>
    </cfRule>
  </conditionalFormatting>
  <conditionalFormatting sqref="W15:W264">
    <cfRule type="dataBar" priority="23">
      <dataBar>
        <cfvo type="num" val="0"/>
        <cfvo type="max"/>
        <color rgb="FF638EC6"/>
      </dataBar>
    </cfRule>
  </conditionalFormatting>
  <conditionalFormatting sqref="Y15:Y215">
    <cfRule type="expression" priority="13" dxfId="2">
      <formula>AND(NOT(ISBLANK(Y15)),Y15&lt;Z$7)</formula>
    </cfRule>
    <cfRule type="expression" priority="14" dxfId="1">
      <formula>AND(Y15&lt;=(Z$7),(Y15+Z$5)&gt;(Z$7))</formula>
    </cfRule>
    <cfRule type="expression" priority="15" dxfId="0">
      <formula>AND(NOT(ISBLANK(Y15)),Y15&gt;Z$7)</formula>
    </cfRule>
  </conditionalFormatting>
  <conditionalFormatting sqref="Y15:Y264">
    <cfRule type="cellIs" priority="17" operator="greaterThan" dxfId="3">
      <formula>0</formula>
    </cfRule>
  </conditionalFormatting>
  <conditionalFormatting sqref="Z2">
    <cfRule type="iconSet" priority="12">
      <iconSet iconSet="3Symbols2">
        <cfvo type="percent" val="0"/>
        <cfvo type="num" val="30" gte="0"/>
        <cfvo type="num" val="50" gte="0"/>
      </iconSet>
    </cfRule>
  </conditionalFormatting>
  <conditionalFormatting sqref="Z15:Z264">
    <cfRule type="dataBar" priority="16">
      <dataBar>
        <cfvo type="num" val="0"/>
        <cfvo type="max"/>
        <color rgb="FF638EC6"/>
      </dataBar>
    </cfRule>
  </conditionalFormatting>
  <conditionalFormatting sqref="AB15:AB215">
    <cfRule type="expression" priority="6" dxfId="2">
      <formula>AND(NOT(ISBLANK(AB15)),AB15&lt;AC$7)</formula>
    </cfRule>
    <cfRule type="expression" priority="7" dxfId="1">
      <formula>AND(AB15&lt;=(AC$7),(AB15+AC$5)&gt;(AC$7))</formula>
    </cfRule>
    <cfRule type="expression" priority="8" dxfId="0">
      <formula>AND(NOT(ISBLANK(AB15)),AB15&gt;AC$7)</formula>
    </cfRule>
  </conditionalFormatting>
  <conditionalFormatting sqref="AB15:AB264">
    <cfRule type="cellIs" priority="10" operator="greaterThan" dxfId="3">
      <formula>0</formula>
    </cfRule>
  </conditionalFormatting>
  <conditionalFormatting sqref="AC2">
    <cfRule type="iconSet" priority="5">
      <iconSet iconSet="3Symbols2">
        <cfvo type="percent" val="0"/>
        <cfvo type="num" val="30" gte="0"/>
        <cfvo type="num" val="50" gte="0"/>
      </iconSet>
    </cfRule>
  </conditionalFormatting>
  <conditionalFormatting sqref="AC15:AC264">
    <cfRule type="dataBar" priority="9">
      <dataBar>
        <cfvo type="num" val="0"/>
        <cfvo type="max"/>
        <color rgb="FF638EC6"/>
      </dataBar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92D050"/>
    <outlinePr summaryBelow="1" summaryRight="1"/>
    <pageSetUpPr/>
  </sheetPr>
  <dimension ref="A1:AE214"/>
  <sheetViews>
    <sheetView showGridLines="0" zoomScale="70" zoomScaleNormal="70" workbookViewId="0">
      <selection activeCell="A14" sqref="A14"/>
    </sheetView>
  </sheetViews>
  <sheetFormatPr baseColWidth="8" defaultRowHeight="14.4"/>
  <cols>
    <col width="8.44140625" customWidth="1" style="113" min="1" max="1"/>
    <col width="11.88671875" customWidth="1" style="113" min="2" max="2"/>
    <col width="7.109375" customWidth="1" style="113" min="3" max="3"/>
    <col width="8.5546875" customWidth="1" style="113" min="4" max="4"/>
    <col width="4.5546875" bestFit="1" customWidth="1" style="113" min="5" max="5"/>
    <col width="2.6640625" customWidth="1" style="113" min="6" max="6"/>
    <col width="11.5546875" customWidth="1" style="113" min="7" max="8"/>
    <col width="2.33203125" customWidth="1" style="113" min="9" max="9"/>
    <col width="11.5546875" customWidth="1" style="113" min="10" max="11"/>
    <col width="2.33203125" customWidth="1" style="113" min="12" max="12"/>
    <col width="11.5546875" customWidth="1" style="113" min="13" max="14"/>
    <col width="2.33203125" customWidth="1" style="113" min="15" max="15"/>
    <col width="11.5546875" customWidth="1" style="113" min="16" max="17"/>
    <col width="2.33203125" customWidth="1" style="113" min="18" max="18"/>
    <col width="11.5546875" customWidth="1" style="113" min="19" max="20"/>
    <col width="2.33203125" customWidth="1" style="113" min="21" max="21"/>
    <col width="11.5546875" customWidth="1" style="113" min="22" max="23"/>
    <col width="2.33203125" customWidth="1" style="113" min="24" max="24"/>
    <col width="11.5546875" customWidth="1" style="113" min="25" max="26"/>
    <col width="2.33203125" customWidth="1" style="113" min="27" max="27"/>
    <col width="11.5546875" customWidth="1" style="113" min="28" max="29"/>
    <col width="2.33203125" customWidth="1" style="113" min="30" max="30"/>
  </cols>
  <sheetData>
    <row r="1">
      <c r="D1" s="114" t="n"/>
      <c r="E1" s="115" t="n"/>
      <c r="F1" s="31" t="n"/>
      <c r="G1" s="36">
        <f>FAO!B1&amp;" max ="</f>
        <v/>
      </c>
      <c r="H1" s="116">
        <f>+FAO!B10</f>
        <v/>
      </c>
      <c r="I1" s="32" t="n"/>
      <c r="J1" s="36">
        <f>FAO!E1&amp;" max ="</f>
        <v/>
      </c>
      <c r="K1" s="116">
        <f>+FAO!E10</f>
        <v/>
      </c>
      <c r="L1" s="32" t="n"/>
      <c r="M1" s="36">
        <f>FAO!H1&amp;" max ="</f>
        <v/>
      </c>
      <c r="N1" s="116">
        <f>+FAO!H10</f>
        <v/>
      </c>
      <c r="O1" s="32" t="n"/>
      <c r="P1" s="36">
        <f>FAO!K1&amp;" max ="</f>
        <v/>
      </c>
      <c r="Q1" s="116">
        <f>+FAO!K10</f>
        <v/>
      </c>
      <c r="R1" s="32" t="n"/>
      <c r="S1" s="36">
        <f>FAO!N1&amp;" max ="</f>
        <v/>
      </c>
      <c r="T1" s="116">
        <f>+FAO!N10</f>
        <v/>
      </c>
      <c r="U1" s="32" t="n"/>
      <c r="V1" s="36">
        <f>FAO!Q1&amp;" max ="</f>
        <v/>
      </c>
      <c r="W1" s="116">
        <f>+FAO!Q10</f>
        <v/>
      </c>
      <c r="X1" s="32" t="n"/>
      <c r="Y1" s="36">
        <f>FAO!T1&amp;" max ="</f>
        <v/>
      </c>
      <c r="Z1" s="116">
        <f>+FAO!T10</f>
        <v/>
      </c>
      <c r="AA1" s="32" t="n"/>
      <c r="AB1" s="36">
        <f>FAO!W1&amp;" max ="</f>
        <v/>
      </c>
      <c r="AC1" s="116">
        <f>+FAO!W10</f>
        <v/>
      </c>
      <c r="AD1" s="32" t="n"/>
      <c r="AE1">
        <f>COUNTA($C$15:$C$10001)</f>
        <v/>
      </c>
    </row>
    <row r="2">
      <c r="D2" s="114" t="n"/>
      <c r="E2" s="115" t="n"/>
      <c r="F2" s="31" t="n"/>
      <c r="G2" s="48" t="inlineStr">
        <is>
          <t>obs n =</t>
        </is>
      </c>
      <c r="H2">
        <f>COUNTIF($C$18:$C$1003,G13)</f>
        <v/>
      </c>
      <c r="I2" s="32" t="n"/>
      <c r="J2" s="48" t="inlineStr">
        <is>
          <t>obs n =</t>
        </is>
      </c>
      <c r="K2">
        <f>COUNTIF($C$18:$C$1003,J13)</f>
        <v/>
      </c>
      <c r="L2" s="32" t="n"/>
      <c r="M2" s="48" t="inlineStr">
        <is>
          <t>obs n =</t>
        </is>
      </c>
      <c r="N2">
        <f>COUNTIF($C$18:$C$1003,M13)</f>
        <v/>
      </c>
      <c r="O2" s="32" t="n"/>
      <c r="P2" s="48" t="inlineStr">
        <is>
          <t>obs n =</t>
        </is>
      </c>
      <c r="Q2">
        <f>COUNTIF($C$18:$C$1003,P13)</f>
        <v/>
      </c>
      <c r="R2" s="32" t="n"/>
      <c r="S2" s="48" t="inlineStr">
        <is>
          <t>obs n =</t>
        </is>
      </c>
      <c r="T2">
        <f>COUNTIF($C$18:$C$1003,S13)</f>
        <v/>
      </c>
      <c r="U2" s="32" t="n"/>
      <c r="V2" s="48" t="inlineStr">
        <is>
          <t>obs n =</t>
        </is>
      </c>
      <c r="W2">
        <f>COUNTIF($C$18:$C$1003,V13)</f>
        <v/>
      </c>
      <c r="X2" s="32" t="n"/>
      <c r="Y2" s="48" t="inlineStr">
        <is>
          <t>obs n =</t>
        </is>
      </c>
      <c r="Z2">
        <f>COUNTIF($C$18:$C$1003,Y13)</f>
        <v/>
      </c>
      <c r="AA2" s="32" t="n"/>
      <c r="AB2" s="48" t="inlineStr">
        <is>
          <t>obs n =</t>
        </is>
      </c>
      <c r="AC2">
        <f>COUNTIF($C$18:$C$1003,AB13)</f>
        <v/>
      </c>
      <c r="AD2" s="32" t="n"/>
    </row>
    <row r="3">
      <c r="D3" s="114" t="n"/>
      <c r="E3" s="115" t="n"/>
      <c r="F3" s="31" t="n"/>
      <c r="G3" s="48" t="inlineStr">
        <is>
          <t xml:space="preserve">freq n= </t>
        </is>
      </c>
      <c r="H3">
        <f>+SUM(H15:H1003)</f>
        <v/>
      </c>
      <c r="I3" s="32" t="n"/>
      <c r="J3" s="48" t="inlineStr">
        <is>
          <t xml:space="preserve">freq n= </t>
        </is>
      </c>
      <c r="K3">
        <f>+SUM(K15:K1003)</f>
        <v/>
      </c>
      <c r="L3" s="32" t="n"/>
      <c r="M3" s="48" t="inlineStr">
        <is>
          <t xml:space="preserve">freq n= </t>
        </is>
      </c>
      <c r="N3">
        <f>+SUM(N15:N1003)</f>
        <v/>
      </c>
      <c r="O3" s="32" t="n"/>
      <c r="P3" s="48" t="inlineStr">
        <is>
          <t xml:space="preserve">freq n= </t>
        </is>
      </c>
      <c r="Q3">
        <f>+SUM(Q15:Q1003)</f>
        <v/>
      </c>
      <c r="R3" s="32" t="n"/>
      <c r="S3" s="48" t="inlineStr">
        <is>
          <t xml:space="preserve">freq n= </t>
        </is>
      </c>
      <c r="T3">
        <f>+SUM(T15:T1003)</f>
        <v/>
      </c>
      <c r="U3" s="32" t="n"/>
      <c r="V3" s="48" t="inlineStr">
        <is>
          <t xml:space="preserve">freq n= </t>
        </is>
      </c>
      <c r="W3">
        <f>+SUM(W15:W1003)</f>
        <v/>
      </c>
      <c r="X3" s="32" t="n"/>
      <c r="Y3" s="48" t="inlineStr">
        <is>
          <t xml:space="preserve">freq n= </t>
        </is>
      </c>
      <c r="Z3">
        <f>+SUM(Z15:Z1003)</f>
        <v/>
      </c>
      <c r="AA3" s="32" t="n"/>
      <c r="AB3" s="48" t="inlineStr">
        <is>
          <t xml:space="preserve">freq n= </t>
        </is>
      </c>
      <c r="AC3">
        <f>+SUM(AC15:AC1003)</f>
        <v/>
      </c>
      <c r="AD3" s="32" t="n"/>
    </row>
    <row r="4">
      <c r="D4" s="114" t="n"/>
      <c r="E4" s="115" t="n"/>
      <c r="F4" s="31" t="n"/>
      <c r="G4" s="48" t="inlineStr">
        <is>
          <t>first bin =</t>
        </is>
      </c>
      <c r="H4" t="n">
        <v>10</v>
      </c>
      <c r="I4" s="32" t="n"/>
      <c r="J4" s="48" t="inlineStr">
        <is>
          <t>first bin =</t>
        </is>
      </c>
      <c r="K4" t="n">
        <v>10</v>
      </c>
      <c r="L4" s="32" t="n"/>
      <c r="M4" s="48" t="inlineStr">
        <is>
          <t>first bin =</t>
        </is>
      </c>
      <c r="N4" t="n">
        <v>10</v>
      </c>
      <c r="O4" s="32" t="n"/>
      <c r="P4" s="48" t="inlineStr">
        <is>
          <t>first bin =</t>
        </is>
      </c>
      <c r="Q4" t="n">
        <v>10</v>
      </c>
      <c r="R4" s="32" t="n"/>
      <c r="S4" s="48" t="inlineStr">
        <is>
          <t>first bin =</t>
        </is>
      </c>
      <c r="T4" t="n">
        <v>10</v>
      </c>
      <c r="U4" s="32" t="n"/>
      <c r="V4" s="48" t="inlineStr">
        <is>
          <t>first bin =</t>
        </is>
      </c>
      <c r="W4" t="n">
        <v>10</v>
      </c>
      <c r="X4" s="32" t="n"/>
      <c r="Y4" s="48" t="inlineStr">
        <is>
          <t>first bin =</t>
        </is>
      </c>
      <c r="Z4" t="n">
        <v>10</v>
      </c>
      <c r="AA4" s="32" t="n"/>
      <c r="AB4" s="48" t="inlineStr">
        <is>
          <t>first bin =</t>
        </is>
      </c>
      <c r="AC4" t="n">
        <v>10</v>
      </c>
      <c r="AD4" s="32" t="n"/>
    </row>
    <row r="5">
      <c r="D5" s="114" t="n"/>
      <c r="E5" s="115" t="n"/>
      <c r="F5" s="31" t="n"/>
      <c r="G5" s="48" t="inlineStr">
        <is>
          <t>increment =</t>
        </is>
      </c>
      <c r="H5">
        <f>+FAO!B14</f>
        <v/>
      </c>
      <c r="I5" s="32" t="n"/>
      <c r="J5" s="48" t="inlineStr">
        <is>
          <t>increment =</t>
        </is>
      </c>
      <c r="K5">
        <f>+FAO!E14</f>
        <v/>
      </c>
      <c r="L5" s="32" t="n"/>
      <c r="M5" s="48" t="inlineStr">
        <is>
          <t>increment =</t>
        </is>
      </c>
      <c r="N5">
        <f>+FAO!H14</f>
        <v/>
      </c>
      <c r="O5" s="32" t="n"/>
      <c r="P5" s="48" t="inlineStr">
        <is>
          <t>increment =</t>
        </is>
      </c>
      <c r="Q5">
        <f>+FAO!K14</f>
        <v/>
      </c>
      <c r="R5" s="32" t="n"/>
      <c r="S5" s="48" t="inlineStr">
        <is>
          <t>increment =</t>
        </is>
      </c>
      <c r="T5">
        <f>+FAO!N14</f>
        <v/>
      </c>
      <c r="U5" s="32" t="n"/>
      <c r="V5" s="48" t="inlineStr">
        <is>
          <t>increment =</t>
        </is>
      </c>
      <c r="W5">
        <f>+FAO!Q14</f>
        <v/>
      </c>
      <c r="X5" s="32" t="n"/>
      <c r="Y5" s="48" t="inlineStr">
        <is>
          <t>increment =</t>
        </is>
      </c>
      <c r="Z5">
        <f>+FAO!T14</f>
        <v/>
      </c>
      <c r="AA5" s="32" t="n"/>
      <c r="AB5" s="48" t="inlineStr">
        <is>
          <t>increment =</t>
        </is>
      </c>
      <c r="AC5">
        <f>+FAO!W14</f>
        <v/>
      </c>
      <c r="AD5" s="32" t="n"/>
    </row>
    <row r="6">
      <c r="D6" s="114" t="n"/>
      <c r="E6" s="115" t="n"/>
      <c r="F6" s="31" t="n"/>
      <c r="G6" s="48" t="inlineStr">
        <is>
          <t>Complete =</t>
        </is>
      </c>
      <c r="H6">
        <f>COUNTIFS($C$18:$C$2015,G$13,$D$18:$D$2015,"&gt;5")/COUNTIF($C$18:$C$2015,G$13)*100</f>
        <v/>
      </c>
      <c r="I6" s="32" t="n"/>
      <c r="J6" s="48" t="inlineStr">
        <is>
          <t>Complete =</t>
        </is>
      </c>
      <c r="K6">
        <f>COUNTIFS($C$18:$C$2015,J$13,$D$18:$D$2015,"&gt;5")/COUNTIF($C$18:$C$2015,J$13)*100</f>
        <v/>
      </c>
      <c r="L6" s="32" t="n"/>
      <c r="M6" s="48" t="inlineStr">
        <is>
          <t>Complete =</t>
        </is>
      </c>
      <c r="N6">
        <f>COUNTIFS($C$18:$C$2015,M$13,$D$18:$D$2015,"&gt;5")/COUNTIF($C$18:$C$2015,M$13)*100</f>
        <v/>
      </c>
      <c r="O6" s="32" t="n"/>
      <c r="P6" s="48" t="inlineStr">
        <is>
          <t>Complete =</t>
        </is>
      </c>
      <c r="Q6">
        <f>COUNTIFS($C$18:$C$2015,P$13,$D$18:$D$2015,"&gt;5")/COUNTIF($C$18:$C$2015,P$13)*100</f>
        <v/>
      </c>
      <c r="R6" s="32" t="n"/>
      <c r="S6" s="48" t="inlineStr">
        <is>
          <t>Complete =</t>
        </is>
      </c>
      <c r="T6">
        <f>COUNTIFS($C$18:$C$2015,S$13,$D$18:$D$2015,"&gt;5")/COUNTIF($C$18:$C$2015,S$13)*100</f>
        <v/>
      </c>
      <c r="U6" s="32" t="n"/>
      <c r="V6" s="48" t="inlineStr">
        <is>
          <t>Complete =</t>
        </is>
      </c>
      <c r="W6">
        <f>COUNTIFS($C$18:$C$2015,V$13,$D$18:$D$2015,"&gt;5")/COUNTIF($C$18:$C$2015,V$13)*100</f>
        <v/>
      </c>
      <c r="X6" s="32" t="n"/>
      <c r="Y6" s="48" t="inlineStr">
        <is>
          <t>Complete =</t>
        </is>
      </c>
      <c r="Z6">
        <f>COUNTIFS($C$18:$C$2015,Y$13,$D$18:$D$2015,"&gt;5")/COUNTIF($C$18:$C$2015,Y$13)*100</f>
        <v/>
      </c>
      <c r="AA6" s="32" t="n"/>
      <c r="AB6" s="48" t="inlineStr">
        <is>
          <t>Complete =</t>
        </is>
      </c>
      <c r="AC6">
        <f>COUNTIFS($C$18:$C$2015,AB$13,$D$18:$D$2015,"&gt;5")/COUNTIF($C$18:$C$2015,AB$13)*100</f>
        <v/>
      </c>
      <c r="AD6" s="32" t="n"/>
    </row>
    <row r="7">
      <c r="D7" s="114" t="n"/>
      <c r="E7" s="115" t="n"/>
      <c r="F7" s="31" t="n"/>
      <c r="G7" s="48" t="inlineStr">
        <is>
          <t>L50 (cm) =</t>
        </is>
      </c>
      <c r="H7">
        <f>+FAO!B11</f>
        <v/>
      </c>
      <c r="I7" s="32" t="n"/>
      <c r="J7" s="48" t="inlineStr">
        <is>
          <t>L50 (cm) =</t>
        </is>
      </c>
      <c r="K7">
        <f>+FAO!E11</f>
        <v/>
      </c>
      <c r="L7" s="32" t="n"/>
      <c r="M7" s="48" t="inlineStr">
        <is>
          <t>L50 (cm) =</t>
        </is>
      </c>
      <c r="N7">
        <f>+FAO!H11</f>
        <v/>
      </c>
      <c r="O7" s="32" t="n"/>
      <c r="P7" s="48" t="inlineStr">
        <is>
          <t>L50 (cm) =</t>
        </is>
      </c>
      <c r="Q7">
        <f>+FAO!K11</f>
        <v/>
      </c>
      <c r="R7" s="32" t="n"/>
      <c r="S7" s="48" t="inlineStr">
        <is>
          <t>L50 (cm) =</t>
        </is>
      </c>
      <c r="T7">
        <f>+FAO!N11</f>
        <v/>
      </c>
      <c r="U7" s="32" t="n"/>
      <c r="V7" s="48" t="inlineStr">
        <is>
          <t>L50 (cm) =</t>
        </is>
      </c>
      <c r="W7">
        <f>+FAO!Q11</f>
        <v/>
      </c>
      <c r="X7" s="32" t="n"/>
      <c r="Y7" s="48" t="inlineStr">
        <is>
          <t>L50 (cm) =</t>
        </is>
      </c>
      <c r="Z7">
        <f>+FAO!T11</f>
        <v/>
      </c>
      <c r="AA7" s="32" t="n"/>
      <c r="AB7" s="48" t="inlineStr">
        <is>
          <t>L50 (cm) =</t>
        </is>
      </c>
      <c r="AC7">
        <f>+FAO!W11</f>
        <v/>
      </c>
      <c r="AD7" s="32" t="n"/>
    </row>
    <row r="8">
      <c r="D8" s="114" t="n"/>
      <c r="E8" s="115" t="n"/>
      <c r="F8" s="31" t="n"/>
      <c r="G8" s="48" t="inlineStr">
        <is>
          <t>Juven. (%) =</t>
        </is>
      </c>
      <c r="H8">
        <f>+ROUND(COUNTIFS($C$18:$C$2015,G$13,$D$18:$D$2015,"&lt;"&amp;H7)/COUNTIF($C$18:$C$2015,G$13)*100,0)</f>
        <v/>
      </c>
      <c r="I8" s="32" t="n"/>
      <c r="J8" s="48" t="inlineStr">
        <is>
          <t>Juven. (%) =</t>
        </is>
      </c>
      <c r="K8">
        <f>+ROUND(COUNTIFS($C$18:$C$2015,J$13,$D$18:$D$2015,"&lt;"&amp;K7)/COUNTIF($C$18:$C$2015,J$13)*100,0)</f>
        <v/>
      </c>
      <c r="L8" s="32" t="n"/>
      <c r="M8" s="48" t="inlineStr">
        <is>
          <t>Juven. (%) =</t>
        </is>
      </c>
      <c r="N8">
        <f>+ROUND(COUNTIFS($C$18:$C$2015,M$13,$D$18:$D$2015,"&lt;"&amp;N7)/COUNTIF($C$18:$C$2015,M$13)*100,0)</f>
        <v/>
      </c>
      <c r="O8" s="32" t="n"/>
      <c r="P8" s="48" t="inlineStr">
        <is>
          <t>Juven. (%) =</t>
        </is>
      </c>
      <c r="Q8">
        <f>+ROUND(COUNTIFS($C$18:$C$2015,P$13,$D$18:$D$2015,"&lt;"&amp;Q7)/COUNTIF($C$18:$C$2015,P$13)*100,0)</f>
        <v/>
      </c>
      <c r="R8" s="32" t="n"/>
      <c r="S8" s="48" t="inlineStr">
        <is>
          <t>Juven. (%) =</t>
        </is>
      </c>
      <c r="T8">
        <f>+ROUND(COUNTIFS($C$18:$C$2015,S$13,$D$18:$D$2015,"&lt;"&amp;T7)/COUNTIF($C$18:$C$2015,S$13)*100,0)</f>
        <v/>
      </c>
      <c r="U8" s="32" t="n"/>
      <c r="V8" s="48" t="inlineStr">
        <is>
          <t>Juven. (%) =</t>
        </is>
      </c>
      <c r="W8">
        <f>+ROUND(COUNTIFS($C$18:$C$2015,V$13,$D$18:$D$2015,"&lt;"&amp;W7)/COUNTIF($C$18:$C$2015,V$13)*100,0)</f>
        <v/>
      </c>
      <c r="X8" s="32" t="n"/>
      <c r="Y8" s="48" t="inlineStr">
        <is>
          <t>Juven. (%) =</t>
        </is>
      </c>
      <c r="Z8">
        <f>+ROUND(COUNTIFS($C$18:$C$2015,Y$13,$D$18:$D$2015,"&lt;"&amp;Z7)/COUNTIF($C$18:$C$2015,Y$13)*100,0)</f>
        <v/>
      </c>
      <c r="AA8" s="32" t="n"/>
      <c r="AB8" s="48" t="inlineStr">
        <is>
          <t>Juven. (%) =</t>
        </is>
      </c>
      <c r="AC8">
        <f>+ROUND(COUNTIFS($C$18:$C$2015,AB$13,$D$18:$D$2015,"&lt;"&amp;AC7)/COUNTIF($C$18:$C$2015,AB$13)*100,0)</f>
        <v/>
      </c>
      <c r="AD8" s="32" t="n"/>
    </row>
    <row r="9" customFormat="1" s="17">
      <c r="D9" s="114" t="n"/>
      <c r="E9" s="18" t="n"/>
      <c r="F9" s="31" t="n"/>
      <c r="G9" s="20">
        <f>+FAO!B6</f>
        <v/>
      </c>
      <c r="H9" s="117" t="n"/>
      <c r="I9" s="32" t="n"/>
      <c r="J9" s="20">
        <f>+FAO!E6</f>
        <v/>
      </c>
      <c r="K9" s="117" t="n"/>
      <c r="L9" s="32" t="n"/>
      <c r="M9" s="20">
        <f>+FAO!H6</f>
        <v/>
      </c>
      <c r="N9" s="117" t="n"/>
      <c r="O9" s="32" t="n"/>
      <c r="P9" s="20">
        <f>+FAO!K6</f>
        <v/>
      </c>
      <c r="Q9" s="117" t="n"/>
      <c r="R9" s="32" t="n"/>
      <c r="S9" s="20">
        <f>+FAO!N6</f>
        <v/>
      </c>
      <c r="T9" s="117" t="n"/>
      <c r="U9" s="32" t="n"/>
      <c r="V9" s="20">
        <f>+FAO!Q6</f>
        <v/>
      </c>
      <c r="W9" s="117" t="n"/>
      <c r="X9" s="32" t="n"/>
      <c r="Y9" s="20">
        <f>+FAO!T6</f>
        <v/>
      </c>
      <c r="Z9" s="117" t="n"/>
      <c r="AA9" s="32" t="n"/>
      <c r="AB9" s="20">
        <f>+FAO!W6</f>
        <v/>
      </c>
      <c r="AC9" s="117" t="n"/>
      <c r="AD9" s="32" t="n"/>
    </row>
    <row r="10" customFormat="1" s="1">
      <c r="D10" s="114" t="n"/>
      <c r="E10" s="33" t="n"/>
      <c r="F10" s="31" t="n"/>
      <c r="G10" s="20">
        <f>+FAO!B7</f>
        <v/>
      </c>
      <c r="H10" s="118" t="n"/>
      <c r="I10" s="32" t="n"/>
      <c r="J10" s="20">
        <f>+FAO!E7</f>
        <v/>
      </c>
      <c r="K10" s="118" t="n"/>
      <c r="L10" s="32" t="n"/>
      <c r="M10" s="20">
        <f>+FAO!H7</f>
        <v/>
      </c>
      <c r="N10" s="118" t="n"/>
      <c r="O10" s="32" t="n"/>
      <c r="P10" s="20">
        <f>+FAO!K7</f>
        <v/>
      </c>
      <c r="Q10" s="118" t="n"/>
      <c r="R10" s="32" t="n"/>
      <c r="S10" s="20">
        <f>+FAO!N7</f>
        <v/>
      </c>
      <c r="T10" s="118" t="n"/>
      <c r="U10" s="32" t="n"/>
      <c r="V10" s="20">
        <f>+FAO!Q7</f>
        <v/>
      </c>
      <c r="W10" s="118" t="n"/>
      <c r="X10" s="32" t="n"/>
      <c r="Y10" s="20">
        <f>+FAO!T7</f>
        <v/>
      </c>
      <c r="Z10" s="118" t="n"/>
      <c r="AA10" s="32" t="n"/>
      <c r="AB10" s="20">
        <f>+FAO!W7</f>
        <v/>
      </c>
      <c r="AC10" s="118" t="n"/>
      <c r="AD10" s="32" t="n"/>
    </row>
    <row r="11" customFormat="1" s="1">
      <c r="D11" s="114" t="n"/>
      <c r="E11" s="19" t="n"/>
      <c r="F11" s="31" t="n"/>
      <c r="G11" s="34">
        <f>+FAO!B9</f>
        <v/>
      </c>
      <c r="H11" s="119" t="n"/>
      <c r="I11" s="32" t="n"/>
      <c r="J11" s="34">
        <f>+FAO!E9</f>
        <v/>
      </c>
      <c r="K11" s="119" t="n"/>
      <c r="L11" s="32" t="n"/>
      <c r="M11" s="34">
        <f>+FAO!H9</f>
        <v/>
      </c>
      <c r="N11" s="119" t="n"/>
      <c r="O11" s="32" t="n"/>
      <c r="P11" s="34">
        <f>+FAO!K9</f>
        <v/>
      </c>
      <c r="Q11" s="119" t="n"/>
      <c r="R11" s="32" t="n"/>
      <c r="S11" s="34">
        <f>+FAO!N9</f>
        <v/>
      </c>
      <c r="T11" s="119" t="n"/>
      <c r="U11" s="32" t="n"/>
      <c r="V11" s="34">
        <f>+FAO!Q9</f>
        <v/>
      </c>
      <c r="W11" s="119" t="n"/>
      <c r="X11" s="32" t="n"/>
      <c r="Y11" s="34">
        <f>+FAO!T9</f>
        <v/>
      </c>
      <c r="Z11" s="119" t="n"/>
      <c r="AA11" s="32" t="n"/>
      <c r="AB11" s="34">
        <f>+FAO!W9</f>
        <v/>
      </c>
      <c r="AC11" s="119" t="n"/>
      <c r="AD11" s="32" t="n"/>
    </row>
    <row r="12">
      <c r="D12" s="114" t="n"/>
      <c r="E12" s="115" t="n"/>
      <c r="F12" s="31" t="n"/>
      <c r="G12" s="34">
        <f>+FAO!B5</f>
        <v/>
      </c>
      <c r="H12" s="120" t="n"/>
      <c r="I12" s="32" t="n"/>
      <c r="J12" s="34">
        <f>+FAO!E5</f>
        <v/>
      </c>
      <c r="K12" s="120" t="n"/>
      <c r="L12" s="32" t="n"/>
      <c r="M12" s="34">
        <f>+FAO!H5</f>
        <v/>
      </c>
      <c r="N12" s="120" t="n"/>
      <c r="O12" s="32" t="n"/>
      <c r="P12" s="34">
        <f>+FAO!K5</f>
        <v/>
      </c>
      <c r="Q12" s="120" t="n"/>
      <c r="R12" s="32" t="n"/>
      <c r="S12" s="34">
        <f>+FAO!N5</f>
        <v/>
      </c>
      <c r="T12" s="120" t="n"/>
      <c r="U12" s="32" t="n"/>
      <c r="V12" s="34">
        <f>+FAO!Q5</f>
        <v/>
      </c>
      <c r="W12" s="120" t="n"/>
      <c r="X12" s="32" t="n"/>
      <c r="Y12" s="34">
        <f>+FAO!T5</f>
        <v/>
      </c>
      <c r="Z12" s="120" t="n"/>
      <c r="AA12" s="32" t="n"/>
      <c r="AB12" s="34">
        <f>+FAO!W5</f>
        <v/>
      </c>
      <c r="AC12" s="120" t="n"/>
      <c r="AD12" s="32" t="n"/>
    </row>
    <row r="13" ht="39" customHeight="1" s="113">
      <c r="B13" s="49" t="n"/>
      <c r="D13" t="e">
        <v>#VALUE!</v>
      </c>
      <c r="E13" s="51">
        <f>COUNTA(C15:C1003)</f>
        <v/>
      </c>
      <c r="F13" s="31" t="n"/>
      <c r="G13" s="35">
        <f>+FAO!B1</f>
        <v/>
      </c>
      <c r="H13" s="121">
        <f>+FAO!B3</f>
        <v/>
      </c>
      <c r="I13" s="32" t="n"/>
      <c r="J13" s="35">
        <f>+FAO!E1</f>
        <v/>
      </c>
      <c r="K13" s="121">
        <f>+FAO!E3</f>
        <v/>
      </c>
      <c r="L13" s="32" t="n"/>
      <c r="M13" s="35">
        <f>+FAO!H1</f>
        <v/>
      </c>
      <c r="N13" s="121">
        <f>+FAO!H3</f>
        <v/>
      </c>
      <c r="O13" s="32" t="n"/>
      <c r="P13" s="35">
        <f>+FAO!K1</f>
        <v/>
      </c>
      <c r="Q13" s="121">
        <f>+FAO!K3</f>
        <v/>
      </c>
      <c r="R13" s="32" t="n"/>
      <c r="S13" s="35">
        <f>+FAO!N1</f>
        <v/>
      </c>
      <c r="T13" s="121">
        <f>+FAO!N3</f>
        <v/>
      </c>
      <c r="U13" s="32" t="n"/>
      <c r="V13" s="35">
        <f>+FAO!Q1</f>
        <v/>
      </c>
      <c r="W13" s="121">
        <f>+FAO!Q3</f>
        <v/>
      </c>
      <c r="X13" s="32" t="n"/>
      <c r="Y13" s="35">
        <f>+FAO!T1</f>
        <v/>
      </c>
      <c r="Z13" s="121">
        <f>+FAO!T3</f>
        <v/>
      </c>
      <c r="AA13" s="32" t="n"/>
      <c r="AB13" s="35">
        <f>+FAO!W1</f>
        <v/>
      </c>
      <c r="AC13" s="121">
        <f>+FAO!W3</f>
        <v/>
      </c>
      <c r="AD13" s="32" t="n"/>
    </row>
    <row r="14" customFormat="1" s="54">
      <c r="A14" s="99" t="inlineStr">
        <is>
          <t>TRIP</t>
        </is>
      </c>
      <c r="B14" s="99" t="inlineStr">
        <is>
          <t>DATE</t>
        </is>
      </c>
      <c r="C14" s="99" t="inlineStr">
        <is>
          <t>FAO</t>
        </is>
      </c>
      <c r="D14" s="122" t="inlineStr">
        <is>
          <t>OBS</t>
        </is>
      </c>
      <c r="E14" s="99" t="inlineStr">
        <is>
          <t>ID</t>
        </is>
      </c>
      <c r="F14" s="52" t="n"/>
      <c r="G14" s="50">
        <f>"LC-"&amp;G13</f>
        <v/>
      </c>
      <c r="H14" s="123">
        <f>"FQ-"&amp;G13</f>
        <v/>
      </c>
      <c r="I14" s="53" t="n"/>
      <c r="J14" s="50">
        <f>"LC-"&amp;J13</f>
        <v/>
      </c>
      <c r="K14" s="123">
        <f>"FQ-"&amp;J13</f>
        <v/>
      </c>
      <c r="L14" s="53" t="n"/>
      <c r="M14" s="50">
        <f>"LC-"&amp;M13</f>
        <v/>
      </c>
      <c r="N14" s="123">
        <f>"FQ-"&amp;M13</f>
        <v/>
      </c>
      <c r="O14" s="53" t="n"/>
      <c r="P14" s="50">
        <f>"LC-"&amp;P13</f>
        <v/>
      </c>
      <c r="Q14" s="123">
        <f>"FQ-"&amp;P13</f>
        <v/>
      </c>
      <c r="R14" s="53" t="n"/>
      <c r="S14" s="50">
        <f>"LC-"&amp;S13</f>
        <v/>
      </c>
      <c r="T14" s="123">
        <f>"FQ-"&amp;S13</f>
        <v/>
      </c>
      <c r="U14" s="53" t="n"/>
      <c r="V14" s="50">
        <f>"LC-"&amp;V13</f>
        <v/>
      </c>
      <c r="W14" s="123">
        <f>"FQ-"&amp;V13</f>
        <v/>
      </c>
      <c r="X14" s="53" t="n"/>
      <c r="Y14" s="50">
        <f>"LC-"&amp;Y13</f>
        <v/>
      </c>
      <c r="Z14" s="123">
        <f>"FQ-"&amp;Y13</f>
        <v/>
      </c>
      <c r="AA14" s="53" t="n"/>
      <c r="AB14" s="50">
        <f>"LC-"&amp;AB13</f>
        <v/>
      </c>
      <c r="AC14" s="123">
        <f>"FQ-"&amp;AB13</f>
        <v/>
      </c>
      <c r="AD14" s="53" t="n"/>
    </row>
    <row r="15">
      <c r="A15" s="58" t="n"/>
      <c r="B15" s="59" t="n"/>
      <c r="C15" s="59" t="n"/>
      <c r="E15" s="16">
        <f t="array" ref="E15">+_xlfn.SEQUENCE(E13,1,1)</f>
        <v/>
      </c>
      <c r="F15" s="13" t="n"/>
      <c r="G15" s="16">
        <f t="array" ref="G15:G85">_xlfn.SEQUENCE(((H1-H4)/H5)+1, 1, H4, H5)</f>
        <v/>
      </c>
      <c r="H15" s="124">
        <f>IF(G15="","",COUNTIFS($C$18:$C$2015,G$13,$D$18:$D$2015,"&gt;="&amp;G15,$D$18:$D$2015,"&lt;"&amp;G16))</f>
        <v/>
      </c>
      <c r="I15" s="14" t="n"/>
      <c r="J15" s="16">
        <f t="array" ref="J15:J43">_xlfn.SEQUENCE(((K1-K4)/K5)+1, 1, K4, K5)</f>
        <v/>
      </c>
      <c r="K15" s="124">
        <f>IF(J15="","",COUNTIFS($C$18:$C$2015,J$13,$D$18:$D$2015,"&gt;="&amp;J15,$D$18:$D$2015,"&lt;"&amp;J16))</f>
        <v/>
      </c>
      <c r="L15" s="14" t="n"/>
      <c r="M15" s="16">
        <f t="array" ref="M15:M55">_xlfn.SEQUENCE(((N1-N4)/N5)+1, 1, N4, N5)</f>
        <v/>
      </c>
      <c r="N15" s="124">
        <f>IF(M15="","",COUNTIFS($C$18:$C$2015,M$13,$D$18:$D$2015,"&gt;="&amp;M15,$D$18:$D$2015,"&lt;"&amp;M16))</f>
        <v/>
      </c>
      <c r="O15" s="14" t="n"/>
      <c r="P15" s="16">
        <f t="array" ref="P15:P85">_xlfn.SEQUENCE(((Q1-Q4)/Q5)+1, 1, Q4, Q5)</f>
        <v/>
      </c>
      <c r="Q15" s="124">
        <f>IF(P15="","",COUNTIFS($C$18:$C$2015,P$13,$D$18:$D$2015,"&gt;="&amp;P15,$D$18:$D$2015,"&lt;"&amp;P16))</f>
        <v/>
      </c>
      <c r="R15" s="14" t="n"/>
      <c r="S15" s="16">
        <f t="array" ref="S15:S60">_xlfn.SEQUENCE(((T1-T4)/T5)+1, 1, T4, T5)</f>
        <v/>
      </c>
      <c r="T15" s="124">
        <f>IF(S15="","",COUNTIFS($C$18:$C$2015,S$13,$D$18:$D$2015,"&gt;="&amp;S15,$D$18:$D$2015,"&lt;"&amp;S16))</f>
        <v/>
      </c>
      <c r="U15" s="14" t="n"/>
      <c r="V15" s="16">
        <f t="array" ref="V15:V50">_xlfn.SEQUENCE(((W1-W4)/W5)+1, 1, W4, W5)</f>
        <v/>
      </c>
      <c r="W15" s="124">
        <f>IF(V15="","",COUNTIFS($C$18:$C$2015,V$13,$D$18:$D$2015,"&gt;="&amp;V15,$D$18:$D$2015,"&lt;"&amp;V16))</f>
        <v/>
      </c>
      <c r="X15" s="14" t="n"/>
      <c r="Y15" s="16">
        <f t="array" ref="Y15:Y50">_xlfn.SEQUENCE(((Z1-Z4)/Z5)+1, 1, Z4, Z5)</f>
        <v/>
      </c>
      <c r="Z15" s="124">
        <f>IF(Y15="","",COUNTIFS($C$18:$C$2015,Y$13,$D$18:$D$2015,"&gt;="&amp;Y15,$D$18:$D$2015,"&lt;"&amp;Y16))</f>
        <v/>
      </c>
      <c r="AA15" s="14" t="n"/>
      <c r="AB15" s="16">
        <f t="array" ref="AB15:AB67">_xlfn.SEQUENCE(((AC1-AC4)/AC5)+1, 1, AC4, AC5)</f>
        <v/>
      </c>
      <c r="AC15" s="124">
        <f>IF(AB15="","",COUNTIFS($C$18:$C$2015,AB$13,$D$18:$D$2015,"&gt;="&amp;AB15,$D$18:$D$2015,"&lt;"&amp;AB16))</f>
        <v/>
      </c>
      <c r="AD15" s="14" t="n"/>
    </row>
    <row r="16">
      <c r="A16" s="56" t="n"/>
      <c r="B16" s="57" t="n"/>
      <c r="C16" s="59" t="n"/>
      <c r="E16" s="16" t="n"/>
      <c r="F16" s="13" t="n"/>
      <c r="G16" s="16" t="n">
        <v>11</v>
      </c>
      <c r="H16" s="124">
        <f>IF(G16="","",COUNTIFS($C$18:$C$2015,G$13,$D$18:$D$2015,"&gt;="&amp;G16,$D$18:$D$2015,"&lt;"&amp;G17))</f>
        <v/>
      </c>
      <c r="I16" s="14" t="n"/>
      <c r="J16" s="16" t="n">
        <v>15</v>
      </c>
      <c r="K16" s="124">
        <f>IF(J16="","",COUNTIFS($C$18:$C$2015,J$13,$D$18:$D$2015,"&gt;="&amp;J16,$D$18:$D$2015,"&lt;"&amp;J17))</f>
        <v/>
      </c>
      <c r="L16" s="14" t="n"/>
      <c r="M16" s="16" t="n">
        <v>12</v>
      </c>
      <c r="N16" s="124">
        <f>IF(M16="","",COUNTIFS($C$18:$C$2015,M$13,$D$18:$D$2015,"&gt;="&amp;M16,$D$18:$D$2015,"&lt;"&amp;M17))</f>
        <v/>
      </c>
      <c r="O16" s="14" t="n"/>
      <c r="P16" s="16" t="n">
        <v>11</v>
      </c>
      <c r="Q16" s="124">
        <f>IF(P16="","",COUNTIFS($C$18:$C$2015,P$13,$D$18:$D$2015,"&gt;="&amp;P16,$D$18:$D$2015,"&lt;"&amp;P17))</f>
        <v/>
      </c>
      <c r="R16" s="14" t="n"/>
      <c r="S16" s="16" t="n">
        <v>12</v>
      </c>
      <c r="T16" s="124">
        <f>IF(S16="","",COUNTIFS($C$18:$C$2015,S$13,$D$18:$D$2015,"&gt;="&amp;S16,$D$18:$D$2015,"&lt;"&amp;S17))</f>
        <v/>
      </c>
      <c r="U16" s="14" t="n"/>
      <c r="V16" s="16" t="n">
        <v>12</v>
      </c>
      <c r="W16" s="124">
        <f>IF(V16="","",COUNTIFS($C$18:$C$2015,V$13,$D$18:$D$2015,"&gt;="&amp;V16,$D$18:$D$2015,"&lt;"&amp;V17))</f>
        <v/>
      </c>
      <c r="X16" s="14" t="n"/>
      <c r="Y16" s="16" t="n">
        <v>12</v>
      </c>
      <c r="Z16" s="124">
        <f>IF(Y16="","",COUNTIFS($C$18:$C$2015,Y$13,$D$18:$D$2015,"&gt;="&amp;Y16,$D$18:$D$2015,"&lt;"&amp;Y17))</f>
        <v/>
      </c>
      <c r="AA16" s="14" t="n"/>
      <c r="AB16" s="16" t="n">
        <v>11</v>
      </c>
      <c r="AC16" s="124">
        <f>IF(AB16="","",COUNTIFS($C$18:$C$2015,AB$13,$D$18:$D$2015,"&gt;="&amp;AB16,$D$18:$D$2015,"&lt;"&amp;AB17))</f>
        <v/>
      </c>
      <c r="AD16" s="14" t="n"/>
    </row>
    <row r="17">
      <c r="A17" s="58" t="n"/>
      <c r="B17" s="59" t="n"/>
      <c r="C17" s="59" t="n"/>
      <c r="E17" s="16" t="n"/>
      <c r="F17" s="13" t="n"/>
      <c r="G17" s="16" t="n">
        <v>12</v>
      </c>
      <c r="H17" s="124">
        <f>IF(G17="","",COUNTIFS($C$18:$C$2015,G$13,$D$18:$D$2015,"&gt;="&amp;G17,$D$18:$D$2015,"&lt;"&amp;G18))</f>
        <v/>
      </c>
      <c r="I17" s="14" t="n"/>
      <c r="J17" s="16" t="n">
        <v>20</v>
      </c>
      <c r="K17" s="124">
        <f>IF(J17="","",COUNTIFS($C$18:$C$2015,J$13,$D$18:$D$2015,"&gt;="&amp;J17,$D$18:$D$2015,"&lt;"&amp;J18))</f>
        <v/>
      </c>
      <c r="L17" s="14" t="n"/>
      <c r="M17" s="16" t="n">
        <v>14</v>
      </c>
      <c r="N17" s="124">
        <f>IF(M17="","",COUNTIFS($C$18:$C$2015,M$13,$D$18:$D$2015,"&gt;="&amp;M17,$D$18:$D$2015,"&lt;"&amp;M18))</f>
        <v/>
      </c>
      <c r="O17" s="14" t="n"/>
      <c r="P17" s="16" t="n">
        <v>12</v>
      </c>
      <c r="Q17" s="124">
        <f>IF(P17="","",COUNTIFS($C$18:$C$2015,P$13,$D$18:$D$2015,"&gt;="&amp;P17,$D$18:$D$2015,"&lt;"&amp;P18))</f>
        <v/>
      </c>
      <c r="R17" s="14" t="n"/>
      <c r="S17" s="16" t="n">
        <v>14</v>
      </c>
      <c r="T17" s="124">
        <f>IF(S17="","",COUNTIFS($C$18:$C$2015,S$13,$D$18:$D$2015,"&gt;="&amp;S17,$D$18:$D$2015,"&lt;"&amp;S18))</f>
        <v/>
      </c>
      <c r="U17" s="14" t="n"/>
      <c r="V17" s="16" t="n">
        <v>14</v>
      </c>
      <c r="W17" s="124">
        <f>IF(V17="","",COUNTIFS($C$18:$C$2015,V$13,$D$18:$D$2015,"&gt;="&amp;V17,$D$18:$D$2015,"&lt;"&amp;V18))</f>
        <v/>
      </c>
      <c r="X17" s="14" t="n"/>
      <c r="Y17" s="16" t="n">
        <v>14</v>
      </c>
      <c r="Z17" s="124">
        <f>IF(Y17="","",COUNTIFS($C$18:$C$2015,Y$13,$D$18:$D$2015,"&gt;="&amp;Y17,$D$18:$D$2015,"&lt;"&amp;Y18))</f>
        <v/>
      </c>
      <c r="AA17" s="14" t="n"/>
      <c r="AB17" s="16" t="n">
        <v>12</v>
      </c>
      <c r="AC17" s="124">
        <f>IF(AB17="","",COUNTIFS($C$18:$C$2015,AB$13,$D$18:$D$2015,"&gt;="&amp;AB17,$D$18:$D$2015,"&lt;"&amp;AB18))</f>
        <v/>
      </c>
      <c r="AD17" s="14" t="n"/>
    </row>
    <row r="18">
      <c r="A18" s="56" t="n"/>
      <c r="B18" s="57" t="n"/>
      <c r="C18" s="59" t="n"/>
      <c r="E18" s="16" t="n"/>
      <c r="F18" s="13" t="n"/>
      <c r="G18" s="16" t="n">
        <v>13</v>
      </c>
      <c r="H18" s="124">
        <f>IF(G18="","",COUNTIFS($C$18:$C$2015,G$13,$D$18:$D$2015,"&gt;="&amp;G18,$D$18:$D$2015,"&lt;"&amp;G19))</f>
        <v/>
      </c>
      <c r="I18" s="14" t="n"/>
      <c r="J18" s="16" t="n">
        <v>25</v>
      </c>
      <c r="K18" s="124">
        <f>IF(J18="","",COUNTIFS($C$18:$C$2015,J$13,$D$18:$D$2015,"&gt;="&amp;J18,$D$18:$D$2015,"&lt;"&amp;J19))</f>
        <v/>
      </c>
      <c r="L18" s="14" t="n"/>
      <c r="M18" s="16" t="n">
        <v>16</v>
      </c>
      <c r="N18" s="124">
        <f>IF(M18="","",COUNTIFS($C$18:$C$2015,M$13,$D$18:$D$2015,"&gt;="&amp;M18,$D$18:$D$2015,"&lt;"&amp;M19))</f>
        <v/>
      </c>
      <c r="O18" s="14" t="n"/>
      <c r="P18" s="16" t="n">
        <v>13</v>
      </c>
      <c r="Q18" s="124">
        <f>IF(P18="","",COUNTIFS($C$18:$C$2015,P$13,$D$18:$D$2015,"&gt;="&amp;P18,$D$18:$D$2015,"&lt;"&amp;P19))</f>
        <v/>
      </c>
      <c r="R18" s="14" t="n"/>
      <c r="S18" s="16" t="n">
        <v>16</v>
      </c>
      <c r="T18" s="124">
        <f>IF(S18="","",COUNTIFS($C$18:$C$2015,S$13,$D$18:$D$2015,"&gt;="&amp;S18,$D$18:$D$2015,"&lt;"&amp;S19))</f>
        <v/>
      </c>
      <c r="U18" s="14" t="n"/>
      <c r="V18" s="16" t="n">
        <v>16</v>
      </c>
      <c r="W18" s="124">
        <f>IF(V18="","",COUNTIFS($C$18:$C$2015,V$13,$D$18:$D$2015,"&gt;="&amp;V18,$D$18:$D$2015,"&lt;"&amp;V19))</f>
        <v/>
      </c>
      <c r="X18" s="14" t="n"/>
      <c r="Y18" s="16" t="n">
        <v>16</v>
      </c>
      <c r="Z18" s="124">
        <f>IF(Y18="","",COUNTIFS($C$18:$C$2015,Y$13,$D$18:$D$2015,"&gt;="&amp;Y18,$D$18:$D$2015,"&lt;"&amp;Y19))</f>
        <v/>
      </c>
      <c r="AA18" s="14" t="n"/>
      <c r="AB18" s="16" t="n">
        <v>13</v>
      </c>
      <c r="AC18" s="124">
        <f>IF(AB18="","",COUNTIFS($C$18:$C$2015,AB$13,$D$18:$D$2015,"&gt;="&amp;AB18,$D$18:$D$2015,"&lt;"&amp;AB19))</f>
        <v/>
      </c>
      <c r="AD18" s="14" t="n"/>
    </row>
    <row r="19">
      <c r="A19" s="58" t="n"/>
      <c r="B19" s="59" t="n"/>
      <c r="C19" s="59" t="n"/>
      <c r="E19" s="16" t="n"/>
      <c r="F19" s="13" t="n"/>
      <c r="G19" s="16" t="n">
        <v>14</v>
      </c>
      <c r="H19" s="124">
        <f>IF(G19="","",COUNTIFS($C$18:$C$2015,G$13,$D$18:$D$2015,"&gt;="&amp;G19,$D$18:$D$2015,"&lt;"&amp;G20))</f>
        <v/>
      </c>
      <c r="I19" s="14" t="n"/>
      <c r="J19" s="16" t="n">
        <v>30</v>
      </c>
      <c r="K19" s="124">
        <f>IF(J19="","",COUNTIFS($C$18:$C$2015,J$13,$D$18:$D$2015,"&gt;="&amp;J19,$D$18:$D$2015,"&lt;"&amp;J20))</f>
        <v/>
      </c>
      <c r="L19" s="14" t="n"/>
      <c r="M19" s="16" t="n">
        <v>18</v>
      </c>
      <c r="N19" s="124">
        <f>IF(M19="","",COUNTIFS($C$18:$C$2015,M$13,$D$18:$D$2015,"&gt;="&amp;M19,$D$18:$D$2015,"&lt;"&amp;M20))</f>
        <v/>
      </c>
      <c r="O19" s="14" t="n"/>
      <c r="P19" s="16" t="n">
        <v>14</v>
      </c>
      <c r="Q19" s="124">
        <f>IF(P19="","",COUNTIFS($C$18:$C$2015,P$13,$D$18:$D$2015,"&gt;="&amp;P19,$D$18:$D$2015,"&lt;"&amp;P20))</f>
        <v/>
      </c>
      <c r="R19" s="14" t="n"/>
      <c r="S19" s="16" t="n">
        <v>18</v>
      </c>
      <c r="T19" s="124">
        <f>IF(S19="","",COUNTIFS($C$18:$C$2015,S$13,$D$18:$D$2015,"&gt;="&amp;S19,$D$18:$D$2015,"&lt;"&amp;S20))</f>
        <v/>
      </c>
      <c r="U19" s="14" t="n"/>
      <c r="V19" s="16" t="n">
        <v>18</v>
      </c>
      <c r="W19" s="124">
        <f>IF(V19="","",COUNTIFS($C$18:$C$2015,V$13,$D$18:$D$2015,"&gt;="&amp;V19,$D$18:$D$2015,"&lt;"&amp;V20))</f>
        <v/>
      </c>
      <c r="X19" s="14" t="n"/>
      <c r="Y19" s="16" t="n">
        <v>18</v>
      </c>
      <c r="Z19" s="124">
        <f>IF(Y19="","",COUNTIFS($C$18:$C$2015,Y$13,$D$18:$D$2015,"&gt;="&amp;Y19,$D$18:$D$2015,"&lt;"&amp;Y20))</f>
        <v/>
      </c>
      <c r="AA19" s="14" t="n"/>
      <c r="AB19" s="16" t="n">
        <v>14</v>
      </c>
      <c r="AC19" s="124">
        <f>IF(AB19="","",COUNTIFS($C$18:$C$2015,AB$13,$D$18:$D$2015,"&gt;="&amp;AB19,$D$18:$D$2015,"&lt;"&amp;AB20))</f>
        <v/>
      </c>
      <c r="AD19" s="14" t="n"/>
    </row>
    <row r="20">
      <c r="A20" s="56" t="n"/>
      <c r="B20" s="57" t="n"/>
      <c r="C20" s="59" t="n"/>
      <c r="E20" s="16" t="n"/>
      <c r="F20" s="13" t="n"/>
      <c r="G20" s="16" t="n">
        <v>15</v>
      </c>
      <c r="H20" s="124">
        <f>IF(G20="","",COUNTIFS($C$18:$C$2015,G$13,$D$18:$D$2015,"&gt;="&amp;G20,$D$18:$D$2015,"&lt;"&amp;G21))</f>
        <v/>
      </c>
      <c r="I20" s="14" t="n"/>
      <c r="J20" s="16" t="n">
        <v>35</v>
      </c>
      <c r="K20" s="124">
        <f>IF(J20="","",COUNTIFS($C$18:$C$2015,J$13,$D$18:$D$2015,"&gt;="&amp;J20,$D$18:$D$2015,"&lt;"&amp;J21))</f>
        <v/>
      </c>
      <c r="L20" s="14" t="n"/>
      <c r="M20" s="16" t="n">
        <v>20</v>
      </c>
      <c r="N20" s="124">
        <f>IF(M20="","",COUNTIFS($C$18:$C$2015,M$13,$D$18:$D$2015,"&gt;="&amp;M20,$D$18:$D$2015,"&lt;"&amp;M21))</f>
        <v/>
      </c>
      <c r="O20" s="14" t="n"/>
      <c r="P20" s="16" t="n">
        <v>15</v>
      </c>
      <c r="Q20" s="124">
        <f>IF(P20="","",COUNTIFS($C$18:$C$2015,P$13,$D$18:$D$2015,"&gt;="&amp;P20,$D$18:$D$2015,"&lt;"&amp;P21))</f>
        <v/>
      </c>
      <c r="R20" s="14" t="n"/>
      <c r="S20" s="16" t="n">
        <v>20</v>
      </c>
      <c r="T20" s="124">
        <f>IF(S20="","",COUNTIFS($C$18:$C$2015,S$13,$D$18:$D$2015,"&gt;="&amp;S20,$D$18:$D$2015,"&lt;"&amp;S21))</f>
        <v/>
      </c>
      <c r="U20" s="14" t="n"/>
      <c r="V20" s="16" t="n">
        <v>20</v>
      </c>
      <c r="W20" s="124">
        <f>IF(V20="","",COUNTIFS($C$18:$C$2015,V$13,$D$18:$D$2015,"&gt;="&amp;V20,$D$18:$D$2015,"&lt;"&amp;V21))</f>
        <v/>
      </c>
      <c r="X20" s="14" t="n"/>
      <c r="Y20" s="16" t="n">
        <v>20</v>
      </c>
      <c r="Z20" s="124">
        <f>IF(Y20="","",COUNTIFS($C$18:$C$2015,Y$13,$D$18:$D$2015,"&gt;="&amp;Y20,$D$18:$D$2015,"&lt;"&amp;Y21))</f>
        <v/>
      </c>
      <c r="AA20" s="14" t="n"/>
      <c r="AB20" s="16" t="n">
        <v>15</v>
      </c>
      <c r="AC20" s="124">
        <f>IF(AB20="","",COUNTIFS($C$18:$C$2015,AB$13,$D$18:$D$2015,"&gt;="&amp;AB20,$D$18:$D$2015,"&lt;"&amp;AB21))</f>
        <v/>
      </c>
      <c r="AD20" s="14" t="n"/>
    </row>
    <row r="21">
      <c r="A21" s="58" t="n"/>
      <c r="B21" s="59" t="n"/>
      <c r="C21" s="59" t="n"/>
      <c r="E21" s="16" t="n"/>
      <c r="F21" s="13" t="n"/>
      <c r="G21" s="16" t="n">
        <v>16</v>
      </c>
      <c r="H21" s="124">
        <f>IF(G21="","",COUNTIFS($C$18:$C$2015,G$13,$D$18:$D$2015,"&gt;="&amp;G21,$D$18:$D$2015,"&lt;"&amp;G22))</f>
        <v/>
      </c>
      <c r="I21" s="14" t="n"/>
      <c r="J21" s="16" t="n">
        <v>40</v>
      </c>
      <c r="K21" s="124">
        <f>IF(J21="","",COUNTIFS($C$18:$C$2015,J$13,$D$18:$D$2015,"&gt;="&amp;J21,$D$18:$D$2015,"&lt;"&amp;J22))</f>
        <v/>
      </c>
      <c r="L21" s="14" t="n"/>
      <c r="M21" s="16" t="n">
        <v>22</v>
      </c>
      <c r="N21" s="124">
        <f>IF(M21="","",COUNTIFS($C$18:$C$2015,M$13,$D$18:$D$2015,"&gt;="&amp;M21,$D$18:$D$2015,"&lt;"&amp;M22))</f>
        <v/>
      </c>
      <c r="O21" s="14" t="n"/>
      <c r="P21" s="16" t="n">
        <v>16</v>
      </c>
      <c r="Q21" s="124">
        <f>IF(P21="","",COUNTIFS($C$18:$C$2015,P$13,$D$18:$D$2015,"&gt;="&amp;P21,$D$18:$D$2015,"&lt;"&amp;P22))</f>
        <v/>
      </c>
      <c r="R21" s="14" t="n"/>
      <c r="S21" s="16" t="n">
        <v>22</v>
      </c>
      <c r="T21" s="124">
        <f>IF(S21="","",COUNTIFS($C$18:$C$2015,S$13,$D$18:$D$2015,"&gt;="&amp;S21,$D$18:$D$2015,"&lt;"&amp;S22))</f>
        <v/>
      </c>
      <c r="U21" s="14" t="n"/>
      <c r="V21" s="16" t="n">
        <v>22</v>
      </c>
      <c r="W21" s="124">
        <f>IF(V21="","",COUNTIFS($C$18:$C$2015,V$13,$D$18:$D$2015,"&gt;="&amp;V21,$D$18:$D$2015,"&lt;"&amp;V22))</f>
        <v/>
      </c>
      <c r="X21" s="14" t="n"/>
      <c r="Y21" s="16" t="n">
        <v>22</v>
      </c>
      <c r="Z21" s="124">
        <f>IF(Y21="","",COUNTIFS($C$18:$C$2015,Y$13,$D$18:$D$2015,"&gt;="&amp;Y21,$D$18:$D$2015,"&lt;"&amp;Y22))</f>
        <v/>
      </c>
      <c r="AA21" s="14" t="n"/>
      <c r="AB21" s="16" t="n">
        <v>16</v>
      </c>
      <c r="AC21" s="124">
        <f>IF(AB21="","",COUNTIFS($C$18:$C$2015,AB$13,$D$18:$D$2015,"&gt;="&amp;AB21,$D$18:$D$2015,"&lt;"&amp;AB22))</f>
        <v/>
      </c>
      <c r="AD21" s="14" t="n"/>
    </row>
    <row r="22">
      <c r="A22" s="56" t="n"/>
      <c r="B22" s="57" t="n"/>
      <c r="C22" s="59" t="n"/>
      <c r="E22" s="16" t="n"/>
      <c r="F22" s="13" t="n"/>
      <c r="G22" s="16" t="n">
        <v>17</v>
      </c>
      <c r="H22" s="124">
        <f>IF(G22="","",COUNTIFS($C$18:$C$2015,G$13,$D$18:$D$2015,"&gt;="&amp;G22,$D$18:$D$2015,"&lt;"&amp;G23))</f>
        <v/>
      </c>
      <c r="I22" s="14" t="n"/>
      <c r="J22" s="16" t="n">
        <v>45</v>
      </c>
      <c r="K22" s="124">
        <f>IF(J22="","",COUNTIFS($C$18:$C$2015,J$13,$D$18:$D$2015,"&gt;="&amp;J22,$D$18:$D$2015,"&lt;"&amp;J23))</f>
        <v/>
      </c>
      <c r="L22" s="14" t="n"/>
      <c r="M22" s="16" t="n">
        <v>24</v>
      </c>
      <c r="N22" s="124">
        <f>IF(M22="","",COUNTIFS($C$18:$C$2015,M$13,$D$18:$D$2015,"&gt;="&amp;M22,$D$18:$D$2015,"&lt;"&amp;M23))</f>
        <v/>
      </c>
      <c r="O22" s="14" t="n"/>
      <c r="P22" s="16" t="n">
        <v>17</v>
      </c>
      <c r="Q22" s="124">
        <f>IF(P22="","",COUNTIFS($C$18:$C$2015,P$13,$D$18:$D$2015,"&gt;="&amp;P22,$D$18:$D$2015,"&lt;"&amp;P23))</f>
        <v/>
      </c>
      <c r="R22" s="14" t="n"/>
      <c r="S22" s="16" t="n">
        <v>24</v>
      </c>
      <c r="T22" s="124">
        <f>IF(S22="","",COUNTIFS($C$18:$C$2015,S$13,$D$18:$D$2015,"&gt;="&amp;S22,$D$18:$D$2015,"&lt;"&amp;S23))</f>
        <v/>
      </c>
      <c r="U22" s="14" t="n"/>
      <c r="V22" s="16" t="n">
        <v>24</v>
      </c>
      <c r="W22" s="124">
        <f>IF(V22="","",COUNTIFS($C$18:$C$2015,V$13,$D$18:$D$2015,"&gt;="&amp;V22,$D$18:$D$2015,"&lt;"&amp;V23))</f>
        <v/>
      </c>
      <c r="X22" s="14" t="n"/>
      <c r="Y22" s="16" t="n">
        <v>24</v>
      </c>
      <c r="Z22" s="124">
        <f>IF(Y22="","",COUNTIFS($C$18:$C$2015,Y$13,$D$18:$D$2015,"&gt;="&amp;Y22,$D$18:$D$2015,"&lt;"&amp;Y23))</f>
        <v/>
      </c>
      <c r="AA22" s="14" t="n"/>
      <c r="AB22" s="16" t="n">
        <v>17</v>
      </c>
      <c r="AC22" s="124">
        <f>IF(AB22="","",COUNTIFS($C$18:$C$2015,AB$13,$D$18:$D$2015,"&gt;="&amp;AB22,$D$18:$D$2015,"&lt;"&amp;AB23))</f>
        <v/>
      </c>
      <c r="AD22" s="14" t="n"/>
    </row>
    <row r="23">
      <c r="A23" s="58" t="n"/>
      <c r="B23" s="59" t="n"/>
      <c r="C23" s="59" t="n"/>
      <c r="E23" s="16" t="n"/>
      <c r="F23" s="13" t="n"/>
      <c r="G23" s="16" t="n">
        <v>18</v>
      </c>
      <c r="H23" s="124">
        <f>IF(G23="","",COUNTIFS($C$18:$C$2015,G$13,$D$18:$D$2015,"&gt;="&amp;G23,$D$18:$D$2015,"&lt;"&amp;G24))</f>
        <v/>
      </c>
      <c r="I23" s="14" t="n"/>
      <c r="J23" s="16" t="n">
        <v>50</v>
      </c>
      <c r="K23" s="124">
        <f>IF(J23="","",COUNTIFS($C$18:$C$2015,J$13,$D$18:$D$2015,"&gt;="&amp;J23,$D$18:$D$2015,"&lt;"&amp;J24))</f>
        <v/>
      </c>
      <c r="L23" s="14" t="n"/>
      <c r="M23" s="16" t="n">
        <v>26</v>
      </c>
      <c r="N23" s="124">
        <f>IF(M23="","",COUNTIFS($C$18:$C$2015,M$13,$D$18:$D$2015,"&gt;="&amp;M23,$D$18:$D$2015,"&lt;"&amp;M24))</f>
        <v/>
      </c>
      <c r="O23" s="14" t="n"/>
      <c r="P23" s="16" t="n">
        <v>18</v>
      </c>
      <c r="Q23" s="124">
        <f>IF(P23="","",COUNTIFS($C$18:$C$2015,P$13,$D$18:$D$2015,"&gt;="&amp;P23,$D$18:$D$2015,"&lt;"&amp;P24))</f>
        <v/>
      </c>
      <c r="R23" s="14" t="n"/>
      <c r="S23" s="16" t="n">
        <v>26</v>
      </c>
      <c r="T23" s="124">
        <f>IF(S23="","",COUNTIFS($C$18:$C$2015,S$13,$D$18:$D$2015,"&gt;="&amp;S23,$D$18:$D$2015,"&lt;"&amp;S24))</f>
        <v/>
      </c>
      <c r="U23" s="14" t="n"/>
      <c r="V23" s="16" t="n">
        <v>26</v>
      </c>
      <c r="W23" s="124">
        <f>IF(V23="","",COUNTIFS($C$18:$C$2015,V$13,$D$18:$D$2015,"&gt;="&amp;V23,$D$18:$D$2015,"&lt;"&amp;V24))</f>
        <v/>
      </c>
      <c r="X23" s="14" t="n"/>
      <c r="Y23" s="16" t="n">
        <v>26</v>
      </c>
      <c r="Z23" s="124">
        <f>IF(Y23="","",COUNTIFS($C$18:$C$2015,Y$13,$D$18:$D$2015,"&gt;="&amp;Y23,$D$18:$D$2015,"&lt;"&amp;Y24))</f>
        <v/>
      </c>
      <c r="AA23" s="14" t="n"/>
      <c r="AB23" s="16" t="n">
        <v>18</v>
      </c>
      <c r="AC23" s="124">
        <f>IF(AB23="","",COUNTIFS($C$18:$C$2015,AB$13,$D$18:$D$2015,"&gt;="&amp;AB23,$D$18:$D$2015,"&lt;"&amp;AB24))</f>
        <v/>
      </c>
      <c r="AD23" s="14" t="n"/>
    </row>
    <row r="24">
      <c r="A24" s="56" t="n"/>
      <c r="B24" s="57" t="n"/>
      <c r="C24" s="59" t="n"/>
      <c r="E24" s="16" t="n"/>
      <c r="F24" s="13" t="n"/>
      <c r="G24" s="16" t="n">
        <v>19</v>
      </c>
      <c r="H24" s="124">
        <f>IF(G24="","",COUNTIFS($C$18:$C$2015,G$13,$D$18:$D$2015,"&gt;="&amp;G24,$D$18:$D$2015,"&lt;"&amp;G25))</f>
        <v/>
      </c>
      <c r="I24" s="14" t="n"/>
      <c r="J24" s="16" t="n">
        <v>55</v>
      </c>
      <c r="K24" s="124">
        <f>IF(J24="","",COUNTIFS($C$18:$C$2015,J$13,$D$18:$D$2015,"&gt;="&amp;J24,$D$18:$D$2015,"&lt;"&amp;J25))</f>
        <v/>
      </c>
      <c r="L24" s="14" t="n"/>
      <c r="M24" s="16" t="n">
        <v>28</v>
      </c>
      <c r="N24" s="124">
        <f>IF(M24="","",COUNTIFS($C$18:$C$2015,M$13,$D$18:$D$2015,"&gt;="&amp;M24,$D$18:$D$2015,"&lt;"&amp;M25))</f>
        <v/>
      </c>
      <c r="O24" s="14" t="n"/>
      <c r="P24" s="16" t="n">
        <v>19</v>
      </c>
      <c r="Q24" s="124">
        <f>IF(P24="","",COUNTIFS($C$18:$C$2015,P$13,$D$18:$D$2015,"&gt;="&amp;P24,$D$18:$D$2015,"&lt;"&amp;P25))</f>
        <v/>
      </c>
      <c r="R24" s="14" t="n"/>
      <c r="S24" s="16" t="n">
        <v>28</v>
      </c>
      <c r="T24" s="124">
        <f>IF(S24="","",COUNTIFS($C$18:$C$2015,S$13,$D$18:$D$2015,"&gt;="&amp;S24,$D$18:$D$2015,"&lt;"&amp;S25))</f>
        <v/>
      </c>
      <c r="U24" s="14" t="n"/>
      <c r="V24" s="16" t="n">
        <v>28</v>
      </c>
      <c r="W24" s="124">
        <f>IF(V24="","",COUNTIFS($C$18:$C$2015,V$13,$D$18:$D$2015,"&gt;="&amp;V24,$D$18:$D$2015,"&lt;"&amp;V25))</f>
        <v/>
      </c>
      <c r="X24" s="14" t="n"/>
      <c r="Y24" s="16" t="n">
        <v>28</v>
      </c>
      <c r="Z24" s="124">
        <f>IF(Y24="","",COUNTIFS($C$18:$C$2015,Y$13,$D$18:$D$2015,"&gt;="&amp;Y24,$D$18:$D$2015,"&lt;"&amp;Y25))</f>
        <v/>
      </c>
      <c r="AA24" s="14" t="n"/>
      <c r="AB24" s="16" t="n">
        <v>19</v>
      </c>
      <c r="AC24" s="124">
        <f>IF(AB24="","",COUNTIFS($C$18:$C$2015,AB$13,$D$18:$D$2015,"&gt;="&amp;AB24,$D$18:$D$2015,"&lt;"&amp;AB25))</f>
        <v/>
      </c>
      <c r="AD24" s="14" t="n"/>
    </row>
    <row r="25">
      <c r="A25" s="58" t="n"/>
      <c r="B25" s="59" t="n"/>
      <c r="C25" s="59" t="n"/>
      <c r="E25" s="16" t="n"/>
      <c r="F25" s="13" t="n"/>
      <c r="G25" s="16" t="n">
        <v>20</v>
      </c>
      <c r="H25" s="124">
        <f>IF(G25="","",COUNTIFS($C$18:$C$2015,G$13,$D$18:$D$2015,"&gt;="&amp;G25,$D$18:$D$2015,"&lt;"&amp;G26))</f>
        <v/>
      </c>
      <c r="I25" s="14" t="n"/>
      <c r="J25" s="16" t="n">
        <v>60</v>
      </c>
      <c r="K25" s="124">
        <f>IF(J25="","",COUNTIFS($C$18:$C$2015,J$13,$D$18:$D$2015,"&gt;="&amp;J25,$D$18:$D$2015,"&lt;"&amp;J26))</f>
        <v/>
      </c>
      <c r="L25" s="14" t="n"/>
      <c r="M25" s="16" t="n">
        <v>30</v>
      </c>
      <c r="N25" s="124">
        <f>IF(M25="","",COUNTIFS($C$18:$C$2015,M$13,$D$18:$D$2015,"&gt;="&amp;M25,$D$18:$D$2015,"&lt;"&amp;M26))</f>
        <v/>
      </c>
      <c r="O25" s="14" t="n"/>
      <c r="P25" s="16" t="n">
        <v>20</v>
      </c>
      <c r="Q25" s="124">
        <f>IF(P25="","",COUNTIFS($C$18:$C$2015,P$13,$D$18:$D$2015,"&gt;="&amp;P25,$D$18:$D$2015,"&lt;"&amp;P26))</f>
        <v/>
      </c>
      <c r="R25" s="14" t="n"/>
      <c r="S25" s="16" t="n">
        <v>30</v>
      </c>
      <c r="T25" s="124">
        <f>IF(S25="","",COUNTIFS($C$18:$C$2015,S$13,$D$18:$D$2015,"&gt;="&amp;S25,$D$18:$D$2015,"&lt;"&amp;S26))</f>
        <v/>
      </c>
      <c r="U25" s="14" t="n"/>
      <c r="V25" s="16" t="n">
        <v>30</v>
      </c>
      <c r="W25" s="124">
        <f>IF(V25="","",COUNTIFS($C$18:$C$2015,V$13,$D$18:$D$2015,"&gt;="&amp;V25,$D$18:$D$2015,"&lt;"&amp;V26))</f>
        <v/>
      </c>
      <c r="X25" s="14" t="n"/>
      <c r="Y25" s="16" t="n">
        <v>30</v>
      </c>
      <c r="Z25" s="124">
        <f>IF(Y25="","",COUNTIFS($C$18:$C$2015,Y$13,$D$18:$D$2015,"&gt;="&amp;Y25,$D$18:$D$2015,"&lt;"&amp;Y26))</f>
        <v/>
      </c>
      <c r="AA25" s="14" t="n"/>
      <c r="AB25" s="16" t="n">
        <v>20</v>
      </c>
      <c r="AC25" s="124">
        <f>IF(AB25="","",COUNTIFS($C$18:$C$2015,AB$13,$D$18:$D$2015,"&gt;="&amp;AB25,$D$18:$D$2015,"&lt;"&amp;AB26))</f>
        <v/>
      </c>
      <c r="AD25" s="14" t="n"/>
    </row>
    <row r="26">
      <c r="A26" s="56" t="n"/>
      <c r="B26" s="57" t="n"/>
      <c r="C26" s="59" t="n"/>
      <c r="E26" s="16" t="n"/>
      <c r="F26" s="13" t="n"/>
      <c r="G26" s="16" t="n">
        <v>21</v>
      </c>
      <c r="H26" s="124">
        <f>IF(G26="","",COUNTIFS($C$18:$C$2015,G$13,$D$18:$D$2015,"&gt;="&amp;G26,$D$18:$D$2015,"&lt;"&amp;G27))</f>
        <v/>
      </c>
      <c r="I26" s="14" t="n"/>
      <c r="J26" s="16" t="n">
        <v>65</v>
      </c>
      <c r="K26" s="124">
        <f>IF(J26="","",COUNTIFS($C$18:$C$2015,J$13,$D$18:$D$2015,"&gt;="&amp;J26,$D$18:$D$2015,"&lt;"&amp;J27))</f>
        <v/>
      </c>
      <c r="L26" s="14" t="n"/>
      <c r="M26" s="16" t="n">
        <v>32</v>
      </c>
      <c r="N26" s="124">
        <f>IF(M26="","",COUNTIFS($C$18:$C$2015,M$13,$D$18:$D$2015,"&gt;="&amp;M26,$D$18:$D$2015,"&lt;"&amp;M27))</f>
        <v/>
      </c>
      <c r="O26" s="14" t="n"/>
      <c r="P26" s="16" t="n">
        <v>21</v>
      </c>
      <c r="Q26" s="124">
        <f>IF(P26="","",COUNTIFS($C$18:$C$2015,P$13,$D$18:$D$2015,"&gt;="&amp;P26,$D$18:$D$2015,"&lt;"&amp;P27))</f>
        <v/>
      </c>
      <c r="R26" s="14" t="n"/>
      <c r="S26" s="16" t="n">
        <v>32</v>
      </c>
      <c r="T26" s="124">
        <f>IF(S26="","",COUNTIFS($C$18:$C$2015,S$13,$D$18:$D$2015,"&gt;="&amp;S26,$D$18:$D$2015,"&lt;"&amp;S27))</f>
        <v/>
      </c>
      <c r="U26" s="14" t="n"/>
      <c r="V26" s="16" t="n">
        <v>32</v>
      </c>
      <c r="W26" s="124">
        <f>IF(V26="","",COUNTIFS($C$18:$C$2015,V$13,$D$18:$D$2015,"&gt;="&amp;V26,$D$18:$D$2015,"&lt;"&amp;V27))</f>
        <v/>
      </c>
      <c r="X26" s="14" t="n"/>
      <c r="Y26" s="16" t="n">
        <v>32</v>
      </c>
      <c r="Z26" s="124">
        <f>IF(Y26="","",COUNTIFS($C$18:$C$2015,Y$13,$D$18:$D$2015,"&gt;="&amp;Y26,$D$18:$D$2015,"&lt;"&amp;Y27))</f>
        <v/>
      </c>
      <c r="AA26" s="14" t="n"/>
      <c r="AB26" s="16" t="n">
        <v>21</v>
      </c>
      <c r="AC26" s="124">
        <f>IF(AB26="","",COUNTIFS($C$18:$C$2015,AB$13,$D$18:$D$2015,"&gt;="&amp;AB26,$D$18:$D$2015,"&lt;"&amp;AB27))</f>
        <v/>
      </c>
      <c r="AD26" s="14" t="n"/>
    </row>
    <row r="27">
      <c r="A27" s="58" t="n"/>
      <c r="B27" s="59" t="n"/>
      <c r="C27" s="59" t="n"/>
      <c r="E27" s="16" t="n"/>
      <c r="F27" s="13" t="n"/>
      <c r="G27" s="16" t="n">
        <v>22</v>
      </c>
      <c r="H27" s="124">
        <f>IF(G27="","",COUNTIFS($C$18:$C$2015,G$13,$D$18:$D$2015,"&gt;="&amp;G27,$D$18:$D$2015,"&lt;"&amp;G28))</f>
        <v/>
      </c>
      <c r="I27" s="14" t="n"/>
      <c r="J27" s="16" t="n">
        <v>70</v>
      </c>
      <c r="K27" s="124">
        <f>IF(J27="","",COUNTIFS($C$18:$C$2015,J$13,$D$18:$D$2015,"&gt;="&amp;J27,$D$18:$D$2015,"&lt;"&amp;J28))</f>
        <v/>
      </c>
      <c r="L27" s="14" t="n"/>
      <c r="M27" s="16" t="n">
        <v>34</v>
      </c>
      <c r="N27" s="124">
        <f>IF(M27="","",COUNTIFS($C$18:$C$2015,M$13,$D$18:$D$2015,"&gt;="&amp;M27,$D$18:$D$2015,"&lt;"&amp;M28))</f>
        <v/>
      </c>
      <c r="O27" s="14" t="n"/>
      <c r="P27" s="16" t="n">
        <v>22</v>
      </c>
      <c r="Q27" s="124">
        <f>IF(P27="","",COUNTIFS($C$18:$C$2015,P$13,$D$18:$D$2015,"&gt;="&amp;P27,$D$18:$D$2015,"&lt;"&amp;P28))</f>
        <v/>
      </c>
      <c r="R27" s="14" t="n"/>
      <c r="S27" s="16" t="n">
        <v>34</v>
      </c>
      <c r="T27" s="124">
        <f>IF(S27="","",COUNTIFS($C$18:$C$2015,S$13,$D$18:$D$2015,"&gt;="&amp;S27,$D$18:$D$2015,"&lt;"&amp;S28))</f>
        <v/>
      </c>
      <c r="U27" s="14" t="n"/>
      <c r="V27" s="16" t="n">
        <v>34</v>
      </c>
      <c r="W27" s="124">
        <f>IF(V27="","",COUNTIFS($C$18:$C$2015,V$13,$D$18:$D$2015,"&gt;="&amp;V27,$D$18:$D$2015,"&lt;"&amp;V28))</f>
        <v/>
      </c>
      <c r="X27" s="14" t="n"/>
      <c r="Y27" s="16" t="n">
        <v>34</v>
      </c>
      <c r="Z27" s="124">
        <f>IF(Y27="","",COUNTIFS($C$18:$C$2015,Y$13,$D$18:$D$2015,"&gt;="&amp;Y27,$D$18:$D$2015,"&lt;"&amp;Y28))</f>
        <v/>
      </c>
      <c r="AA27" s="14" t="n"/>
      <c r="AB27" s="16" t="n">
        <v>22</v>
      </c>
      <c r="AC27" s="124">
        <f>IF(AB27="","",COUNTIFS($C$18:$C$2015,AB$13,$D$18:$D$2015,"&gt;="&amp;AB27,$D$18:$D$2015,"&lt;"&amp;AB28))</f>
        <v/>
      </c>
      <c r="AD27" s="14" t="n"/>
    </row>
    <row r="28">
      <c r="A28" s="56" t="n"/>
      <c r="B28" s="57" t="n"/>
      <c r="C28" s="59" t="n"/>
      <c r="E28" s="16" t="n"/>
      <c r="F28" s="13" t="n"/>
      <c r="G28" s="16" t="n">
        <v>23</v>
      </c>
      <c r="H28" s="124">
        <f>IF(G28="","",COUNTIFS($C$18:$C$2015,G$13,$D$18:$D$2015,"&gt;="&amp;G28,$D$18:$D$2015,"&lt;"&amp;G29))</f>
        <v/>
      </c>
      <c r="I28" s="14" t="n"/>
      <c r="J28" s="16" t="n">
        <v>75</v>
      </c>
      <c r="K28" s="124">
        <f>IF(J28="","",COUNTIFS($C$18:$C$2015,J$13,$D$18:$D$2015,"&gt;="&amp;J28,$D$18:$D$2015,"&lt;"&amp;J29))</f>
        <v/>
      </c>
      <c r="L28" s="14" t="n"/>
      <c r="M28" s="16" t="n">
        <v>36</v>
      </c>
      <c r="N28" s="124">
        <f>IF(M28="","",COUNTIFS($C$18:$C$2015,M$13,$D$18:$D$2015,"&gt;="&amp;M28,$D$18:$D$2015,"&lt;"&amp;M29))</f>
        <v/>
      </c>
      <c r="O28" s="14" t="n"/>
      <c r="P28" s="16" t="n">
        <v>23</v>
      </c>
      <c r="Q28" s="124">
        <f>IF(P28="","",COUNTIFS($C$18:$C$2015,P$13,$D$18:$D$2015,"&gt;="&amp;P28,$D$18:$D$2015,"&lt;"&amp;P29))</f>
        <v/>
      </c>
      <c r="R28" s="14" t="n"/>
      <c r="S28" s="16" t="n">
        <v>36</v>
      </c>
      <c r="T28" s="124">
        <f>IF(S28="","",COUNTIFS($C$18:$C$2015,S$13,$D$18:$D$2015,"&gt;="&amp;S28,$D$18:$D$2015,"&lt;"&amp;S29))</f>
        <v/>
      </c>
      <c r="U28" s="14" t="n"/>
      <c r="V28" s="16" t="n">
        <v>36</v>
      </c>
      <c r="W28" s="124">
        <f>IF(V28="","",COUNTIFS($C$18:$C$2015,V$13,$D$18:$D$2015,"&gt;="&amp;V28,$D$18:$D$2015,"&lt;"&amp;V29))</f>
        <v/>
      </c>
      <c r="X28" s="14" t="n"/>
      <c r="Y28" s="16" t="n">
        <v>36</v>
      </c>
      <c r="Z28" s="124">
        <f>IF(Y28="","",COUNTIFS($C$18:$C$2015,Y$13,$D$18:$D$2015,"&gt;="&amp;Y28,$D$18:$D$2015,"&lt;"&amp;Y29))</f>
        <v/>
      </c>
      <c r="AA28" s="14" t="n"/>
      <c r="AB28" s="16" t="n">
        <v>23</v>
      </c>
      <c r="AC28" s="124">
        <f>IF(AB28="","",COUNTIFS($C$18:$C$2015,AB$13,$D$18:$D$2015,"&gt;="&amp;AB28,$D$18:$D$2015,"&lt;"&amp;AB29))</f>
        <v/>
      </c>
      <c r="AD28" s="14" t="n"/>
    </row>
    <row r="29">
      <c r="A29" s="58" t="n"/>
      <c r="B29" s="59" t="n"/>
      <c r="C29" s="59" t="n"/>
      <c r="E29" s="16" t="n"/>
      <c r="F29" s="13" t="n"/>
      <c r="G29" s="16" t="n">
        <v>24</v>
      </c>
      <c r="H29" s="124">
        <f>IF(G29="","",COUNTIFS($C$18:$C$2015,G$13,$D$18:$D$2015,"&gt;="&amp;G29,$D$18:$D$2015,"&lt;"&amp;G30))</f>
        <v/>
      </c>
      <c r="I29" s="14" t="n"/>
      <c r="J29" s="16" t="n">
        <v>80</v>
      </c>
      <c r="K29" s="124">
        <f>IF(J29="","",COUNTIFS($C$18:$C$2015,J$13,$D$18:$D$2015,"&gt;="&amp;J29,$D$18:$D$2015,"&lt;"&amp;J30))</f>
        <v/>
      </c>
      <c r="L29" s="14" t="n"/>
      <c r="M29" s="16" t="n">
        <v>38</v>
      </c>
      <c r="N29" s="124">
        <f>IF(M29="","",COUNTIFS($C$18:$C$2015,M$13,$D$18:$D$2015,"&gt;="&amp;M29,$D$18:$D$2015,"&lt;"&amp;M30))</f>
        <v/>
      </c>
      <c r="O29" s="14" t="n"/>
      <c r="P29" s="16" t="n">
        <v>24</v>
      </c>
      <c r="Q29" s="124">
        <f>IF(P29="","",COUNTIFS($C$18:$C$2015,P$13,$D$18:$D$2015,"&gt;="&amp;P29,$D$18:$D$2015,"&lt;"&amp;P30))</f>
        <v/>
      </c>
      <c r="R29" s="14" t="n"/>
      <c r="S29" s="16" t="n">
        <v>38</v>
      </c>
      <c r="T29" s="124">
        <f>IF(S29="","",COUNTIFS($C$18:$C$2015,S$13,$D$18:$D$2015,"&gt;="&amp;S29,$D$18:$D$2015,"&lt;"&amp;S30))</f>
        <v/>
      </c>
      <c r="U29" s="14" t="n"/>
      <c r="V29" s="16" t="n">
        <v>38</v>
      </c>
      <c r="W29" s="124">
        <f>IF(V29="","",COUNTIFS($C$18:$C$2015,V$13,$D$18:$D$2015,"&gt;="&amp;V29,$D$18:$D$2015,"&lt;"&amp;V30))</f>
        <v/>
      </c>
      <c r="X29" s="14" t="n"/>
      <c r="Y29" s="16" t="n">
        <v>38</v>
      </c>
      <c r="Z29" s="124">
        <f>IF(Y29="","",COUNTIFS($C$18:$C$2015,Y$13,$D$18:$D$2015,"&gt;="&amp;Y29,$D$18:$D$2015,"&lt;"&amp;Y30))</f>
        <v/>
      </c>
      <c r="AA29" s="14" t="n"/>
      <c r="AB29" s="16" t="n">
        <v>24</v>
      </c>
      <c r="AC29" s="124">
        <f>IF(AB29="","",COUNTIFS($C$18:$C$2015,AB$13,$D$18:$D$2015,"&gt;="&amp;AB29,$D$18:$D$2015,"&lt;"&amp;AB30))</f>
        <v/>
      </c>
      <c r="AD29" s="14" t="n"/>
    </row>
    <row r="30">
      <c r="A30" s="56" t="n"/>
      <c r="B30" s="57" t="n"/>
      <c r="C30" s="59" t="n"/>
      <c r="E30" s="16" t="n"/>
      <c r="F30" s="13" t="n"/>
      <c r="G30" s="16" t="n">
        <v>25</v>
      </c>
      <c r="H30" s="124">
        <f>IF(G30="","",COUNTIFS($C$18:$C$2015,G$13,$D$18:$D$2015,"&gt;="&amp;G30,$D$18:$D$2015,"&lt;"&amp;G31))</f>
        <v/>
      </c>
      <c r="I30" s="14" t="n"/>
      <c r="J30" s="16" t="n">
        <v>85</v>
      </c>
      <c r="K30" s="124">
        <f>IF(J30="","",COUNTIFS($C$18:$C$2015,J$13,$D$18:$D$2015,"&gt;="&amp;J30,$D$18:$D$2015,"&lt;"&amp;J31))</f>
        <v/>
      </c>
      <c r="L30" s="14" t="n"/>
      <c r="M30" s="16" t="n">
        <v>40</v>
      </c>
      <c r="N30" s="124">
        <f>IF(M30="","",COUNTIFS($C$18:$C$2015,M$13,$D$18:$D$2015,"&gt;="&amp;M30,$D$18:$D$2015,"&lt;"&amp;M31))</f>
        <v/>
      </c>
      <c r="O30" s="14" t="n"/>
      <c r="P30" s="16" t="n">
        <v>25</v>
      </c>
      <c r="Q30" s="124">
        <f>IF(P30="","",COUNTIFS($C$18:$C$2015,P$13,$D$18:$D$2015,"&gt;="&amp;P30,$D$18:$D$2015,"&lt;"&amp;P31))</f>
        <v/>
      </c>
      <c r="R30" s="14" t="n"/>
      <c r="S30" s="16" t="n">
        <v>40</v>
      </c>
      <c r="T30" s="124">
        <f>IF(S30="","",COUNTIFS($C$18:$C$2015,S$13,$D$18:$D$2015,"&gt;="&amp;S30,$D$18:$D$2015,"&lt;"&amp;S31))</f>
        <v/>
      </c>
      <c r="U30" s="14" t="n"/>
      <c r="V30" s="16" t="n">
        <v>40</v>
      </c>
      <c r="W30" s="124">
        <f>IF(V30="","",COUNTIFS($C$18:$C$2015,V$13,$D$18:$D$2015,"&gt;="&amp;V30,$D$18:$D$2015,"&lt;"&amp;V31))</f>
        <v/>
      </c>
      <c r="X30" s="14" t="n"/>
      <c r="Y30" s="16" t="n">
        <v>40</v>
      </c>
      <c r="Z30" s="124">
        <f>IF(Y30="","",COUNTIFS($C$18:$C$2015,Y$13,$D$18:$D$2015,"&gt;="&amp;Y30,$D$18:$D$2015,"&lt;"&amp;Y31))</f>
        <v/>
      </c>
      <c r="AA30" s="14" t="n"/>
      <c r="AB30" s="16" t="n">
        <v>25</v>
      </c>
      <c r="AC30" s="124">
        <f>IF(AB30="","",COUNTIFS($C$18:$C$2015,AB$13,$D$18:$D$2015,"&gt;="&amp;AB30,$D$18:$D$2015,"&lt;"&amp;AB31))</f>
        <v/>
      </c>
      <c r="AD30" s="14" t="n"/>
    </row>
    <row r="31">
      <c r="A31" s="58" t="n"/>
      <c r="B31" s="59" t="n"/>
      <c r="C31" s="59" t="n"/>
      <c r="E31" s="16" t="n"/>
      <c r="F31" s="13" t="n"/>
      <c r="G31" s="16" t="n">
        <v>26</v>
      </c>
      <c r="H31" s="124">
        <f>IF(G31="","",COUNTIFS($C$18:$C$2015,G$13,$D$18:$D$2015,"&gt;="&amp;G31,$D$18:$D$2015,"&lt;"&amp;G32))</f>
        <v/>
      </c>
      <c r="I31" s="14" t="n"/>
      <c r="J31" s="16" t="n">
        <v>90</v>
      </c>
      <c r="K31" s="124">
        <f>IF(J31="","",COUNTIFS($C$18:$C$2015,J$13,$D$18:$D$2015,"&gt;="&amp;J31,$D$18:$D$2015,"&lt;"&amp;J32))</f>
        <v/>
      </c>
      <c r="L31" s="14" t="n"/>
      <c r="M31" s="16" t="n">
        <v>42</v>
      </c>
      <c r="N31" s="124">
        <f>IF(M31="","",COUNTIFS($C$18:$C$2015,M$13,$D$18:$D$2015,"&gt;="&amp;M31,$D$18:$D$2015,"&lt;"&amp;M32))</f>
        <v/>
      </c>
      <c r="O31" s="14" t="n"/>
      <c r="P31" s="16" t="n">
        <v>26</v>
      </c>
      <c r="Q31" s="124">
        <f>IF(P31="","",COUNTIFS($C$18:$C$2015,P$13,$D$18:$D$2015,"&gt;="&amp;P31,$D$18:$D$2015,"&lt;"&amp;P32))</f>
        <v/>
      </c>
      <c r="R31" s="14" t="n"/>
      <c r="S31" s="16" t="n">
        <v>42</v>
      </c>
      <c r="T31" s="124">
        <f>IF(S31="","",COUNTIFS($C$18:$C$2015,S$13,$D$18:$D$2015,"&gt;="&amp;S31,$D$18:$D$2015,"&lt;"&amp;S32))</f>
        <v/>
      </c>
      <c r="U31" s="14" t="n"/>
      <c r="V31" s="16" t="n">
        <v>42</v>
      </c>
      <c r="W31" s="124">
        <f>IF(V31="","",COUNTIFS($C$18:$C$2015,V$13,$D$18:$D$2015,"&gt;="&amp;V31,$D$18:$D$2015,"&lt;"&amp;V32))</f>
        <v/>
      </c>
      <c r="X31" s="14" t="n"/>
      <c r="Y31" s="16" t="n">
        <v>42</v>
      </c>
      <c r="Z31" s="124">
        <f>IF(Y31="","",COUNTIFS($C$18:$C$2015,Y$13,$D$18:$D$2015,"&gt;="&amp;Y31,$D$18:$D$2015,"&lt;"&amp;Y32))</f>
        <v/>
      </c>
      <c r="AA31" s="14" t="n"/>
      <c r="AB31" s="16" t="n">
        <v>26</v>
      </c>
      <c r="AC31" s="124">
        <f>IF(AB31="","",COUNTIFS($C$18:$C$2015,AB$13,$D$18:$D$2015,"&gt;="&amp;AB31,$D$18:$D$2015,"&lt;"&amp;AB32))</f>
        <v/>
      </c>
      <c r="AD31" s="14" t="n"/>
    </row>
    <row r="32">
      <c r="A32" s="56" t="n"/>
      <c r="B32" s="57" t="n"/>
      <c r="C32" s="59" t="n"/>
      <c r="E32" s="16" t="n"/>
      <c r="F32" s="13" t="n"/>
      <c r="G32" s="16" t="n">
        <v>27</v>
      </c>
      <c r="H32" s="124">
        <f>IF(G32="","",COUNTIFS($C$18:$C$2015,G$13,$D$18:$D$2015,"&gt;="&amp;G32,$D$18:$D$2015,"&lt;"&amp;G33))</f>
        <v/>
      </c>
      <c r="I32" s="14" t="n"/>
      <c r="J32" s="16" t="n">
        <v>95</v>
      </c>
      <c r="K32" s="124">
        <f>IF(J32="","",COUNTIFS($C$18:$C$2015,J$13,$D$18:$D$2015,"&gt;="&amp;J32,$D$18:$D$2015,"&lt;"&amp;J33))</f>
        <v/>
      </c>
      <c r="L32" s="14" t="n"/>
      <c r="M32" s="16" t="n">
        <v>44</v>
      </c>
      <c r="N32" s="124">
        <f>IF(M32="","",COUNTIFS($C$18:$C$2015,M$13,$D$18:$D$2015,"&gt;="&amp;M32,$D$18:$D$2015,"&lt;"&amp;M33))</f>
        <v/>
      </c>
      <c r="O32" s="14" t="n"/>
      <c r="P32" s="16" t="n">
        <v>27</v>
      </c>
      <c r="Q32" s="124">
        <f>IF(P32="","",COUNTIFS($C$18:$C$2015,P$13,$D$18:$D$2015,"&gt;="&amp;P32,$D$18:$D$2015,"&lt;"&amp;P33))</f>
        <v/>
      </c>
      <c r="R32" s="14" t="n"/>
      <c r="S32" s="16" t="n">
        <v>44</v>
      </c>
      <c r="T32" s="124">
        <f>IF(S32="","",COUNTIFS($C$18:$C$2015,S$13,$D$18:$D$2015,"&gt;="&amp;S32,$D$18:$D$2015,"&lt;"&amp;S33))</f>
        <v/>
      </c>
      <c r="U32" s="14" t="n"/>
      <c r="V32" s="16" t="n">
        <v>44</v>
      </c>
      <c r="W32" s="124">
        <f>IF(V32="","",COUNTIFS($C$18:$C$2015,V$13,$D$18:$D$2015,"&gt;="&amp;V32,$D$18:$D$2015,"&lt;"&amp;V33))</f>
        <v/>
      </c>
      <c r="X32" s="14" t="n"/>
      <c r="Y32" s="16" t="n">
        <v>44</v>
      </c>
      <c r="Z32" s="124">
        <f>IF(Y32="","",COUNTIFS($C$18:$C$2015,Y$13,$D$18:$D$2015,"&gt;="&amp;Y32,$D$18:$D$2015,"&lt;"&amp;Y33))</f>
        <v/>
      </c>
      <c r="AA32" s="14" t="n"/>
      <c r="AB32" s="16" t="n">
        <v>27</v>
      </c>
      <c r="AC32" s="124">
        <f>IF(AB32="","",COUNTIFS($C$18:$C$2015,AB$13,$D$18:$D$2015,"&gt;="&amp;AB32,$D$18:$D$2015,"&lt;"&amp;AB33))</f>
        <v/>
      </c>
      <c r="AD32" s="14" t="n"/>
    </row>
    <row r="33">
      <c r="A33" s="58" t="n"/>
      <c r="B33" s="59" t="n"/>
      <c r="C33" s="59" t="n"/>
      <c r="E33" s="16" t="n"/>
      <c r="F33" s="13" t="n"/>
      <c r="G33" s="16" t="n">
        <v>28</v>
      </c>
      <c r="H33" s="124">
        <f>IF(G33="","",COUNTIFS($C$18:$C$2015,G$13,$D$18:$D$2015,"&gt;="&amp;G33,$D$18:$D$2015,"&lt;"&amp;G34))</f>
        <v/>
      </c>
      <c r="I33" s="14" t="n"/>
      <c r="J33" s="16" t="n">
        <v>100</v>
      </c>
      <c r="K33" s="124">
        <f>IF(J33="","",COUNTIFS($C$18:$C$2015,J$13,$D$18:$D$2015,"&gt;="&amp;J33,$D$18:$D$2015,"&lt;"&amp;J34))</f>
        <v/>
      </c>
      <c r="L33" s="14" t="n"/>
      <c r="M33" s="16" t="n">
        <v>46</v>
      </c>
      <c r="N33" s="124">
        <f>IF(M33="","",COUNTIFS($C$18:$C$2015,M$13,$D$18:$D$2015,"&gt;="&amp;M33,$D$18:$D$2015,"&lt;"&amp;M34))</f>
        <v/>
      </c>
      <c r="O33" s="14" t="n"/>
      <c r="P33" s="16" t="n">
        <v>28</v>
      </c>
      <c r="Q33" s="124">
        <f>IF(P33="","",COUNTIFS($C$18:$C$2015,P$13,$D$18:$D$2015,"&gt;="&amp;P33,$D$18:$D$2015,"&lt;"&amp;P34))</f>
        <v/>
      </c>
      <c r="R33" s="14" t="n"/>
      <c r="S33" s="16" t="n">
        <v>46</v>
      </c>
      <c r="T33" s="124">
        <f>IF(S33="","",COUNTIFS($C$18:$C$2015,S$13,$D$18:$D$2015,"&gt;="&amp;S33,$D$18:$D$2015,"&lt;"&amp;S34))</f>
        <v/>
      </c>
      <c r="U33" s="14" t="n"/>
      <c r="V33" s="16" t="n">
        <v>46</v>
      </c>
      <c r="W33" s="124">
        <f>IF(V33="","",COUNTIFS($C$18:$C$2015,V$13,$D$18:$D$2015,"&gt;="&amp;V33,$D$18:$D$2015,"&lt;"&amp;V34))</f>
        <v/>
      </c>
      <c r="X33" s="14" t="n"/>
      <c r="Y33" s="16" t="n">
        <v>46</v>
      </c>
      <c r="Z33" s="124">
        <f>IF(Y33="","",COUNTIFS($C$18:$C$2015,Y$13,$D$18:$D$2015,"&gt;="&amp;Y33,$D$18:$D$2015,"&lt;"&amp;Y34))</f>
        <v/>
      </c>
      <c r="AA33" s="14" t="n"/>
      <c r="AB33" s="16" t="n">
        <v>28</v>
      </c>
      <c r="AC33" s="124">
        <f>IF(AB33="","",COUNTIFS($C$18:$C$2015,AB$13,$D$18:$D$2015,"&gt;="&amp;AB33,$D$18:$D$2015,"&lt;"&amp;AB34))</f>
        <v/>
      </c>
      <c r="AD33" s="14" t="n"/>
    </row>
    <row r="34">
      <c r="A34" s="56" t="n"/>
      <c r="B34" s="57" t="n"/>
      <c r="C34" s="59" t="n"/>
      <c r="E34" s="16" t="n"/>
      <c r="F34" s="13" t="n"/>
      <c r="G34" s="16" t="n">
        <v>29</v>
      </c>
      <c r="H34" s="124">
        <f>IF(G34="","",COUNTIFS($C$18:$C$2015,G$13,$D$18:$D$2015,"&gt;="&amp;G34,$D$18:$D$2015,"&lt;"&amp;G35))</f>
        <v/>
      </c>
      <c r="I34" s="14" t="n"/>
      <c r="J34" s="16" t="n">
        <v>105</v>
      </c>
      <c r="K34" s="124">
        <f>IF(J34="","",COUNTIFS($C$18:$C$2015,J$13,$D$18:$D$2015,"&gt;="&amp;J34,$D$18:$D$2015,"&lt;"&amp;J35))</f>
        <v/>
      </c>
      <c r="L34" s="14" t="n"/>
      <c r="M34" s="16" t="n">
        <v>48</v>
      </c>
      <c r="N34" s="124">
        <f>IF(M34="","",COUNTIFS($C$18:$C$2015,M$13,$D$18:$D$2015,"&gt;="&amp;M34,$D$18:$D$2015,"&lt;"&amp;M35))</f>
        <v/>
      </c>
      <c r="O34" s="14" t="n"/>
      <c r="P34" s="16" t="n">
        <v>29</v>
      </c>
      <c r="Q34" s="124">
        <f>IF(P34="","",COUNTIFS($C$18:$C$2015,P$13,$D$18:$D$2015,"&gt;="&amp;P34,$D$18:$D$2015,"&lt;"&amp;P35))</f>
        <v/>
      </c>
      <c r="R34" s="14" t="n"/>
      <c r="S34" s="16" t="n">
        <v>48</v>
      </c>
      <c r="T34" s="124">
        <f>IF(S34="","",COUNTIFS($C$18:$C$2015,S$13,$D$18:$D$2015,"&gt;="&amp;S34,$D$18:$D$2015,"&lt;"&amp;S35))</f>
        <v/>
      </c>
      <c r="U34" s="14" t="n"/>
      <c r="V34" s="16" t="n">
        <v>48</v>
      </c>
      <c r="W34" s="124">
        <f>IF(V34="","",COUNTIFS($C$18:$C$2015,V$13,$D$18:$D$2015,"&gt;="&amp;V34,$D$18:$D$2015,"&lt;"&amp;V35))</f>
        <v/>
      </c>
      <c r="X34" s="14" t="n"/>
      <c r="Y34" s="16" t="n">
        <v>48</v>
      </c>
      <c r="Z34" s="124">
        <f>IF(Y34="","",COUNTIFS($C$18:$C$2015,Y$13,$D$18:$D$2015,"&gt;="&amp;Y34,$D$18:$D$2015,"&lt;"&amp;Y35))</f>
        <v/>
      </c>
      <c r="AA34" s="14" t="n"/>
      <c r="AB34" s="16" t="n">
        <v>29</v>
      </c>
      <c r="AC34" s="124">
        <f>IF(AB34="","",COUNTIFS($C$18:$C$2015,AB$13,$D$18:$D$2015,"&gt;="&amp;AB34,$D$18:$D$2015,"&lt;"&amp;AB35))</f>
        <v/>
      </c>
      <c r="AD34" s="14" t="n"/>
    </row>
    <row r="35">
      <c r="A35" s="58" t="n"/>
      <c r="B35" s="59" t="n"/>
      <c r="C35" s="59" t="n"/>
      <c r="E35" s="16" t="n"/>
      <c r="F35" s="13" t="n"/>
      <c r="G35" s="16" t="n">
        <v>30</v>
      </c>
      <c r="H35" s="124">
        <f>IF(G35="","",COUNTIFS($C$18:$C$2015,G$13,$D$18:$D$2015,"&gt;="&amp;G35,$D$18:$D$2015,"&lt;"&amp;G36))</f>
        <v/>
      </c>
      <c r="I35" s="14" t="n"/>
      <c r="J35" s="16" t="n">
        <v>110</v>
      </c>
      <c r="K35" s="124">
        <f>IF(J35="","",COUNTIFS($C$18:$C$2015,J$13,$D$18:$D$2015,"&gt;="&amp;J35,$D$18:$D$2015,"&lt;"&amp;J36))</f>
        <v/>
      </c>
      <c r="L35" s="14" t="n"/>
      <c r="M35" s="16" t="n">
        <v>50</v>
      </c>
      <c r="N35" s="124">
        <f>IF(M35="","",COUNTIFS($C$18:$C$2015,M$13,$D$18:$D$2015,"&gt;="&amp;M35,$D$18:$D$2015,"&lt;"&amp;M36))</f>
        <v/>
      </c>
      <c r="O35" s="14" t="n"/>
      <c r="P35" s="16" t="n">
        <v>30</v>
      </c>
      <c r="Q35" s="124">
        <f>IF(P35="","",COUNTIFS($C$18:$C$2015,P$13,$D$18:$D$2015,"&gt;="&amp;P35,$D$18:$D$2015,"&lt;"&amp;P36))</f>
        <v/>
      </c>
      <c r="R35" s="14" t="n"/>
      <c r="S35" s="16" t="n">
        <v>50</v>
      </c>
      <c r="T35" s="124">
        <f>IF(S35="","",COUNTIFS($C$18:$C$2015,S$13,$D$18:$D$2015,"&gt;="&amp;S35,$D$18:$D$2015,"&lt;"&amp;S36))</f>
        <v/>
      </c>
      <c r="U35" s="14" t="n"/>
      <c r="V35" s="16" t="n">
        <v>50</v>
      </c>
      <c r="W35" s="124">
        <f>IF(V35="","",COUNTIFS($C$18:$C$2015,V$13,$D$18:$D$2015,"&gt;="&amp;V35,$D$18:$D$2015,"&lt;"&amp;V36))</f>
        <v/>
      </c>
      <c r="X35" s="14" t="n"/>
      <c r="Y35" s="16" t="n">
        <v>50</v>
      </c>
      <c r="Z35" s="124">
        <f>IF(Y35="","",COUNTIFS($C$18:$C$2015,Y$13,$D$18:$D$2015,"&gt;="&amp;Y35,$D$18:$D$2015,"&lt;"&amp;Y36))</f>
        <v/>
      </c>
      <c r="AA35" s="14" t="n"/>
      <c r="AB35" s="16" t="n">
        <v>30</v>
      </c>
      <c r="AC35" s="124">
        <f>IF(AB35="","",COUNTIFS($C$18:$C$2015,AB$13,$D$18:$D$2015,"&gt;="&amp;AB35,$D$18:$D$2015,"&lt;"&amp;AB36))</f>
        <v/>
      </c>
      <c r="AD35" s="14" t="n"/>
    </row>
    <row r="36">
      <c r="A36" s="56" t="n"/>
      <c r="B36" s="57" t="n"/>
      <c r="C36" s="59" t="n"/>
      <c r="E36" s="16" t="n"/>
      <c r="F36" s="13" t="n"/>
      <c r="G36" s="16" t="n">
        <v>31</v>
      </c>
      <c r="H36" s="124">
        <f>IF(G36="","",COUNTIFS($C$18:$C$2015,G$13,$D$18:$D$2015,"&gt;="&amp;G36,$D$18:$D$2015,"&lt;"&amp;G37))</f>
        <v/>
      </c>
      <c r="I36" s="14" t="n"/>
      <c r="J36" s="16" t="n">
        <v>115</v>
      </c>
      <c r="K36" s="124">
        <f>IF(J36="","",COUNTIFS($C$18:$C$2015,J$13,$D$18:$D$2015,"&gt;="&amp;J36,$D$18:$D$2015,"&lt;"&amp;J37))</f>
        <v/>
      </c>
      <c r="L36" s="14" t="n"/>
      <c r="M36" s="16" t="n">
        <v>52</v>
      </c>
      <c r="N36" s="124">
        <f>IF(M36="","",COUNTIFS($C$18:$C$2015,M$13,$D$18:$D$2015,"&gt;="&amp;M36,$D$18:$D$2015,"&lt;"&amp;M37))</f>
        <v/>
      </c>
      <c r="O36" s="14" t="n"/>
      <c r="P36" s="16" t="n">
        <v>31</v>
      </c>
      <c r="Q36" s="124">
        <f>IF(P36="","",COUNTIFS($C$18:$C$2015,P$13,$D$18:$D$2015,"&gt;="&amp;P36,$D$18:$D$2015,"&lt;"&amp;P37))</f>
        <v/>
      </c>
      <c r="R36" s="14" t="n"/>
      <c r="S36" s="16" t="n">
        <v>52</v>
      </c>
      <c r="T36" s="124">
        <f>IF(S36="","",COUNTIFS($C$18:$C$2015,S$13,$D$18:$D$2015,"&gt;="&amp;S36,$D$18:$D$2015,"&lt;"&amp;S37))</f>
        <v/>
      </c>
      <c r="U36" s="14" t="n"/>
      <c r="V36" s="16" t="n">
        <v>52</v>
      </c>
      <c r="W36" s="124">
        <f>IF(V36="","",COUNTIFS($C$18:$C$2015,V$13,$D$18:$D$2015,"&gt;="&amp;V36,$D$18:$D$2015,"&lt;"&amp;V37))</f>
        <v/>
      </c>
      <c r="X36" s="14" t="n"/>
      <c r="Y36" s="16" t="n">
        <v>52</v>
      </c>
      <c r="Z36" s="124">
        <f>IF(Y36="","",COUNTIFS($C$18:$C$2015,Y$13,$D$18:$D$2015,"&gt;="&amp;Y36,$D$18:$D$2015,"&lt;"&amp;Y37))</f>
        <v/>
      </c>
      <c r="AA36" s="14" t="n"/>
      <c r="AB36" s="16" t="n">
        <v>31</v>
      </c>
      <c r="AC36" s="124">
        <f>IF(AB36="","",COUNTIFS($C$18:$C$2015,AB$13,$D$18:$D$2015,"&gt;="&amp;AB36,$D$18:$D$2015,"&lt;"&amp;AB37))</f>
        <v/>
      </c>
      <c r="AD36" s="14" t="n"/>
    </row>
    <row r="37">
      <c r="A37" s="58" t="n"/>
      <c r="B37" s="59" t="n"/>
      <c r="C37" s="59" t="n"/>
      <c r="E37" s="16" t="n"/>
      <c r="F37" s="13" t="n"/>
      <c r="G37" s="16" t="n">
        <v>32</v>
      </c>
      <c r="H37" s="124">
        <f>IF(G37="","",COUNTIFS($C$18:$C$2015,G$13,$D$18:$D$2015,"&gt;="&amp;G37,$D$18:$D$2015,"&lt;"&amp;G38))</f>
        <v/>
      </c>
      <c r="I37" s="14" t="n"/>
      <c r="J37" s="16" t="n">
        <v>120</v>
      </c>
      <c r="K37" s="124">
        <f>IF(J37="","",COUNTIFS($C$18:$C$2015,J$13,$D$18:$D$2015,"&gt;="&amp;J37,$D$18:$D$2015,"&lt;"&amp;J38))</f>
        <v/>
      </c>
      <c r="L37" s="14" t="n"/>
      <c r="M37" s="16" t="n">
        <v>54</v>
      </c>
      <c r="N37" s="124">
        <f>IF(M37="","",COUNTIFS($C$18:$C$2015,M$13,$D$18:$D$2015,"&gt;="&amp;M37,$D$18:$D$2015,"&lt;"&amp;M38))</f>
        <v/>
      </c>
      <c r="O37" s="14" t="n"/>
      <c r="P37" s="16" t="n">
        <v>32</v>
      </c>
      <c r="Q37" s="124">
        <f>IF(P37="","",COUNTIFS($C$18:$C$2015,P$13,$D$18:$D$2015,"&gt;="&amp;P37,$D$18:$D$2015,"&lt;"&amp;P38))</f>
        <v/>
      </c>
      <c r="R37" s="14" t="n"/>
      <c r="S37" s="16" t="n">
        <v>54</v>
      </c>
      <c r="T37" s="124">
        <f>IF(S37="","",COUNTIFS($C$18:$C$2015,S$13,$D$18:$D$2015,"&gt;="&amp;S37,$D$18:$D$2015,"&lt;"&amp;S38))</f>
        <v/>
      </c>
      <c r="U37" s="14" t="n"/>
      <c r="V37" s="16" t="n">
        <v>54</v>
      </c>
      <c r="W37" s="124">
        <f>IF(V37="","",COUNTIFS($C$18:$C$2015,V$13,$D$18:$D$2015,"&gt;="&amp;V37,$D$18:$D$2015,"&lt;"&amp;V38))</f>
        <v/>
      </c>
      <c r="X37" s="14" t="n"/>
      <c r="Y37" s="16" t="n">
        <v>54</v>
      </c>
      <c r="Z37" s="124">
        <f>IF(Y37="","",COUNTIFS($C$18:$C$2015,Y$13,$D$18:$D$2015,"&gt;="&amp;Y37,$D$18:$D$2015,"&lt;"&amp;Y38))</f>
        <v/>
      </c>
      <c r="AA37" s="14" t="n"/>
      <c r="AB37" s="16" t="n">
        <v>32</v>
      </c>
      <c r="AC37" s="124">
        <f>IF(AB37="","",COUNTIFS($C$18:$C$2015,AB$13,$D$18:$D$2015,"&gt;="&amp;AB37,$D$18:$D$2015,"&lt;"&amp;AB38))</f>
        <v/>
      </c>
      <c r="AD37" s="14" t="n"/>
    </row>
    <row r="38">
      <c r="A38" s="56" t="n"/>
      <c r="B38" s="57" t="n"/>
      <c r="C38" s="59" t="n"/>
      <c r="E38" s="16" t="n"/>
      <c r="F38" s="13" t="n"/>
      <c r="G38" s="16" t="n">
        <v>33</v>
      </c>
      <c r="H38" s="124">
        <f>IF(G38="","",COUNTIFS($C$18:$C$2015,G$13,$D$18:$D$2015,"&gt;="&amp;G38,$D$18:$D$2015,"&lt;"&amp;G39))</f>
        <v/>
      </c>
      <c r="I38" s="14" t="n"/>
      <c r="J38" s="16" t="n">
        <v>125</v>
      </c>
      <c r="K38" s="124">
        <f>IF(J38="","",COUNTIFS($C$18:$C$2015,J$13,$D$18:$D$2015,"&gt;="&amp;J38,$D$18:$D$2015,"&lt;"&amp;J39))</f>
        <v/>
      </c>
      <c r="L38" s="14" t="n"/>
      <c r="M38" s="16" t="n">
        <v>56</v>
      </c>
      <c r="N38" s="124">
        <f>IF(M38="","",COUNTIFS($C$18:$C$2015,M$13,$D$18:$D$2015,"&gt;="&amp;M38,$D$18:$D$2015,"&lt;"&amp;M39))</f>
        <v/>
      </c>
      <c r="O38" s="14" t="n"/>
      <c r="P38" s="16" t="n">
        <v>33</v>
      </c>
      <c r="Q38" s="124">
        <f>IF(P38="","",COUNTIFS($C$18:$C$2015,P$13,$D$18:$D$2015,"&gt;="&amp;P38,$D$18:$D$2015,"&lt;"&amp;P39))</f>
        <v/>
      </c>
      <c r="R38" s="14" t="n"/>
      <c r="S38" s="16" t="n">
        <v>56</v>
      </c>
      <c r="T38" s="124">
        <f>IF(S38="","",COUNTIFS($C$18:$C$2015,S$13,$D$18:$D$2015,"&gt;="&amp;S38,$D$18:$D$2015,"&lt;"&amp;S39))</f>
        <v/>
      </c>
      <c r="U38" s="14" t="n"/>
      <c r="V38" s="16" t="n">
        <v>56</v>
      </c>
      <c r="W38" s="124">
        <f>IF(V38="","",COUNTIFS($C$18:$C$2015,V$13,$D$18:$D$2015,"&gt;="&amp;V38,$D$18:$D$2015,"&lt;"&amp;V39))</f>
        <v/>
      </c>
      <c r="X38" s="14" t="n"/>
      <c r="Y38" s="16" t="n">
        <v>56</v>
      </c>
      <c r="Z38" s="124">
        <f>IF(Y38="","",COUNTIFS($C$18:$C$2015,Y$13,$D$18:$D$2015,"&gt;="&amp;Y38,$D$18:$D$2015,"&lt;"&amp;Y39))</f>
        <v/>
      </c>
      <c r="AA38" s="14" t="n"/>
      <c r="AB38" s="16" t="n">
        <v>33</v>
      </c>
      <c r="AC38" s="124">
        <f>IF(AB38="","",COUNTIFS($C$18:$C$2015,AB$13,$D$18:$D$2015,"&gt;="&amp;AB38,$D$18:$D$2015,"&lt;"&amp;AB39))</f>
        <v/>
      </c>
      <c r="AD38" s="14" t="n"/>
    </row>
    <row r="39">
      <c r="A39" s="58" t="n"/>
      <c r="B39" s="59" t="n"/>
      <c r="C39" s="59" t="n"/>
      <c r="E39" s="16" t="n"/>
      <c r="F39" s="13" t="n"/>
      <c r="G39" s="16" t="n">
        <v>34</v>
      </c>
      <c r="H39" s="124">
        <f>IF(G39="","",COUNTIFS($C$18:$C$2015,G$13,$D$18:$D$2015,"&gt;="&amp;G39,$D$18:$D$2015,"&lt;"&amp;G40))</f>
        <v/>
      </c>
      <c r="I39" s="14" t="n"/>
      <c r="J39" s="16" t="n">
        <v>130</v>
      </c>
      <c r="K39" s="124">
        <f>IF(J39="","",COUNTIFS($C$18:$C$2015,J$13,$D$18:$D$2015,"&gt;="&amp;J39,$D$18:$D$2015,"&lt;"&amp;J40))</f>
        <v/>
      </c>
      <c r="L39" s="14" t="n"/>
      <c r="M39" s="16" t="n">
        <v>58</v>
      </c>
      <c r="N39" s="124">
        <f>IF(M39="","",COUNTIFS($C$18:$C$2015,M$13,$D$18:$D$2015,"&gt;="&amp;M39,$D$18:$D$2015,"&lt;"&amp;M40))</f>
        <v/>
      </c>
      <c r="O39" s="14" t="n"/>
      <c r="P39" s="16" t="n">
        <v>34</v>
      </c>
      <c r="Q39" s="124">
        <f>IF(P39="","",COUNTIFS($C$18:$C$2015,P$13,$D$18:$D$2015,"&gt;="&amp;P39,$D$18:$D$2015,"&lt;"&amp;P40))</f>
        <v/>
      </c>
      <c r="R39" s="14" t="n"/>
      <c r="S39" s="16" t="n">
        <v>58</v>
      </c>
      <c r="T39" s="124">
        <f>IF(S39="","",COUNTIFS($C$18:$C$2015,S$13,$D$18:$D$2015,"&gt;="&amp;S39,$D$18:$D$2015,"&lt;"&amp;S40))</f>
        <v/>
      </c>
      <c r="U39" s="14" t="n"/>
      <c r="V39" s="16" t="n">
        <v>58</v>
      </c>
      <c r="W39" s="124">
        <f>IF(V39="","",COUNTIFS($C$18:$C$2015,V$13,$D$18:$D$2015,"&gt;="&amp;V39,$D$18:$D$2015,"&lt;"&amp;V40))</f>
        <v/>
      </c>
      <c r="X39" s="14" t="n"/>
      <c r="Y39" s="16" t="n">
        <v>58</v>
      </c>
      <c r="Z39" s="124">
        <f>IF(Y39="","",COUNTIFS($C$18:$C$2015,Y$13,$D$18:$D$2015,"&gt;="&amp;Y39,$D$18:$D$2015,"&lt;"&amp;Y40))</f>
        <v/>
      </c>
      <c r="AA39" s="14" t="n"/>
      <c r="AB39" s="16" t="n">
        <v>34</v>
      </c>
      <c r="AC39" s="124">
        <f>IF(AB39="","",COUNTIFS($C$18:$C$2015,AB$13,$D$18:$D$2015,"&gt;="&amp;AB39,$D$18:$D$2015,"&lt;"&amp;AB40))</f>
        <v/>
      </c>
      <c r="AD39" s="14" t="n"/>
    </row>
    <row r="40">
      <c r="A40" s="56" t="n"/>
      <c r="B40" s="57" t="n"/>
      <c r="C40" s="59" t="n"/>
      <c r="E40" s="16" t="n"/>
      <c r="F40" s="13" t="n"/>
      <c r="G40" s="16" t="n">
        <v>35</v>
      </c>
      <c r="H40" s="124">
        <f>IF(G40="","",COUNTIFS($C$18:$C$2015,G$13,$D$18:$D$2015,"&gt;="&amp;G40,$D$18:$D$2015,"&lt;"&amp;G41))</f>
        <v/>
      </c>
      <c r="I40" s="14" t="n"/>
      <c r="J40" s="16" t="n">
        <v>135</v>
      </c>
      <c r="K40" s="124">
        <f>IF(J40="","",COUNTIFS($C$18:$C$2015,J$13,$D$18:$D$2015,"&gt;="&amp;J40,$D$18:$D$2015,"&lt;"&amp;J41))</f>
        <v/>
      </c>
      <c r="L40" s="14" t="n"/>
      <c r="M40" s="16" t="n">
        <v>60</v>
      </c>
      <c r="N40" s="124">
        <f>IF(M40="","",COUNTIFS($C$18:$C$2015,M$13,$D$18:$D$2015,"&gt;="&amp;M40,$D$18:$D$2015,"&lt;"&amp;M41))</f>
        <v/>
      </c>
      <c r="O40" s="14" t="n"/>
      <c r="P40" s="16" t="n">
        <v>35</v>
      </c>
      <c r="Q40" s="124">
        <f>IF(P40="","",COUNTIFS($C$18:$C$2015,P$13,$D$18:$D$2015,"&gt;="&amp;P40,$D$18:$D$2015,"&lt;"&amp;P41))</f>
        <v/>
      </c>
      <c r="R40" s="14" t="n"/>
      <c r="S40" s="16" t="n">
        <v>60</v>
      </c>
      <c r="T40" s="124">
        <f>IF(S40="","",COUNTIFS($C$18:$C$2015,S$13,$D$18:$D$2015,"&gt;="&amp;S40,$D$18:$D$2015,"&lt;"&amp;S41))</f>
        <v/>
      </c>
      <c r="U40" s="14" t="n"/>
      <c r="V40" s="16" t="n">
        <v>60</v>
      </c>
      <c r="W40" s="124">
        <f>IF(V40="","",COUNTIFS($C$18:$C$2015,V$13,$D$18:$D$2015,"&gt;="&amp;V40,$D$18:$D$2015,"&lt;"&amp;V41))</f>
        <v/>
      </c>
      <c r="X40" s="14" t="n"/>
      <c r="Y40" s="16" t="n">
        <v>60</v>
      </c>
      <c r="Z40" s="124">
        <f>IF(Y40="","",COUNTIFS($C$18:$C$2015,Y$13,$D$18:$D$2015,"&gt;="&amp;Y40,$D$18:$D$2015,"&lt;"&amp;Y41))</f>
        <v/>
      </c>
      <c r="AA40" s="14" t="n"/>
      <c r="AB40" s="16" t="n">
        <v>35</v>
      </c>
      <c r="AC40" s="124">
        <f>IF(AB40="","",COUNTIFS($C$18:$C$2015,AB$13,$D$18:$D$2015,"&gt;="&amp;AB40,$D$18:$D$2015,"&lt;"&amp;AB41))</f>
        <v/>
      </c>
      <c r="AD40" s="14" t="n"/>
    </row>
    <row r="41">
      <c r="A41" s="58" t="n"/>
      <c r="B41" s="59" t="n"/>
      <c r="C41" s="59" t="n"/>
      <c r="E41" s="16" t="n"/>
      <c r="F41" s="13" t="n"/>
      <c r="G41" s="16" t="n">
        <v>36</v>
      </c>
      <c r="H41" s="124">
        <f>IF(G41="","",COUNTIFS($C$18:$C$2015,G$13,$D$18:$D$2015,"&gt;="&amp;G41,$D$18:$D$2015,"&lt;"&amp;G42))</f>
        <v/>
      </c>
      <c r="I41" s="14" t="n"/>
      <c r="J41" s="16" t="n">
        <v>140</v>
      </c>
      <c r="K41" s="124">
        <f>IF(J41="","",COUNTIFS($C$18:$C$2015,J$13,$D$18:$D$2015,"&gt;="&amp;J41,$D$18:$D$2015,"&lt;"&amp;J42))</f>
        <v/>
      </c>
      <c r="L41" s="14" t="n"/>
      <c r="M41" s="16" t="n">
        <v>62</v>
      </c>
      <c r="N41" s="124">
        <f>IF(M41="","",COUNTIFS($C$18:$C$2015,M$13,$D$18:$D$2015,"&gt;="&amp;M41,$D$18:$D$2015,"&lt;"&amp;M42))</f>
        <v/>
      </c>
      <c r="O41" s="14" t="n"/>
      <c r="P41" s="16" t="n">
        <v>36</v>
      </c>
      <c r="Q41" s="124">
        <f>IF(P41="","",COUNTIFS($C$18:$C$2015,P$13,$D$18:$D$2015,"&gt;="&amp;P41,$D$18:$D$2015,"&lt;"&amp;P42))</f>
        <v/>
      </c>
      <c r="R41" s="14" t="n"/>
      <c r="S41" s="16" t="n">
        <v>62</v>
      </c>
      <c r="T41" s="124">
        <f>IF(S41="","",COUNTIFS($C$18:$C$2015,S$13,$D$18:$D$2015,"&gt;="&amp;S41,$D$18:$D$2015,"&lt;"&amp;S42))</f>
        <v/>
      </c>
      <c r="U41" s="14" t="n"/>
      <c r="V41" s="16" t="n">
        <v>62</v>
      </c>
      <c r="W41" s="124">
        <f>IF(V41="","",COUNTIFS($C$18:$C$2015,V$13,$D$18:$D$2015,"&gt;="&amp;V41,$D$18:$D$2015,"&lt;"&amp;V42))</f>
        <v/>
      </c>
      <c r="X41" s="14" t="n"/>
      <c r="Y41" s="16" t="n">
        <v>62</v>
      </c>
      <c r="Z41" s="124">
        <f>IF(Y41="","",COUNTIFS($C$18:$C$2015,Y$13,$D$18:$D$2015,"&gt;="&amp;Y41,$D$18:$D$2015,"&lt;"&amp;Y42))</f>
        <v/>
      </c>
      <c r="AA41" s="14" t="n"/>
      <c r="AB41" s="16" t="n">
        <v>36</v>
      </c>
      <c r="AC41" s="124">
        <f>IF(AB41="","",COUNTIFS($C$18:$C$2015,AB$13,$D$18:$D$2015,"&gt;="&amp;AB41,$D$18:$D$2015,"&lt;"&amp;AB42))</f>
        <v/>
      </c>
      <c r="AD41" s="14" t="n"/>
    </row>
    <row r="42">
      <c r="A42" s="56" t="n"/>
      <c r="B42" s="57" t="n"/>
      <c r="C42" s="59" t="n"/>
      <c r="E42" s="16" t="n"/>
      <c r="F42" s="13" t="n"/>
      <c r="G42" s="16" t="n">
        <v>37</v>
      </c>
      <c r="H42" s="124">
        <f>IF(G42="","",COUNTIFS($C$18:$C$2015,G$13,$D$18:$D$2015,"&gt;="&amp;G42,$D$18:$D$2015,"&lt;"&amp;G43))</f>
        <v/>
      </c>
      <c r="I42" s="14" t="n"/>
      <c r="J42" s="16" t="n">
        <v>145</v>
      </c>
      <c r="K42" s="124">
        <f>IF(J42="","",COUNTIFS($C$18:$C$2015,J$13,$D$18:$D$2015,"&gt;="&amp;J42,$D$18:$D$2015,"&lt;"&amp;J43))</f>
        <v/>
      </c>
      <c r="L42" s="14" t="n"/>
      <c r="M42" s="16" t="n">
        <v>64</v>
      </c>
      <c r="N42" s="124">
        <f>IF(M42="","",COUNTIFS($C$18:$C$2015,M$13,$D$18:$D$2015,"&gt;="&amp;M42,$D$18:$D$2015,"&lt;"&amp;M43))</f>
        <v/>
      </c>
      <c r="O42" s="14" t="n"/>
      <c r="P42" s="16" t="n">
        <v>37</v>
      </c>
      <c r="Q42" s="124">
        <f>IF(P42="","",COUNTIFS($C$18:$C$2015,P$13,$D$18:$D$2015,"&gt;="&amp;P42,$D$18:$D$2015,"&lt;"&amp;P43))</f>
        <v/>
      </c>
      <c r="R42" s="14" t="n"/>
      <c r="S42" s="16" t="n">
        <v>64</v>
      </c>
      <c r="T42" s="124">
        <f>IF(S42="","",COUNTIFS($C$18:$C$2015,S$13,$D$18:$D$2015,"&gt;="&amp;S42,$D$18:$D$2015,"&lt;"&amp;S43))</f>
        <v/>
      </c>
      <c r="U42" s="14" t="n"/>
      <c r="V42" s="16" t="n">
        <v>64</v>
      </c>
      <c r="W42" s="124">
        <f>IF(V42="","",COUNTIFS($C$18:$C$2015,V$13,$D$18:$D$2015,"&gt;="&amp;V42,$D$18:$D$2015,"&lt;"&amp;V43))</f>
        <v/>
      </c>
      <c r="X42" s="14" t="n"/>
      <c r="Y42" s="16" t="n">
        <v>64</v>
      </c>
      <c r="Z42" s="124">
        <f>IF(Y42="","",COUNTIFS($C$18:$C$2015,Y$13,$D$18:$D$2015,"&gt;="&amp;Y42,$D$18:$D$2015,"&lt;"&amp;Y43))</f>
        <v/>
      </c>
      <c r="AA42" s="14" t="n"/>
      <c r="AB42" s="16" t="n">
        <v>37</v>
      </c>
      <c r="AC42" s="124">
        <f>IF(AB42="","",COUNTIFS($C$18:$C$2015,AB$13,$D$18:$D$2015,"&gt;="&amp;AB42,$D$18:$D$2015,"&lt;"&amp;AB43))</f>
        <v/>
      </c>
      <c r="AD42" s="14" t="n"/>
    </row>
    <row r="43">
      <c r="A43" s="58" t="n"/>
      <c r="B43" s="59" t="n"/>
      <c r="C43" s="59" t="n"/>
      <c r="E43" s="16" t="n"/>
      <c r="F43" s="13" t="n"/>
      <c r="G43" s="16" t="n">
        <v>38</v>
      </c>
      <c r="H43" s="124">
        <f>IF(G43="","",COUNTIFS($C$18:$C$2015,G$13,$D$18:$D$2015,"&gt;="&amp;G43,$D$18:$D$2015,"&lt;"&amp;G44))</f>
        <v/>
      </c>
      <c r="I43" s="14" t="n"/>
      <c r="J43" s="16" t="n">
        <v>150</v>
      </c>
      <c r="K43" s="124">
        <f>IF(J43="","",COUNTIFS($C$18:$C$2015,J$13,$D$18:$D$2015,"&gt;="&amp;J43,$D$18:$D$2015,"&lt;"&amp;J44))</f>
        <v/>
      </c>
      <c r="L43" s="14" t="n"/>
      <c r="M43" s="16" t="n">
        <v>66</v>
      </c>
      <c r="N43" s="124">
        <f>IF(M43="","",COUNTIFS($C$18:$C$2015,M$13,$D$18:$D$2015,"&gt;="&amp;M43,$D$18:$D$2015,"&lt;"&amp;M44))</f>
        <v/>
      </c>
      <c r="O43" s="14" t="n"/>
      <c r="P43" s="16" t="n">
        <v>38</v>
      </c>
      <c r="Q43" s="124">
        <f>IF(P43="","",COUNTIFS($C$18:$C$2015,P$13,$D$18:$D$2015,"&gt;="&amp;P43,$D$18:$D$2015,"&lt;"&amp;P44))</f>
        <v/>
      </c>
      <c r="R43" s="14" t="n"/>
      <c r="S43" s="16" t="n">
        <v>66</v>
      </c>
      <c r="T43" s="124">
        <f>IF(S43="","",COUNTIFS($C$18:$C$2015,S$13,$D$18:$D$2015,"&gt;="&amp;S43,$D$18:$D$2015,"&lt;"&amp;S44))</f>
        <v/>
      </c>
      <c r="U43" s="14" t="n"/>
      <c r="V43" s="16" t="n">
        <v>66</v>
      </c>
      <c r="W43" s="124">
        <f>IF(V43="","",COUNTIFS($C$18:$C$2015,V$13,$D$18:$D$2015,"&gt;="&amp;V43,$D$18:$D$2015,"&lt;"&amp;V44))</f>
        <v/>
      </c>
      <c r="X43" s="14" t="n"/>
      <c r="Y43" s="16" t="n">
        <v>66</v>
      </c>
      <c r="Z43" s="124">
        <f>IF(Y43="","",COUNTIFS($C$18:$C$2015,Y$13,$D$18:$D$2015,"&gt;="&amp;Y43,$D$18:$D$2015,"&lt;"&amp;Y44))</f>
        <v/>
      </c>
      <c r="AA43" s="14" t="n"/>
      <c r="AB43" s="16" t="n">
        <v>38</v>
      </c>
      <c r="AC43" s="124">
        <f>IF(AB43="","",COUNTIFS($C$18:$C$2015,AB$13,$D$18:$D$2015,"&gt;="&amp;AB43,$D$18:$D$2015,"&lt;"&amp;AB44))</f>
        <v/>
      </c>
      <c r="AD43" s="14" t="n"/>
    </row>
    <row r="44">
      <c r="A44" s="56" t="n"/>
      <c r="B44" s="57" t="n"/>
      <c r="C44" s="59" t="n"/>
      <c r="E44" s="16" t="n"/>
      <c r="F44" s="13" t="n"/>
      <c r="G44" s="16" t="n">
        <v>39</v>
      </c>
      <c r="H44" s="124">
        <f>IF(G44="","",COUNTIFS($C$18:$C$2015,G$13,$D$18:$D$2015,"&gt;="&amp;G44,$D$18:$D$2015,"&lt;"&amp;G45))</f>
        <v/>
      </c>
      <c r="I44" s="14" t="n"/>
      <c r="J44" s="16" t="n"/>
      <c r="K44" s="124">
        <f>IF(J44="","",COUNTIFS($C$18:$C$2015,J$13,$D$18:$D$2015,"&gt;="&amp;J44,$D$18:$D$2015,"&lt;"&amp;J45))</f>
        <v/>
      </c>
      <c r="L44" s="14" t="n"/>
      <c r="M44" s="16" t="n">
        <v>68</v>
      </c>
      <c r="N44" s="124">
        <f>IF(M44="","",COUNTIFS($C$18:$C$2015,M$13,$D$18:$D$2015,"&gt;="&amp;M44,$D$18:$D$2015,"&lt;"&amp;M45))</f>
        <v/>
      </c>
      <c r="O44" s="14" t="n"/>
      <c r="P44" s="16" t="n">
        <v>39</v>
      </c>
      <c r="Q44" s="124">
        <f>IF(P44="","",COUNTIFS($C$18:$C$2015,P$13,$D$18:$D$2015,"&gt;="&amp;P44,$D$18:$D$2015,"&lt;"&amp;P45))</f>
        <v/>
      </c>
      <c r="R44" s="14" t="n"/>
      <c r="S44" s="16" t="n">
        <v>68</v>
      </c>
      <c r="T44" s="124">
        <f>IF(S44="","",COUNTIFS($C$18:$C$2015,S$13,$D$18:$D$2015,"&gt;="&amp;S44,$D$18:$D$2015,"&lt;"&amp;S45))</f>
        <v/>
      </c>
      <c r="U44" s="14" t="n"/>
      <c r="V44" s="16" t="n">
        <v>68</v>
      </c>
      <c r="W44" s="124">
        <f>IF(V44="","",COUNTIFS($C$18:$C$2015,V$13,$D$18:$D$2015,"&gt;="&amp;V44,$D$18:$D$2015,"&lt;"&amp;V45))</f>
        <v/>
      </c>
      <c r="X44" s="14" t="n"/>
      <c r="Y44" s="16" t="n">
        <v>68</v>
      </c>
      <c r="Z44" s="124">
        <f>IF(Y44="","",COUNTIFS($C$18:$C$2015,Y$13,$D$18:$D$2015,"&gt;="&amp;Y44,$D$18:$D$2015,"&lt;"&amp;Y45))</f>
        <v/>
      </c>
      <c r="AA44" s="14" t="n"/>
      <c r="AB44" s="16" t="n">
        <v>39</v>
      </c>
      <c r="AC44" s="124">
        <f>IF(AB44="","",COUNTIFS($C$18:$C$2015,AB$13,$D$18:$D$2015,"&gt;="&amp;AB44,$D$18:$D$2015,"&lt;"&amp;AB45))</f>
        <v/>
      </c>
      <c r="AD44" s="14" t="n"/>
    </row>
    <row r="45">
      <c r="A45" s="58" t="n"/>
      <c r="B45" s="59" t="n"/>
      <c r="C45" s="59" t="n"/>
      <c r="E45" s="16" t="n"/>
      <c r="F45" s="13" t="n"/>
      <c r="G45" s="16" t="n">
        <v>40</v>
      </c>
      <c r="H45" s="124">
        <f>IF(G45="","",COUNTIFS($C$18:$C$2015,G$13,$D$18:$D$2015,"&gt;="&amp;G45,$D$18:$D$2015,"&lt;"&amp;G46))</f>
        <v/>
      </c>
      <c r="I45" s="14" t="n"/>
      <c r="J45" s="16" t="n"/>
      <c r="K45" s="124">
        <f>IF(J45="","",COUNTIFS($C$18:$C$2015,J$13,$D$18:$D$2015,"&gt;="&amp;J45,$D$18:$D$2015,"&lt;"&amp;J46))</f>
        <v/>
      </c>
      <c r="L45" s="14" t="n"/>
      <c r="M45" s="16" t="n">
        <v>70</v>
      </c>
      <c r="N45" s="124">
        <f>IF(M45="","",COUNTIFS($C$18:$C$2015,M$13,$D$18:$D$2015,"&gt;="&amp;M45,$D$18:$D$2015,"&lt;"&amp;M46))</f>
        <v/>
      </c>
      <c r="O45" s="14" t="n"/>
      <c r="P45" s="16" t="n">
        <v>40</v>
      </c>
      <c r="Q45" s="124">
        <f>IF(P45="","",COUNTIFS($C$18:$C$2015,P$13,$D$18:$D$2015,"&gt;="&amp;P45,$D$18:$D$2015,"&lt;"&amp;P46))</f>
        <v/>
      </c>
      <c r="R45" s="14" t="n"/>
      <c r="S45" s="16" t="n">
        <v>70</v>
      </c>
      <c r="T45" s="124">
        <f>IF(S45="","",COUNTIFS($C$18:$C$2015,S$13,$D$18:$D$2015,"&gt;="&amp;S45,$D$18:$D$2015,"&lt;"&amp;S46))</f>
        <v/>
      </c>
      <c r="U45" s="14" t="n"/>
      <c r="V45" s="16" t="n">
        <v>70</v>
      </c>
      <c r="W45" s="124">
        <f>IF(V45="","",COUNTIFS($C$18:$C$2015,V$13,$D$18:$D$2015,"&gt;="&amp;V45,$D$18:$D$2015,"&lt;"&amp;V46))</f>
        <v/>
      </c>
      <c r="X45" s="14" t="n"/>
      <c r="Y45" s="16" t="n">
        <v>70</v>
      </c>
      <c r="Z45" s="124">
        <f>IF(Y45="","",COUNTIFS($C$18:$C$2015,Y$13,$D$18:$D$2015,"&gt;="&amp;Y45,$D$18:$D$2015,"&lt;"&amp;Y46))</f>
        <v/>
      </c>
      <c r="AA45" s="14" t="n"/>
      <c r="AB45" s="16" t="n">
        <v>40</v>
      </c>
      <c r="AC45" s="124">
        <f>IF(AB45="","",COUNTIFS($C$18:$C$2015,AB$13,$D$18:$D$2015,"&gt;="&amp;AB45,$D$18:$D$2015,"&lt;"&amp;AB46))</f>
        <v/>
      </c>
      <c r="AD45" s="14" t="n"/>
    </row>
    <row r="46">
      <c r="A46" s="56" t="n"/>
      <c r="B46" s="57" t="n"/>
      <c r="C46" s="59" t="n"/>
      <c r="E46" s="16" t="n"/>
      <c r="F46" s="13" t="n"/>
      <c r="G46" s="16" t="n">
        <v>41</v>
      </c>
      <c r="H46" s="124">
        <f>IF(G46="","",COUNTIFS($C$18:$C$2015,G$13,$D$18:$D$2015,"&gt;="&amp;G46,$D$18:$D$2015,"&lt;"&amp;G47))</f>
        <v/>
      </c>
      <c r="I46" s="14" t="n"/>
      <c r="J46" s="16" t="n"/>
      <c r="K46" s="124">
        <f>IF(J46="","",COUNTIFS($C$18:$C$2015,J$13,$D$18:$D$2015,"&gt;="&amp;J46,$D$18:$D$2015,"&lt;"&amp;J47))</f>
        <v/>
      </c>
      <c r="L46" s="14" t="n"/>
      <c r="M46" s="16" t="n">
        <v>72</v>
      </c>
      <c r="N46" s="124">
        <f>IF(M46="","",COUNTIFS($C$18:$C$2015,M$13,$D$18:$D$2015,"&gt;="&amp;M46,$D$18:$D$2015,"&lt;"&amp;M47))</f>
        <v/>
      </c>
      <c r="O46" s="14" t="n"/>
      <c r="P46" s="16" t="n">
        <v>41</v>
      </c>
      <c r="Q46" s="124">
        <f>IF(P46="","",COUNTIFS($C$18:$C$2015,P$13,$D$18:$D$2015,"&gt;="&amp;P46,$D$18:$D$2015,"&lt;"&amp;P47))</f>
        <v/>
      </c>
      <c r="R46" s="14" t="n"/>
      <c r="S46" s="16" t="n">
        <v>72</v>
      </c>
      <c r="T46" s="124">
        <f>IF(S46="","",COUNTIFS($C$18:$C$2015,S$13,$D$18:$D$2015,"&gt;="&amp;S46,$D$18:$D$2015,"&lt;"&amp;S47))</f>
        <v/>
      </c>
      <c r="U46" s="14" t="n"/>
      <c r="V46" s="16" t="n">
        <v>72</v>
      </c>
      <c r="W46" s="124">
        <f>IF(V46="","",COUNTIFS($C$18:$C$2015,V$13,$D$18:$D$2015,"&gt;="&amp;V46,$D$18:$D$2015,"&lt;"&amp;V47))</f>
        <v/>
      </c>
      <c r="X46" s="14" t="n"/>
      <c r="Y46" s="16" t="n">
        <v>72</v>
      </c>
      <c r="Z46" s="124">
        <f>IF(Y46="","",COUNTIFS($C$18:$C$2015,Y$13,$D$18:$D$2015,"&gt;="&amp;Y46,$D$18:$D$2015,"&lt;"&amp;Y47))</f>
        <v/>
      </c>
      <c r="AA46" s="14" t="n"/>
      <c r="AB46" s="16" t="n">
        <v>41</v>
      </c>
      <c r="AC46" s="124">
        <f>IF(AB46="","",COUNTIFS($C$18:$C$2015,AB$13,$D$18:$D$2015,"&gt;="&amp;AB46,$D$18:$D$2015,"&lt;"&amp;AB47))</f>
        <v/>
      </c>
      <c r="AD46" s="14" t="n"/>
    </row>
    <row r="47">
      <c r="A47" s="58" t="n"/>
      <c r="B47" s="59" t="n"/>
      <c r="C47" s="59" t="n"/>
      <c r="E47" s="16" t="n"/>
      <c r="F47" s="13" t="n"/>
      <c r="G47" s="16" t="n">
        <v>42</v>
      </c>
      <c r="H47" s="124">
        <f>IF(G47="","",COUNTIFS($C$18:$C$2015,G$13,$D$18:$D$2015,"&gt;="&amp;G47,$D$18:$D$2015,"&lt;"&amp;G48))</f>
        <v/>
      </c>
      <c r="I47" s="14" t="n"/>
      <c r="J47" s="16" t="n"/>
      <c r="K47" s="124">
        <f>IF(J47="","",COUNTIFS($C$18:$C$2015,J$13,$D$18:$D$2015,"&gt;="&amp;J47,$D$18:$D$2015,"&lt;"&amp;J48))</f>
        <v/>
      </c>
      <c r="L47" s="14" t="n"/>
      <c r="M47" s="16" t="n">
        <v>74</v>
      </c>
      <c r="N47" s="124">
        <f>IF(M47="","",COUNTIFS($C$18:$C$2015,M$13,$D$18:$D$2015,"&gt;="&amp;M47,$D$18:$D$2015,"&lt;"&amp;M48))</f>
        <v/>
      </c>
      <c r="O47" s="14" t="n"/>
      <c r="P47" s="16" t="n">
        <v>42</v>
      </c>
      <c r="Q47" s="124">
        <f>IF(P47="","",COUNTIFS($C$18:$C$2015,P$13,$D$18:$D$2015,"&gt;="&amp;P47,$D$18:$D$2015,"&lt;"&amp;P48))</f>
        <v/>
      </c>
      <c r="R47" s="14" t="n"/>
      <c r="S47" s="16" t="n">
        <v>74</v>
      </c>
      <c r="T47" s="124">
        <f>IF(S47="","",COUNTIFS($C$18:$C$2015,S$13,$D$18:$D$2015,"&gt;="&amp;S47,$D$18:$D$2015,"&lt;"&amp;S48))</f>
        <v/>
      </c>
      <c r="U47" s="14" t="n"/>
      <c r="V47" s="16" t="n">
        <v>74</v>
      </c>
      <c r="W47" s="124">
        <f>IF(V47="","",COUNTIFS($C$18:$C$2015,V$13,$D$18:$D$2015,"&gt;="&amp;V47,$D$18:$D$2015,"&lt;"&amp;V48))</f>
        <v/>
      </c>
      <c r="X47" s="14" t="n"/>
      <c r="Y47" s="16" t="n">
        <v>74</v>
      </c>
      <c r="Z47" s="124">
        <f>IF(Y47="","",COUNTIFS($C$18:$C$2015,Y$13,$D$18:$D$2015,"&gt;="&amp;Y47,$D$18:$D$2015,"&lt;"&amp;Y48))</f>
        <v/>
      </c>
      <c r="AA47" s="14" t="n"/>
      <c r="AB47" s="16" t="n">
        <v>42</v>
      </c>
      <c r="AC47" s="124">
        <f>IF(AB47="","",COUNTIFS($C$18:$C$2015,AB$13,$D$18:$D$2015,"&gt;="&amp;AB47,$D$18:$D$2015,"&lt;"&amp;AB48))</f>
        <v/>
      </c>
      <c r="AD47" s="14" t="n"/>
    </row>
    <row r="48">
      <c r="A48" s="56" t="n"/>
      <c r="B48" s="57" t="n"/>
      <c r="C48" s="59" t="n"/>
      <c r="E48" s="16" t="n"/>
      <c r="F48" s="13" t="n"/>
      <c r="G48" s="16" t="n">
        <v>43</v>
      </c>
      <c r="H48" s="124">
        <f>IF(G48="","",COUNTIFS($C$18:$C$2015,G$13,$D$18:$D$2015,"&gt;="&amp;G48,$D$18:$D$2015,"&lt;"&amp;G49))</f>
        <v/>
      </c>
      <c r="I48" s="14" t="n"/>
      <c r="J48" s="16" t="n"/>
      <c r="K48" s="124">
        <f>IF(J48="","",COUNTIFS($C$18:$C$2015,J$13,$D$18:$D$2015,"&gt;="&amp;J48,$D$18:$D$2015,"&lt;"&amp;J49))</f>
        <v/>
      </c>
      <c r="L48" s="14" t="n"/>
      <c r="M48" s="16" t="n">
        <v>76</v>
      </c>
      <c r="N48" s="124">
        <f>IF(M48="","",COUNTIFS($C$18:$C$2015,M$13,$D$18:$D$2015,"&gt;="&amp;M48,$D$18:$D$2015,"&lt;"&amp;M49))</f>
        <v/>
      </c>
      <c r="O48" s="14" t="n"/>
      <c r="P48" s="16" t="n">
        <v>43</v>
      </c>
      <c r="Q48" s="124">
        <f>IF(P48="","",COUNTIFS($C$18:$C$2015,P$13,$D$18:$D$2015,"&gt;="&amp;P48,$D$18:$D$2015,"&lt;"&amp;P49))</f>
        <v/>
      </c>
      <c r="R48" s="14" t="n"/>
      <c r="S48" s="16" t="n">
        <v>76</v>
      </c>
      <c r="T48" s="124">
        <f>IF(S48="","",COUNTIFS($C$18:$C$2015,S$13,$D$18:$D$2015,"&gt;="&amp;S48,$D$18:$D$2015,"&lt;"&amp;S49))</f>
        <v/>
      </c>
      <c r="U48" s="14" t="n"/>
      <c r="V48" s="16" t="n">
        <v>76</v>
      </c>
      <c r="W48" s="124">
        <f>IF(V48="","",COUNTIFS($C$18:$C$2015,V$13,$D$18:$D$2015,"&gt;="&amp;V48,$D$18:$D$2015,"&lt;"&amp;V49))</f>
        <v/>
      </c>
      <c r="X48" s="14" t="n"/>
      <c r="Y48" s="16" t="n">
        <v>76</v>
      </c>
      <c r="Z48" s="124">
        <f>IF(Y48="","",COUNTIFS($C$18:$C$2015,Y$13,$D$18:$D$2015,"&gt;="&amp;Y48,$D$18:$D$2015,"&lt;"&amp;Y49))</f>
        <v/>
      </c>
      <c r="AA48" s="14" t="n"/>
      <c r="AB48" s="16" t="n">
        <v>43</v>
      </c>
      <c r="AC48" s="124">
        <f>IF(AB48="","",COUNTIFS($C$18:$C$2015,AB$13,$D$18:$D$2015,"&gt;="&amp;AB48,$D$18:$D$2015,"&lt;"&amp;AB49))</f>
        <v/>
      </c>
      <c r="AD48" s="14" t="n"/>
    </row>
    <row r="49">
      <c r="A49" s="58" t="n"/>
      <c r="B49" s="59" t="n"/>
      <c r="C49" s="59" t="n"/>
      <c r="E49" s="16" t="n"/>
      <c r="F49" s="13" t="n"/>
      <c r="G49" s="16" t="n">
        <v>44</v>
      </c>
      <c r="H49" s="124">
        <f>IF(G49="","",COUNTIFS($C$18:$C$2015,G$13,$D$18:$D$2015,"&gt;="&amp;G49,$D$18:$D$2015,"&lt;"&amp;G50))</f>
        <v/>
      </c>
      <c r="I49" s="14" t="n"/>
      <c r="J49" s="16" t="n"/>
      <c r="K49" s="124">
        <f>IF(J49="","",COUNTIFS($C$18:$C$2015,J$13,$D$18:$D$2015,"&gt;="&amp;J49,$D$18:$D$2015,"&lt;"&amp;J50))</f>
        <v/>
      </c>
      <c r="L49" s="14" t="n"/>
      <c r="M49" s="16" t="n">
        <v>78</v>
      </c>
      <c r="N49" s="124">
        <f>IF(M49="","",COUNTIFS($C$18:$C$2015,M$13,$D$18:$D$2015,"&gt;="&amp;M49,$D$18:$D$2015,"&lt;"&amp;M50))</f>
        <v/>
      </c>
      <c r="O49" s="14" t="n"/>
      <c r="P49" s="16" t="n">
        <v>44</v>
      </c>
      <c r="Q49" s="124">
        <f>IF(P49="","",COUNTIFS($C$18:$C$2015,P$13,$D$18:$D$2015,"&gt;="&amp;P49,$D$18:$D$2015,"&lt;"&amp;P50))</f>
        <v/>
      </c>
      <c r="R49" s="14" t="n"/>
      <c r="S49" s="16" t="n">
        <v>78</v>
      </c>
      <c r="T49" s="124">
        <f>IF(S49="","",COUNTIFS($C$18:$C$2015,S$13,$D$18:$D$2015,"&gt;="&amp;S49,$D$18:$D$2015,"&lt;"&amp;S50))</f>
        <v/>
      </c>
      <c r="U49" s="14" t="n"/>
      <c r="V49" s="16" t="n">
        <v>78</v>
      </c>
      <c r="W49" s="124">
        <f>IF(V49="","",COUNTIFS($C$18:$C$2015,V$13,$D$18:$D$2015,"&gt;="&amp;V49,$D$18:$D$2015,"&lt;"&amp;V50))</f>
        <v/>
      </c>
      <c r="X49" s="14" t="n"/>
      <c r="Y49" s="16" t="n">
        <v>78</v>
      </c>
      <c r="Z49" s="124">
        <f>IF(Y49="","",COUNTIFS($C$18:$C$2015,Y$13,$D$18:$D$2015,"&gt;="&amp;Y49,$D$18:$D$2015,"&lt;"&amp;Y50))</f>
        <v/>
      </c>
      <c r="AA49" s="14" t="n"/>
      <c r="AB49" s="16" t="n">
        <v>44</v>
      </c>
      <c r="AC49" s="124">
        <f>IF(AB49="","",COUNTIFS($C$18:$C$2015,AB$13,$D$18:$D$2015,"&gt;="&amp;AB49,$D$18:$D$2015,"&lt;"&amp;AB50))</f>
        <v/>
      </c>
      <c r="AD49" s="14" t="n"/>
    </row>
    <row r="50">
      <c r="A50" s="56" t="n"/>
      <c r="B50" s="57" t="n"/>
      <c r="C50" s="59" t="n"/>
      <c r="E50" s="16" t="n"/>
      <c r="F50" s="13" t="n"/>
      <c r="G50" s="16" t="n">
        <v>45</v>
      </c>
      <c r="H50" s="124">
        <f>IF(G50="","",COUNTIFS($C$18:$C$2015,G$13,$D$18:$D$2015,"&gt;="&amp;G50,$D$18:$D$2015,"&lt;"&amp;G51))</f>
        <v/>
      </c>
      <c r="I50" s="14" t="n"/>
      <c r="J50" s="16" t="n"/>
      <c r="K50" s="124">
        <f>IF(J50="","",COUNTIFS($C$18:$C$2015,J$13,$D$18:$D$2015,"&gt;="&amp;J50,$D$18:$D$2015,"&lt;"&amp;J51))</f>
        <v/>
      </c>
      <c r="L50" s="14" t="n"/>
      <c r="M50" s="16" t="n">
        <v>80</v>
      </c>
      <c r="N50" s="124">
        <f>IF(M50="","",COUNTIFS($C$18:$C$2015,M$13,$D$18:$D$2015,"&gt;="&amp;M50,$D$18:$D$2015,"&lt;"&amp;M51))</f>
        <v/>
      </c>
      <c r="O50" s="14" t="n"/>
      <c r="P50" s="16" t="n">
        <v>45</v>
      </c>
      <c r="Q50" s="124">
        <f>IF(P50="","",COUNTIFS($C$18:$C$2015,P$13,$D$18:$D$2015,"&gt;="&amp;P50,$D$18:$D$2015,"&lt;"&amp;P51))</f>
        <v/>
      </c>
      <c r="R50" s="14" t="n"/>
      <c r="S50" s="16" t="n">
        <v>80</v>
      </c>
      <c r="T50" s="124">
        <f>IF(S50="","",COUNTIFS($C$18:$C$2015,S$13,$D$18:$D$2015,"&gt;="&amp;S50,$D$18:$D$2015,"&lt;"&amp;S51))</f>
        <v/>
      </c>
      <c r="U50" s="14" t="n"/>
      <c r="V50" s="16" t="n">
        <v>80</v>
      </c>
      <c r="W50" s="124">
        <f>IF(V50="","",COUNTIFS($C$18:$C$2015,V$13,$D$18:$D$2015,"&gt;="&amp;V50,$D$18:$D$2015,"&lt;"&amp;V51))</f>
        <v/>
      </c>
      <c r="X50" s="14" t="n"/>
      <c r="Y50" s="16" t="n">
        <v>80</v>
      </c>
      <c r="Z50" s="124">
        <f>IF(Y50="","",COUNTIFS($C$18:$C$2015,Y$13,$D$18:$D$2015,"&gt;="&amp;Y50,$D$18:$D$2015,"&lt;"&amp;Y51))</f>
        <v/>
      </c>
      <c r="AA50" s="14" t="n"/>
      <c r="AB50" s="16" t="n">
        <v>45</v>
      </c>
      <c r="AC50" s="124">
        <f>IF(AB50="","",COUNTIFS($C$18:$C$2015,AB$13,$D$18:$D$2015,"&gt;="&amp;AB50,$D$18:$D$2015,"&lt;"&amp;AB51))</f>
        <v/>
      </c>
      <c r="AD50" s="14" t="n"/>
    </row>
    <row r="51">
      <c r="A51" s="58" t="n"/>
      <c r="B51" s="59" t="n"/>
      <c r="C51" s="59" t="n"/>
      <c r="E51" s="16" t="n"/>
      <c r="F51" s="13" t="n"/>
      <c r="G51" s="16" t="n">
        <v>46</v>
      </c>
      <c r="H51" s="124">
        <f>IF(G51="","",COUNTIFS($C$18:$C$2015,G$13,$D$18:$D$2015,"&gt;="&amp;G51,$D$18:$D$2015,"&lt;"&amp;G52))</f>
        <v/>
      </c>
      <c r="I51" s="14" t="n"/>
      <c r="J51" s="16" t="n"/>
      <c r="K51" s="124">
        <f>IF(J51="","",COUNTIFS($C$18:$C$2015,J$13,$D$18:$D$2015,"&gt;="&amp;J51,$D$18:$D$2015,"&lt;"&amp;J52))</f>
        <v/>
      </c>
      <c r="L51" s="14" t="n"/>
      <c r="M51" s="16" t="n">
        <v>82</v>
      </c>
      <c r="N51" s="124">
        <f>IF(M51="","",COUNTIFS($C$18:$C$2015,M$13,$D$18:$D$2015,"&gt;="&amp;M51,$D$18:$D$2015,"&lt;"&amp;M52))</f>
        <v/>
      </c>
      <c r="O51" s="14" t="n"/>
      <c r="P51" s="16" t="n">
        <v>46</v>
      </c>
      <c r="Q51" s="124">
        <f>IF(P51="","",COUNTIFS($C$18:$C$2015,P$13,$D$18:$D$2015,"&gt;="&amp;P51,$D$18:$D$2015,"&lt;"&amp;P52))</f>
        <v/>
      </c>
      <c r="R51" s="14" t="n"/>
      <c r="S51" s="16" t="n">
        <v>82</v>
      </c>
      <c r="T51" s="124">
        <f>IF(S51="","",COUNTIFS($C$18:$C$2015,S$13,$D$18:$D$2015,"&gt;="&amp;S51,$D$18:$D$2015,"&lt;"&amp;S52))</f>
        <v/>
      </c>
      <c r="U51" s="14" t="n"/>
      <c r="V51" s="16" t="n"/>
      <c r="W51" s="124">
        <f>IF(V51="","",COUNTIFS($C$18:$C$2015,V$13,$D$18:$D$2015,"&gt;="&amp;V51,$D$18:$D$2015,"&lt;"&amp;V52))</f>
        <v/>
      </c>
      <c r="X51" s="14" t="n"/>
      <c r="Y51" s="16" t="n"/>
      <c r="Z51" s="124">
        <f>IF(Y51="","",COUNTIFS($C$18:$C$2015,Y$13,$D$18:$D$2015,"&gt;="&amp;Y51,$D$18:$D$2015,"&lt;"&amp;Y52))</f>
        <v/>
      </c>
      <c r="AA51" s="14" t="n"/>
      <c r="AB51" s="16" t="n">
        <v>46</v>
      </c>
      <c r="AC51" s="124">
        <f>IF(AB51="","",COUNTIFS($C$18:$C$2015,AB$13,$D$18:$D$2015,"&gt;="&amp;AB51,$D$18:$D$2015,"&lt;"&amp;AB52))</f>
        <v/>
      </c>
      <c r="AD51" s="14" t="n"/>
    </row>
    <row r="52">
      <c r="A52" s="56" t="n"/>
      <c r="B52" s="57" t="n"/>
      <c r="C52" s="59" t="n"/>
      <c r="E52" s="16" t="n"/>
      <c r="F52" s="13" t="n"/>
      <c r="G52" s="16" t="n">
        <v>47</v>
      </c>
      <c r="H52" s="124">
        <f>IF(G52="","",COUNTIFS($C$18:$C$2015,G$13,$D$18:$D$2015,"&gt;="&amp;G52,$D$18:$D$2015,"&lt;"&amp;G53))</f>
        <v/>
      </c>
      <c r="I52" s="14" t="n"/>
      <c r="J52" s="16" t="n"/>
      <c r="K52" s="124">
        <f>IF(J52="","",COUNTIFS($C$18:$C$2015,J$13,$D$18:$D$2015,"&gt;="&amp;J52,$D$18:$D$2015,"&lt;"&amp;J53))</f>
        <v/>
      </c>
      <c r="L52" s="14" t="n"/>
      <c r="M52" s="16" t="n">
        <v>84</v>
      </c>
      <c r="N52" s="124">
        <f>IF(M52="","",COUNTIFS($C$18:$C$2015,M$13,$D$18:$D$2015,"&gt;="&amp;M52,$D$18:$D$2015,"&lt;"&amp;M53))</f>
        <v/>
      </c>
      <c r="O52" s="14" t="n"/>
      <c r="P52" s="16" t="n">
        <v>47</v>
      </c>
      <c r="Q52" s="124">
        <f>IF(P52="","",COUNTIFS($C$18:$C$2015,P$13,$D$18:$D$2015,"&gt;="&amp;P52,$D$18:$D$2015,"&lt;"&amp;P53))</f>
        <v/>
      </c>
      <c r="R52" s="14" t="n"/>
      <c r="S52" s="16" t="n">
        <v>84</v>
      </c>
      <c r="T52" s="124">
        <f>IF(S52="","",COUNTIFS($C$18:$C$2015,S$13,$D$18:$D$2015,"&gt;="&amp;S52,$D$18:$D$2015,"&lt;"&amp;S53))</f>
        <v/>
      </c>
      <c r="U52" s="14" t="n"/>
      <c r="V52" s="16" t="n"/>
      <c r="W52" s="124">
        <f>IF(V52="","",COUNTIFS($C$18:$C$2015,V$13,$D$18:$D$2015,"&gt;="&amp;V52,$D$18:$D$2015,"&lt;"&amp;V53))</f>
        <v/>
      </c>
      <c r="X52" s="14" t="n"/>
      <c r="Y52" s="16" t="n"/>
      <c r="Z52" s="124">
        <f>IF(Y52="","",COUNTIFS($C$18:$C$2015,Y$13,$D$18:$D$2015,"&gt;="&amp;Y52,$D$18:$D$2015,"&lt;"&amp;Y53))</f>
        <v/>
      </c>
      <c r="AA52" s="14" t="n"/>
      <c r="AB52" s="16" t="n">
        <v>47</v>
      </c>
      <c r="AC52" s="124">
        <f>IF(AB52="","",COUNTIFS($C$18:$C$2015,AB$13,$D$18:$D$2015,"&gt;="&amp;AB52,$D$18:$D$2015,"&lt;"&amp;AB53))</f>
        <v/>
      </c>
      <c r="AD52" s="14" t="n"/>
    </row>
    <row r="53">
      <c r="A53" s="58" t="n"/>
      <c r="B53" s="59" t="n"/>
      <c r="C53" s="59" t="n"/>
      <c r="E53" s="16" t="n"/>
      <c r="F53" s="13" t="n"/>
      <c r="G53" s="16" t="n">
        <v>48</v>
      </c>
      <c r="H53" s="124">
        <f>IF(G53="","",COUNTIFS($C$18:$C$2015,G$13,$D$18:$D$2015,"&gt;="&amp;G53,$D$18:$D$2015,"&lt;"&amp;G54))</f>
        <v/>
      </c>
      <c r="I53" s="14" t="n"/>
      <c r="J53" s="16" t="n"/>
      <c r="K53" s="124">
        <f>IF(J53="","",COUNTIFS($C$18:$C$2015,J$13,$D$18:$D$2015,"&gt;="&amp;J53,$D$18:$D$2015,"&lt;"&amp;J54))</f>
        <v/>
      </c>
      <c r="L53" s="14" t="n"/>
      <c r="M53" s="16" t="n">
        <v>86</v>
      </c>
      <c r="N53" s="124">
        <f>IF(M53="","",COUNTIFS($C$18:$C$2015,M$13,$D$18:$D$2015,"&gt;="&amp;M53,$D$18:$D$2015,"&lt;"&amp;M54))</f>
        <v/>
      </c>
      <c r="O53" s="14" t="n"/>
      <c r="P53" s="16" t="n">
        <v>48</v>
      </c>
      <c r="Q53" s="124">
        <f>IF(P53="","",COUNTIFS($C$18:$C$2015,P$13,$D$18:$D$2015,"&gt;="&amp;P53,$D$18:$D$2015,"&lt;"&amp;P54))</f>
        <v/>
      </c>
      <c r="R53" s="14" t="n"/>
      <c r="S53" s="16" t="n">
        <v>86</v>
      </c>
      <c r="T53" s="124">
        <f>IF(S53="","",COUNTIFS($C$18:$C$2015,S$13,$D$18:$D$2015,"&gt;="&amp;S53,$D$18:$D$2015,"&lt;"&amp;S54))</f>
        <v/>
      </c>
      <c r="U53" s="14" t="n"/>
      <c r="V53" s="16" t="n"/>
      <c r="W53" s="124">
        <f>IF(V53="","",COUNTIFS($C$18:$C$2015,V$13,$D$18:$D$2015,"&gt;="&amp;V53,$D$18:$D$2015,"&lt;"&amp;V54))</f>
        <v/>
      </c>
      <c r="X53" s="14" t="n"/>
      <c r="Y53" s="16" t="n"/>
      <c r="Z53" s="124">
        <f>IF(Y53="","",COUNTIFS($C$18:$C$2015,Y$13,$D$18:$D$2015,"&gt;="&amp;Y53,$D$18:$D$2015,"&lt;"&amp;Y54))</f>
        <v/>
      </c>
      <c r="AA53" s="14" t="n"/>
      <c r="AB53" s="16" t="n">
        <v>48</v>
      </c>
      <c r="AC53" s="124">
        <f>IF(AB53="","",COUNTIFS($C$18:$C$2015,AB$13,$D$18:$D$2015,"&gt;="&amp;AB53,$D$18:$D$2015,"&lt;"&amp;AB54))</f>
        <v/>
      </c>
      <c r="AD53" s="14" t="n"/>
    </row>
    <row r="54">
      <c r="A54" s="56" t="n"/>
      <c r="B54" s="57" t="n"/>
      <c r="C54" s="59" t="n"/>
      <c r="E54" s="16" t="n"/>
      <c r="F54" s="13" t="n"/>
      <c r="G54" s="16" t="n">
        <v>49</v>
      </c>
      <c r="H54" s="124">
        <f>IF(G54="","",COUNTIFS($C$18:$C$2015,G$13,$D$18:$D$2015,"&gt;="&amp;G54,$D$18:$D$2015,"&lt;"&amp;G55))</f>
        <v/>
      </c>
      <c r="I54" s="14" t="n"/>
      <c r="J54" s="16" t="n"/>
      <c r="K54" s="124">
        <f>IF(J54="","",COUNTIFS($C$18:$C$2015,J$13,$D$18:$D$2015,"&gt;="&amp;J54,$D$18:$D$2015,"&lt;"&amp;J55))</f>
        <v/>
      </c>
      <c r="L54" s="14" t="n"/>
      <c r="M54" s="16" t="n">
        <v>88</v>
      </c>
      <c r="N54" s="124">
        <f>IF(M54="","",COUNTIFS($C$18:$C$2015,M$13,$D$18:$D$2015,"&gt;="&amp;M54,$D$18:$D$2015,"&lt;"&amp;M55))</f>
        <v/>
      </c>
      <c r="O54" s="14" t="n"/>
      <c r="P54" s="16" t="n">
        <v>49</v>
      </c>
      <c r="Q54" s="124">
        <f>IF(P54="","",COUNTIFS($C$18:$C$2015,P$13,$D$18:$D$2015,"&gt;="&amp;P54,$D$18:$D$2015,"&lt;"&amp;P55))</f>
        <v/>
      </c>
      <c r="R54" s="14" t="n"/>
      <c r="S54" s="16" t="n">
        <v>88</v>
      </c>
      <c r="T54" s="124">
        <f>IF(S54="","",COUNTIFS($C$18:$C$2015,S$13,$D$18:$D$2015,"&gt;="&amp;S54,$D$18:$D$2015,"&lt;"&amp;S55))</f>
        <v/>
      </c>
      <c r="U54" s="14" t="n"/>
      <c r="V54" s="16" t="n"/>
      <c r="W54" s="124">
        <f>IF(V54="","",COUNTIFS($C$18:$C$2015,V$13,$D$18:$D$2015,"&gt;="&amp;V54,$D$18:$D$2015,"&lt;"&amp;V55))</f>
        <v/>
      </c>
      <c r="X54" s="14" t="n"/>
      <c r="Y54" s="16" t="n"/>
      <c r="Z54" s="124">
        <f>IF(Y54="","",COUNTIFS($C$18:$C$2015,Y$13,$D$18:$D$2015,"&gt;="&amp;Y54,$D$18:$D$2015,"&lt;"&amp;Y55))</f>
        <v/>
      </c>
      <c r="AA54" s="14" t="n"/>
      <c r="AB54" s="16" t="n">
        <v>49</v>
      </c>
      <c r="AC54" s="124">
        <f>IF(AB54="","",COUNTIFS($C$18:$C$2015,AB$13,$D$18:$D$2015,"&gt;="&amp;AB54,$D$18:$D$2015,"&lt;"&amp;AB55))</f>
        <v/>
      </c>
      <c r="AD54" s="14" t="n"/>
    </row>
    <row r="55">
      <c r="A55" s="58" t="n"/>
      <c r="B55" s="59" t="n"/>
      <c r="C55" s="59" t="n"/>
      <c r="E55" s="16" t="n"/>
      <c r="F55" s="13" t="n"/>
      <c r="G55" s="16" t="n">
        <v>50</v>
      </c>
      <c r="H55" s="124">
        <f>IF(G55="","",COUNTIFS($C$18:$C$2015,G$13,$D$18:$D$2015,"&gt;="&amp;G55,$D$18:$D$2015,"&lt;"&amp;G56))</f>
        <v/>
      </c>
      <c r="I55" s="14" t="n"/>
      <c r="J55" s="16" t="n"/>
      <c r="K55" s="124">
        <f>IF(J55="","",COUNTIFS($C$18:$C$2015,J$13,$D$18:$D$2015,"&gt;="&amp;J55,$D$18:$D$2015,"&lt;"&amp;J56))</f>
        <v/>
      </c>
      <c r="L55" s="14" t="n"/>
      <c r="M55" s="16" t="n">
        <v>90</v>
      </c>
      <c r="N55" s="124">
        <f>IF(M55="","",COUNTIFS($C$18:$C$2015,M$13,$D$18:$D$2015,"&gt;="&amp;M55,$D$18:$D$2015,"&lt;"&amp;M56))</f>
        <v/>
      </c>
      <c r="O55" s="14" t="n"/>
      <c r="P55" s="16" t="n">
        <v>50</v>
      </c>
      <c r="Q55" s="124">
        <f>IF(P55="","",COUNTIFS($C$18:$C$2015,P$13,$D$18:$D$2015,"&gt;="&amp;P55,$D$18:$D$2015,"&lt;"&amp;P56))</f>
        <v/>
      </c>
      <c r="R55" s="14" t="n"/>
      <c r="S55" s="16" t="n">
        <v>90</v>
      </c>
      <c r="T55" s="124">
        <f>IF(S55="","",COUNTIFS($C$18:$C$2015,S$13,$D$18:$D$2015,"&gt;="&amp;S55,$D$18:$D$2015,"&lt;"&amp;S56))</f>
        <v/>
      </c>
      <c r="U55" s="14" t="n"/>
      <c r="V55" s="16" t="n"/>
      <c r="W55" s="124">
        <f>IF(V55="","",COUNTIFS($C$18:$C$2015,V$13,$D$18:$D$2015,"&gt;="&amp;V55,$D$18:$D$2015,"&lt;"&amp;V56))</f>
        <v/>
      </c>
      <c r="X55" s="14" t="n"/>
      <c r="Y55" s="16" t="n"/>
      <c r="Z55" s="124">
        <f>IF(Y55="","",COUNTIFS($C$18:$C$2015,Y$13,$D$18:$D$2015,"&gt;="&amp;Y55,$D$18:$D$2015,"&lt;"&amp;Y56))</f>
        <v/>
      </c>
      <c r="AA55" s="14" t="n"/>
      <c r="AB55" s="16" t="n">
        <v>50</v>
      </c>
      <c r="AC55" s="124">
        <f>IF(AB55="","",COUNTIFS($C$18:$C$2015,AB$13,$D$18:$D$2015,"&gt;="&amp;AB55,$D$18:$D$2015,"&lt;"&amp;AB56))</f>
        <v/>
      </c>
      <c r="AD55" s="14" t="n"/>
    </row>
    <row r="56">
      <c r="A56" s="56" t="n"/>
      <c r="B56" s="57" t="n"/>
      <c r="C56" s="59" t="n"/>
      <c r="E56" s="16" t="n"/>
      <c r="F56" s="13" t="n"/>
      <c r="G56" s="16" t="n">
        <v>51</v>
      </c>
      <c r="H56" s="124">
        <f>IF(G56="","",COUNTIFS($C$18:$C$2015,G$13,$D$18:$D$2015,"&gt;="&amp;G56,$D$18:$D$2015,"&lt;"&amp;G57))</f>
        <v/>
      </c>
      <c r="I56" s="14" t="n"/>
      <c r="J56" s="16" t="n"/>
      <c r="K56" s="124">
        <f>IF(J56="","",COUNTIFS($C$18:$C$2015,J$13,$D$18:$D$2015,"&gt;="&amp;J56,$D$18:$D$2015,"&lt;"&amp;J57))</f>
        <v/>
      </c>
      <c r="L56" s="14" t="n"/>
      <c r="M56" s="16" t="n"/>
      <c r="N56" s="124">
        <f>IF(M56="","",COUNTIFS($C$18:$C$2015,M$13,$D$18:$D$2015,"&gt;="&amp;M56,$D$18:$D$2015,"&lt;"&amp;M57))</f>
        <v/>
      </c>
      <c r="O56" s="14" t="n"/>
      <c r="P56" s="16" t="n">
        <v>51</v>
      </c>
      <c r="Q56" s="124">
        <f>IF(P56="","",COUNTIFS($C$18:$C$2015,P$13,$D$18:$D$2015,"&gt;="&amp;P56,$D$18:$D$2015,"&lt;"&amp;P57))</f>
        <v/>
      </c>
      <c r="R56" s="14" t="n"/>
      <c r="S56" s="16" t="n">
        <v>92</v>
      </c>
      <c r="T56" s="124">
        <f>IF(S56="","",COUNTIFS($C$18:$C$2015,S$13,$D$18:$D$2015,"&gt;="&amp;S56,$D$18:$D$2015,"&lt;"&amp;S57))</f>
        <v/>
      </c>
      <c r="U56" s="14" t="n"/>
      <c r="V56" s="16" t="n"/>
      <c r="W56" s="124">
        <f>IF(V56="","",COUNTIFS($C$18:$C$2015,V$13,$D$18:$D$2015,"&gt;="&amp;V56,$D$18:$D$2015,"&lt;"&amp;V57))</f>
        <v/>
      </c>
      <c r="X56" s="14" t="n"/>
      <c r="Y56" s="16" t="n"/>
      <c r="Z56" s="124">
        <f>IF(Y56="","",COUNTIFS($C$18:$C$2015,Y$13,$D$18:$D$2015,"&gt;="&amp;Y56,$D$18:$D$2015,"&lt;"&amp;Y57))</f>
        <v/>
      </c>
      <c r="AA56" s="14" t="n"/>
      <c r="AB56" s="16" t="n">
        <v>51</v>
      </c>
      <c r="AC56" s="124">
        <f>IF(AB56="","",COUNTIFS($C$18:$C$2015,AB$13,$D$18:$D$2015,"&gt;="&amp;AB56,$D$18:$D$2015,"&lt;"&amp;AB57))</f>
        <v/>
      </c>
      <c r="AD56" s="14" t="n"/>
    </row>
    <row r="57">
      <c r="A57" s="58" t="n"/>
      <c r="B57" s="59" t="n"/>
      <c r="C57" s="59" t="n"/>
      <c r="E57" s="16" t="n"/>
      <c r="F57" s="13" t="n"/>
      <c r="G57" s="16" t="n">
        <v>52</v>
      </c>
      <c r="H57" s="124">
        <f>IF(G57="","",COUNTIFS($C$18:$C$2015,G$13,$D$18:$D$2015,"&gt;="&amp;G57,$D$18:$D$2015,"&lt;"&amp;G58))</f>
        <v/>
      </c>
      <c r="I57" s="14" t="n"/>
      <c r="J57" s="16" t="n"/>
      <c r="K57" s="124">
        <f>IF(J57="","",COUNTIFS($C$18:$C$2015,J$13,$D$18:$D$2015,"&gt;="&amp;J57,$D$18:$D$2015,"&lt;"&amp;J58))</f>
        <v/>
      </c>
      <c r="L57" s="14" t="n"/>
      <c r="M57" s="16" t="n"/>
      <c r="N57" s="124">
        <f>IF(M57="","",COUNTIFS($C$18:$C$2015,M$13,$D$18:$D$2015,"&gt;="&amp;M57,$D$18:$D$2015,"&lt;"&amp;M58))</f>
        <v/>
      </c>
      <c r="O57" s="14" t="n"/>
      <c r="P57" s="16" t="n">
        <v>52</v>
      </c>
      <c r="Q57" s="124">
        <f>IF(P57="","",COUNTIFS($C$18:$C$2015,P$13,$D$18:$D$2015,"&gt;="&amp;P57,$D$18:$D$2015,"&lt;"&amp;P58))</f>
        <v/>
      </c>
      <c r="R57" s="14" t="n"/>
      <c r="S57" s="16" t="n">
        <v>94</v>
      </c>
      <c r="T57" s="124">
        <f>IF(S57="","",COUNTIFS($C$18:$C$2015,S$13,$D$18:$D$2015,"&gt;="&amp;S57,$D$18:$D$2015,"&lt;"&amp;S58))</f>
        <v/>
      </c>
      <c r="U57" s="14" t="n"/>
      <c r="V57" s="16" t="n"/>
      <c r="W57" s="124">
        <f>IF(V57="","",COUNTIFS($C$18:$C$2015,V$13,$D$18:$D$2015,"&gt;="&amp;V57,$D$18:$D$2015,"&lt;"&amp;V58))</f>
        <v/>
      </c>
      <c r="X57" s="14" t="n"/>
      <c r="Y57" s="16" t="n"/>
      <c r="Z57" s="124">
        <f>IF(Y57="","",COUNTIFS($C$18:$C$2015,Y$13,$D$18:$D$2015,"&gt;="&amp;Y57,$D$18:$D$2015,"&lt;"&amp;Y58))</f>
        <v/>
      </c>
      <c r="AA57" s="14" t="n"/>
      <c r="AB57" s="16" t="n">
        <v>52</v>
      </c>
      <c r="AC57" s="124">
        <f>IF(AB57="","",COUNTIFS($C$18:$C$2015,AB$13,$D$18:$D$2015,"&gt;="&amp;AB57,$D$18:$D$2015,"&lt;"&amp;AB58))</f>
        <v/>
      </c>
      <c r="AD57" s="14" t="n"/>
    </row>
    <row r="58">
      <c r="A58" s="56" t="n"/>
      <c r="B58" s="57" t="n"/>
      <c r="C58" s="59" t="n"/>
      <c r="E58" s="16" t="n"/>
      <c r="F58" s="13" t="n"/>
      <c r="G58" s="16" t="n">
        <v>53</v>
      </c>
      <c r="H58" s="124">
        <f>IF(G58="","",COUNTIFS($C$18:$C$2015,G$13,$D$18:$D$2015,"&gt;="&amp;G58,$D$18:$D$2015,"&lt;"&amp;G59))</f>
        <v/>
      </c>
      <c r="I58" s="14" t="n"/>
      <c r="J58" s="16" t="n"/>
      <c r="K58" s="124">
        <f>IF(J58="","",COUNTIFS($C$18:$C$2015,J$13,$D$18:$D$2015,"&gt;="&amp;J58,$D$18:$D$2015,"&lt;"&amp;J59))</f>
        <v/>
      </c>
      <c r="L58" s="14" t="n"/>
      <c r="M58" s="16" t="n"/>
      <c r="N58" s="124">
        <f>IF(M58="","",COUNTIFS($C$18:$C$2015,M$13,$D$18:$D$2015,"&gt;="&amp;M58,$D$18:$D$2015,"&lt;"&amp;M59))</f>
        <v/>
      </c>
      <c r="O58" s="14" t="n"/>
      <c r="P58" s="16" t="n">
        <v>53</v>
      </c>
      <c r="Q58" s="124">
        <f>IF(P58="","",COUNTIFS($C$18:$C$2015,P$13,$D$18:$D$2015,"&gt;="&amp;P58,$D$18:$D$2015,"&lt;"&amp;P59))</f>
        <v/>
      </c>
      <c r="R58" s="14" t="n"/>
      <c r="S58" s="16" t="n">
        <v>96</v>
      </c>
      <c r="T58" s="124">
        <f>IF(S58="","",COUNTIFS($C$18:$C$2015,S$13,$D$18:$D$2015,"&gt;="&amp;S58,$D$18:$D$2015,"&lt;"&amp;S59))</f>
        <v/>
      </c>
      <c r="U58" s="14" t="n"/>
      <c r="V58" s="16" t="n"/>
      <c r="W58" s="124">
        <f>IF(V58="","",COUNTIFS($C$18:$C$2015,V$13,$D$18:$D$2015,"&gt;="&amp;V58,$D$18:$D$2015,"&lt;"&amp;V59))</f>
        <v/>
      </c>
      <c r="X58" s="14" t="n"/>
      <c r="Y58" s="16" t="n"/>
      <c r="Z58" s="124">
        <f>IF(Y58="","",COUNTIFS($C$18:$C$2015,Y$13,$D$18:$D$2015,"&gt;="&amp;Y58,$D$18:$D$2015,"&lt;"&amp;Y59))</f>
        <v/>
      </c>
      <c r="AA58" s="14" t="n"/>
      <c r="AB58" s="16" t="n">
        <v>53</v>
      </c>
      <c r="AC58" s="124">
        <f>IF(AB58="","",COUNTIFS($C$18:$C$2015,AB$13,$D$18:$D$2015,"&gt;="&amp;AB58,$D$18:$D$2015,"&lt;"&amp;AB59))</f>
        <v/>
      </c>
      <c r="AD58" s="14" t="n"/>
    </row>
    <row r="59">
      <c r="A59" s="58" t="n"/>
      <c r="B59" s="59" t="n"/>
      <c r="C59" s="59" t="n"/>
      <c r="E59" s="16" t="n"/>
      <c r="F59" s="13" t="n"/>
      <c r="G59" s="16" t="n">
        <v>54</v>
      </c>
      <c r="H59" s="124">
        <f>IF(G59="","",COUNTIFS($C$18:$C$2015,G$13,$D$18:$D$2015,"&gt;="&amp;G59,$D$18:$D$2015,"&lt;"&amp;G60))</f>
        <v/>
      </c>
      <c r="I59" s="14" t="n"/>
      <c r="J59" s="16" t="n"/>
      <c r="K59" s="124">
        <f>IF(J59="","",COUNTIFS($C$18:$C$2015,J$13,$D$18:$D$2015,"&gt;="&amp;J59,$D$18:$D$2015,"&lt;"&amp;J60))</f>
        <v/>
      </c>
      <c r="L59" s="14" t="n"/>
      <c r="M59" s="16" t="n"/>
      <c r="N59" s="124">
        <f>IF(M59="","",COUNTIFS($C$18:$C$2015,M$13,$D$18:$D$2015,"&gt;="&amp;M59,$D$18:$D$2015,"&lt;"&amp;M60))</f>
        <v/>
      </c>
      <c r="O59" s="14" t="n"/>
      <c r="P59" s="16" t="n">
        <v>54</v>
      </c>
      <c r="Q59" s="124">
        <f>IF(P59="","",COUNTIFS($C$18:$C$2015,P$13,$D$18:$D$2015,"&gt;="&amp;P59,$D$18:$D$2015,"&lt;"&amp;P60))</f>
        <v/>
      </c>
      <c r="R59" s="14" t="n"/>
      <c r="S59" s="16" t="n">
        <v>98</v>
      </c>
      <c r="T59" s="124">
        <f>IF(S59="","",COUNTIFS($C$18:$C$2015,S$13,$D$18:$D$2015,"&gt;="&amp;S59,$D$18:$D$2015,"&lt;"&amp;S60))</f>
        <v/>
      </c>
      <c r="U59" s="14" t="n"/>
      <c r="V59" s="16" t="n"/>
      <c r="W59" s="124">
        <f>IF(V59="","",COUNTIFS($C$18:$C$2015,V$13,$D$18:$D$2015,"&gt;="&amp;V59,$D$18:$D$2015,"&lt;"&amp;V60))</f>
        <v/>
      </c>
      <c r="X59" s="14" t="n"/>
      <c r="Y59" s="16" t="n"/>
      <c r="Z59" s="124">
        <f>IF(Y59="","",COUNTIFS($C$18:$C$2015,Y$13,$D$18:$D$2015,"&gt;="&amp;Y59,$D$18:$D$2015,"&lt;"&amp;Y60))</f>
        <v/>
      </c>
      <c r="AA59" s="14" t="n"/>
      <c r="AB59" s="16" t="n">
        <v>54</v>
      </c>
      <c r="AC59" s="124">
        <f>IF(AB59="","",COUNTIFS($C$18:$C$2015,AB$13,$D$18:$D$2015,"&gt;="&amp;AB59,$D$18:$D$2015,"&lt;"&amp;AB60))</f>
        <v/>
      </c>
      <c r="AD59" s="14" t="n"/>
    </row>
    <row r="60">
      <c r="A60" s="56" t="n"/>
      <c r="B60" s="57" t="n"/>
      <c r="C60" s="59" t="n"/>
      <c r="E60" s="16" t="n"/>
      <c r="F60" s="13" t="n"/>
      <c r="G60" s="16" t="n">
        <v>55</v>
      </c>
      <c r="H60" s="124">
        <f>IF(G60="","",COUNTIFS($C$18:$C$2015,G$13,$D$18:$D$2015,"&gt;="&amp;G60,$D$18:$D$2015,"&lt;"&amp;G61))</f>
        <v/>
      </c>
      <c r="I60" s="14" t="n"/>
      <c r="J60" s="16" t="n"/>
      <c r="K60" s="124">
        <f>IF(J60="","",COUNTIFS($C$18:$C$2015,J$13,$D$18:$D$2015,"&gt;="&amp;J60,$D$18:$D$2015,"&lt;"&amp;J61))</f>
        <v/>
      </c>
      <c r="L60" s="14" t="n"/>
      <c r="M60" s="16" t="n"/>
      <c r="N60" s="124">
        <f>IF(M60="","",COUNTIFS($C$18:$C$2015,M$13,$D$18:$D$2015,"&gt;="&amp;M60,$D$18:$D$2015,"&lt;"&amp;M61))</f>
        <v/>
      </c>
      <c r="O60" s="14" t="n"/>
      <c r="P60" s="16" t="n">
        <v>55</v>
      </c>
      <c r="Q60" s="124">
        <f>IF(P60="","",COUNTIFS($C$18:$C$2015,P$13,$D$18:$D$2015,"&gt;="&amp;P60,$D$18:$D$2015,"&lt;"&amp;P61))</f>
        <v/>
      </c>
      <c r="R60" s="14" t="n"/>
      <c r="S60" s="16" t="n">
        <v>100</v>
      </c>
      <c r="T60" s="124">
        <f>IF(S60="","",COUNTIFS($C$18:$C$2015,S$13,$D$18:$D$2015,"&gt;="&amp;S60,$D$18:$D$2015,"&lt;"&amp;S61))</f>
        <v/>
      </c>
      <c r="U60" s="14" t="n"/>
      <c r="V60" s="16" t="n"/>
      <c r="W60" s="124">
        <f>IF(V60="","",COUNTIFS($C$18:$C$2015,V$13,$D$18:$D$2015,"&gt;="&amp;V60,$D$18:$D$2015,"&lt;"&amp;V61))</f>
        <v/>
      </c>
      <c r="X60" s="14" t="n"/>
      <c r="Y60" s="16" t="n"/>
      <c r="Z60" s="124">
        <f>IF(Y60="","",COUNTIFS($C$18:$C$2015,Y$13,$D$18:$D$2015,"&gt;="&amp;Y60,$D$18:$D$2015,"&lt;"&amp;Y61))</f>
        <v/>
      </c>
      <c r="AA60" s="14" t="n"/>
      <c r="AB60" s="16" t="n">
        <v>55</v>
      </c>
      <c r="AC60" s="124">
        <f>IF(AB60="","",COUNTIFS($C$18:$C$2015,AB$13,$D$18:$D$2015,"&gt;="&amp;AB60,$D$18:$D$2015,"&lt;"&amp;AB61))</f>
        <v/>
      </c>
      <c r="AD60" s="14" t="n"/>
    </row>
    <row r="61">
      <c r="A61" s="58" t="n"/>
      <c r="B61" s="59" t="n"/>
      <c r="C61" s="59" t="n"/>
      <c r="E61" s="16" t="n"/>
      <c r="F61" s="13" t="n"/>
      <c r="G61" s="16" t="n">
        <v>56</v>
      </c>
      <c r="H61" s="124">
        <f>IF(G61="","",COUNTIFS($C$18:$C$2015,G$13,$D$18:$D$2015,"&gt;="&amp;G61,$D$18:$D$2015,"&lt;"&amp;G62))</f>
        <v/>
      </c>
      <c r="I61" s="14" t="n"/>
      <c r="J61" s="16" t="n"/>
      <c r="K61" s="124">
        <f>IF(J61="","",COUNTIFS($C$18:$C$2015,J$13,$D$18:$D$2015,"&gt;="&amp;J61,$D$18:$D$2015,"&lt;"&amp;J62))</f>
        <v/>
      </c>
      <c r="L61" s="14" t="n"/>
      <c r="M61" s="16" t="n"/>
      <c r="N61" s="124">
        <f>IF(M61="","",COUNTIFS($C$18:$C$2015,M$13,$D$18:$D$2015,"&gt;="&amp;M61,$D$18:$D$2015,"&lt;"&amp;M62))</f>
        <v/>
      </c>
      <c r="O61" s="14" t="n"/>
      <c r="P61" s="16" t="n">
        <v>56</v>
      </c>
      <c r="Q61" s="124">
        <f>IF(P61="","",COUNTIFS($C$18:$C$2015,P$13,$D$18:$D$2015,"&gt;="&amp;P61,$D$18:$D$2015,"&lt;"&amp;P62))</f>
        <v/>
      </c>
      <c r="R61" s="14" t="n"/>
      <c r="S61" s="16" t="n"/>
      <c r="T61" s="124">
        <f>IF(S61="","",COUNTIFS($C$18:$C$2015,S$13,$D$18:$D$2015,"&gt;="&amp;S61,$D$18:$D$2015,"&lt;"&amp;S62))</f>
        <v/>
      </c>
      <c r="U61" s="14" t="n"/>
      <c r="V61" s="16" t="n"/>
      <c r="W61" s="124">
        <f>IF(V61="","",COUNTIFS($C$18:$C$2015,V$13,$D$18:$D$2015,"&gt;="&amp;V61,$D$18:$D$2015,"&lt;"&amp;V62))</f>
        <v/>
      </c>
      <c r="X61" s="14" t="n"/>
      <c r="Y61" s="16" t="n"/>
      <c r="Z61" s="124">
        <f>IF(Y61="","",COUNTIFS($C$18:$C$2015,Y$13,$D$18:$D$2015,"&gt;="&amp;Y61,$D$18:$D$2015,"&lt;"&amp;Y62))</f>
        <v/>
      </c>
      <c r="AA61" s="14" t="n"/>
      <c r="AB61" s="16" t="n">
        <v>56</v>
      </c>
      <c r="AC61" s="124">
        <f>IF(AB61="","",COUNTIFS($C$18:$C$2015,AB$13,$D$18:$D$2015,"&gt;="&amp;AB61,$D$18:$D$2015,"&lt;"&amp;AB62))</f>
        <v/>
      </c>
      <c r="AD61" s="14" t="n"/>
    </row>
    <row r="62">
      <c r="A62" s="56" t="n"/>
      <c r="B62" s="57" t="n"/>
      <c r="C62" s="59" t="n"/>
      <c r="E62" s="16" t="n"/>
      <c r="F62" s="13" t="n"/>
      <c r="G62" s="16" t="n">
        <v>57</v>
      </c>
      <c r="H62" s="124">
        <f>IF(G62="","",COUNTIFS($C$18:$C$2015,G$13,$D$18:$D$2015,"&gt;="&amp;G62,$D$18:$D$2015,"&lt;"&amp;G63))</f>
        <v/>
      </c>
      <c r="I62" s="14" t="n"/>
      <c r="J62" s="16" t="n"/>
      <c r="K62" s="124">
        <f>IF(J62="","",COUNTIFS($C$18:$C$2015,J$13,$D$18:$D$2015,"&gt;="&amp;J62,$D$18:$D$2015,"&lt;"&amp;J63))</f>
        <v/>
      </c>
      <c r="L62" s="14" t="n"/>
      <c r="M62" s="16" t="n"/>
      <c r="N62" s="124">
        <f>IF(M62="","",COUNTIFS($C$18:$C$2015,M$13,$D$18:$D$2015,"&gt;="&amp;M62,$D$18:$D$2015,"&lt;"&amp;M63))</f>
        <v/>
      </c>
      <c r="O62" s="14" t="n"/>
      <c r="P62" s="16" t="n">
        <v>57</v>
      </c>
      <c r="Q62" s="124">
        <f>IF(P62="","",COUNTIFS($C$18:$C$2015,P$13,$D$18:$D$2015,"&gt;="&amp;P62,$D$18:$D$2015,"&lt;"&amp;P63))</f>
        <v/>
      </c>
      <c r="R62" s="14" t="n"/>
      <c r="S62" s="16" t="n"/>
      <c r="T62" s="124">
        <f>IF(S62="","",COUNTIFS($C$18:$C$2015,S$13,$D$18:$D$2015,"&gt;="&amp;S62,$D$18:$D$2015,"&lt;"&amp;S63))</f>
        <v/>
      </c>
      <c r="U62" s="14" t="n"/>
      <c r="V62" s="16" t="n"/>
      <c r="W62" s="124">
        <f>IF(V62="","",COUNTIFS($C$18:$C$2015,V$13,$D$18:$D$2015,"&gt;="&amp;V62,$D$18:$D$2015,"&lt;"&amp;V63))</f>
        <v/>
      </c>
      <c r="X62" s="14" t="n"/>
      <c r="Y62" s="16" t="n"/>
      <c r="Z62" s="124">
        <f>IF(Y62="","",COUNTIFS($C$18:$C$2015,Y$13,$D$18:$D$2015,"&gt;="&amp;Y62,$D$18:$D$2015,"&lt;"&amp;Y63))</f>
        <v/>
      </c>
      <c r="AA62" s="14" t="n"/>
      <c r="AB62" s="16" t="n">
        <v>57</v>
      </c>
      <c r="AC62" s="124">
        <f>IF(AB62="","",COUNTIFS($C$18:$C$2015,AB$13,$D$18:$D$2015,"&gt;="&amp;AB62,$D$18:$D$2015,"&lt;"&amp;AB63))</f>
        <v/>
      </c>
      <c r="AD62" s="14" t="n"/>
    </row>
    <row r="63">
      <c r="A63" s="58" t="n"/>
      <c r="B63" s="59" t="n"/>
      <c r="C63" s="59" t="n"/>
      <c r="E63" s="16" t="n"/>
      <c r="F63" s="13" t="n"/>
      <c r="G63" s="16" t="n">
        <v>58</v>
      </c>
      <c r="H63" s="124">
        <f>IF(G63="","",COUNTIFS($C$18:$C$2015,G$13,$D$18:$D$2015,"&gt;="&amp;G63,$D$18:$D$2015,"&lt;"&amp;G64))</f>
        <v/>
      </c>
      <c r="I63" s="14" t="n"/>
      <c r="J63" s="16" t="n"/>
      <c r="K63" s="124">
        <f>IF(J63="","",COUNTIFS($C$18:$C$2015,J$13,$D$18:$D$2015,"&gt;="&amp;J63,$D$18:$D$2015,"&lt;"&amp;J64))</f>
        <v/>
      </c>
      <c r="L63" s="14" t="n"/>
      <c r="M63" s="16" t="n"/>
      <c r="N63" s="124">
        <f>IF(M63="","",COUNTIFS($C$18:$C$2015,M$13,$D$18:$D$2015,"&gt;="&amp;M63,$D$18:$D$2015,"&lt;"&amp;M64))</f>
        <v/>
      </c>
      <c r="O63" s="14" t="n"/>
      <c r="P63" s="16" t="n">
        <v>58</v>
      </c>
      <c r="Q63" s="124">
        <f>IF(P63="","",COUNTIFS($C$18:$C$2015,P$13,$D$18:$D$2015,"&gt;="&amp;P63,$D$18:$D$2015,"&lt;"&amp;P64))</f>
        <v/>
      </c>
      <c r="R63" s="14" t="n"/>
      <c r="S63" s="16" t="n"/>
      <c r="T63" s="124">
        <f>IF(S63="","",COUNTIFS($C$18:$C$2015,S$13,$D$18:$D$2015,"&gt;="&amp;S63,$D$18:$D$2015,"&lt;"&amp;S64))</f>
        <v/>
      </c>
      <c r="U63" s="14" t="n"/>
      <c r="V63" s="16" t="n"/>
      <c r="W63" s="124">
        <f>IF(V63="","",COUNTIFS($C$18:$C$2015,V$13,$D$18:$D$2015,"&gt;="&amp;V63,$D$18:$D$2015,"&lt;"&amp;V64))</f>
        <v/>
      </c>
      <c r="X63" s="14" t="n"/>
      <c r="Y63" s="16" t="n"/>
      <c r="Z63" s="124">
        <f>IF(Y63="","",COUNTIFS($C$18:$C$2015,Y$13,$D$18:$D$2015,"&gt;="&amp;Y63,$D$18:$D$2015,"&lt;"&amp;Y64))</f>
        <v/>
      </c>
      <c r="AA63" s="14" t="n"/>
      <c r="AB63" s="16" t="n">
        <v>58</v>
      </c>
      <c r="AC63" s="124">
        <f>IF(AB63="","",COUNTIFS($C$18:$C$2015,AB$13,$D$18:$D$2015,"&gt;="&amp;AB63,$D$18:$D$2015,"&lt;"&amp;AB64))</f>
        <v/>
      </c>
      <c r="AD63" s="14" t="n"/>
    </row>
    <row r="64">
      <c r="A64" s="56" t="n"/>
      <c r="B64" s="57" t="n"/>
      <c r="C64" s="59" t="n"/>
      <c r="E64" s="16" t="n"/>
      <c r="F64" s="13" t="n"/>
      <c r="G64" s="16" t="n">
        <v>59</v>
      </c>
      <c r="H64" s="124">
        <f>IF(G64="","",COUNTIFS($C$18:$C$2015,G$13,$D$18:$D$2015,"&gt;="&amp;G64,$D$18:$D$2015,"&lt;"&amp;G65))</f>
        <v/>
      </c>
      <c r="I64" s="14" t="n"/>
      <c r="J64" s="16" t="n"/>
      <c r="K64" s="124">
        <f>IF(J64="","",COUNTIFS($C$18:$C$2015,J$13,$D$18:$D$2015,"&gt;="&amp;J64,$D$18:$D$2015,"&lt;"&amp;J65))</f>
        <v/>
      </c>
      <c r="L64" s="14" t="n"/>
      <c r="M64" s="16" t="n"/>
      <c r="N64" s="124">
        <f>IF(M64="","",COUNTIFS($C$18:$C$2015,M$13,$D$18:$D$2015,"&gt;="&amp;M64,$D$18:$D$2015,"&lt;"&amp;M65))</f>
        <v/>
      </c>
      <c r="O64" s="14" t="n"/>
      <c r="P64" s="16" t="n">
        <v>59</v>
      </c>
      <c r="Q64" s="124">
        <f>IF(P64="","",COUNTIFS($C$18:$C$2015,P$13,$D$18:$D$2015,"&gt;="&amp;P64,$D$18:$D$2015,"&lt;"&amp;P65))</f>
        <v/>
      </c>
      <c r="R64" s="14" t="n"/>
      <c r="S64" s="16" t="n"/>
      <c r="T64" s="124">
        <f>IF(S64="","",COUNTIFS($C$18:$C$2015,S$13,$D$18:$D$2015,"&gt;="&amp;S64,$D$18:$D$2015,"&lt;"&amp;S65))</f>
        <v/>
      </c>
      <c r="U64" s="14" t="n"/>
      <c r="V64" s="16" t="n"/>
      <c r="W64" s="124">
        <f>IF(V64="","",COUNTIFS($C$18:$C$2015,V$13,$D$18:$D$2015,"&gt;="&amp;V64,$D$18:$D$2015,"&lt;"&amp;V65))</f>
        <v/>
      </c>
      <c r="X64" s="14" t="n"/>
      <c r="Y64" s="16" t="n"/>
      <c r="Z64" s="124">
        <f>IF(Y64="","",COUNTIFS($C$18:$C$2015,Y$13,$D$18:$D$2015,"&gt;="&amp;Y64,$D$18:$D$2015,"&lt;"&amp;Y65))</f>
        <v/>
      </c>
      <c r="AA64" s="14" t="n"/>
      <c r="AB64" s="16" t="n">
        <v>59</v>
      </c>
      <c r="AC64" s="124">
        <f>IF(AB64="","",COUNTIFS($C$18:$C$2015,AB$13,$D$18:$D$2015,"&gt;="&amp;AB64,$D$18:$D$2015,"&lt;"&amp;AB65))</f>
        <v/>
      </c>
      <c r="AD64" s="14" t="n"/>
    </row>
    <row r="65">
      <c r="A65" s="58" t="n"/>
      <c r="B65" s="59" t="n"/>
      <c r="C65" s="59" t="n"/>
      <c r="E65" s="16" t="n"/>
      <c r="F65" s="13" t="n"/>
      <c r="G65" s="16" t="n">
        <v>60</v>
      </c>
      <c r="H65" s="124">
        <f>IF(G65="","",COUNTIFS($C$18:$C$2015,G$13,$D$18:$D$2015,"&gt;="&amp;G65,$D$18:$D$2015,"&lt;"&amp;G66))</f>
        <v/>
      </c>
      <c r="I65" s="14" t="n"/>
      <c r="J65" s="16" t="n"/>
      <c r="K65" s="124">
        <f>IF(J65="","",COUNTIFS($C$18:$C$2015,J$13,$D$18:$D$2015,"&gt;="&amp;J65,$D$18:$D$2015,"&lt;"&amp;J66))</f>
        <v/>
      </c>
      <c r="L65" s="14" t="n"/>
      <c r="M65" s="16" t="n"/>
      <c r="N65" s="124">
        <f>IF(M65="","",COUNTIFS($C$18:$C$2015,M$13,$D$18:$D$2015,"&gt;="&amp;M65,$D$18:$D$2015,"&lt;"&amp;M66))</f>
        <v/>
      </c>
      <c r="O65" s="14" t="n"/>
      <c r="P65" s="16" t="n">
        <v>60</v>
      </c>
      <c r="Q65" s="124">
        <f>IF(P65="","",COUNTIFS($C$18:$C$2015,P$13,$D$18:$D$2015,"&gt;="&amp;P65,$D$18:$D$2015,"&lt;"&amp;P66))</f>
        <v/>
      </c>
      <c r="R65" s="14" t="n"/>
      <c r="S65" s="16" t="n"/>
      <c r="T65" s="124">
        <f>IF(S65="","",COUNTIFS($C$18:$C$2015,S$13,$D$18:$D$2015,"&gt;="&amp;S65,$D$18:$D$2015,"&lt;"&amp;S66))</f>
        <v/>
      </c>
      <c r="U65" s="14" t="n"/>
      <c r="V65" s="16" t="n"/>
      <c r="W65" s="124">
        <f>IF(V65="","",COUNTIFS($C$18:$C$2015,V$13,$D$18:$D$2015,"&gt;="&amp;V65,$D$18:$D$2015,"&lt;"&amp;V66))</f>
        <v/>
      </c>
      <c r="X65" s="14" t="n"/>
      <c r="Y65" s="16" t="n"/>
      <c r="Z65" s="124">
        <f>IF(Y65="","",COUNTIFS($C$18:$C$2015,Y$13,$D$18:$D$2015,"&gt;="&amp;Y65,$D$18:$D$2015,"&lt;"&amp;Y66))</f>
        <v/>
      </c>
      <c r="AA65" s="14" t="n"/>
      <c r="AB65" s="16" t="n">
        <v>60</v>
      </c>
      <c r="AC65" s="124">
        <f>IF(AB65="","",COUNTIFS($C$18:$C$2015,AB$13,$D$18:$D$2015,"&gt;="&amp;AB65,$D$18:$D$2015,"&lt;"&amp;AB66))</f>
        <v/>
      </c>
      <c r="AD65" s="14" t="n"/>
    </row>
    <row r="66">
      <c r="A66" s="56" t="n"/>
      <c r="B66" s="57" t="n"/>
      <c r="C66" s="59" t="n"/>
      <c r="E66" s="16" t="n"/>
      <c r="F66" s="13" t="n"/>
      <c r="G66" s="16" t="n">
        <v>61</v>
      </c>
      <c r="H66" s="124">
        <f>IF(G66="","",COUNTIFS($C$18:$C$2015,G$13,$D$18:$D$2015,"&gt;="&amp;G66,$D$18:$D$2015,"&lt;"&amp;G67))</f>
        <v/>
      </c>
      <c r="I66" s="14" t="n"/>
      <c r="J66" s="16" t="n"/>
      <c r="K66" s="124">
        <f>IF(J66="","",COUNTIFS($C$18:$C$2015,J$13,$D$18:$D$2015,"&gt;="&amp;J66,$D$18:$D$2015,"&lt;"&amp;J67))</f>
        <v/>
      </c>
      <c r="L66" s="14" t="n"/>
      <c r="M66" s="16" t="n"/>
      <c r="N66" s="124">
        <f>IF(M66="","",COUNTIFS($C$18:$C$2015,M$13,$D$18:$D$2015,"&gt;="&amp;M66,$D$18:$D$2015,"&lt;"&amp;M67))</f>
        <v/>
      </c>
      <c r="O66" s="14" t="n"/>
      <c r="P66" s="16" t="n">
        <v>61</v>
      </c>
      <c r="Q66" s="124">
        <f>IF(P66="","",COUNTIFS($C$18:$C$2015,P$13,$D$18:$D$2015,"&gt;="&amp;P66,$D$18:$D$2015,"&lt;"&amp;P67))</f>
        <v/>
      </c>
      <c r="R66" s="14" t="n"/>
      <c r="S66" s="16" t="n"/>
      <c r="T66" s="124">
        <f>IF(S66="","",COUNTIFS($C$18:$C$2015,S$13,$D$18:$D$2015,"&gt;="&amp;S66,$D$18:$D$2015,"&lt;"&amp;S67))</f>
        <v/>
      </c>
      <c r="U66" s="14" t="n"/>
      <c r="V66" s="16" t="n"/>
      <c r="W66" s="124">
        <f>IF(V66="","",COUNTIFS($C$18:$C$2015,V$13,$D$18:$D$2015,"&gt;="&amp;V66,$D$18:$D$2015,"&lt;"&amp;V67))</f>
        <v/>
      </c>
      <c r="X66" s="14" t="n"/>
      <c r="Y66" s="16" t="n"/>
      <c r="Z66" s="124">
        <f>IF(Y66="","",COUNTIFS($C$18:$C$2015,Y$13,$D$18:$D$2015,"&gt;="&amp;Y66,$D$18:$D$2015,"&lt;"&amp;Y67))</f>
        <v/>
      </c>
      <c r="AA66" s="14" t="n"/>
      <c r="AB66" s="16" t="n">
        <v>61</v>
      </c>
      <c r="AC66" s="124">
        <f>IF(AB66="","",COUNTIFS($C$18:$C$2015,AB$13,$D$18:$D$2015,"&gt;="&amp;AB66,$D$18:$D$2015,"&lt;"&amp;AB67))</f>
        <v/>
      </c>
      <c r="AD66" s="14" t="n"/>
    </row>
    <row r="67">
      <c r="A67" s="58" t="n"/>
      <c r="B67" s="59" t="n"/>
      <c r="C67" s="59" t="n"/>
      <c r="E67" s="16" t="n"/>
      <c r="F67" s="13" t="n"/>
      <c r="G67" s="16" t="n">
        <v>62</v>
      </c>
      <c r="H67" s="124">
        <f>IF(G67="","",COUNTIFS($C$18:$C$2015,G$13,$D$18:$D$2015,"&gt;="&amp;G67,$D$18:$D$2015,"&lt;"&amp;G68))</f>
        <v/>
      </c>
      <c r="I67" s="14" t="n"/>
      <c r="J67" s="16" t="n"/>
      <c r="K67" s="124">
        <f>IF(J67="","",COUNTIFS($C$18:$C$2015,J$13,$D$18:$D$2015,"&gt;="&amp;J67,$D$18:$D$2015,"&lt;"&amp;J68))</f>
        <v/>
      </c>
      <c r="L67" s="14" t="n"/>
      <c r="M67" s="16" t="n"/>
      <c r="N67" s="124">
        <f>IF(M67="","",COUNTIFS($C$18:$C$2015,M$13,$D$18:$D$2015,"&gt;="&amp;M67,$D$18:$D$2015,"&lt;"&amp;M68))</f>
        <v/>
      </c>
      <c r="O67" s="14" t="n"/>
      <c r="P67" s="16" t="n">
        <v>62</v>
      </c>
      <c r="Q67" s="124">
        <f>IF(P67="","",COUNTIFS($C$18:$C$2015,P$13,$D$18:$D$2015,"&gt;="&amp;P67,$D$18:$D$2015,"&lt;"&amp;P68))</f>
        <v/>
      </c>
      <c r="R67" s="14" t="n"/>
      <c r="S67" s="16" t="n"/>
      <c r="T67" s="124">
        <f>IF(S67="","",COUNTIFS($C$18:$C$2015,S$13,$D$18:$D$2015,"&gt;="&amp;S67,$D$18:$D$2015,"&lt;"&amp;S68))</f>
        <v/>
      </c>
      <c r="U67" s="14" t="n"/>
      <c r="V67" s="16" t="n"/>
      <c r="W67" s="124">
        <f>IF(V67="","",COUNTIFS($C$18:$C$2015,V$13,$D$18:$D$2015,"&gt;="&amp;V67,$D$18:$D$2015,"&lt;"&amp;V68))</f>
        <v/>
      </c>
      <c r="X67" s="14" t="n"/>
      <c r="Y67" s="16" t="n"/>
      <c r="Z67" s="124">
        <f>IF(Y67="","",COUNTIFS($C$18:$C$2015,Y$13,$D$18:$D$2015,"&gt;="&amp;Y67,$D$18:$D$2015,"&lt;"&amp;Y68))</f>
        <v/>
      </c>
      <c r="AA67" s="14" t="n"/>
      <c r="AB67" s="16" t="n">
        <v>62</v>
      </c>
      <c r="AC67" s="124">
        <f>IF(AB67="","",COUNTIFS($C$18:$C$2015,AB$13,$D$18:$D$2015,"&gt;="&amp;AB67,$D$18:$D$2015,"&lt;"&amp;AB68))</f>
        <v/>
      </c>
      <c r="AD67" s="14" t="n"/>
    </row>
    <row r="68">
      <c r="A68" s="56" t="n"/>
      <c r="B68" s="57" t="n"/>
      <c r="C68" s="59" t="n"/>
      <c r="E68" s="16" t="n"/>
      <c r="F68" s="13" t="n"/>
      <c r="G68" s="16" t="n">
        <v>63</v>
      </c>
      <c r="H68" s="124">
        <f>IF(G68="","",COUNTIFS($C$18:$C$2015,G$13,$D$18:$D$2015,"&gt;="&amp;G68,$D$18:$D$2015,"&lt;"&amp;G69))</f>
        <v/>
      </c>
      <c r="I68" s="14" t="n"/>
      <c r="J68" s="16" t="n"/>
      <c r="K68" s="124">
        <f>IF(J68="","",COUNTIFS($C$18:$C$2015,J$13,$D$18:$D$2015,"&gt;="&amp;J68,$D$18:$D$2015,"&lt;"&amp;J69))</f>
        <v/>
      </c>
      <c r="L68" s="14" t="n"/>
      <c r="M68" s="16" t="n"/>
      <c r="N68" s="124">
        <f>IF(M68="","",COUNTIFS($C$18:$C$2015,M$13,$D$18:$D$2015,"&gt;="&amp;M68,$D$18:$D$2015,"&lt;"&amp;M69))</f>
        <v/>
      </c>
      <c r="O68" s="14" t="n"/>
      <c r="P68" s="16" t="n">
        <v>63</v>
      </c>
      <c r="Q68" s="124">
        <f>IF(P68="","",COUNTIFS($C$18:$C$2015,P$13,$D$18:$D$2015,"&gt;="&amp;P68,$D$18:$D$2015,"&lt;"&amp;P69))</f>
        <v/>
      </c>
      <c r="R68" s="14" t="n"/>
      <c r="S68" s="16" t="n"/>
      <c r="T68" s="124">
        <f>IF(S68="","",COUNTIFS($C$18:$C$2015,S$13,$D$18:$D$2015,"&gt;="&amp;S68,$D$18:$D$2015,"&lt;"&amp;S69))</f>
        <v/>
      </c>
      <c r="U68" s="14" t="n"/>
      <c r="V68" s="16" t="n"/>
      <c r="W68" s="124">
        <f>IF(V68="","",COUNTIFS($C$18:$C$2015,V$13,$D$18:$D$2015,"&gt;="&amp;V68,$D$18:$D$2015,"&lt;"&amp;V69))</f>
        <v/>
      </c>
      <c r="X68" s="14" t="n"/>
      <c r="Y68" s="16" t="n"/>
      <c r="Z68" s="124">
        <f>IF(Y68="","",COUNTIFS($C$18:$C$2015,Y$13,$D$18:$D$2015,"&gt;="&amp;Y68,$D$18:$D$2015,"&lt;"&amp;Y69))</f>
        <v/>
      </c>
      <c r="AA68" s="14" t="n"/>
      <c r="AB68" s="16" t="n"/>
      <c r="AC68" s="124">
        <f>IF(AB68="","",COUNTIFS($C$18:$C$2015,AB$13,$D$18:$D$2015,"&gt;="&amp;AB68,$D$18:$D$2015,"&lt;"&amp;AB69))</f>
        <v/>
      </c>
      <c r="AD68" s="14" t="n"/>
    </row>
    <row r="69">
      <c r="A69" s="58" t="n"/>
      <c r="B69" s="59" t="n"/>
      <c r="C69" s="59" t="n"/>
      <c r="E69" s="16" t="n"/>
      <c r="F69" s="13" t="n"/>
      <c r="G69" s="16" t="n">
        <v>64</v>
      </c>
      <c r="H69" s="124">
        <f>IF(G69="","",COUNTIFS($C$18:$C$2015,G$13,$D$18:$D$2015,"&gt;="&amp;G69,$D$18:$D$2015,"&lt;"&amp;G70))</f>
        <v/>
      </c>
      <c r="I69" s="14" t="n"/>
      <c r="J69" s="16" t="n"/>
      <c r="K69" s="124">
        <f>IF(J69="","",COUNTIFS($C$18:$C$2015,J$13,$D$18:$D$2015,"&gt;="&amp;J69,$D$18:$D$2015,"&lt;"&amp;J70))</f>
        <v/>
      </c>
      <c r="L69" s="14" t="n"/>
      <c r="M69" s="16" t="n"/>
      <c r="N69" s="124">
        <f>IF(M69="","",COUNTIFS($C$18:$C$2015,M$13,$D$18:$D$2015,"&gt;="&amp;M69,$D$18:$D$2015,"&lt;"&amp;M70))</f>
        <v/>
      </c>
      <c r="O69" s="14" t="n"/>
      <c r="P69" s="16" t="n">
        <v>64</v>
      </c>
      <c r="Q69" s="124">
        <f>IF(P69="","",COUNTIFS($C$18:$C$2015,P$13,$D$18:$D$2015,"&gt;="&amp;P69,$D$18:$D$2015,"&lt;"&amp;P70))</f>
        <v/>
      </c>
      <c r="R69" s="14" t="n"/>
      <c r="S69" s="16" t="n"/>
      <c r="T69" s="124">
        <f>IF(S69="","",COUNTIFS($C$18:$C$2015,S$13,$D$18:$D$2015,"&gt;="&amp;S69,$D$18:$D$2015,"&lt;"&amp;S70))</f>
        <v/>
      </c>
      <c r="U69" s="14" t="n"/>
      <c r="V69" s="16" t="n"/>
      <c r="W69" s="124">
        <f>IF(V69="","",COUNTIFS($C$18:$C$2015,V$13,$D$18:$D$2015,"&gt;="&amp;V69,$D$18:$D$2015,"&lt;"&amp;V70))</f>
        <v/>
      </c>
      <c r="X69" s="14" t="n"/>
      <c r="Y69" s="16" t="n"/>
      <c r="Z69" s="124">
        <f>IF(Y69="","",COUNTIFS($C$18:$C$2015,Y$13,$D$18:$D$2015,"&gt;="&amp;Y69,$D$18:$D$2015,"&lt;"&amp;Y70))</f>
        <v/>
      </c>
      <c r="AA69" s="14" t="n"/>
      <c r="AB69" s="16" t="n"/>
      <c r="AC69" s="124">
        <f>IF(AB69="","",COUNTIFS($C$18:$C$2015,AB$13,$D$18:$D$2015,"&gt;="&amp;AB69,$D$18:$D$2015,"&lt;"&amp;AB70))</f>
        <v/>
      </c>
      <c r="AD69" s="14" t="n"/>
    </row>
    <row r="70">
      <c r="A70" s="56" t="n"/>
      <c r="B70" s="57" t="n"/>
      <c r="C70" s="59" t="n"/>
      <c r="E70" s="16" t="n"/>
      <c r="F70" s="13" t="n"/>
      <c r="G70" s="16" t="n">
        <v>65</v>
      </c>
      <c r="H70" s="124">
        <f>IF(G70="","",COUNTIFS($C$18:$C$2015,G$13,$D$18:$D$2015,"&gt;="&amp;G70,$D$18:$D$2015,"&lt;"&amp;G71))</f>
        <v/>
      </c>
      <c r="I70" s="14" t="n"/>
      <c r="J70" s="16" t="n"/>
      <c r="K70" s="124">
        <f>IF(J70="","",COUNTIFS($C$18:$C$2015,J$13,$D$18:$D$2015,"&gt;="&amp;J70,$D$18:$D$2015,"&lt;"&amp;J71))</f>
        <v/>
      </c>
      <c r="L70" s="14" t="n"/>
      <c r="M70" s="16" t="n"/>
      <c r="N70" s="124">
        <f>IF(M70="","",COUNTIFS($C$18:$C$2015,M$13,$D$18:$D$2015,"&gt;="&amp;M70,$D$18:$D$2015,"&lt;"&amp;M71))</f>
        <v/>
      </c>
      <c r="O70" s="14" t="n"/>
      <c r="P70" s="16" t="n">
        <v>65</v>
      </c>
      <c r="Q70" s="124">
        <f>IF(P70="","",COUNTIFS($C$18:$C$2015,P$13,$D$18:$D$2015,"&gt;="&amp;P70,$D$18:$D$2015,"&lt;"&amp;P71))</f>
        <v/>
      </c>
      <c r="R70" s="14" t="n"/>
      <c r="S70" s="16" t="n"/>
      <c r="T70" s="124">
        <f>IF(S70="","",COUNTIFS($C$18:$C$2015,S$13,$D$18:$D$2015,"&gt;="&amp;S70,$D$18:$D$2015,"&lt;"&amp;S71))</f>
        <v/>
      </c>
      <c r="U70" s="14" t="n"/>
      <c r="V70" s="16" t="n"/>
      <c r="W70" s="124">
        <f>IF(V70="","",COUNTIFS($C$18:$C$2015,V$13,$D$18:$D$2015,"&gt;="&amp;V70,$D$18:$D$2015,"&lt;"&amp;V71))</f>
        <v/>
      </c>
      <c r="X70" s="14" t="n"/>
      <c r="Y70" s="16" t="n"/>
      <c r="Z70" s="124">
        <f>IF(Y70="","",COUNTIFS($C$18:$C$2015,Y$13,$D$18:$D$2015,"&gt;="&amp;Y70,$D$18:$D$2015,"&lt;"&amp;Y71))</f>
        <v/>
      </c>
      <c r="AA70" s="14" t="n"/>
      <c r="AB70" s="16" t="n"/>
      <c r="AC70" s="124">
        <f>IF(AB70="","",COUNTIFS($C$18:$C$2015,AB$13,$D$18:$D$2015,"&gt;="&amp;AB70,$D$18:$D$2015,"&lt;"&amp;AB71))</f>
        <v/>
      </c>
      <c r="AD70" s="14" t="n"/>
    </row>
    <row r="71">
      <c r="A71" s="58" t="n"/>
      <c r="B71" s="59" t="n"/>
      <c r="C71" s="59" t="n"/>
      <c r="E71" s="16" t="n"/>
      <c r="F71" s="13" t="n"/>
      <c r="G71" s="16" t="n">
        <v>66</v>
      </c>
      <c r="H71" s="124">
        <f>IF(G71="","",COUNTIFS($C$18:$C$2015,G$13,$D$18:$D$2015,"&gt;="&amp;G71,$D$18:$D$2015,"&lt;"&amp;G72))</f>
        <v/>
      </c>
      <c r="I71" s="14" t="n"/>
      <c r="J71" s="16" t="n"/>
      <c r="K71" s="124">
        <f>IF(J71="","",COUNTIFS($C$18:$C$2015,J$13,$D$18:$D$2015,"&gt;="&amp;J71,$D$18:$D$2015,"&lt;"&amp;J72))</f>
        <v/>
      </c>
      <c r="L71" s="14" t="n"/>
      <c r="M71" s="16" t="n"/>
      <c r="N71" s="124">
        <f>IF(M71="","",COUNTIFS($C$18:$C$2015,M$13,$D$18:$D$2015,"&gt;="&amp;M71,$D$18:$D$2015,"&lt;"&amp;M72))</f>
        <v/>
      </c>
      <c r="O71" s="14" t="n"/>
      <c r="P71" s="16" t="n">
        <v>66</v>
      </c>
      <c r="Q71" s="124">
        <f>IF(P71="","",COUNTIFS($C$18:$C$2015,P$13,$D$18:$D$2015,"&gt;="&amp;P71,$D$18:$D$2015,"&lt;"&amp;P72))</f>
        <v/>
      </c>
      <c r="R71" s="14" t="n"/>
      <c r="S71" s="16" t="n"/>
      <c r="T71" s="124">
        <f>IF(S71="","",COUNTIFS($C$18:$C$2015,S$13,$D$18:$D$2015,"&gt;="&amp;S71,$D$18:$D$2015,"&lt;"&amp;S72))</f>
        <v/>
      </c>
      <c r="U71" s="14" t="n"/>
      <c r="V71" s="16" t="n"/>
      <c r="W71" s="124">
        <f>IF(V71="","",COUNTIFS($C$18:$C$2015,V$13,$D$18:$D$2015,"&gt;="&amp;V71,$D$18:$D$2015,"&lt;"&amp;V72))</f>
        <v/>
      </c>
      <c r="X71" s="14" t="n"/>
      <c r="Y71" s="16" t="n"/>
      <c r="Z71" s="124">
        <f>IF(Y71="","",COUNTIFS($C$18:$C$2015,Y$13,$D$18:$D$2015,"&gt;="&amp;Y71,$D$18:$D$2015,"&lt;"&amp;Y72))</f>
        <v/>
      </c>
      <c r="AA71" s="14" t="n"/>
      <c r="AB71" s="16" t="n"/>
      <c r="AC71" s="124">
        <f>IF(AB71="","",COUNTIFS($C$18:$C$2015,AB$13,$D$18:$D$2015,"&gt;="&amp;AB71,$D$18:$D$2015,"&lt;"&amp;AB72))</f>
        <v/>
      </c>
      <c r="AD71" s="14" t="n"/>
    </row>
    <row r="72">
      <c r="A72" s="56" t="n"/>
      <c r="B72" s="57" t="n"/>
      <c r="C72" s="59" t="n"/>
      <c r="E72" s="16" t="n"/>
      <c r="F72" s="13" t="n"/>
      <c r="G72" s="16" t="n">
        <v>67</v>
      </c>
      <c r="H72" s="124">
        <f>IF(G72="","",COUNTIFS($C$18:$C$2015,G$13,$D$18:$D$2015,"&gt;="&amp;G72,$D$18:$D$2015,"&lt;"&amp;G73))</f>
        <v/>
      </c>
      <c r="I72" s="14" t="n"/>
      <c r="J72" s="16" t="n"/>
      <c r="K72" s="124">
        <f>IF(J72="","",COUNTIFS($C$18:$C$2015,J$13,$D$18:$D$2015,"&gt;="&amp;J72,$D$18:$D$2015,"&lt;"&amp;J73))</f>
        <v/>
      </c>
      <c r="L72" s="14" t="n"/>
      <c r="M72" s="16" t="n"/>
      <c r="N72" s="124">
        <f>IF(M72="","",COUNTIFS($C$18:$C$2015,M$13,$D$18:$D$2015,"&gt;="&amp;M72,$D$18:$D$2015,"&lt;"&amp;M73))</f>
        <v/>
      </c>
      <c r="O72" s="14" t="n"/>
      <c r="P72" s="16" t="n">
        <v>67</v>
      </c>
      <c r="Q72" s="124">
        <f>IF(P72="","",COUNTIFS($C$18:$C$2015,P$13,$D$18:$D$2015,"&gt;="&amp;P72,$D$18:$D$2015,"&lt;"&amp;P73))</f>
        <v/>
      </c>
      <c r="R72" s="14" t="n"/>
      <c r="S72" s="16" t="n"/>
      <c r="T72" s="124">
        <f>IF(S72="","",COUNTIFS($C$18:$C$2015,S$13,$D$18:$D$2015,"&gt;="&amp;S72,$D$18:$D$2015,"&lt;"&amp;S73))</f>
        <v/>
      </c>
      <c r="U72" s="14" t="n"/>
      <c r="V72" s="16" t="n"/>
      <c r="W72" s="124">
        <f>IF(V72="","",COUNTIFS($C$18:$C$2015,V$13,$D$18:$D$2015,"&gt;="&amp;V72,$D$18:$D$2015,"&lt;"&amp;V73))</f>
        <v/>
      </c>
      <c r="X72" s="14" t="n"/>
      <c r="Y72" s="16" t="n"/>
      <c r="Z72" s="124">
        <f>IF(Y72="","",COUNTIFS($C$18:$C$2015,Y$13,$D$18:$D$2015,"&gt;="&amp;Y72,$D$18:$D$2015,"&lt;"&amp;Y73))</f>
        <v/>
      </c>
      <c r="AA72" s="14" t="n"/>
      <c r="AB72" s="16" t="n"/>
      <c r="AC72" s="124">
        <f>IF(AB72="","",COUNTIFS($C$18:$C$2015,AB$13,$D$18:$D$2015,"&gt;="&amp;AB72,$D$18:$D$2015,"&lt;"&amp;AB73))</f>
        <v/>
      </c>
      <c r="AD72" s="14" t="n"/>
    </row>
    <row r="73">
      <c r="A73" s="58" t="n"/>
      <c r="B73" s="59" t="n"/>
      <c r="C73" s="59" t="n"/>
      <c r="E73" s="16" t="n"/>
      <c r="F73" s="13" t="n"/>
      <c r="G73" s="16" t="n">
        <v>68</v>
      </c>
      <c r="H73" s="124">
        <f>IF(G73="","",COUNTIFS($C$18:$C$2015,G$13,$D$18:$D$2015,"&gt;="&amp;G73,$D$18:$D$2015,"&lt;"&amp;G74))</f>
        <v/>
      </c>
      <c r="I73" s="14" t="n"/>
      <c r="J73" s="16" t="n"/>
      <c r="K73" s="124">
        <f>IF(J73="","",COUNTIFS($C$18:$C$2015,J$13,$D$18:$D$2015,"&gt;="&amp;J73,$D$18:$D$2015,"&lt;"&amp;J74))</f>
        <v/>
      </c>
      <c r="L73" s="14" t="n"/>
      <c r="M73" s="16" t="n"/>
      <c r="N73" s="124">
        <f>IF(M73="","",COUNTIFS($C$18:$C$2015,M$13,$D$18:$D$2015,"&gt;="&amp;M73,$D$18:$D$2015,"&lt;"&amp;M74))</f>
        <v/>
      </c>
      <c r="O73" s="14" t="n"/>
      <c r="P73" s="16" t="n">
        <v>68</v>
      </c>
      <c r="Q73" s="124">
        <f>IF(P73="","",COUNTIFS($C$18:$C$2015,P$13,$D$18:$D$2015,"&gt;="&amp;P73,$D$18:$D$2015,"&lt;"&amp;P74))</f>
        <v/>
      </c>
      <c r="R73" s="14" t="n"/>
      <c r="S73" s="16" t="n"/>
      <c r="T73" s="124">
        <f>IF(S73="","",COUNTIFS($C$18:$C$2015,S$13,$D$18:$D$2015,"&gt;="&amp;S73,$D$18:$D$2015,"&lt;"&amp;S74))</f>
        <v/>
      </c>
      <c r="U73" s="14" t="n"/>
      <c r="V73" s="16" t="n"/>
      <c r="W73" s="124">
        <f>IF(V73="","",COUNTIFS($C$18:$C$2015,V$13,$D$18:$D$2015,"&gt;="&amp;V73,$D$18:$D$2015,"&lt;"&amp;V74))</f>
        <v/>
      </c>
      <c r="X73" s="14" t="n"/>
      <c r="Y73" s="16" t="n"/>
      <c r="Z73" s="124">
        <f>IF(Y73="","",COUNTIFS($C$18:$C$2015,Y$13,$D$18:$D$2015,"&gt;="&amp;Y73,$D$18:$D$2015,"&lt;"&amp;Y74))</f>
        <v/>
      </c>
      <c r="AA73" s="14" t="n"/>
      <c r="AB73" s="16" t="n"/>
      <c r="AC73" s="124">
        <f>IF(AB73="","",COUNTIFS($C$18:$C$2015,AB$13,$D$18:$D$2015,"&gt;="&amp;AB73,$D$18:$D$2015,"&lt;"&amp;AB74))</f>
        <v/>
      </c>
      <c r="AD73" s="14" t="n"/>
    </row>
    <row r="74">
      <c r="A74" s="56" t="n"/>
      <c r="B74" s="57" t="n"/>
      <c r="C74" s="59" t="n"/>
      <c r="E74" s="16" t="n"/>
      <c r="F74" s="13" t="n"/>
      <c r="G74" s="16" t="n">
        <v>69</v>
      </c>
      <c r="H74" s="124">
        <f>IF(G74="","",COUNTIFS($C$18:$C$2015,G$13,$D$18:$D$2015,"&gt;="&amp;G74,$D$18:$D$2015,"&lt;"&amp;G75))</f>
        <v/>
      </c>
      <c r="I74" s="14" t="n"/>
      <c r="J74" s="16" t="n"/>
      <c r="K74" s="124">
        <f>IF(J74="","",COUNTIFS($C$18:$C$2015,J$13,$D$18:$D$2015,"&gt;="&amp;J74,$D$18:$D$2015,"&lt;"&amp;J75))</f>
        <v/>
      </c>
      <c r="L74" s="14" t="n"/>
      <c r="M74" s="16" t="n"/>
      <c r="N74" s="124">
        <f>IF(M74="","",COUNTIFS($C$18:$C$2015,M$13,$D$18:$D$2015,"&gt;="&amp;M74,$D$18:$D$2015,"&lt;"&amp;M75))</f>
        <v/>
      </c>
      <c r="O74" s="14" t="n"/>
      <c r="P74" s="16" t="n">
        <v>69</v>
      </c>
      <c r="Q74" s="124">
        <f>IF(P74="","",COUNTIFS($C$18:$C$2015,P$13,$D$18:$D$2015,"&gt;="&amp;P74,$D$18:$D$2015,"&lt;"&amp;P75))</f>
        <v/>
      </c>
      <c r="R74" s="14" t="n"/>
      <c r="S74" s="16" t="n"/>
      <c r="T74" s="124">
        <f>IF(S74="","",COUNTIFS($C$18:$C$2015,S$13,$D$18:$D$2015,"&gt;="&amp;S74,$D$18:$D$2015,"&lt;"&amp;S75))</f>
        <v/>
      </c>
      <c r="U74" s="14" t="n"/>
      <c r="V74" s="16" t="n"/>
      <c r="W74" s="124">
        <f>IF(V74="","",COUNTIFS($C$18:$C$2015,V$13,$D$18:$D$2015,"&gt;="&amp;V74,$D$18:$D$2015,"&lt;"&amp;V75))</f>
        <v/>
      </c>
      <c r="X74" s="14" t="n"/>
      <c r="Y74" s="16" t="n"/>
      <c r="Z74" s="124">
        <f>IF(Y74="","",COUNTIFS($C$18:$C$2015,Y$13,$D$18:$D$2015,"&gt;="&amp;Y74,$D$18:$D$2015,"&lt;"&amp;Y75))</f>
        <v/>
      </c>
      <c r="AA74" s="14" t="n"/>
      <c r="AB74" s="16" t="n"/>
      <c r="AC74" s="124">
        <f>IF(AB74="","",COUNTIFS($C$18:$C$2015,AB$13,$D$18:$D$2015,"&gt;="&amp;AB74,$D$18:$D$2015,"&lt;"&amp;AB75))</f>
        <v/>
      </c>
      <c r="AD74" s="14" t="n"/>
    </row>
    <row r="75">
      <c r="A75" s="58" t="n"/>
      <c r="B75" s="59" t="n"/>
      <c r="C75" s="59" t="n"/>
      <c r="E75" s="16" t="n"/>
      <c r="F75" s="13" t="n"/>
      <c r="G75" s="16" t="n">
        <v>70</v>
      </c>
      <c r="H75" s="124">
        <f>IF(G75="","",COUNTIFS($C$18:$C$2015,G$13,$D$18:$D$2015,"&gt;="&amp;G75,$D$18:$D$2015,"&lt;"&amp;G76))</f>
        <v/>
      </c>
      <c r="I75" s="14" t="n"/>
      <c r="J75" s="16" t="n"/>
      <c r="K75" s="124">
        <f>IF(J75="","",COUNTIFS($C$18:$C$2015,J$13,$D$18:$D$2015,"&gt;="&amp;J75,$D$18:$D$2015,"&lt;"&amp;J76))</f>
        <v/>
      </c>
      <c r="L75" s="14" t="n"/>
      <c r="M75" s="16" t="n"/>
      <c r="N75" s="124">
        <f>IF(M75="","",COUNTIFS($C$18:$C$2015,M$13,$D$18:$D$2015,"&gt;="&amp;M75,$D$18:$D$2015,"&lt;"&amp;M76))</f>
        <v/>
      </c>
      <c r="O75" s="14" t="n"/>
      <c r="P75" s="16" t="n">
        <v>70</v>
      </c>
      <c r="Q75" s="124">
        <f>IF(P75="","",COUNTIFS($C$18:$C$2015,P$13,$D$18:$D$2015,"&gt;="&amp;P75,$D$18:$D$2015,"&lt;"&amp;P76))</f>
        <v/>
      </c>
      <c r="R75" s="14" t="n"/>
      <c r="S75" s="16" t="n"/>
      <c r="T75" s="124">
        <f>IF(S75="","",COUNTIFS($C$18:$C$2015,S$13,$D$18:$D$2015,"&gt;="&amp;S75,$D$18:$D$2015,"&lt;"&amp;S76))</f>
        <v/>
      </c>
      <c r="U75" s="14" t="n"/>
      <c r="V75" s="16" t="n"/>
      <c r="W75" s="124">
        <f>IF(V75="","",COUNTIFS($C$18:$C$2015,V$13,$D$18:$D$2015,"&gt;="&amp;V75,$D$18:$D$2015,"&lt;"&amp;V76))</f>
        <v/>
      </c>
      <c r="X75" s="14" t="n"/>
      <c r="Y75" s="16" t="n"/>
      <c r="Z75" s="124">
        <f>IF(Y75="","",COUNTIFS($C$18:$C$2015,Y$13,$D$18:$D$2015,"&gt;="&amp;Y75,$D$18:$D$2015,"&lt;"&amp;Y76))</f>
        <v/>
      </c>
      <c r="AA75" s="14" t="n"/>
      <c r="AB75" s="16" t="n"/>
      <c r="AC75" s="124">
        <f>IF(AB75="","",COUNTIFS($C$18:$C$2015,AB$13,$D$18:$D$2015,"&gt;="&amp;AB75,$D$18:$D$2015,"&lt;"&amp;AB76))</f>
        <v/>
      </c>
      <c r="AD75" s="14" t="n"/>
    </row>
    <row r="76">
      <c r="A76" s="56" t="n"/>
      <c r="B76" s="57" t="n"/>
      <c r="C76" s="59" t="n"/>
      <c r="E76" s="16" t="n"/>
      <c r="F76" s="13" t="n"/>
      <c r="G76" s="16" t="n">
        <v>71</v>
      </c>
      <c r="H76" s="124">
        <f>IF(G76="","",COUNTIFS($C$18:$C$2015,G$13,$D$18:$D$2015,"&gt;="&amp;G76,$D$18:$D$2015,"&lt;"&amp;G77))</f>
        <v/>
      </c>
      <c r="I76" s="14" t="n"/>
      <c r="J76" s="16" t="n"/>
      <c r="K76" s="124">
        <f>IF(J76="","",COUNTIFS($C$18:$C$2015,J$13,$D$18:$D$2015,"&gt;="&amp;J76,$D$18:$D$2015,"&lt;"&amp;J77))</f>
        <v/>
      </c>
      <c r="L76" s="14" t="n"/>
      <c r="M76" s="16" t="n"/>
      <c r="N76" s="124">
        <f>IF(M76="","",COUNTIFS($C$18:$C$2015,M$13,$D$18:$D$2015,"&gt;="&amp;M76,$D$18:$D$2015,"&lt;"&amp;M77))</f>
        <v/>
      </c>
      <c r="O76" s="14" t="n"/>
      <c r="P76" s="16" t="n">
        <v>71</v>
      </c>
      <c r="Q76" s="124">
        <f>IF(P76="","",COUNTIFS($C$18:$C$2015,P$13,$D$18:$D$2015,"&gt;="&amp;P76,$D$18:$D$2015,"&lt;"&amp;P77))</f>
        <v/>
      </c>
      <c r="R76" s="14" t="n"/>
      <c r="S76" s="16" t="n"/>
      <c r="T76" s="124">
        <f>IF(S76="","",COUNTIFS($C$18:$C$2015,S$13,$D$18:$D$2015,"&gt;="&amp;S76,$D$18:$D$2015,"&lt;"&amp;S77))</f>
        <v/>
      </c>
      <c r="U76" s="14" t="n"/>
      <c r="V76" s="16" t="n"/>
      <c r="W76" s="124">
        <f>IF(V76="","",COUNTIFS($C$18:$C$2015,V$13,$D$18:$D$2015,"&gt;="&amp;V76,$D$18:$D$2015,"&lt;"&amp;V77))</f>
        <v/>
      </c>
      <c r="X76" s="14" t="n"/>
      <c r="Y76" s="16" t="n"/>
      <c r="Z76" s="124">
        <f>IF(Y76="","",COUNTIFS($C$18:$C$2015,Y$13,$D$18:$D$2015,"&gt;="&amp;Y76,$D$18:$D$2015,"&lt;"&amp;Y77))</f>
        <v/>
      </c>
      <c r="AA76" s="14" t="n"/>
      <c r="AB76" s="16" t="n"/>
      <c r="AC76" s="124">
        <f>IF(AB76="","",COUNTIFS($C$18:$C$2015,AB$13,$D$18:$D$2015,"&gt;="&amp;AB76,$D$18:$D$2015,"&lt;"&amp;AB77))</f>
        <v/>
      </c>
      <c r="AD76" s="14" t="n"/>
    </row>
    <row r="77">
      <c r="A77" s="58" t="n"/>
      <c r="B77" s="59" t="n"/>
      <c r="C77" s="59" t="n"/>
      <c r="E77" s="16" t="n"/>
      <c r="F77" s="13" t="n"/>
      <c r="G77" s="16" t="n">
        <v>72</v>
      </c>
      <c r="H77" s="124">
        <f>IF(G77="","",COUNTIFS($C$18:$C$2015,G$13,$D$18:$D$2015,"&gt;="&amp;G77,$D$18:$D$2015,"&lt;"&amp;G78))</f>
        <v/>
      </c>
      <c r="I77" s="14" t="n"/>
      <c r="J77" s="16" t="n"/>
      <c r="K77" s="124">
        <f>IF(J77="","",COUNTIFS($C$18:$C$2015,J$13,$D$18:$D$2015,"&gt;="&amp;J77,$D$18:$D$2015,"&lt;"&amp;J78))</f>
        <v/>
      </c>
      <c r="L77" s="14" t="n"/>
      <c r="M77" s="16" t="n"/>
      <c r="N77" s="124">
        <f>IF(M77="","",COUNTIFS($C$18:$C$2015,M$13,$D$18:$D$2015,"&gt;="&amp;M77,$D$18:$D$2015,"&lt;"&amp;M78))</f>
        <v/>
      </c>
      <c r="O77" s="14" t="n"/>
      <c r="P77" s="16" t="n">
        <v>72</v>
      </c>
      <c r="Q77" s="124">
        <f>IF(P77="","",COUNTIFS($C$18:$C$2015,P$13,$D$18:$D$2015,"&gt;="&amp;P77,$D$18:$D$2015,"&lt;"&amp;P78))</f>
        <v/>
      </c>
      <c r="R77" s="14" t="n"/>
      <c r="S77" s="16" t="n"/>
      <c r="T77" s="124">
        <f>IF(S77="","",COUNTIFS($C$18:$C$2015,S$13,$D$18:$D$2015,"&gt;="&amp;S77,$D$18:$D$2015,"&lt;"&amp;S78))</f>
        <v/>
      </c>
      <c r="U77" s="14" t="n"/>
      <c r="V77" s="16" t="n"/>
      <c r="W77" s="124">
        <f>IF(V77="","",COUNTIFS($C$18:$C$2015,V$13,$D$18:$D$2015,"&gt;="&amp;V77,$D$18:$D$2015,"&lt;"&amp;V78))</f>
        <v/>
      </c>
      <c r="X77" s="14" t="n"/>
      <c r="Y77" s="16" t="n"/>
      <c r="Z77" s="124">
        <f>IF(Y77="","",COUNTIFS($C$18:$C$2015,Y$13,$D$18:$D$2015,"&gt;="&amp;Y77,$D$18:$D$2015,"&lt;"&amp;Y78))</f>
        <v/>
      </c>
      <c r="AA77" s="14" t="n"/>
      <c r="AB77" s="16" t="n"/>
      <c r="AC77" s="124">
        <f>IF(AB77="","",COUNTIFS($C$18:$C$2015,AB$13,$D$18:$D$2015,"&gt;="&amp;AB77,$D$18:$D$2015,"&lt;"&amp;AB78))</f>
        <v/>
      </c>
      <c r="AD77" s="14" t="n"/>
    </row>
    <row r="78">
      <c r="A78" s="56" t="n"/>
      <c r="B78" s="57" t="n"/>
      <c r="C78" s="59" t="n"/>
      <c r="E78" s="16" t="n"/>
      <c r="F78" s="13" t="n"/>
      <c r="G78" s="16" t="n">
        <v>73</v>
      </c>
      <c r="H78" s="124">
        <f>IF(G78="","",COUNTIFS($C$18:$C$2015,G$13,$D$18:$D$2015,"&gt;="&amp;G78,$D$18:$D$2015,"&lt;"&amp;G79))</f>
        <v/>
      </c>
      <c r="I78" s="14" t="n"/>
      <c r="J78" s="16" t="n"/>
      <c r="K78" s="124">
        <f>IF(J78="","",COUNTIFS($C$18:$C$2015,J$13,$D$18:$D$2015,"&gt;="&amp;J78,$D$18:$D$2015,"&lt;"&amp;J79))</f>
        <v/>
      </c>
      <c r="L78" s="14" t="n"/>
      <c r="M78" s="16" t="n"/>
      <c r="N78" s="124">
        <f>IF(M78="","",COUNTIFS($C$18:$C$2015,M$13,$D$18:$D$2015,"&gt;="&amp;M78,$D$18:$D$2015,"&lt;"&amp;M79))</f>
        <v/>
      </c>
      <c r="O78" s="14" t="n"/>
      <c r="P78" s="16" t="n">
        <v>73</v>
      </c>
      <c r="Q78" s="124">
        <f>IF(P78="","",COUNTIFS($C$18:$C$2015,P$13,$D$18:$D$2015,"&gt;="&amp;P78,$D$18:$D$2015,"&lt;"&amp;P79))</f>
        <v/>
      </c>
      <c r="R78" s="14" t="n"/>
      <c r="S78" s="16" t="n"/>
      <c r="T78" s="124">
        <f>IF(S78="","",COUNTIFS($C$18:$C$2015,S$13,$D$18:$D$2015,"&gt;="&amp;S78,$D$18:$D$2015,"&lt;"&amp;S79))</f>
        <v/>
      </c>
      <c r="U78" s="14" t="n"/>
      <c r="V78" s="16" t="n"/>
      <c r="W78" s="124">
        <f>IF(V78="","",COUNTIFS($C$18:$C$2015,V$13,$D$18:$D$2015,"&gt;="&amp;V78,$D$18:$D$2015,"&lt;"&amp;V79))</f>
        <v/>
      </c>
      <c r="X78" s="14" t="n"/>
      <c r="Y78" s="16" t="n"/>
      <c r="Z78" s="124">
        <f>IF(Y78="","",COUNTIFS($C$18:$C$2015,Y$13,$D$18:$D$2015,"&gt;="&amp;Y78,$D$18:$D$2015,"&lt;"&amp;Y79))</f>
        <v/>
      </c>
      <c r="AA78" s="14" t="n"/>
      <c r="AB78" s="16" t="n"/>
      <c r="AC78" s="124">
        <f>IF(AB78="","",COUNTIFS($C$18:$C$2015,AB$13,$D$18:$D$2015,"&gt;="&amp;AB78,$D$18:$D$2015,"&lt;"&amp;AB79))</f>
        <v/>
      </c>
      <c r="AD78" s="14" t="n"/>
    </row>
    <row r="79">
      <c r="A79" s="58" t="n"/>
      <c r="B79" s="59" t="n"/>
      <c r="C79" s="59" t="n"/>
      <c r="E79" s="16" t="n"/>
      <c r="F79" s="13" t="n"/>
      <c r="G79" s="16" t="n">
        <v>74</v>
      </c>
      <c r="H79" s="124">
        <f>IF(G79="","",COUNTIFS($C$18:$C$2015,G$13,$D$18:$D$2015,"&gt;="&amp;G79,$D$18:$D$2015,"&lt;"&amp;G80))</f>
        <v/>
      </c>
      <c r="I79" s="14" t="n"/>
      <c r="J79" s="16" t="n"/>
      <c r="K79" s="124">
        <f>IF(J79="","",COUNTIFS($C$18:$C$2015,J$13,$D$18:$D$2015,"&gt;="&amp;J79,$D$18:$D$2015,"&lt;"&amp;J80))</f>
        <v/>
      </c>
      <c r="L79" s="14" t="n"/>
      <c r="M79" s="16" t="n"/>
      <c r="N79" s="124">
        <f>IF(M79="","",COUNTIFS($C$18:$C$2015,M$13,$D$18:$D$2015,"&gt;="&amp;M79,$D$18:$D$2015,"&lt;"&amp;M80))</f>
        <v/>
      </c>
      <c r="O79" s="14" t="n"/>
      <c r="P79" s="16" t="n">
        <v>74</v>
      </c>
      <c r="Q79" s="124">
        <f>IF(P79="","",COUNTIFS($C$18:$C$2015,P$13,$D$18:$D$2015,"&gt;="&amp;P79,$D$18:$D$2015,"&lt;"&amp;P80))</f>
        <v/>
      </c>
      <c r="R79" s="14" t="n"/>
      <c r="S79" s="16" t="n"/>
      <c r="T79" s="124">
        <f>IF(S79="","",COUNTIFS($C$18:$C$2015,S$13,$D$18:$D$2015,"&gt;="&amp;S79,$D$18:$D$2015,"&lt;"&amp;S80))</f>
        <v/>
      </c>
      <c r="U79" s="14" t="n"/>
      <c r="V79" s="16" t="n"/>
      <c r="W79" s="124">
        <f>IF(V79="","",COUNTIFS($C$18:$C$2015,V$13,$D$18:$D$2015,"&gt;="&amp;V79,$D$18:$D$2015,"&lt;"&amp;V80))</f>
        <v/>
      </c>
      <c r="X79" s="14" t="n"/>
      <c r="Y79" s="16" t="n"/>
      <c r="Z79" s="124">
        <f>IF(Y79="","",COUNTIFS($C$18:$C$2015,Y$13,$D$18:$D$2015,"&gt;="&amp;Y79,$D$18:$D$2015,"&lt;"&amp;Y80))</f>
        <v/>
      </c>
      <c r="AA79" s="14" t="n"/>
      <c r="AB79" s="16" t="n"/>
      <c r="AC79" s="124">
        <f>IF(AB79="","",COUNTIFS($C$18:$C$2015,AB$13,$D$18:$D$2015,"&gt;="&amp;AB79,$D$18:$D$2015,"&lt;"&amp;AB80))</f>
        <v/>
      </c>
      <c r="AD79" s="14" t="n"/>
    </row>
    <row r="80">
      <c r="A80" s="56" t="n"/>
      <c r="B80" s="57" t="n"/>
      <c r="C80" s="59" t="n"/>
      <c r="E80" s="16" t="n"/>
      <c r="F80" s="13" t="n"/>
      <c r="G80" s="16" t="n">
        <v>75</v>
      </c>
      <c r="H80" s="124">
        <f>IF(G80="","",COUNTIFS($C$18:$C$2015,G$13,$D$18:$D$2015,"&gt;="&amp;G80,$D$18:$D$2015,"&lt;"&amp;G81))</f>
        <v/>
      </c>
      <c r="I80" s="14" t="n"/>
      <c r="J80" s="16" t="n"/>
      <c r="K80" s="124">
        <f>IF(J80="","",COUNTIFS($C$18:$C$2015,J$13,$D$18:$D$2015,"&gt;="&amp;J80,$D$18:$D$2015,"&lt;"&amp;J81))</f>
        <v/>
      </c>
      <c r="L80" s="14" t="n"/>
      <c r="M80" s="16" t="n"/>
      <c r="N80" s="124">
        <f>IF(M80="","",COUNTIFS($C$18:$C$2015,M$13,$D$18:$D$2015,"&gt;="&amp;M80,$D$18:$D$2015,"&lt;"&amp;M81))</f>
        <v/>
      </c>
      <c r="O80" s="14" t="n"/>
      <c r="P80" s="16" t="n">
        <v>75</v>
      </c>
      <c r="Q80" s="124">
        <f>IF(P80="","",COUNTIFS($C$18:$C$2015,P$13,$D$18:$D$2015,"&gt;="&amp;P80,$D$18:$D$2015,"&lt;"&amp;P81))</f>
        <v/>
      </c>
      <c r="R80" s="14" t="n"/>
      <c r="S80" s="16" t="n"/>
      <c r="T80" s="124">
        <f>IF(S80="","",COUNTIFS($C$18:$C$2015,S$13,$D$18:$D$2015,"&gt;="&amp;S80,$D$18:$D$2015,"&lt;"&amp;S81))</f>
        <v/>
      </c>
      <c r="U80" s="14" t="n"/>
      <c r="V80" s="16" t="n"/>
      <c r="W80" s="124">
        <f>IF(V80="","",COUNTIFS($C$18:$C$2015,V$13,$D$18:$D$2015,"&gt;="&amp;V80,$D$18:$D$2015,"&lt;"&amp;V81))</f>
        <v/>
      </c>
      <c r="X80" s="14" t="n"/>
      <c r="Y80" s="16" t="n"/>
      <c r="Z80" s="124">
        <f>IF(Y80="","",COUNTIFS($C$18:$C$2015,Y$13,$D$18:$D$2015,"&gt;="&amp;Y80,$D$18:$D$2015,"&lt;"&amp;Y81))</f>
        <v/>
      </c>
      <c r="AA80" s="14" t="n"/>
      <c r="AB80" s="16" t="n"/>
      <c r="AC80" s="124">
        <f>IF(AB80="","",COUNTIFS($C$18:$C$2015,AB$13,$D$18:$D$2015,"&gt;="&amp;AB80,$D$18:$D$2015,"&lt;"&amp;AB81))</f>
        <v/>
      </c>
      <c r="AD80" s="14" t="n"/>
    </row>
    <row r="81">
      <c r="A81" s="58" t="n"/>
      <c r="B81" s="59" t="n"/>
      <c r="C81" s="59" t="n"/>
      <c r="E81" s="16" t="n"/>
      <c r="F81" s="13" t="n"/>
      <c r="G81" s="16" t="n">
        <v>76</v>
      </c>
      <c r="H81" s="124">
        <f>IF(G81="","",COUNTIFS($C$18:$C$2015,G$13,$D$18:$D$2015,"&gt;="&amp;G81,$D$18:$D$2015,"&lt;"&amp;G82))</f>
        <v/>
      </c>
      <c r="I81" s="14" t="n"/>
      <c r="J81" s="16" t="n"/>
      <c r="K81" s="124">
        <f>IF(J81="","",COUNTIFS($C$18:$C$2015,J$13,$D$18:$D$2015,"&gt;="&amp;J81,$D$18:$D$2015,"&lt;"&amp;J82))</f>
        <v/>
      </c>
      <c r="L81" s="14" t="n"/>
      <c r="M81" s="16" t="n"/>
      <c r="N81" s="124">
        <f>IF(M81="","",COUNTIFS($C$18:$C$2015,M$13,$D$18:$D$2015,"&gt;="&amp;M81,$D$18:$D$2015,"&lt;"&amp;M82))</f>
        <v/>
      </c>
      <c r="O81" s="14" t="n"/>
      <c r="P81" s="16" t="n">
        <v>76</v>
      </c>
      <c r="Q81" s="124">
        <f>IF(P81="","",COUNTIFS($C$18:$C$2015,P$13,$D$18:$D$2015,"&gt;="&amp;P81,$D$18:$D$2015,"&lt;"&amp;P82))</f>
        <v/>
      </c>
      <c r="R81" s="14" t="n"/>
      <c r="S81" s="16" t="n"/>
      <c r="T81" s="124">
        <f>IF(S81="","",COUNTIFS($C$18:$C$2015,S$13,$D$18:$D$2015,"&gt;="&amp;S81,$D$18:$D$2015,"&lt;"&amp;S82))</f>
        <v/>
      </c>
      <c r="U81" s="14" t="n"/>
      <c r="V81" s="16" t="n"/>
      <c r="W81" s="124">
        <f>IF(V81="","",COUNTIFS($C$18:$C$2015,V$13,$D$18:$D$2015,"&gt;="&amp;V81,$D$18:$D$2015,"&lt;"&amp;V82))</f>
        <v/>
      </c>
      <c r="X81" s="14" t="n"/>
      <c r="Y81" s="16" t="n"/>
      <c r="Z81" s="124">
        <f>IF(Y81="","",COUNTIFS($C$18:$C$2015,Y$13,$D$18:$D$2015,"&gt;="&amp;Y81,$D$18:$D$2015,"&lt;"&amp;Y82))</f>
        <v/>
      </c>
      <c r="AA81" s="14" t="n"/>
      <c r="AB81" s="16" t="n"/>
      <c r="AC81" s="124">
        <f>IF(AB81="","",COUNTIFS($C$18:$C$2015,AB$13,$D$18:$D$2015,"&gt;="&amp;AB81,$D$18:$D$2015,"&lt;"&amp;AB82))</f>
        <v/>
      </c>
      <c r="AD81" s="14" t="n"/>
    </row>
    <row r="82">
      <c r="A82" s="56" t="n"/>
      <c r="B82" s="57" t="n"/>
      <c r="C82" s="59" t="n"/>
      <c r="E82" s="16" t="n"/>
      <c r="F82" s="13" t="n"/>
      <c r="G82" s="16" t="n">
        <v>77</v>
      </c>
      <c r="H82" s="124">
        <f>IF(G82="","",COUNTIFS($C$18:$C$2015,G$13,$D$18:$D$2015,"&gt;="&amp;G82,$D$18:$D$2015,"&lt;"&amp;G83))</f>
        <v/>
      </c>
      <c r="I82" s="14" t="n"/>
      <c r="J82" s="16" t="n"/>
      <c r="K82" s="124">
        <f>IF(J82="","",COUNTIFS($C$18:$C$2015,J$13,$D$18:$D$2015,"&gt;="&amp;J82,$D$18:$D$2015,"&lt;"&amp;J83))</f>
        <v/>
      </c>
      <c r="L82" s="14" t="n"/>
      <c r="M82" s="16" t="n"/>
      <c r="N82" s="124">
        <f>IF(M82="","",COUNTIFS($C$18:$C$2015,M$13,$D$18:$D$2015,"&gt;="&amp;M82,$D$18:$D$2015,"&lt;"&amp;M83))</f>
        <v/>
      </c>
      <c r="O82" s="14" t="n"/>
      <c r="P82" s="16" t="n">
        <v>77</v>
      </c>
      <c r="Q82" s="124">
        <f>IF(P82="","",COUNTIFS($C$18:$C$2015,P$13,$D$18:$D$2015,"&gt;="&amp;P82,$D$18:$D$2015,"&lt;"&amp;P83))</f>
        <v/>
      </c>
      <c r="R82" s="14" t="n"/>
      <c r="S82" s="16" t="n"/>
      <c r="T82" s="124">
        <f>IF(S82="","",COUNTIFS($C$18:$C$2015,S$13,$D$18:$D$2015,"&gt;="&amp;S82,$D$18:$D$2015,"&lt;"&amp;S83))</f>
        <v/>
      </c>
      <c r="U82" s="14" t="n"/>
      <c r="V82" s="16" t="n"/>
      <c r="W82" s="124">
        <f>IF(V82="","",COUNTIFS($C$18:$C$2015,V$13,$D$18:$D$2015,"&gt;="&amp;V82,$D$18:$D$2015,"&lt;"&amp;V83))</f>
        <v/>
      </c>
      <c r="X82" s="14" t="n"/>
      <c r="Y82" s="16" t="n"/>
      <c r="Z82" s="124">
        <f>IF(Y82="","",COUNTIFS($C$18:$C$2015,Y$13,$D$18:$D$2015,"&gt;="&amp;Y82,$D$18:$D$2015,"&lt;"&amp;Y83))</f>
        <v/>
      </c>
      <c r="AA82" s="14" t="n"/>
      <c r="AB82" s="16" t="n"/>
      <c r="AC82" s="124">
        <f>IF(AB82="","",COUNTIFS($C$18:$C$2015,AB$13,$D$18:$D$2015,"&gt;="&amp;AB82,$D$18:$D$2015,"&lt;"&amp;AB83))</f>
        <v/>
      </c>
      <c r="AD82" s="14" t="n"/>
    </row>
    <row r="83">
      <c r="A83" s="58" t="n"/>
      <c r="B83" s="59" t="n"/>
      <c r="C83" s="59" t="n"/>
      <c r="E83" s="16" t="n"/>
      <c r="F83" s="13" t="n"/>
      <c r="G83" s="16" t="n">
        <v>78</v>
      </c>
      <c r="H83" s="124">
        <f>IF(G83="","",COUNTIFS($C$18:$C$2015,G$13,$D$18:$D$2015,"&gt;="&amp;G83,$D$18:$D$2015,"&lt;"&amp;G84))</f>
        <v/>
      </c>
      <c r="I83" s="14" t="n"/>
      <c r="J83" s="16" t="n"/>
      <c r="K83" s="124">
        <f>IF(J83="","",COUNTIFS($C$18:$C$2015,J$13,$D$18:$D$2015,"&gt;="&amp;J83,$D$18:$D$2015,"&lt;"&amp;J84))</f>
        <v/>
      </c>
      <c r="L83" s="14" t="n"/>
      <c r="M83" s="16" t="n"/>
      <c r="N83" s="124">
        <f>IF(M83="","",COUNTIFS($C$18:$C$2015,M$13,$D$18:$D$2015,"&gt;="&amp;M83,$D$18:$D$2015,"&lt;"&amp;M84))</f>
        <v/>
      </c>
      <c r="O83" s="14" t="n"/>
      <c r="P83" s="16" t="n">
        <v>78</v>
      </c>
      <c r="Q83" s="124">
        <f>IF(P83="","",COUNTIFS($C$18:$C$2015,P$13,$D$18:$D$2015,"&gt;="&amp;P83,$D$18:$D$2015,"&lt;"&amp;P84))</f>
        <v/>
      </c>
      <c r="R83" s="14" t="n"/>
      <c r="S83" s="16" t="n"/>
      <c r="T83" s="124">
        <f>IF(S83="","",COUNTIFS($C$18:$C$2015,S$13,$D$18:$D$2015,"&gt;="&amp;S83,$D$18:$D$2015,"&lt;"&amp;S84))</f>
        <v/>
      </c>
      <c r="U83" s="14" t="n"/>
      <c r="V83" s="16" t="n"/>
      <c r="W83" s="124">
        <f>IF(V83="","",COUNTIFS($C$18:$C$2015,V$13,$D$18:$D$2015,"&gt;="&amp;V83,$D$18:$D$2015,"&lt;"&amp;V84))</f>
        <v/>
      </c>
      <c r="X83" s="14" t="n"/>
      <c r="Y83" s="16" t="n"/>
      <c r="Z83" s="124">
        <f>IF(Y83="","",COUNTIFS($C$18:$C$2015,Y$13,$D$18:$D$2015,"&gt;="&amp;Y83,$D$18:$D$2015,"&lt;"&amp;Y84))</f>
        <v/>
      </c>
      <c r="AA83" s="14" t="n"/>
      <c r="AB83" s="16" t="n"/>
      <c r="AC83" s="124">
        <f>IF(AB83="","",COUNTIFS($C$18:$C$2015,AB$13,$D$18:$D$2015,"&gt;="&amp;AB83,$D$18:$D$2015,"&lt;"&amp;AB84))</f>
        <v/>
      </c>
      <c r="AD83" s="14" t="n"/>
    </row>
    <row r="84">
      <c r="A84" s="56" t="n"/>
      <c r="B84" s="57" t="n"/>
      <c r="C84" s="59" t="n"/>
      <c r="E84" s="16" t="n"/>
      <c r="F84" s="13" t="n"/>
      <c r="G84" s="16" t="n">
        <v>79</v>
      </c>
      <c r="H84" s="124">
        <f>IF(G84="","",COUNTIFS($C$18:$C$2015,G$13,$D$18:$D$2015,"&gt;="&amp;G84,$D$18:$D$2015,"&lt;"&amp;G85))</f>
        <v/>
      </c>
      <c r="I84" s="14" t="n"/>
      <c r="J84" s="16" t="n"/>
      <c r="K84" s="124">
        <f>IF(J84="","",COUNTIFS($C$18:$C$2015,J$13,$D$18:$D$2015,"&gt;="&amp;J84,$D$18:$D$2015,"&lt;"&amp;J85))</f>
        <v/>
      </c>
      <c r="L84" s="14" t="n"/>
      <c r="M84" s="16" t="n"/>
      <c r="N84" s="124">
        <f>IF(M84="","",COUNTIFS($C$18:$C$2015,M$13,$D$18:$D$2015,"&gt;="&amp;M84,$D$18:$D$2015,"&lt;"&amp;M85))</f>
        <v/>
      </c>
      <c r="O84" s="14" t="n"/>
      <c r="P84" s="16" t="n">
        <v>79</v>
      </c>
      <c r="Q84" s="124">
        <f>IF(P84="","",COUNTIFS($C$18:$C$2015,P$13,$D$18:$D$2015,"&gt;="&amp;P84,$D$18:$D$2015,"&lt;"&amp;P85))</f>
        <v/>
      </c>
      <c r="R84" s="14" t="n"/>
      <c r="S84" s="16" t="n"/>
      <c r="T84" s="124">
        <f>IF(S84="","",COUNTIFS($C$18:$C$2015,S$13,$D$18:$D$2015,"&gt;="&amp;S84,$D$18:$D$2015,"&lt;"&amp;S85))</f>
        <v/>
      </c>
      <c r="U84" s="14" t="n"/>
      <c r="V84" s="16" t="n"/>
      <c r="W84" s="124">
        <f>IF(V84="","",COUNTIFS($C$18:$C$2015,V$13,$D$18:$D$2015,"&gt;="&amp;V84,$D$18:$D$2015,"&lt;"&amp;V85))</f>
        <v/>
      </c>
      <c r="X84" s="14" t="n"/>
      <c r="Y84" s="16" t="n"/>
      <c r="Z84" s="124">
        <f>IF(Y84="","",COUNTIFS($C$18:$C$2015,Y$13,$D$18:$D$2015,"&gt;="&amp;Y84,$D$18:$D$2015,"&lt;"&amp;Y85))</f>
        <v/>
      </c>
      <c r="AA84" s="14" t="n"/>
      <c r="AB84" s="16" t="n"/>
      <c r="AC84" s="124">
        <f>IF(AB84="","",COUNTIFS($C$18:$C$2015,AB$13,$D$18:$D$2015,"&gt;="&amp;AB84,$D$18:$D$2015,"&lt;"&amp;AB85))</f>
        <v/>
      </c>
      <c r="AD84" s="14" t="n"/>
    </row>
    <row r="85">
      <c r="A85" s="58" t="n"/>
      <c r="B85" s="59" t="n"/>
      <c r="C85" s="59" t="n"/>
      <c r="E85" s="16" t="n"/>
      <c r="F85" s="13" t="n"/>
      <c r="G85" s="16" t="n">
        <v>80</v>
      </c>
      <c r="H85" s="124">
        <f>IF(G85="","",COUNTIFS($C$18:$C$2015,G$13,$D$18:$D$2015,"&gt;="&amp;G85,$D$18:$D$2015,"&lt;"&amp;G86))</f>
        <v/>
      </c>
      <c r="I85" s="14" t="n"/>
      <c r="J85" s="16" t="n"/>
      <c r="K85" s="124">
        <f>IF(J85="","",COUNTIFS($C$18:$C$2015,J$13,$D$18:$D$2015,"&gt;="&amp;J85,$D$18:$D$2015,"&lt;"&amp;J86))</f>
        <v/>
      </c>
      <c r="L85" s="14" t="n"/>
      <c r="M85" s="16" t="n"/>
      <c r="N85" s="124">
        <f>IF(M85="","",COUNTIFS($C$18:$C$2015,M$13,$D$18:$D$2015,"&gt;="&amp;M85,$D$18:$D$2015,"&lt;"&amp;M86))</f>
        <v/>
      </c>
      <c r="O85" s="14" t="n"/>
      <c r="P85" s="16" t="n">
        <v>80</v>
      </c>
      <c r="Q85" s="124">
        <f>IF(P85="","",COUNTIFS($C$18:$C$2015,P$13,$D$18:$D$2015,"&gt;="&amp;P85,$D$18:$D$2015,"&lt;"&amp;P86))</f>
        <v/>
      </c>
      <c r="R85" s="14" t="n"/>
      <c r="S85" s="16" t="n"/>
      <c r="T85" s="124">
        <f>IF(S85="","",COUNTIFS($C$18:$C$2015,S$13,$D$18:$D$2015,"&gt;="&amp;S85,$D$18:$D$2015,"&lt;"&amp;S86))</f>
        <v/>
      </c>
      <c r="U85" s="14" t="n"/>
      <c r="V85" s="16" t="n"/>
      <c r="W85" s="124">
        <f>IF(V85="","",COUNTIFS($C$18:$C$2015,V$13,$D$18:$D$2015,"&gt;="&amp;V85,$D$18:$D$2015,"&lt;"&amp;V86))</f>
        <v/>
      </c>
      <c r="X85" s="14" t="n"/>
      <c r="Y85" s="16" t="n"/>
      <c r="Z85" s="124">
        <f>IF(Y85="","",COUNTIFS($C$18:$C$2015,Y$13,$D$18:$D$2015,"&gt;="&amp;Y85,$D$18:$D$2015,"&lt;"&amp;Y86))</f>
        <v/>
      </c>
      <c r="AA85" s="14" t="n"/>
      <c r="AB85" s="16" t="n"/>
      <c r="AC85" s="124">
        <f>IF(AB85="","",COUNTIFS($C$18:$C$2015,AB$13,$D$18:$D$2015,"&gt;="&amp;AB85,$D$18:$D$2015,"&lt;"&amp;AB86))</f>
        <v/>
      </c>
      <c r="AD85" s="14" t="n"/>
    </row>
    <row r="86">
      <c r="A86" s="56" t="n"/>
      <c r="B86" s="57" t="n"/>
      <c r="C86" s="59" t="n"/>
      <c r="E86" s="16" t="n"/>
      <c r="F86" s="13" t="n"/>
      <c r="G86" s="16" t="n"/>
      <c r="H86" s="124">
        <f>IF(G86="","",COUNTIFS($C$18:$C$2015,G$13,$D$18:$D$2015,"&gt;="&amp;G86,$D$18:$D$2015,"&lt;"&amp;G87))</f>
        <v/>
      </c>
      <c r="I86" s="14" t="n"/>
      <c r="J86" s="16" t="n"/>
      <c r="K86" s="124">
        <f>IF(J86="","",COUNTIFS($C$18:$C$2015,J$13,$D$18:$D$2015,"&gt;="&amp;J86,$D$18:$D$2015,"&lt;"&amp;J87))</f>
        <v/>
      </c>
      <c r="L86" s="14" t="n"/>
      <c r="M86" s="16" t="n"/>
      <c r="N86" s="124">
        <f>IF(M86="","",COUNTIFS($C$18:$C$2015,M$13,$D$18:$D$2015,"&gt;="&amp;M86,$D$18:$D$2015,"&lt;"&amp;M87))</f>
        <v/>
      </c>
      <c r="O86" s="14" t="n"/>
      <c r="P86" s="16" t="n"/>
      <c r="Q86" s="124">
        <f>IF(P86="","",COUNTIFS($C$18:$C$2015,P$13,$D$18:$D$2015,"&gt;="&amp;P86,$D$18:$D$2015,"&lt;"&amp;P87))</f>
        <v/>
      </c>
      <c r="R86" s="14" t="n"/>
      <c r="S86" s="16" t="n"/>
      <c r="T86" s="124">
        <f>IF(S86="","",COUNTIFS($C$18:$C$2015,S$13,$D$18:$D$2015,"&gt;="&amp;S86,$D$18:$D$2015,"&lt;"&amp;S87))</f>
        <v/>
      </c>
      <c r="U86" s="14" t="n"/>
      <c r="V86" s="16" t="n"/>
      <c r="W86" s="124">
        <f>IF(V86="","",COUNTIFS($C$18:$C$2015,V$13,$D$18:$D$2015,"&gt;="&amp;V86,$D$18:$D$2015,"&lt;"&amp;V87))</f>
        <v/>
      </c>
      <c r="X86" s="14" t="n"/>
      <c r="Y86" s="16" t="n"/>
      <c r="Z86" s="124">
        <f>IF(Y86="","",COUNTIFS($C$18:$C$2015,Y$13,$D$18:$D$2015,"&gt;="&amp;Y86,$D$18:$D$2015,"&lt;"&amp;Y87))</f>
        <v/>
      </c>
      <c r="AA86" s="14" t="n"/>
      <c r="AB86" s="16" t="n"/>
      <c r="AC86" s="124">
        <f>IF(AB86="","",COUNTIFS($C$18:$C$2015,AB$13,$D$18:$D$2015,"&gt;="&amp;AB86,$D$18:$D$2015,"&lt;"&amp;AB87))</f>
        <v/>
      </c>
      <c r="AD86" s="14" t="n"/>
    </row>
    <row r="87">
      <c r="A87" s="58" t="n"/>
      <c r="B87" s="59" t="n"/>
      <c r="C87" s="59" t="n"/>
      <c r="E87" s="16" t="n"/>
      <c r="F87" s="13" t="n"/>
      <c r="G87" s="16" t="n"/>
      <c r="H87" s="124">
        <f>IF(G87="","",COUNTIFS($C$18:$C$2015,G$13,$D$18:$D$2015,"&gt;="&amp;G87,$D$18:$D$2015,"&lt;"&amp;G88))</f>
        <v/>
      </c>
      <c r="I87" s="14" t="n"/>
      <c r="J87" s="16" t="n"/>
      <c r="K87" s="124">
        <f>IF(J87="","",COUNTIFS($C$18:$C$2015,J$13,$D$18:$D$2015,"&gt;="&amp;J87,$D$18:$D$2015,"&lt;"&amp;J88))</f>
        <v/>
      </c>
      <c r="L87" s="14" t="n"/>
      <c r="M87" s="16" t="n"/>
      <c r="N87" s="124">
        <f>IF(M87="","",COUNTIFS($C$18:$C$2015,M$13,$D$18:$D$2015,"&gt;="&amp;M87,$D$18:$D$2015,"&lt;"&amp;M88))</f>
        <v/>
      </c>
      <c r="O87" s="14" t="n"/>
      <c r="P87" s="16" t="n"/>
      <c r="Q87" s="124">
        <f>IF(P87="","",COUNTIFS($C$18:$C$2015,P$13,$D$18:$D$2015,"&gt;="&amp;P87,$D$18:$D$2015,"&lt;"&amp;P88))</f>
        <v/>
      </c>
      <c r="R87" s="14" t="n"/>
      <c r="S87" s="16" t="n"/>
      <c r="T87" s="124">
        <f>IF(S87="","",COUNTIFS($C$18:$C$2015,S$13,$D$18:$D$2015,"&gt;="&amp;S87,$D$18:$D$2015,"&lt;"&amp;S88))</f>
        <v/>
      </c>
      <c r="U87" s="14" t="n"/>
      <c r="V87" s="16" t="n"/>
      <c r="W87" s="124">
        <f>IF(V87="","",COUNTIFS($C$18:$C$2015,V$13,$D$18:$D$2015,"&gt;="&amp;V87,$D$18:$D$2015,"&lt;"&amp;V88))</f>
        <v/>
      </c>
      <c r="X87" s="14" t="n"/>
      <c r="Y87" s="16" t="n"/>
      <c r="Z87" s="124">
        <f>IF(Y87="","",COUNTIFS($C$18:$C$2015,Y$13,$D$18:$D$2015,"&gt;="&amp;Y87,$D$18:$D$2015,"&lt;"&amp;Y88))</f>
        <v/>
      </c>
      <c r="AA87" s="14" t="n"/>
      <c r="AB87" s="16" t="n"/>
      <c r="AC87" s="124">
        <f>IF(AB87="","",COUNTIFS($C$18:$C$2015,AB$13,$D$18:$D$2015,"&gt;="&amp;AB87,$D$18:$D$2015,"&lt;"&amp;AB88))</f>
        <v/>
      </c>
      <c r="AD87" s="14" t="n"/>
    </row>
    <row r="88">
      <c r="A88" s="56" t="n"/>
      <c r="B88" s="57" t="n"/>
      <c r="C88" s="59" t="n"/>
      <c r="E88" s="16" t="n"/>
      <c r="F88" s="13" t="n"/>
      <c r="G88" s="16" t="n"/>
      <c r="H88" s="124">
        <f>IF(G88="","",COUNTIFS($C$18:$C$2015,G$13,$D$18:$D$2015,"&gt;="&amp;G88,$D$18:$D$2015,"&lt;"&amp;G89))</f>
        <v/>
      </c>
      <c r="I88" s="14" t="n"/>
      <c r="J88" s="16" t="n"/>
      <c r="K88" s="124">
        <f>IF(J88="","",COUNTIFS($C$18:$C$2015,J$13,$D$18:$D$2015,"&gt;="&amp;J88,$D$18:$D$2015,"&lt;"&amp;J89))</f>
        <v/>
      </c>
      <c r="L88" s="14" t="n"/>
      <c r="M88" s="16" t="n"/>
      <c r="N88" s="124">
        <f>IF(M88="","",COUNTIFS($C$18:$C$2015,M$13,$D$18:$D$2015,"&gt;="&amp;M88,$D$18:$D$2015,"&lt;"&amp;M89))</f>
        <v/>
      </c>
      <c r="O88" s="14" t="n"/>
      <c r="P88" s="16" t="n"/>
      <c r="Q88" s="124">
        <f>IF(P88="","",COUNTIFS($C$18:$C$2015,P$13,$D$18:$D$2015,"&gt;="&amp;P88,$D$18:$D$2015,"&lt;"&amp;P89))</f>
        <v/>
      </c>
      <c r="R88" s="14" t="n"/>
      <c r="S88" s="16" t="n"/>
      <c r="T88" s="124">
        <f>IF(S88="","",COUNTIFS($C$18:$C$2015,S$13,$D$18:$D$2015,"&gt;="&amp;S88,$D$18:$D$2015,"&lt;"&amp;S89))</f>
        <v/>
      </c>
      <c r="U88" s="14" t="n"/>
      <c r="V88" s="16" t="n"/>
      <c r="W88" s="124">
        <f>IF(V88="","",COUNTIFS($C$18:$C$2015,V$13,$D$18:$D$2015,"&gt;="&amp;V88,$D$18:$D$2015,"&lt;"&amp;V89))</f>
        <v/>
      </c>
      <c r="X88" s="14" t="n"/>
      <c r="Y88" s="16" t="n"/>
      <c r="Z88" s="124">
        <f>IF(Y88="","",COUNTIFS($C$18:$C$2015,Y$13,$D$18:$D$2015,"&gt;="&amp;Y88,$D$18:$D$2015,"&lt;"&amp;Y89))</f>
        <v/>
      </c>
      <c r="AA88" s="14" t="n"/>
      <c r="AB88" s="16" t="n"/>
      <c r="AC88" s="124">
        <f>IF(AB88="","",COUNTIFS($C$18:$C$2015,AB$13,$D$18:$D$2015,"&gt;="&amp;AB88,$D$18:$D$2015,"&lt;"&amp;AB89))</f>
        <v/>
      </c>
      <c r="AD88" s="14" t="n"/>
    </row>
    <row r="89">
      <c r="A89" s="58" t="n"/>
      <c r="B89" s="59" t="n"/>
      <c r="C89" s="59" t="n"/>
      <c r="E89" s="16" t="n"/>
      <c r="F89" s="13" t="n"/>
      <c r="G89" s="16" t="n"/>
      <c r="H89" s="124">
        <f>IF(G89="","",COUNTIFS($C$18:$C$2015,G$13,$D$18:$D$2015,"&gt;="&amp;G89,$D$18:$D$2015,"&lt;"&amp;G90))</f>
        <v/>
      </c>
      <c r="I89" s="14" t="n"/>
      <c r="J89" s="16" t="n"/>
      <c r="K89" s="124">
        <f>IF(J89="","",COUNTIFS($C$18:$C$2015,J$13,$D$18:$D$2015,"&gt;="&amp;J89,$D$18:$D$2015,"&lt;"&amp;J90))</f>
        <v/>
      </c>
      <c r="L89" s="14" t="n"/>
      <c r="M89" s="16" t="n"/>
      <c r="N89" s="124">
        <f>IF(M89="","",COUNTIFS($C$18:$C$2015,M$13,$D$18:$D$2015,"&gt;="&amp;M89,$D$18:$D$2015,"&lt;"&amp;M90))</f>
        <v/>
      </c>
      <c r="O89" s="14" t="n"/>
      <c r="P89" s="16" t="n"/>
      <c r="Q89" s="124">
        <f>IF(P89="","",COUNTIFS($C$18:$C$2015,P$13,$D$18:$D$2015,"&gt;="&amp;P89,$D$18:$D$2015,"&lt;"&amp;P90))</f>
        <v/>
      </c>
      <c r="R89" s="14" t="n"/>
      <c r="S89" s="16" t="n"/>
      <c r="T89" s="124">
        <f>IF(S89="","",COUNTIFS($C$18:$C$2015,S$13,$D$18:$D$2015,"&gt;="&amp;S89,$D$18:$D$2015,"&lt;"&amp;S90))</f>
        <v/>
      </c>
      <c r="U89" s="14" t="n"/>
      <c r="V89" s="16" t="n"/>
      <c r="W89" s="124">
        <f>IF(V89="","",COUNTIFS($C$18:$C$2015,V$13,$D$18:$D$2015,"&gt;="&amp;V89,$D$18:$D$2015,"&lt;"&amp;V90))</f>
        <v/>
      </c>
      <c r="X89" s="14" t="n"/>
      <c r="Y89" s="16" t="n"/>
      <c r="Z89" s="124">
        <f>IF(Y89="","",COUNTIFS($C$18:$C$2015,Y$13,$D$18:$D$2015,"&gt;="&amp;Y89,$D$18:$D$2015,"&lt;"&amp;Y90))</f>
        <v/>
      </c>
      <c r="AA89" s="14" t="n"/>
      <c r="AB89" s="16" t="n"/>
      <c r="AC89" s="124">
        <f>IF(AB89="","",COUNTIFS($C$18:$C$2015,AB$13,$D$18:$D$2015,"&gt;="&amp;AB89,$D$18:$D$2015,"&lt;"&amp;AB90))</f>
        <v/>
      </c>
      <c r="AD89" s="14" t="n"/>
    </row>
    <row r="90">
      <c r="A90" s="56" t="n"/>
      <c r="B90" s="57" t="n"/>
      <c r="C90" s="59" t="n"/>
      <c r="E90" s="16" t="n"/>
      <c r="F90" s="13" t="n"/>
      <c r="G90" s="16" t="n"/>
      <c r="H90" s="124">
        <f>IF(G90="","",COUNTIFS($C$18:$C$2015,G$13,$D$18:$D$2015,"&gt;="&amp;G90,$D$18:$D$2015,"&lt;"&amp;G91))</f>
        <v/>
      </c>
      <c r="I90" s="14" t="n"/>
      <c r="J90" s="16" t="n"/>
      <c r="K90" s="124">
        <f>IF(J90="","",COUNTIFS($C$18:$C$2015,J$13,$D$18:$D$2015,"&gt;="&amp;J90,$D$18:$D$2015,"&lt;"&amp;J91))</f>
        <v/>
      </c>
      <c r="L90" s="14" t="n"/>
      <c r="M90" s="16" t="n"/>
      <c r="N90" s="124">
        <f>IF(M90="","",COUNTIFS($C$18:$C$2015,M$13,$D$18:$D$2015,"&gt;="&amp;M90,$D$18:$D$2015,"&lt;"&amp;M91))</f>
        <v/>
      </c>
      <c r="O90" s="14" t="n"/>
      <c r="P90" s="16" t="n"/>
      <c r="Q90" s="124">
        <f>IF(P90="","",COUNTIFS($C$18:$C$2015,P$13,$D$18:$D$2015,"&gt;="&amp;P90,$D$18:$D$2015,"&lt;"&amp;P91))</f>
        <v/>
      </c>
      <c r="R90" s="14" t="n"/>
      <c r="S90" s="16" t="n"/>
      <c r="T90" s="124">
        <f>IF(S90="","",COUNTIFS($C$18:$C$2015,S$13,$D$18:$D$2015,"&gt;="&amp;S90,$D$18:$D$2015,"&lt;"&amp;S91))</f>
        <v/>
      </c>
      <c r="U90" s="14" t="n"/>
      <c r="V90" s="16" t="n"/>
      <c r="W90" s="124">
        <f>IF(V90="","",COUNTIFS($C$18:$C$2015,V$13,$D$18:$D$2015,"&gt;="&amp;V90,$D$18:$D$2015,"&lt;"&amp;V91))</f>
        <v/>
      </c>
      <c r="X90" s="14" t="n"/>
      <c r="Y90" s="16" t="n"/>
      <c r="Z90" s="124">
        <f>IF(Y90="","",COUNTIFS($C$18:$C$2015,Y$13,$D$18:$D$2015,"&gt;="&amp;Y90,$D$18:$D$2015,"&lt;"&amp;Y91))</f>
        <v/>
      </c>
      <c r="AA90" s="14" t="n"/>
      <c r="AB90" s="16" t="n"/>
      <c r="AC90" s="124">
        <f>IF(AB90="","",COUNTIFS($C$18:$C$2015,AB$13,$D$18:$D$2015,"&gt;="&amp;AB90,$D$18:$D$2015,"&lt;"&amp;AB91))</f>
        <v/>
      </c>
      <c r="AD90" s="14" t="n"/>
    </row>
    <row r="91">
      <c r="A91" s="58" t="n"/>
      <c r="B91" s="59" t="n"/>
      <c r="C91" s="59" t="n"/>
      <c r="E91" s="16" t="n"/>
      <c r="F91" s="13" t="n"/>
      <c r="G91" s="16" t="n"/>
      <c r="H91" s="124">
        <f>IF(G91="","",COUNTIFS($C$18:$C$2015,G$13,$D$18:$D$2015,"&gt;="&amp;G91,$D$18:$D$2015,"&lt;"&amp;G92))</f>
        <v/>
      </c>
      <c r="I91" s="14" t="n"/>
      <c r="J91" s="16" t="n"/>
      <c r="K91" s="124">
        <f>IF(J91="","",COUNTIFS($C$18:$C$2015,J$13,$D$18:$D$2015,"&gt;="&amp;J91,$D$18:$D$2015,"&lt;"&amp;J92))</f>
        <v/>
      </c>
      <c r="L91" s="14" t="n"/>
      <c r="M91" s="16" t="n"/>
      <c r="N91" s="124">
        <f>IF(M91="","",COUNTIFS($C$18:$C$2015,M$13,$D$18:$D$2015,"&gt;="&amp;M91,$D$18:$D$2015,"&lt;"&amp;M92))</f>
        <v/>
      </c>
      <c r="O91" s="14" t="n"/>
      <c r="P91" s="16" t="n"/>
      <c r="Q91" s="124">
        <f>IF(P91="","",COUNTIFS($C$18:$C$2015,P$13,$D$18:$D$2015,"&gt;="&amp;P91,$D$18:$D$2015,"&lt;"&amp;P92))</f>
        <v/>
      </c>
      <c r="R91" s="14" t="n"/>
      <c r="S91" s="16" t="n"/>
      <c r="T91" s="124">
        <f>IF(S91="","",COUNTIFS($C$18:$C$2015,S$13,$D$18:$D$2015,"&gt;="&amp;S91,$D$18:$D$2015,"&lt;"&amp;S92))</f>
        <v/>
      </c>
      <c r="U91" s="14" t="n"/>
      <c r="V91" s="16" t="n"/>
      <c r="W91" s="124">
        <f>IF(V91="","",COUNTIFS($C$18:$C$2015,V$13,$D$18:$D$2015,"&gt;="&amp;V91,$D$18:$D$2015,"&lt;"&amp;V92))</f>
        <v/>
      </c>
      <c r="X91" s="14" t="n"/>
      <c r="Y91" s="16" t="n"/>
      <c r="Z91" s="124">
        <f>IF(Y91="","",COUNTIFS($C$18:$C$2015,Y$13,$D$18:$D$2015,"&gt;="&amp;Y91,$D$18:$D$2015,"&lt;"&amp;Y92))</f>
        <v/>
      </c>
      <c r="AA91" s="14" t="n"/>
      <c r="AB91" s="16" t="n"/>
      <c r="AC91" s="124">
        <f>IF(AB91="","",COUNTIFS($C$18:$C$2015,AB$13,$D$18:$D$2015,"&gt;="&amp;AB91,$D$18:$D$2015,"&lt;"&amp;AB92))</f>
        <v/>
      </c>
      <c r="AD91" s="14" t="n"/>
    </row>
    <row r="92">
      <c r="A92" s="56" t="n"/>
      <c r="B92" s="57" t="n"/>
      <c r="C92" s="59" t="n"/>
      <c r="E92" s="16" t="n"/>
      <c r="F92" s="13" t="n"/>
      <c r="G92" s="16" t="n"/>
      <c r="H92" s="124">
        <f>IF(G92="","",COUNTIFS($C$18:$C$2015,G$13,$D$18:$D$2015,"&gt;="&amp;G92,$D$18:$D$2015,"&lt;"&amp;G93))</f>
        <v/>
      </c>
      <c r="I92" s="14" t="n"/>
      <c r="J92" s="16" t="n"/>
      <c r="K92" s="124">
        <f>IF(J92="","",COUNTIFS($C$18:$C$2015,J$13,$D$18:$D$2015,"&gt;="&amp;J92,$D$18:$D$2015,"&lt;"&amp;J93))</f>
        <v/>
      </c>
      <c r="L92" s="14" t="n"/>
      <c r="M92" s="16" t="n"/>
      <c r="N92" s="124">
        <f>IF(M92="","",COUNTIFS($C$18:$C$2015,M$13,$D$18:$D$2015,"&gt;="&amp;M92,$D$18:$D$2015,"&lt;"&amp;M93))</f>
        <v/>
      </c>
      <c r="O92" s="14" t="n"/>
      <c r="P92" s="16" t="n"/>
      <c r="Q92" s="124">
        <f>IF(P92="","",COUNTIFS($C$18:$C$2015,P$13,$D$18:$D$2015,"&gt;="&amp;P92,$D$18:$D$2015,"&lt;"&amp;P93))</f>
        <v/>
      </c>
      <c r="R92" s="14" t="n"/>
      <c r="S92" s="16" t="n"/>
      <c r="T92" s="124">
        <f>IF(S92="","",COUNTIFS($C$18:$C$2015,S$13,$D$18:$D$2015,"&gt;="&amp;S92,$D$18:$D$2015,"&lt;"&amp;S93))</f>
        <v/>
      </c>
      <c r="U92" s="14" t="n"/>
      <c r="V92" s="16" t="n"/>
      <c r="W92" s="124">
        <f>IF(V92="","",COUNTIFS($C$18:$C$2015,V$13,$D$18:$D$2015,"&gt;="&amp;V92,$D$18:$D$2015,"&lt;"&amp;V93))</f>
        <v/>
      </c>
      <c r="X92" s="14" t="n"/>
      <c r="Y92" s="16" t="n"/>
      <c r="Z92" s="124">
        <f>IF(Y92="","",COUNTIFS($C$18:$C$2015,Y$13,$D$18:$D$2015,"&gt;="&amp;Y92,$D$18:$D$2015,"&lt;"&amp;Y93))</f>
        <v/>
      </c>
      <c r="AA92" s="14" t="n"/>
      <c r="AB92" s="16" t="n"/>
      <c r="AC92" s="124">
        <f>IF(AB92="","",COUNTIFS($C$18:$C$2015,AB$13,$D$18:$D$2015,"&gt;="&amp;AB92,$D$18:$D$2015,"&lt;"&amp;AB93))</f>
        <v/>
      </c>
      <c r="AD92" s="14" t="n"/>
    </row>
    <row r="93">
      <c r="A93" s="58" t="n"/>
      <c r="B93" s="59" t="n"/>
      <c r="C93" s="59" t="n"/>
      <c r="E93" s="16" t="n"/>
      <c r="F93" s="13" t="n"/>
      <c r="G93" s="16" t="n"/>
      <c r="H93" s="124">
        <f>IF(G93="","",COUNTIFS($C$18:$C$2015,G$13,$D$18:$D$2015,"&gt;="&amp;G93,$D$18:$D$2015,"&lt;"&amp;G94))</f>
        <v/>
      </c>
      <c r="I93" s="14" t="n"/>
      <c r="J93" s="16" t="n"/>
      <c r="K93" s="124">
        <f>IF(J93="","",COUNTIFS($C$18:$C$2015,J$13,$D$18:$D$2015,"&gt;="&amp;J93,$D$18:$D$2015,"&lt;"&amp;J94))</f>
        <v/>
      </c>
      <c r="L93" s="14" t="n"/>
      <c r="M93" s="16" t="n"/>
      <c r="N93" s="124">
        <f>IF(M93="","",COUNTIFS($C$18:$C$2015,M$13,$D$18:$D$2015,"&gt;="&amp;M93,$D$18:$D$2015,"&lt;"&amp;M94))</f>
        <v/>
      </c>
      <c r="O93" s="14" t="n"/>
      <c r="P93" s="16" t="n"/>
      <c r="Q93" s="124">
        <f>IF(P93="","",COUNTIFS($C$18:$C$2015,P$13,$D$18:$D$2015,"&gt;="&amp;P93,$D$18:$D$2015,"&lt;"&amp;P94))</f>
        <v/>
      </c>
      <c r="R93" s="14" t="n"/>
      <c r="S93" s="16" t="n"/>
      <c r="T93" s="124">
        <f>IF(S93="","",COUNTIFS($C$18:$C$2015,S$13,$D$18:$D$2015,"&gt;="&amp;S93,$D$18:$D$2015,"&lt;"&amp;S94))</f>
        <v/>
      </c>
      <c r="U93" s="14" t="n"/>
      <c r="V93" s="16" t="n"/>
      <c r="W93" s="124">
        <f>IF(V93="","",COUNTIFS($C$18:$C$2015,V$13,$D$18:$D$2015,"&gt;="&amp;V93,$D$18:$D$2015,"&lt;"&amp;V94))</f>
        <v/>
      </c>
      <c r="X93" s="14" t="n"/>
      <c r="Y93" s="16" t="n"/>
      <c r="Z93" s="124">
        <f>IF(Y93="","",COUNTIFS($C$18:$C$2015,Y$13,$D$18:$D$2015,"&gt;="&amp;Y93,$D$18:$D$2015,"&lt;"&amp;Y94))</f>
        <v/>
      </c>
      <c r="AA93" s="14" t="n"/>
      <c r="AB93" s="16" t="n"/>
      <c r="AC93" s="124">
        <f>IF(AB93="","",COUNTIFS($C$18:$C$2015,AB$13,$D$18:$D$2015,"&gt;="&amp;AB93,$D$18:$D$2015,"&lt;"&amp;AB94))</f>
        <v/>
      </c>
      <c r="AD93" s="14" t="n"/>
    </row>
    <row r="94">
      <c r="A94" s="56" t="n"/>
      <c r="B94" s="57" t="n"/>
      <c r="C94" s="59" t="n"/>
      <c r="E94" s="16" t="n"/>
      <c r="F94" s="13" t="n"/>
      <c r="G94" s="16" t="n"/>
      <c r="H94" s="124">
        <f>IF(G94="","",COUNTIFS($C$18:$C$2015,G$13,$D$18:$D$2015,"&gt;="&amp;G94,$D$18:$D$2015,"&lt;"&amp;G95))</f>
        <v/>
      </c>
      <c r="I94" s="14" t="n"/>
      <c r="J94" s="16" t="n"/>
      <c r="K94" s="124">
        <f>IF(J94="","",COUNTIFS($C$18:$C$2015,J$13,$D$18:$D$2015,"&gt;="&amp;J94,$D$18:$D$2015,"&lt;"&amp;J95))</f>
        <v/>
      </c>
      <c r="L94" s="14" t="n"/>
      <c r="M94" s="16" t="n"/>
      <c r="N94" s="124">
        <f>IF(M94="","",COUNTIFS($C$18:$C$2015,M$13,$D$18:$D$2015,"&gt;="&amp;M94,$D$18:$D$2015,"&lt;"&amp;M95))</f>
        <v/>
      </c>
      <c r="O94" s="14" t="n"/>
      <c r="P94" s="16" t="n"/>
      <c r="Q94" s="124">
        <f>IF(P94="","",COUNTIFS($C$18:$C$2015,P$13,$D$18:$D$2015,"&gt;="&amp;P94,$D$18:$D$2015,"&lt;"&amp;P95))</f>
        <v/>
      </c>
      <c r="R94" s="14" t="n"/>
      <c r="S94" s="16" t="n"/>
      <c r="T94" s="124">
        <f>IF(S94="","",COUNTIFS($C$18:$C$2015,S$13,$D$18:$D$2015,"&gt;="&amp;S94,$D$18:$D$2015,"&lt;"&amp;S95))</f>
        <v/>
      </c>
      <c r="U94" s="14" t="n"/>
      <c r="V94" s="16" t="n"/>
      <c r="W94" s="124">
        <f>IF(V94="","",COUNTIFS($C$18:$C$2015,V$13,$D$18:$D$2015,"&gt;="&amp;V94,$D$18:$D$2015,"&lt;"&amp;V95))</f>
        <v/>
      </c>
      <c r="X94" s="14" t="n"/>
      <c r="Y94" s="16" t="n"/>
      <c r="Z94" s="124">
        <f>IF(Y94="","",COUNTIFS($C$18:$C$2015,Y$13,$D$18:$D$2015,"&gt;="&amp;Y94,$D$18:$D$2015,"&lt;"&amp;Y95))</f>
        <v/>
      </c>
      <c r="AA94" s="14" t="n"/>
      <c r="AB94" s="16" t="n"/>
      <c r="AC94" s="124">
        <f>IF(AB94="","",COUNTIFS($C$18:$C$2015,AB$13,$D$18:$D$2015,"&gt;="&amp;AB94,$D$18:$D$2015,"&lt;"&amp;AB95))</f>
        <v/>
      </c>
      <c r="AD94" s="14" t="n"/>
    </row>
    <row r="95">
      <c r="A95" s="58" t="n"/>
      <c r="B95" s="59" t="n"/>
      <c r="C95" s="59" t="n"/>
      <c r="E95" s="16" t="n"/>
      <c r="F95" s="13" t="n"/>
      <c r="G95" s="16" t="n"/>
      <c r="H95" s="124">
        <f>IF(G95="","",COUNTIFS($C$18:$C$2015,G$13,$D$18:$D$2015,"&gt;="&amp;G95,$D$18:$D$2015,"&lt;"&amp;G96))</f>
        <v/>
      </c>
      <c r="I95" s="14" t="n"/>
      <c r="J95" s="16" t="n"/>
      <c r="K95" s="124">
        <f>IF(J95="","",COUNTIFS($C$18:$C$2015,J$13,$D$18:$D$2015,"&gt;="&amp;J95,$D$18:$D$2015,"&lt;"&amp;J96))</f>
        <v/>
      </c>
      <c r="L95" s="14" t="n"/>
      <c r="M95" s="16" t="n"/>
      <c r="N95" s="124">
        <f>IF(M95="","",COUNTIFS($C$18:$C$2015,M$13,$D$18:$D$2015,"&gt;="&amp;M95,$D$18:$D$2015,"&lt;"&amp;M96))</f>
        <v/>
      </c>
      <c r="O95" s="14" t="n"/>
      <c r="P95" s="16" t="n"/>
      <c r="Q95" s="124">
        <f>IF(P95="","",COUNTIFS($C$18:$C$2015,P$13,$D$18:$D$2015,"&gt;="&amp;P95,$D$18:$D$2015,"&lt;"&amp;P96))</f>
        <v/>
      </c>
      <c r="R95" s="14" t="n"/>
      <c r="S95" s="16" t="n"/>
      <c r="T95" s="124">
        <f>IF(S95="","",COUNTIFS($C$18:$C$2015,S$13,$D$18:$D$2015,"&gt;="&amp;S95,$D$18:$D$2015,"&lt;"&amp;S96))</f>
        <v/>
      </c>
      <c r="U95" s="14" t="n"/>
      <c r="V95" s="16" t="n"/>
      <c r="W95" s="124">
        <f>IF(V95="","",COUNTIFS($C$18:$C$2015,V$13,$D$18:$D$2015,"&gt;="&amp;V95,$D$18:$D$2015,"&lt;"&amp;V96))</f>
        <v/>
      </c>
      <c r="X95" s="14" t="n"/>
      <c r="Y95" s="16" t="n"/>
      <c r="Z95" s="124">
        <f>IF(Y95="","",COUNTIFS($C$18:$C$2015,Y$13,$D$18:$D$2015,"&gt;="&amp;Y95,$D$18:$D$2015,"&lt;"&amp;Y96))</f>
        <v/>
      </c>
      <c r="AA95" s="14" t="n"/>
      <c r="AB95" s="16" t="n"/>
      <c r="AC95" s="124">
        <f>IF(AB95="","",COUNTIFS($C$18:$C$2015,AB$13,$D$18:$D$2015,"&gt;="&amp;AB95,$D$18:$D$2015,"&lt;"&amp;AB96))</f>
        <v/>
      </c>
      <c r="AD95" s="14" t="n"/>
    </row>
    <row r="96">
      <c r="A96" s="56" t="n"/>
      <c r="B96" s="57" t="n"/>
      <c r="C96" s="59" t="n"/>
      <c r="E96" s="16" t="n"/>
      <c r="F96" s="13" t="n"/>
      <c r="G96" s="16" t="n"/>
      <c r="H96" s="124">
        <f>IF(G96="","",COUNTIFS($C$18:$C$2015,G$13,$D$18:$D$2015,"&gt;="&amp;G96,$D$18:$D$2015,"&lt;"&amp;G97))</f>
        <v/>
      </c>
      <c r="I96" s="14" t="n"/>
      <c r="J96" s="16" t="n"/>
      <c r="K96" s="124">
        <f>IF(J96="","",COUNTIFS($C$18:$C$2015,J$13,$D$18:$D$2015,"&gt;="&amp;J96,$D$18:$D$2015,"&lt;"&amp;J97))</f>
        <v/>
      </c>
      <c r="L96" s="14" t="n"/>
      <c r="M96" s="16" t="n"/>
      <c r="N96" s="124">
        <f>IF(M96="","",COUNTIFS($C$18:$C$2015,M$13,$D$18:$D$2015,"&gt;="&amp;M96,$D$18:$D$2015,"&lt;"&amp;M97))</f>
        <v/>
      </c>
      <c r="O96" s="14" t="n"/>
      <c r="P96" s="16" t="n"/>
      <c r="Q96" s="124">
        <f>IF(P96="","",COUNTIFS($C$18:$C$2015,P$13,$D$18:$D$2015,"&gt;="&amp;P96,$D$18:$D$2015,"&lt;"&amp;P97))</f>
        <v/>
      </c>
      <c r="R96" s="14" t="n"/>
      <c r="S96" s="16" t="n"/>
      <c r="T96" s="124">
        <f>IF(S96="","",COUNTIFS($C$18:$C$2015,S$13,$D$18:$D$2015,"&gt;="&amp;S96,$D$18:$D$2015,"&lt;"&amp;S97))</f>
        <v/>
      </c>
      <c r="U96" s="14" t="n"/>
      <c r="V96" s="16" t="n"/>
      <c r="W96" s="124">
        <f>IF(V96="","",COUNTIFS($C$18:$C$2015,V$13,$D$18:$D$2015,"&gt;="&amp;V96,$D$18:$D$2015,"&lt;"&amp;V97))</f>
        <v/>
      </c>
      <c r="X96" s="14" t="n"/>
      <c r="Y96" s="16" t="n"/>
      <c r="Z96" s="124">
        <f>IF(Y96="","",COUNTIFS($C$18:$C$2015,Y$13,$D$18:$D$2015,"&gt;="&amp;Y96,$D$18:$D$2015,"&lt;"&amp;Y97))</f>
        <v/>
      </c>
      <c r="AA96" s="14" t="n"/>
      <c r="AB96" s="16" t="n"/>
      <c r="AC96" s="124">
        <f>IF(AB96="","",COUNTIFS($C$18:$C$2015,AB$13,$D$18:$D$2015,"&gt;="&amp;AB96,$D$18:$D$2015,"&lt;"&amp;AB97))</f>
        <v/>
      </c>
      <c r="AD96" s="14" t="n"/>
    </row>
    <row r="97">
      <c r="A97" s="58" t="n"/>
      <c r="B97" s="59" t="n"/>
      <c r="C97" s="59" t="n"/>
      <c r="E97" s="16" t="n"/>
      <c r="F97" s="13" t="n"/>
      <c r="G97" s="16" t="n"/>
      <c r="H97" s="124">
        <f>IF(G97="","",COUNTIFS($C$18:$C$2015,G$13,$D$18:$D$2015,"&gt;="&amp;G97,$D$18:$D$2015,"&lt;"&amp;G98))</f>
        <v/>
      </c>
      <c r="I97" s="14" t="n"/>
      <c r="J97" s="16" t="n"/>
      <c r="K97" s="124">
        <f>IF(J97="","",COUNTIFS($C$18:$C$2015,J$13,$D$18:$D$2015,"&gt;="&amp;J97,$D$18:$D$2015,"&lt;"&amp;J98))</f>
        <v/>
      </c>
      <c r="L97" s="14" t="n"/>
      <c r="M97" s="16" t="n"/>
      <c r="N97" s="124">
        <f>IF(M97="","",COUNTIFS($C$18:$C$2015,M$13,$D$18:$D$2015,"&gt;="&amp;M97,$D$18:$D$2015,"&lt;"&amp;M98))</f>
        <v/>
      </c>
      <c r="O97" s="14" t="n"/>
      <c r="P97" s="16" t="n"/>
      <c r="Q97" s="124">
        <f>IF(P97="","",COUNTIFS($C$18:$C$2015,P$13,$D$18:$D$2015,"&gt;="&amp;P97,$D$18:$D$2015,"&lt;"&amp;P98))</f>
        <v/>
      </c>
      <c r="R97" s="14" t="n"/>
      <c r="S97" s="16" t="n"/>
      <c r="T97" s="124">
        <f>IF(S97="","",COUNTIFS($C$18:$C$2015,S$13,$D$18:$D$2015,"&gt;="&amp;S97,$D$18:$D$2015,"&lt;"&amp;S98))</f>
        <v/>
      </c>
      <c r="U97" s="14" t="n"/>
      <c r="V97" s="16" t="n"/>
      <c r="W97" s="124">
        <f>IF(V97="","",COUNTIFS($C$18:$C$2015,V$13,$D$18:$D$2015,"&gt;="&amp;V97,$D$18:$D$2015,"&lt;"&amp;V98))</f>
        <v/>
      </c>
      <c r="X97" s="14" t="n"/>
      <c r="Y97" s="16" t="n"/>
      <c r="Z97" s="124">
        <f>IF(Y97="","",COUNTIFS($C$18:$C$2015,Y$13,$D$18:$D$2015,"&gt;="&amp;Y97,$D$18:$D$2015,"&lt;"&amp;Y98))</f>
        <v/>
      </c>
      <c r="AA97" s="14" t="n"/>
      <c r="AB97" s="16" t="n"/>
      <c r="AC97" s="124">
        <f>IF(AB97="","",COUNTIFS($C$18:$C$2015,AB$13,$D$18:$D$2015,"&gt;="&amp;AB97,$D$18:$D$2015,"&lt;"&amp;AB98))</f>
        <v/>
      </c>
      <c r="AD97" s="14" t="n"/>
    </row>
    <row r="98">
      <c r="A98" s="56" t="n"/>
      <c r="B98" s="57" t="n"/>
      <c r="C98" s="59" t="n"/>
      <c r="E98" s="16" t="n"/>
      <c r="F98" s="13" t="n"/>
      <c r="G98" s="16" t="n"/>
      <c r="H98" s="124">
        <f>IF(G98="","",COUNTIFS($C$18:$C$2015,G$13,$D$18:$D$2015,"&gt;="&amp;G98,$D$18:$D$2015,"&lt;"&amp;G99))</f>
        <v/>
      </c>
      <c r="I98" s="14" t="n"/>
      <c r="J98" s="16" t="n"/>
      <c r="K98" s="124">
        <f>IF(J98="","",COUNTIFS($C$18:$C$2015,J$13,$D$18:$D$2015,"&gt;="&amp;J98,$D$18:$D$2015,"&lt;"&amp;J99))</f>
        <v/>
      </c>
      <c r="L98" s="14" t="n"/>
      <c r="M98" s="16" t="n"/>
      <c r="N98" s="124">
        <f>IF(M98="","",COUNTIFS($C$18:$C$2015,M$13,$D$18:$D$2015,"&gt;="&amp;M98,$D$18:$D$2015,"&lt;"&amp;M99))</f>
        <v/>
      </c>
      <c r="O98" s="14" t="n"/>
      <c r="P98" s="16" t="n"/>
      <c r="Q98" s="124">
        <f>IF(P98="","",COUNTIFS($C$18:$C$2015,P$13,$D$18:$D$2015,"&gt;="&amp;P98,$D$18:$D$2015,"&lt;"&amp;P99))</f>
        <v/>
      </c>
      <c r="R98" s="14" t="n"/>
      <c r="S98" s="16" t="n"/>
      <c r="T98" s="124">
        <f>IF(S98="","",COUNTIFS($C$18:$C$2015,S$13,$D$18:$D$2015,"&gt;="&amp;S98,$D$18:$D$2015,"&lt;"&amp;S99))</f>
        <v/>
      </c>
      <c r="U98" s="14" t="n"/>
      <c r="V98" s="16" t="n"/>
      <c r="W98" s="124">
        <f>IF(V98="","",COUNTIFS($C$18:$C$2015,V$13,$D$18:$D$2015,"&gt;="&amp;V98,$D$18:$D$2015,"&lt;"&amp;V99))</f>
        <v/>
      </c>
      <c r="X98" s="14" t="n"/>
      <c r="Y98" s="16" t="n"/>
      <c r="Z98" s="124">
        <f>IF(Y98="","",COUNTIFS($C$18:$C$2015,Y$13,$D$18:$D$2015,"&gt;="&amp;Y98,$D$18:$D$2015,"&lt;"&amp;Y99))</f>
        <v/>
      </c>
      <c r="AA98" s="14" t="n"/>
      <c r="AB98" s="16" t="n"/>
      <c r="AC98" s="124">
        <f>IF(AB98="","",COUNTIFS($C$18:$C$2015,AB$13,$D$18:$D$2015,"&gt;="&amp;AB98,$D$18:$D$2015,"&lt;"&amp;AB99))</f>
        <v/>
      </c>
      <c r="AD98" s="14" t="n"/>
    </row>
    <row r="99">
      <c r="A99" s="58" t="n"/>
      <c r="B99" s="59" t="n"/>
      <c r="C99" s="59" t="n"/>
      <c r="E99" s="16" t="n"/>
      <c r="F99" s="13" t="n"/>
      <c r="G99" s="16" t="n"/>
      <c r="H99" s="124">
        <f>IF(G99="","",COUNTIFS($C$18:$C$2015,G$13,$D$18:$D$2015,"&gt;="&amp;G99,$D$18:$D$2015,"&lt;"&amp;G100))</f>
        <v/>
      </c>
      <c r="I99" s="14" t="n"/>
      <c r="J99" s="16" t="n"/>
      <c r="K99" s="124">
        <f>IF(J99="","",COUNTIFS($C$18:$C$2015,J$13,$D$18:$D$2015,"&gt;="&amp;J99,$D$18:$D$2015,"&lt;"&amp;J100))</f>
        <v/>
      </c>
      <c r="L99" s="14" t="n"/>
      <c r="M99" s="16" t="n"/>
      <c r="N99" s="124">
        <f>IF(M99="","",COUNTIFS($C$18:$C$2015,M$13,$D$18:$D$2015,"&gt;="&amp;M99,$D$18:$D$2015,"&lt;"&amp;M100))</f>
        <v/>
      </c>
      <c r="O99" s="14" t="n"/>
      <c r="P99" s="16" t="n"/>
      <c r="Q99" s="124">
        <f>IF(P99="","",COUNTIFS($C$18:$C$2015,P$13,$D$18:$D$2015,"&gt;="&amp;P99,$D$18:$D$2015,"&lt;"&amp;P100))</f>
        <v/>
      </c>
      <c r="R99" s="14" t="n"/>
      <c r="S99" s="16" t="n"/>
      <c r="T99" s="124">
        <f>IF(S99="","",COUNTIFS($C$18:$C$2015,S$13,$D$18:$D$2015,"&gt;="&amp;S99,$D$18:$D$2015,"&lt;"&amp;S100))</f>
        <v/>
      </c>
      <c r="U99" s="14" t="n"/>
      <c r="V99" s="16" t="n"/>
      <c r="W99" s="124">
        <f>IF(V99="","",COUNTIFS($C$18:$C$2015,V$13,$D$18:$D$2015,"&gt;="&amp;V99,$D$18:$D$2015,"&lt;"&amp;V100))</f>
        <v/>
      </c>
      <c r="X99" s="14" t="n"/>
      <c r="Y99" s="16" t="n"/>
      <c r="Z99" s="124">
        <f>IF(Y99="","",COUNTIFS($C$18:$C$2015,Y$13,$D$18:$D$2015,"&gt;="&amp;Y99,$D$18:$D$2015,"&lt;"&amp;Y100))</f>
        <v/>
      </c>
      <c r="AA99" s="14" t="n"/>
      <c r="AB99" s="16" t="n"/>
      <c r="AC99" s="124">
        <f>IF(AB99="","",COUNTIFS($C$18:$C$2015,AB$13,$D$18:$D$2015,"&gt;="&amp;AB99,$D$18:$D$2015,"&lt;"&amp;AB100))</f>
        <v/>
      </c>
      <c r="AD99" s="14" t="n"/>
    </row>
    <row r="100">
      <c r="A100" s="56" t="n"/>
      <c r="B100" s="57" t="n"/>
      <c r="C100" s="59" t="n"/>
      <c r="E100" s="16" t="n"/>
      <c r="F100" s="13" t="n"/>
      <c r="G100" s="16" t="n"/>
      <c r="H100" s="124">
        <f>IF(G100="","",COUNTIFS($C$18:$C$2015,G$13,$D$18:$D$2015,"&gt;="&amp;G100,$D$18:$D$2015,"&lt;"&amp;G101))</f>
        <v/>
      </c>
      <c r="I100" s="14" t="n"/>
      <c r="J100" s="16" t="n"/>
      <c r="K100" s="124">
        <f>IF(J100="","",COUNTIFS($C$18:$C$2015,J$13,$D$18:$D$2015,"&gt;="&amp;J100,$D$18:$D$2015,"&lt;"&amp;J101))</f>
        <v/>
      </c>
      <c r="L100" s="14" t="n"/>
      <c r="M100" s="16" t="n"/>
      <c r="N100" s="124">
        <f>IF(M100="","",COUNTIFS($C$18:$C$2015,M$13,$D$18:$D$2015,"&gt;="&amp;M100,$D$18:$D$2015,"&lt;"&amp;M101))</f>
        <v/>
      </c>
      <c r="O100" s="14" t="n"/>
      <c r="P100" s="16" t="n"/>
      <c r="Q100" s="124">
        <f>IF(P100="","",COUNTIFS($C$18:$C$2015,P$13,$D$18:$D$2015,"&gt;="&amp;P100,$D$18:$D$2015,"&lt;"&amp;P101))</f>
        <v/>
      </c>
      <c r="R100" s="14" t="n"/>
      <c r="S100" s="16" t="n"/>
      <c r="T100" s="124">
        <f>IF(S100="","",COUNTIFS($C$18:$C$2015,S$13,$D$18:$D$2015,"&gt;="&amp;S100,$D$18:$D$2015,"&lt;"&amp;S101))</f>
        <v/>
      </c>
      <c r="U100" s="14" t="n"/>
      <c r="V100" s="16" t="n"/>
      <c r="W100" s="124">
        <f>IF(V100="","",COUNTIFS($C$18:$C$2015,V$13,$D$18:$D$2015,"&gt;="&amp;V100,$D$18:$D$2015,"&lt;"&amp;V101))</f>
        <v/>
      </c>
      <c r="X100" s="14" t="n"/>
      <c r="Y100" s="16" t="n"/>
      <c r="Z100" s="124">
        <f>IF(Y100="","",COUNTIFS($C$18:$C$2015,Y$13,$D$18:$D$2015,"&gt;="&amp;Y100,$D$18:$D$2015,"&lt;"&amp;Y101))</f>
        <v/>
      </c>
      <c r="AA100" s="14" t="n"/>
      <c r="AB100" s="16" t="n"/>
      <c r="AC100" s="124">
        <f>IF(AB100="","",COUNTIFS($C$18:$C$2015,AB$13,$D$18:$D$2015,"&gt;="&amp;AB100,$D$18:$D$2015,"&lt;"&amp;AB101))</f>
        <v/>
      </c>
      <c r="AD100" s="14" t="n"/>
    </row>
    <row r="101">
      <c r="A101" s="58" t="n"/>
      <c r="B101" s="59" t="n"/>
      <c r="C101" s="59" t="n"/>
      <c r="E101" s="16" t="n"/>
      <c r="F101" s="13" t="n"/>
      <c r="G101" s="16" t="n"/>
      <c r="H101" s="124">
        <f>IF(G101="","",COUNTIFS($C$18:$C$2015,G$13,$D$18:$D$2015,"&gt;="&amp;G101,$D$18:$D$2015,"&lt;"&amp;G102))</f>
        <v/>
      </c>
      <c r="I101" s="14" t="n"/>
      <c r="J101" s="16" t="n"/>
      <c r="K101" s="124">
        <f>IF(J101="","",COUNTIFS($C$18:$C$2015,J$13,$D$18:$D$2015,"&gt;="&amp;J101,$D$18:$D$2015,"&lt;"&amp;J102))</f>
        <v/>
      </c>
      <c r="L101" s="14" t="n"/>
      <c r="M101" s="16" t="n"/>
      <c r="N101" s="124">
        <f>IF(M101="","",COUNTIFS($C$18:$C$2015,M$13,$D$18:$D$2015,"&gt;="&amp;M101,$D$18:$D$2015,"&lt;"&amp;M102))</f>
        <v/>
      </c>
      <c r="O101" s="14" t="n"/>
      <c r="P101" s="16" t="n"/>
      <c r="Q101" s="124">
        <f>IF(P101="","",COUNTIFS($C$18:$C$2015,P$13,$D$18:$D$2015,"&gt;="&amp;P101,$D$18:$D$2015,"&lt;"&amp;P102))</f>
        <v/>
      </c>
      <c r="R101" s="14" t="n"/>
      <c r="S101" s="16" t="n"/>
      <c r="T101" s="124">
        <f>IF(S101="","",COUNTIFS($C$18:$C$2015,S$13,$D$18:$D$2015,"&gt;="&amp;S101,$D$18:$D$2015,"&lt;"&amp;S102))</f>
        <v/>
      </c>
      <c r="U101" s="14" t="n"/>
      <c r="V101" s="16" t="n"/>
      <c r="W101" s="124">
        <f>IF(V101="","",COUNTIFS($C$18:$C$2015,V$13,$D$18:$D$2015,"&gt;="&amp;V101,$D$18:$D$2015,"&lt;"&amp;V102))</f>
        <v/>
      </c>
      <c r="X101" s="14" t="n"/>
      <c r="Y101" s="16" t="n"/>
      <c r="Z101" s="124">
        <f>IF(Y101="","",COUNTIFS($C$18:$C$2015,Y$13,$D$18:$D$2015,"&gt;="&amp;Y101,$D$18:$D$2015,"&lt;"&amp;Y102))</f>
        <v/>
      </c>
      <c r="AA101" s="14" t="n"/>
      <c r="AB101" s="16" t="n"/>
      <c r="AC101" s="124">
        <f>IF(AB101="","",COUNTIFS($C$18:$C$2015,AB$13,$D$18:$D$2015,"&gt;="&amp;AB101,$D$18:$D$2015,"&lt;"&amp;AB102))</f>
        <v/>
      </c>
      <c r="AD101" s="14" t="n"/>
    </row>
    <row r="102">
      <c r="A102" s="56" t="n"/>
      <c r="B102" s="57" t="n"/>
      <c r="C102" s="59" t="n"/>
      <c r="E102" s="16" t="n"/>
      <c r="F102" s="13" t="n"/>
      <c r="G102" s="16" t="n"/>
      <c r="H102" s="124">
        <f>IF(G102="","",COUNTIFS($C$18:$C$2015,G$13,$D$18:$D$2015,"&gt;="&amp;G102,$D$18:$D$2015,"&lt;"&amp;G103))</f>
        <v/>
      </c>
      <c r="I102" s="14" t="n"/>
      <c r="J102" s="16" t="n"/>
      <c r="K102" s="124">
        <f>IF(J102="","",COUNTIFS($C$18:$C$2015,J$13,$D$18:$D$2015,"&gt;="&amp;J102,$D$18:$D$2015,"&lt;"&amp;J103))</f>
        <v/>
      </c>
      <c r="L102" s="14" t="n"/>
      <c r="M102" s="16" t="n"/>
      <c r="N102" s="124">
        <f>IF(M102="","",COUNTIFS($C$18:$C$2015,M$13,$D$18:$D$2015,"&gt;="&amp;M102,$D$18:$D$2015,"&lt;"&amp;M103))</f>
        <v/>
      </c>
      <c r="O102" s="14" t="n"/>
      <c r="P102" s="16" t="n"/>
      <c r="Q102" s="124">
        <f>IF(P102="","",COUNTIFS($C$18:$C$2015,P$13,$D$18:$D$2015,"&gt;="&amp;P102,$D$18:$D$2015,"&lt;"&amp;P103))</f>
        <v/>
      </c>
      <c r="R102" s="14" t="n"/>
      <c r="S102" s="16" t="n"/>
      <c r="T102" s="124">
        <f>IF(S102="","",COUNTIFS($C$18:$C$2015,S$13,$D$18:$D$2015,"&gt;="&amp;S102,$D$18:$D$2015,"&lt;"&amp;S103))</f>
        <v/>
      </c>
      <c r="U102" s="14" t="n"/>
      <c r="V102" s="16" t="n"/>
      <c r="W102" s="124">
        <f>IF(V102="","",COUNTIFS($C$18:$C$2015,V$13,$D$18:$D$2015,"&gt;="&amp;V102,$D$18:$D$2015,"&lt;"&amp;V103))</f>
        <v/>
      </c>
      <c r="X102" s="14" t="n"/>
      <c r="Y102" s="16" t="n"/>
      <c r="Z102" s="124">
        <f>IF(Y102="","",COUNTIFS($C$18:$C$2015,Y$13,$D$18:$D$2015,"&gt;="&amp;Y102,$D$18:$D$2015,"&lt;"&amp;Y103))</f>
        <v/>
      </c>
      <c r="AA102" s="14" t="n"/>
      <c r="AB102" s="16" t="n"/>
      <c r="AC102" s="124">
        <f>IF(AB102="","",COUNTIFS($C$18:$C$2015,AB$13,$D$18:$D$2015,"&gt;="&amp;AB102,$D$18:$D$2015,"&lt;"&amp;AB103))</f>
        <v/>
      </c>
      <c r="AD102" s="14" t="n"/>
    </row>
    <row r="103">
      <c r="A103" s="58" t="n"/>
      <c r="B103" s="59" t="n"/>
      <c r="C103" s="59" t="n"/>
      <c r="E103" s="16" t="n"/>
      <c r="F103" s="13" t="n"/>
      <c r="G103" s="16" t="n"/>
      <c r="H103" s="124">
        <f>IF(G103="","",COUNTIFS($C$18:$C$2015,G$13,$D$18:$D$2015,"&gt;="&amp;G103,$D$18:$D$2015,"&lt;"&amp;G104))</f>
        <v/>
      </c>
      <c r="I103" s="14" t="n"/>
      <c r="J103" s="16" t="n"/>
      <c r="K103" s="124">
        <f>IF(J103="","",COUNTIFS($C$18:$C$2015,J$13,$D$18:$D$2015,"&gt;="&amp;J103,$D$18:$D$2015,"&lt;"&amp;J104))</f>
        <v/>
      </c>
      <c r="L103" s="14" t="n"/>
      <c r="M103" s="16" t="n"/>
      <c r="N103" s="124">
        <f>IF(M103="","",COUNTIFS($C$18:$C$2015,M$13,$D$18:$D$2015,"&gt;="&amp;M103,$D$18:$D$2015,"&lt;"&amp;M104))</f>
        <v/>
      </c>
      <c r="O103" s="14" t="n"/>
      <c r="P103" s="16" t="n"/>
      <c r="Q103" s="124">
        <f>IF(P103="","",COUNTIFS($C$18:$C$2015,P$13,$D$18:$D$2015,"&gt;="&amp;P103,$D$18:$D$2015,"&lt;"&amp;P104))</f>
        <v/>
      </c>
      <c r="R103" s="14" t="n"/>
      <c r="S103" s="16" t="n"/>
      <c r="T103" s="124">
        <f>IF(S103="","",COUNTIFS($C$18:$C$2015,S$13,$D$18:$D$2015,"&gt;="&amp;S103,$D$18:$D$2015,"&lt;"&amp;S104))</f>
        <v/>
      </c>
      <c r="U103" s="14" t="n"/>
      <c r="V103" s="16" t="n"/>
      <c r="W103" s="124">
        <f>IF(V103="","",COUNTIFS($C$18:$C$2015,V$13,$D$18:$D$2015,"&gt;="&amp;V103,$D$18:$D$2015,"&lt;"&amp;V104))</f>
        <v/>
      </c>
      <c r="X103" s="14" t="n"/>
      <c r="Y103" s="16" t="n"/>
      <c r="Z103" s="124">
        <f>IF(Y103="","",COUNTIFS($C$18:$C$2015,Y$13,$D$18:$D$2015,"&gt;="&amp;Y103,$D$18:$D$2015,"&lt;"&amp;Y104))</f>
        <v/>
      </c>
      <c r="AA103" s="14" t="n"/>
      <c r="AB103" s="16" t="n"/>
      <c r="AC103" s="124">
        <f>IF(AB103="","",COUNTIFS($C$18:$C$2015,AB$13,$D$18:$D$2015,"&gt;="&amp;AB103,$D$18:$D$2015,"&lt;"&amp;AB104))</f>
        <v/>
      </c>
      <c r="AD103" s="14" t="n"/>
    </row>
    <row r="104">
      <c r="A104" s="56" t="n"/>
      <c r="B104" s="57" t="n"/>
      <c r="C104" s="59" t="n"/>
      <c r="E104" s="16" t="n"/>
      <c r="F104" s="13" t="n"/>
      <c r="G104" s="16" t="n"/>
      <c r="H104" s="124">
        <f>IF(G104="","",COUNTIFS($C$18:$C$2015,G$13,$D$18:$D$2015,"&gt;="&amp;G104,$D$18:$D$2015,"&lt;"&amp;G105))</f>
        <v/>
      </c>
      <c r="I104" s="14" t="n"/>
      <c r="J104" s="16" t="n"/>
      <c r="K104" s="124">
        <f>IF(J104="","",COUNTIFS($C$18:$C$2015,J$13,$D$18:$D$2015,"&gt;="&amp;J104,$D$18:$D$2015,"&lt;"&amp;J105))</f>
        <v/>
      </c>
      <c r="L104" s="14" t="n"/>
      <c r="M104" s="16" t="n"/>
      <c r="N104" s="124">
        <f>IF(M104="","",COUNTIFS($C$18:$C$2015,M$13,$D$18:$D$2015,"&gt;="&amp;M104,$D$18:$D$2015,"&lt;"&amp;M105))</f>
        <v/>
      </c>
      <c r="O104" s="14" t="n"/>
      <c r="P104" s="16" t="n"/>
      <c r="Q104" s="124">
        <f>IF(P104="","",COUNTIFS($C$18:$C$2015,P$13,$D$18:$D$2015,"&gt;="&amp;P104,$D$18:$D$2015,"&lt;"&amp;P105))</f>
        <v/>
      </c>
      <c r="R104" s="14" t="n"/>
      <c r="S104" s="16" t="n"/>
      <c r="T104" s="124">
        <f>IF(S104="","",COUNTIFS($C$18:$C$2015,S$13,$D$18:$D$2015,"&gt;="&amp;S104,$D$18:$D$2015,"&lt;"&amp;S105))</f>
        <v/>
      </c>
      <c r="U104" s="14" t="n"/>
      <c r="V104" s="16" t="n"/>
      <c r="W104" s="124">
        <f>IF(V104="","",COUNTIFS($C$18:$C$2015,V$13,$D$18:$D$2015,"&gt;="&amp;V104,$D$18:$D$2015,"&lt;"&amp;V105))</f>
        <v/>
      </c>
      <c r="X104" s="14" t="n"/>
      <c r="Y104" s="16" t="n"/>
      <c r="Z104" s="124">
        <f>IF(Y104="","",COUNTIFS($C$18:$C$2015,Y$13,$D$18:$D$2015,"&gt;="&amp;Y104,$D$18:$D$2015,"&lt;"&amp;Y105))</f>
        <v/>
      </c>
      <c r="AA104" s="14" t="n"/>
      <c r="AB104" s="16" t="n"/>
      <c r="AC104" s="124">
        <f>IF(AB104="","",COUNTIFS($C$18:$C$2015,AB$13,$D$18:$D$2015,"&gt;="&amp;AB104,$D$18:$D$2015,"&lt;"&amp;AB105))</f>
        <v/>
      </c>
      <c r="AD104" s="14" t="n"/>
    </row>
    <row r="105">
      <c r="A105" s="58" t="n"/>
      <c r="B105" s="59" t="n"/>
      <c r="C105" s="59" t="n"/>
      <c r="E105" s="16" t="n"/>
      <c r="F105" s="13" t="n"/>
      <c r="G105" s="16" t="n"/>
      <c r="H105" s="124">
        <f>IF(G105="","",COUNTIFS($C$18:$C$2015,G$13,$D$18:$D$2015,"&gt;="&amp;G105,$D$18:$D$2015,"&lt;"&amp;G106))</f>
        <v/>
      </c>
      <c r="I105" s="14" t="n"/>
      <c r="J105" s="16" t="n"/>
      <c r="K105" s="124">
        <f>IF(J105="","",COUNTIFS($C$18:$C$2015,J$13,$D$18:$D$2015,"&gt;="&amp;J105,$D$18:$D$2015,"&lt;"&amp;J106))</f>
        <v/>
      </c>
      <c r="L105" s="14" t="n"/>
      <c r="M105" s="16" t="n"/>
      <c r="N105" s="124">
        <f>IF(M105="","",COUNTIFS($C$18:$C$2015,M$13,$D$18:$D$2015,"&gt;="&amp;M105,$D$18:$D$2015,"&lt;"&amp;M106))</f>
        <v/>
      </c>
      <c r="O105" s="14" t="n"/>
      <c r="P105" s="16" t="n"/>
      <c r="Q105" s="124">
        <f>IF(P105="","",COUNTIFS($C$18:$C$2015,P$13,$D$18:$D$2015,"&gt;="&amp;P105,$D$18:$D$2015,"&lt;"&amp;P106))</f>
        <v/>
      </c>
      <c r="R105" s="14" t="n"/>
      <c r="S105" s="16" t="n"/>
      <c r="T105" s="124">
        <f>IF(S105="","",COUNTIFS($C$18:$C$2015,S$13,$D$18:$D$2015,"&gt;="&amp;S105,$D$18:$D$2015,"&lt;"&amp;S106))</f>
        <v/>
      </c>
      <c r="U105" s="14" t="n"/>
      <c r="V105" s="16" t="n"/>
      <c r="W105" s="124">
        <f>IF(V105="","",COUNTIFS($C$18:$C$2015,V$13,$D$18:$D$2015,"&gt;="&amp;V105,$D$18:$D$2015,"&lt;"&amp;V106))</f>
        <v/>
      </c>
      <c r="X105" s="14" t="n"/>
      <c r="Y105" s="16" t="n"/>
      <c r="Z105" s="124">
        <f>IF(Y105="","",COUNTIFS($C$18:$C$2015,Y$13,$D$18:$D$2015,"&gt;="&amp;Y105,$D$18:$D$2015,"&lt;"&amp;Y106))</f>
        <v/>
      </c>
      <c r="AA105" s="14" t="n"/>
      <c r="AB105" s="16" t="n"/>
      <c r="AC105" s="124">
        <f>IF(AB105="","",COUNTIFS($C$18:$C$2015,AB$13,$D$18:$D$2015,"&gt;="&amp;AB105,$D$18:$D$2015,"&lt;"&amp;AB106))</f>
        <v/>
      </c>
      <c r="AD105" s="14" t="n"/>
    </row>
    <row r="106">
      <c r="A106" s="56" t="n"/>
      <c r="B106" s="57" t="n"/>
      <c r="C106" s="59" t="n"/>
      <c r="E106" s="16" t="n"/>
      <c r="F106" s="13" t="n"/>
      <c r="G106" s="16" t="n"/>
      <c r="H106" s="124">
        <f>IF(G106="","",COUNTIFS($C$18:$C$2015,G$13,$D$18:$D$2015,"&gt;="&amp;G106,$D$18:$D$2015,"&lt;"&amp;G107))</f>
        <v/>
      </c>
      <c r="I106" s="14" t="n"/>
      <c r="J106" s="16" t="n"/>
      <c r="K106" s="124">
        <f>IF(J106="","",COUNTIFS($C$18:$C$2015,J$13,$D$18:$D$2015,"&gt;="&amp;J106,$D$18:$D$2015,"&lt;"&amp;J107))</f>
        <v/>
      </c>
      <c r="L106" s="14" t="n"/>
      <c r="M106" s="16" t="n"/>
      <c r="N106" s="124">
        <f>IF(M106="","",COUNTIFS($C$18:$C$2015,M$13,$D$18:$D$2015,"&gt;="&amp;M106,$D$18:$D$2015,"&lt;"&amp;M107))</f>
        <v/>
      </c>
      <c r="O106" s="14" t="n"/>
      <c r="P106" s="16" t="n"/>
      <c r="Q106" s="124">
        <f>IF(P106="","",COUNTIFS($C$18:$C$2015,P$13,$D$18:$D$2015,"&gt;="&amp;P106,$D$18:$D$2015,"&lt;"&amp;P107))</f>
        <v/>
      </c>
      <c r="R106" s="14" t="n"/>
      <c r="S106" s="16" t="n"/>
      <c r="T106" s="124">
        <f>IF(S106="","",COUNTIFS($C$18:$C$2015,S$13,$D$18:$D$2015,"&gt;="&amp;S106,$D$18:$D$2015,"&lt;"&amp;S107))</f>
        <v/>
      </c>
      <c r="U106" s="14" t="n"/>
      <c r="V106" s="16" t="n"/>
      <c r="W106" s="124">
        <f>IF(V106="","",COUNTIFS($C$18:$C$2015,V$13,$D$18:$D$2015,"&gt;="&amp;V106,$D$18:$D$2015,"&lt;"&amp;V107))</f>
        <v/>
      </c>
      <c r="X106" s="14" t="n"/>
      <c r="Y106" s="16" t="n"/>
      <c r="Z106" s="124">
        <f>IF(Y106="","",COUNTIFS($C$18:$C$2015,Y$13,$D$18:$D$2015,"&gt;="&amp;Y106,$D$18:$D$2015,"&lt;"&amp;Y107))</f>
        <v/>
      </c>
      <c r="AA106" s="14" t="n"/>
      <c r="AB106" s="16" t="n"/>
      <c r="AC106" s="124">
        <f>IF(AB106="","",COUNTIFS($C$18:$C$2015,AB$13,$D$18:$D$2015,"&gt;="&amp;AB106,$D$18:$D$2015,"&lt;"&amp;AB107))</f>
        <v/>
      </c>
      <c r="AD106" s="14" t="n"/>
    </row>
    <row r="107">
      <c r="A107" s="58" t="n"/>
      <c r="B107" s="59" t="n"/>
      <c r="C107" s="59" t="n"/>
      <c r="E107" s="16" t="n"/>
      <c r="F107" s="13" t="n"/>
      <c r="G107" s="16" t="n"/>
      <c r="H107" s="124">
        <f>IF(G107="","",COUNTIFS($C$18:$C$2015,G$13,$D$18:$D$2015,"&gt;="&amp;G107,$D$18:$D$2015,"&lt;"&amp;G108))</f>
        <v/>
      </c>
      <c r="I107" s="14" t="n"/>
      <c r="J107" s="16" t="n"/>
      <c r="K107" s="124">
        <f>IF(J107="","",COUNTIFS($C$18:$C$2015,J$13,$D$18:$D$2015,"&gt;="&amp;J107,$D$18:$D$2015,"&lt;"&amp;J108))</f>
        <v/>
      </c>
      <c r="L107" s="14" t="n"/>
      <c r="M107" s="16" t="n"/>
      <c r="N107" s="124">
        <f>IF(M107="","",COUNTIFS($C$18:$C$2015,M$13,$D$18:$D$2015,"&gt;="&amp;M107,$D$18:$D$2015,"&lt;"&amp;M108))</f>
        <v/>
      </c>
      <c r="O107" s="14" t="n"/>
      <c r="P107" s="16" t="n"/>
      <c r="Q107" s="124">
        <f>IF(P107="","",COUNTIFS($C$18:$C$2015,P$13,$D$18:$D$2015,"&gt;="&amp;P107,$D$18:$D$2015,"&lt;"&amp;P108))</f>
        <v/>
      </c>
      <c r="R107" s="14" t="n"/>
      <c r="S107" s="16" t="n"/>
      <c r="T107" s="124">
        <f>IF(S107="","",COUNTIFS($C$18:$C$2015,S$13,$D$18:$D$2015,"&gt;="&amp;S107,$D$18:$D$2015,"&lt;"&amp;S108))</f>
        <v/>
      </c>
      <c r="U107" s="14" t="n"/>
      <c r="V107" s="16" t="n"/>
      <c r="W107" s="124">
        <f>IF(V107="","",COUNTIFS($C$18:$C$2015,V$13,$D$18:$D$2015,"&gt;="&amp;V107,$D$18:$D$2015,"&lt;"&amp;V108))</f>
        <v/>
      </c>
      <c r="X107" s="14" t="n"/>
      <c r="Y107" s="16" t="n"/>
      <c r="Z107" s="124">
        <f>IF(Y107="","",COUNTIFS($C$18:$C$2015,Y$13,$D$18:$D$2015,"&gt;="&amp;Y107,$D$18:$D$2015,"&lt;"&amp;Y108))</f>
        <v/>
      </c>
      <c r="AA107" s="14" t="n"/>
      <c r="AB107" s="16" t="n"/>
      <c r="AC107" s="124">
        <f>IF(AB107="","",COUNTIFS($C$18:$C$2015,AB$13,$D$18:$D$2015,"&gt;="&amp;AB107,$D$18:$D$2015,"&lt;"&amp;AB108))</f>
        <v/>
      </c>
      <c r="AD107" s="14" t="n"/>
    </row>
    <row r="108">
      <c r="A108" s="56" t="n"/>
      <c r="B108" s="57" t="n"/>
      <c r="C108" s="59" t="n"/>
      <c r="E108" s="16" t="n"/>
      <c r="F108" s="13" t="n"/>
      <c r="G108" s="16" t="n"/>
      <c r="H108" s="124">
        <f>IF(G108="","",COUNTIFS($C$18:$C$2015,G$13,$D$18:$D$2015,"&gt;="&amp;G108,$D$18:$D$2015,"&lt;"&amp;G109))</f>
        <v/>
      </c>
      <c r="I108" s="14" t="n"/>
      <c r="J108" s="16" t="n"/>
      <c r="K108" s="124">
        <f>IF(J108="","",COUNTIFS($C$18:$C$2015,J$13,$D$18:$D$2015,"&gt;="&amp;J108,$D$18:$D$2015,"&lt;"&amp;J109))</f>
        <v/>
      </c>
      <c r="L108" s="14" t="n"/>
      <c r="M108" s="16" t="n"/>
      <c r="N108" s="124">
        <f>IF(M108="","",COUNTIFS($C$18:$C$2015,M$13,$D$18:$D$2015,"&gt;="&amp;M108,$D$18:$D$2015,"&lt;"&amp;M109))</f>
        <v/>
      </c>
      <c r="O108" s="14" t="n"/>
      <c r="P108" s="16" t="n"/>
      <c r="Q108" s="124">
        <f>IF(P108="","",COUNTIFS($C$18:$C$2015,P$13,$D$18:$D$2015,"&gt;="&amp;P108,$D$18:$D$2015,"&lt;"&amp;P109))</f>
        <v/>
      </c>
      <c r="R108" s="14" t="n"/>
      <c r="S108" s="16" t="n"/>
      <c r="T108" s="124">
        <f>IF(S108="","",COUNTIFS($C$18:$C$2015,S$13,$D$18:$D$2015,"&gt;="&amp;S108,$D$18:$D$2015,"&lt;"&amp;S109))</f>
        <v/>
      </c>
      <c r="U108" s="14" t="n"/>
      <c r="V108" s="16" t="n"/>
      <c r="W108" s="124">
        <f>IF(V108="","",COUNTIFS($C$18:$C$2015,V$13,$D$18:$D$2015,"&gt;="&amp;V108,$D$18:$D$2015,"&lt;"&amp;V109))</f>
        <v/>
      </c>
      <c r="X108" s="14" t="n"/>
      <c r="Y108" s="16" t="n"/>
      <c r="Z108" s="124">
        <f>IF(Y108="","",COUNTIFS($C$18:$C$2015,Y$13,$D$18:$D$2015,"&gt;="&amp;Y108,$D$18:$D$2015,"&lt;"&amp;Y109))</f>
        <v/>
      </c>
      <c r="AA108" s="14" t="n"/>
      <c r="AB108" s="16" t="n"/>
      <c r="AC108" s="124">
        <f>IF(AB108="","",COUNTIFS($C$18:$C$2015,AB$13,$D$18:$D$2015,"&gt;="&amp;AB108,$D$18:$D$2015,"&lt;"&amp;AB109))</f>
        <v/>
      </c>
      <c r="AD108" s="14" t="n"/>
    </row>
    <row r="109">
      <c r="A109" s="58" t="n"/>
      <c r="B109" s="59" t="n"/>
      <c r="C109" s="59" t="n"/>
      <c r="E109" s="16" t="n"/>
      <c r="F109" s="13" t="n"/>
      <c r="G109" s="16" t="n"/>
      <c r="H109" s="124">
        <f>IF(G109="","",COUNTIFS($C$18:$C$2015,G$13,$D$18:$D$2015,"&gt;="&amp;G109,$D$18:$D$2015,"&lt;"&amp;G110))</f>
        <v/>
      </c>
      <c r="I109" s="14" t="n"/>
      <c r="J109" s="16" t="n"/>
      <c r="K109" s="124">
        <f>IF(J109="","",COUNTIFS($C$18:$C$2015,J$13,$D$18:$D$2015,"&gt;="&amp;J109,$D$18:$D$2015,"&lt;"&amp;J110))</f>
        <v/>
      </c>
      <c r="L109" s="14" t="n"/>
      <c r="M109" s="16" t="n"/>
      <c r="N109" s="124">
        <f>IF(M109="","",COUNTIFS($C$18:$C$2015,M$13,$D$18:$D$2015,"&gt;="&amp;M109,$D$18:$D$2015,"&lt;"&amp;M110))</f>
        <v/>
      </c>
      <c r="O109" s="14" t="n"/>
      <c r="P109" s="16" t="n"/>
      <c r="Q109" s="124">
        <f>IF(P109="","",COUNTIFS($C$18:$C$2015,P$13,$D$18:$D$2015,"&gt;="&amp;P109,$D$18:$D$2015,"&lt;"&amp;P110))</f>
        <v/>
      </c>
      <c r="R109" s="14" t="n"/>
      <c r="S109" s="16" t="n"/>
      <c r="T109" s="124">
        <f>IF(S109="","",COUNTIFS($C$18:$C$2015,S$13,$D$18:$D$2015,"&gt;="&amp;S109,$D$18:$D$2015,"&lt;"&amp;S110))</f>
        <v/>
      </c>
      <c r="U109" s="14" t="n"/>
      <c r="V109" s="16" t="n"/>
      <c r="W109" s="124">
        <f>IF(V109="","",COUNTIFS($C$18:$C$2015,V$13,$D$18:$D$2015,"&gt;="&amp;V109,$D$18:$D$2015,"&lt;"&amp;V110))</f>
        <v/>
      </c>
      <c r="X109" s="14" t="n"/>
      <c r="Y109" s="16" t="n"/>
      <c r="Z109" s="124">
        <f>IF(Y109="","",COUNTIFS($C$18:$C$2015,Y$13,$D$18:$D$2015,"&gt;="&amp;Y109,$D$18:$D$2015,"&lt;"&amp;Y110))</f>
        <v/>
      </c>
      <c r="AA109" s="14" t="n"/>
      <c r="AB109" s="16" t="n"/>
      <c r="AC109" s="124">
        <f>IF(AB109="","",COUNTIFS($C$18:$C$2015,AB$13,$D$18:$D$2015,"&gt;="&amp;AB109,$D$18:$D$2015,"&lt;"&amp;AB110))</f>
        <v/>
      </c>
      <c r="AD109" s="14" t="n"/>
    </row>
    <row r="110">
      <c r="A110" s="56" t="n"/>
      <c r="B110" s="57" t="n"/>
      <c r="C110" s="59" t="n"/>
      <c r="E110" s="16" t="n"/>
      <c r="F110" s="13" t="n"/>
      <c r="G110" s="16" t="n"/>
      <c r="H110" s="124">
        <f>IF(G110="","",COUNTIFS($C$18:$C$2015,G$13,$D$18:$D$2015,"&gt;="&amp;G110,$D$18:$D$2015,"&lt;"&amp;G111))</f>
        <v/>
      </c>
      <c r="I110" s="14" t="n"/>
      <c r="J110" s="16" t="n"/>
      <c r="K110" s="124">
        <f>IF(J110="","",COUNTIFS($C$18:$C$2015,J$13,$D$18:$D$2015,"&gt;="&amp;J110,$D$18:$D$2015,"&lt;"&amp;J111))</f>
        <v/>
      </c>
      <c r="L110" s="14" t="n"/>
      <c r="M110" s="16" t="n"/>
      <c r="N110" s="124">
        <f>IF(M110="","",COUNTIFS($C$18:$C$2015,M$13,$D$18:$D$2015,"&gt;="&amp;M110,$D$18:$D$2015,"&lt;"&amp;M111))</f>
        <v/>
      </c>
      <c r="O110" s="14" t="n"/>
      <c r="P110" s="16" t="n"/>
      <c r="Q110" s="124">
        <f>IF(P110="","",COUNTIFS($C$18:$C$2015,P$13,$D$18:$D$2015,"&gt;="&amp;P110,$D$18:$D$2015,"&lt;"&amp;P111))</f>
        <v/>
      </c>
      <c r="R110" s="14" t="n"/>
      <c r="S110" s="16" t="n"/>
      <c r="T110" s="124">
        <f>IF(S110="","",COUNTIFS($C$18:$C$2015,S$13,$D$18:$D$2015,"&gt;="&amp;S110,$D$18:$D$2015,"&lt;"&amp;S111))</f>
        <v/>
      </c>
      <c r="U110" s="14" t="n"/>
      <c r="V110" s="16" t="n"/>
      <c r="W110" s="124">
        <f>IF(V110="","",COUNTIFS($C$18:$C$2015,V$13,$D$18:$D$2015,"&gt;="&amp;V110,$D$18:$D$2015,"&lt;"&amp;V111))</f>
        <v/>
      </c>
      <c r="X110" s="14" t="n"/>
      <c r="Y110" s="16" t="n"/>
      <c r="Z110" s="124">
        <f>IF(Y110="","",COUNTIFS($C$18:$C$2015,Y$13,$D$18:$D$2015,"&gt;="&amp;Y110,$D$18:$D$2015,"&lt;"&amp;Y111))</f>
        <v/>
      </c>
      <c r="AA110" s="14" t="n"/>
      <c r="AB110" s="16" t="n"/>
      <c r="AC110" s="124">
        <f>IF(AB110="","",COUNTIFS($C$18:$C$2015,AB$13,$D$18:$D$2015,"&gt;="&amp;AB110,$D$18:$D$2015,"&lt;"&amp;AB111))</f>
        <v/>
      </c>
      <c r="AD110" s="14" t="n"/>
    </row>
    <row r="111">
      <c r="A111" s="58" t="n"/>
      <c r="B111" s="59" t="n"/>
      <c r="C111" s="59" t="n"/>
      <c r="E111" s="16" t="n"/>
      <c r="F111" s="13" t="n"/>
      <c r="G111" s="16" t="n"/>
      <c r="H111" s="124">
        <f>IF(G111="","",COUNTIFS($C$18:$C$2015,G$13,$D$18:$D$2015,"&gt;="&amp;G111,$D$18:$D$2015,"&lt;"&amp;G112))</f>
        <v/>
      </c>
      <c r="I111" s="14" t="n"/>
      <c r="J111" s="16" t="n"/>
      <c r="K111" s="124">
        <f>IF(J111="","",COUNTIFS($C$18:$C$2015,J$13,$D$18:$D$2015,"&gt;="&amp;J111,$D$18:$D$2015,"&lt;"&amp;J112))</f>
        <v/>
      </c>
      <c r="L111" s="14" t="n"/>
      <c r="M111" s="16" t="n"/>
      <c r="N111" s="124">
        <f>IF(M111="","",COUNTIFS($C$18:$C$2015,M$13,$D$18:$D$2015,"&gt;="&amp;M111,$D$18:$D$2015,"&lt;"&amp;M112))</f>
        <v/>
      </c>
      <c r="O111" s="14" t="n"/>
      <c r="P111" s="16" t="n"/>
      <c r="Q111" s="124">
        <f>IF(P111="","",COUNTIFS($C$18:$C$2015,P$13,$D$18:$D$2015,"&gt;="&amp;P111,$D$18:$D$2015,"&lt;"&amp;P112))</f>
        <v/>
      </c>
      <c r="R111" s="14" t="n"/>
      <c r="S111" s="16" t="n"/>
      <c r="T111" s="124">
        <f>IF(S111="","",COUNTIFS($C$18:$C$2015,S$13,$D$18:$D$2015,"&gt;="&amp;S111,$D$18:$D$2015,"&lt;"&amp;S112))</f>
        <v/>
      </c>
      <c r="U111" s="14" t="n"/>
      <c r="V111" s="16" t="n"/>
      <c r="W111" s="124">
        <f>IF(V111="","",COUNTIFS($C$18:$C$2015,V$13,$D$18:$D$2015,"&gt;="&amp;V111,$D$18:$D$2015,"&lt;"&amp;V112))</f>
        <v/>
      </c>
      <c r="X111" s="14" t="n"/>
      <c r="Y111" s="16" t="n"/>
      <c r="Z111" s="124">
        <f>IF(Y111="","",COUNTIFS($C$18:$C$2015,Y$13,$D$18:$D$2015,"&gt;="&amp;Y111,$D$18:$D$2015,"&lt;"&amp;Y112))</f>
        <v/>
      </c>
      <c r="AA111" s="14" t="n"/>
      <c r="AB111" s="16" t="n"/>
      <c r="AC111" s="124">
        <f>IF(AB111="","",COUNTIFS($C$18:$C$2015,AB$13,$D$18:$D$2015,"&gt;="&amp;AB111,$D$18:$D$2015,"&lt;"&amp;AB112))</f>
        <v/>
      </c>
      <c r="AD111" s="14" t="n"/>
    </row>
    <row r="112">
      <c r="A112" s="56" t="n"/>
      <c r="B112" s="57" t="n"/>
      <c r="C112" s="59" t="n"/>
      <c r="E112" s="16" t="n"/>
      <c r="F112" s="13" t="n"/>
      <c r="G112" s="16" t="n"/>
      <c r="H112" s="124">
        <f>IF(G112="","",COUNTIFS($C$18:$C$2015,G$13,$D$18:$D$2015,"&gt;="&amp;G112,$D$18:$D$2015,"&lt;"&amp;G113))</f>
        <v/>
      </c>
      <c r="I112" s="14" t="n"/>
      <c r="J112" s="16" t="n"/>
      <c r="K112" s="124">
        <f>IF(J112="","",COUNTIFS($C$18:$C$2015,J$13,$D$18:$D$2015,"&gt;="&amp;J112,$D$18:$D$2015,"&lt;"&amp;J113))</f>
        <v/>
      </c>
      <c r="L112" s="14" t="n"/>
      <c r="M112" s="16" t="n"/>
      <c r="N112" s="124">
        <f>IF(M112="","",COUNTIFS($C$18:$C$2015,M$13,$D$18:$D$2015,"&gt;="&amp;M112,$D$18:$D$2015,"&lt;"&amp;M113))</f>
        <v/>
      </c>
      <c r="O112" s="14" t="n"/>
      <c r="P112" s="16" t="n"/>
      <c r="Q112" s="124">
        <f>IF(P112="","",COUNTIFS($C$18:$C$2015,P$13,$D$18:$D$2015,"&gt;="&amp;P112,$D$18:$D$2015,"&lt;"&amp;P113))</f>
        <v/>
      </c>
      <c r="R112" s="14" t="n"/>
      <c r="S112" s="16" t="n"/>
      <c r="T112" s="124">
        <f>IF(S112="","",COUNTIFS($C$18:$C$2015,S$13,$D$18:$D$2015,"&gt;="&amp;S112,$D$18:$D$2015,"&lt;"&amp;S113))</f>
        <v/>
      </c>
      <c r="U112" s="14" t="n"/>
      <c r="V112" s="16" t="n"/>
      <c r="W112" s="124">
        <f>IF(V112="","",COUNTIFS($C$18:$C$2015,V$13,$D$18:$D$2015,"&gt;="&amp;V112,$D$18:$D$2015,"&lt;"&amp;V113))</f>
        <v/>
      </c>
      <c r="X112" s="14" t="n"/>
      <c r="Y112" s="16" t="n"/>
      <c r="Z112" s="124">
        <f>IF(Y112="","",COUNTIFS($C$18:$C$2015,Y$13,$D$18:$D$2015,"&gt;="&amp;Y112,$D$18:$D$2015,"&lt;"&amp;Y113))</f>
        <v/>
      </c>
      <c r="AA112" s="14" t="n"/>
      <c r="AB112" s="16" t="n"/>
      <c r="AC112" s="124">
        <f>IF(AB112="","",COUNTIFS($C$18:$C$2015,AB$13,$D$18:$D$2015,"&gt;="&amp;AB112,$D$18:$D$2015,"&lt;"&amp;AB113))</f>
        <v/>
      </c>
      <c r="AD112" s="14" t="n"/>
    </row>
    <row r="113">
      <c r="A113" s="58" t="n"/>
      <c r="B113" s="59" t="n"/>
      <c r="C113" s="59" t="n"/>
      <c r="E113" s="16" t="n"/>
      <c r="F113" s="13" t="n"/>
      <c r="G113" s="16" t="n"/>
      <c r="H113" s="124">
        <f>IF(G113="","",COUNTIFS($C$18:$C$2015,G$13,$D$18:$D$2015,"&gt;="&amp;G113,$D$18:$D$2015,"&lt;"&amp;G114))</f>
        <v/>
      </c>
      <c r="I113" s="14" t="n"/>
      <c r="J113" s="16" t="n"/>
      <c r="K113" s="124">
        <f>IF(J113="","",COUNTIFS($C$18:$C$2015,J$13,$D$18:$D$2015,"&gt;="&amp;J113,$D$18:$D$2015,"&lt;"&amp;J114))</f>
        <v/>
      </c>
      <c r="L113" s="14" t="n"/>
      <c r="M113" s="16" t="n"/>
      <c r="N113" s="124">
        <f>IF(M113="","",COUNTIFS($C$18:$C$2015,M$13,$D$18:$D$2015,"&gt;="&amp;M113,$D$18:$D$2015,"&lt;"&amp;M114))</f>
        <v/>
      </c>
      <c r="O113" s="14" t="n"/>
      <c r="P113" s="16" t="n"/>
      <c r="Q113" s="124">
        <f>IF(P113="","",COUNTIFS($C$18:$C$2015,P$13,$D$18:$D$2015,"&gt;="&amp;P113,$D$18:$D$2015,"&lt;"&amp;P114))</f>
        <v/>
      </c>
      <c r="R113" s="14" t="n"/>
      <c r="S113" s="16" t="n"/>
      <c r="T113" s="124">
        <f>IF(S113="","",COUNTIFS($C$18:$C$2015,S$13,$D$18:$D$2015,"&gt;="&amp;S113,$D$18:$D$2015,"&lt;"&amp;S114))</f>
        <v/>
      </c>
      <c r="U113" s="14" t="n"/>
      <c r="V113" s="16" t="n"/>
      <c r="W113" s="124">
        <f>IF(V113="","",COUNTIFS($C$18:$C$2015,V$13,$D$18:$D$2015,"&gt;="&amp;V113,$D$18:$D$2015,"&lt;"&amp;V114))</f>
        <v/>
      </c>
      <c r="X113" s="14" t="n"/>
      <c r="Y113" s="16" t="n"/>
      <c r="Z113" s="124">
        <f>IF(Y113="","",COUNTIFS($C$18:$C$2015,Y$13,$D$18:$D$2015,"&gt;="&amp;Y113,$D$18:$D$2015,"&lt;"&amp;Y114))</f>
        <v/>
      </c>
      <c r="AA113" s="14" t="n"/>
      <c r="AB113" s="16" t="n"/>
      <c r="AC113" s="124">
        <f>IF(AB113="","",COUNTIFS($C$18:$C$2015,AB$13,$D$18:$D$2015,"&gt;="&amp;AB113,$D$18:$D$2015,"&lt;"&amp;AB114))</f>
        <v/>
      </c>
      <c r="AD113" s="14" t="n"/>
    </row>
    <row r="114">
      <c r="A114" s="56" t="n"/>
      <c r="B114" s="57" t="n"/>
      <c r="C114" s="59" t="n"/>
      <c r="E114" s="16" t="n"/>
      <c r="F114" s="13" t="n"/>
      <c r="G114" s="16" t="n"/>
      <c r="H114" s="124">
        <f>IF(G114="","",COUNTIFS($C$18:$C$2015,G$13,$D$18:$D$2015,"&gt;="&amp;G114,$D$18:$D$2015,"&lt;"&amp;G115))</f>
        <v/>
      </c>
      <c r="I114" s="14" t="n"/>
      <c r="J114" s="16" t="n"/>
      <c r="K114" s="124">
        <f>IF(J114="","",COUNTIFS($C$18:$C$2015,J$13,$D$18:$D$2015,"&gt;="&amp;J114,$D$18:$D$2015,"&lt;"&amp;J115))</f>
        <v/>
      </c>
      <c r="L114" s="14" t="n"/>
      <c r="M114" s="16" t="n"/>
      <c r="N114" s="124">
        <f>IF(M114="","",COUNTIFS($C$18:$C$2015,M$13,$D$18:$D$2015,"&gt;="&amp;M114,$D$18:$D$2015,"&lt;"&amp;M115))</f>
        <v/>
      </c>
      <c r="O114" s="14" t="n"/>
      <c r="P114" s="16" t="n"/>
      <c r="Q114" s="124">
        <f>IF(P114="","",COUNTIFS($C$18:$C$2015,P$13,$D$18:$D$2015,"&gt;="&amp;P114,$D$18:$D$2015,"&lt;"&amp;P115))</f>
        <v/>
      </c>
      <c r="R114" s="14" t="n"/>
      <c r="S114" s="16" t="n"/>
      <c r="T114" s="124">
        <f>IF(S114="","",COUNTIFS($C$18:$C$2015,S$13,$D$18:$D$2015,"&gt;="&amp;S114,$D$18:$D$2015,"&lt;"&amp;S115))</f>
        <v/>
      </c>
      <c r="U114" s="14" t="n"/>
      <c r="V114" s="16" t="n"/>
      <c r="W114" s="124">
        <f>IF(V114="","",COUNTIFS($C$18:$C$2015,V$13,$D$18:$D$2015,"&gt;="&amp;V114,$D$18:$D$2015,"&lt;"&amp;V115))</f>
        <v/>
      </c>
      <c r="X114" s="14" t="n"/>
      <c r="Y114" s="16" t="n"/>
      <c r="Z114" s="124">
        <f>IF(Y114="","",COUNTIFS($C$18:$C$2015,Y$13,$D$18:$D$2015,"&gt;="&amp;Y114,$D$18:$D$2015,"&lt;"&amp;Y115))</f>
        <v/>
      </c>
      <c r="AA114" s="14" t="n"/>
      <c r="AB114" s="16" t="n"/>
      <c r="AC114" s="124">
        <f>IF(AB114="","",COUNTIFS($C$18:$C$2015,AB$13,$D$18:$D$2015,"&gt;="&amp;AB114,$D$18:$D$2015,"&lt;"&amp;AB115))</f>
        <v/>
      </c>
      <c r="AD114" s="14" t="n"/>
    </row>
    <row r="115">
      <c r="A115" s="58" t="n"/>
      <c r="B115" s="59" t="n"/>
      <c r="C115" s="59" t="n"/>
      <c r="E115" s="16" t="n"/>
      <c r="F115" s="13" t="n"/>
      <c r="G115" s="16" t="n"/>
      <c r="H115" s="124">
        <f>IF(G115="","",COUNTIFS($C$18:$C$2015,G$13,$D$18:$D$2015,"&gt;="&amp;G115,$D$18:$D$2015,"&lt;"&amp;G116))</f>
        <v/>
      </c>
      <c r="I115" s="14" t="n"/>
      <c r="J115" s="16" t="n"/>
      <c r="K115" s="124">
        <f>IF(J115="","",COUNTIFS($C$18:$C$2015,J$13,$D$18:$D$2015,"&gt;="&amp;J115,$D$18:$D$2015,"&lt;"&amp;J116))</f>
        <v/>
      </c>
      <c r="L115" s="14" t="n"/>
      <c r="M115" s="16" t="n"/>
      <c r="N115" s="124">
        <f>IF(M115="","",COUNTIFS($C$18:$C$2015,M$13,$D$18:$D$2015,"&gt;="&amp;M115,$D$18:$D$2015,"&lt;"&amp;M116))</f>
        <v/>
      </c>
      <c r="O115" s="14" t="n"/>
      <c r="P115" s="16" t="n"/>
      <c r="Q115" s="124">
        <f>IF(P115="","",COUNTIFS($C$18:$C$2015,P$13,$D$18:$D$2015,"&gt;="&amp;P115,$D$18:$D$2015,"&lt;"&amp;P116))</f>
        <v/>
      </c>
      <c r="R115" s="14" t="n"/>
      <c r="S115" s="16" t="n"/>
      <c r="T115" s="124">
        <f>IF(S115="","",COUNTIFS($C$18:$C$2015,S$13,$D$18:$D$2015,"&gt;="&amp;S115,$D$18:$D$2015,"&lt;"&amp;S116))</f>
        <v/>
      </c>
      <c r="U115" s="14" t="n"/>
      <c r="V115" s="16" t="n"/>
      <c r="W115" s="124">
        <f>IF(V115="","",COUNTIFS($C$18:$C$2015,V$13,$D$18:$D$2015,"&gt;="&amp;V115,$D$18:$D$2015,"&lt;"&amp;V116))</f>
        <v/>
      </c>
      <c r="X115" s="14" t="n"/>
      <c r="Y115" s="16" t="n"/>
      <c r="Z115" s="124">
        <f>IF(Y115="","",COUNTIFS($C$18:$C$2015,Y$13,$D$18:$D$2015,"&gt;="&amp;Y115,$D$18:$D$2015,"&lt;"&amp;Y116))</f>
        <v/>
      </c>
      <c r="AA115" s="14" t="n"/>
      <c r="AB115" s="16" t="n"/>
      <c r="AC115" s="124">
        <f>IF(AB115="","",COUNTIFS($C$18:$C$2015,AB$13,$D$18:$D$2015,"&gt;="&amp;AB115,$D$18:$D$2015,"&lt;"&amp;AB116))</f>
        <v/>
      </c>
      <c r="AD115" s="14" t="n"/>
    </row>
    <row r="116">
      <c r="A116" s="56" t="n"/>
      <c r="B116" s="57" t="n"/>
      <c r="C116" s="59" t="n"/>
      <c r="E116" s="16" t="n"/>
      <c r="F116" s="13" t="n"/>
      <c r="G116" s="16" t="n"/>
      <c r="H116" s="124">
        <f>IF(G116="","",COUNTIFS($C$18:$C$2015,G$13,$D$18:$D$2015,"&gt;="&amp;G116,$D$18:$D$2015,"&lt;"&amp;G117))</f>
        <v/>
      </c>
      <c r="I116" s="14" t="n"/>
      <c r="J116" s="16" t="n"/>
      <c r="K116" s="124">
        <f>IF(J116="","",COUNTIFS($C$18:$C$2015,J$13,$D$18:$D$2015,"&gt;="&amp;J116,$D$18:$D$2015,"&lt;"&amp;J117))</f>
        <v/>
      </c>
      <c r="L116" s="14" t="n"/>
      <c r="M116" s="16" t="n"/>
      <c r="N116" s="124">
        <f>IF(M116="","",COUNTIFS($C$18:$C$2015,M$13,$D$18:$D$2015,"&gt;="&amp;M116,$D$18:$D$2015,"&lt;"&amp;M117))</f>
        <v/>
      </c>
      <c r="O116" s="14" t="n"/>
      <c r="P116" s="16" t="n"/>
      <c r="Q116" s="124">
        <f>IF(P116="","",COUNTIFS($C$18:$C$2015,P$13,$D$18:$D$2015,"&gt;="&amp;P116,$D$18:$D$2015,"&lt;"&amp;P117))</f>
        <v/>
      </c>
      <c r="R116" s="14" t="n"/>
      <c r="S116" s="16" t="n"/>
      <c r="T116" s="124">
        <f>IF(S116="","",COUNTIFS($C$18:$C$2015,S$13,$D$18:$D$2015,"&gt;="&amp;S116,$D$18:$D$2015,"&lt;"&amp;S117))</f>
        <v/>
      </c>
      <c r="U116" s="14" t="n"/>
      <c r="V116" s="16" t="n"/>
      <c r="W116" s="124">
        <f>IF(V116="","",COUNTIFS($C$18:$C$2015,V$13,$D$18:$D$2015,"&gt;="&amp;V116,$D$18:$D$2015,"&lt;"&amp;V117))</f>
        <v/>
      </c>
      <c r="X116" s="14" t="n"/>
      <c r="Y116" s="16" t="n"/>
      <c r="Z116" s="124">
        <f>IF(Y116="","",COUNTIFS($C$18:$C$2015,Y$13,$D$18:$D$2015,"&gt;="&amp;Y116,$D$18:$D$2015,"&lt;"&amp;Y117))</f>
        <v/>
      </c>
      <c r="AA116" s="14" t="n"/>
      <c r="AB116" s="16" t="n"/>
      <c r="AC116" s="124">
        <f>IF(AB116="","",COUNTIFS($C$18:$C$2015,AB$13,$D$18:$D$2015,"&gt;="&amp;AB116,$D$18:$D$2015,"&lt;"&amp;AB117))</f>
        <v/>
      </c>
      <c r="AD116" s="14" t="n"/>
    </row>
    <row r="117">
      <c r="A117" s="58" t="n"/>
      <c r="B117" s="59" t="n"/>
      <c r="C117" s="59" t="n"/>
      <c r="E117" s="16" t="n"/>
      <c r="F117" s="13" t="n"/>
      <c r="G117" s="16" t="n"/>
      <c r="H117" s="124">
        <f>IF(G117="","",COUNTIFS($C$18:$C$2015,G$13,$D$18:$D$2015,"&gt;="&amp;G117,$D$18:$D$2015,"&lt;"&amp;G118))</f>
        <v/>
      </c>
      <c r="I117" s="14" t="n"/>
      <c r="J117" s="16" t="n"/>
      <c r="K117" s="124">
        <f>IF(J117="","",COUNTIFS($C$18:$C$2015,J$13,$D$18:$D$2015,"&gt;="&amp;J117,$D$18:$D$2015,"&lt;"&amp;J118))</f>
        <v/>
      </c>
      <c r="L117" s="14" t="n"/>
      <c r="M117" s="16" t="n"/>
      <c r="N117" s="124">
        <f>IF(M117="","",COUNTIFS($C$18:$C$2015,M$13,$D$18:$D$2015,"&gt;="&amp;M117,$D$18:$D$2015,"&lt;"&amp;M118))</f>
        <v/>
      </c>
      <c r="O117" s="14" t="n"/>
      <c r="P117" s="16" t="n"/>
      <c r="Q117" s="124">
        <f>IF(P117="","",COUNTIFS($C$18:$C$2015,P$13,$D$18:$D$2015,"&gt;="&amp;P117,$D$18:$D$2015,"&lt;"&amp;P118))</f>
        <v/>
      </c>
      <c r="R117" s="14" t="n"/>
      <c r="S117" s="16" t="n"/>
      <c r="T117" s="124">
        <f>IF(S117="","",COUNTIFS($C$18:$C$2015,S$13,$D$18:$D$2015,"&gt;="&amp;S117,$D$18:$D$2015,"&lt;"&amp;S118))</f>
        <v/>
      </c>
      <c r="U117" s="14" t="n"/>
      <c r="V117" s="16" t="n"/>
      <c r="W117" s="124">
        <f>IF(V117="","",COUNTIFS($C$18:$C$2015,V$13,$D$18:$D$2015,"&gt;="&amp;V117,$D$18:$D$2015,"&lt;"&amp;V118))</f>
        <v/>
      </c>
      <c r="X117" s="14" t="n"/>
      <c r="Y117" s="16" t="n"/>
      <c r="Z117" s="124">
        <f>IF(Y117="","",COUNTIFS($C$18:$C$2015,Y$13,$D$18:$D$2015,"&gt;="&amp;Y117,$D$18:$D$2015,"&lt;"&amp;Y118))</f>
        <v/>
      </c>
      <c r="AA117" s="14" t="n"/>
      <c r="AB117" s="16" t="n"/>
      <c r="AC117" s="124">
        <f>IF(AB117="","",COUNTIFS($C$18:$C$2015,AB$13,$D$18:$D$2015,"&gt;="&amp;AB117,$D$18:$D$2015,"&lt;"&amp;AB118))</f>
        <v/>
      </c>
      <c r="AD117" s="14" t="n"/>
    </row>
    <row r="118">
      <c r="A118" s="56" t="n"/>
      <c r="B118" s="57" t="n"/>
      <c r="C118" s="59" t="n"/>
      <c r="E118" s="16" t="n"/>
      <c r="F118" s="13" t="n"/>
      <c r="G118" s="16" t="n"/>
      <c r="H118" s="124">
        <f>IF(G118="","",COUNTIFS($C$18:$C$2015,G$13,$D$18:$D$2015,"&gt;="&amp;G118,$D$18:$D$2015,"&lt;"&amp;G119))</f>
        <v/>
      </c>
      <c r="I118" s="14" t="n"/>
      <c r="J118" s="16" t="n"/>
      <c r="K118" s="124">
        <f>IF(J118="","",COUNTIFS($C$18:$C$2015,J$13,$D$18:$D$2015,"&gt;="&amp;J118,$D$18:$D$2015,"&lt;"&amp;J119))</f>
        <v/>
      </c>
      <c r="L118" s="14" t="n"/>
      <c r="M118" s="16" t="n"/>
      <c r="N118" s="124">
        <f>IF(M118="","",COUNTIFS($C$18:$C$2015,M$13,$D$18:$D$2015,"&gt;="&amp;M118,$D$18:$D$2015,"&lt;"&amp;M119))</f>
        <v/>
      </c>
      <c r="O118" s="14" t="n"/>
      <c r="P118" s="16" t="n"/>
      <c r="Q118" s="124">
        <f>IF(P118="","",COUNTIFS($C$18:$C$2015,P$13,$D$18:$D$2015,"&gt;="&amp;P118,$D$18:$D$2015,"&lt;"&amp;P119))</f>
        <v/>
      </c>
      <c r="R118" s="14" t="n"/>
      <c r="S118" s="16" t="n"/>
      <c r="T118" s="124">
        <f>IF(S118="","",COUNTIFS($C$18:$C$2015,S$13,$D$18:$D$2015,"&gt;="&amp;S118,$D$18:$D$2015,"&lt;"&amp;S119))</f>
        <v/>
      </c>
      <c r="U118" s="14" t="n"/>
      <c r="V118" s="16" t="n"/>
      <c r="W118" s="124">
        <f>IF(V118="","",COUNTIFS($C$18:$C$2015,V$13,$D$18:$D$2015,"&gt;="&amp;V118,$D$18:$D$2015,"&lt;"&amp;V119))</f>
        <v/>
      </c>
      <c r="X118" s="14" t="n"/>
      <c r="Y118" s="16" t="n"/>
      <c r="Z118" s="124">
        <f>IF(Y118="","",COUNTIFS($C$18:$C$2015,Y$13,$D$18:$D$2015,"&gt;="&amp;Y118,$D$18:$D$2015,"&lt;"&amp;Y119))</f>
        <v/>
      </c>
      <c r="AA118" s="14" t="n"/>
      <c r="AB118" s="16" t="n"/>
      <c r="AC118" s="124">
        <f>IF(AB118="","",COUNTIFS($C$18:$C$2015,AB$13,$D$18:$D$2015,"&gt;="&amp;AB118,$D$18:$D$2015,"&lt;"&amp;AB119))</f>
        <v/>
      </c>
      <c r="AD118" s="14" t="n"/>
    </row>
    <row r="119">
      <c r="A119" s="58" t="n"/>
      <c r="B119" s="59" t="n"/>
      <c r="C119" s="59" t="n"/>
      <c r="E119" s="16" t="n"/>
      <c r="F119" s="13" t="n"/>
      <c r="G119" s="16" t="n"/>
      <c r="H119" s="124">
        <f>IF(G119="","",COUNTIFS($C$18:$C$2015,G$13,$D$18:$D$2015,"&gt;="&amp;G119,$D$18:$D$2015,"&lt;"&amp;G120))</f>
        <v/>
      </c>
      <c r="I119" s="14" t="n"/>
      <c r="J119" s="16" t="n"/>
      <c r="K119" s="124">
        <f>IF(J119="","",COUNTIFS($C$18:$C$2015,J$13,$D$18:$D$2015,"&gt;="&amp;J119,$D$18:$D$2015,"&lt;"&amp;J120))</f>
        <v/>
      </c>
      <c r="L119" s="14" t="n"/>
      <c r="M119" s="16" t="n"/>
      <c r="N119" s="124">
        <f>IF(M119="","",COUNTIFS($C$18:$C$2015,M$13,$D$18:$D$2015,"&gt;="&amp;M119,$D$18:$D$2015,"&lt;"&amp;M120))</f>
        <v/>
      </c>
      <c r="O119" s="14" t="n"/>
      <c r="P119" s="16" t="n"/>
      <c r="Q119" s="124">
        <f>IF(P119="","",COUNTIFS($C$18:$C$2015,P$13,$D$18:$D$2015,"&gt;="&amp;P119,$D$18:$D$2015,"&lt;"&amp;P120))</f>
        <v/>
      </c>
      <c r="R119" s="14" t="n"/>
      <c r="S119" s="16" t="n"/>
      <c r="T119" s="124">
        <f>IF(S119="","",COUNTIFS($C$18:$C$2015,S$13,$D$18:$D$2015,"&gt;="&amp;S119,$D$18:$D$2015,"&lt;"&amp;S120))</f>
        <v/>
      </c>
      <c r="U119" s="14" t="n"/>
      <c r="V119" s="16" t="n"/>
      <c r="W119" s="124">
        <f>IF(V119="","",COUNTIFS($C$18:$C$2015,V$13,$D$18:$D$2015,"&gt;="&amp;V119,$D$18:$D$2015,"&lt;"&amp;V120))</f>
        <v/>
      </c>
      <c r="X119" s="14" t="n"/>
      <c r="Y119" s="16" t="n"/>
      <c r="Z119" s="124">
        <f>IF(Y119="","",COUNTIFS($C$18:$C$2015,Y$13,$D$18:$D$2015,"&gt;="&amp;Y119,$D$18:$D$2015,"&lt;"&amp;Y120))</f>
        <v/>
      </c>
      <c r="AA119" s="14" t="n"/>
      <c r="AB119" s="16" t="n"/>
      <c r="AC119" s="124">
        <f>IF(AB119="","",COUNTIFS($C$18:$C$2015,AB$13,$D$18:$D$2015,"&gt;="&amp;AB119,$D$18:$D$2015,"&lt;"&amp;AB120))</f>
        <v/>
      </c>
      <c r="AD119" s="14" t="n"/>
    </row>
    <row r="120">
      <c r="A120" s="56" t="n"/>
      <c r="B120" s="57" t="n"/>
      <c r="C120" s="59" t="n"/>
      <c r="E120" s="16" t="n"/>
      <c r="F120" s="13" t="n"/>
      <c r="G120" s="16" t="n"/>
      <c r="H120" s="124">
        <f>IF(G120="","",COUNTIFS($C$18:$C$2015,G$13,$D$18:$D$2015,"&gt;="&amp;G120,$D$18:$D$2015,"&lt;"&amp;G121))</f>
        <v/>
      </c>
      <c r="I120" s="14" t="n"/>
      <c r="J120" s="16" t="n"/>
      <c r="K120" s="124">
        <f>IF(J120="","",COUNTIFS($C$18:$C$2015,J$13,$D$18:$D$2015,"&gt;="&amp;J120,$D$18:$D$2015,"&lt;"&amp;J121))</f>
        <v/>
      </c>
      <c r="L120" s="14" t="n"/>
      <c r="M120" s="16" t="n"/>
      <c r="N120" s="124">
        <f>IF(M120="","",COUNTIFS($C$18:$C$2015,M$13,$D$18:$D$2015,"&gt;="&amp;M120,$D$18:$D$2015,"&lt;"&amp;M121))</f>
        <v/>
      </c>
      <c r="O120" s="14" t="n"/>
      <c r="P120" s="16" t="n"/>
      <c r="Q120" s="124">
        <f>IF(P120="","",COUNTIFS($C$18:$C$2015,P$13,$D$18:$D$2015,"&gt;="&amp;P120,$D$18:$D$2015,"&lt;"&amp;P121))</f>
        <v/>
      </c>
      <c r="R120" s="14" t="n"/>
      <c r="S120" s="16" t="n"/>
      <c r="T120" s="124">
        <f>IF(S120="","",COUNTIFS($C$18:$C$2015,S$13,$D$18:$D$2015,"&gt;="&amp;S120,$D$18:$D$2015,"&lt;"&amp;S121))</f>
        <v/>
      </c>
      <c r="U120" s="14" t="n"/>
      <c r="V120" s="16" t="n"/>
      <c r="W120" s="124">
        <f>IF(V120="","",COUNTIFS($C$18:$C$2015,V$13,$D$18:$D$2015,"&gt;="&amp;V120,$D$18:$D$2015,"&lt;"&amp;V121))</f>
        <v/>
      </c>
      <c r="X120" s="14" t="n"/>
      <c r="Y120" s="16" t="n"/>
      <c r="Z120" s="124">
        <f>IF(Y120="","",COUNTIFS($C$18:$C$2015,Y$13,$D$18:$D$2015,"&gt;="&amp;Y120,$D$18:$D$2015,"&lt;"&amp;Y121))</f>
        <v/>
      </c>
      <c r="AA120" s="14" t="n"/>
      <c r="AB120" s="16" t="n"/>
      <c r="AC120" s="124">
        <f>IF(AB120="","",COUNTIFS($C$18:$C$2015,AB$13,$D$18:$D$2015,"&gt;="&amp;AB120,$D$18:$D$2015,"&lt;"&amp;AB121))</f>
        <v/>
      </c>
      <c r="AD120" s="14" t="n"/>
    </row>
    <row r="121">
      <c r="A121" s="58" t="n"/>
      <c r="B121" s="59" t="n"/>
      <c r="C121" s="59" t="n"/>
      <c r="E121" s="16" t="n"/>
      <c r="F121" s="13" t="n"/>
      <c r="G121" s="16" t="n"/>
      <c r="H121" s="124">
        <f>IF(G121="","",COUNTIFS($C$18:$C$2015,G$13,$D$18:$D$2015,"&gt;="&amp;G121,$D$18:$D$2015,"&lt;"&amp;G122))</f>
        <v/>
      </c>
      <c r="I121" s="14" t="n"/>
      <c r="J121" s="16" t="n"/>
      <c r="K121" s="124">
        <f>IF(J121="","",COUNTIFS($C$18:$C$2015,J$13,$D$18:$D$2015,"&gt;="&amp;J121,$D$18:$D$2015,"&lt;"&amp;J122))</f>
        <v/>
      </c>
      <c r="L121" s="14" t="n"/>
      <c r="M121" s="16" t="n"/>
      <c r="N121" s="124">
        <f>IF(M121="","",COUNTIFS($C$18:$C$2015,M$13,$D$18:$D$2015,"&gt;="&amp;M121,$D$18:$D$2015,"&lt;"&amp;M122))</f>
        <v/>
      </c>
      <c r="O121" s="14" t="n"/>
      <c r="P121" s="16" t="n"/>
      <c r="Q121" s="124">
        <f>IF(P121="","",COUNTIFS($C$18:$C$2015,P$13,$D$18:$D$2015,"&gt;="&amp;P121,$D$18:$D$2015,"&lt;"&amp;P122))</f>
        <v/>
      </c>
      <c r="R121" s="14" t="n"/>
      <c r="S121" s="16" t="n"/>
      <c r="T121" s="124">
        <f>IF(S121="","",COUNTIFS($C$18:$C$2015,S$13,$D$18:$D$2015,"&gt;="&amp;S121,$D$18:$D$2015,"&lt;"&amp;S122))</f>
        <v/>
      </c>
      <c r="U121" s="14" t="n"/>
      <c r="V121" s="16" t="n"/>
      <c r="W121" s="124">
        <f>IF(V121="","",COUNTIFS($C$18:$C$2015,V$13,$D$18:$D$2015,"&gt;="&amp;V121,$D$18:$D$2015,"&lt;"&amp;V122))</f>
        <v/>
      </c>
      <c r="X121" s="14" t="n"/>
      <c r="Y121" s="16" t="n"/>
      <c r="Z121" s="124">
        <f>IF(Y121="","",COUNTIFS($C$18:$C$2015,Y$13,$D$18:$D$2015,"&gt;="&amp;Y121,$D$18:$D$2015,"&lt;"&amp;Y122))</f>
        <v/>
      </c>
      <c r="AA121" s="14" t="n"/>
      <c r="AB121" s="16" t="n"/>
      <c r="AC121" s="124">
        <f>IF(AB121="","",COUNTIFS($C$18:$C$2015,AB$13,$D$18:$D$2015,"&gt;="&amp;AB121,$D$18:$D$2015,"&lt;"&amp;AB122))</f>
        <v/>
      </c>
      <c r="AD121" s="14" t="n"/>
    </row>
    <row r="122">
      <c r="A122" s="56" t="n"/>
      <c r="B122" s="57" t="n"/>
      <c r="C122" s="59" t="n"/>
      <c r="E122" s="16" t="n"/>
      <c r="F122" s="13" t="n"/>
      <c r="G122" s="16" t="n"/>
      <c r="H122" s="124">
        <f>IF(G122="","",COUNTIFS($C$18:$C$2015,G$13,$D$18:$D$2015,"&gt;="&amp;G122,$D$18:$D$2015,"&lt;"&amp;G123))</f>
        <v/>
      </c>
      <c r="I122" s="14" t="n"/>
      <c r="J122" s="16" t="n"/>
      <c r="K122" s="124">
        <f>IF(J122="","",COUNTIFS($C$18:$C$2015,J$13,$D$18:$D$2015,"&gt;="&amp;J122,$D$18:$D$2015,"&lt;"&amp;J123))</f>
        <v/>
      </c>
      <c r="L122" s="14" t="n"/>
      <c r="M122" s="16" t="n"/>
      <c r="N122" s="124">
        <f>IF(M122="","",COUNTIFS($C$18:$C$2015,M$13,$D$18:$D$2015,"&gt;="&amp;M122,$D$18:$D$2015,"&lt;"&amp;M123))</f>
        <v/>
      </c>
      <c r="O122" s="14" t="n"/>
      <c r="P122" s="16" t="n"/>
      <c r="Q122" s="124">
        <f>IF(P122="","",COUNTIFS($C$18:$C$2015,P$13,$D$18:$D$2015,"&gt;="&amp;P122,$D$18:$D$2015,"&lt;"&amp;P123))</f>
        <v/>
      </c>
      <c r="R122" s="14" t="n"/>
      <c r="S122" s="16" t="n"/>
      <c r="T122" s="124">
        <f>IF(S122="","",COUNTIFS($C$18:$C$2015,S$13,$D$18:$D$2015,"&gt;="&amp;S122,$D$18:$D$2015,"&lt;"&amp;S123))</f>
        <v/>
      </c>
      <c r="U122" s="14" t="n"/>
      <c r="V122" s="16" t="n"/>
      <c r="W122" s="124">
        <f>IF(V122="","",COUNTIFS($C$18:$C$2015,V$13,$D$18:$D$2015,"&gt;="&amp;V122,$D$18:$D$2015,"&lt;"&amp;V123))</f>
        <v/>
      </c>
      <c r="X122" s="14" t="n"/>
      <c r="Y122" s="16" t="n"/>
      <c r="Z122" s="124">
        <f>IF(Y122="","",COUNTIFS($C$18:$C$2015,Y$13,$D$18:$D$2015,"&gt;="&amp;Y122,$D$18:$D$2015,"&lt;"&amp;Y123))</f>
        <v/>
      </c>
      <c r="AA122" s="14" t="n"/>
      <c r="AB122" s="16" t="n"/>
      <c r="AC122" s="124">
        <f>IF(AB122="","",COUNTIFS($C$18:$C$2015,AB$13,$D$18:$D$2015,"&gt;="&amp;AB122,$D$18:$D$2015,"&lt;"&amp;AB123))</f>
        <v/>
      </c>
      <c r="AD122" s="14" t="n"/>
    </row>
    <row r="123">
      <c r="A123" s="58" t="n"/>
      <c r="B123" s="59" t="n"/>
      <c r="C123" s="59" t="n"/>
      <c r="E123" s="16" t="n"/>
      <c r="F123" s="13" t="n"/>
      <c r="G123" s="16" t="n"/>
      <c r="H123" s="124">
        <f>IF(G123="","",COUNTIFS($C$18:$C$2015,G$13,$D$18:$D$2015,"&gt;="&amp;G123,$D$18:$D$2015,"&lt;"&amp;G124))</f>
        <v/>
      </c>
      <c r="I123" s="14" t="n"/>
      <c r="J123" s="16" t="n"/>
      <c r="K123" s="124">
        <f>IF(J123="","",COUNTIFS($C$18:$C$2015,J$13,$D$18:$D$2015,"&gt;="&amp;J123,$D$18:$D$2015,"&lt;"&amp;J124))</f>
        <v/>
      </c>
      <c r="L123" s="14" t="n"/>
      <c r="M123" s="16" t="n"/>
      <c r="N123" s="124">
        <f>IF(M123="","",COUNTIFS($C$18:$C$2015,M$13,$D$18:$D$2015,"&gt;="&amp;M123,$D$18:$D$2015,"&lt;"&amp;M124))</f>
        <v/>
      </c>
      <c r="O123" s="14" t="n"/>
      <c r="P123" s="16" t="n"/>
      <c r="Q123" s="124">
        <f>IF(P123="","",COUNTIFS($C$18:$C$2015,P$13,$D$18:$D$2015,"&gt;="&amp;P123,$D$18:$D$2015,"&lt;"&amp;P124))</f>
        <v/>
      </c>
      <c r="R123" s="14" t="n"/>
      <c r="S123" s="16" t="n"/>
      <c r="T123" s="124">
        <f>IF(S123="","",COUNTIFS($C$18:$C$2015,S$13,$D$18:$D$2015,"&gt;="&amp;S123,$D$18:$D$2015,"&lt;"&amp;S124))</f>
        <v/>
      </c>
      <c r="U123" s="14" t="n"/>
      <c r="V123" s="16" t="n"/>
      <c r="W123" s="124">
        <f>IF(V123="","",COUNTIFS($C$18:$C$2015,V$13,$D$18:$D$2015,"&gt;="&amp;V123,$D$18:$D$2015,"&lt;"&amp;V124))</f>
        <v/>
      </c>
      <c r="X123" s="14" t="n"/>
      <c r="Y123" s="16" t="n"/>
      <c r="Z123" s="124">
        <f>IF(Y123="","",COUNTIFS($C$18:$C$2015,Y$13,$D$18:$D$2015,"&gt;="&amp;Y123,$D$18:$D$2015,"&lt;"&amp;Y124))</f>
        <v/>
      </c>
      <c r="AA123" s="14" t="n"/>
      <c r="AB123" s="16" t="n"/>
      <c r="AC123" s="124">
        <f>IF(AB123="","",COUNTIFS($C$18:$C$2015,AB$13,$D$18:$D$2015,"&gt;="&amp;AB123,$D$18:$D$2015,"&lt;"&amp;AB124))</f>
        <v/>
      </c>
      <c r="AD123" s="14" t="n"/>
    </row>
    <row r="124">
      <c r="A124" s="56" t="n"/>
      <c r="B124" s="57" t="n"/>
      <c r="C124" s="59" t="n"/>
      <c r="E124" s="16" t="n"/>
      <c r="F124" s="13" t="n"/>
      <c r="G124" s="16" t="n"/>
      <c r="H124" s="124">
        <f>IF(G124="","",COUNTIFS($C$18:$C$2015,G$13,$D$18:$D$2015,"&gt;="&amp;G124,$D$18:$D$2015,"&lt;"&amp;G125))</f>
        <v/>
      </c>
      <c r="I124" s="14" t="n"/>
      <c r="J124" s="16" t="n"/>
      <c r="K124" s="124">
        <f>IF(J124="","",COUNTIFS($C$18:$C$2015,J$13,$D$18:$D$2015,"&gt;="&amp;J124,$D$18:$D$2015,"&lt;"&amp;J125))</f>
        <v/>
      </c>
      <c r="L124" s="14" t="n"/>
      <c r="M124" s="16" t="n"/>
      <c r="N124" s="124">
        <f>IF(M124="","",COUNTIFS($C$18:$C$2015,M$13,$D$18:$D$2015,"&gt;="&amp;M124,$D$18:$D$2015,"&lt;"&amp;M125))</f>
        <v/>
      </c>
      <c r="O124" s="14" t="n"/>
      <c r="P124" s="16" t="n"/>
      <c r="Q124" s="124">
        <f>IF(P124="","",COUNTIFS($C$18:$C$2015,P$13,$D$18:$D$2015,"&gt;="&amp;P124,$D$18:$D$2015,"&lt;"&amp;P125))</f>
        <v/>
      </c>
      <c r="R124" s="14" t="n"/>
      <c r="S124" s="16" t="n"/>
      <c r="T124" s="124">
        <f>IF(S124="","",COUNTIFS($C$18:$C$2015,S$13,$D$18:$D$2015,"&gt;="&amp;S124,$D$18:$D$2015,"&lt;"&amp;S125))</f>
        <v/>
      </c>
      <c r="U124" s="14" t="n"/>
      <c r="V124" s="16" t="n"/>
      <c r="W124" s="124">
        <f>IF(V124="","",COUNTIFS($C$18:$C$2015,V$13,$D$18:$D$2015,"&gt;="&amp;V124,$D$18:$D$2015,"&lt;"&amp;V125))</f>
        <v/>
      </c>
      <c r="X124" s="14" t="n"/>
      <c r="Y124" s="16" t="n"/>
      <c r="Z124" s="124">
        <f>IF(Y124="","",COUNTIFS($C$18:$C$2015,Y$13,$D$18:$D$2015,"&gt;="&amp;Y124,$D$18:$D$2015,"&lt;"&amp;Y125))</f>
        <v/>
      </c>
      <c r="AA124" s="14" t="n"/>
      <c r="AB124" s="16" t="n"/>
      <c r="AC124" s="124">
        <f>IF(AB124="","",COUNTIFS($C$18:$C$2015,AB$13,$D$18:$D$2015,"&gt;="&amp;AB124,$D$18:$D$2015,"&lt;"&amp;AB125))</f>
        <v/>
      </c>
      <c r="AD124" s="14" t="n"/>
    </row>
    <row r="125">
      <c r="A125" s="58" t="n"/>
      <c r="B125" s="59" t="n"/>
      <c r="C125" s="59" t="n"/>
      <c r="E125" s="16" t="n"/>
      <c r="F125" s="13" t="n"/>
      <c r="G125" s="16" t="n"/>
      <c r="H125" s="124">
        <f>IF(G125="","",COUNTIFS($C$18:$C$2015,G$13,$D$18:$D$2015,"&gt;="&amp;G125,$D$18:$D$2015,"&lt;"&amp;G126))</f>
        <v/>
      </c>
      <c r="I125" s="14" t="n"/>
      <c r="J125" s="16" t="n"/>
      <c r="K125" s="124">
        <f>IF(J125="","",COUNTIFS($C$18:$C$2015,J$13,$D$18:$D$2015,"&gt;="&amp;J125,$D$18:$D$2015,"&lt;"&amp;J126))</f>
        <v/>
      </c>
      <c r="L125" s="14" t="n"/>
      <c r="M125" s="16" t="n"/>
      <c r="N125" s="124">
        <f>IF(M125="","",COUNTIFS($C$18:$C$2015,M$13,$D$18:$D$2015,"&gt;="&amp;M125,$D$18:$D$2015,"&lt;"&amp;M126))</f>
        <v/>
      </c>
      <c r="O125" s="14" t="n"/>
      <c r="P125" s="16" t="n"/>
      <c r="Q125" s="124">
        <f>IF(P125="","",COUNTIFS($C$18:$C$2015,P$13,$D$18:$D$2015,"&gt;="&amp;P125,$D$18:$D$2015,"&lt;"&amp;P126))</f>
        <v/>
      </c>
      <c r="R125" s="14" t="n"/>
      <c r="S125" s="16" t="n"/>
      <c r="T125" s="124">
        <f>IF(S125="","",COUNTIFS($C$18:$C$2015,S$13,$D$18:$D$2015,"&gt;="&amp;S125,$D$18:$D$2015,"&lt;"&amp;S126))</f>
        <v/>
      </c>
      <c r="U125" s="14" t="n"/>
      <c r="V125" s="16" t="n"/>
      <c r="W125" s="124">
        <f>IF(V125="","",COUNTIFS($C$18:$C$2015,V$13,$D$18:$D$2015,"&gt;="&amp;V125,$D$18:$D$2015,"&lt;"&amp;V126))</f>
        <v/>
      </c>
      <c r="X125" s="14" t="n"/>
      <c r="Y125" s="16" t="n"/>
      <c r="Z125" s="124">
        <f>IF(Y125="","",COUNTIFS($C$18:$C$2015,Y$13,$D$18:$D$2015,"&gt;="&amp;Y125,$D$18:$D$2015,"&lt;"&amp;Y126))</f>
        <v/>
      </c>
      <c r="AA125" s="14" t="n"/>
      <c r="AB125" s="16" t="n"/>
      <c r="AC125" s="124">
        <f>IF(AB125="","",COUNTIFS($C$18:$C$2015,AB$13,$D$18:$D$2015,"&gt;="&amp;AB125,$D$18:$D$2015,"&lt;"&amp;AB126))</f>
        <v/>
      </c>
      <c r="AD125" s="14" t="n"/>
    </row>
    <row r="126">
      <c r="A126" s="56" t="n"/>
      <c r="B126" s="57" t="n"/>
      <c r="C126" s="59" t="n"/>
      <c r="E126" s="16" t="n"/>
      <c r="F126" s="13" t="n"/>
      <c r="G126" s="16" t="n"/>
      <c r="H126" s="124">
        <f>IF(G126="","",COUNTIFS($C$18:$C$2015,G$13,$D$18:$D$2015,"&gt;="&amp;G126,$D$18:$D$2015,"&lt;"&amp;G127))</f>
        <v/>
      </c>
      <c r="I126" s="14" t="n"/>
      <c r="J126" s="16" t="n"/>
      <c r="K126" s="124">
        <f>IF(J126="","",COUNTIFS($C$18:$C$2015,J$13,$D$18:$D$2015,"&gt;="&amp;J126,$D$18:$D$2015,"&lt;"&amp;J127))</f>
        <v/>
      </c>
      <c r="L126" s="14" t="n"/>
      <c r="M126" s="16" t="n"/>
      <c r="N126" s="124">
        <f>IF(M126="","",COUNTIFS($C$18:$C$2015,M$13,$D$18:$D$2015,"&gt;="&amp;M126,$D$18:$D$2015,"&lt;"&amp;M127))</f>
        <v/>
      </c>
      <c r="O126" s="14" t="n"/>
      <c r="P126" s="16" t="n"/>
      <c r="Q126" s="124">
        <f>IF(P126="","",COUNTIFS($C$18:$C$2015,P$13,$D$18:$D$2015,"&gt;="&amp;P126,$D$18:$D$2015,"&lt;"&amp;P127))</f>
        <v/>
      </c>
      <c r="R126" s="14" t="n"/>
      <c r="S126" s="16" t="n"/>
      <c r="T126" s="124">
        <f>IF(S126="","",COUNTIFS($C$18:$C$2015,S$13,$D$18:$D$2015,"&gt;="&amp;S126,$D$18:$D$2015,"&lt;"&amp;S127))</f>
        <v/>
      </c>
      <c r="U126" s="14" t="n"/>
      <c r="V126" s="16" t="n"/>
      <c r="W126" s="124">
        <f>IF(V126="","",COUNTIFS($C$18:$C$2015,V$13,$D$18:$D$2015,"&gt;="&amp;V126,$D$18:$D$2015,"&lt;"&amp;V127))</f>
        <v/>
      </c>
      <c r="X126" s="14" t="n"/>
      <c r="Y126" s="16" t="n"/>
      <c r="Z126" s="124">
        <f>IF(Y126="","",COUNTIFS($C$18:$C$2015,Y$13,$D$18:$D$2015,"&gt;="&amp;Y126,$D$18:$D$2015,"&lt;"&amp;Y127))</f>
        <v/>
      </c>
      <c r="AA126" s="14" t="n"/>
      <c r="AB126" s="16" t="n"/>
      <c r="AC126" s="124">
        <f>IF(AB126="","",COUNTIFS($C$18:$C$2015,AB$13,$D$18:$D$2015,"&gt;="&amp;AB126,$D$18:$D$2015,"&lt;"&amp;AB127))</f>
        <v/>
      </c>
      <c r="AD126" s="14" t="n"/>
    </row>
    <row r="127">
      <c r="A127" s="58" t="n"/>
      <c r="B127" s="59" t="n"/>
      <c r="C127" s="59" t="n"/>
      <c r="E127" s="16" t="n"/>
      <c r="F127" s="13" t="n"/>
      <c r="G127" s="16" t="n"/>
      <c r="H127" s="124">
        <f>IF(G127="","",COUNTIFS($C$18:$C$2015,G$13,$D$18:$D$2015,"&gt;="&amp;G127,$D$18:$D$2015,"&lt;"&amp;G128))</f>
        <v/>
      </c>
      <c r="I127" s="14" t="n"/>
      <c r="J127" s="16" t="n"/>
      <c r="K127" s="124">
        <f>IF(J127="","",COUNTIFS($C$18:$C$2015,J$13,$D$18:$D$2015,"&gt;="&amp;J127,$D$18:$D$2015,"&lt;"&amp;J128))</f>
        <v/>
      </c>
      <c r="L127" s="14" t="n"/>
      <c r="M127" s="16" t="n"/>
      <c r="N127" s="124">
        <f>IF(M127="","",COUNTIFS($C$18:$C$2015,M$13,$D$18:$D$2015,"&gt;="&amp;M127,$D$18:$D$2015,"&lt;"&amp;M128))</f>
        <v/>
      </c>
      <c r="O127" s="14" t="n"/>
      <c r="P127" s="16" t="n"/>
      <c r="Q127" s="124">
        <f>IF(P127="","",COUNTIFS($C$18:$C$2015,P$13,$D$18:$D$2015,"&gt;="&amp;P127,$D$18:$D$2015,"&lt;"&amp;P128))</f>
        <v/>
      </c>
      <c r="R127" s="14" t="n"/>
      <c r="S127" s="16" t="n"/>
      <c r="T127" s="124">
        <f>IF(S127="","",COUNTIFS($C$18:$C$2015,S$13,$D$18:$D$2015,"&gt;="&amp;S127,$D$18:$D$2015,"&lt;"&amp;S128))</f>
        <v/>
      </c>
      <c r="U127" s="14" t="n"/>
      <c r="V127" s="16" t="n"/>
      <c r="W127" s="124">
        <f>IF(V127="","",COUNTIFS($C$18:$C$2015,V$13,$D$18:$D$2015,"&gt;="&amp;V127,$D$18:$D$2015,"&lt;"&amp;V128))</f>
        <v/>
      </c>
      <c r="X127" s="14" t="n"/>
      <c r="Y127" s="16" t="n"/>
      <c r="Z127" s="124">
        <f>IF(Y127="","",COUNTIFS($C$18:$C$2015,Y$13,$D$18:$D$2015,"&gt;="&amp;Y127,$D$18:$D$2015,"&lt;"&amp;Y128))</f>
        <v/>
      </c>
      <c r="AA127" s="14" t="n"/>
      <c r="AB127" s="16" t="n"/>
      <c r="AC127" s="124">
        <f>IF(AB127="","",COUNTIFS($C$18:$C$2015,AB$13,$D$18:$D$2015,"&gt;="&amp;AB127,$D$18:$D$2015,"&lt;"&amp;AB128))</f>
        <v/>
      </c>
      <c r="AD127" s="14" t="n"/>
    </row>
    <row r="128">
      <c r="A128" s="56" t="n"/>
      <c r="B128" s="57" t="n"/>
      <c r="C128" s="59" t="n"/>
      <c r="E128" s="16" t="n"/>
      <c r="F128" s="13" t="n"/>
      <c r="G128" s="16" t="n"/>
      <c r="H128" s="124">
        <f>IF(G128="","",COUNTIFS($C$18:$C$2015,G$13,$D$18:$D$2015,"&gt;="&amp;G128,$D$18:$D$2015,"&lt;"&amp;G129))</f>
        <v/>
      </c>
      <c r="I128" s="14" t="n"/>
      <c r="J128" s="16" t="n"/>
      <c r="K128" s="124">
        <f>IF(J128="","",COUNTIFS($C$18:$C$2015,J$13,$D$18:$D$2015,"&gt;="&amp;J128,$D$18:$D$2015,"&lt;"&amp;J129))</f>
        <v/>
      </c>
      <c r="L128" s="14" t="n"/>
      <c r="M128" s="16" t="n"/>
      <c r="N128" s="124">
        <f>IF(M128="","",COUNTIFS($C$18:$C$2015,M$13,$D$18:$D$2015,"&gt;="&amp;M128,$D$18:$D$2015,"&lt;"&amp;M129))</f>
        <v/>
      </c>
      <c r="O128" s="14" t="n"/>
      <c r="P128" s="16" t="n"/>
      <c r="Q128" s="124">
        <f>IF(P128="","",COUNTIFS($C$18:$C$2015,P$13,$D$18:$D$2015,"&gt;="&amp;P128,$D$18:$D$2015,"&lt;"&amp;P129))</f>
        <v/>
      </c>
      <c r="R128" s="14" t="n"/>
      <c r="S128" s="16" t="n"/>
      <c r="T128" s="124">
        <f>IF(S128="","",COUNTIFS($C$18:$C$2015,S$13,$D$18:$D$2015,"&gt;="&amp;S128,$D$18:$D$2015,"&lt;"&amp;S129))</f>
        <v/>
      </c>
      <c r="U128" s="14" t="n"/>
      <c r="V128" s="16" t="n"/>
      <c r="W128" s="124">
        <f>IF(V128="","",COUNTIFS($C$18:$C$2015,V$13,$D$18:$D$2015,"&gt;="&amp;V128,$D$18:$D$2015,"&lt;"&amp;V129))</f>
        <v/>
      </c>
      <c r="X128" s="14" t="n"/>
      <c r="Y128" s="16" t="n"/>
      <c r="Z128" s="124">
        <f>IF(Y128="","",COUNTIFS($C$18:$C$2015,Y$13,$D$18:$D$2015,"&gt;="&amp;Y128,$D$18:$D$2015,"&lt;"&amp;Y129))</f>
        <v/>
      </c>
      <c r="AA128" s="14" t="n"/>
      <c r="AB128" s="16" t="n"/>
      <c r="AC128" s="124">
        <f>IF(AB128="","",COUNTIFS($C$18:$C$2015,AB$13,$D$18:$D$2015,"&gt;="&amp;AB128,$D$18:$D$2015,"&lt;"&amp;AB129))</f>
        <v/>
      </c>
      <c r="AD128" s="14" t="n"/>
    </row>
    <row r="129">
      <c r="A129" s="58" t="n"/>
      <c r="B129" s="59" t="n"/>
      <c r="C129" s="59" t="n"/>
      <c r="E129" s="16" t="n"/>
      <c r="F129" s="13" t="n"/>
      <c r="G129" s="16" t="n"/>
      <c r="H129" s="124">
        <f>IF(G129="","",COUNTIFS($C$18:$C$2015,G$13,$D$18:$D$2015,"&gt;="&amp;G129,$D$18:$D$2015,"&lt;"&amp;G130))</f>
        <v/>
      </c>
      <c r="I129" s="14" t="n"/>
      <c r="J129" s="16" t="n"/>
      <c r="K129" s="124">
        <f>IF(J129="","",COUNTIFS($C$18:$C$2015,J$13,$D$18:$D$2015,"&gt;="&amp;J129,$D$18:$D$2015,"&lt;"&amp;J130))</f>
        <v/>
      </c>
      <c r="L129" s="14" t="n"/>
      <c r="M129" s="16" t="n"/>
      <c r="N129" s="124">
        <f>IF(M129="","",COUNTIFS($C$18:$C$2015,M$13,$D$18:$D$2015,"&gt;="&amp;M129,$D$18:$D$2015,"&lt;"&amp;M130))</f>
        <v/>
      </c>
      <c r="O129" s="14" t="n"/>
      <c r="P129" s="16" t="n"/>
      <c r="Q129" s="124">
        <f>IF(P129="","",COUNTIFS($C$18:$C$2015,P$13,$D$18:$D$2015,"&gt;="&amp;P129,$D$18:$D$2015,"&lt;"&amp;P130))</f>
        <v/>
      </c>
      <c r="R129" s="14" t="n"/>
      <c r="S129" s="16" t="n"/>
      <c r="T129" s="124">
        <f>IF(S129="","",COUNTIFS($C$18:$C$2015,S$13,$D$18:$D$2015,"&gt;="&amp;S129,$D$18:$D$2015,"&lt;"&amp;S130))</f>
        <v/>
      </c>
      <c r="U129" s="14" t="n"/>
      <c r="V129" s="16" t="n"/>
      <c r="W129" s="124">
        <f>IF(V129="","",COUNTIFS($C$18:$C$2015,V$13,$D$18:$D$2015,"&gt;="&amp;V129,$D$18:$D$2015,"&lt;"&amp;V130))</f>
        <v/>
      </c>
      <c r="X129" s="14" t="n"/>
      <c r="Y129" s="16" t="n"/>
      <c r="Z129" s="124">
        <f>IF(Y129="","",COUNTIFS($C$18:$C$2015,Y$13,$D$18:$D$2015,"&gt;="&amp;Y129,$D$18:$D$2015,"&lt;"&amp;Y130))</f>
        <v/>
      </c>
      <c r="AA129" s="14" t="n"/>
      <c r="AB129" s="16" t="n"/>
      <c r="AC129" s="124">
        <f>IF(AB129="","",COUNTIFS($C$18:$C$2015,AB$13,$D$18:$D$2015,"&gt;="&amp;AB129,$D$18:$D$2015,"&lt;"&amp;AB130))</f>
        <v/>
      </c>
      <c r="AD129" s="14" t="n"/>
    </row>
    <row r="130">
      <c r="A130" s="56" t="n"/>
      <c r="B130" s="57" t="n"/>
      <c r="C130" s="59" t="n"/>
      <c r="E130" s="16" t="n"/>
      <c r="F130" s="13" t="n"/>
      <c r="G130" s="16" t="n"/>
      <c r="H130" s="124">
        <f>IF(G130="","",COUNTIFS($C$18:$C$2015,G$13,$D$18:$D$2015,"&gt;="&amp;G130,$D$18:$D$2015,"&lt;"&amp;G131))</f>
        <v/>
      </c>
      <c r="I130" s="14" t="n"/>
      <c r="J130" s="16" t="n"/>
      <c r="K130" s="124">
        <f>IF(J130="","",COUNTIFS($C$18:$C$2015,J$13,$D$18:$D$2015,"&gt;="&amp;J130,$D$18:$D$2015,"&lt;"&amp;J131))</f>
        <v/>
      </c>
      <c r="L130" s="14" t="n"/>
      <c r="M130" s="16" t="n"/>
      <c r="N130" s="124">
        <f>IF(M130="","",COUNTIFS($C$18:$C$2015,M$13,$D$18:$D$2015,"&gt;="&amp;M130,$D$18:$D$2015,"&lt;"&amp;M131))</f>
        <v/>
      </c>
      <c r="O130" s="14" t="n"/>
      <c r="P130" s="16" t="n"/>
      <c r="Q130" s="124">
        <f>IF(P130="","",COUNTIFS($C$18:$C$2015,P$13,$D$18:$D$2015,"&gt;="&amp;P130,$D$18:$D$2015,"&lt;"&amp;P131))</f>
        <v/>
      </c>
      <c r="R130" s="14" t="n"/>
      <c r="S130" s="16" t="n"/>
      <c r="T130" s="124">
        <f>IF(S130="","",COUNTIFS($C$18:$C$2015,S$13,$D$18:$D$2015,"&gt;="&amp;S130,$D$18:$D$2015,"&lt;"&amp;S131))</f>
        <v/>
      </c>
      <c r="U130" s="14" t="n"/>
      <c r="V130" s="16" t="n"/>
      <c r="W130" s="124">
        <f>IF(V130="","",COUNTIFS($C$18:$C$2015,V$13,$D$18:$D$2015,"&gt;="&amp;V130,$D$18:$D$2015,"&lt;"&amp;V131))</f>
        <v/>
      </c>
      <c r="X130" s="14" t="n"/>
      <c r="Y130" s="16" t="n"/>
      <c r="Z130" s="124">
        <f>IF(Y130="","",COUNTIFS($C$18:$C$2015,Y$13,$D$18:$D$2015,"&gt;="&amp;Y130,$D$18:$D$2015,"&lt;"&amp;Y131))</f>
        <v/>
      </c>
      <c r="AA130" s="14" t="n"/>
      <c r="AB130" s="16" t="n"/>
      <c r="AC130" s="124">
        <f>IF(AB130="","",COUNTIFS($C$18:$C$2015,AB$13,$D$18:$D$2015,"&gt;="&amp;AB130,$D$18:$D$2015,"&lt;"&amp;AB131))</f>
        <v/>
      </c>
      <c r="AD130" s="14" t="n"/>
    </row>
    <row r="131">
      <c r="A131" s="58" t="n"/>
      <c r="B131" s="59" t="n"/>
      <c r="C131" s="59" t="n"/>
      <c r="E131" s="16" t="n"/>
      <c r="F131" s="13" t="n"/>
      <c r="G131" s="16" t="n"/>
      <c r="H131" s="124">
        <f>IF(G131="","",COUNTIFS($C$18:$C$2015,G$13,$D$18:$D$2015,"&gt;="&amp;G131,$D$18:$D$2015,"&lt;"&amp;G132))</f>
        <v/>
      </c>
      <c r="I131" s="14" t="n"/>
      <c r="J131" s="16" t="n"/>
      <c r="K131" s="124">
        <f>IF(J131="","",COUNTIFS($C$18:$C$2015,J$13,$D$18:$D$2015,"&gt;="&amp;J131,$D$18:$D$2015,"&lt;"&amp;J132))</f>
        <v/>
      </c>
      <c r="L131" s="14" t="n"/>
      <c r="M131" s="16" t="n"/>
      <c r="N131" s="124">
        <f>IF(M131="","",COUNTIFS($C$18:$C$2015,M$13,$D$18:$D$2015,"&gt;="&amp;M131,$D$18:$D$2015,"&lt;"&amp;M132))</f>
        <v/>
      </c>
      <c r="O131" s="14" t="n"/>
      <c r="P131" s="16" t="n"/>
      <c r="Q131" s="124">
        <f>IF(P131="","",COUNTIFS($C$18:$C$2015,P$13,$D$18:$D$2015,"&gt;="&amp;P131,$D$18:$D$2015,"&lt;"&amp;P132))</f>
        <v/>
      </c>
      <c r="R131" s="14" t="n"/>
      <c r="S131" s="16" t="n"/>
      <c r="T131" s="124">
        <f>IF(S131="","",COUNTIFS($C$18:$C$2015,S$13,$D$18:$D$2015,"&gt;="&amp;S131,$D$18:$D$2015,"&lt;"&amp;S132))</f>
        <v/>
      </c>
      <c r="U131" s="14" t="n"/>
      <c r="V131" s="16" t="n"/>
      <c r="W131" s="124">
        <f>IF(V131="","",COUNTIFS($C$18:$C$2015,V$13,$D$18:$D$2015,"&gt;="&amp;V131,$D$18:$D$2015,"&lt;"&amp;V132))</f>
        <v/>
      </c>
      <c r="X131" s="14" t="n"/>
      <c r="Y131" s="16" t="n"/>
      <c r="Z131" s="124">
        <f>IF(Y131="","",COUNTIFS($C$18:$C$2015,Y$13,$D$18:$D$2015,"&gt;="&amp;Y131,$D$18:$D$2015,"&lt;"&amp;Y132))</f>
        <v/>
      </c>
      <c r="AA131" s="14" t="n"/>
      <c r="AB131" s="16" t="n"/>
      <c r="AC131" s="124">
        <f>IF(AB131="","",COUNTIFS($C$18:$C$2015,AB$13,$D$18:$D$2015,"&gt;="&amp;AB131,$D$18:$D$2015,"&lt;"&amp;AB132))</f>
        <v/>
      </c>
      <c r="AD131" s="14" t="n"/>
    </row>
    <row r="132">
      <c r="A132" s="56" t="n"/>
      <c r="B132" s="57" t="n"/>
      <c r="C132" s="59" t="n"/>
      <c r="E132" s="16" t="n"/>
      <c r="F132" s="13" t="n"/>
      <c r="G132" s="16" t="n"/>
      <c r="H132" s="124">
        <f>IF(G132="","",COUNTIFS($C$18:$C$2015,G$13,$D$18:$D$2015,"&gt;="&amp;G132,$D$18:$D$2015,"&lt;"&amp;G133))</f>
        <v/>
      </c>
      <c r="I132" s="14" t="n"/>
      <c r="J132" s="16" t="n"/>
      <c r="K132" s="124">
        <f>IF(J132="","",COUNTIFS($C$18:$C$2015,J$13,$D$18:$D$2015,"&gt;="&amp;J132,$D$18:$D$2015,"&lt;"&amp;J133))</f>
        <v/>
      </c>
      <c r="L132" s="14" t="n"/>
      <c r="M132" s="16" t="n"/>
      <c r="N132" s="124">
        <f>IF(M132="","",COUNTIFS($C$18:$C$2015,M$13,$D$18:$D$2015,"&gt;="&amp;M132,$D$18:$D$2015,"&lt;"&amp;M133))</f>
        <v/>
      </c>
      <c r="O132" s="14" t="n"/>
      <c r="P132" s="16" t="n"/>
      <c r="Q132" s="124">
        <f>IF(P132="","",COUNTIFS($C$18:$C$2015,P$13,$D$18:$D$2015,"&gt;="&amp;P132,$D$18:$D$2015,"&lt;"&amp;P133))</f>
        <v/>
      </c>
      <c r="R132" s="14" t="n"/>
      <c r="S132" s="16" t="n"/>
      <c r="T132" s="124">
        <f>IF(S132="","",COUNTIFS($C$18:$C$2015,S$13,$D$18:$D$2015,"&gt;="&amp;S132,$D$18:$D$2015,"&lt;"&amp;S133))</f>
        <v/>
      </c>
      <c r="U132" s="14" t="n"/>
      <c r="V132" s="16" t="n"/>
      <c r="W132" s="124">
        <f>IF(V132="","",COUNTIFS($C$18:$C$2015,V$13,$D$18:$D$2015,"&gt;="&amp;V132,$D$18:$D$2015,"&lt;"&amp;V133))</f>
        <v/>
      </c>
      <c r="X132" s="14" t="n"/>
      <c r="Y132" s="16" t="n"/>
      <c r="Z132" s="124">
        <f>IF(Y132="","",COUNTIFS($C$18:$C$2015,Y$13,$D$18:$D$2015,"&gt;="&amp;Y132,$D$18:$D$2015,"&lt;"&amp;Y133))</f>
        <v/>
      </c>
      <c r="AA132" s="14" t="n"/>
      <c r="AB132" s="16" t="n"/>
      <c r="AC132" s="124">
        <f>IF(AB132="","",COUNTIFS($C$18:$C$2015,AB$13,$D$18:$D$2015,"&gt;="&amp;AB132,$D$18:$D$2015,"&lt;"&amp;AB133))</f>
        <v/>
      </c>
      <c r="AD132" s="14" t="n"/>
    </row>
    <row r="133">
      <c r="A133" s="58" t="n"/>
      <c r="B133" s="59" t="n"/>
      <c r="C133" s="59" t="n"/>
      <c r="E133" s="16" t="n"/>
      <c r="F133" s="13" t="n"/>
      <c r="G133" s="16" t="n"/>
      <c r="H133" s="124">
        <f>IF(G133="","",COUNTIFS($C$18:$C$2015,G$13,$D$18:$D$2015,"&gt;="&amp;G133,$D$18:$D$2015,"&lt;"&amp;G134))</f>
        <v/>
      </c>
      <c r="I133" s="14" t="n"/>
      <c r="J133" s="16" t="n"/>
      <c r="K133" s="124">
        <f>IF(J133="","",COUNTIFS($C$18:$C$2015,J$13,$D$18:$D$2015,"&gt;="&amp;J133,$D$18:$D$2015,"&lt;"&amp;J134))</f>
        <v/>
      </c>
      <c r="L133" s="14" t="n"/>
      <c r="M133" s="16" t="n"/>
      <c r="N133" s="124">
        <f>IF(M133="","",COUNTIFS($C$18:$C$2015,M$13,$D$18:$D$2015,"&gt;="&amp;M133,$D$18:$D$2015,"&lt;"&amp;M134))</f>
        <v/>
      </c>
      <c r="O133" s="14" t="n"/>
      <c r="P133" s="16" t="n"/>
      <c r="Q133" s="124">
        <f>IF(P133="","",COUNTIFS($C$18:$C$2015,P$13,$D$18:$D$2015,"&gt;="&amp;P133,$D$18:$D$2015,"&lt;"&amp;P134))</f>
        <v/>
      </c>
      <c r="R133" s="14" t="n"/>
      <c r="S133" s="16" t="n"/>
      <c r="T133" s="124">
        <f>IF(S133="","",COUNTIFS($C$18:$C$2015,S$13,$D$18:$D$2015,"&gt;="&amp;S133,$D$18:$D$2015,"&lt;"&amp;S134))</f>
        <v/>
      </c>
      <c r="U133" s="14" t="n"/>
      <c r="V133" s="16" t="n"/>
      <c r="W133" s="124">
        <f>IF(V133="","",COUNTIFS($C$18:$C$2015,V$13,$D$18:$D$2015,"&gt;="&amp;V133,$D$18:$D$2015,"&lt;"&amp;V134))</f>
        <v/>
      </c>
      <c r="X133" s="14" t="n"/>
      <c r="Y133" s="16" t="n"/>
      <c r="Z133" s="124">
        <f>IF(Y133="","",COUNTIFS($C$18:$C$2015,Y$13,$D$18:$D$2015,"&gt;="&amp;Y133,$D$18:$D$2015,"&lt;"&amp;Y134))</f>
        <v/>
      </c>
      <c r="AA133" s="14" t="n"/>
      <c r="AB133" s="16" t="n"/>
      <c r="AC133" s="124">
        <f>IF(AB133="","",COUNTIFS($C$18:$C$2015,AB$13,$D$18:$D$2015,"&gt;="&amp;AB133,$D$18:$D$2015,"&lt;"&amp;AB134))</f>
        <v/>
      </c>
      <c r="AD133" s="14" t="n"/>
    </row>
    <row r="134">
      <c r="A134" s="56" t="n"/>
      <c r="B134" s="57" t="n"/>
      <c r="C134" s="59" t="n"/>
      <c r="E134" s="16" t="n"/>
      <c r="F134" s="13" t="n"/>
      <c r="G134" s="16" t="n"/>
      <c r="H134" s="124">
        <f>IF(G134="","",COUNTIFS($C$18:$C$2015,G$13,$D$18:$D$2015,"&gt;="&amp;G134,$D$18:$D$2015,"&lt;"&amp;G135))</f>
        <v/>
      </c>
      <c r="I134" s="14" t="n"/>
      <c r="J134" s="16" t="n"/>
      <c r="K134" s="124">
        <f>IF(J134="","",COUNTIFS($C$18:$C$2015,J$13,$D$18:$D$2015,"&gt;="&amp;J134,$D$18:$D$2015,"&lt;"&amp;J135))</f>
        <v/>
      </c>
      <c r="L134" s="14" t="n"/>
      <c r="M134" s="16" t="n"/>
      <c r="N134" s="124">
        <f>IF(M134="","",COUNTIFS($C$18:$C$2015,M$13,$D$18:$D$2015,"&gt;="&amp;M134,$D$18:$D$2015,"&lt;"&amp;M135))</f>
        <v/>
      </c>
      <c r="O134" s="14" t="n"/>
      <c r="P134" s="16" t="n"/>
      <c r="Q134" s="124">
        <f>IF(P134="","",COUNTIFS($C$18:$C$2015,P$13,$D$18:$D$2015,"&gt;="&amp;P134,$D$18:$D$2015,"&lt;"&amp;P135))</f>
        <v/>
      </c>
      <c r="R134" s="14" t="n"/>
      <c r="S134" s="16" t="n"/>
      <c r="T134" s="124">
        <f>IF(S134="","",COUNTIFS($C$18:$C$2015,S$13,$D$18:$D$2015,"&gt;="&amp;S134,$D$18:$D$2015,"&lt;"&amp;S135))</f>
        <v/>
      </c>
      <c r="U134" s="14" t="n"/>
      <c r="V134" s="16" t="n"/>
      <c r="W134" s="124">
        <f>IF(V134="","",COUNTIFS($C$18:$C$2015,V$13,$D$18:$D$2015,"&gt;="&amp;V134,$D$18:$D$2015,"&lt;"&amp;V135))</f>
        <v/>
      </c>
      <c r="X134" s="14" t="n"/>
      <c r="Y134" s="16" t="n"/>
      <c r="Z134" s="124">
        <f>IF(Y134="","",COUNTIFS($C$18:$C$2015,Y$13,$D$18:$D$2015,"&gt;="&amp;Y134,$D$18:$D$2015,"&lt;"&amp;Y135))</f>
        <v/>
      </c>
      <c r="AA134" s="14" t="n"/>
      <c r="AB134" s="16" t="n"/>
      <c r="AC134" s="124">
        <f>IF(AB134="","",COUNTIFS($C$18:$C$2015,AB$13,$D$18:$D$2015,"&gt;="&amp;AB134,$D$18:$D$2015,"&lt;"&amp;AB135))</f>
        <v/>
      </c>
      <c r="AD134" s="14" t="n"/>
    </row>
    <row r="135">
      <c r="A135" s="58" t="n"/>
      <c r="B135" s="59" t="n"/>
      <c r="C135" s="59" t="n"/>
      <c r="E135" s="16" t="n"/>
      <c r="F135" s="13" t="n"/>
      <c r="G135" s="16" t="n"/>
      <c r="H135" s="124">
        <f>IF(G135="","",COUNTIFS($C$18:$C$2015,G$13,$D$18:$D$2015,"&gt;="&amp;G135,$D$18:$D$2015,"&lt;"&amp;G136))</f>
        <v/>
      </c>
      <c r="I135" s="14" t="n"/>
      <c r="J135" s="16" t="n"/>
      <c r="K135" s="124">
        <f>IF(J135="","",COUNTIFS($C$18:$C$2015,J$13,$D$18:$D$2015,"&gt;="&amp;J135,$D$18:$D$2015,"&lt;"&amp;J136))</f>
        <v/>
      </c>
      <c r="L135" s="14" t="n"/>
      <c r="M135" s="16" t="n"/>
      <c r="N135" s="124">
        <f>IF(M135="","",COUNTIFS($C$18:$C$2015,M$13,$D$18:$D$2015,"&gt;="&amp;M135,$D$18:$D$2015,"&lt;"&amp;M136))</f>
        <v/>
      </c>
      <c r="O135" s="14" t="n"/>
      <c r="P135" s="16" t="n"/>
      <c r="Q135" s="124">
        <f>IF(P135="","",COUNTIFS($C$18:$C$2015,P$13,$D$18:$D$2015,"&gt;="&amp;P135,$D$18:$D$2015,"&lt;"&amp;P136))</f>
        <v/>
      </c>
      <c r="R135" s="14" t="n"/>
      <c r="S135" s="16" t="n"/>
      <c r="T135" s="124">
        <f>IF(S135="","",COUNTIFS($C$18:$C$2015,S$13,$D$18:$D$2015,"&gt;="&amp;S135,$D$18:$D$2015,"&lt;"&amp;S136))</f>
        <v/>
      </c>
      <c r="U135" s="14" t="n"/>
      <c r="V135" s="16" t="n"/>
      <c r="W135" s="124">
        <f>IF(V135="","",COUNTIFS($C$18:$C$2015,V$13,$D$18:$D$2015,"&gt;="&amp;V135,$D$18:$D$2015,"&lt;"&amp;V136))</f>
        <v/>
      </c>
      <c r="X135" s="14" t="n"/>
      <c r="Y135" s="16" t="n"/>
      <c r="Z135" s="124">
        <f>IF(Y135="","",COUNTIFS($C$18:$C$2015,Y$13,$D$18:$D$2015,"&gt;="&amp;Y135,$D$18:$D$2015,"&lt;"&amp;Y136))</f>
        <v/>
      </c>
      <c r="AA135" s="14" t="n"/>
      <c r="AB135" s="16" t="n"/>
      <c r="AC135" s="124">
        <f>IF(AB135="","",COUNTIFS($C$18:$C$2015,AB$13,$D$18:$D$2015,"&gt;="&amp;AB135,$D$18:$D$2015,"&lt;"&amp;AB136))</f>
        <v/>
      </c>
      <c r="AD135" s="14" t="n"/>
    </row>
    <row r="136">
      <c r="A136" s="56" t="n"/>
      <c r="B136" s="57" t="n"/>
      <c r="C136" s="59" t="n"/>
      <c r="E136" s="16" t="n"/>
      <c r="F136" s="13" t="n"/>
      <c r="G136" s="16" t="n"/>
      <c r="H136" s="124">
        <f>IF(G136="","",COUNTIFS($C$18:$C$2015,G$13,$D$18:$D$2015,"&gt;="&amp;G136,$D$18:$D$2015,"&lt;"&amp;G137))</f>
        <v/>
      </c>
      <c r="I136" s="14" t="n"/>
      <c r="J136" s="16" t="n"/>
      <c r="K136" s="124">
        <f>IF(J136="","",COUNTIFS($C$18:$C$2015,J$13,$D$18:$D$2015,"&gt;="&amp;J136,$D$18:$D$2015,"&lt;"&amp;J137))</f>
        <v/>
      </c>
      <c r="L136" s="14" t="n"/>
      <c r="M136" s="16" t="n"/>
      <c r="N136" s="124">
        <f>IF(M136="","",COUNTIFS($C$18:$C$2015,M$13,$D$18:$D$2015,"&gt;="&amp;M136,$D$18:$D$2015,"&lt;"&amp;M137))</f>
        <v/>
      </c>
      <c r="O136" s="14" t="n"/>
      <c r="P136" s="16" t="n"/>
      <c r="Q136" s="124">
        <f>IF(P136="","",COUNTIFS($C$18:$C$2015,P$13,$D$18:$D$2015,"&gt;="&amp;P136,$D$18:$D$2015,"&lt;"&amp;P137))</f>
        <v/>
      </c>
      <c r="R136" s="14" t="n"/>
      <c r="S136" s="16" t="n"/>
      <c r="T136" s="124">
        <f>IF(S136="","",COUNTIFS($C$18:$C$2015,S$13,$D$18:$D$2015,"&gt;="&amp;S136,$D$18:$D$2015,"&lt;"&amp;S137))</f>
        <v/>
      </c>
      <c r="U136" s="14" t="n"/>
      <c r="V136" s="16" t="n"/>
      <c r="W136" s="124">
        <f>IF(V136="","",COUNTIFS($C$18:$C$2015,V$13,$D$18:$D$2015,"&gt;="&amp;V136,$D$18:$D$2015,"&lt;"&amp;V137))</f>
        <v/>
      </c>
      <c r="X136" s="14" t="n"/>
      <c r="Y136" s="16" t="n"/>
      <c r="Z136" s="124">
        <f>IF(Y136="","",COUNTIFS($C$18:$C$2015,Y$13,$D$18:$D$2015,"&gt;="&amp;Y136,$D$18:$D$2015,"&lt;"&amp;Y137))</f>
        <v/>
      </c>
      <c r="AA136" s="14" t="n"/>
      <c r="AB136" s="16" t="n"/>
      <c r="AC136" s="124">
        <f>IF(AB136="","",COUNTIFS($C$18:$C$2015,AB$13,$D$18:$D$2015,"&gt;="&amp;AB136,$D$18:$D$2015,"&lt;"&amp;AB137))</f>
        <v/>
      </c>
      <c r="AD136" s="14" t="n"/>
    </row>
    <row r="137">
      <c r="A137" s="58" t="n"/>
      <c r="B137" s="59" t="n"/>
      <c r="C137" s="59" t="n"/>
      <c r="E137" s="16" t="n"/>
      <c r="F137" s="13" t="n"/>
      <c r="G137" s="16" t="n"/>
      <c r="H137" s="124">
        <f>IF(G137="","",COUNTIFS($C$18:$C$2015,G$13,$D$18:$D$2015,"&gt;="&amp;G137,$D$18:$D$2015,"&lt;"&amp;G138))</f>
        <v/>
      </c>
      <c r="I137" s="14" t="n"/>
      <c r="J137" s="16" t="n"/>
      <c r="K137" s="124">
        <f>IF(J137="","",COUNTIFS($C$18:$C$2015,J$13,$D$18:$D$2015,"&gt;="&amp;J137,$D$18:$D$2015,"&lt;"&amp;J138))</f>
        <v/>
      </c>
      <c r="L137" s="14" t="n"/>
      <c r="M137" s="16" t="n"/>
      <c r="N137" s="124">
        <f>IF(M137="","",COUNTIFS($C$18:$C$2015,M$13,$D$18:$D$2015,"&gt;="&amp;M137,$D$18:$D$2015,"&lt;"&amp;M138))</f>
        <v/>
      </c>
      <c r="O137" s="14" t="n"/>
      <c r="P137" s="16" t="n"/>
      <c r="Q137" s="124">
        <f>IF(P137="","",COUNTIFS($C$18:$C$2015,P$13,$D$18:$D$2015,"&gt;="&amp;P137,$D$18:$D$2015,"&lt;"&amp;P138))</f>
        <v/>
      </c>
      <c r="R137" s="14" t="n"/>
      <c r="S137" s="16" t="n"/>
      <c r="T137" s="124">
        <f>IF(S137="","",COUNTIFS($C$18:$C$2015,S$13,$D$18:$D$2015,"&gt;="&amp;S137,$D$18:$D$2015,"&lt;"&amp;S138))</f>
        <v/>
      </c>
      <c r="U137" s="14" t="n"/>
      <c r="V137" s="16" t="n"/>
      <c r="W137" s="124">
        <f>IF(V137="","",COUNTIFS($C$18:$C$2015,V$13,$D$18:$D$2015,"&gt;="&amp;V137,$D$18:$D$2015,"&lt;"&amp;V138))</f>
        <v/>
      </c>
      <c r="X137" s="14" t="n"/>
      <c r="Y137" s="16" t="n"/>
      <c r="Z137" s="124">
        <f>IF(Y137="","",COUNTIFS($C$18:$C$2015,Y$13,$D$18:$D$2015,"&gt;="&amp;Y137,$D$18:$D$2015,"&lt;"&amp;Y138))</f>
        <v/>
      </c>
      <c r="AA137" s="14" t="n"/>
      <c r="AB137" s="16" t="n"/>
      <c r="AC137" s="124">
        <f>IF(AB137="","",COUNTIFS($C$18:$C$2015,AB$13,$D$18:$D$2015,"&gt;="&amp;AB137,$D$18:$D$2015,"&lt;"&amp;AB138))</f>
        <v/>
      </c>
      <c r="AD137" s="14" t="n"/>
    </row>
    <row r="138">
      <c r="A138" s="56" t="n"/>
      <c r="B138" s="57" t="n"/>
      <c r="C138" s="59" t="n"/>
      <c r="E138" s="16" t="n"/>
      <c r="F138" s="13" t="n"/>
      <c r="G138" s="16" t="n"/>
      <c r="H138" s="124">
        <f>IF(G138="","",COUNTIFS($C$18:$C$2015,G$13,$D$18:$D$2015,"&gt;="&amp;G138,$D$18:$D$2015,"&lt;"&amp;G139))</f>
        <v/>
      </c>
      <c r="I138" s="14" t="n"/>
      <c r="J138" s="16" t="n"/>
      <c r="K138" s="124">
        <f>IF(J138="","",COUNTIFS($C$18:$C$2015,J$13,$D$18:$D$2015,"&gt;="&amp;J138,$D$18:$D$2015,"&lt;"&amp;J139))</f>
        <v/>
      </c>
      <c r="L138" s="14" t="n"/>
      <c r="M138" s="16" t="n"/>
      <c r="N138" s="124">
        <f>IF(M138="","",COUNTIFS($C$18:$C$2015,M$13,$D$18:$D$2015,"&gt;="&amp;M138,$D$18:$D$2015,"&lt;"&amp;M139))</f>
        <v/>
      </c>
      <c r="O138" s="14" t="n"/>
      <c r="P138" s="16" t="n"/>
      <c r="Q138" s="124">
        <f>IF(P138="","",COUNTIFS($C$18:$C$2015,P$13,$D$18:$D$2015,"&gt;="&amp;P138,$D$18:$D$2015,"&lt;"&amp;P139))</f>
        <v/>
      </c>
      <c r="R138" s="14" t="n"/>
      <c r="S138" s="16" t="n"/>
      <c r="T138" s="124">
        <f>IF(S138="","",COUNTIFS($C$18:$C$2015,S$13,$D$18:$D$2015,"&gt;="&amp;S138,$D$18:$D$2015,"&lt;"&amp;S139))</f>
        <v/>
      </c>
      <c r="U138" s="14" t="n"/>
      <c r="V138" s="16" t="n"/>
      <c r="W138" s="124">
        <f>IF(V138="","",COUNTIFS($C$18:$C$2015,V$13,$D$18:$D$2015,"&gt;="&amp;V138,$D$18:$D$2015,"&lt;"&amp;V139))</f>
        <v/>
      </c>
      <c r="X138" s="14" t="n"/>
      <c r="Y138" s="16" t="n"/>
      <c r="Z138" s="124">
        <f>IF(Y138="","",COUNTIFS($C$18:$C$2015,Y$13,$D$18:$D$2015,"&gt;="&amp;Y138,$D$18:$D$2015,"&lt;"&amp;Y139))</f>
        <v/>
      </c>
      <c r="AA138" s="14" t="n"/>
      <c r="AB138" s="16" t="n"/>
      <c r="AC138" s="124">
        <f>IF(AB138="","",COUNTIFS($C$18:$C$2015,AB$13,$D$18:$D$2015,"&gt;="&amp;AB138,$D$18:$D$2015,"&lt;"&amp;AB139))</f>
        <v/>
      </c>
      <c r="AD138" s="14" t="n"/>
    </row>
    <row r="139">
      <c r="A139" s="58" t="n"/>
      <c r="B139" s="59" t="n"/>
      <c r="C139" s="59" t="n"/>
      <c r="E139" s="16" t="n"/>
      <c r="F139" s="13" t="n"/>
      <c r="G139" s="16" t="n"/>
      <c r="H139" s="124">
        <f>IF(G139="","",COUNTIFS($C$18:$C$2015,G$13,$D$18:$D$2015,"&gt;="&amp;G139,$D$18:$D$2015,"&lt;"&amp;G140))</f>
        <v/>
      </c>
      <c r="I139" s="14" t="n"/>
      <c r="J139" s="16" t="n"/>
      <c r="K139" s="124">
        <f>IF(J139="","",COUNTIFS($C$18:$C$2015,J$13,$D$18:$D$2015,"&gt;="&amp;J139,$D$18:$D$2015,"&lt;"&amp;J140))</f>
        <v/>
      </c>
      <c r="L139" s="14" t="n"/>
      <c r="M139" s="16" t="n"/>
      <c r="N139" s="124">
        <f>IF(M139="","",COUNTIFS($C$18:$C$2015,M$13,$D$18:$D$2015,"&gt;="&amp;M139,$D$18:$D$2015,"&lt;"&amp;M140))</f>
        <v/>
      </c>
      <c r="O139" s="14" t="n"/>
      <c r="P139" s="16" t="n"/>
      <c r="Q139" s="124">
        <f>IF(P139="","",COUNTIFS($C$18:$C$2015,P$13,$D$18:$D$2015,"&gt;="&amp;P139,$D$18:$D$2015,"&lt;"&amp;P140))</f>
        <v/>
      </c>
      <c r="R139" s="14" t="n"/>
      <c r="S139" s="16" t="n"/>
      <c r="T139" s="124">
        <f>IF(S139="","",COUNTIFS($C$18:$C$2015,S$13,$D$18:$D$2015,"&gt;="&amp;S139,$D$18:$D$2015,"&lt;"&amp;S140))</f>
        <v/>
      </c>
      <c r="U139" s="14" t="n"/>
      <c r="V139" s="16" t="n"/>
      <c r="W139" s="124">
        <f>IF(V139="","",COUNTIFS($C$18:$C$2015,V$13,$D$18:$D$2015,"&gt;="&amp;V139,$D$18:$D$2015,"&lt;"&amp;V140))</f>
        <v/>
      </c>
      <c r="X139" s="14" t="n"/>
      <c r="Y139" s="16" t="n"/>
      <c r="Z139" s="124">
        <f>IF(Y139="","",COUNTIFS($C$18:$C$2015,Y$13,$D$18:$D$2015,"&gt;="&amp;Y139,$D$18:$D$2015,"&lt;"&amp;Y140))</f>
        <v/>
      </c>
      <c r="AA139" s="14" t="n"/>
      <c r="AB139" s="16" t="n"/>
      <c r="AC139" s="124">
        <f>IF(AB139="","",COUNTIFS($C$18:$C$2015,AB$13,$D$18:$D$2015,"&gt;="&amp;AB139,$D$18:$D$2015,"&lt;"&amp;AB140))</f>
        <v/>
      </c>
      <c r="AD139" s="14" t="n"/>
    </row>
    <row r="140">
      <c r="A140" s="56" t="n"/>
      <c r="B140" s="57" t="n"/>
      <c r="C140" s="59" t="n"/>
      <c r="E140" s="16" t="n"/>
      <c r="F140" s="13" t="n"/>
      <c r="G140" s="16" t="n"/>
      <c r="H140" s="124">
        <f>IF(G140="","",COUNTIFS($C$18:$C$2015,G$13,$D$18:$D$2015,"&gt;="&amp;G140,$D$18:$D$2015,"&lt;"&amp;G141))</f>
        <v/>
      </c>
      <c r="I140" s="14" t="n"/>
      <c r="J140" s="16" t="n"/>
      <c r="K140" s="124">
        <f>IF(J140="","",COUNTIFS($C$18:$C$2015,J$13,$D$18:$D$2015,"&gt;="&amp;J140,$D$18:$D$2015,"&lt;"&amp;J141))</f>
        <v/>
      </c>
      <c r="L140" s="14" t="n"/>
      <c r="M140" s="16" t="n"/>
      <c r="N140" s="124">
        <f>IF(M140="","",COUNTIFS($C$18:$C$2015,M$13,$D$18:$D$2015,"&gt;="&amp;M140,$D$18:$D$2015,"&lt;"&amp;M141))</f>
        <v/>
      </c>
      <c r="O140" s="14" t="n"/>
      <c r="P140" s="16" t="n"/>
      <c r="Q140" s="124">
        <f>IF(P140="","",COUNTIFS($C$18:$C$2015,P$13,$D$18:$D$2015,"&gt;="&amp;P140,$D$18:$D$2015,"&lt;"&amp;P141))</f>
        <v/>
      </c>
      <c r="R140" s="14" t="n"/>
      <c r="S140" s="16" t="n"/>
      <c r="T140" s="124">
        <f>IF(S140="","",COUNTIFS($C$18:$C$2015,S$13,$D$18:$D$2015,"&gt;="&amp;S140,$D$18:$D$2015,"&lt;"&amp;S141))</f>
        <v/>
      </c>
      <c r="U140" s="14" t="n"/>
      <c r="V140" s="16" t="n"/>
      <c r="W140" s="124">
        <f>IF(V140="","",COUNTIFS($C$18:$C$2015,V$13,$D$18:$D$2015,"&gt;="&amp;V140,$D$18:$D$2015,"&lt;"&amp;V141))</f>
        <v/>
      </c>
      <c r="X140" s="14" t="n"/>
      <c r="Y140" s="16" t="n"/>
      <c r="Z140" s="124">
        <f>IF(Y140="","",COUNTIFS($C$18:$C$2015,Y$13,$D$18:$D$2015,"&gt;="&amp;Y140,$D$18:$D$2015,"&lt;"&amp;Y141))</f>
        <v/>
      </c>
      <c r="AA140" s="14" t="n"/>
      <c r="AB140" s="16" t="n"/>
      <c r="AC140" s="124">
        <f>IF(AB140="","",COUNTIFS($C$18:$C$2015,AB$13,$D$18:$D$2015,"&gt;="&amp;AB140,$D$18:$D$2015,"&lt;"&amp;AB141))</f>
        <v/>
      </c>
      <c r="AD140" s="14" t="n"/>
    </row>
    <row r="141">
      <c r="A141" s="58" t="n"/>
      <c r="B141" s="59" t="n"/>
      <c r="C141" s="59" t="n"/>
      <c r="E141" s="16" t="n"/>
      <c r="F141" s="13" t="n"/>
      <c r="G141" s="16" t="n"/>
      <c r="H141" s="124">
        <f>IF(G141="","",COUNTIFS($C$18:$C$2015,G$13,$D$18:$D$2015,"&gt;="&amp;G141,$D$18:$D$2015,"&lt;"&amp;G142))</f>
        <v/>
      </c>
      <c r="I141" s="14" t="n"/>
      <c r="J141" s="16" t="n"/>
      <c r="K141" s="124">
        <f>IF(J141="","",COUNTIFS($C$18:$C$2015,J$13,$D$18:$D$2015,"&gt;="&amp;J141,$D$18:$D$2015,"&lt;"&amp;J142))</f>
        <v/>
      </c>
      <c r="L141" s="14" t="n"/>
      <c r="M141" s="16" t="n"/>
      <c r="N141" s="124">
        <f>IF(M141="","",COUNTIFS($C$18:$C$2015,M$13,$D$18:$D$2015,"&gt;="&amp;M141,$D$18:$D$2015,"&lt;"&amp;M142))</f>
        <v/>
      </c>
      <c r="O141" s="14" t="n"/>
      <c r="P141" s="16" t="n"/>
      <c r="Q141" s="124">
        <f>IF(P141="","",COUNTIFS($C$18:$C$2015,P$13,$D$18:$D$2015,"&gt;="&amp;P141,$D$18:$D$2015,"&lt;"&amp;P142))</f>
        <v/>
      </c>
      <c r="R141" s="14" t="n"/>
      <c r="S141" s="16" t="n"/>
      <c r="T141" s="124">
        <f>IF(S141="","",COUNTIFS($C$18:$C$2015,S$13,$D$18:$D$2015,"&gt;="&amp;S141,$D$18:$D$2015,"&lt;"&amp;S142))</f>
        <v/>
      </c>
      <c r="U141" s="14" t="n"/>
      <c r="V141" s="16" t="n"/>
      <c r="W141" s="124">
        <f>IF(V141="","",COUNTIFS($C$18:$C$2015,V$13,$D$18:$D$2015,"&gt;="&amp;V141,$D$18:$D$2015,"&lt;"&amp;V142))</f>
        <v/>
      </c>
      <c r="X141" s="14" t="n"/>
      <c r="Y141" s="16" t="n"/>
      <c r="Z141" s="124">
        <f>IF(Y141="","",COUNTIFS($C$18:$C$2015,Y$13,$D$18:$D$2015,"&gt;="&amp;Y141,$D$18:$D$2015,"&lt;"&amp;Y142))</f>
        <v/>
      </c>
      <c r="AA141" s="14" t="n"/>
      <c r="AB141" s="16" t="n"/>
      <c r="AC141" s="124">
        <f>IF(AB141="","",COUNTIFS($C$18:$C$2015,AB$13,$D$18:$D$2015,"&gt;="&amp;AB141,$D$18:$D$2015,"&lt;"&amp;AB142))</f>
        <v/>
      </c>
      <c r="AD141" s="14" t="n"/>
    </row>
    <row r="142">
      <c r="A142" s="56" t="n"/>
      <c r="B142" s="57" t="n"/>
      <c r="C142" s="59" t="n"/>
      <c r="E142" s="16" t="n"/>
      <c r="F142" s="13" t="n"/>
      <c r="G142" s="16" t="n"/>
      <c r="H142" s="124">
        <f>IF(G142="","",COUNTIFS($C$18:$C$2015,G$13,$D$18:$D$2015,"&gt;="&amp;G142,$D$18:$D$2015,"&lt;"&amp;G143))</f>
        <v/>
      </c>
      <c r="I142" s="14" t="n"/>
      <c r="J142" s="16" t="n"/>
      <c r="K142" s="124">
        <f>IF(J142="","",COUNTIFS($C$18:$C$2015,J$13,$D$18:$D$2015,"&gt;="&amp;J142,$D$18:$D$2015,"&lt;"&amp;J143))</f>
        <v/>
      </c>
      <c r="L142" s="14" t="n"/>
      <c r="M142" s="16" t="n"/>
      <c r="N142" s="124">
        <f>IF(M142="","",COUNTIFS($C$18:$C$2015,M$13,$D$18:$D$2015,"&gt;="&amp;M142,$D$18:$D$2015,"&lt;"&amp;M143))</f>
        <v/>
      </c>
      <c r="O142" s="14" t="n"/>
      <c r="P142" s="16" t="n"/>
      <c r="Q142" s="124">
        <f>IF(P142="","",COUNTIFS($C$18:$C$2015,P$13,$D$18:$D$2015,"&gt;="&amp;P142,$D$18:$D$2015,"&lt;"&amp;P143))</f>
        <v/>
      </c>
      <c r="R142" s="14" t="n"/>
      <c r="S142" s="16" t="n"/>
      <c r="T142" s="124">
        <f>IF(S142="","",COUNTIFS($C$18:$C$2015,S$13,$D$18:$D$2015,"&gt;="&amp;S142,$D$18:$D$2015,"&lt;"&amp;S143))</f>
        <v/>
      </c>
      <c r="U142" s="14" t="n"/>
      <c r="V142" s="16" t="n"/>
      <c r="W142" s="124">
        <f>IF(V142="","",COUNTIFS($C$18:$C$2015,V$13,$D$18:$D$2015,"&gt;="&amp;V142,$D$18:$D$2015,"&lt;"&amp;V143))</f>
        <v/>
      </c>
      <c r="X142" s="14" t="n"/>
      <c r="Y142" s="16" t="n"/>
      <c r="Z142" s="124">
        <f>IF(Y142="","",COUNTIFS($C$18:$C$2015,Y$13,$D$18:$D$2015,"&gt;="&amp;Y142,$D$18:$D$2015,"&lt;"&amp;Y143))</f>
        <v/>
      </c>
      <c r="AA142" s="14" t="n"/>
      <c r="AB142" s="16" t="n"/>
      <c r="AC142" s="124">
        <f>IF(AB142="","",COUNTIFS($C$18:$C$2015,AB$13,$D$18:$D$2015,"&gt;="&amp;AB142,$D$18:$D$2015,"&lt;"&amp;AB143))</f>
        <v/>
      </c>
      <c r="AD142" s="14" t="n"/>
    </row>
    <row r="143">
      <c r="A143" s="58" t="n"/>
      <c r="B143" s="59" t="n"/>
      <c r="C143" s="59" t="n"/>
      <c r="E143" s="16" t="n"/>
      <c r="F143" s="13" t="n"/>
      <c r="G143" s="16" t="n"/>
      <c r="H143" s="124">
        <f>IF(G143="","",COUNTIFS($C$18:$C$2015,G$13,$D$18:$D$2015,"&gt;="&amp;G143,$D$18:$D$2015,"&lt;"&amp;G144))</f>
        <v/>
      </c>
      <c r="I143" s="14" t="n"/>
      <c r="J143" s="16" t="n"/>
      <c r="K143" s="124">
        <f>IF(J143="","",COUNTIFS($C$18:$C$2015,J$13,$D$18:$D$2015,"&gt;="&amp;J143,$D$18:$D$2015,"&lt;"&amp;J144))</f>
        <v/>
      </c>
      <c r="L143" s="14" t="n"/>
      <c r="M143" s="16" t="n"/>
      <c r="N143" s="124">
        <f>IF(M143="","",COUNTIFS($C$18:$C$2015,M$13,$D$18:$D$2015,"&gt;="&amp;M143,$D$18:$D$2015,"&lt;"&amp;M144))</f>
        <v/>
      </c>
      <c r="O143" s="14" t="n"/>
      <c r="P143" s="16" t="n"/>
      <c r="Q143" s="124">
        <f>IF(P143="","",COUNTIFS($C$18:$C$2015,P$13,$D$18:$D$2015,"&gt;="&amp;P143,$D$18:$D$2015,"&lt;"&amp;P144))</f>
        <v/>
      </c>
      <c r="R143" s="14" t="n"/>
      <c r="S143" s="16" t="n"/>
      <c r="T143" s="124">
        <f>IF(S143="","",COUNTIFS($C$18:$C$2015,S$13,$D$18:$D$2015,"&gt;="&amp;S143,$D$18:$D$2015,"&lt;"&amp;S144))</f>
        <v/>
      </c>
      <c r="U143" s="14" t="n"/>
      <c r="V143" s="16" t="n"/>
      <c r="W143" s="124">
        <f>IF(V143="","",COUNTIFS($C$18:$C$2015,V$13,$D$18:$D$2015,"&gt;="&amp;V143,$D$18:$D$2015,"&lt;"&amp;V144))</f>
        <v/>
      </c>
      <c r="X143" s="14" t="n"/>
      <c r="Y143" s="16" t="n"/>
      <c r="Z143" s="124">
        <f>IF(Y143="","",COUNTIFS($C$18:$C$2015,Y$13,$D$18:$D$2015,"&gt;="&amp;Y143,$D$18:$D$2015,"&lt;"&amp;Y144))</f>
        <v/>
      </c>
      <c r="AA143" s="14" t="n"/>
      <c r="AB143" s="16" t="n"/>
      <c r="AC143" s="124">
        <f>IF(AB143="","",COUNTIFS($C$18:$C$2015,AB$13,$D$18:$D$2015,"&gt;="&amp;AB143,$D$18:$D$2015,"&lt;"&amp;AB144))</f>
        <v/>
      </c>
      <c r="AD143" s="14" t="n"/>
    </row>
    <row r="144">
      <c r="A144" s="56" t="n"/>
      <c r="B144" s="57" t="n"/>
      <c r="C144" s="59" t="n"/>
      <c r="E144" s="16" t="n"/>
      <c r="F144" s="13" t="n"/>
      <c r="G144" s="16" t="n"/>
      <c r="H144" s="124">
        <f>IF(G144="","",COUNTIFS($C$18:$C$2015,G$13,$D$18:$D$2015,"&gt;="&amp;G144,$D$18:$D$2015,"&lt;"&amp;G145))</f>
        <v/>
      </c>
      <c r="I144" s="14" t="n"/>
      <c r="J144" s="16" t="n"/>
      <c r="K144" s="124">
        <f>IF(J144="","",COUNTIFS($C$18:$C$2015,J$13,$D$18:$D$2015,"&gt;="&amp;J144,$D$18:$D$2015,"&lt;"&amp;J145))</f>
        <v/>
      </c>
      <c r="L144" s="14" t="n"/>
      <c r="M144" s="16" t="n"/>
      <c r="N144" s="124">
        <f>IF(M144="","",COUNTIFS($C$18:$C$2015,M$13,$D$18:$D$2015,"&gt;="&amp;M144,$D$18:$D$2015,"&lt;"&amp;M145))</f>
        <v/>
      </c>
      <c r="O144" s="14" t="n"/>
      <c r="P144" s="16" t="n"/>
      <c r="Q144" s="124">
        <f>IF(P144="","",COUNTIFS($C$18:$C$2015,P$13,$D$18:$D$2015,"&gt;="&amp;P144,$D$18:$D$2015,"&lt;"&amp;P145))</f>
        <v/>
      </c>
      <c r="R144" s="14" t="n"/>
      <c r="S144" s="16" t="n"/>
      <c r="T144" s="124">
        <f>IF(S144="","",COUNTIFS($C$18:$C$2015,S$13,$D$18:$D$2015,"&gt;="&amp;S144,$D$18:$D$2015,"&lt;"&amp;S145))</f>
        <v/>
      </c>
      <c r="U144" s="14" t="n"/>
      <c r="V144" s="16" t="n"/>
      <c r="W144" s="124">
        <f>IF(V144="","",COUNTIFS($C$18:$C$2015,V$13,$D$18:$D$2015,"&gt;="&amp;V144,$D$18:$D$2015,"&lt;"&amp;V145))</f>
        <v/>
      </c>
      <c r="X144" s="14" t="n"/>
      <c r="Y144" s="16" t="n"/>
      <c r="Z144" s="124">
        <f>IF(Y144="","",COUNTIFS($C$18:$C$2015,Y$13,$D$18:$D$2015,"&gt;="&amp;Y144,$D$18:$D$2015,"&lt;"&amp;Y145))</f>
        <v/>
      </c>
      <c r="AA144" s="14" t="n"/>
      <c r="AB144" s="16" t="n"/>
      <c r="AC144" s="124">
        <f>IF(AB144="","",COUNTIFS($C$18:$C$2015,AB$13,$D$18:$D$2015,"&gt;="&amp;AB144,$D$18:$D$2015,"&lt;"&amp;AB145))</f>
        <v/>
      </c>
      <c r="AD144" s="14" t="n"/>
    </row>
    <row r="145">
      <c r="A145" s="58" t="n"/>
      <c r="B145" s="59" t="n"/>
      <c r="C145" s="59" t="n"/>
      <c r="E145" s="16" t="n"/>
      <c r="F145" s="13" t="n"/>
      <c r="G145" s="16" t="n"/>
      <c r="H145" s="124">
        <f>IF(G145="","",COUNTIFS($C$18:$C$2015,G$13,$D$18:$D$2015,"&gt;="&amp;G145,$D$18:$D$2015,"&lt;"&amp;G146))</f>
        <v/>
      </c>
      <c r="I145" s="14" t="n"/>
      <c r="J145" s="16" t="n"/>
      <c r="K145" s="124">
        <f>IF(J145="","",COUNTIFS($C$18:$C$2015,J$13,$D$18:$D$2015,"&gt;="&amp;J145,$D$18:$D$2015,"&lt;"&amp;J146))</f>
        <v/>
      </c>
      <c r="L145" s="14" t="n"/>
      <c r="M145" s="16" t="n"/>
      <c r="N145" s="124">
        <f>IF(M145="","",COUNTIFS($C$18:$C$2015,M$13,$D$18:$D$2015,"&gt;="&amp;M145,$D$18:$D$2015,"&lt;"&amp;M146))</f>
        <v/>
      </c>
      <c r="O145" s="14" t="n"/>
      <c r="P145" s="16" t="n"/>
      <c r="Q145" s="124">
        <f>IF(P145="","",COUNTIFS($C$18:$C$2015,P$13,$D$18:$D$2015,"&gt;="&amp;P145,$D$18:$D$2015,"&lt;"&amp;P146))</f>
        <v/>
      </c>
      <c r="R145" s="14" t="n"/>
      <c r="S145" s="16" t="n"/>
      <c r="T145" s="124">
        <f>IF(S145="","",COUNTIFS($C$18:$C$2015,S$13,$D$18:$D$2015,"&gt;="&amp;S145,$D$18:$D$2015,"&lt;"&amp;S146))</f>
        <v/>
      </c>
      <c r="U145" s="14" t="n"/>
      <c r="V145" s="16" t="n"/>
      <c r="W145" s="124">
        <f>IF(V145="","",COUNTIFS($C$18:$C$2015,V$13,$D$18:$D$2015,"&gt;="&amp;V145,$D$18:$D$2015,"&lt;"&amp;V146))</f>
        <v/>
      </c>
      <c r="X145" s="14" t="n"/>
      <c r="Y145" s="16" t="n"/>
      <c r="Z145" s="124">
        <f>IF(Y145="","",COUNTIFS($C$18:$C$2015,Y$13,$D$18:$D$2015,"&gt;="&amp;Y145,$D$18:$D$2015,"&lt;"&amp;Y146))</f>
        <v/>
      </c>
      <c r="AA145" s="14" t="n"/>
      <c r="AB145" s="16" t="n"/>
      <c r="AC145" s="124">
        <f>IF(AB145="","",COUNTIFS($C$18:$C$2015,AB$13,$D$18:$D$2015,"&gt;="&amp;AB145,$D$18:$D$2015,"&lt;"&amp;AB146))</f>
        <v/>
      </c>
      <c r="AD145" s="14" t="n"/>
    </row>
    <row r="146">
      <c r="A146" s="56" t="n"/>
      <c r="B146" s="57" t="n"/>
      <c r="C146" s="59" t="n"/>
      <c r="E146" s="16" t="n"/>
      <c r="F146" s="13" t="n"/>
      <c r="G146" s="16" t="n"/>
      <c r="H146" s="124">
        <f>IF(G146="","",COUNTIFS($C$18:$C$2015,G$13,$D$18:$D$2015,"&gt;="&amp;G146,$D$18:$D$2015,"&lt;"&amp;G147))</f>
        <v/>
      </c>
      <c r="I146" s="14" t="n"/>
      <c r="J146" s="16" t="n"/>
      <c r="K146" s="124">
        <f>IF(J146="","",COUNTIFS($C$18:$C$2015,J$13,$D$18:$D$2015,"&gt;="&amp;J146,$D$18:$D$2015,"&lt;"&amp;J147))</f>
        <v/>
      </c>
      <c r="L146" s="14" t="n"/>
      <c r="M146" s="16" t="n"/>
      <c r="N146" s="124">
        <f>IF(M146="","",COUNTIFS($C$18:$C$2015,M$13,$D$18:$D$2015,"&gt;="&amp;M146,$D$18:$D$2015,"&lt;"&amp;M147))</f>
        <v/>
      </c>
      <c r="O146" s="14" t="n"/>
      <c r="P146" s="16" t="n"/>
      <c r="Q146" s="124">
        <f>IF(P146="","",COUNTIFS($C$18:$C$2015,P$13,$D$18:$D$2015,"&gt;="&amp;P146,$D$18:$D$2015,"&lt;"&amp;P147))</f>
        <v/>
      </c>
      <c r="R146" s="14" t="n"/>
      <c r="S146" s="16" t="n"/>
      <c r="T146" s="124">
        <f>IF(S146="","",COUNTIFS($C$18:$C$2015,S$13,$D$18:$D$2015,"&gt;="&amp;S146,$D$18:$D$2015,"&lt;"&amp;S147))</f>
        <v/>
      </c>
      <c r="U146" s="14" t="n"/>
      <c r="V146" s="16" t="n"/>
      <c r="W146" s="124">
        <f>IF(V146="","",COUNTIFS($C$18:$C$2015,V$13,$D$18:$D$2015,"&gt;="&amp;V146,$D$18:$D$2015,"&lt;"&amp;V147))</f>
        <v/>
      </c>
      <c r="X146" s="14" t="n"/>
      <c r="Y146" s="16" t="n"/>
      <c r="Z146" s="124">
        <f>IF(Y146="","",COUNTIFS($C$18:$C$2015,Y$13,$D$18:$D$2015,"&gt;="&amp;Y146,$D$18:$D$2015,"&lt;"&amp;Y147))</f>
        <v/>
      </c>
      <c r="AA146" s="14" t="n"/>
      <c r="AB146" s="16" t="n"/>
      <c r="AC146" s="124">
        <f>IF(AB146="","",COUNTIFS($C$18:$C$2015,AB$13,$D$18:$D$2015,"&gt;="&amp;AB146,$D$18:$D$2015,"&lt;"&amp;AB147))</f>
        <v/>
      </c>
      <c r="AD146" s="14" t="n"/>
    </row>
    <row r="147">
      <c r="A147" s="58" t="n"/>
      <c r="B147" s="59" t="n"/>
      <c r="C147" s="59" t="n"/>
      <c r="E147" s="16" t="n"/>
      <c r="F147" s="13" t="n"/>
      <c r="G147" s="16" t="n"/>
      <c r="H147" s="124">
        <f>IF(G147="","",COUNTIFS($C$18:$C$2015,G$13,$D$18:$D$2015,"&gt;="&amp;G147,$D$18:$D$2015,"&lt;"&amp;G148))</f>
        <v/>
      </c>
      <c r="I147" s="14" t="n"/>
      <c r="J147" s="16" t="n"/>
      <c r="K147" s="124">
        <f>IF(J147="","",COUNTIFS($C$18:$C$2015,J$13,$D$18:$D$2015,"&gt;="&amp;J147,$D$18:$D$2015,"&lt;"&amp;J148))</f>
        <v/>
      </c>
      <c r="L147" s="14" t="n"/>
      <c r="M147" s="16" t="n"/>
      <c r="N147" s="124">
        <f>IF(M147="","",COUNTIFS($C$18:$C$2015,M$13,$D$18:$D$2015,"&gt;="&amp;M147,$D$18:$D$2015,"&lt;"&amp;M148))</f>
        <v/>
      </c>
      <c r="O147" s="14" t="n"/>
      <c r="P147" s="16" t="n"/>
      <c r="Q147" s="124">
        <f>IF(P147="","",COUNTIFS($C$18:$C$2015,P$13,$D$18:$D$2015,"&gt;="&amp;P147,$D$18:$D$2015,"&lt;"&amp;P148))</f>
        <v/>
      </c>
      <c r="R147" s="14" t="n"/>
      <c r="S147" s="16" t="n"/>
      <c r="T147" s="124">
        <f>IF(S147="","",COUNTIFS($C$18:$C$2015,S$13,$D$18:$D$2015,"&gt;="&amp;S147,$D$18:$D$2015,"&lt;"&amp;S148))</f>
        <v/>
      </c>
      <c r="U147" s="14" t="n"/>
      <c r="V147" s="16" t="n"/>
      <c r="W147" s="124">
        <f>IF(V147="","",COUNTIFS($C$18:$C$2015,V$13,$D$18:$D$2015,"&gt;="&amp;V147,$D$18:$D$2015,"&lt;"&amp;V148))</f>
        <v/>
      </c>
      <c r="X147" s="14" t="n"/>
      <c r="Y147" s="16" t="n"/>
      <c r="Z147" s="124">
        <f>IF(Y147="","",COUNTIFS($C$18:$C$2015,Y$13,$D$18:$D$2015,"&gt;="&amp;Y147,$D$18:$D$2015,"&lt;"&amp;Y148))</f>
        <v/>
      </c>
      <c r="AA147" s="14" t="n"/>
      <c r="AB147" s="16" t="n"/>
      <c r="AC147" s="124">
        <f>IF(AB147="","",COUNTIFS($C$18:$C$2015,AB$13,$D$18:$D$2015,"&gt;="&amp;AB147,$D$18:$D$2015,"&lt;"&amp;AB148))</f>
        <v/>
      </c>
      <c r="AD147" s="14" t="n"/>
    </row>
    <row r="148">
      <c r="A148" s="56" t="n"/>
      <c r="B148" s="57" t="n"/>
      <c r="C148" s="59" t="n"/>
      <c r="E148" s="16" t="n"/>
      <c r="F148" s="13" t="n"/>
      <c r="G148" s="16" t="n"/>
      <c r="H148" s="124">
        <f>IF(G148="","",COUNTIFS($C$18:$C$2015,G$13,$D$18:$D$2015,"&gt;="&amp;G148,$D$18:$D$2015,"&lt;"&amp;G149))</f>
        <v/>
      </c>
      <c r="I148" s="14" t="n"/>
      <c r="J148" s="16" t="n"/>
      <c r="K148" s="124">
        <f>IF(J148="","",COUNTIFS($C$18:$C$2015,J$13,$D$18:$D$2015,"&gt;="&amp;J148,$D$18:$D$2015,"&lt;"&amp;J149))</f>
        <v/>
      </c>
      <c r="L148" s="14" t="n"/>
      <c r="M148" s="16" t="n"/>
      <c r="N148" s="124">
        <f>IF(M148="","",COUNTIFS($C$18:$C$2015,M$13,$D$18:$D$2015,"&gt;="&amp;M148,$D$18:$D$2015,"&lt;"&amp;M149))</f>
        <v/>
      </c>
      <c r="O148" s="14" t="n"/>
      <c r="P148" s="16" t="n"/>
      <c r="Q148" s="124">
        <f>IF(P148="","",COUNTIFS($C$18:$C$2015,P$13,$D$18:$D$2015,"&gt;="&amp;P148,$D$18:$D$2015,"&lt;"&amp;P149))</f>
        <v/>
      </c>
      <c r="R148" s="14" t="n"/>
      <c r="S148" s="16" t="n"/>
      <c r="T148" s="124">
        <f>IF(S148="","",COUNTIFS($C$18:$C$2015,S$13,$D$18:$D$2015,"&gt;="&amp;S148,$D$18:$D$2015,"&lt;"&amp;S149))</f>
        <v/>
      </c>
      <c r="U148" s="14" t="n"/>
      <c r="V148" s="16" t="n"/>
      <c r="W148" s="124">
        <f>IF(V148="","",COUNTIFS($C$18:$C$2015,V$13,$D$18:$D$2015,"&gt;="&amp;V148,$D$18:$D$2015,"&lt;"&amp;V149))</f>
        <v/>
      </c>
      <c r="X148" s="14" t="n"/>
      <c r="Y148" s="16" t="n"/>
      <c r="Z148" s="124">
        <f>IF(Y148="","",COUNTIFS($C$18:$C$2015,Y$13,$D$18:$D$2015,"&gt;="&amp;Y148,$D$18:$D$2015,"&lt;"&amp;Y149))</f>
        <v/>
      </c>
      <c r="AA148" s="14" t="n"/>
      <c r="AB148" s="16" t="n"/>
      <c r="AC148" s="124">
        <f>IF(AB148="","",COUNTIFS($C$18:$C$2015,AB$13,$D$18:$D$2015,"&gt;="&amp;AB148,$D$18:$D$2015,"&lt;"&amp;AB149))</f>
        <v/>
      </c>
      <c r="AD148" s="14" t="n"/>
    </row>
    <row r="149">
      <c r="A149" s="58" t="n"/>
      <c r="B149" s="59" t="n"/>
      <c r="C149" s="59" t="n"/>
      <c r="E149" s="16" t="n"/>
      <c r="F149" s="13" t="n"/>
      <c r="G149" s="16" t="n"/>
      <c r="H149" s="124">
        <f>IF(G149="","",COUNTIFS($C$18:$C$2015,G$13,$D$18:$D$2015,"&gt;="&amp;G149,$D$18:$D$2015,"&lt;"&amp;G150))</f>
        <v/>
      </c>
      <c r="I149" s="14" t="n"/>
      <c r="J149" s="16" t="n"/>
      <c r="K149" s="124">
        <f>IF(J149="","",COUNTIFS($C$18:$C$2015,J$13,$D$18:$D$2015,"&gt;="&amp;J149,$D$18:$D$2015,"&lt;"&amp;J150))</f>
        <v/>
      </c>
      <c r="L149" s="14" t="n"/>
      <c r="M149" s="16" t="n"/>
      <c r="N149" s="124">
        <f>IF(M149="","",COUNTIFS($C$18:$C$2015,M$13,$D$18:$D$2015,"&gt;="&amp;M149,$D$18:$D$2015,"&lt;"&amp;M150))</f>
        <v/>
      </c>
      <c r="O149" s="14" t="n"/>
      <c r="P149" s="16" t="n"/>
      <c r="Q149" s="124">
        <f>IF(P149="","",COUNTIFS($C$18:$C$2015,P$13,$D$18:$D$2015,"&gt;="&amp;P149,$D$18:$D$2015,"&lt;"&amp;P150))</f>
        <v/>
      </c>
      <c r="R149" s="14" t="n"/>
      <c r="S149" s="16" t="n"/>
      <c r="T149" s="124">
        <f>IF(S149="","",COUNTIFS($C$18:$C$2015,S$13,$D$18:$D$2015,"&gt;="&amp;S149,$D$18:$D$2015,"&lt;"&amp;S150))</f>
        <v/>
      </c>
      <c r="U149" s="14" t="n"/>
      <c r="V149" s="16" t="n"/>
      <c r="W149" s="124">
        <f>IF(V149="","",COUNTIFS($C$18:$C$2015,V$13,$D$18:$D$2015,"&gt;="&amp;V149,$D$18:$D$2015,"&lt;"&amp;V150))</f>
        <v/>
      </c>
      <c r="X149" s="14" t="n"/>
      <c r="Y149" s="16" t="n"/>
      <c r="Z149" s="124">
        <f>IF(Y149="","",COUNTIFS($C$18:$C$2015,Y$13,$D$18:$D$2015,"&gt;="&amp;Y149,$D$18:$D$2015,"&lt;"&amp;Y150))</f>
        <v/>
      </c>
      <c r="AA149" s="14" t="n"/>
      <c r="AB149" s="16" t="n"/>
      <c r="AC149" s="124">
        <f>IF(AB149="","",COUNTIFS($C$18:$C$2015,AB$13,$D$18:$D$2015,"&gt;="&amp;AB149,$D$18:$D$2015,"&lt;"&amp;AB150))</f>
        <v/>
      </c>
      <c r="AD149" s="14" t="n"/>
    </row>
    <row r="150">
      <c r="A150" s="56" t="n"/>
      <c r="B150" s="57" t="n"/>
      <c r="C150" s="59" t="n"/>
      <c r="E150" s="16" t="n"/>
      <c r="F150" s="13" t="n"/>
      <c r="G150" s="16" t="n"/>
      <c r="H150" s="124">
        <f>IF(G150="","",COUNTIFS($C$18:$C$2015,G$13,$D$18:$D$2015,"&gt;="&amp;G150,$D$18:$D$2015,"&lt;"&amp;G151))</f>
        <v/>
      </c>
      <c r="I150" s="14" t="n"/>
      <c r="J150" s="16" t="n"/>
      <c r="K150" s="124">
        <f>IF(J150="","",COUNTIFS($C$18:$C$2015,J$13,$D$18:$D$2015,"&gt;="&amp;J150,$D$18:$D$2015,"&lt;"&amp;J151))</f>
        <v/>
      </c>
      <c r="L150" s="14" t="n"/>
      <c r="M150" s="16" t="n"/>
      <c r="N150" s="124">
        <f>IF(M150="","",COUNTIFS($C$18:$C$2015,M$13,$D$18:$D$2015,"&gt;="&amp;M150,$D$18:$D$2015,"&lt;"&amp;M151))</f>
        <v/>
      </c>
      <c r="O150" s="14" t="n"/>
      <c r="P150" s="16" t="n"/>
      <c r="Q150" s="124">
        <f>IF(P150="","",COUNTIFS($C$18:$C$2015,P$13,$D$18:$D$2015,"&gt;="&amp;P150,$D$18:$D$2015,"&lt;"&amp;P151))</f>
        <v/>
      </c>
      <c r="R150" s="14" t="n"/>
      <c r="S150" s="16" t="n"/>
      <c r="T150" s="124">
        <f>IF(S150="","",COUNTIFS($C$18:$C$2015,S$13,$D$18:$D$2015,"&gt;="&amp;S150,$D$18:$D$2015,"&lt;"&amp;S151))</f>
        <v/>
      </c>
      <c r="U150" s="14" t="n"/>
      <c r="V150" s="16" t="n"/>
      <c r="W150" s="124">
        <f>IF(V150="","",COUNTIFS($C$18:$C$2015,V$13,$D$18:$D$2015,"&gt;="&amp;V150,$D$18:$D$2015,"&lt;"&amp;V151))</f>
        <v/>
      </c>
      <c r="X150" s="14" t="n"/>
      <c r="Y150" s="16" t="n"/>
      <c r="Z150" s="124">
        <f>IF(Y150="","",COUNTIFS($C$18:$C$2015,Y$13,$D$18:$D$2015,"&gt;="&amp;Y150,$D$18:$D$2015,"&lt;"&amp;Y151))</f>
        <v/>
      </c>
      <c r="AA150" s="14" t="n"/>
      <c r="AB150" s="16" t="n"/>
      <c r="AC150" s="124">
        <f>IF(AB150="","",COUNTIFS($C$18:$C$2015,AB$13,$D$18:$D$2015,"&gt;="&amp;AB150,$D$18:$D$2015,"&lt;"&amp;AB151))</f>
        <v/>
      </c>
      <c r="AD150" s="14" t="n"/>
    </row>
    <row r="151">
      <c r="A151" s="58" t="n"/>
      <c r="B151" s="59" t="n"/>
      <c r="C151" s="59" t="n"/>
      <c r="E151" s="16" t="n"/>
      <c r="F151" s="13" t="n"/>
      <c r="G151" s="16" t="n"/>
      <c r="H151" s="124">
        <f>IF(G151="","",COUNTIFS($C$18:$C$2015,G$13,$D$18:$D$2015,"&gt;="&amp;G151,$D$18:$D$2015,"&lt;"&amp;G152))</f>
        <v/>
      </c>
      <c r="I151" s="14" t="n"/>
      <c r="J151" s="16" t="n"/>
      <c r="K151" s="124">
        <f>IF(J151="","",COUNTIFS($C$18:$C$2015,J$13,$D$18:$D$2015,"&gt;="&amp;J151,$D$18:$D$2015,"&lt;"&amp;J152))</f>
        <v/>
      </c>
      <c r="L151" s="14" t="n"/>
      <c r="M151" s="16" t="n"/>
      <c r="N151" s="124">
        <f>IF(M151="","",COUNTIFS($C$18:$C$2015,M$13,$D$18:$D$2015,"&gt;="&amp;M151,$D$18:$D$2015,"&lt;"&amp;M152))</f>
        <v/>
      </c>
      <c r="O151" s="14" t="n"/>
      <c r="P151" s="16" t="n"/>
      <c r="Q151" s="124">
        <f>IF(P151="","",COUNTIFS($C$18:$C$2015,P$13,$D$18:$D$2015,"&gt;="&amp;P151,$D$18:$D$2015,"&lt;"&amp;P152))</f>
        <v/>
      </c>
      <c r="R151" s="14" t="n"/>
      <c r="S151" s="16" t="n"/>
      <c r="T151" s="124">
        <f>IF(S151="","",COUNTIFS($C$18:$C$2015,S$13,$D$18:$D$2015,"&gt;="&amp;S151,$D$18:$D$2015,"&lt;"&amp;S152))</f>
        <v/>
      </c>
      <c r="U151" s="14" t="n"/>
      <c r="V151" s="16" t="n"/>
      <c r="W151" s="124">
        <f>IF(V151="","",COUNTIFS($C$18:$C$2015,V$13,$D$18:$D$2015,"&gt;="&amp;V151,$D$18:$D$2015,"&lt;"&amp;V152))</f>
        <v/>
      </c>
      <c r="X151" s="14" t="n"/>
      <c r="Y151" s="16" t="n"/>
      <c r="Z151" s="124">
        <f>IF(Y151="","",COUNTIFS($C$18:$C$2015,Y$13,$D$18:$D$2015,"&gt;="&amp;Y151,$D$18:$D$2015,"&lt;"&amp;Y152))</f>
        <v/>
      </c>
      <c r="AA151" s="14" t="n"/>
      <c r="AB151" s="16" t="n"/>
      <c r="AC151" s="124">
        <f>IF(AB151="","",COUNTIFS($C$18:$C$2015,AB$13,$D$18:$D$2015,"&gt;="&amp;AB151,$D$18:$D$2015,"&lt;"&amp;AB152))</f>
        <v/>
      </c>
      <c r="AD151" s="14" t="n"/>
    </row>
    <row r="152">
      <c r="A152" s="56" t="n"/>
      <c r="B152" s="57" t="n"/>
      <c r="C152" s="59" t="n"/>
      <c r="E152" s="16" t="n"/>
      <c r="F152" s="13" t="n"/>
      <c r="G152" s="16" t="n"/>
      <c r="H152" s="124">
        <f>IF(G152="","",COUNTIFS($C$18:$C$2015,G$13,$D$18:$D$2015,"&gt;="&amp;G152,$D$18:$D$2015,"&lt;"&amp;G153))</f>
        <v/>
      </c>
      <c r="I152" s="14" t="n"/>
      <c r="J152" s="16" t="n"/>
      <c r="K152" s="124">
        <f>IF(J152="","",COUNTIFS($C$18:$C$2015,J$13,$D$18:$D$2015,"&gt;="&amp;J152,$D$18:$D$2015,"&lt;"&amp;J153))</f>
        <v/>
      </c>
      <c r="L152" s="14" t="n"/>
      <c r="M152" s="16" t="n"/>
      <c r="N152" s="124">
        <f>IF(M152="","",COUNTIFS($C$18:$C$2015,M$13,$D$18:$D$2015,"&gt;="&amp;M152,$D$18:$D$2015,"&lt;"&amp;M153))</f>
        <v/>
      </c>
      <c r="O152" s="14" t="n"/>
      <c r="P152" s="16" t="n"/>
      <c r="Q152" s="124">
        <f>IF(P152="","",COUNTIFS($C$18:$C$2015,P$13,$D$18:$D$2015,"&gt;="&amp;P152,$D$18:$D$2015,"&lt;"&amp;P153))</f>
        <v/>
      </c>
      <c r="R152" s="14" t="n"/>
      <c r="S152" s="16" t="n"/>
      <c r="T152" s="124">
        <f>IF(S152="","",COUNTIFS($C$18:$C$2015,S$13,$D$18:$D$2015,"&gt;="&amp;S152,$D$18:$D$2015,"&lt;"&amp;S153))</f>
        <v/>
      </c>
      <c r="U152" s="14" t="n"/>
      <c r="V152" s="16" t="n"/>
      <c r="W152" s="124">
        <f>IF(V152="","",COUNTIFS($C$18:$C$2015,V$13,$D$18:$D$2015,"&gt;="&amp;V152,$D$18:$D$2015,"&lt;"&amp;V153))</f>
        <v/>
      </c>
      <c r="X152" s="14" t="n"/>
      <c r="Y152" s="16" t="n"/>
      <c r="Z152" s="124">
        <f>IF(Y152="","",COUNTIFS($C$18:$C$2015,Y$13,$D$18:$D$2015,"&gt;="&amp;Y152,$D$18:$D$2015,"&lt;"&amp;Y153))</f>
        <v/>
      </c>
      <c r="AA152" s="14" t="n"/>
      <c r="AB152" s="16" t="n"/>
      <c r="AC152" s="124">
        <f>IF(AB152="","",COUNTIFS($C$18:$C$2015,AB$13,$D$18:$D$2015,"&gt;="&amp;AB152,$D$18:$D$2015,"&lt;"&amp;AB153))</f>
        <v/>
      </c>
      <c r="AD152" s="14" t="n"/>
    </row>
    <row r="153">
      <c r="A153" s="58" t="n"/>
      <c r="B153" s="59" t="n"/>
      <c r="C153" s="59" t="n"/>
      <c r="E153" s="16" t="n"/>
      <c r="F153" s="13" t="n"/>
      <c r="G153" s="16" t="n"/>
      <c r="H153" s="124">
        <f>IF(G153="","",COUNTIFS($C$18:$C$2015,G$13,$D$18:$D$2015,"&gt;="&amp;G153,$D$18:$D$2015,"&lt;"&amp;G154))</f>
        <v/>
      </c>
      <c r="I153" s="14" t="n"/>
      <c r="J153" s="16" t="n"/>
      <c r="K153" s="124">
        <f>IF(J153="","",COUNTIFS($C$18:$C$2015,J$13,$D$18:$D$2015,"&gt;="&amp;J153,$D$18:$D$2015,"&lt;"&amp;J154))</f>
        <v/>
      </c>
      <c r="L153" s="14" t="n"/>
      <c r="M153" s="16" t="n"/>
      <c r="N153" s="124">
        <f>IF(M153="","",COUNTIFS($C$18:$C$2015,M$13,$D$18:$D$2015,"&gt;="&amp;M153,$D$18:$D$2015,"&lt;"&amp;M154))</f>
        <v/>
      </c>
      <c r="O153" s="14" t="n"/>
      <c r="P153" s="16" t="n"/>
      <c r="Q153" s="124">
        <f>IF(P153="","",COUNTIFS($C$18:$C$2015,P$13,$D$18:$D$2015,"&gt;="&amp;P153,$D$18:$D$2015,"&lt;"&amp;P154))</f>
        <v/>
      </c>
      <c r="R153" s="14" t="n"/>
      <c r="S153" s="16" t="n"/>
      <c r="T153" s="124">
        <f>IF(S153="","",COUNTIFS($C$18:$C$2015,S$13,$D$18:$D$2015,"&gt;="&amp;S153,$D$18:$D$2015,"&lt;"&amp;S154))</f>
        <v/>
      </c>
      <c r="U153" s="14" t="n"/>
      <c r="V153" s="16" t="n"/>
      <c r="W153" s="124">
        <f>IF(V153="","",COUNTIFS($C$18:$C$2015,V$13,$D$18:$D$2015,"&gt;="&amp;V153,$D$18:$D$2015,"&lt;"&amp;V154))</f>
        <v/>
      </c>
      <c r="X153" s="14" t="n"/>
      <c r="Y153" s="16" t="n"/>
      <c r="Z153" s="124">
        <f>IF(Y153="","",COUNTIFS($C$18:$C$2015,Y$13,$D$18:$D$2015,"&gt;="&amp;Y153,$D$18:$D$2015,"&lt;"&amp;Y154))</f>
        <v/>
      </c>
      <c r="AA153" s="14" t="n"/>
      <c r="AB153" s="16" t="n"/>
      <c r="AC153" s="124">
        <f>IF(AB153="","",COUNTIFS($C$18:$C$2015,AB$13,$D$18:$D$2015,"&gt;="&amp;AB153,$D$18:$D$2015,"&lt;"&amp;AB154))</f>
        <v/>
      </c>
      <c r="AD153" s="14" t="n"/>
    </row>
    <row r="154">
      <c r="A154" s="56" t="n"/>
      <c r="B154" s="57" t="n"/>
      <c r="C154" s="59" t="n"/>
      <c r="E154" s="16" t="n"/>
      <c r="F154" s="13" t="n"/>
      <c r="G154" s="16" t="n"/>
      <c r="H154" s="124">
        <f>IF(G154="","",COUNTIFS($C$18:$C$2015,G$13,$D$18:$D$2015,"&gt;="&amp;G154,$D$18:$D$2015,"&lt;"&amp;G155))</f>
        <v/>
      </c>
      <c r="I154" s="14" t="n"/>
      <c r="J154" s="16" t="n"/>
      <c r="K154" s="124">
        <f>IF(J154="","",COUNTIFS($C$18:$C$2015,J$13,$D$18:$D$2015,"&gt;="&amp;J154,$D$18:$D$2015,"&lt;"&amp;J155))</f>
        <v/>
      </c>
      <c r="L154" s="14" t="n"/>
      <c r="M154" s="16" t="n"/>
      <c r="N154" s="124">
        <f>IF(M154="","",COUNTIFS($C$18:$C$2015,M$13,$D$18:$D$2015,"&gt;="&amp;M154,$D$18:$D$2015,"&lt;"&amp;M155))</f>
        <v/>
      </c>
      <c r="O154" s="14" t="n"/>
      <c r="P154" s="16" t="n"/>
      <c r="Q154" s="124">
        <f>IF(P154="","",COUNTIFS($C$18:$C$2015,P$13,$D$18:$D$2015,"&gt;="&amp;P154,$D$18:$D$2015,"&lt;"&amp;P155))</f>
        <v/>
      </c>
      <c r="R154" s="14" t="n"/>
      <c r="S154" s="16" t="n"/>
      <c r="T154" s="124">
        <f>IF(S154="","",COUNTIFS($C$18:$C$2015,S$13,$D$18:$D$2015,"&gt;="&amp;S154,$D$18:$D$2015,"&lt;"&amp;S155))</f>
        <v/>
      </c>
      <c r="U154" s="14" t="n"/>
      <c r="V154" s="16" t="n"/>
      <c r="W154" s="124">
        <f>IF(V154="","",COUNTIFS($C$18:$C$2015,V$13,$D$18:$D$2015,"&gt;="&amp;V154,$D$18:$D$2015,"&lt;"&amp;V155))</f>
        <v/>
      </c>
      <c r="X154" s="14" t="n"/>
      <c r="Y154" s="16" t="n"/>
      <c r="Z154" s="124">
        <f>IF(Y154="","",COUNTIFS($C$18:$C$2015,Y$13,$D$18:$D$2015,"&gt;="&amp;Y154,$D$18:$D$2015,"&lt;"&amp;Y155))</f>
        <v/>
      </c>
      <c r="AA154" s="14" t="n"/>
      <c r="AB154" s="16" t="n"/>
      <c r="AC154" s="124">
        <f>IF(AB154="","",COUNTIFS($C$18:$C$2015,AB$13,$D$18:$D$2015,"&gt;="&amp;AB154,$D$18:$D$2015,"&lt;"&amp;AB155))</f>
        <v/>
      </c>
      <c r="AD154" s="14" t="n"/>
    </row>
    <row r="155">
      <c r="A155" s="58" t="n"/>
      <c r="B155" s="59" t="n"/>
      <c r="C155" s="59" t="n"/>
      <c r="E155" s="16" t="n"/>
      <c r="F155" s="13" t="n"/>
      <c r="G155" s="16" t="n"/>
      <c r="H155" s="124">
        <f>IF(G155="","",COUNTIFS($C$18:$C$2015,G$13,$D$18:$D$2015,"&gt;="&amp;G155,$D$18:$D$2015,"&lt;"&amp;G156))</f>
        <v/>
      </c>
      <c r="I155" s="14" t="n"/>
      <c r="J155" s="16" t="n"/>
      <c r="K155" s="124">
        <f>IF(J155="","",COUNTIFS($C$18:$C$2015,J$13,$D$18:$D$2015,"&gt;="&amp;J155,$D$18:$D$2015,"&lt;"&amp;J156))</f>
        <v/>
      </c>
      <c r="L155" s="14" t="n"/>
      <c r="M155" s="16" t="n"/>
      <c r="N155" s="124">
        <f>IF(M155="","",COUNTIFS($C$18:$C$2015,M$13,$D$18:$D$2015,"&gt;="&amp;M155,$D$18:$D$2015,"&lt;"&amp;M156))</f>
        <v/>
      </c>
      <c r="O155" s="14" t="n"/>
      <c r="P155" s="16" t="n"/>
      <c r="Q155" s="124">
        <f>IF(P155="","",COUNTIFS($C$18:$C$2015,P$13,$D$18:$D$2015,"&gt;="&amp;P155,$D$18:$D$2015,"&lt;"&amp;P156))</f>
        <v/>
      </c>
      <c r="R155" s="14" t="n"/>
      <c r="S155" s="16" t="n"/>
      <c r="T155" s="124">
        <f>IF(S155="","",COUNTIFS($C$18:$C$2015,S$13,$D$18:$D$2015,"&gt;="&amp;S155,$D$18:$D$2015,"&lt;"&amp;S156))</f>
        <v/>
      </c>
      <c r="U155" s="14" t="n"/>
      <c r="V155" s="16" t="n"/>
      <c r="W155" s="124">
        <f>IF(V155="","",COUNTIFS($C$18:$C$2015,V$13,$D$18:$D$2015,"&gt;="&amp;V155,$D$18:$D$2015,"&lt;"&amp;V156))</f>
        <v/>
      </c>
      <c r="X155" s="14" t="n"/>
      <c r="Y155" s="16" t="n"/>
      <c r="Z155" s="124">
        <f>IF(Y155="","",COUNTIFS($C$18:$C$2015,Y$13,$D$18:$D$2015,"&gt;="&amp;Y155,$D$18:$D$2015,"&lt;"&amp;Y156))</f>
        <v/>
      </c>
      <c r="AA155" s="14" t="n"/>
      <c r="AB155" s="16" t="n"/>
      <c r="AC155" s="124">
        <f>IF(AB155="","",COUNTIFS($C$18:$C$2015,AB$13,$D$18:$D$2015,"&gt;="&amp;AB155,$D$18:$D$2015,"&lt;"&amp;AB156))</f>
        <v/>
      </c>
      <c r="AD155" s="14" t="n"/>
    </row>
    <row r="156">
      <c r="A156" s="56" t="n"/>
      <c r="B156" s="57" t="n"/>
      <c r="C156" s="59" t="n"/>
      <c r="E156" s="16" t="n"/>
      <c r="F156" s="13" t="n"/>
      <c r="G156" s="16" t="n"/>
      <c r="H156" s="124">
        <f>IF(G156="","",COUNTIFS($C$18:$C$2015,G$13,$D$18:$D$2015,"&gt;="&amp;G156,$D$18:$D$2015,"&lt;"&amp;G157))</f>
        <v/>
      </c>
      <c r="I156" s="14" t="n"/>
      <c r="J156" s="16" t="n"/>
      <c r="K156" s="124">
        <f>IF(J156="","",COUNTIFS($C$18:$C$2015,J$13,$D$18:$D$2015,"&gt;="&amp;J156,$D$18:$D$2015,"&lt;"&amp;J157))</f>
        <v/>
      </c>
      <c r="L156" s="14" t="n"/>
      <c r="M156" s="16" t="n"/>
      <c r="N156" s="124">
        <f>IF(M156="","",COUNTIFS($C$18:$C$2015,M$13,$D$18:$D$2015,"&gt;="&amp;M156,$D$18:$D$2015,"&lt;"&amp;M157))</f>
        <v/>
      </c>
      <c r="O156" s="14" t="n"/>
      <c r="P156" s="16" t="n"/>
      <c r="Q156" s="124">
        <f>IF(P156="","",COUNTIFS($C$18:$C$2015,P$13,$D$18:$D$2015,"&gt;="&amp;P156,$D$18:$D$2015,"&lt;"&amp;P157))</f>
        <v/>
      </c>
      <c r="R156" s="14" t="n"/>
      <c r="S156" s="16" t="n"/>
      <c r="T156" s="124">
        <f>IF(S156="","",COUNTIFS($C$18:$C$2015,S$13,$D$18:$D$2015,"&gt;="&amp;S156,$D$18:$D$2015,"&lt;"&amp;S157))</f>
        <v/>
      </c>
      <c r="U156" s="14" t="n"/>
      <c r="V156" s="16" t="n"/>
      <c r="W156" s="124">
        <f>IF(V156="","",COUNTIFS($C$18:$C$2015,V$13,$D$18:$D$2015,"&gt;="&amp;V156,$D$18:$D$2015,"&lt;"&amp;V157))</f>
        <v/>
      </c>
      <c r="X156" s="14" t="n"/>
      <c r="Y156" s="16" t="n"/>
      <c r="Z156" s="124">
        <f>IF(Y156="","",COUNTIFS($C$18:$C$2015,Y$13,$D$18:$D$2015,"&gt;="&amp;Y156,$D$18:$D$2015,"&lt;"&amp;Y157))</f>
        <v/>
      </c>
      <c r="AA156" s="14" t="n"/>
      <c r="AB156" s="16" t="n"/>
      <c r="AC156" s="124">
        <f>IF(AB156="","",COUNTIFS($C$18:$C$2015,AB$13,$D$18:$D$2015,"&gt;="&amp;AB156,$D$18:$D$2015,"&lt;"&amp;AB157))</f>
        <v/>
      </c>
      <c r="AD156" s="14" t="n"/>
    </row>
    <row r="157">
      <c r="A157" s="58" t="n"/>
      <c r="B157" s="59" t="n"/>
      <c r="C157" s="59" t="n"/>
      <c r="E157" s="16" t="n"/>
      <c r="F157" s="13" t="n"/>
      <c r="G157" s="16" t="n"/>
      <c r="H157" s="124">
        <f>IF(G157="","",COUNTIFS($C$18:$C$2015,G$13,$D$18:$D$2015,"&gt;="&amp;G157,$D$18:$D$2015,"&lt;"&amp;G158))</f>
        <v/>
      </c>
      <c r="I157" s="14" t="n"/>
      <c r="J157" s="16" t="n"/>
      <c r="K157" s="124">
        <f>IF(J157="","",COUNTIFS($C$18:$C$2015,J$13,$D$18:$D$2015,"&gt;="&amp;J157,$D$18:$D$2015,"&lt;"&amp;J158))</f>
        <v/>
      </c>
      <c r="L157" s="14" t="n"/>
      <c r="M157" s="16" t="n"/>
      <c r="N157" s="124">
        <f>IF(M157="","",COUNTIFS($C$18:$C$2015,M$13,$D$18:$D$2015,"&gt;="&amp;M157,$D$18:$D$2015,"&lt;"&amp;M158))</f>
        <v/>
      </c>
      <c r="O157" s="14" t="n"/>
      <c r="P157" s="16" t="n"/>
      <c r="Q157" s="124">
        <f>IF(P157="","",COUNTIFS($C$18:$C$2015,P$13,$D$18:$D$2015,"&gt;="&amp;P157,$D$18:$D$2015,"&lt;"&amp;P158))</f>
        <v/>
      </c>
      <c r="R157" s="14" t="n"/>
      <c r="S157" s="16" t="n"/>
      <c r="T157" s="124">
        <f>IF(S157="","",COUNTIFS($C$18:$C$2015,S$13,$D$18:$D$2015,"&gt;="&amp;S157,$D$18:$D$2015,"&lt;"&amp;S158))</f>
        <v/>
      </c>
      <c r="U157" s="14" t="n"/>
      <c r="V157" s="16" t="n"/>
      <c r="W157" s="124">
        <f>IF(V157="","",COUNTIFS($C$18:$C$2015,V$13,$D$18:$D$2015,"&gt;="&amp;V157,$D$18:$D$2015,"&lt;"&amp;V158))</f>
        <v/>
      </c>
      <c r="X157" s="14" t="n"/>
      <c r="Y157" s="16" t="n"/>
      <c r="Z157" s="124">
        <f>IF(Y157="","",COUNTIFS($C$18:$C$2015,Y$13,$D$18:$D$2015,"&gt;="&amp;Y157,$D$18:$D$2015,"&lt;"&amp;Y158))</f>
        <v/>
      </c>
      <c r="AA157" s="14" t="n"/>
      <c r="AB157" s="16" t="n"/>
      <c r="AC157" s="124">
        <f>IF(AB157="","",COUNTIFS($C$18:$C$2015,AB$13,$D$18:$D$2015,"&gt;="&amp;AB157,$D$18:$D$2015,"&lt;"&amp;AB158))</f>
        <v/>
      </c>
      <c r="AD157" s="14" t="n"/>
    </row>
    <row r="158">
      <c r="A158" s="56" t="n"/>
      <c r="B158" s="57" t="n"/>
      <c r="C158" s="59" t="n"/>
      <c r="E158" s="16" t="n"/>
      <c r="F158" s="13" t="n"/>
      <c r="G158" s="16" t="n"/>
      <c r="H158" s="124">
        <f>IF(G158="","",COUNTIFS($C$18:$C$2015,G$13,$D$18:$D$2015,"&gt;="&amp;G158,$D$18:$D$2015,"&lt;"&amp;G159))</f>
        <v/>
      </c>
      <c r="I158" s="14" t="n"/>
      <c r="J158" s="16" t="n"/>
      <c r="K158" s="124">
        <f>IF(J158="","",COUNTIFS($C$18:$C$2015,J$13,$D$18:$D$2015,"&gt;="&amp;J158,$D$18:$D$2015,"&lt;"&amp;J159))</f>
        <v/>
      </c>
      <c r="L158" s="14" t="n"/>
      <c r="M158" s="16" t="n"/>
      <c r="N158" s="124">
        <f>IF(M158="","",COUNTIFS($C$18:$C$2015,M$13,$D$18:$D$2015,"&gt;="&amp;M158,$D$18:$D$2015,"&lt;"&amp;M159))</f>
        <v/>
      </c>
      <c r="O158" s="14" t="n"/>
      <c r="P158" s="16" t="n"/>
      <c r="Q158" s="124">
        <f>IF(P158="","",COUNTIFS($C$18:$C$2015,P$13,$D$18:$D$2015,"&gt;="&amp;P158,$D$18:$D$2015,"&lt;"&amp;P159))</f>
        <v/>
      </c>
      <c r="R158" s="14" t="n"/>
      <c r="S158" s="16" t="n"/>
      <c r="T158" s="124">
        <f>IF(S158="","",COUNTIFS($C$18:$C$2015,S$13,$D$18:$D$2015,"&gt;="&amp;S158,$D$18:$D$2015,"&lt;"&amp;S159))</f>
        <v/>
      </c>
      <c r="U158" s="14" t="n"/>
      <c r="V158" s="16" t="n"/>
      <c r="W158" s="124">
        <f>IF(V158="","",COUNTIFS($C$18:$C$2015,V$13,$D$18:$D$2015,"&gt;="&amp;V158,$D$18:$D$2015,"&lt;"&amp;V159))</f>
        <v/>
      </c>
      <c r="X158" s="14" t="n"/>
      <c r="Y158" s="16" t="n"/>
      <c r="Z158" s="124">
        <f>IF(Y158="","",COUNTIFS($C$18:$C$2015,Y$13,$D$18:$D$2015,"&gt;="&amp;Y158,$D$18:$D$2015,"&lt;"&amp;Y159))</f>
        <v/>
      </c>
      <c r="AA158" s="14" t="n"/>
      <c r="AB158" s="16" t="n"/>
      <c r="AC158" s="124">
        <f>IF(AB158="","",COUNTIFS($C$18:$C$2015,AB$13,$D$18:$D$2015,"&gt;="&amp;AB158,$D$18:$D$2015,"&lt;"&amp;AB159))</f>
        <v/>
      </c>
      <c r="AD158" s="14" t="n"/>
    </row>
    <row r="159">
      <c r="A159" s="58" t="n"/>
      <c r="B159" s="59" t="n"/>
      <c r="C159" s="59" t="n"/>
      <c r="E159" s="16" t="n"/>
      <c r="F159" s="13" t="n"/>
      <c r="G159" s="16" t="n"/>
      <c r="H159" s="124">
        <f>IF(G159="","",COUNTIFS($C$18:$C$2015,G$13,$D$18:$D$2015,"&gt;="&amp;G159,$D$18:$D$2015,"&lt;"&amp;G160))</f>
        <v/>
      </c>
      <c r="I159" s="14" t="n"/>
      <c r="J159" s="16" t="n"/>
      <c r="K159" s="124">
        <f>IF(J159="","",COUNTIFS($C$18:$C$2015,J$13,$D$18:$D$2015,"&gt;="&amp;J159,$D$18:$D$2015,"&lt;"&amp;J160))</f>
        <v/>
      </c>
      <c r="L159" s="14" t="n"/>
      <c r="M159" s="16" t="n"/>
      <c r="N159" s="124">
        <f>IF(M159="","",COUNTIFS($C$18:$C$2015,M$13,$D$18:$D$2015,"&gt;="&amp;M159,$D$18:$D$2015,"&lt;"&amp;M160))</f>
        <v/>
      </c>
      <c r="O159" s="14" t="n"/>
      <c r="P159" s="16" t="n"/>
      <c r="Q159" s="124">
        <f>IF(P159="","",COUNTIFS($C$18:$C$2015,P$13,$D$18:$D$2015,"&gt;="&amp;P159,$D$18:$D$2015,"&lt;"&amp;P160))</f>
        <v/>
      </c>
      <c r="R159" s="14" t="n"/>
      <c r="S159" s="16" t="n"/>
      <c r="T159" s="124">
        <f>IF(S159="","",COUNTIFS($C$18:$C$2015,S$13,$D$18:$D$2015,"&gt;="&amp;S159,$D$18:$D$2015,"&lt;"&amp;S160))</f>
        <v/>
      </c>
      <c r="U159" s="14" t="n"/>
      <c r="V159" s="16" t="n"/>
      <c r="W159" s="124">
        <f>IF(V159="","",COUNTIFS($C$18:$C$2015,V$13,$D$18:$D$2015,"&gt;="&amp;V159,$D$18:$D$2015,"&lt;"&amp;V160))</f>
        <v/>
      </c>
      <c r="X159" s="14" t="n"/>
      <c r="Y159" s="16" t="n"/>
      <c r="Z159" s="124">
        <f>IF(Y159="","",COUNTIFS($C$18:$C$2015,Y$13,$D$18:$D$2015,"&gt;="&amp;Y159,$D$18:$D$2015,"&lt;"&amp;Y160))</f>
        <v/>
      </c>
      <c r="AA159" s="14" t="n"/>
      <c r="AB159" s="16" t="n"/>
      <c r="AC159" s="124">
        <f>IF(AB159="","",COUNTIFS($C$18:$C$2015,AB$13,$D$18:$D$2015,"&gt;="&amp;AB159,$D$18:$D$2015,"&lt;"&amp;AB160))</f>
        <v/>
      </c>
      <c r="AD159" s="14" t="n"/>
    </row>
    <row r="160">
      <c r="A160" s="56" t="n"/>
      <c r="B160" s="57" t="n"/>
      <c r="C160" s="59" t="n"/>
      <c r="E160" s="16" t="n"/>
      <c r="F160" s="13" t="n"/>
      <c r="G160" s="16" t="n"/>
      <c r="H160" s="124">
        <f>IF(G160="","",COUNTIFS($C$18:$C$2015,G$13,$D$18:$D$2015,"&gt;="&amp;G160,$D$18:$D$2015,"&lt;"&amp;G161))</f>
        <v/>
      </c>
      <c r="I160" s="14" t="n"/>
      <c r="J160" s="16" t="n"/>
      <c r="K160" s="124">
        <f>IF(J160="","",COUNTIFS($C$18:$C$2015,J$13,$D$18:$D$2015,"&gt;="&amp;J160,$D$18:$D$2015,"&lt;"&amp;J161))</f>
        <v/>
      </c>
      <c r="L160" s="14" t="n"/>
      <c r="M160" s="16" t="n"/>
      <c r="N160" s="124">
        <f>IF(M160="","",COUNTIFS($C$18:$C$2015,M$13,$D$18:$D$2015,"&gt;="&amp;M160,$D$18:$D$2015,"&lt;"&amp;M161))</f>
        <v/>
      </c>
      <c r="O160" s="14" t="n"/>
      <c r="P160" s="16" t="n"/>
      <c r="Q160" s="124">
        <f>IF(P160="","",COUNTIFS($C$18:$C$2015,P$13,$D$18:$D$2015,"&gt;="&amp;P160,$D$18:$D$2015,"&lt;"&amp;P161))</f>
        <v/>
      </c>
      <c r="R160" s="14" t="n"/>
      <c r="S160" s="16" t="n"/>
      <c r="T160" s="124">
        <f>IF(S160="","",COUNTIFS($C$18:$C$2015,S$13,$D$18:$D$2015,"&gt;="&amp;S160,$D$18:$D$2015,"&lt;"&amp;S161))</f>
        <v/>
      </c>
      <c r="U160" s="14" t="n"/>
      <c r="V160" s="16" t="n"/>
      <c r="W160" s="124">
        <f>IF(V160="","",COUNTIFS($C$18:$C$2015,V$13,$D$18:$D$2015,"&gt;="&amp;V160,$D$18:$D$2015,"&lt;"&amp;V161))</f>
        <v/>
      </c>
      <c r="X160" s="14" t="n"/>
      <c r="Y160" s="16" t="n"/>
      <c r="Z160" s="124">
        <f>IF(Y160="","",COUNTIFS($C$18:$C$2015,Y$13,$D$18:$D$2015,"&gt;="&amp;Y160,$D$18:$D$2015,"&lt;"&amp;Y161))</f>
        <v/>
      </c>
      <c r="AA160" s="14" t="n"/>
      <c r="AB160" s="16" t="n"/>
      <c r="AC160" s="124">
        <f>IF(AB160="","",COUNTIFS($C$18:$C$2015,AB$13,$D$18:$D$2015,"&gt;="&amp;AB160,$D$18:$D$2015,"&lt;"&amp;AB161))</f>
        <v/>
      </c>
      <c r="AD160" s="14" t="n"/>
    </row>
    <row r="161">
      <c r="A161" s="58" t="n"/>
      <c r="B161" s="59" t="n"/>
      <c r="C161" s="59" t="n"/>
      <c r="E161" s="16" t="n"/>
      <c r="F161" s="13" t="n"/>
      <c r="G161" s="16" t="n"/>
      <c r="H161" s="124">
        <f>IF(G161="","",COUNTIFS($C$18:$C$2015,G$13,$D$18:$D$2015,"&gt;="&amp;G161,$D$18:$D$2015,"&lt;"&amp;G162))</f>
        <v/>
      </c>
      <c r="I161" s="14" t="n"/>
      <c r="J161" s="16" t="n"/>
      <c r="K161" s="124">
        <f>IF(J161="","",COUNTIFS($C$18:$C$2015,J$13,$D$18:$D$2015,"&gt;="&amp;J161,$D$18:$D$2015,"&lt;"&amp;J162))</f>
        <v/>
      </c>
      <c r="L161" s="14" t="n"/>
      <c r="M161" s="16" t="n"/>
      <c r="N161" s="124">
        <f>IF(M161="","",COUNTIFS($C$18:$C$2015,M$13,$D$18:$D$2015,"&gt;="&amp;M161,$D$18:$D$2015,"&lt;"&amp;M162))</f>
        <v/>
      </c>
      <c r="O161" s="14" t="n"/>
      <c r="P161" s="16" t="n"/>
      <c r="Q161" s="124">
        <f>IF(P161="","",COUNTIFS($C$18:$C$2015,P$13,$D$18:$D$2015,"&gt;="&amp;P161,$D$18:$D$2015,"&lt;"&amp;P162))</f>
        <v/>
      </c>
      <c r="R161" s="14" t="n"/>
      <c r="S161" s="16" t="n"/>
      <c r="T161" s="124">
        <f>IF(S161="","",COUNTIFS($C$18:$C$2015,S$13,$D$18:$D$2015,"&gt;="&amp;S161,$D$18:$D$2015,"&lt;"&amp;S162))</f>
        <v/>
      </c>
      <c r="U161" s="14" t="n"/>
      <c r="V161" s="16" t="n"/>
      <c r="W161" s="124">
        <f>IF(V161="","",COUNTIFS($C$18:$C$2015,V$13,$D$18:$D$2015,"&gt;="&amp;V161,$D$18:$D$2015,"&lt;"&amp;V162))</f>
        <v/>
      </c>
      <c r="X161" s="14" t="n"/>
      <c r="Y161" s="16" t="n"/>
      <c r="Z161" s="124">
        <f>IF(Y161="","",COUNTIFS($C$18:$C$2015,Y$13,$D$18:$D$2015,"&gt;="&amp;Y161,$D$18:$D$2015,"&lt;"&amp;Y162))</f>
        <v/>
      </c>
      <c r="AA161" s="14" t="n"/>
      <c r="AB161" s="16" t="n"/>
      <c r="AC161" s="124">
        <f>IF(AB161="","",COUNTIFS($C$18:$C$2015,AB$13,$D$18:$D$2015,"&gt;="&amp;AB161,$D$18:$D$2015,"&lt;"&amp;AB162))</f>
        <v/>
      </c>
      <c r="AD161" s="14" t="n"/>
    </row>
    <row r="162">
      <c r="A162" s="56" t="n"/>
      <c r="B162" s="57" t="n"/>
      <c r="C162" s="59" t="n"/>
      <c r="E162" s="16" t="n"/>
      <c r="F162" s="13" t="n"/>
      <c r="G162" s="16" t="n"/>
      <c r="H162" s="124">
        <f>IF(G162="","",COUNTIFS($C$18:$C$2015,G$13,$D$18:$D$2015,"&gt;="&amp;G162,$D$18:$D$2015,"&lt;"&amp;G163))</f>
        <v/>
      </c>
      <c r="I162" s="14" t="n"/>
      <c r="J162" s="16" t="n"/>
      <c r="K162" s="124">
        <f>IF(J162="","",COUNTIFS($C$18:$C$2015,J$13,$D$18:$D$2015,"&gt;="&amp;J162,$D$18:$D$2015,"&lt;"&amp;J163))</f>
        <v/>
      </c>
      <c r="L162" s="14" t="n"/>
      <c r="M162" s="16" t="n"/>
      <c r="N162" s="124">
        <f>IF(M162="","",COUNTIFS($C$18:$C$2015,M$13,$D$18:$D$2015,"&gt;="&amp;M162,$D$18:$D$2015,"&lt;"&amp;M163))</f>
        <v/>
      </c>
      <c r="O162" s="14" t="n"/>
      <c r="P162" s="16" t="n"/>
      <c r="Q162" s="124">
        <f>IF(P162="","",COUNTIFS($C$18:$C$2015,P$13,$D$18:$D$2015,"&gt;="&amp;P162,$D$18:$D$2015,"&lt;"&amp;P163))</f>
        <v/>
      </c>
      <c r="R162" s="14" t="n"/>
      <c r="S162" s="16" t="n"/>
      <c r="T162" s="124">
        <f>IF(S162="","",COUNTIFS($C$18:$C$2015,S$13,$D$18:$D$2015,"&gt;="&amp;S162,$D$18:$D$2015,"&lt;"&amp;S163))</f>
        <v/>
      </c>
      <c r="U162" s="14" t="n"/>
      <c r="V162" s="16" t="n"/>
      <c r="W162" s="124">
        <f>IF(V162="","",COUNTIFS($C$18:$C$2015,V$13,$D$18:$D$2015,"&gt;="&amp;V162,$D$18:$D$2015,"&lt;"&amp;V163))</f>
        <v/>
      </c>
      <c r="X162" s="14" t="n"/>
      <c r="Y162" s="16" t="n"/>
      <c r="Z162" s="124">
        <f>IF(Y162="","",COUNTIFS($C$18:$C$2015,Y$13,$D$18:$D$2015,"&gt;="&amp;Y162,$D$18:$D$2015,"&lt;"&amp;Y163))</f>
        <v/>
      </c>
      <c r="AA162" s="14" t="n"/>
      <c r="AB162" s="16" t="n"/>
      <c r="AC162" s="124">
        <f>IF(AB162="","",COUNTIFS($C$18:$C$2015,AB$13,$D$18:$D$2015,"&gt;="&amp;AB162,$D$18:$D$2015,"&lt;"&amp;AB163))</f>
        <v/>
      </c>
      <c r="AD162" s="14" t="n"/>
    </row>
    <row r="163">
      <c r="A163" s="58" t="n"/>
      <c r="B163" s="59" t="n"/>
      <c r="C163" s="59" t="n"/>
      <c r="E163" s="16" t="n"/>
      <c r="F163" s="13" t="n"/>
      <c r="G163" s="16" t="n"/>
      <c r="H163" s="124">
        <f>IF(G163="","",COUNTIFS($C$18:$C$2015,G$13,$D$18:$D$2015,"&gt;="&amp;G163,$D$18:$D$2015,"&lt;"&amp;G164))</f>
        <v/>
      </c>
      <c r="I163" s="14" t="n"/>
      <c r="J163" s="16" t="n"/>
      <c r="K163" s="124">
        <f>IF(J163="","",COUNTIFS($C$18:$C$2015,J$13,$D$18:$D$2015,"&gt;="&amp;J163,$D$18:$D$2015,"&lt;"&amp;J164))</f>
        <v/>
      </c>
      <c r="L163" s="14" t="n"/>
      <c r="M163" s="16" t="n"/>
      <c r="N163" s="124">
        <f>IF(M163="","",COUNTIFS($C$18:$C$2015,M$13,$D$18:$D$2015,"&gt;="&amp;M163,$D$18:$D$2015,"&lt;"&amp;M164))</f>
        <v/>
      </c>
      <c r="O163" s="14" t="n"/>
      <c r="P163" s="16" t="n"/>
      <c r="Q163" s="124">
        <f>IF(P163="","",COUNTIFS($C$18:$C$2015,P$13,$D$18:$D$2015,"&gt;="&amp;P163,$D$18:$D$2015,"&lt;"&amp;P164))</f>
        <v/>
      </c>
      <c r="R163" s="14" t="n"/>
      <c r="S163" s="16" t="n"/>
      <c r="T163" s="124">
        <f>IF(S163="","",COUNTIFS($C$18:$C$2015,S$13,$D$18:$D$2015,"&gt;="&amp;S163,$D$18:$D$2015,"&lt;"&amp;S164))</f>
        <v/>
      </c>
      <c r="U163" s="14" t="n"/>
      <c r="V163" s="16" t="n"/>
      <c r="W163" s="124">
        <f>IF(V163="","",COUNTIFS($C$18:$C$2015,V$13,$D$18:$D$2015,"&gt;="&amp;V163,$D$18:$D$2015,"&lt;"&amp;V164))</f>
        <v/>
      </c>
      <c r="X163" s="14" t="n"/>
      <c r="Y163" s="16" t="n"/>
      <c r="Z163" s="124">
        <f>IF(Y163="","",COUNTIFS($C$18:$C$2015,Y$13,$D$18:$D$2015,"&gt;="&amp;Y163,$D$18:$D$2015,"&lt;"&amp;Y164))</f>
        <v/>
      </c>
      <c r="AA163" s="14" t="n"/>
      <c r="AB163" s="16" t="n"/>
      <c r="AC163" s="124">
        <f>IF(AB163="","",COUNTIFS($C$18:$C$2015,AB$13,$D$18:$D$2015,"&gt;="&amp;AB163,$D$18:$D$2015,"&lt;"&amp;AB164))</f>
        <v/>
      </c>
      <c r="AD163" s="14" t="n"/>
    </row>
    <row r="164">
      <c r="A164" s="56" t="n"/>
      <c r="B164" s="57" t="n"/>
      <c r="C164" s="59" t="n"/>
      <c r="E164" s="16" t="n"/>
      <c r="F164" s="13" t="n"/>
      <c r="G164" s="16" t="n"/>
      <c r="H164" s="124">
        <f>IF(G164="","",COUNTIFS($C$18:$C$2015,G$13,$D$18:$D$2015,"&gt;="&amp;G164,$D$18:$D$2015,"&lt;"&amp;G165))</f>
        <v/>
      </c>
      <c r="I164" s="14" t="n"/>
      <c r="J164" s="16" t="n"/>
      <c r="K164" s="124">
        <f>IF(J164="","",COUNTIFS($C$18:$C$2015,J$13,$D$18:$D$2015,"&gt;="&amp;J164,$D$18:$D$2015,"&lt;"&amp;J165))</f>
        <v/>
      </c>
      <c r="L164" s="14" t="n"/>
      <c r="M164" s="16" t="n"/>
      <c r="N164" s="124">
        <f>IF(M164="","",COUNTIFS($C$18:$C$2015,M$13,$D$18:$D$2015,"&gt;="&amp;M164,$D$18:$D$2015,"&lt;"&amp;M165))</f>
        <v/>
      </c>
      <c r="O164" s="14" t="n"/>
      <c r="P164" s="16" t="n"/>
      <c r="Q164" s="124">
        <f>IF(P164="","",COUNTIFS($C$18:$C$2015,P$13,$D$18:$D$2015,"&gt;="&amp;P164,$D$18:$D$2015,"&lt;"&amp;P165))</f>
        <v/>
      </c>
      <c r="R164" s="14" t="n"/>
      <c r="S164" s="16" t="n"/>
      <c r="T164" s="124">
        <f>IF(S164="","",COUNTIFS($C$18:$C$2015,S$13,$D$18:$D$2015,"&gt;="&amp;S164,$D$18:$D$2015,"&lt;"&amp;S165))</f>
        <v/>
      </c>
      <c r="U164" s="14" t="n"/>
      <c r="V164" s="16" t="n"/>
      <c r="W164" s="124">
        <f>IF(V164="","",COUNTIFS($C$18:$C$2015,V$13,$D$18:$D$2015,"&gt;="&amp;V164,$D$18:$D$2015,"&lt;"&amp;V165))</f>
        <v/>
      </c>
      <c r="X164" s="14" t="n"/>
      <c r="Y164" s="16" t="n"/>
      <c r="Z164" s="124">
        <f>IF(Y164="","",COUNTIFS($C$18:$C$2015,Y$13,$D$18:$D$2015,"&gt;="&amp;Y164,$D$18:$D$2015,"&lt;"&amp;Y165))</f>
        <v/>
      </c>
      <c r="AA164" s="14" t="n"/>
      <c r="AB164" s="16" t="n"/>
      <c r="AC164" s="124">
        <f>IF(AB164="","",COUNTIFS($C$18:$C$2015,AB$13,$D$18:$D$2015,"&gt;="&amp;AB164,$D$18:$D$2015,"&lt;"&amp;AB165))</f>
        <v/>
      </c>
      <c r="AD164" s="14" t="n"/>
    </row>
    <row r="165">
      <c r="A165" s="58" t="n"/>
      <c r="B165" s="59" t="n"/>
      <c r="C165" s="59" t="n"/>
      <c r="E165" s="16" t="n"/>
      <c r="F165" s="13" t="n"/>
      <c r="G165" s="16" t="n"/>
      <c r="H165" s="124">
        <f>IF(G165="","",COUNTIFS($C$18:$C$2015,G$13,$D$18:$D$2015,"&gt;="&amp;G165,$D$18:$D$2015,"&lt;"&amp;G166))</f>
        <v/>
      </c>
      <c r="I165" s="14" t="n"/>
      <c r="J165" s="16" t="n"/>
      <c r="K165" s="124">
        <f>IF(J165="","",COUNTIFS($C$18:$C$2015,J$13,$D$18:$D$2015,"&gt;="&amp;J165,$D$18:$D$2015,"&lt;"&amp;J166))</f>
        <v/>
      </c>
      <c r="L165" s="14" t="n"/>
      <c r="M165" s="16" t="n"/>
      <c r="N165" s="124">
        <f>IF(M165="","",COUNTIFS($C$18:$C$2015,M$13,$D$18:$D$2015,"&gt;="&amp;M165,$D$18:$D$2015,"&lt;"&amp;M166))</f>
        <v/>
      </c>
      <c r="O165" s="14" t="n"/>
      <c r="P165" s="16" t="n"/>
      <c r="Q165" s="124">
        <f>IF(P165="","",COUNTIFS($C$18:$C$2015,P$13,$D$18:$D$2015,"&gt;="&amp;P165,$D$18:$D$2015,"&lt;"&amp;P166))</f>
        <v/>
      </c>
      <c r="R165" s="14" t="n"/>
      <c r="S165" s="16" t="n"/>
      <c r="T165" s="124">
        <f>IF(S165="","",COUNTIFS($C$18:$C$2015,S$13,$D$18:$D$2015,"&gt;="&amp;S165,$D$18:$D$2015,"&lt;"&amp;S166))</f>
        <v/>
      </c>
      <c r="U165" s="14" t="n"/>
      <c r="V165" s="16" t="n"/>
      <c r="W165" s="124">
        <f>IF(V165="","",COUNTIFS($C$18:$C$2015,V$13,$D$18:$D$2015,"&gt;="&amp;V165,$D$18:$D$2015,"&lt;"&amp;V166))</f>
        <v/>
      </c>
      <c r="X165" s="14" t="n"/>
      <c r="Y165" s="16" t="n"/>
      <c r="Z165" s="124">
        <f>IF(Y165="","",COUNTIFS($C$18:$C$2015,Y$13,$D$18:$D$2015,"&gt;="&amp;Y165,$D$18:$D$2015,"&lt;"&amp;Y166))</f>
        <v/>
      </c>
      <c r="AA165" s="14" t="n"/>
      <c r="AB165" s="16" t="n"/>
      <c r="AC165" s="124">
        <f>IF(AB165="","",COUNTIFS($C$18:$C$2015,AB$13,$D$18:$D$2015,"&gt;="&amp;AB165,$D$18:$D$2015,"&lt;"&amp;AB166))</f>
        <v/>
      </c>
      <c r="AD165" s="14" t="n"/>
    </row>
    <row r="166">
      <c r="A166" s="56" t="n"/>
      <c r="B166" s="57" t="n"/>
      <c r="C166" s="59" t="n"/>
      <c r="E166" s="16" t="n"/>
      <c r="F166" s="13" t="n"/>
      <c r="G166" s="16" t="n"/>
      <c r="H166" s="124">
        <f>IF(G166="","",COUNTIFS($C$18:$C$2015,G$13,$D$18:$D$2015,"&gt;="&amp;G166,$D$18:$D$2015,"&lt;"&amp;G167))</f>
        <v/>
      </c>
      <c r="I166" s="14" t="n"/>
      <c r="J166" s="16" t="n"/>
      <c r="K166" s="124">
        <f>IF(J166="","",COUNTIFS($C$18:$C$2015,J$13,$D$18:$D$2015,"&gt;="&amp;J166,$D$18:$D$2015,"&lt;"&amp;J167))</f>
        <v/>
      </c>
      <c r="L166" s="14" t="n"/>
      <c r="M166" s="16" t="n"/>
      <c r="N166" s="124">
        <f>IF(M166="","",COUNTIFS($C$18:$C$2015,M$13,$D$18:$D$2015,"&gt;="&amp;M166,$D$18:$D$2015,"&lt;"&amp;M167))</f>
        <v/>
      </c>
      <c r="O166" s="14" t="n"/>
      <c r="P166" s="16" t="n"/>
      <c r="Q166" s="124">
        <f>IF(P166="","",COUNTIFS($C$18:$C$2015,P$13,$D$18:$D$2015,"&gt;="&amp;P166,$D$18:$D$2015,"&lt;"&amp;P167))</f>
        <v/>
      </c>
      <c r="R166" s="14" t="n"/>
      <c r="S166" s="16" t="n"/>
      <c r="T166" s="124">
        <f>IF(S166="","",COUNTIFS($C$18:$C$2015,S$13,$D$18:$D$2015,"&gt;="&amp;S166,$D$18:$D$2015,"&lt;"&amp;S167))</f>
        <v/>
      </c>
      <c r="U166" s="14" t="n"/>
      <c r="V166" s="16" t="n"/>
      <c r="W166" s="124">
        <f>IF(V166="","",COUNTIFS($C$18:$C$2015,V$13,$D$18:$D$2015,"&gt;="&amp;V166,$D$18:$D$2015,"&lt;"&amp;V167))</f>
        <v/>
      </c>
      <c r="X166" s="14" t="n"/>
      <c r="Y166" s="16" t="n"/>
      <c r="Z166" s="124">
        <f>IF(Y166="","",COUNTIFS($C$18:$C$2015,Y$13,$D$18:$D$2015,"&gt;="&amp;Y166,$D$18:$D$2015,"&lt;"&amp;Y167))</f>
        <v/>
      </c>
      <c r="AA166" s="14" t="n"/>
      <c r="AB166" s="16" t="n"/>
      <c r="AC166" s="124">
        <f>IF(AB166="","",COUNTIFS($C$18:$C$2015,AB$13,$D$18:$D$2015,"&gt;="&amp;AB166,$D$18:$D$2015,"&lt;"&amp;AB167))</f>
        <v/>
      </c>
      <c r="AD166" s="14" t="n"/>
    </row>
    <row r="167">
      <c r="A167" s="58" t="n"/>
      <c r="B167" s="59" t="n"/>
      <c r="C167" s="59" t="n"/>
      <c r="E167" s="16" t="n"/>
      <c r="F167" s="13" t="n"/>
      <c r="G167" s="16" t="n"/>
      <c r="H167" s="124">
        <f>IF(G167="","",COUNTIFS($C$18:$C$2015,G$13,$D$18:$D$2015,"&gt;="&amp;G167,$D$18:$D$2015,"&lt;"&amp;G168))</f>
        <v/>
      </c>
      <c r="I167" s="14" t="n"/>
      <c r="J167" s="16" t="n"/>
      <c r="K167" s="124">
        <f>IF(J167="","",COUNTIFS($C$18:$C$2015,J$13,$D$18:$D$2015,"&gt;="&amp;J167,$D$18:$D$2015,"&lt;"&amp;J168))</f>
        <v/>
      </c>
      <c r="L167" s="14" t="n"/>
      <c r="M167" s="16" t="n"/>
      <c r="N167" s="124">
        <f>IF(M167="","",COUNTIFS($C$18:$C$2015,M$13,$D$18:$D$2015,"&gt;="&amp;M167,$D$18:$D$2015,"&lt;"&amp;M168))</f>
        <v/>
      </c>
      <c r="O167" s="14" t="n"/>
      <c r="P167" s="16" t="n"/>
      <c r="Q167" s="124">
        <f>IF(P167="","",COUNTIFS($C$18:$C$2015,P$13,$D$18:$D$2015,"&gt;="&amp;P167,$D$18:$D$2015,"&lt;"&amp;P168))</f>
        <v/>
      </c>
      <c r="R167" s="14" t="n"/>
      <c r="S167" s="16" t="n"/>
      <c r="T167" s="124">
        <f>IF(S167="","",COUNTIFS($C$18:$C$2015,S$13,$D$18:$D$2015,"&gt;="&amp;S167,$D$18:$D$2015,"&lt;"&amp;S168))</f>
        <v/>
      </c>
      <c r="U167" s="14" t="n"/>
      <c r="V167" s="16" t="n"/>
      <c r="W167" s="124">
        <f>IF(V167="","",COUNTIFS($C$18:$C$2015,V$13,$D$18:$D$2015,"&gt;="&amp;V167,$D$18:$D$2015,"&lt;"&amp;V168))</f>
        <v/>
      </c>
      <c r="X167" s="14" t="n"/>
      <c r="Y167" s="16" t="n"/>
      <c r="Z167" s="124">
        <f>IF(Y167="","",COUNTIFS($C$18:$C$2015,Y$13,$D$18:$D$2015,"&gt;="&amp;Y167,$D$18:$D$2015,"&lt;"&amp;Y168))</f>
        <v/>
      </c>
      <c r="AA167" s="14" t="n"/>
      <c r="AB167" s="16" t="n"/>
      <c r="AC167" s="124">
        <f>IF(AB167="","",COUNTIFS($C$18:$C$2015,AB$13,$D$18:$D$2015,"&gt;="&amp;AB167,$D$18:$D$2015,"&lt;"&amp;AB168))</f>
        <v/>
      </c>
      <c r="AD167" s="14" t="n"/>
    </row>
    <row r="168">
      <c r="A168" s="56" t="n"/>
      <c r="B168" s="57" t="n"/>
      <c r="C168" s="59" t="n"/>
      <c r="E168" s="16" t="n"/>
      <c r="F168" s="13" t="n"/>
      <c r="G168" s="16" t="n"/>
      <c r="H168" s="124">
        <f>IF(G168="","",COUNTIFS($C$18:$C$2015,G$13,$D$18:$D$2015,"&gt;="&amp;G168,$D$18:$D$2015,"&lt;"&amp;G169))</f>
        <v/>
      </c>
      <c r="I168" s="14" t="n"/>
      <c r="J168" s="16" t="n"/>
      <c r="K168" s="124">
        <f>IF(J168="","",COUNTIFS($C$18:$C$2015,J$13,$D$18:$D$2015,"&gt;="&amp;J168,$D$18:$D$2015,"&lt;"&amp;J169))</f>
        <v/>
      </c>
      <c r="L168" s="14" t="n"/>
      <c r="M168" s="16" t="n"/>
      <c r="N168" s="124">
        <f>IF(M168="","",COUNTIFS($C$18:$C$2015,M$13,$D$18:$D$2015,"&gt;="&amp;M168,$D$18:$D$2015,"&lt;"&amp;M169))</f>
        <v/>
      </c>
      <c r="O168" s="14" t="n"/>
      <c r="P168" s="16" t="n"/>
      <c r="Q168" s="124">
        <f>IF(P168="","",COUNTIFS($C$18:$C$2015,P$13,$D$18:$D$2015,"&gt;="&amp;P168,$D$18:$D$2015,"&lt;"&amp;P169))</f>
        <v/>
      </c>
      <c r="R168" s="14" t="n"/>
      <c r="S168" s="16" t="n"/>
      <c r="T168" s="124">
        <f>IF(S168="","",COUNTIFS($C$18:$C$2015,S$13,$D$18:$D$2015,"&gt;="&amp;S168,$D$18:$D$2015,"&lt;"&amp;S169))</f>
        <v/>
      </c>
      <c r="U168" s="14" t="n"/>
      <c r="V168" s="16" t="n"/>
      <c r="W168" s="124">
        <f>IF(V168="","",COUNTIFS($C$18:$C$2015,V$13,$D$18:$D$2015,"&gt;="&amp;V168,$D$18:$D$2015,"&lt;"&amp;V169))</f>
        <v/>
      </c>
      <c r="X168" s="14" t="n"/>
      <c r="Y168" s="16" t="n"/>
      <c r="Z168" s="124">
        <f>IF(Y168="","",COUNTIFS($C$18:$C$2015,Y$13,$D$18:$D$2015,"&gt;="&amp;Y168,$D$18:$D$2015,"&lt;"&amp;Y169))</f>
        <v/>
      </c>
      <c r="AA168" s="14" t="n"/>
      <c r="AB168" s="16" t="n"/>
      <c r="AC168" s="124">
        <f>IF(AB168="","",COUNTIFS($C$18:$C$2015,AB$13,$D$18:$D$2015,"&gt;="&amp;AB168,$D$18:$D$2015,"&lt;"&amp;AB169))</f>
        <v/>
      </c>
      <c r="AD168" s="14" t="n"/>
    </row>
    <row r="169">
      <c r="A169" s="58" t="n"/>
      <c r="B169" s="59" t="n"/>
      <c r="C169" s="59" t="n"/>
      <c r="E169" s="16" t="n"/>
      <c r="F169" s="13" t="n"/>
      <c r="G169" s="16" t="n"/>
      <c r="H169" s="124">
        <f>IF(G169="","",COUNTIFS($C$18:$C$2015,G$13,$D$18:$D$2015,"&gt;="&amp;G169,$D$18:$D$2015,"&lt;"&amp;G170))</f>
        <v/>
      </c>
      <c r="I169" s="14" t="n"/>
      <c r="J169" s="16" t="n"/>
      <c r="K169" s="124">
        <f>IF(J169="","",COUNTIFS($C$18:$C$2015,J$13,$D$18:$D$2015,"&gt;="&amp;J169,$D$18:$D$2015,"&lt;"&amp;J170))</f>
        <v/>
      </c>
      <c r="L169" s="14" t="n"/>
      <c r="M169" s="16" t="n"/>
      <c r="N169" s="124">
        <f>IF(M169="","",COUNTIFS($C$18:$C$2015,M$13,$D$18:$D$2015,"&gt;="&amp;M169,$D$18:$D$2015,"&lt;"&amp;M170))</f>
        <v/>
      </c>
      <c r="O169" s="14" t="n"/>
      <c r="P169" s="16" t="n"/>
      <c r="Q169" s="124">
        <f>IF(P169="","",COUNTIFS($C$18:$C$2015,P$13,$D$18:$D$2015,"&gt;="&amp;P169,$D$18:$D$2015,"&lt;"&amp;P170))</f>
        <v/>
      </c>
      <c r="R169" s="14" t="n"/>
      <c r="S169" s="16" t="n"/>
      <c r="T169" s="124">
        <f>IF(S169="","",COUNTIFS($C$18:$C$2015,S$13,$D$18:$D$2015,"&gt;="&amp;S169,$D$18:$D$2015,"&lt;"&amp;S170))</f>
        <v/>
      </c>
      <c r="U169" s="14" t="n"/>
      <c r="V169" s="16" t="n"/>
      <c r="W169" s="124">
        <f>IF(V169="","",COUNTIFS($C$18:$C$2015,V$13,$D$18:$D$2015,"&gt;="&amp;V169,$D$18:$D$2015,"&lt;"&amp;V170))</f>
        <v/>
      </c>
      <c r="X169" s="14" t="n"/>
      <c r="Y169" s="16" t="n"/>
      <c r="Z169" s="124">
        <f>IF(Y169="","",COUNTIFS($C$18:$C$2015,Y$13,$D$18:$D$2015,"&gt;="&amp;Y169,$D$18:$D$2015,"&lt;"&amp;Y170))</f>
        <v/>
      </c>
      <c r="AA169" s="14" t="n"/>
      <c r="AB169" s="16" t="n"/>
      <c r="AC169" s="124">
        <f>IF(AB169="","",COUNTIFS($C$18:$C$2015,AB$13,$D$18:$D$2015,"&gt;="&amp;AB169,$D$18:$D$2015,"&lt;"&amp;AB170))</f>
        <v/>
      </c>
      <c r="AD169" s="14" t="n"/>
    </row>
    <row r="170">
      <c r="A170" s="56" t="n"/>
      <c r="B170" s="57" t="n"/>
      <c r="C170" s="59" t="n"/>
      <c r="E170" s="16" t="n"/>
      <c r="F170" s="13" t="n"/>
      <c r="G170" s="16" t="n"/>
      <c r="H170" s="124">
        <f>IF(G170="","",COUNTIFS($C$18:$C$2015,G$13,$D$18:$D$2015,"&gt;="&amp;G170,$D$18:$D$2015,"&lt;"&amp;G171))</f>
        <v/>
      </c>
      <c r="I170" s="14" t="n"/>
      <c r="J170" s="16" t="n"/>
      <c r="K170" s="124">
        <f>IF(J170="","",COUNTIFS($C$18:$C$2015,J$13,$D$18:$D$2015,"&gt;="&amp;J170,$D$18:$D$2015,"&lt;"&amp;J171))</f>
        <v/>
      </c>
      <c r="L170" s="14" t="n"/>
      <c r="M170" s="16" t="n"/>
      <c r="N170" s="124">
        <f>IF(M170="","",COUNTIFS($C$18:$C$2015,M$13,$D$18:$D$2015,"&gt;="&amp;M170,$D$18:$D$2015,"&lt;"&amp;M171))</f>
        <v/>
      </c>
      <c r="O170" s="14" t="n"/>
      <c r="P170" s="16" t="n"/>
      <c r="Q170" s="124">
        <f>IF(P170="","",COUNTIFS($C$18:$C$2015,P$13,$D$18:$D$2015,"&gt;="&amp;P170,$D$18:$D$2015,"&lt;"&amp;P171))</f>
        <v/>
      </c>
      <c r="R170" s="14" t="n"/>
      <c r="S170" s="16" t="n"/>
      <c r="T170" s="124">
        <f>IF(S170="","",COUNTIFS($C$18:$C$2015,S$13,$D$18:$D$2015,"&gt;="&amp;S170,$D$18:$D$2015,"&lt;"&amp;S171))</f>
        <v/>
      </c>
      <c r="U170" s="14" t="n"/>
      <c r="V170" s="16" t="n"/>
      <c r="W170" s="124">
        <f>IF(V170="","",COUNTIFS($C$18:$C$2015,V$13,$D$18:$D$2015,"&gt;="&amp;V170,$D$18:$D$2015,"&lt;"&amp;V171))</f>
        <v/>
      </c>
      <c r="X170" s="14" t="n"/>
      <c r="Y170" s="16" t="n"/>
      <c r="Z170" s="124">
        <f>IF(Y170="","",COUNTIFS($C$18:$C$2015,Y$13,$D$18:$D$2015,"&gt;="&amp;Y170,$D$18:$D$2015,"&lt;"&amp;Y171))</f>
        <v/>
      </c>
      <c r="AA170" s="14" t="n"/>
      <c r="AB170" s="16" t="n"/>
      <c r="AC170" s="124">
        <f>IF(AB170="","",COUNTIFS($C$18:$C$2015,AB$13,$D$18:$D$2015,"&gt;="&amp;AB170,$D$18:$D$2015,"&lt;"&amp;AB171))</f>
        <v/>
      </c>
      <c r="AD170" s="14" t="n"/>
    </row>
    <row r="171">
      <c r="A171" s="58" t="n"/>
      <c r="B171" s="59" t="n"/>
      <c r="C171" s="59" t="n"/>
      <c r="E171" s="16" t="n"/>
      <c r="F171" s="13" t="n"/>
      <c r="G171" s="16" t="n"/>
      <c r="H171" s="124">
        <f>IF(G171="","",COUNTIFS($C$18:$C$2015,G$13,$D$18:$D$2015,"&gt;="&amp;G171,$D$18:$D$2015,"&lt;"&amp;G172))</f>
        <v/>
      </c>
      <c r="I171" s="14" t="n"/>
      <c r="J171" s="16" t="n"/>
      <c r="K171" s="124">
        <f>IF(J171="","",COUNTIFS($C$18:$C$2015,J$13,$D$18:$D$2015,"&gt;="&amp;J171,$D$18:$D$2015,"&lt;"&amp;J172))</f>
        <v/>
      </c>
      <c r="L171" s="14" t="n"/>
      <c r="M171" s="16" t="n"/>
      <c r="N171" s="124">
        <f>IF(M171="","",COUNTIFS($C$18:$C$2015,M$13,$D$18:$D$2015,"&gt;="&amp;M171,$D$18:$D$2015,"&lt;"&amp;M172))</f>
        <v/>
      </c>
      <c r="O171" s="14" t="n"/>
      <c r="P171" s="16" t="n"/>
      <c r="Q171" s="124">
        <f>IF(P171="","",COUNTIFS($C$18:$C$2015,P$13,$D$18:$D$2015,"&gt;="&amp;P171,$D$18:$D$2015,"&lt;"&amp;P172))</f>
        <v/>
      </c>
      <c r="R171" s="14" t="n"/>
      <c r="S171" s="16" t="n"/>
      <c r="T171" s="124">
        <f>IF(S171="","",COUNTIFS($C$18:$C$2015,S$13,$D$18:$D$2015,"&gt;="&amp;S171,$D$18:$D$2015,"&lt;"&amp;S172))</f>
        <v/>
      </c>
      <c r="U171" s="14" t="n"/>
      <c r="V171" s="16" t="n"/>
      <c r="W171" s="124">
        <f>IF(V171="","",COUNTIFS($C$18:$C$2015,V$13,$D$18:$D$2015,"&gt;="&amp;V171,$D$18:$D$2015,"&lt;"&amp;V172))</f>
        <v/>
      </c>
      <c r="X171" s="14" t="n"/>
      <c r="Y171" s="16" t="n"/>
      <c r="Z171" s="124">
        <f>IF(Y171="","",COUNTIFS($C$18:$C$2015,Y$13,$D$18:$D$2015,"&gt;="&amp;Y171,$D$18:$D$2015,"&lt;"&amp;Y172))</f>
        <v/>
      </c>
      <c r="AA171" s="14" t="n"/>
      <c r="AB171" s="16" t="n"/>
      <c r="AC171" s="124">
        <f>IF(AB171="","",COUNTIFS($C$18:$C$2015,AB$13,$D$18:$D$2015,"&gt;="&amp;AB171,$D$18:$D$2015,"&lt;"&amp;AB172))</f>
        <v/>
      </c>
      <c r="AD171" s="14" t="n"/>
    </row>
    <row r="172">
      <c r="A172" s="56" t="n"/>
      <c r="B172" s="57" t="n"/>
      <c r="C172" s="59" t="n"/>
      <c r="E172" s="16" t="n"/>
      <c r="F172" s="13" t="n"/>
      <c r="G172" s="16" t="n"/>
      <c r="H172" s="124">
        <f>IF(G172="","",COUNTIFS($C$18:$C$2015,G$13,$D$18:$D$2015,"&gt;="&amp;G172,$D$18:$D$2015,"&lt;"&amp;G173))</f>
        <v/>
      </c>
      <c r="I172" s="14" t="n"/>
      <c r="J172" s="16" t="n"/>
      <c r="K172" s="124">
        <f>IF(J172="","",COUNTIFS($C$18:$C$2015,J$13,$D$18:$D$2015,"&gt;="&amp;J172,$D$18:$D$2015,"&lt;"&amp;J173))</f>
        <v/>
      </c>
      <c r="L172" s="14" t="n"/>
      <c r="M172" s="16" t="n"/>
      <c r="N172" s="124">
        <f>IF(M172="","",COUNTIFS($C$18:$C$2015,M$13,$D$18:$D$2015,"&gt;="&amp;M172,$D$18:$D$2015,"&lt;"&amp;M173))</f>
        <v/>
      </c>
      <c r="O172" s="14" t="n"/>
      <c r="P172" s="16" t="n"/>
      <c r="Q172" s="124">
        <f>IF(P172="","",COUNTIFS($C$18:$C$2015,P$13,$D$18:$D$2015,"&gt;="&amp;P172,$D$18:$D$2015,"&lt;"&amp;P173))</f>
        <v/>
      </c>
      <c r="R172" s="14" t="n"/>
      <c r="S172" s="16" t="n"/>
      <c r="T172" s="124">
        <f>IF(S172="","",COUNTIFS($C$18:$C$2015,S$13,$D$18:$D$2015,"&gt;="&amp;S172,$D$18:$D$2015,"&lt;"&amp;S173))</f>
        <v/>
      </c>
      <c r="U172" s="14" t="n"/>
      <c r="V172" s="16" t="n"/>
      <c r="W172" s="124">
        <f>IF(V172="","",COUNTIFS($C$18:$C$2015,V$13,$D$18:$D$2015,"&gt;="&amp;V172,$D$18:$D$2015,"&lt;"&amp;V173))</f>
        <v/>
      </c>
      <c r="X172" s="14" t="n"/>
      <c r="Y172" s="16" t="n"/>
      <c r="Z172" s="124">
        <f>IF(Y172="","",COUNTIFS($C$18:$C$2015,Y$13,$D$18:$D$2015,"&gt;="&amp;Y172,$D$18:$D$2015,"&lt;"&amp;Y173))</f>
        <v/>
      </c>
      <c r="AA172" s="14" t="n"/>
      <c r="AB172" s="16" t="n"/>
      <c r="AC172" s="124">
        <f>IF(AB172="","",COUNTIFS($C$18:$C$2015,AB$13,$D$18:$D$2015,"&gt;="&amp;AB172,$D$18:$D$2015,"&lt;"&amp;AB173))</f>
        <v/>
      </c>
      <c r="AD172" s="14" t="n"/>
    </row>
    <row r="173">
      <c r="A173" s="58" t="n"/>
      <c r="B173" s="59" t="n"/>
      <c r="C173" s="59" t="n"/>
      <c r="E173" s="16" t="n"/>
      <c r="F173" s="13" t="n"/>
      <c r="G173" s="16" t="n"/>
      <c r="H173" s="124">
        <f>IF(G173="","",COUNTIFS($C$18:$C$2015,G$13,$D$18:$D$2015,"&gt;="&amp;G173,$D$18:$D$2015,"&lt;"&amp;G174))</f>
        <v/>
      </c>
      <c r="I173" s="14" t="n"/>
      <c r="J173" s="16" t="n"/>
      <c r="K173" s="124">
        <f>IF(J173="","",COUNTIFS($C$18:$C$2015,J$13,$D$18:$D$2015,"&gt;="&amp;J173,$D$18:$D$2015,"&lt;"&amp;J174))</f>
        <v/>
      </c>
      <c r="L173" s="14" t="n"/>
      <c r="M173" s="16" t="n"/>
      <c r="N173" s="124">
        <f>IF(M173="","",COUNTIFS($C$18:$C$2015,M$13,$D$18:$D$2015,"&gt;="&amp;M173,$D$18:$D$2015,"&lt;"&amp;M174))</f>
        <v/>
      </c>
      <c r="O173" s="14" t="n"/>
      <c r="P173" s="16" t="n"/>
      <c r="Q173" s="124">
        <f>IF(P173="","",COUNTIFS($C$18:$C$2015,P$13,$D$18:$D$2015,"&gt;="&amp;P173,$D$18:$D$2015,"&lt;"&amp;P174))</f>
        <v/>
      </c>
      <c r="R173" s="14" t="n"/>
      <c r="S173" s="16" t="n"/>
      <c r="T173" s="124">
        <f>IF(S173="","",COUNTIFS($C$18:$C$2015,S$13,$D$18:$D$2015,"&gt;="&amp;S173,$D$18:$D$2015,"&lt;"&amp;S174))</f>
        <v/>
      </c>
      <c r="U173" s="14" t="n"/>
      <c r="V173" s="16" t="n"/>
      <c r="W173" s="124">
        <f>IF(V173="","",COUNTIFS($C$18:$C$2015,V$13,$D$18:$D$2015,"&gt;="&amp;V173,$D$18:$D$2015,"&lt;"&amp;V174))</f>
        <v/>
      </c>
      <c r="X173" s="14" t="n"/>
      <c r="Y173" s="16" t="n"/>
      <c r="Z173" s="124">
        <f>IF(Y173="","",COUNTIFS($C$18:$C$2015,Y$13,$D$18:$D$2015,"&gt;="&amp;Y173,$D$18:$D$2015,"&lt;"&amp;Y174))</f>
        <v/>
      </c>
      <c r="AA173" s="14" t="n"/>
      <c r="AB173" s="16" t="n"/>
      <c r="AC173" s="124">
        <f>IF(AB173="","",COUNTIFS($C$18:$C$2015,AB$13,$D$18:$D$2015,"&gt;="&amp;AB173,$D$18:$D$2015,"&lt;"&amp;AB174))</f>
        <v/>
      </c>
      <c r="AD173" s="14" t="n"/>
    </row>
    <row r="174">
      <c r="A174" s="56" t="n"/>
      <c r="B174" s="57" t="n"/>
      <c r="C174" s="59" t="n"/>
      <c r="E174" s="16" t="n"/>
      <c r="F174" s="13" t="n"/>
      <c r="G174" s="16" t="n"/>
      <c r="H174" s="124">
        <f>IF(G174="","",COUNTIFS($C$18:$C$2015,G$13,$D$18:$D$2015,"&gt;="&amp;G174,$D$18:$D$2015,"&lt;"&amp;G175))</f>
        <v/>
      </c>
      <c r="I174" s="14" t="n"/>
      <c r="J174" s="16" t="n"/>
      <c r="K174" s="124">
        <f>IF(J174="","",COUNTIFS($C$18:$C$2015,J$13,$D$18:$D$2015,"&gt;="&amp;J174,$D$18:$D$2015,"&lt;"&amp;J175))</f>
        <v/>
      </c>
      <c r="L174" s="14" t="n"/>
      <c r="M174" s="16" t="n"/>
      <c r="N174" s="124">
        <f>IF(M174="","",COUNTIFS($C$18:$C$2015,M$13,$D$18:$D$2015,"&gt;="&amp;M174,$D$18:$D$2015,"&lt;"&amp;M175))</f>
        <v/>
      </c>
      <c r="O174" s="14" t="n"/>
      <c r="P174" s="16" t="n"/>
      <c r="Q174" s="124">
        <f>IF(P174="","",COUNTIFS($C$18:$C$2015,P$13,$D$18:$D$2015,"&gt;="&amp;P174,$D$18:$D$2015,"&lt;"&amp;P175))</f>
        <v/>
      </c>
      <c r="R174" s="14" t="n"/>
      <c r="S174" s="16" t="n"/>
      <c r="T174" s="124">
        <f>IF(S174="","",COUNTIFS($C$18:$C$2015,S$13,$D$18:$D$2015,"&gt;="&amp;S174,$D$18:$D$2015,"&lt;"&amp;S175))</f>
        <v/>
      </c>
      <c r="U174" s="14" t="n"/>
      <c r="V174" s="16" t="n"/>
      <c r="W174" s="124">
        <f>IF(V174="","",COUNTIFS($C$18:$C$2015,V$13,$D$18:$D$2015,"&gt;="&amp;V174,$D$18:$D$2015,"&lt;"&amp;V175))</f>
        <v/>
      </c>
      <c r="X174" s="14" t="n"/>
      <c r="Y174" s="16" t="n"/>
      <c r="Z174" s="124">
        <f>IF(Y174="","",COUNTIFS($C$18:$C$2015,Y$13,$D$18:$D$2015,"&gt;="&amp;Y174,$D$18:$D$2015,"&lt;"&amp;Y175))</f>
        <v/>
      </c>
      <c r="AA174" s="14" t="n"/>
      <c r="AB174" s="16" t="n"/>
      <c r="AC174" s="124">
        <f>IF(AB174="","",COUNTIFS($C$18:$C$2015,AB$13,$D$18:$D$2015,"&gt;="&amp;AB174,$D$18:$D$2015,"&lt;"&amp;AB175))</f>
        <v/>
      </c>
      <c r="AD174" s="14" t="n"/>
    </row>
    <row r="175">
      <c r="A175" s="58" t="n"/>
      <c r="B175" s="59" t="n"/>
      <c r="C175" s="59" t="n"/>
      <c r="E175" s="16" t="n"/>
      <c r="F175" s="13" t="n"/>
      <c r="G175" s="16" t="n"/>
      <c r="H175" s="124">
        <f>IF(G175="","",COUNTIFS($C$18:$C$2015,G$13,$D$18:$D$2015,"&gt;="&amp;G175,$D$18:$D$2015,"&lt;"&amp;G176))</f>
        <v/>
      </c>
      <c r="I175" s="14" t="n"/>
      <c r="J175" s="16" t="n"/>
      <c r="K175" s="124">
        <f>IF(J175="","",COUNTIFS($C$18:$C$2015,J$13,$D$18:$D$2015,"&gt;="&amp;J175,$D$18:$D$2015,"&lt;"&amp;J176))</f>
        <v/>
      </c>
      <c r="L175" s="14" t="n"/>
      <c r="M175" s="16" t="n"/>
      <c r="N175" s="124">
        <f>IF(M175="","",COUNTIFS($C$18:$C$2015,M$13,$D$18:$D$2015,"&gt;="&amp;M175,$D$18:$D$2015,"&lt;"&amp;M176))</f>
        <v/>
      </c>
      <c r="O175" s="14" t="n"/>
      <c r="P175" s="16" t="n"/>
      <c r="Q175" s="124">
        <f>IF(P175="","",COUNTIFS($C$18:$C$2015,P$13,$D$18:$D$2015,"&gt;="&amp;P175,$D$18:$D$2015,"&lt;"&amp;P176))</f>
        <v/>
      </c>
      <c r="R175" s="14" t="n"/>
      <c r="S175" s="16" t="n"/>
      <c r="T175" s="124">
        <f>IF(S175="","",COUNTIFS($C$18:$C$2015,S$13,$D$18:$D$2015,"&gt;="&amp;S175,$D$18:$D$2015,"&lt;"&amp;S176))</f>
        <v/>
      </c>
      <c r="U175" s="14" t="n"/>
      <c r="V175" s="16" t="n"/>
      <c r="W175" s="124">
        <f>IF(V175="","",COUNTIFS($C$18:$C$2015,V$13,$D$18:$D$2015,"&gt;="&amp;V175,$D$18:$D$2015,"&lt;"&amp;V176))</f>
        <v/>
      </c>
      <c r="X175" s="14" t="n"/>
      <c r="Y175" s="16" t="n"/>
      <c r="Z175" s="124">
        <f>IF(Y175="","",COUNTIFS($C$18:$C$2015,Y$13,$D$18:$D$2015,"&gt;="&amp;Y175,$D$18:$D$2015,"&lt;"&amp;Y176))</f>
        <v/>
      </c>
      <c r="AA175" s="14" t="n"/>
      <c r="AB175" s="16" t="n"/>
      <c r="AC175" s="124">
        <f>IF(AB175="","",COUNTIFS($C$18:$C$2015,AB$13,$D$18:$D$2015,"&gt;="&amp;AB175,$D$18:$D$2015,"&lt;"&amp;AB176))</f>
        <v/>
      </c>
      <c r="AD175" s="14" t="n"/>
    </row>
    <row r="176">
      <c r="A176" s="56" t="n"/>
      <c r="B176" s="57" t="n"/>
      <c r="C176" s="59" t="n"/>
      <c r="E176" s="16" t="n"/>
      <c r="F176" s="13" t="n"/>
      <c r="G176" s="16" t="n"/>
      <c r="H176" s="124">
        <f>IF(G176="","",COUNTIFS($C$18:$C$2015,G$13,$D$18:$D$2015,"&gt;="&amp;G176,$D$18:$D$2015,"&lt;"&amp;G177))</f>
        <v/>
      </c>
      <c r="I176" s="14" t="n"/>
      <c r="J176" s="16" t="n"/>
      <c r="K176" s="124">
        <f>IF(J176="","",COUNTIFS($C$18:$C$2015,J$13,$D$18:$D$2015,"&gt;="&amp;J176,$D$18:$D$2015,"&lt;"&amp;J177))</f>
        <v/>
      </c>
      <c r="L176" s="14" t="n"/>
      <c r="M176" s="16" t="n"/>
      <c r="N176" s="124">
        <f>IF(M176="","",COUNTIFS($C$18:$C$2015,M$13,$D$18:$D$2015,"&gt;="&amp;M176,$D$18:$D$2015,"&lt;"&amp;M177))</f>
        <v/>
      </c>
      <c r="O176" s="14" t="n"/>
      <c r="P176" s="16" t="n"/>
      <c r="Q176" s="124">
        <f>IF(P176="","",COUNTIFS($C$18:$C$2015,P$13,$D$18:$D$2015,"&gt;="&amp;P176,$D$18:$D$2015,"&lt;"&amp;P177))</f>
        <v/>
      </c>
      <c r="R176" s="14" t="n"/>
      <c r="S176" s="16" t="n"/>
      <c r="T176" s="124">
        <f>IF(S176="","",COUNTIFS($C$18:$C$2015,S$13,$D$18:$D$2015,"&gt;="&amp;S176,$D$18:$D$2015,"&lt;"&amp;S177))</f>
        <v/>
      </c>
      <c r="U176" s="14" t="n"/>
      <c r="V176" s="16" t="n"/>
      <c r="W176" s="124">
        <f>IF(V176="","",COUNTIFS($C$18:$C$2015,V$13,$D$18:$D$2015,"&gt;="&amp;V176,$D$18:$D$2015,"&lt;"&amp;V177))</f>
        <v/>
      </c>
      <c r="X176" s="14" t="n"/>
      <c r="Y176" s="16" t="n"/>
      <c r="Z176" s="124">
        <f>IF(Y176="","",COUNTIFS($C$18:$C$2015,Y$13,$D$18:$D$2015,"&gt;="&amp;Y176,$D$18:$D$2015,"&lt;"&amp;Y177))</f>
        <v/>
      </c>
      <c r="AA176" s="14" t="n"/>
      <c r="AB176" s="16" t="n"/>
      <c r="AC176" s="124">
        <f>IF(AB176="","",COUNTIFS($C$18:$C$2015,AB$13,$D$18:$D$2015,"&gt;="&amp;AB176,$D$18:$D$2015,"&lt;"&amp;AB177))</f>
        <v/>
      </c>
      <c r="AD176" s="14" t="n"/>
    </row>
    <row r="177">
      <c r="A177" s="58" t="n"/>
      <c r="B177" s="59" t="n"/>
      <c r="C177" s="59" t="n"/>
      <c r="E177" s="16" t="n"/>
      <c r="F177" s="13" t="n"/>
      <c r="G177" s="16" t="n"/>
      <c r="H177" s="124">
        <f>IF(G177="","",COUNTIFS($C$18:$C$2015,G$13,$D$18:$D$2015,"&gt;="&amp;G177,$D$18:$D$2015,"&lt;"&amp;G178))</f>
        <v/>
      </c>
      <c r="I177" s="14" t="n"/>
      <c r="J177" s="16" t="n"/>
      <c r="K177" s="124">
        <f>IF(J177="","",COUNTIFS($C$18:$C$2015,J$13,$D$18:$D$2015,"&gt;="&amp;J177,$D$18:$D$2015,"&lt;"&amp;J178))</f>
        <v/>
      </c>
      <c r="L177" s="14" t="n"/>
      <c r="M177" s="16" t="n"/>
      <c r="N177" s="124">
        <f>IF(M177="","",COUNTIFS($C$18:$C$2015,M$13,$D$18:$D$2015,"&gt;="&amp;M177,$D$18:$D$2015,"&lt;"&amp;M178))</f>
        <v/>
      </c>
      <c r="O177" s="14" t="n"/>
      <c r="P177" s="16" t="n"/>
      <c r="Q177" s="124">
        <f>IF(P177="","",COUNTIFS($C$18:$C$2015,P$13,$D$18:$D$2015,"&gt;="&amp;P177,$D$18:$D$2015,"&lt;"&amp;P178))</f>
        <v/>
      </c>
      <c r="R177" s="14" t="n"/>
      <c r="S177" s="16" t="n"/>
      <c r="T177" s="124">
        <f>IF(S177="","",COUNTIFS($C$18:$C$2015,S$13,$D$18:$D$2015,"&gt;="&amp;S177,$D$18:$D$2015,"&lt;"&amp;S178))</f>
        <v/>
      </c>
      <c r="U177" s="14" t="n"/>
      <c r="V177" s="16" t="n"/>
      <c r="W177" s="124">
        <f>IF(V177="","",COUNTIFS($C$18:$C$2015,V$13,$D$18:$D$2015,"&gt;="&amp;V177,$D$18:$D$2015,"&lt;"&amp;V178))</f>
        <v/>
      </c>
      <c r="X177" s="14" t="n"/>
      <c r="Y177" s="16" t="n"/>
      <c r="Z177" s="124">
        <f>IF(Y177="","",COUNTIFS($C$18:$C$2015,Y$13,$D$18:$D$2015,"&gt;="&amp;Y177,$D$18:$D$2015,"&lt;"&amp;Y178))</f>
        <v/>
      </c>
      <c r="AA177" s="14" t="n"/>
      <c r="AB177" s="16" t="n"/>
      <c r="AC177" s="124">
        <f>IF(AB177="","",COUNTIFS($C$18:$C$2015,AB$13,$D$18:$D$2015,"&gt;="&amp;AB177,$D$18:$D$2015,"&lt;"&amp;AB178))</f>
        <v/>
      </c>
      <c r="AD177" s="14" t="n"/>
    </row>
    <row r="178">
      <c r="A178" s="56" t="n"/>
      <c r="B178" s="57" t="n"/>
      <c r="C178" s="59" t="n"/>
      <c r="E178" s="16" t="n"/>
      <c r="F178" s="13" t="n"/>
      <c r="G178" s="16" t="n"/>
      <c r="H178" s="124">
        <f>IF(G178="","",COUNTIFS($C$18:$C$2015,G$13,$D$18:$D$2015,"&gt;="&amp;G178,$D$18:$D$2015,"&lt;"&amp;G179))</f>
        <v/>
      </c>
      <c r="I178" s="14" t="n"/>
      <c r="J178" s="16" t="n"/>
      <c r="K178" s="124">
        <f>IF(J178="","",COUNTIFS($C$18:$C$2015,J$13,$D$18:$D$2015,"&gt;="&amp;J178,$D$18:$D$2015,"&lt;"&amp;J179))</f>
        <v/>
      </c>
      <c r="L178" s="14" t="n"/>
      <c r="M178" s="16" t="n"/>
      <c r="N178" s="124">
        <f>IF(M178="","",COUNTIFS($C$18:$C$2015,M$13,$D$18:$D$2015,"&gt;="&amp;M178,$D$18:$D$2015,"&lt;"&amp;M179))</f>
        <v/>
      </c>
      <c r="O178" s="14" t="n"/>
      <c r="P178" s="16" t="n"/>
      <c r="Q178" s="124">
        <f>IF(P178="","",COUNTIFS($C$18:$C$2015,P$13,$D$18:$D$2015,"&gt;="&amp;P178,$D$18:$D$2015,"&lt;"&amp;P179))</f>
        <v/>
      </c>
      <c r="R178" s="14" t="n"/>
      <c r="S178" s="16" t="n"/>
      <c r="T178" s="124">
        <f>IF(S178="","",COUNTIFS($C$18:$C$2015,S$13,$D$18:$D$2015,"&gt;="&amp;S178,$D$18:$D$2015,"&lt;"&amp;S179))</f>
        <v/>
      </c>
      <c r="U178" s="14" t="n"/>
      <c r="V178" s="16" t="n"/>
      <c r="W178" s="124">
        <f>IF(V178="","",COUNTIFS($C$18:$C$2015,V$13,$D$18:$D$2015,"&gt;="&amp;V178,$D$18:$D$2015,"&lt;"&amp;V179))</f>
        <v/>
      </c>
      <c r="X178" s="14" t="n"/>
      <c r="Y178" s="16" t="n"/>
      <c r="Z178" s="124">
        <f>IF(Y178="","",COUNTIFS($C$18:$C$2015,Y$13,$D$18:$D$2015,"&gt;="&amp;Y178,$D$18:$D$2015,"&lt;"&amp;Y179))</f>
        <v/>
      </c>
      <c r="AA178" s="14" t="n"/>
      <c r="AB178" s="16" t="n"/>
      <c r="AC178" s="124">
        <f>IF(AB178="","",COUNTIFS($C$18:$C$2015,AB$13,$D$18:$D$2015,"&gt;="&amp;AB178,$D$18:$D$2015,"&lt;"&amp;AB179))</f>
        <v/>
      </c>
      <c r="AD178" s="14" t="n"/>
    </row>
    <row r="179">
      <c r="A179" s="58" t="n"/>
      <c r="B179" s="59" t="n"/>
      <c r="C179" s="59" t="n"/>
      <c r="E179" s="16" t="n"/>
      <c r="F179" s="13" t="n"/>
      <c r="G179" s="16" t="n"/>
      <c r="H179" s="124">
        <f>IF(G179="","",COUNTIFS($C$18:$C$2015,G$13,$D$18:$D$2015,"&gt;="&amp;G179,$D$18:$D$2015,"&lt;"&amp;G180))</f>
        <v/>
      </c>
      <c r="I179" s="14" t="n"/>
      <c r="J179" s="16" t="n"/>
      <c r="K179" s="124">
        <f>IF(J179="","",COUNTIFS($C$18:$C$2015,J$13,$D$18:$D$2015,"&gt;="&amp;J179,$D$18:$D$2015,"&lt;"&amp;J180))</f>
        <v/>
      </c>
      <c r="L179" s="14" t="n"/>
      <c r="M179" s="16" t="n"/>
      <c r="N179" s="124">
        <f>IF(M179="","",COUNTIFS($C$18:$C$2015,M$13,$D$18:$D$2015,"&gt;="&amp;M179,$D$18:$D$2015,"&lt;"&amp;M180))</f>
        <v/>
      </c>
      <c r="O179" s="14" t="n"/>
      <c r="P179" s="16" t="n"/>
      <c r="Q179" s="124">
        <f>IF(P179="","",COUNTIFS($C$18:$C$2015,P$13,$D$18:$D$2015,"&gt;="&amp;P179,$D$18:$D$2015,"&lt;"&amp;P180))</f>
        <v/>
      </c>
      <c r="R179" s="14" t="n"/>
      <c r="S179" s="16" t="n"/>
      <c r="T179" s="124">
        <f>IF(S179="","",COUNTIFS($C$18:$C$2015,S$13,$D$18:$D$2015,"&gt;="&amp;S179,$D$18:$D$2015,"&lt;"&amp;S180))</f>
        <v/>
      </c>
      <c r="U179" s="14" t="n"/>
      <c r="V179" s="16" t="n"/>
      <c r="W179" s="124">
        <f>IF(V179="","",COUNTIFS($C$18:$C$2015,V$13,$D$18:$D$2015,"&gt;="&amp;V179,$D$18:$D$2015,"&lt;"&amp;V180))</f>
        <v/>
      </c>
      <c r="X179" s="14" t="n"/>
      <c r="Y179" s="16" t="n"/>
      <c r="Z179" s="124">
        <f>IF(Y179="","",COUNTIFS($C$18:$C$2015,Y$13,$D$18:$D$2015,"&gt;="&amp;Y179,$D$18:$D$2015,"&lt;"&amp;Y180))</f>
        <v/>
      </c>
      <c r="AA179" s="14" t="n"/>
      <c r="AB179" s="16" t="n"/>
      <c r="AC179" s="124">
        <f>IF(AB179="","",COUNTIFS($C$18:$C$2015,AB$13,$D$18:$D$2015,"&gt;="&amp;AB179,$D$18:$D$2015,"&lt;"&amp;AB180))</f>
        <v/>
      </c>
      <c r="AD179" s="14" t="n"/>
    </row>
    <row r="180">
      <c r="A180" s="56" t="n"/>
      <c r="B180" s="57" t="n"/>
      <c r="C180" s="59" t="n"/>
      <c r="E180" s="16" t="n"/>
      <c r="F180" s="13" t="n"/>
      <c r="G180" s="16" t="n"/>
      <c r="H180" s="124">
        <f>IF(G180="","",COUNTIFS($C$18:$C$2015,G$13,$D$18:$D$2015,"&gt;="&amp;G180,$D$18:$D$2015,"&lt;"&amp;G181))</f>
        <v/>
      </c>
      <c r="I180" s="14" t="n"/>
      <c r="J180" s="16" t="n"/>
      <c r="K180" s="124">
        <f>IF(J180="","",COUNTIFS($C$18:$C$2015,J$13,$D$18:$D$2015,"&gt;="&amp;J180,$D$18:$D$2015,"&lt;"&amp;J181))</f>
        <v/>
      </c>
      <c r="L180" s="14" t="n"/>
      <c r="M180" s="16" t="n"/>
      <c r="N180" s="124">
        <f>IF(M180="","",COUNTIFS($C$18:$C$2015,M$13,$D$18:$D$2015,"&gt;="&amp;M180,$D$18:$D$2015,"&lt;"&amp;M181))</f>
        <v/>
      </c>
      <c r="O180" s="14" t="n"/>
      <c r="P180" s="16" t="n"/>
      <c r="Q180" s="124">
        <f>IF(P180="","",COUNTIFS($C$18:$C$2015,P$13,$D$18:$D$2015,"&gt;="&amp;P180,$D$18:$D$2015,"&lt;"&amp;P181))</f>
        <v/>
      </c>
      <c r="R180" s="14" t="n"/>
      <c r="S180" s="16" t="n"/>
      <c r="T180" s="124">
        <f>IF(S180="","",COUNTIFS($C$18:$C$2015,S$13,$D$18:$D$2015,"&gt;="&amp;S180,$D$18:$D$2015,"&lt;"&amp;S181))</f>
        <v/>
      </c>
      <c r="U180" s="14" t="n"/>
      <c r="V180" s="16" t="n"/>
      <c r="W180" s="124">
        <f>IF(V180="","",COUNTIFS($C$18:$C$2015,V$13,$D$18:$D$2015,"&gt;="&amp;V180,$D$18:$D$2015,"&lt;"&amp;V181))</f>
        <v/>
      </c>
      <c r="X180" s="14" t="n"/>
      <c r="Y180" s="16" t="n"/>
      <c r="Z180" s="124">
        <f>IF(Y180="","",COUNTIFS($C$18:$C$2015,Y$13,$D$18:$D$2015,"&gt;="&amp;Y180,$D$18:$D$2015,"&lt;"&amp;Y181))</f>
        <v/>
      </c>
      <c r="AA180" s="14" t="n"/>
      <c r="AB180" s="16" t="n"/>
      <c r="AC180" s="124">
        <f>IF(AB180="","",COUNTIFS($C$18:$C$2015,AB$13,$D$18:$D$2015,"&gt;="&amp;AB180,$D$18:$D$2015,"&lt;"&amp;AB181))</f>
        <v/>
      </c>
      <c r="AD180" s="14" t="n"/>
    </row>
    <row r="181">
      <c r="A181" s="58" t="n"/>
      <c r="B181" s="59" t="n"/>
      <c r="C181" s="59" t="n"/>
      <c r="E181" s="16" t="n"/>
      <c r="F181" s="13" t="n"/>
      <c r="G181" s="16" t="n"/>
      <c r="H181" s="124">
        <f>IF(G181="","",COUNTIFS($C$18:$C$2015,G$13,$D$18:$D$2015,"&gt;="&amp;G181,$D$18:$D$2015,"&lt;"&amp;G182))</f>
        <v/>
      </c>
      <c r="I181" s="14" t="n"/>
      <c r="J181" s="16" t="n"/>
      <c r="K181" s="124">
        <f>IF(J181="","",COUNTIFS($C$18:$C$2015,J$13,$D$18:$D$2015,"&gt;="&amp;J181,$D$18:$D$2015,"&lt;"&amp;J182))</f>
        <v/>
      </c>
      <c r="L181" s="14" t="n"/>
      <c r="M181" s="16" t="n"/>
      <c r="N181" s="124">
        <f>IF(M181="","",COUNTIFS($C$18:$C$2015,M$13,$D$18:$D$2015,"&gt;="&amp;M181,$D$18:$D$2015,"&lt;"&amp;M182))</f>
        <v/>
      </c>
      <c r="O181" s="14" t="n"/>
      <c r="P181" s="16" t="n"/>
      <c r="Q181" s="124">
        <f>IF(P181="","",COUNTIFS($C$18:$C$2015,P$13,$D$18:$D$2015,"&gt;="&amp;P181,$D$18:$D$2015,"&lt;"&amp;P182))</f>
        <v/>
      </c>
      <c r="R181" s="14" t="n"/>
      <c r="S181" s="16" t="n"/>
      <c r="T181" s="124">
        <f>IF(S181="","",COUNTIFS($C$18:$C$2015,S$13,$D$18:$D$2015,"&gt;="&amp;S181,$D$18:$D$2015,"&lt;"&amp;S182))</f>
        <v/>
      </c>
      <c r="U181" s="14" t="n"/>
      <c r="V181" s="16" t="n"/>
      <c r="W181" s="124">
        <f>IF(V181="","",COUNTIFS($C$18:$C$2015,V$13,$D$18:$D$2015,"&gt;="&amp;V181,$D$18:$D$2015,"&lt;"&amp;V182))</f>
        <v/>
      </c>
      <c r="X181" s="14" t="n"/>
      <c r="Y181" s="16" t="n"/>
      <c r="Z181" s="124">
        <f>IF(Y181="","",COUNTIFS($C$18:$C$2015,Y$13,$D$18:$D$2015,"&gt;="&amp;Y181,$D$18:$D$2015,"&lt;"&amp;Y182))</f>
        <v/>
      </c>
      <c r="AA181" s="14" t="n"/>
      <c r="AB181" s="16" t="n"/>
      <c r="AC181" s="124">
        <f>IF(AB181="","",COUNTIFS($C$18:$C$2015,AB$13,$D$18:$D$2015,"&gt;="&amp;AB181,$D$18:$D$2015,"&lt;"&amp;AB182))</f>
        <v/>
      </c>
      <c r="AD181" s="14" t="n"/>
    </row>
    <row r="182">
      <c r="A182" s="56" t="n"/>
      <c r="B182" s="57" t="n"/>
      <c r="C182" s="59" t="n"/>
      <c r="E182" s="16" t="n"/>
      <c r="F182" s="13" t="n"/>
      <c r="G182" s="16" t="n"/>
      <c r="H182" s="124">
        <f>IF(G182="","",COUNTIFS($C$18:$C$2015,G$13,$D$18:$D$2015,"&gt;="&amp;G182,$D$18:$D$2015,"&lt;"&amp;G183))</f>
        <v/>
      </c>
      <c r="I182" s="14" t="n"/>
      <c r="J182" s="16" t="n"/>
      <c r="K182" s="124">
        <f>IF(J182="","",COUNTIFS($C$18:$C$2015,J$13,$D$18:$D$2015,"&gt;="&amp;J182,$D$18:$D$2015,"&lt;"&amp;J183))</f>
        <v/>
      </c>
      <c r="L182" s="14" t="n"/>
      <c r="M182" s="16" t="n"/>
      <c r="N182" s="124">
        <f>IF(M182="","",COUNTIFS($C$18:$C$2015,M$13,$D$18:$D$2015,"&gt;="&amp;M182,$D$18:$D$2015,"&lt;"&amp;M183))</f>
        <v/>
      </c>
      <c r="O182" s="14" t="n"/>
      <c r="P182" s="16" t="n"/>
      <c r="Q182" s="124">
        <f>IF(P182="","",COUNTIFS($C$18:$C$2015,P$13,$D$18:$D$2015,"&gt;="&amp;P182,$D$18:$D$2015,"&lt;"&amp;P183))</f>
        <v/>
      </c>
      <c r="R182" s="14" t="n"/>
      <c r="S182" s="16" t="n"/>
      <c r="T182" s="124">
        <f>IF(S182="","",COUNTIFS($C$18:$C$2015,S$13,$D$18:$D$2015,"&gt;="&amp;S182,$D$18:$D$2015,"&lt;"&amp;S183))</f>
        <v/>
      </c>
      <c r="U182" s="14" t="n"/>
      <c r="V182" s="16" t="n"/>
      <c r="W182" s="124">
        <f>IF(V182="","",COUNTIFS($C$18:$C$2015,V$13,$D$18:$D$2015,"&gt;="&amp;V182,$D$18:$D$2015,"&lt;"&amp;V183))</f>
        <v/>
      </c>
      <c r="X182" s="14" t="n"/>
      <c r="Y182" s="16" t="n"/>
      <c r="Z182" s="124">
        <f>IF(Y182="","",COUNTIFS($C$18:$C$2015,Y$13,$D$18:$D$2015,"&gt;="&amp;Y182,$D$18:$D$2015,"&lt;"&amp;Y183))</f>
        <v/>
      </c>
      <c r="AA182" s="14" t="n"/>
      <c r="AB182" s="16" t="n"/>
      <c r="AC182" s="124">
        <f>IF(AB182="","",COUNTIFS($C$18:$C$2015,AB$13,$D$18:$D$2015,"&gt;="&amp;AB182,$D$18:$D$2015,"&lt;"&amp;AB183))</f>
        <v/>
      </c>
      <c r="AD182" s="14" t="n"/>
    </row>
    <row r="183">
      <c r="A183" s="58" t="n"/>
      <c r="B183" s="59" t="n"/>
      <c r="C183" s="59" t="n"/>
      <c r="E183" s="16" t="n"/>
      <c r="F183" s="13" t="n"/>
      <c r="G183" s="16" t="n"/>
      <c r="H183" s="124">
        <f>IF(G183="","",COUNTIFS($C$18:$C$2015,G$13,$D$18:$D$2015,"&gt;="&amp;G183,$D$18:$D$2015,"&lt;"&amp;G184))</f>
        <v/>
      </c>
      <c r="I183" s="14" t="n"/>
      <c r="J183" s="16" t="n"/>
      <c r="K183" s="124">
        <f>IF(J183="","",COUNTIFS($C$18:$C$2015,J$13,$D$18:$D$2015,"&gt;="&amp;J183,$D$18:$D$2015,"&lt;"&amp;J184))</f>
        <v/>
      </c>
      <c r="L183" s="14" t="n"/>
      <c r="M183" s="16" t="n"/>
      <c r="N183" s="124">
        <f>IF(M183="","",COUNTIFS($C$18:$C$2015,M$13,$D$18:$D$2015,"&gt;="&amp;M183,$D$18:$D$2015,"&lt;"&amp;M184))</f>
        <v/>
      </c>
      <c r="O183" s="14" t="n"/>
      <c r="P183" s="16" t="n"/>
      <c r="Q183" s="124">
        <f>IF(P183="","",COUNTIFS($C$18:$C$2015,P$13,$D$18:$D$2015,"&gt;="&amp;P183,$D$18:$D$2015,"&lt;"&amp;P184))</f>
        <v/>
      </c>
      <c r="R183" s="14" t="n"/>
      <c r="S183" s="16" t="n"/>
      <c r="T183" s="124">
        <f>IF(S183="","",COUNTIFS($C$18:$C$2015,S$13,$D$18:$D$2015,"&gt;="&amp;S183,$D$18:$D$2015,"&lt;"&amp;S184))</f>
        <v/>
      </c>
      <c r="U183" s="14" t="n"/>
      <c r="V183" s="16" t="n"/>
      <c r="W183" s="124">
        <f>IF(V183="","",COUNTIFS($C$18:$C$2015,V$13,$D$18:$D$2015,"&gt;="&amp;V183,$D$18:$D$2015,"&lt;"&amp;V184))</f>
        <v/>
      </c>
      <c r="X183" s="14" t="n"/>
      <c r="Y183" s="16" t="n"/>
      <c r="Z183" s="124">
        <f>IF(Y183="","",COUNTIFS($C$18:$C$2015,Y$13,$D$18:$D$2015,"&gt;="&amp;Y183,$D$18:$D$2015,"&lt;"&amp;Y184))</f>
        <v/>
      </c>
      <c r="AA183" s="14" t="n"/>
      <c r="AB183" s="16" t="n"/>
      <c r="AC183" s="124">
        <f>IF(AB183="","",COUNTIFS($C$18:$C$2015,AB$13,$D$18:$D$2015,"&gt;="&amp;AB183,$D$18:$D$2015,"&lt;"&amp;AB184))</f>
        <v/>
      </c>
      <c r="AD183" s="14" t="n"/>
    </row>
    <row r="184">
      <c r="A184" s="56" t="n"/>
      <c r="B184" s="57" t="n"/>
      <c r="C184" s="59" t="n"/>
      <c r="E184" s="16" t="n"/>
      <c r="F184" s="13" t="n"/>
      <c r="G184" s="16" t="n"/>
      <c r="H184" s="124">
        <f>IF(G184="","",COUNTIFS($C$18:$C$2015,G$13,$D$18:$D$2015,"&gt;="&amp;G184,$D$18:$D$2015,"&lt;"&amp;G185))</f>
        <v/>
      </c>
      <c r="I184" s="14" t="n"/>
      <c r="J184" s="16" t="n"/>
      <c r="K184" s="124">
        <f>IF(J184="","",COUNTIFS($C$18:$C$2015,J$13,$D$18:$D$2015,"&gt;="&amp;J184,$D$18:$D$2015,"&lt;"&amp;J185))</f>
        <v/>
      </c>
      <c r="L184" s="14" t="n"/>
      <c r="M184" s="16" t="n"/>
      <c r="N184" s="124">
        <f>IF(M184="","",COUNTIFS($C$18:$C$2015,M$13,$D$18:$D$2015,"&gt;="&amp;M184,$D$18:$D$2015,"&lt;"&amp;M185))</f>
        <v/>
      </c>
      <c r="O184" s="14" t="n"/>
      <c r="P184" s="16" t="n"/>
      <c r="Q184" s="124">
        <f>IF(P184="","",COUNTIFS($C$18:$C$2015,P$13,$D$18:$D$2015,"&gt;="&amp;P184,$D$18:$D$2015,"&lt;"&amp;P185))</f>
        <v/>
      </c>
      <c r="R184" s="14" t="n"/>
      <c r="S184" s="16" t="n"/>
      <c r="T184" s="124">
        <f>IF(S184="","",COUNTIFS($C$18:$C$2015,S$13,$D$18:$D$2015,"&gt;="&amp;S184,$D$18:$D$2015,"&lt;"&amp;S185))</f>
        <v/>
      </c>
      <c r="U184" s="14" t="n"/>
      <c r="V184" s="16" t="n"/>
      <c r="W184" s="124">
        <f>IF(V184="","",COUNTIFS($C$18:$C$2015,V$13,$D$18:$D$2015,"&gt;="&amp;V184,$D$18:$D$2015,"&lt;"&amp;V185))</f>
        <v/>
      </c>
      <c r="X184" s="14" t="n"/>
      <c r="Y184" s="16" t="n"/>
      <c r="Z184" s="124">
        <f>IF(Y184="","",COUNTIFS($C$18:$C$2015,Y$13,$D$18:$D$2015,"&gt;="&amp;Y184,$D$18:$D$2015,"&lt;"&amp;Y185))</f>
        <v/>
      </c>
      <c r="AA184" s="14" t="n"/>
      <c r="AB184" s="16" t="n"/>
      <c r="AC184" s="124">
        <f>IF(AB184="","",COUNTIFS($C$18:$C$2015,AB$13,$D$18:$D$2015,"&gt;="&amp;AB184,$D$18:$D$2015,"&lt;"&amp;AB185))</f>
        <v/>
      </c>
      <c r="AD184" s="14" t="n"/>
    </row>
    <row r="185">
      <c r="A185" s="58" t="n"/>
      <c r="B185" s="59" t="n"/>
      <c r="C185" s="59" t="n"/>
      <c r="E185" s="16" t="n"/>
      <c r="F185" s="13" t="n"/>
      <c r="G185" s="16" t="n"/>
      <c r="H185" s="124">
        <f>IF(G185="","",COUNTIFS($C$18:$C$2015,G$13,$D$18:$D$2015,"&gt;="&amp;G185,$D$18:$D$2015,"&lt;"&amp;G186))</f>
        <v/>
      </c>
      <c r="I185" s="14" t="n"/>
      <c r="J185" s="16" t="n"/>
      <c r="K185" s="124">
        <f>IF(J185="","",COUNTIFS($C$18:$C$2015,J$13,$D$18:$D$2015,"&gt;="&amp;J185,$D$18:$D$2015,"&lt;"&amp;J186))</f>
        <v/>
      </c>
      <c r="L185" s="14" t="n"/>
      <c r="M185" s="16" t="n"/>
      <c r="N185" s="124">
        <f>IF(M185="","",COUNTIFS($C$18:$C$2015,M$13,$D$18:$D$2015,"&gt;="&amp;M185,$D$18:$D$2015,"&lt;"&amp;M186))</f>
        <v/>
      </c>
      <c r="O185" s="14" t="n"/>
      <c r="P185" s="16" t="n"/>
      <c r="Q185" s="124">
        <f>IF(P185="","",COUNTIFS($C$18:$C$2015,P$13,$D$18:$D$2015,"&gt;="&amp;P185,$D$18:$D$2015,"&lt;"&amp;P186))</f>
        <v/>
      </c>
      <c r="R185" s="14" t="n"/>
      <c r="S185" s="16" t="n"/>
      <c r="T185" s="124">
        <f>IF(S185="","",COUNTIFS($C$18:$C$2015,S$13,$D$18:$D$2015,"&gt;="&amp;S185,$D$18:$D$2015,"&lt;"&amp;S186))</f>
        <v/>
      </c>
      <c r="U185" s="14" t="n"/>
      <c r="V185" s="16" t="n"/>
      <c r="W185" s="124">
        <f>IF(V185="","",COUNTIFS($C$18:$C$2015,V$13,$D$18:$D$2015,"&gt;="&amp;V185,$D$18:$D$2015,"&lt;"&amp;V186))</f>
        <v/>
      </c>
      <c r="X185" s="14" t="n"/>
      <c r="Y185" s="16" t="n"/>
      <c r="Z185" s="124">
        <f>IF(Y185="","",COUNTIFS($C$18:$C$2015,Y$13,$D$18:$D$2015,"&gt;="&amp;Y185,$D$18:$D$2015,"&lt;"&amp;Y186))</f>
        <v/>
      </c>
      <c r="AA185" s="14" t="n"/>
      <c r="AB185" s="16" t="n"/>
      <c r="AC185" s="124">
        <f>IF(AB185="","",COUNTIFS($C$18:$C$2015,AB$13,$D$18:$D$2015,"&gt;="&amp;AB185,$D$18:$D$2015,"&lt;"&amp;AB186))</f>
        <v/>
      </c>
      <c r="AD185" s="14" t="n"/>
    </row>
    <row r="186">
      <c r="A186" s="56" t="n"/>
      <c r="B186" s="57" t="n"/>
      <c r="C186" s="59" t="n"/>
      <c r="E186" s="16" t="n"/>
      <c r="F186" s="13" t="n"/>
      <c r="G186" s="16" t="n"/>
      <c r="H186" s="124">
        <f>IF(G186="","",COUNTIFS($C$18:$C$2015,G$13,$D$18:$D$2015,"&gt;="&amp;G186,$D$18:$D$2015,"&lt;"&amp;G187))</f>
        <v/>
      </c>
      <c r="I186" s="14" t="n"/>
      <c r="J186" s="16" t="n"/>
      <c r="K186" s="124">
        <f>IF(J186="","",COUNTIFS($C$18:$C$2015,J$13,$D$18:$D$2015,"&gt;="&amp;J186,$D$18:$D$2015,"&lt;"&amp;J187))</f>
        <v/>
      </c>
      <c r="L186" s="14" t="n"/>
      <c r="M186" s="16" t="n"/>
      <c r="N186" s="124">
        <f>IF(M186="","",COUNTIFS($C$18:$C$2015,M$13,$D$18:$D$2015,"&gt;="&amp;M186,$D$18:$D$2015,"&lt;"&amp;M187))</f>
        <v/>
      </c>
      <c r="O186" s="14" t="n"/>
      <c r="P186" s="16" t="n"/>
      <c r="Q186" s="124">
        <f>IF(P186="","",COUNTIFS($C$18:$C$2015,P$13,$D$18:$D$2015,"&gt;="&amp;P186,$D$18:$D$2015,"&lt;"&amp;P187))</f>
        <v/>
      </c>
      <c r="R186" s="14" t="n"/>
      <c r="S186" s="16" t="n"/>
      <c r="T186" s="124">
        <f>IF(S186="","",COUNTIFS($C$18:$C$2015,S$13,$D$18:$D$2015,"&gt;="&amp;S186,$D$18:$D$2015,"&lt;"&amp;S187))</f>
        <v/>
      </c>
      <c r="U186" s="14" t="n"/>
      <c r="V186" s="16" t="n"/>
      <c r="W186" s="124">
        <f>IF(V186="","",COUNTIFS($C$18:$C$2015,V$13,$D$18:$D$2015,"&gt;="&amp;V186,$D$18:$D$2015,"&lt;"&amp;V187))</f>
        <v/>
      </c>
      <c r="X186" s="14" t="n"/>
      <c r="Y186" s="16" t="n"/>
      <c r="Z186" s="124">
        <f>IF(Y186="","",COUNTIFS($C$18:$C$2015,Y$13,$D$18:$D$2015,"&gt;="&amp;Y186,$D$18:$D$2015,"&lt;"&amp;Y187))</f>
        <v/>
      </c>
      <c r="AA186" s="14" t="n"/>
      <c r="AB186" s="16" t="n"/>
      <c r="AC186" s="124">
        <f>IF(AB186="","",COUNTIFS($C$18:$C$2015,AB$13,$D$18:$D$2015,"&gt;="&amp;AB186,$D$18:$D$2015,"&lt;"&amp;AB187))</f>
        <v/>
      </c>
      <c r="AD186" s="14" t="n"/>
    </row>
    <row r="187">
      <c r="A187" s="58" t="n"/>
      <c r="B187" s="59" t="n"/>
      <c r="C187" s="59" t="n"/>
      <c r="E187" s="16" t="n"/>
      <c r="F187" s="13" t="n"/>
      <c r="G187" s="16" t="n"/>
      <c r="H187" s="124">
        <f>IF(G187="","",COUNTIFS($C$18:$C$2015,G$13,$D$18:$D$2015,"&gt;="&amp;G187,$D$18:$D$2015,"&lt;"&amp;G188))</f>
        <v/>
      </c>
      <c r="I187" s="14" t="n"/>
      <c r="J187" s="16" t="n"/>
      <c r="K187" s="124">
        <f>IF(J187="","",COUNTIFS($C$18:$C$2015,J$13,$D$18:$D$2015,"&gt;="&amp;J187,$D$18:$D$2015,"&lt;"&amp;J188))</f>
        <v/>
      </c>
      <c r="L187" s="14" t="n"/>
      <c r="M187" s="16" t="n"/>
      <c r="N187" s="124">
        <f>IF(M187="","",COUNTIFS($C$18:$C$2015,M$13,$D$18:$D$2015,"&gt;="&amp;M187,$D$18:$D$2015,"&lt;"&amp;M188))</f>
        <v/>
      </c>
      <c r="O187" s="14" t="n"/>
      <c r="P187" s="16" t="n"/>
      <c r="Q187" s="124">
        <f>IF(P187="","",COUNTIFS($C$18:$C$2015,P$13,$D$18:$D$2015,"&gt;="&amp;P187,$D$18:$D$2015,"&lt;"&amp;P188))</f>
        <v/>
      </c>
      <c r="R187" s="14" t="n"/>
      <c r="S187" s="16" t="n"/>
      <c r="T187" s="124">
        <f>IF(S187="","",COUNTIFS($C$18:$C$2015,S$13,$D$18:$D$2015,"&gt;="&amp;S187,$D$18:$D$2015,"&lt;"&amp;S188))</f>
        <v/>
      </c>
      <c r="U187" s="14" t="n"/>
      <c r="V187" s="16" t="n"/>
      <c r="W187" s="124">
        <f>IF(V187="","",COUNTIFS($C$18:$C$2015,V$13,$D$18:$D$2015,"&gt;="&amp;V187,$D$18:$D$2015,"&lt;"&amp;V188))</f>
        <v/>
      </c>
      <c r="X187" s="14" t="n"/>
      <c r="Y187" s="16" t="n"/>
      <c r="Z187" s="124">
        <f>IF(Y187="","",COUNTIFS($C$18:$C$2015,Y$13,$D$18:$D$2015,"&gt;="&amp;Y187,$D$18:$D$2015,"&lt;"&amp;Y188))</f>
        <v/>
      </c>
      <c r="AA187" s="14" t="n"/>
      <c r="AB187" s="16" t="n"/>
      <c r="AC187" s="124">
        <f>IF(AB187="","",COUNTIFS($C$18:$C$2015,AB$13,$D$18:$D$2015,"&gt;="&amp;AB187,$D$18:$D$2015,"&lt;"&amp;AB188))</f>
        <v/>
      </c>
      <c r="AD187" s="14" t="n"/>
    </row>
    <row r="188">
      <c r="A188" s="56" t="n"/>
      <c r="B188" s="57" t="n"/>
      <c r="C188" s="59" t="n"/>
      <c r="E188" s="16" t="n"/>
      <c r="F188" s="13" t="n"/>
      <c r="G188" s="16" t="n"/>
      <c r="H188" s="124">
        <f>IF(G188="","",COUNTIFS($C$18:$C$2015,G$13,$D$18:$D$2015,"&gt;="&amp;G188,$D$18:$D$2015,"&lt;"&amp;G189))</f>
        <v/>
      </c>
      <c r="I188" s="14" t="n"/>
      <c r="J188" s="16" t="n"/>
      <c r="K188" s="124">
        <f>IF(J188="","",COUNTIFS($C$18:$C$2015,J$13,$D$18:$D$2015,"&gt;="&amp;J188,$D$18:$D$2015,"&lt;"&amp;J189))</f>
        <v/>
      </c>
      <c r="L188" s="14" t="n"/>
      <c r="M188" s="16" t="n"/>
      <c r="N188" s="124">
        <f>IF(M188="","",COUNTIFS($C$18:$C$2015,M$13,$D$18:$D$2015,"&gt;="&amp;M188,$D$18:$D$2015,"&lt;"&amp;M189))</f>
        <v/>
      </c>
      <c r="O188" s="14" t="n"/>
      <c r="P188" s="16" t="n"/>
      <c r="Q188" s="124">
        <f>IF(P188="","",COUNTIFS($C$18:$C$2015,P$13,$D$18:$D$2015,"&gt;="&amp;P188,$D$18:$D$2015,"&lt;"&amp;P189))</f>
        <v/>
      </c>
      <c r="R188" s="14" t="n"/>
      <c r="S188" s="16" t="n"/>
      <c r="T188" s="124">
        <f>IF(S188="","",COUNTIFS($C$18:$C$2015,S$13,$D$18:$D$2015,"&gt;="&amp;S188,$D$18:$D$2015,"&lt;"&amp;S189))</f>
        <v/>
      </c>
      <c r="U188" s="14" t="n"/>
      <c r="V188" s="16" t="n"/>
      <c r="W188" s="124">
        <f>IF(V188="","",COUNTIFS($C$18:$C$2015,V$13,$D$18:$D$2015,"&gt;="&amp;V188,$D$18:$D$2015,"&lt;"&amp;V189))</f>
        <v/>
      </c>
      <c r="X188" s="14" t="n"/>
      <c r="Y188" s="16" t="n"/>
      <c r="Z188" s="124">
        <f>IF(Y188="","",COUNTIFS($C$18:$C$2015,Y$13,$D$18:$D$2015,"&gt;="&amp;Y188,$D$18:$D$2015,"&lt;"&amp;Y189))</f>
        <v/>
      </c>
      <c r="AA188" s="14" t="n"/>
      <c r="AB188" s="16" t="n"/>
      <c r="AC188" s="124">
        <f>IF(AB188="","",COUNTIFS($C$18:$C$2015,AB$13,$D$18:$D$2015,"&gt;="&amp;AB188,$D$18:$D$2015,"&lt;"&amp;AB189))</f>
        <v/>
      </c>
      <c r="AD188" s="14" t="n"/>
    </row>
    <row r="189">
      <c r="A189" s="58" t="n"/>
      <c r="B189" s="59" t="n"/>
      <c r="C189" s="59" t="n"/>
      <c r="E189" s="16" t="n"/>
      <c r="F189" s="13" t="n"/>
      <c r="G189" s="16" t="n"/>
      <c r="H189" s="124">
        <f>IF(G189="","",COUNTIFS($C$18:$C$2015,G$13,$D$18:$D$2015,"&gt;="&amp;G189,$D$18:$D$2015,"&lt;"&amp;G190))</f>
        <v/>
      </c>
      <c r="I189" s="14" t="n"/>
      <c r="J189" s="16" t="n"/>
      <c r="K189" s="124">
        <f>IF(J189="","",COUNTIFS($C$18:$C$2015,J$13,$D$18:$D$2015,"&gt;="&amp;J189,$D$18:$D$2015,"&lt;"&amp;J190))</f>
        <v/>
      </c>
      <c r="L189" s="14" t="n"/>
      <c r="M189" s="16" t="n"/>
      <c r="N189" s="124">
        <f>IF(M189="","",COUNTIFS($C$18:$C$2015,M$13,$D$18:$D$2015,"&gt;="&amp;M189,$D$18:$D$2015,"&lt;"&amp;M190))</f>
        <v/>
      </c>
      <c r="O189" s="14" t="n"/>
      <c r="P189" s="16" t="n"/>
      <c r="Q189" s="124">
        <f>IF(P189="","",COUNTIFS($C$18:$C$2015,P$13,$D$18:$D$2015,"&gt;="&amp;P189,$D$18:$D$2015,"&lt;"&amp;P190))</f>
        <v/>
      </c>
      <c r="R189" s="14" t="n"/>
      <c r="S189" s="16" t="n"/>
      <c r="T189" s="124">
        <f>IF(S189="","",COUNTIFS($C$18:$C$2015,S$13,$D$18:$D$2015,"&gt;="&amp;S189,$D$18:$D$2015,"&lt;"&amp;S190))</f>
        <v/>
      </c>
      <c r="U189" s="14" t="n"/>
      <c r="V189" s="16" t="n"/>
      <c r="W189" s="124">
        <f>IF(V189="","",COUNTIFS($C$18:$C$2015,V$13,$D$18:$D$2015,"&gt;="&amp;V189,$D$18:$D$2015,"&lt;"&amp;V190))</f>
        <v/>
      </c>
      <c r="X189" s="14" t="n"/>
      <c r="Y189" s="16" t="n"/>
      <c r="Z189" s="124">
        <f>IF(Y189="","",COUNTIFS($C$18:$C$2015,Y$13,$D$18:$D$2015,"&gt;="&amp;Y189,$D$18:$D$2015,"&lt;"&amp;Y190))</f>
        <v/>
      </c>
      <c r="AA189" s="14" t="n"/>
      <c r="AB189" s="16" t="n"/>
      <c r="AC189" s="124">
        <f>IF(AB189="","",COUNTIFS($C$18:$C$2015,AB$13,$D$18:$D$2015,"&gt;="&amp;AB189,$D$18:$D$2015,"&lt;"&amp;AB190))</f>
        <v/>
      </c>
      <c r="AD189" s="14" t="n"/>
    </row>
    <row r="190">
      <c r="A190" s="56" t="n"/>
      <c r="B190" s="57" t="n"/>
      <c r="C190" s="59" t="n"/>
      <c r="E190" s="16" t="n"/>
      <c r="F190" s="13" t="n"/>
      <c r="G190" s="16" t="n"/>
      <c r="H190" s="124">
        <f>IF(G190="","",COUNTIFS($C$18:$C$2015,G$13,$D$18:$D$2015,"&gt;="&amp;G190,$D$18:$D$2015,"&lt;"&amp;G191))</f>
        <v/>
      </c>
      <c r="I190" s="14" t="n"/>
      <c r="J190" s="16" t="n"/>
      <c r="K190" s="124">
        <f>IF(J190="","",COUNTIFS($C$18:$C$2015,J$13,$D$18:$D$2015,"&gt;="&amp;J190,$D$18:$D$2015,"&lt;"&amp;J191))</f>
        <v/>
      </c>
      <c r="L190" s="14" t="n"/>
      <c r="M190" s="16" t="n"/>
      <c r="N190" s="124">
        <f>IF(M190="","",COUNTIFS($C$18:$C$2015,M$13,$D$18:$D$2015,"&gt;="&amp;M190,$D$18:$D$2015,"&lt;"&amp;M191))</f>
        <v/>
      </c>
      <c r="O190" s="14" t="n"/>
      <c r="P190" s="16" t="n"/>
      <c r="Q190" s="124">
        <f>IF(P190="","",COUNTIFS($C$18:$C$2015,P$13,$D$18:$D$2015,"&gt;="&amp;P190,$D$18:$D$2015,"&lt;"&amp;P191))</f>
        <v/>
      </c>
      <c r="R190" s="14" t="n"/>
      <c r="S190" s="16" t="n"/>
      <c r="T190" s="124">
        <f>IF(S190="","",COUNTIFS($C$18:$C$2015,S$13,$D$18:$D$2015,"&gt;="&amp;S190,$D$18:$D$2015,"&lt;"&amp;S191))</f>
        <v/>
      </c>
      <c r="U190" s="14" t="n"/>
      <c r="V190" s="16" t="n"/>
      <c r="W190" s="124">
        <f>IF(V190="","",COUNTIFS($C$18:$C$2015,V$13,$D$18:$D$2015,"&gt;="&amp;V190,$D$18:$D$2015,"&lt;"&amp;V191))</f>
        <v/>
      </c>
      <c r="X190" s="14" t="n"/>
      <c r="Y190" s="16" t="n"/>
      <c r="Z190" s="124">
        <f>IF(Y190="","",COUNTIFS($C$18:$C$2015,Y$13,$D$18:$D$2015,"&gt;="&amp;Y190,$D$18:$D$2015,"&lt;"&amp;Y191))</f>
        <v/>
      </c>
      <c r="AA190" s="14" t="n"/>
      <c r="AB190" s="16" t="n"/>
      <c r="AC190" s="124">
        <f>IF(AB190="","",COUNTIFS($C$18:$C$2015,AB$13,$D$18:$D$2015,"&gt;="&amp;AB190,$D$18:$D$2015,"&lt;"&amp;AB191))</f>
        <v/>
      </c>
      <c r="AD190" s="14" t="n"/>
    </row>
    <row r="191">
      <c r="A191" s="58" t="n"/>
      <c r="B191" s="59" t="n"/>
      <c r="C191" s="59" t="n"/>
      <c r="E191" s="16" t="n"/>
      <c r="F191" s="13" t="n"/>
      <c r="G191" s="16" t="n"/>
      <c r="H191" s="124">
        <f>IF(G191="","",COUNTIFS($C$18:$C$2015,G$13,$D$18:$D$2015,"&gt;="&amp;G191,$D$18:$D$2015,"&lt;"&amp;G192))</f>
        <v/>
      </c>
      <c r="I191" s="14" t="n"/>
      <c r="J191" s="16" t="n"/>
      <c r="K191" s="124">
        <f>IF(J191="","",COUNTIFS($C$18:$C$2015,J$13,$D$18:$D$2015,"&gt;="&amp;J191,$D$18:$D$2015,"&lt;"&amp;J192))</f>
        <v/>
      </c>
      <c r="L191" s="14" t="n"/>
      <c r="M191" s="16" t="n"/>
      <c r="N191" s="124">
        <f>IF(M191="","",COUNTIFS($C$18:$C$2015,M$13,$D$18:$D$2015,"&gt;="&amp;M191,$D$18:$D$2015,"&lt;"&amp;M192))</f>
        <v/>
      </c>
      <c r="O191" s="14" t="n"/>
      <c r="P191" s="16" t="n"/>
      <c r="Q191" s="124">
        <f>IF(P191="","",COUNTIFS($C$18:$C$2015,P$13,$D$18:$D$2015,"&gt;="&amp;P191,$D$18:$D$2015,"&lt;"&amp;P192))</f>
        <v/>
      </c>
      <c r="R191" s="14" t="n"/>
      <c r="S191" s="16" t="n"/>
      <c r="T191" s="124">
        <f>IF(S191="","",COUNTIFS($C$18:$C$2015,S$13,$D$18:$D$2015,"&gt;="&amp;S191,$D$18:$D$2015,"&lt;"&amp;S192))</f>
        <v/>
      </c>
      <c r="U191" s="14" t="n"/>
      <c r="V191" s="16" t="n"/>
      <c r="W191" s="124">
        <f>IF(V191="","",COUNTIFS($C$18:$C$2015,V$13,$D$18:$D$2015,"&gt;="&amp;V191,$D$18:$D$2015,"&lt;"&amp;V192))</f>
        <v/>
      </c>
      <c r="X191" s="14" t="n"/>
      <c r="Y191" s="16" t="n"/>
      <c r="Z191" s="124">
        <f>IF(Y191="","",COUNTIFS($C$18:$C$2015,Y$13,$D$18:$D$2015,"&gt;="&amp;Y191,$D$18:$D$2015,"&lt;"&amp;Y192))</f>
        <v/>
      </c>
      <c r="AA191" s="14" t="n"/>
      <c r="AB191" s="16" t="n"/>
      <c r="AC191" s="124">
        <f>IF(AB191="","",COUNTIFS($C$18:$C$2015,AB$13,$D$18:$D$2015,"&gt;="&amp;AB191,$D$18:$D$2015,"&lt;"&amp;AB192))</f>
        <v/>
      </c>
      <c r="AD191" s="14" t="n"/>
    </row>
    <row r="192">
      <c r="A192" s="56" t="n"/>
      <c r="B192" s="57" t="n"/>
      <c r="C192" s="59" t="n"/>
      <c r="E192" s="16" t="n"/>
      <c r="F192" s="13" t="n"/>
      <c r="G192" s="16" t="n"/>
      <c r="H192" s="124">
        <f>IF(G192="","",COUNTIFS($C$18:$C$2015,G$13,$D$18:$D$2015,"&gt;="&amp;G192,$D$18:$D$2015,"&lt;"&amp;G193))</f>
        <v/>
      </c>
      <c r="I192" s="14" t="n"/>
      <c r="J192" s="16" t="n"/>
      <c r="K192" s="124">
        <f>IF(J192="","",COUNTIFS($C$18:$C$2015,J$13,$D$18:$D$2015,"&gt;="&amp;J192,$D$18:$D$2015,"&lt;"&amp;J193))</f>
        <v/>
      </c>
      <c r="L192" s="14" t="n"/>
      <c r="M192" s="16" t="n"/>
      <c r="N192" s="124">
        <f>IF(M192="","",COUNTIFS($C$18:$C$2015,M$13,$D$18:$D$2015,"&gt;="&amp;M192,$D$18:$D$2015,"&lt;"&amp;M193))</f>
        <v/>
      </c>
      <c r="O192" s="14" t="n"/>
      <c r="P192" s="16" t="n"/>
      <c r="Q192" s="124">
        <f>IF(P192="","",COUNTIFS($C$18:$C$2015,P$13,$D$18:$D$2015,"&gt;="&amp;P192,$D$18:$D$2015,"&lt;"&amp;P193))</f>
        <v/>
      </c>
      <c r="R192" s="14" t="n"/>
      <c r="S192" s="16" t="n"/>
      <c r="T192" s="124">
        <f>IF(S192="","",COUNTIFS($C$18:$C$2015,S$13,$D$18:$D$2015,"&gt;="&amp;S192,$D$18:$D$2015,"&lt;"&amp;S193))</f>
        <v/>
      </c>
      <c r="U192" s="14" t="n"/>
      <c r="V192" s="16" t="n"/>
      <c r="W192" s="124">
        <f>IF(V192="","",COUNTIFS($C$18:$C$2015,V$13,$D$18:$D$2015,"&gt;="&amp;V192,$D$18:$D$2015,"&lt;"&amp;V193))</f>
        <v/>
      </c>
      <c r="X192" s="14" t="n"/>
      <c r="Y192" s="16" t="n"/>
      <c r="Z192" s="124">
        <f>IF(Y192="","",COUNTIFS($C$18:$C$2015,Y$13,$D$18:$D$2015,"&gt;="&amp;Y192,$D$18:$D$2015,"&lt;"&amp;Y193))</f>
        <v/>
      </c>
      <c r="AA192" s="14" t="n"/>
      <c r="AB192" s="16" t="n"/>
      <c r="AC192" s="124">
        <f>IF(AB192="","",COUNTIFS($C$18:$C$2015,AB$13,$D$18:$D$2015,"&gt;="&amp;AB192,$D$18:$D$2015,"&lt;"&amp;AB193))</f>
        <v/>
      </c>
      <c r="AD192" s="14" t="n"/>
    </row>
    <row r="193">
      <c r="A193" s="58" t="n"/>
      <c r="B193" s="59" t="n"/>
      <c r="C193" s="59" t="n"/>
      <c r="E193" s="16" t="n"/>
      <c r="F193" s="13" t="n"/>
      <c r="G193" s="16" t="n"/>
      <c r="H193" s="124">
        <f>IF(G193="","",COUNTIFS($C$18:$C$2015,G$13,$D$18:$D$2015,"&gt;="&amp;G193,$D$18:$D$2015,"&lt;"&amp;G194))</f>
        <v/>
      </c>
      <c r="I193" s="14" t="n"/>
      <c r="J193" s="16" t="n"/>
      <c r="K193" s="124">
        <f>IF(J193="","",COUNTIFS($C$18:$C$2015,J$13,$D$18:$D$2015,"&gt;="&amp;J193,$D$18:$D$2015,"&lt;"&amp;J194))</f>
        <v/>
      </c>
      <c r="L193" s="14" t="n"/>
      <c r="M193" s="16" t="n"/>
      <c r="N193" s="124">
        <f>IF(M193="","",COUNTIFS($C$18:$C$2015,M$13,$D$18:$D$2015,"&gt;="&amp;M193,$D$18:$D$2015,"&lt;"&amp;M194))</f>
        <v/>
      </c>
      <c r="O193" s="14" t="n"/>
      <c r="P193" s="16" t="n"/>
      <c r="Q193" s="124">
        <f>IF(P193="","",COUNTIFS($C$18:$C$2015,P$13,$D$18:$D$2015,"&gt;="&amp;P193,$D$18:$D$2015,"&lt;"&amp;P194))</f>
        <v/>
      </c>
      <c r="R193" s="14" t="n"/>
      <c r="S193" s="16" t="n"/>
      <c r="T193" s="124">
        <f>IF(S193="","",COUNTIFS($C$18:$C$2015,S$13,$D$18:$D$2015,"&gt;="&amp;S193,$D$18:$D$2015,"&lt;"&amp;S194))</f>
        <v/>
      </c>
      <c r="U193" s="14" t="n"/>
      <c r="V193" s="16" t="n"/>
      <c r="W193" s="124">
        <f>IF(V193="","",COUNTIFS($C$18:$C$2015,V$13,$D$18:$D$2015,"&gt;="&amp;V193,$D$18:$D$2015,"&lt;"&amp;V194))</f>
        <v/>
      </c>
      <c r="X193" s="14" t="n"/>
      <c r="Y193" s="16" t="n"/>
      <c r="Z193" s="124">
        <f>IF(Y193="","",COUNTIFS($C$18:$C$2015,Y$13,$D$18:$D$2015,"&gt;="&amp;Y193,$D$18:$D$2015,"&lt;"&amp;Y194))</f>
        <v/>
      </c>
      <c r="AA193" s="14" t="n"/>
      <c r="AB193" s="16" t="n"/>
      <c r="AC193" s="124">
        <f>IF(AB193="","",COUNTIFS($C$18:$C$2015,AB$13,$D$18:$D$2015,"&gt;="&amp;AB193,$D$18:$D$2015,"&lt;"&amp;AB194))</f>
        <v/>
      </c>
      <c r="AD193" s="14" t="n"/>
    </row>
    <row r="194">
      <c r="A194" s="56" t="n"/>
      <c r="B194" s="57" t="n"/>
      <c r="C194" s="59" t="n"/>
      <c r="E194" s="16" t="n"/>
      <c r="F194" s="13" t="n"/>
      <c r="G194" s="16" t="n"/>
      <c r="H194" s="124">
        <f>IF(G194="","",COUNTIFS($C$18:$C$2015,G$13,$D$18:$D$2015,"&gt;="&amp;G194,$D$18:$D$2015,"&lt;"&amp;G195))</f>
        <v/>
      </c>
      <c r="I194" s="14" t="n"/>
      <c r="J194" s="16" t="n"/>
      <c r="K194" s="124">
        <f>IF(J194="","",COUNTIFS($C$18:$C$2015,J$13,$D$18:$D$2015,"&gt;="&amp;J194,$D$18:$D$2015,"&lt;"&amp;J195))</f>
        <v/>
      </c>
      <c r="L194" s="14" t="n"/>
      <c r="M194" s="16" t="n"/>
      <c r="N194" s="124">
        <f>IF(M194="","",COUNTIFS($C$18:$C$2015,M$13,$D$18:$D$2015,"&gt;="&amp;M194,$D$18:$D$2015,"&lt;"&amp;M195))</f>
        <v/>
      </c>
      <c r="O194" s="14" t="n"/>
      <c r="P194" s="16" t="n"/>
      <c r="Q194" s="124">
        <f>IF(P194="","",COUNTIFS($C$18:$C$2015,P$13,$D$18:$D$2015,"&gt;="&amp;P194,$D$18:$D$2015,"&lt;"&amp;P195))</f>
        <v/>
      </c>
      <c r="R194" s="14" t="n"/>
      <c r="S194" s="16" t="n"/>
      <c r="T194" s="124">
        <f>IF(S194="","",COUNTIFS($C$18:$C$2015,S$13,$D$18:$D$2015,"&gt;="&amp;S194,$D$18:$D$2015,"&lt;"&amp;S195))</f>
        <v/>
      </c>
      <c r="U194" s="14" t="n"/>
      <c r="V194" s="16" t="n"/>
      <c r="W194" s="124">
        <f>IF(V194="","",COUNTIFS($C$18:$C$2015,V$13,$D$18:$D$2015,"&gt;="&amp;V194,$D$18:$D$2015,"&lt;"&amp;V195))</f>
        <v/>
      </c>
      <c r="X194" s="14" t="n"/>
      <c r="Y194" s="16" t="n"/>
      <c r="Z194" s="124">
        <f>IF(Y194="","",COUNTIFS($C$18:$C$2015,Y$13,$D$18:$D$2015,"&gt;="&amp;Y194,$D$18:$D$2015,"&lt;"&amp;Y195))</f>
        <v/>
      </c>
      <c r="AA194" s="14" t="n"/>
      <c r="AB194" s="16" t="n"/>
      <c r="AC194" s="124">
        <f>IF(AB194="","",COUNTIFS($C$18:$C$2015,AB$13,$D$18:$D$2015,"&gt;="&amp;AB194,$D$18:$D$2015,"&lt;"&amp;AB195))</f>
        <v/>
      </c>
      <c r="AD194" s="14" t="n"/>
    </row>
    <row r="195">
      <c r="A195" s="58" t="n"/>
      <c r="B195" s="59" t="n"/>
      <c r="C195" s="59" t="n"/>
      <c r="E195" s="16" t="n"/>
      <c r="F195" s="13" t="n"/>
      <c r="G195" s="16" t="n"/>
      <c r="H195" s="124">
        <f>IF(G195="","",COUNTIFS($C$18:$C$2015,G$13,$D$18:$D$2015,"&gt;="&amp;G195,$D$18:$D$2015,"&lt;"&amp;G196))</f>
        <v/>
      </c>
      <c r="I195" s="14" t="n"/>
      <c r="J195" s="16" t="n"/>
      <c r="K195" s="124">
        <f>IF(J195="","",COUNTIFS($C$18:$C$2015,J$13,$D$18:$D$2015,"&gt;="&amp;J195,$D$18:$D$2015,"&lt;"&amp;J196))</f>
        <v/>
      </c>
      <c r="L195" s="14" t="n"/>
      <c r="M195" s="16" t="n"/>
      <c r="N195" s="124">
        <f>IF(M195="","",COUNTIFS($C$18:$C$2015,M$13,$D$18:$D$2015,"&gt;="&amp;M195,$D$18:$D$2015,"&lt;"&amp;M196))</f>
        <v/>
      </c>
      <c r="O195" s="14" t="n"/>
      <c r="P195" s="16" t="n"/>
      <c r="Q195" s="124">
        <f>IF(P195="","",COUNTIFS($C$18:$C$2015,P$13,$D$18:$D$2015,"&gt;="&amp;P195,$D$18:$D$2015,"&lt;"&amp;P196))</f>
        <v/>
      </c>
      <c r="R195" s="14" t="n"/>
      <c r="S195" s="16" t="n"/>
      <c r="T195" s="124">
        <f>IF(S195="","",COUNTIFS($C$18:$C$2015,S$13,$D$18:$D$2015,"&gt;="&amp;S195,$D$18:$D$2015,"&lt;"&amp;S196))</f>
        <v/>
      </c>
      <c r="U195" s="14" t="n"/>
      <c r="V195" s="16" t="n"/>
      <c r="W195" s="124">
        <f>IF(V195="","",COUNTIFS($C$18:$C$2015,V$13,$D$18:$D$2015,"&gt;="&amp;V195,$D$18:$D$2015,"&lt;"&amp;V196))</f>
        <v/>
      </c>
      <c r="X195" s="14" t="n"/>
      <c r="Y195" s="16" t="n"/>
      <c r="Z195" s="124">
        <f>IF(Y195="","",COUNTIFS($C$18:$C$2015,Y$13,$D$18:$D$2015,"&gt;="&amp;Y195,$D$18:$D$2015,"&lt;"&amp;Y196))</f>
        <v/>
      </c>
      <c r="AA195" s="14" t="n"/>
      <c r="AB195" s="16" t="n"/>
      <c r="AC195" s="124">
        <f>IF(AB195="","",COUNTIFS($C$18:$C$2015,AB$13,$D$18:$D$2015,"&gt;="&amp;AB195,$D$18:$D$2015,"&lt;"&amp;AB196))</f>
        <v/>
      </c>
      <c r="AD195" s="14" t="n"/>
    </row>
    <row r="196">
      <c r="A196" s="56" t="n"/>
      <c r="B196" s="57" t="n"/>
      <c r="C196" s="59" t="n"/>
      <c r="E196" s="16" t="n"/>
      <c r="F196" s="13" t="n"/>
      <c r="G196" s="16" t="n"/>
      <c r="H196" s="124">
        <f>IF(G196="","",COUNTIFS($C$18:$C$2015,G$13,$D$18:$D$2015,"&gt;="&amp;G196,$D$18:$D$2015,"&lt;"&amp;G197))</f>
        <v/>
      </c>
      <c r="I196" s="14" t="n"/>
      <c r="J196" s="16" t="n"/>
      <c r="K196" s="124">
        <f>IF(J196="","",COUNTIFS($C$18:$C$2015,J$13,$D$18:$D$2015,"&gt;="&amp;J196,$D$18:$D$2015,"&lt;"&amp;J197))</f>
        <v/>
      </c>
      <c r="L196" s="14" t="n"/>
      <c r="M196" s="16" t="n"/>
      <c r="N196" s="124">
        <f>IF(M196="","",COUNTIFS($C$18:$C$2015,M$13,$D$18:$D$2015,"&gt;="&amp;M196,$D$18:$D$2015,"&lt;"&amp;M197))</f>
        <v/>
      </c>
      <c r="O196" s="14" t="n"/>
      <c r="P196" s="16" t="n"/>
      <c r="Q196" s="124">
        <f>IF(P196="","",COUNTIFS($C$18:$C$2015,P$13,$D$18:$D$2015,"&gt;="&amp;P196,$D$18:$D$2015,"&lt;"&amp;P197))</f>
        <v/>
      </c>
      <c r="R196" s="14" t="n"/>
      <c r="S196" s="16" t="n"/>
      <c r="T196" s="124">
        <f>IF(S196="","",COUNTIFS($C$18:$C$2015,S$13,$D$18:$D$2015,"&gt;="&amp;S196,$D$18:$D$2015,"&lt;"&amp;S197))</f>
        <v/>
      </c>
      <c r="U196" s="14" t="n"/>
      <c r="V196" s="16" t="n"/>
      <c r="W196" s="124">
        <f>IF(V196="","",COUNTIFS($C$18:$C$2015,V$13,$D$18:$D$2015,"&gt;="&amp;V196,$D$18:$D$2015,"&lt;"&amp;V197))</f>
        <v/>
      </c>
      <c r="X196" s="14" t="n"/>
      <c r="Y196" s="16" t="n"/>
      <c r="Z196" s="124">
        <f>IF(Y196="","",COUNTIFS($C$18:$C$2015,Y$13,$D$18:$D$2015,"&gt;="&amp;Y196,$D$18:$D$2015,"&lt;"&amp;Y197))</f>
        <v/>
      </c>
      <c r="AA196" s="14" t="n"/>
      <c r="AB196" s="16" t="n"/>
      <c r="AC196" s="124">
        <f>IF(AB196="","",COUNTIFS($C$18:$C$2015,AB$13,$D$18:$D$2015,"&gt;="&amp;AB196,$D$18:$D$2015,"&lt;"&amp;AB197))</f>
        <v/>
      </c>
      <c r="AD196" s="14" t="n"/>
    </row>
    <row r="197">
      <c r="A197" s="58" t="n"/>
      <c r="B197" s="59" t="n"/>
      <c r="C197" s="59" t="n"/>
      <c r="E197" s="16" t="n"/>
      <c r="F197" s="13" t="n"/>
      <c r="G197" s="16" t="n"/>
      <c r="H197" s="124">
        <f>IF(G197="","",COUNTIFS($C$18:$C$2015,G$13,$D$18:$D$2015,"&gt;="&amp;G197,$D$18:$D$2015,"&lt;"&amp;G198))</f>
        <v/>
      </c>
      <c r="I197" s="14" t="n"/>
      <c r="J197" s="16" t="n"/>
      <c r="K197" s="124">
        <f>IF(J197="","",COUNTIFS($C$18:$C$2015,J$13,$D$18:$D$2015,"&gt;="&amp;J197,$D$18:$D$2015,"&lt;"&amp;J198))</f>
        <v/>
      </c>
      <c r="L197" s="14" t="n"/>
      <c r="M197" s="16" t="n"/>
      <c r="N197" s="124">
        <f>IF(M197="","",COUNTIFS($C$18:$C$2015,M$13,$D$18:$D$2015,"&gt;="&amp;M197,$D$18:$D$2015,"&lt;"&amp;M198))</f>
        <v/>
      </c>
      <c r="O197" s="14" t="n"/>
      <c r="P197" s="16" t="n"/>
      <c r="Q197" s="124">
        <f>IF(P197="","",COUNTIFS($C$18:$C$2015,P$13,$D$18:$D$2015,"&gt;="&amp;P197,$D$18:$D$2015,"&lt;"&amp;P198))</f>
        <v/>
      </c>
      <c r="R197" s="14" t="n"/>
      <c r="S197" s="16" t="n"/>
      <c r="T197" s="124">
        <f>IF(S197="","",COUNTIFS($C$18:$C$2015,S$13,$D$18:$D$2015,"&gt;="&amp;S197,$D$18:$D$2015,"&lt;"&amp;S198))</f>
        <v/>
      </c>
      <c r="U197" s="14" t="n"/>
      <c r="V197" s="16" t="n"/>
      <c r="W197" s="124">
        <f>IF(V197="","",COUNTIFS($C$18:$C$2015,V$13,$D$18:$D$2015,"&gt;="&amp;V197,$D$18:$D$2015,"&lt;"&amp;V198))</f>
        <v/>
      </c>
      <c r="X197" s="14" t="n"/>
      <c r="Y197" s="16" t="n"/>
      <c r="Z197" s="124">
        <f>IF(Y197="","",COUNTIFS($C$18:$C$2015,Y$13,$D$18:$D$2015,"&gt;="&amp;Y197,$D$18:$D$2015,"&lt;"&amp;Y198))</f>
        <v/>
      </c>
      <c r="AA197" s="14" t="n"/>
      <c r="AB197" s="16" t="n"/>
      <c r="AC197" s="124">
        <f>IF(AB197="","",COUNTIFS($C$18:$C$2015,AB$13,$D$18:$D$2015,"&gt;="&amp;AB197,$D$18:$D$2015,"&lt;"&amp;AB198))</f>
        <v/>
      </c>
      <c r="AD197" s="14" t="n"/>
    </row>
    <row r="198">
      <c r="A198" s="56" t="n"/>
      <c r="B198" s="57" t="n"/>
      <c r="C198" s="59" t="n"/>
      <c r="E198" s="16" t="n"/>
      <c r="F198" s="13" t="n"/>
      <c r="G198" s="16" t="n"/>
      <c r="H198" s="124">
        <f>IF(G198="","",COUNTIFS($C$18:$C$2015,G$13,$D$18:$D$2015,"&gt;="&amp;G198,$D$18:$D$2015,"&lt;"&amp;G199))</f>
        <v/>
      </c>
      <c r="I198" s="14" t="n"/>
      <c r="J198" s="16" t="n"/>
      <c r="K198" s="124">
        <f>IF(J198="","",COUNTIFS($C$18:$C$2015,J$13,$D$18:$D$2015,"&gt;="&amp;J198,$D$18:$D$2015,"&lt;"&amp;J199))</f>
        <v/>
      </c>
      <c r="L198" s="14" t="n"/>
      <c r="M198" s="16" t="n"/>
      <c r="N198" s="124">
        <f>IF(M198="","",COUNTIFS($C$18:$C$2015,M$13,$D$18:$D$2015,"&gt;="&amp;M198,$D$18:$D$2015,"&lt;"&amp;M199))</f>
        <v/>
      </c>
      <c r="O198" s="14" t="n"/>
      <c r="P198" s="16" t="n"/>
      <c r="Q198" s="124">
        <f>IF(P198="","",COUNTIFS($C$18:$C$2015,P$13,$D$18:$D$2015,"&gt;="&amp;P198,$D$18:$D$2015,"&lt;"&amp;P199))</f>
        <v/>
      </c>
      <c r="R198" s="14" t="n"/>
      <c r="S198" s="16" t="n"/>
      <c r="T198" s="124">
        <f>IF(S198="","",COUNTIFS($C$18:$C$2015,S$13,$D$18:$D$2015,"&gt;="&amp;S198,$D$18:$D$2015,"&lt;"&amp;S199))</f>
        <v/>
      </c>
      <c r="U198" s="14" t="n"/>
      <c r="V198" s="16" t="n"/>
      <c r="W198" s="124">
        <f>IF(V198="","",COUNTIFS($C$18:$C$2015,V$13,$D$18:$D$2015,"&gt;="&amp;V198,$D$18:$D$2015,"&lt;"&amp;V199))</f>
        <v/>
      </c>
      <c r="X198" s="14" t="n"/>
      <c r="Y198" s="16" t="n"/>
      <c r="Z198" s="124">
        <f>IF(Y198="","",COUNTIFS($C$18:$C$2015,Y$13,$D$18:$D$2015,"&gt;="&amp;Y198,$D$18:$D$2015,"&lt;"&amp;Y199))</f>
        <v/>
      </c>
      <c r="AA198" s="14" t="n"/>
      <c r="AB198" s="16" t="n"/>
      <c r="AC198" s="124">
        <f>IF(AB198="","",COUNTIFS($C$18:$C$2015,AB$13,$D$18:$D$2015,"&gt;="&amp;AB198,$D$18:$D$2015,"&lt;"&amp;AB199))</f>
        <v/>
      </c>
      <c r="AD198" s="14" t="n"/>
    </row>
    <row r="199">
      <c r="A199" s="58" t="n"/>
      <c r="B199" s="59" t="n"/>
      <c r="C199" s="59" t="n"/>
      <c r="E199" s="16" t="n"/>
      <c r="F199" s="13" t="n"/>
      <c r="G199" s="16" t="n"/>
      <c r="H199" s="124">
        <f>IF(G199="","",COUNTIFS($C$18:$C$2015,G$13,$D$18:$D$2015,"&gt;="&amp;G199,$D$18:$D$2015,"&lt;"&amp;G200))</f>
        <v/>
      </c>
      <c r="I199" s="14" t="n"/>
      <c r="J199" s="16" t="n"/>
      <c r="K199" s="124">
        <f>IF(J199="","",COUNTIFS($C$18:$C$2015,J$13,$D$18:$D$2015,"&gt;="&amp;J199,$D$18:$D$2015,"&lt;"&amp;J200))</f>
        <v/>
      </c>
      <c r="L199" s="14" t="n"/>
      <c r="M199" s="16" t="n"/>
      <c r="N199" s="124">
        <f>IF(M199="","",COUNTIFS($C$18:$C$2015,M$13,$D$18:$D$2015,"&gt;="&amp;M199,$D$18:$D$2015,"&lt;"&amp;M200))</f>
        <v/>
      </c>
      <c r="O199" s="14" t="n"/>
      <c r="P199" s="16" t="n"/>
      <c r="Q199" s="124">
        <f>IF(P199="","",COUNTIFS($C$18:$C$2015,P$13,$D$18:$D$2015,"&gt;="&amp;P199,$D$18:$D$2015,"&lt;"&amp;P200))</f>
        <v/>
      </c>
      <c r="R199" s="14" t="n"/>
      <c r="S199" s="16" t="n"/>
      <c r="T199" s="124">
        <f>IF(S199="","",COUNTIFS($C$18:$C$2015,S$13,$D$18:$D$2015,"&gt;="&amp;S199,$D$18:$D$2015,"&lt;"&amp;S200))</f>
        <v/>
      </c>
      <c r="U199" s="14" t="n"/>
      <c r="V199" s="16" t="n"/>
      <c r="W199" s="124">
        <f>IF(V199="","",COUNTIFS($C$18:$C$2015,V$13,$D$18:$D$2015,"&gt;="&amp;V199,$D$18:$D$2015,"&lt;"&amp;V200))</f>
        <v/>
      </c>
      <c r="X199" s="14" t="n"/>
      <c r="Y199" s="16" t="n"/>
      <c r="Z199" s="124">
        <f>IF(Y199="","",COUNTIFS($C$18:$C$2015,Y$13,$D$18:$D$2015,"&gt;="&amp;Y199,$D$18:$D$2015,"&lt;"&amp;Y200))</f>
        <v/>
      </c>
      <c r="AA199" s="14" t="n"/>
      <c r="AB199" s="16" t="n"/>
      <c r="AC199" s="124">
        <f>IF(AB199="","",COUNTIFS($C$18:$C$2015,AB$13,$D$18:$D$2015,"&gt;="&amp;AB199,$D$18:$D$2015,"&lt;"&amp;AB200))</f>
        <v/>
      </c>
      <c r="AD199" s="14" t="n"/>
    </row>
    <row r="200">
      <c r="A200" s="56" t="n"/>
      <c r="B200" s="57" t="n"/>
      <c r="C200" s="59" t="n"/>
      <c r="E200" s="16" t="n"/>
      <c r="F200" s="13" t="n"/>
      <c r="G200" s="16" t="n"/>
      <c r="H200" s="124">
        <f>IF(G200="","",COUNTIFS($C$18:$C$2015,G$13,$D$18:$D$2015,"&gt;="&amp;G200,$D$18:$D$2015,"&lt;"&amp;G201))</f>
        <v/>
      </c>
      <c r="I200" s="14" t="n"/>
      <c r="J200" s="16" t="n"/>
      <c r="K200" s="124">
        <f>IF(J200="","",COUNTIFS($C$18:$C$2015,J$13,$D$18:$D$2015,"&gt;="&amp;J200,$D$18:$D$2015,"&lt;"&amp;J201))</f>
        <v/>
      </c>
      <c r="L200" s="14" t="n"/>
      <c r="M200" s="16" t="n"/>
      <c r="N200" s="124">
        <f>IF(M200="","",COUNTIFS($C$18:$C$2015,M$13,$D$18:$D$2015,"&gt;="&amp;M200,$D$18:$D$2015,"&lt;"&amp;M201))</f>
        <v/>
      </c>
      <c r="O200" s="14" t="n"/>
      <c r="P200" s="16" t="n"/>
      <c r="Q200" s="124">
        <f>IF(P200="","",COUNTIFS($C$18:$C$2015,P$13,$D$18:$D$2015,"&gt;="&amp;P200,$D$18:$D$2015,"&lt;"&amp;P201))</f>
        <v/>
      </c>
      <c r="R200" s="14" t="n"/>
      <c r="S200" s="16" t="n"/>
      <c r="T200" s="124">
        <f>IF(S200="","",COUNTIFS($C$18:$C$2015,S$13,$D$18:$D$2015,"&gt;="&amp;S200,$D$18:$D$2015,"&lt;"&amp;S201))</f>
        <v/>
      </c>
      <c r="U200" s="14" t="n"/>
      <c r="V200" s="16" t="n"/>
      <c r="W200" s="124">
        <f>IF(V200="","",COUNTIFS($C$18:$C$2015,V$13,$D$18:$D$2015,"&gt;="&amp;V200,$D$18:$D$2015,"&lt;"&amp;V201))</f>
        <v/>
      </c>
      <c r="X200" s="14" t="n"/>
      <c r="Y200" s="16" t="n"/>
      <c r="Z200" s="124">
        <f>IF(Y200="","",COUNTIFS($C$18:$C$2015,Y$13,$D$18:$D$2015,"&gt;="&amp;Y200,$D$18:$D$2015,"&lt;"&amp;Y201))</f>
        <v/>
      </c>
      <c r="AA200" s="14" t="n"/>
      <c r="AB200" s="16" t="n"/>
      <c r="AC200" s="124">
        <f>IF(AB200="","",COUNTIFS($C$18:$C$2015,AB$13,$D$18:$D$2015,"&gt;="&amp;AB200,$D$18:$D$2015,"&lt;"&amp;AB201))</f>
        <v/>
      </c>
      <c r="AD200" s="14" t="n"/>
    </row>
    <row r="201">
      <c r="A201" s="58" t="n"/>
      <c r="B201" s="59" t="n"/>
      <c r="C201" s="59" t="n"/>
      <c r="E201" s="16" t="n"/>
      <c r="F201" s="13" t="n"/>
      <c r="G201" s="16" t="n"/>
      <c r="H201" s="124">
        <f>IF(G201="","",COUNTIFS($C$18:$C$2015,G$13,$D$18:$D$2015,"&gt;="&amp;G201,$D$18:$D$2015,"&lt;"&amp;G202))</f>
        <v/>
      </c>
      <c r="I201" s="14" t="n"/>
      <c r="J201" s="16" t="n"/>
      <c r="K201" s="124">
        <f>IF(J201="","",COUNTIFS($C$18:$C$2015,J$13,$D$18:$D$2015,"&gt;="&amp;J201,$D$18:$D$2015,"&lt;"&amp;J202))</f>
        <v/>
      </c>
      <c r="L201" s="14" t="n"/>
      <c r="M201" s="16" t="n"/>
      <c r="N201" s="124">
        <f>IF(M201="","",COUNTIFS($C$18:$C$2015,M$13,$D$18:$D$2015,"&gt;="&amp;M201,$D$18:$D$2015,"&lt;"&amp;M202))</f>
        <v/>
      </c>
      <c r="O201" s="14" t="n"/>
      <c r="P201" s="16" t="n"/>
      <c r="Q201" s="124">
        <f>IF(P201="","",COUNTIFS($C$18:$C$2015,P$13,$D$18:$D$2015,"&gt;="&amp;P201,$D$18:$D$2015,"&lt;"&amp;P202))</f>
        <v/>
      </c>
      <c r="R201" s="14" t="n"/>
      <c r="S201" s="16" t="n"/>
      <c r="T201" s="124">
        <f>IF(S201="","",COUNTIFS($C$18:$C$2015,S$13,$D$18:$D$2015,"&gt;="&amp;S201,$D$18:$D$2015,"&lt;"&amp;S202))</f>
        <v/>
      </c>
      <c r="U201" s="14" t="n"/>
      <c r="V201" s="16" t="n"/>
      <c r="W201" s="124">
        <f>IF(V201="","",COUNTIFS($C$18:$C$2015,V$13,$D$18:$D$2015,"&gt;="&amp;V201,$D$18:$D$2015,"&lt;"&amp;V202))</f>
        <v/>
      </c>
      <c r="X201" s="14" t="n"/>
      <c r="Y201" s="16" t="n"/>
      <c r="Z201" s="124">
        <f>IF(Y201="","",COUNTIFS($C$18:$C$2015,Y$13,$D$18:$D$2015,"&gt;="&amp;Y201,$D$18:$D$2015,"&lt;"&amp;Y202))</f>
        <v/>
      </c>
      <c r="AA201" s="14" t="n"/>
      <c r="AB201" s="16" t="n"/>
      <c r="AC201" s="124">
        <f>IF(AB201="","",COUNTIFS($C$18:$C$2015,AB$13,$D$18:$D$2015,"&gt;="&amp;AB201,$D$18:$D$2015,"&lt;"&amp;AB202))</f>
        <v/>
      </c>
      <c r="AD201" s="14" t="n"/>
    </row>
    <row r="202">
      <c r="A202" s="56" t="n"/>
      <c r="B202" s="57" t="n"/>
      <c r="C202" s="59" t="n"/>
      <c r="E202" s="16" t="n"/>
      <c r="F202" s="13" t="n"/>
      <c r="G202" s="16" t="n"/>
      <c r="H202" s="124">
        <f>IF(G202="","",COUNTIFS($C$18:$C$2015,G$13,$D$18:$D$2015,"&gt;="&amp;G202,$D$18:$D$2015,"&lt;"&amp;G203))</f>
        <v/>
      </c>
      <c r="I202" s="14" t="n"/>
      <c r="J202" s="16" t="n"/>
      <c r="K202" s="124">
        <f>IF(J202="","",COUNTIFS($C$18:$C$2015,J$13,$D$18:$D$2015,"&gt;="&amp;J202,$D$18:$D$2015,"&lt;"&amp;J203))</f>
        <v/>
      </c>
      <c r="L202" s="14" t="n"/>
      <c r="M202" s="16" t="n"/>
      <c r="N202" s="124">
        <f>IF(M202="","",COUNTIFS($C$18:$C$2015,M$13,$D$18:$D$2015,"&gt;="&amp;M202,$D$18:$D$2015,"&lt;"&amp;M203))</f>
        <v/>
      </c>
      <c r="O202" s="14" t="n"/>
      <c r="P202" s="16" t="n"/>
      <c r="Q202" s="124">
        <f>IF(P202="","",COUNTIFS($C$18:$C$2015,P$13,$D$18:$D$2015,"&gt;="&amp;P202,$D$18:$D$2015,"&lt;"&amp;P203))</f>
        <v/>
      </c>
      <c r="R202" s="14" t="n"/>
      <c r="S202" s="16" t="n"/>
      <c r="T202" s="124">
        <f>IF(S202="","",COUNTIFS($C$18:$C$2015,S$13,$D$18:$D$2015,"&gt;="&amp;S202,$D$18:$D$2015,"&lt;"&amp;S203))</f>
        <v/>
      </c>
      <c r="U202" s="14" t="n"/>
      <c r="V202" s="16" t="n"/>
      <c r="W202" s="124">
        <f>IF(V202="","",COUNTIFS($C$18:$C$2015,V$13,$D$18:$D$2015,"&gt;="&amp;V202,$D$18:$D$2015,"&lt;"&amp;V203))</f>
        <v/>
      </c>
      <c r="X202" s="14" t="n"/>
      <c r="Y202" s="16" t="n"/>
      <c r="Z202" s="124">
        <f>IF(Y202="","",COUNTIFS($C$18:$C$2015,Y$13,$D$18:$D$2015,"&gt;="&amp;Y202,$D$18:$D$2015,"&lt;"&amp;Y203))</f>
        <v/>
      </c>
      <c r="AA202" s="14" t="n"/>
      <c r="AB202" s="16" t="n"/>
      <c r="AC202" s="124">
        <f>IF(AB202="","",COUNTIFS($C$18:$C$2015,AB$13,$D$18:$D$2015,"&gt;="&amp;AB202,$D$18:$D$2015,"&lt;"&amp;AB203))</f>
        <v/>
      </c>
      <c r="AD202" s="14" t="n"/>
    </row>
    <row r="203">
      <c r="A203" s="58" t="n"/>
      <c r="B203" s="59" t="n"/>
      <c r="C203" s="59" t="n"/>
      <c r="E203" s="16" t="n"/>
      <c r="F203" s="13" t="n"/>
      <c r="G203" s="16" t="n"/>
      <c r="H203" s="124">
        <f>IF(G203="","",COUNTIFS($C$18:$C$2015,G$13,$D$18:$D$2015,"&gt;="&amp;G203,$D$18:$D$2015,"&lt;"&amp;G204))</f>
        <v/>
      </c>
      <c r="I203" s="14" t="n"/>
      <c r="J203" s="16" t="n"/>
      <c r="K203" s="124">
        <f>IF(J203="","",COUNTIFS($C$18:$C$2015,J$13,$D$18:$D$2015,"&gt;="&amp;J203,$D$18:$D$2015,"&lt;"&amp;J204))</f>
        <v/>
      </c>
      <c r="L203" s="14" t="n"/>
      <c r="M203" s="16" t="n"/>
      <c r="N203" s="124">
        <f>IF(M203="","",COUNTIFS($C$18:$C$2015,M$13,$D$18:$D$2015,"&gt;="&amp;M203,$D$18:$D$2015,"&lt;"&amp;M204))</f>
        <v/>
      </c>
      <c r="O203" s="14" t="n"/>
      <c r="P203" s="16" t="n"/>
      <c r="Q203" s="124">
        <f>IF(P203="","",COUNTIFS($C$18:$C$2015,P$13,$D$18:$D$2015,"&gt;="&amp;P203,$D$18:$D$2015,"&lt;"&amp;P204))</f>
        <v/>
      </c>
      <c r="R203" s="14" t="n"/>
      <c r="S203" s="16" t="n"/>
      <c r="T203" s="124">
        <f>IF(S203="","",COUNTIFS($C$18:$C$2015,S$13,$D$18:$D$2015,"&gt;="&amp;S203,$D$18:$D$2015,"&lt;"&amp;S204))</f>
        <v/>
      </c>
      <c r="U203" s="14" t="n"/>
      <c r="V203" s="16" t="n"/>
      <c r="W203" s="124">
        <f>IF(V203="","",COUNTIFS($C$18:$C$2015,V$13,$D$18:$D$2015,"&gt;="&amp;V203,$D$18:$D$2015,"&lt;"&amp;V204))</f>
        <v/>
      </c>
      <c r="X203" s="14" t="n"/>
      <c r="Y203" s="16" t="n"/>
      <c r="Z203" s="124">
        <f>IF(Y203="","",COUNTIFS($C$18:$C$2015,Y$13,$D$18:$D$2015,"&gt;="&amp;Y203,$D$18:$D$2015,"&lt;"&amp;Y204))</f>
        <v/>
      </c>
      <c r="AA203" s="14" t="n"/>
      <c r="AB203" s="16" t="n"/>
      <c r="AC203" s="124">
        <f>IF(AB203="","",COUNTIFS($C$18:$C$2015,AB$13,$D$18:$D$2015,"&gt;="&amp;AB203,$D$18:$D$2015,"&lt;"&amp;AB204))</f>
        <v/>
      </c>
      <c r="AD203" s="14" t="n"/>
    </row>
    <row r="204">
      <c r="A204" s="56" t="n"/>
      <c r="B204" s="57" t="n"/>
      <c r="C204" s="59" t="n"/>
      <c r="E204" s="16" t="n"/>
      <c r="F204" s="13" t="n"/>
      <c r="G204" s="16" t="n"/>
      <c r="H204" s="124">
        <f>IF(G204="","",COUNTIFS($C$18:$C$2015,G$13,$D$18:$D$2015,"&gt;="&amp;G204,$D$18:$D$2015,"&lt;"&amp;G205))</f>
        <v/>
      </c>
      <c r="I204" s="14" t="n"/>
      <c r="J204" s="16" t="n"/>
      <c r="K204" s="124">
        <f>IF(J204="","",COUNTIFS($C$18:$C$2015,J$13,$D$18:$D$2015,"&gt;="&amp;J204,$D$18:$D$2015,"&lt;"&amp;J205))</f>
        <v/>
      </c>
      <c r="L204" s="14" t="n"/>
      <c r="M204" s="16" t="n"/>
      <c r="N204" s="124">
        <f>IF(M204="","",COUNTIFS($C$18:$C$2015,M$13,$D$18:$D$2015,"&gt;="&amp;M204,$D$18:$D$2015,"&lt;"&amp;M205))</f>
        <v/>
      </c>
      <c r="O204" s="14" t="n"/>
      <c r="P204" s="16" t="n"/>
      <c r="Q204" s="124">
        <f>IF(P204="","",COUNTIFS($C$18:$C$2015,P$13,$D$18:$D$2015,"&gt;="&amp;P204,$D$18:$D$2015,"&lt;"&amp;P205))</f>
        <v/>
      </c>
      <c r="R204" s="14" t="n"/>
      <c r="S204" s="16" t="n"/>
      <c r="T204" s="124">
        <f>IF(S204="","",COUNTIFS($C$18:$C$2015,S$13,$D$18:$D$2015,"&gt;="&amp;S204,$D$18:$D$2015,"&lt;"&amp;S205))</f>
        <v/>
      </c>
      <c r="U204" s="14" t="n"/>
      <c r="V204" s="16" t="n"/>
      <c r="W204" s="124">
        <f>IF(V204="","",COUNTIFS($C$18:$C$2015,V$13,$D$18:$D$2015,"&gt;="&amp;V204,$D$18:$D$2015,"&lt;"&amp;V205))</f>
        <v/>
      </c>
      <c r="X204" s="14" t="n"/>
      <c r="Y204" s="16" t="n"/>
      <c r="Z204" s="124">
        <f>IF(Y204="","",COUNTIFS($C$18:$C$2015,Y$13,$D$18:$D$2015,"&gt;="&amp;Y204,$D$18:$D$2015,"&lt;"&amp;Y205))</f>
        <v/>
      </c>
      <c r="AA204" s="14" t="n"/>
      <c r="AB204" s="16" t="n"/>
      <c r="AC204" s="124">
        <f>IF(AB204="","",COUNTIFS($C$18:$C$2015,AB$13,$D$18:$D$2015,"&gt;="&amp;AB204,$D$18:$D$2015,"&lt;"&amp;AB205))</f>
        <v/>
      </c>
      <c r="AD204" s="14" t="n"/>
    </row>
    <row r="205">
      <c r="A205" s="58" t="n"/>
      <c r="B205" s="59" t="n"/>
      <c r="C205" s="59" t="n"/>
      <c r="E205" s="16" t="n"/>
      <c r="F205" s="13" t="n"/>
      <c r="G205" s="16" t="n"/>
      <c r="H205" s="124">
        <f>IF(G205="","",COUNTIFS($C$18:$C$2015,G$13,$D$18:$D$2015,"&gt;="&amp;G205,$D$18:$D$2015,"&lt;"&amp;G206))</f>
        <v/>
      </c>
      <c r="I205" s="14" t="n"/>
      <c r="J205" s="16" t="n"/>
      <c r="K205" s="124">
        <f>IF(J205="","",COUNTIFS($C$18:$C$2015,J$13,$D$18:$D$2015,"&gt;="&amp;J205,$D$18:$D$2015,"&lt;"&amp;J206))</f>
        <v/>
      </c>
      <c r="L205" s="14" t="n"/>
      <c r="M205" s="16" t="n"/>
      <c r="N205" s="124">
        <f>IF(M205="","",COUNTIFS($C$18:$C$2015,M$13,$D$18:$D$2015,"&gt;="&amp;M205,$D$18:$D$2015,"&lt;"&amp;M206))</f>
        <v/>
      </c>
      <c r="O205" s="14" t="n"/>
      <c r="P205" s="16" t="n"/>
      <c r="Q205" s="124">
        <f>IF(P205="","",COUNTIFS($C$18:$C$2015,P$13,$D$18:$D$2015,"&gt;="&amp;P205,$D$18:$D$2015,"&lt;"&amp;P206))</f>
        <v/>
      </c>
      <c r="R205" s="14" t="n"/>
      <c r="S205" s="16" t="n"/>
      <c r="T205" s="124">
        <f>IF(S205="","",COUNTIFS($C$18:$C$2015,S$13,$D$18:$D$2015,"&gt;="&amp;S205,$D$18:$D$2015,"&lt;"&amp;S206))</f>
        <v/>
      </c>
      <c r="U205" s="14" t="n"/>
      <c r="V205" s="16" t="n"/>
      <c r="W205" s="124">
        <f>IF(V205="","",COUNTIFS($C$18:$C$2015,V$13,$D$18:$D$2015,"&gt;="&amp;V205,$D$18:$D$2015,"&lt;"&amp;V206))</f>
        <v/>
      </c>
      <c r="X205" s="14" t="n"/>
      <c r="Y205" s="16" t="n"/>
      <c r="Z205" s="124">
        <f>IF(Y205="","",COUNTIFS($C$18:$C$2015,Y$13,$D$18:$D$2015,"&gt;="&amp;Y205,$D$18:$D$2015,"&lt;"&amp;Y206))</f>
        <v/>
      </c>
      <c r="AA205" s="14" t="n"/>
      <c r="AB205" s="16" t="n"/>
      <c r="AC205" s="124">
        <f>IF(AB205="","",COUNTIFS($C$18:$C$2015,AB$13,$D$18:$D$2015,"&gt;="&amp;AB205,$D$18:$D$2015,"&lt;"&amp;AB206))</f>
        <v/>
      </c>
      <c r="AD205" s="14" t="n"/>
    </row>
    <row r="206">
      <c r="A206" s="56" t="n"/>
      <c r="B206" s="57" t="n"/>
      <c r="C206" s="59" t="n"/>
      <c r="E206" s="16" t="n"/>
      <c r="F206" s="13" t="n"/>
      <c r="G206" s="16" t="n"/>
      <c r="H206" s="124">
        <f>IF(G206="","",COUNTIFS($C$18:$C$2015,G$13,$D$18:$D$2015,"&gt;="&amp;G206,$D$18:$D$2015,"&lt;"&amp;G207))</f>
        <v/>
      </c>
      <c r="I206" s="14" t="n"/>
      <c r="J206" s="16" t="n"/>
      <c r="K206" s="124">
        <f>IF(J206="","",COUNTIFS($C$18:$C$2015,J$13,$D$18:$D$2015,"&gt;="&amp;J206,$D$18:$D$2015,"&lt;"&amp;J207))</f>
        <v/>
      </c>
      <c r="L206" s="14" t="n"/>
      <c r="M206" s="16" t="n"/>
      <c r="N206" s="124">
        <f>IF(M206="","",COUNTIFS($C$18:$C$2015,M$13,$D$18:$D$2015,"&gt;="&amp;M206,$D$18:$D$2015,"&lt;"&amp;M207))</f>
        <v/>
      </c>
      <c r="O206" s="14" t="n"/>
      <c r="P206" s="16" t="n"/>
      <c r="Q206" s="124">
        <f>IF(P206="","",COUNTIFS($C$18:$C$2015,P$13,$D$18:$D$2015,"&gt;="&amp;P206,$D$18:$D$2015,"&lt;"&amp;P207))</f>
        <v/>
      </c>
      <c r="R206" s="14" t="n"/>
      <c r="S206" s="16" t="n"/>
      <c r="T206" s="124">
        <f>IF(S206="","",COUNTIFS($C$18:$C$2015,S$13,$D$18:$D$2015,"&gt;="&amp;S206,$D$18:$D$2015,"&lt;"&amp;S207))</f>
        <v/>
      </c>
      <c r="U206" s="14" t="n"/>
      <c r="V206" s="16" t="n"/>
      <c r="W206" s="124">
        <f>IF(V206="","",COUNTIFS($C$18:$C$2015,V$13,$D$18:$D$2015,"&gt;="&amp;V206,$D$18:$D$2015,"&lt;"&amp;V207))</f>
        <v/>
      </c>
      <c r="X206" s="14" t="n"/>
      <c r="Y206" s="16" t="n"/>
      <c r="Z206" s="124">
        <f>IF(Y206="","",COUNTIFS($C$18:$C$2015,Y$13,$D$18:$D$2015,"&gt;="&amp;Y206,$D$18:$D$2015,"&lt;"&amp;Y207))</f>
        <v/>
      </c>
      <c r="AA206" s="14" t="n"/>
      <c r="AB206" s="16" t="n"/>
      <c r="AC206" s="124">
        <f>IF(AB206="","",COUNTIFS($C$18:$C$2015,AB$13,$D$18:$D$2015,"&gt;="&amp;AB206,$D$18:$D$2015,"&lt;"&amp;AB207))</f>
        <v/>
      </c>
      <c r="AD206" s="14" t="n"/>
    </row>
    <row r="207">
      <c r="A207" s="58" t="n"/>
      <c r="B207" s="59" t="n"/>
      <c r="C207" s="59" t="n"/>
      <c r="E207" s="16" t="n"/>
      <c r="F207" s="13" t="n"/>
      <c r="G207" s="16" t="n"/>
      <c r="H207" s="124">
        <f>IF(G207="","",COUNTIFS($C$18:$C$2015,G$13,$D$18:$D$2015,"&gt;="&amp;G207,$D$18:$D$2015,"&lt;"&amp;G208))</f>
        <v/>
      </c>
      <c r="I207" s="14" t="n"/>
      <c r="J207" s="16" t="n"/>
      <c r="K207" s="124">
        <f>IF(J207="","",COUNTIFS($C$18:$C$2015,J$13,$D$18:$D$2015,"&gt;="&amp;J207,$D$18:$D$2015,"&lt;"&amp;J208))</f>
        <v/>
      </c>
      <c r="L207" s="14" t="n"/>
      <c r="M207" s="16" t="n"/>
      <c r="N207" s="124">
        <f>IF(M207="","",COUNTIFS($C$18:$C$2015,M$13,$D$18:$D$2015,"&gt;="&amp;M207,$D$18:$D$2015,"&lt;"&amp;M208))</f>
        <v/>
      </c>
      <c r="O207" s="14" t="n"/>
      <c r="P207" s="16" t="n"/>
      <c r="Q207" s="124">
        <f>IF(P207="","",COUNTIFS($C$18:$C$2015,P$13,$D$18:$D$2015,"&gt;="&amp;P207,$D$18:$D$2015,"&lt;"&amp;P208))</f>
        <v/>
      </c>
      <c r="R207" s="14" t="n"/>
      <c r="S207" s="16" t="n"/>
      <c r="T207" s="124">
        <f>IF(S207="","",COUNTIFS($C$18:$C$2015,S$13,$D$18:$D$2015,"&gt;="&amp;S207,$D$18:$D$2015,"&lt;"&amp;S208))</f>
        <v/>
      </c>
      <c r="U207" s="14" t="n"/>
      <c r="V207" s="16" t="n"/>
      <c r="W207" s="124">
        <f>IF(V207="","",COUNTIFS($C$18:$C$2015,V$13,$D$18:$D$2015,"&gt;="&amp;V207,$D$18:$D$2015,"&lt;"&amp;V208))</f>
        <v/>
      </c>
      <c r="X207" s="14" t="n"/>
      <c r="Y207" s="16" t="n"/>
      <c r="Z207" s="124">
        <f>IF(Y207="","",COUNTIFS($C$18:$C$2015,Y$13,$D$18:$D$2015,"&gt;="&amp;Y207,$D$18:$D$2015,"&lt;"&amp;Y208))</f>
        <v/>
      </c>
      <c r="AA207" s="14" t="n"/>
      <c r="AB207" s="16" t="n"/>
      <c r="AC207" s="124">
        <f>IF(AB207="","",COUNTIFS($C$18:$C$2015,AB$13,$D$18:$D$2015,"&gt;="&amp;AB207,$D$18:$D$2015,"&lt;"&amp;AB208))</f>
        <v/>
      </c>
      <c r="AD207" s="14" t="n"/>
    </row>
    <row r="208">
      <c r="A208" s="56" t="n"/>
      <c r="B208" s="57" t="n"/>
      <c r="C208" s="59" t="n"/>
      <c r="E208" s="16" t="n"/>
      <c r="F208" s="13" t="n"/>
      <c r="G208" s="16" t="n"/>
      <c r="H208" s="124">
        <f>IF(G208="","",COUNTIFS($C$18:$C$2015,G$13,$D$18:$D$2015,"&gt;="&amp;G208,$D$18:$D$2015,"&lt;"&amp;G209))</f>
        <v/>
      </c>
      <c r="I208" s="14" t="n"/>
      <c r="J208" s="16" t="n"/>
      <c r="K208" s="124">
        <f>IF(J208="","",COUNTIFS($C$18:$C$2015,J$13,$D$18:$D$2015,"&gt;="&amp;J208,$D$18:$D$2015,"&lt;"&amp;J209))</f>
        <v/>
      </c>
      <c r="L208" s="14" t="n"/>
      <c r="M208" s="16" t="n"/>
      <c r="N208" s="124">
        <f>IF(M208="","",COUNTIFS($C$18:$C$2015,M$13,$D$18:$D$2015,"&gt;="&amp;M208,$D$18:$D$2015,"&lt;"&amp;M209))</f>
        <v/>
      </c>
      <c r="O208" s="14" t="n"/>
      <c r="P208" s="16" t="n"/>
      <c r="Q208" s="124">
        <f>IF(P208="","",COUNTIFS($C$18:$C$2015,P$13,$D$18:$D$2015,"&gt;="&amp;P208,$D$18:$D$2015,"&lt;"&amp;P209))</f>
        <v/>
      </c>
      <c r="R208" s="14" t="n"/>
      <c r="S208" s="16" t="n"/>
      <c r="T208" s="124">
        <f>IF(S208="","",COUNTIFS($C$18:$C$2015,S$13,$D$18:$D$2015,"&gt;="&amp;S208,$D$18:$D$2015,"&lt;"&amp;S209))</f>
        <v/>
      </c>
      <c r="U208" s="14" t="n"/>
      <c r="V208" s="16" t="n"/>
      <c r="W208" s="124">
        <f>IF(V208="","",COUNTIFS($C$18:$C$2015,V$13,$D$18:$D$2015,"&gt;="&amp;V208,$D$18:$D$2015,"&lt;"&amp;V209))</f>
        <v/>
      </c>
      <c r="X208" s="14" t="n"/>
      <c r="Y208" s="16" t="n"/>
      <c r="Z208" s="124">
        <f>IF(Y208="","",COUNTIFS($C$18:$C$2015,Y$13,$D$18:$D$2015,"&gt;="&amp;Y208,$D$18:$D$2015,"&lt;"&amp;Y209))</f>
        <v/>
      </c>
      <c r="AA208" s="14" t="n"/>
      <c r="AB208" s="16" t="n"/>
      <c r="AC208" s="124">
        <f>IF(AB208="","",COUNTIFS($C$18:$C$2015,AB$13,$D$18:$D$2015,"&gt;="&amp;AB208,$D$18:$D$2015,"&lt;"&amp;AB209))</f>
        <v/>
      </c>
      <c r="AD208" s="14" t="n"/>
    </row>
    <row r="209">
      <c r="A209" s="58" t="n"/>
      <c r="B209" s="59" t="n"/>
      <c r="C209" s="59" t="n"/>
      <c r="E209" s="16" t="n"/>
      <c r="F209" s="13" t="n"/>
      <c r="G209" s="16" t="n"/>
      <c r="H209" s="124">
        <f>IF(G209="","",COUNTIFS($C$18:$C$2015,G$13,$D$18:$D$2015,"&gt;="&amp;G209,$D$18:$D$2015,"&lt;"&amp;G210))</f>
        <v/>
      </c>
      <c r="I209" s="14" t="n"/>
      <c r="J209" s="16" t="n"/>
      <c r="K209" s="124">
        <f>IF(J209="","",COUNTIFS($C$18:$C$2015,J$13,$D$18:$D$2015,"&gt;="&amp;J209,$D$18:$D$2015,"&lt;"&amp;J210))</f>
        <v/>
      </c>
      <c r="L209" s="14" t="n"/>
      <c r="M209" s="16" t="n"/>
      <c r="N209" s="124">
        <f>IF(M209="","",COUNTIFS($C$18:$C$2015,M$13,$D$18:$D$2015,"&gt;="&amp;M209,$D$18:$D$2015,"&lt;"&amp;M210))</f>
        <v/>
      </c>
      <c r="O209" s="14" t="n"/>
      <c r="P209" s="16" t="n"/>
      <c r="Q209" s="124">
        <f>IF(P209="","",COUNTIFS($C$18:$C$2015,P$13,$D$18:$D$2015,"&gt;="&amp;P209,$D$18:$D$2015,"&lt;"&amp;P210))</f>
        <v/>
      </c>
      <c r="R209" s="14" t="n"/>
      <c r="S209" s="16" t="n"/>
      <c r="T209" s="124">
        <f>IF(S209="","",COUNTIFS($C$18:$C$2015,S$13,$D$18:$D$2015,"&gt;="&amp;S209,$D$18:$D$2015,"&lt;"&amp;S210))</f>
        <v/>
      </c>
      <c r="U209" s="14" t="n"/>
      <c r="V209" s="16" t="n"/>
      <c r="W209" s="124">
        <f>IF(V209="","",COUNTIFS($C$18:$C$2015,V$13,$D$18:$D$2015,"&gt;="&amp;V209,$D$18:$D$2015,"&lt;"&amp;V210))</f>
        <v/>
      </c>
      <c r="X209" s="14" t="n"/>
      <c r="Y209" s="16" t="n"/>
      <c r="Z209" s="124">
        <f>IF(Y209="","",COUNTIFS($C$18:$C$2015,Y$13,$D$18:$D$2015,"&gt;="&amp;Y209,$D$18:$D$2015,"&lt;"&amp;Y210))</f>
        <v/>
      </c>
      <c r="AA209" s="14" t="n"/>
      <c r="AB209" s="16" t="n"/>
      <c r="AC209" s="124">
        <f>IF(AB209="","",COUNTIFS($C$18:$C$2015,AB$13,$D$18:$D$2015,"&gt;="&amp;AB209,$D$18:$D$2015,"&lt;"&amp;AB210))</f>
        <v/>
      </c>
      <c r="AD209" s="14" t="n"/>
    </row>
    <row r="210">
      <c r="A210" s="56" t="n"/>
      <c r="B210" s="57" t="n"/>
      <c r="C210" s="59" t="n"/>
      <c r="E210" s="16" t="n"/>
      <c r="F210" s="13" t="n"/>
      <c r="G210" s="16" t="n"/>
      <c r="H210" s="124">
        <f>IF(G210="","",COUNTIFS($C$18:$C$2015,G$13,$D$18:$D$2015,"&gt;="&amp;G210,$D$18:$D$2015,"&lt;"&amp;G211))</f>
        <v/>
      </c>
      <c r="I210" s="14" t="n"/>
      <c r="J210" s="16" t="n"/>
      <c r="K210" s="124">
        <f>IF(J210="","",COUNTIFS($C$18:$C$2015,J$13,$D$18:$D$2015,"&gt;="&amp;J210,$D$18:$D$2015,"&lt;"&amp;J211))</f>
        <v/>
      </c>
      <c r="L210" s="14" t="n"/>
      <c r="M210" s="16" t="n"/>
      <c r="N210" s="124">
        <f>IF(M210="","",COUNTIFS($C$18:$C$2015,M$13,$D$18:$D$2015,"&gt;="&amp;M210,$D$18:$D$2015,"&lt;"&amp;M211))</f>
        <v/>
      </c>
      <c r="O210" s="14" t="n"/>
      <c r="P210" s="16" t="n"/>
      <c r="Q210" s="124">
        <f>IF(P210="","",COUNTIFS($C$18:$C$2015,P$13,$D$18:$D$2015,"&gt;="&amp;P210,$D$18:$D$2015,"&lt;"&amp;P211))</f>
        <v/>
      </c>
      <c r="R210" s="14" t="n"/>
      <c r="S210" s="16" t="n"/>
      <c r="T210" s="124">
        <f>IF(S210="","",COUNTIFS($C$18:$C$2015,S$13,$D$18:$D$2015,"&gt;="&amp;S210,$D$18:$D$2015,"&lt;"&amp;S211))</f>
        <v/>
      </c>
      <c r="U210" s="14" t="n"/>
      <c r="V210" s="16" t="n"/>
      <c r="W210" s="124">
        <f>IF(V210="","",COUNTIFS($C$18:$C$2015,V$13,$D$18:$D$2015,"&gt;="&amp;V210,$D$18:$D$2015,"&lt;"&amp;V211))</f>
        <v/>
      </c>
      <c r="X210" s="14" t="n"/>
      <c r="Y210" s="16" t="n"/>
      <c r="Z210" s="124">
        <f>IF(Y210="","",COUNTIFS($C$18:$C$2015,Y$13,$D$18:$D$2015,"&gt;="&amp;Y210,$D$18:$D$2015,"&lt;"&amp;Y211))</f>
        <v/>
      </c>
      <c r="AA210" s="14" t="n"/>
      <c r="AB210" s="16" t="n"/>
      <c r="AC210" s="124">
        <f>IF(AB210="","",COUNTIFS($C$18:$C$2015,AB$13,$D$18:$D$2015,"&gt;="&amp;AB210,$D$18:$D$2015,"&lt;"&amp;AB211))</f>
        <v/>
      </c>
      <c r="AD210" s="14" t="n"/>
    </row>
    <row r="211">
      <c r="A211" s="58" t="n"/>
      <c r="B211" s="59" t="n"/>
      <c r="C211" s="59" t="n"/>
      <c r="E211" s="16" t="n"/>
      <c r="F211" s="13" t="n"/>
      <c r="G211" s="16" t="n"/>
      <c r="H211" s="124">
        <f>IF(G211="","",COUNTIFS($C$18:$C$2015,G$13,$D$18:$D$2015,"&gt;="&amp;G211,$D$18:$D$2015,"&lt;"&amp;G212))</f>
        <v/>
      </c>
      <c r="I211" s="14" t="n"/>
      <c r="J211" s="16" t="n"/>
      <c r="K211" s="124">
        <f>IF(J211="","",COUNTIFS($C$18:$C$2015,J$13,$D$18:$D$2015,"&gt;="&amp;J211,$D$18:$D$2015,"&lt;"&amp;J212))</f>
        <v/>
      </c>
      <c r="L211" s="14" t="n"/>
      <c r="M211" s="16" t="n"/>
      <c r="N211" s="124">
        <f>IF(M211="","",COUNTIFS($C$18:$C$2015,M$13,$D$18:$D$2015,"&gt;="&amp;M211,$D$18:$D$2015,"&lt;"&amp;M212))</f>
        <v/>
      </c>
      <c r="O211" s="14" t="n"/>
      <c r="P211" s="16" t="n"/>
      <c r="Q211" s="124">
        <f>IF(P211="","",COUNTIFS($C$18:$C$2015,P$13,$D$18:$D$2015,"&gt;="&amp;P211,$D$18:$D$2015,"&lt;"&amp;P212))</f>
        <v/>
      </c>
      <c r="R211" s="14" t="n"/>
      <c r="S211" s="16" t="n"/>
      <c r="T211" s="124">
        <f>IF(S211="","",COUNTIFS($C$18:$C$2015,S$13,$D$18:$D$2015,"&gt;="&amp;S211,$D$18:$D$2015,"&lt;"&amp;S212))</f>
        <v/>
      </c>
      <c r="U211" s="14" t="n"/>
      <c r="V211" s="16" t="n"/>
      <c r="W211" s="124">
        <f>IF(V211="","",COUNTIFS($C$18:$C$2015,V$13,$D$18:$D$2015,"&gt;="&amp;V211,$D$18:$D$2015,"&lt;"&amp;V212))</f>
        <v/>
      </c>
      <c r="X211" s="14" t="n"/>
      <c r="Y211" s="16" t="n"/>
      <c r="Z211" s="124">
        <f>IF(Y211="","",COUNTIFS($C$18:$C$2015,Y$13,$D$18:$D$2015,"&gt;="&amp;Y211,$D$18:$D$2015,"&lt;"&amp;Y212))</f>
        <v/>
      </c>
      <c r="AA211" s="14" t="n"/>
      <c r="AB211" s="16" t="n"/>
      <c r="AC211" s="124">
        <f>IF(AB211="","",COUNTIFS($C$18:$C$2015,AB$13,$D$18:$D$2015,"&gt;="&amp;AB211,$D$18:$D$2015,"&lt;"&amp;AB212))</f>
        <v/>
      </c>
      <c r="AD211" s="14" t="n"/>
    </row>
    <row r="212">
      <c r="A212" s="56" t="n"/>
      <c r="B212" s="57" t="n"/>
      <c r="C212" s="59" t="n"/>
      <c r="E212" s="16" t="n"/>
      <c r="F212" s="13" t="n"/>
      <c r="G212" s="16" t="n"/>
      <c r="H212" s="124">
        <f>IF(G212="","",COUNTIFS($C$18:$C$2015,G$13,$D$18:$D$2015,"&gt;="&amp;G212,$D$18:$D$2015,"&lt;"&amp;G213))</f>
        <v/>
      </c>
      <c r="I212" s="14" t="n"/>
      <c r="J212" s="16" t="n"/>
      <c r="K212" s="124">
        <f>IF(J212="","",COUNTIFS($C$18:$C$2015,J$13,$D$18:$D$2015,"&gt;="&amp;J212,$D$18:$D$2015,"&lt;"&amp;J213))</f>
        <v/>
      </c>
      <c r="L212" s="14" t="n"/>
      <c r="M212" s="16" t="n"/>
      <c r="N212" s="124">
        <f>IF(M212="","",COUNTIFS($C$18:$C$2015,M$13,$D$18:$D$2015,"&gt;="&amp;M212,$D$18:$D$2015,"&lt;"&amp;M213))</f>
        <v/>
      </c>
      <c r="O212" s="14" t="n"/>
      <c r="P212" s="16" t="n"/>
      <c r="Q212" s="124">
        <f>IF(P212="","",COUNTIFS($C$18:$C$2015,P$13,$D$18:$D$2015,"&gt;="&amp;P212,$D$18:$D$2015,"&lt;"&amp;P213))</f>
        <v/>
      </c>
      <c r="R212" s="14" t="n"/>
      <c r="S212" s="16" t="n"/>
      <c r="T212" s="124">
        <f>IF(S212="","",COUNTIFS($C$18:$C$2015,S$13,$D$18:$D$2015,"&gt;="&amp;S212,$D$18:$D$2015,"&lt;"&amp;S213))</f>
        <v/>
      </c>
      <c r="U212" s="14" t="n"/>
      <c r="V212" s="16" t="n"/>
      <c r="W212" s="124">
        <f>IF(V212="","",COUNTIFS($C$18:$C$2015,V$13,$D$18:$D$2015,"&gt;="&amp;V212,$D$18:$D$2015,"&lt;"&amp;V213))</f>
        <v/>
      </c>
      <c r="X212" s="14" t="n"/>
      <c r="Y212" s="16" t="n"/>
      <c r="Z212" s="124">
        <f>IF(Y212="","",COUNTIFS($C$18:$C$2015,Y$13,$D$18:$D$2015,"&gt;="&amp;Y212,$D$18:$D$2015,"&lt;"&amp;Y213))</f>
        <v/>
      </c>
      <c r="AA212" s="14" t="n"/>
      <c r="AB212" s="16" t="n"/>
      <c r="AC212" s="124">
        <f>IF(AB212="","",COUNTIFS($C$18:$C$2015,AB$13,$D$18:$D$2015,"&gt;="&amp;AB212,$D$18:$D$2015,"&lt;"&amp;AB213))</f>
        <v/>
      </c>
      <c r="AD212" s="14" t="n"/>
    </row>
    <row r="213">
      <c r="A213" s="58" t="n"/>
      <c r="B213" s="59" t="n"/>
      <c r="C213" s="59" t="n"/>
      <c r="E213" s="16" t="n"/>
      <c r="F213" s="13" t="n"/>
      <c r="G213" s="16" t="n"/>
      <c r="H213" s="124">
        <f>IF(G213="","",COUNTIFS($C$18:$C$2015,G$13,$D$18:$D$2015,"&gt;="&amp;G213,$D$18:$D$2015,"&lt;"&amp;G214))</f>
        <v/>
      </c>
      <c r="I213" s="14" t="n"/>
      <c r="J213" s="16" t="n"/>
      <c r="K213" s="124">
        <f>IF(J213="","",COUNTIFS($C$18:$C$2015,J$13,$D$18:$D$2015,"&gt;="&amp;J213,$D$18:$D$2015,"&lt;"&amp;J214))</f>
        <v/>
      </c>
      <c r="L213" s="14" t="n"/>
      <c r="M213" s="16" t="n"/>
      <c r="N213" s="124">
        <f>IF(M213="","",COUNTIFS($C$18:$C$2015,M$13,$D$18:$D$2015,"&gt;="&amp;M213,$D$18:$D$2015,"&lt;"&amp;M214))</f>
        <v/>
      </c>
      <c r="O213" s="14" t="n"/>
      <c r="P213" s="16" t="n"/>
      <c r="Q213" s="124">
        <f>IF(P213="","",COUNTIFS($C$18:$C$2015,P$13,$D$18:$D$2015,"&gt;="&amp;P213,$D$18:$D$2015,"&lt;"&amp;P214))</f>
        <v/>
      </c>
      <c r="R213" s="14" t="n"/>
      <c r="S213" s="16" t="n"/>
      <c r="T213" s="124">
        <f>IF(S213="","",COUNTIFS($C$18:$C$2015,S$13,$D$18:$D$2015,"&gt;="&amp;S213,$D$18:$D$2015,"&lt;"&amp;S214))</f>
        <v/>
      </c>
      <c r="U213" s="14" t="n"/>
      <c r="V213" s="16" t="n"/>
      <c r="W213" s="124">
        <f>IF(V213="","",COUNTIFS($C$18:$C$2015,V$13,$D$18:$D$2015,"&gt;="&amp;V213,$D$18:$D$2015,"&lt;"&amp;V214))</f>
        <v/>
      </c>
      <c r="X213" s="14" t="n"/>
      <c r="Y213" s="16" t="n"/>
      <c r="Z213" s="124">
        <f>IF(Y213="","",COUNTIFS($C$18:$C$2015,Y$13,$D$18:$D$2015,"&gt;="&amp;Y213,$D$18:$D$2015,"&lt;"&amp;Y214))</f>
        <v/>
      </c>
      <c r="AA213" s="14" t="n"/>
      <c r="AB213" s="16" t="n"/>
      <c r="AC213" s="124">
        <f>IF(AB213="","",COUNTIFS($C$18:$C$2015,AB$13,$D$18:$D$2015,"&gt;="&amp;AB213,$D$18:$D$2015,"&lt;"&amp;AB214))</f>
        <v/>
      </c>
      <c r="AD213" s="14" t="n"/>
    </row>
    <row r="214">
      <c r="A214" s="56" t="n"/>
      <c r="B214" s="57" t="n"/>
      <c r="C214" s="59" t="n"/>
      <c r="E214" s="16" t="n"/>
      <c r="F214" s="13" t="n"/>
      <c r="G214" s="16" t="n"/>
      <c r="H214" s="124">
        <f>IF(G214="","",COUNTIFS($C$18:$C$2015,G$13,$D$18:$D$2015,"&gt;="&amp;G214,$D$18:$D$2015,"&lt;"&amp;G215))</f>
        <v/>
      </c>
      <c r="I214" s="14" t="n"/>
      <c r="J214" s="16" t="n"/>
      <c r="K214" s="124">
        <f>IF(J214="","",COUNTIFS($C$18:$C$2015,J$13,$D$18:$D$2015,"&gt;="&amp;J214,$D$18:$D$2015,"&lt;"&amp;J215))</f>
        <v/>
      </c>
      <c r="L214" s="14" t="n"/>
      <c r="M214" s="16" t="n"/>
      <c r="N214" s="124">
        <f>IF(M214="","",COUNTIFS($C$18:$C$2015,M$13,$D$18:$D$2015,"&gt;="&amp;M214,$D$18:$D$2015,"&lt;"&amp;M215))</f>
        <v/>
      </c>
      <c r="O214" s="14" t="n"/>
      <c r="P214" s="16" t="n"/>
      <c r="Q214" s="124">
        <f>IF(P214="","",COUNTIFS($C$18:$C$2015,P$13,$D$18:$D$2015,"&gt;="&amp;P214,$D$18:$D$2015,"&lt;"&amp;P215))</f>
        <v/>
      </c>
      <c r="R214" s="14" t="n"/>
      <c r="S214" s="16" t="n"/>
      <c r="T214" s="124">
        <f>IF(S214="","",COUNTIFS($C$18:$C$2015,S$13,$D$18:$D$2015,"&gt;="&amp;S214,$D$18:$D$2015,"&lt;"&amp;S215))</f>
        <v/>
      </c>
      <c r="U214" s="14" t="n"/>
      <c r="V214" s="16" t="n"/>
      <c r="W214" s="124">
        <f>IF(V214="","",COUNTIFS($C$18:$C$2015,V$13,$D$18:$D$2015,"&gt;="&amp;V214,$D$18:$D$2015,"&lt;"&amp;V215))</f>
        <v/>
      </c>
      <c r="X214" s="14" t="n"/>
      <c r="Y214" s="16" t="n"/>
      <c r="Z214" s="124">
        <f>IF(Y214="","",COUNTIFS($C$18:$C$2015,Y$13,$D$18:$D$2015,"&gt;="&amp;Y214,$D$18:$D$2015,"&lt;"&amp;Y215))</f>
        <v/>
      </c>
      <c r="AA214" s="14" t="n"/>
      <c r="AB214" s="16" t="n"/>
      <c r="AC214" s="124">
        <f>IF(AB214="","",COUNTIFS($C$18:$C$2015,AB$13,$D$18:$D$2015,"&gt;="&amp;AB214,$D$18:$D$2015,"&lt;"&amp;AB215))</f>
        <v/>
      </c>
      <c r="AD214" s="14" t="n"/>
    </row>
  </sheetData>
  <autoFilter ref="A14:E14"/>
  <conditionalFormatting sqref="E15:E214">
    <cfRule type="cellIs" priority="1" operator="greaterThan" dxfId="3">
      <formula>0</formula>
    </cfRule>
  </conditionalFormatting>
  <conditionalFormatting sqref="G15:G214">
    <cfRule type="expression" priority="54" dxfId="2">
      <formula>AND(NOT(ISBLANK(G15)),G15&lt;H$7)</formula>
    </cfRule>
    <cfRule type="expression" priority="55" dxfId="1">
      <formula>AND(G15&lt;=(H$7),(G15+H$5)&gt;(H$7))</formula>
    </cfRule>
    <cfRule type="expression" priority="56" dxfId="0">
      <formula>AND(NOT(ISBLANK(G15)),G15&gt;H$7)</formula>
    </cfRule>
    <cfRule type="cellIs" priority="58" operator="greaterThan" dxfId="3">
      <formula>0</formula>
    </cfRule>
  </conditionalFormatting>
  <conditionalFormatting sqref="H2">
    <cfRule type="iconSet" priority="53">
      <iconSet iconSet="3Symbols2">
        <cfvo type="percent" val="0"/>
        <cfvo type="num" val="30" gte="0"/>
        <cfvo type="num" val="50" gte="0"/>
      </iconSet>
    </cfRule>
  </conditionalFormatting>
  <conditionalFormatting sqref="H15:H214">
    <cfRule type="dataBar" priority="57">
      <dataBar>
        <cfvo type="num" val="0"/>
        <cfvo type="max"/>
        <color rgb="FF638EC6"/>
      </dataBar>
    </cfRule>
  </conditionalFormatting>
  <conditionalFormatting sqref="J15:J214">
    <cfRule type="expression" priority="47" dxfId="2">
      <formula>AND(NOT(ISBLANK(J15)),J15&lt;K$7)</formula>
    </cfRule>
    <cfRule type="expression" priority="48" dxfId="1">
      <formula>AND(J15&lt;=(K$7),(J15+K$5)&gt;(K$7))</formula>
    </cfRule>
    <cfRule type="expression" priority="49" dxfId="0">
      <formula>AND(NOT(ISBLANK(J15)),J15&gt;K$7)</formula>
    </cfRule>
    <cfRule type="cellIs" priority="51" operator="greaterThan" dxfId="3">
      <formula>0</formula>
    </cfRule>
  </conditionalFormatting>
  <conditionalFormatting sqref="K2">
    <cfRule type="iconSet" priority="46">
      <iconSet iconSet="3Symbols2">
        <cfvo type="percent" val="0"/>
        <cfvo type="num" val="30" gte="0"/>
        <cfvo type="num" val="50" gte="0"/>
      </iconSet>
    </cfRule>
  </conditionalFormatting>
  <conditionalFormatting sqref="K15:K214">
    <cfRule type="dataBar" priority="50">
      <dataBar>
        <cfvo type="num" val="0"/>
        <cfvo type="max"/>
        <color rgb="FF638EC6"/>
      </dataBar>
    </cfRule>
  </conditionalFormatting>
  <conditionalFormatting sqref="M15:M214">
    <cfRule type="expression" priority="40" dxfId="2">
      <formula>AND(NOT(ISBLANK(M15)),M15&lt;N$7)</formula>
    </cfRule>
    <cfRule type="expression" priority="41" dxfId="1">
      <formula>AND(M15&lt;=(N$7),(M15+N$5)&gt;(N$7))</formula>
    </cfRule>
    <cfRule type="expression" priority="42" dxfId="0">
      <formula>AND(NOT(ISBLANK(M15)),M15&gt;N$7)</formula>
    </cfRule>
    <cfRule type="cellIs" priority="44" operator="greaterThan" dxfId="3">
      <formula>0</formula>
    </cfRule>
  </conditionalFormatting>
  <conditionalFormatting sqref="N2">
    <cfRule type="iconSet" priority="39">
      <iconSet iconSet="3Symbols2">
        <cfvo type="percent" val="0"/>
        <cfvo type="num" val="30" gte="0"/>
        <cfvo type="num" val="50" gte="0"/>
      </iconSet>
    </cfRule>
  </conditionalFormatting>
  <conditionalFormatting sqref="N15:N214">
    <cfRule type="dataBar" priority="43">
      <dataBar>
        <cfvo type="num" val="0"/>
        <cfvo type="max"/>
        <color rgb="FF638EC6"/>
      </dataBar>
    </cfRule>
  </conditionalFormatting>
  <conditionalFormatting sqref="P15:P214">
    <cfRule type="expression" priority="33" dxfId="2">
      <formula>AND(NOT(ISBLANK(P15)),P15&lt;Q$7)</formula>
    </cfRule>
    <cfRule type="expression" priority="34" dxfId="1">
      <formula>AND(P15&lt;=(Q$7),(P15+Q$5)&gt;(Q$7))</formula>
    </cfRule>
    <cfRule type="expression" priority="35" dxfId="0">
      <formula>AND(NOT(ISBLANK(P15)),P15&gt;Q$7)</formula>
    </cfRule>
    <cfRule type="cellIs" priority="37" operator="greaterThan" dxfId="3">
      <formula>0</formula>
    </cfRule>
  </conditionalFormatting>
  <conditionalFormatting sqref="Q2">
    <cfRule type="iconSet" priority="32">
      <iconSet iconSet="3Symbols2">
        <cfvo type="percent" val="0"/>
        <cfvo type="num" val="30" gte="0"/>
        <cfvo type="num" val="50" gte="0"/>
      </iconSet>
    </cfRule>
  </conditionalFormatting>
  <conditionalFormatting sqref="Q15:Q214">
    <cfRule type="dataBar" priority="36">
      <dataBar>
        <cfvo type="num" val="0"/>
        <cfvo type="max"/>
        <color rgb="FF638EC6"/>
      </dataBar>
    </cfRule>
  </conditionalFormatting>
  <conditionalFormatting sqref="S15:S214">
    <cfRule type="expression" priority="26" dxfId="2">
      <formula>AND(NOT(ISBLANK(S15)),S15&lt;T$7)</formula>
    </cfRule>
    <cfRule type="expression" priority="27" dxfId="1">
      <formula>AND(S15&lt;=(T$7),(S15+T$5)&gt;(T$7))</formula>
    </cfRule>
    <cfRule type="expression" priority="28" dxfId="0">
      <formula>AND(NOT(ISBLANK(S15)),S15&gt;T$7)</formula>
    </cfRule>
    <cfRule type="cellIs" priority="30" operator="greaterThan" dxfId="3">
      <formula>0</formula>
    </cfRule>
  </conditionalFormatting>
  <conditionalFormatting sqref="T2">
    <cfRule type="iconSet" priority="25">
      <iconSet iconSet="3Symbols2">
        <cfvo type="percent" val="0"/>
        <cfvo type="num" val="30" gte="0"/>
        <cfvo type="num" val="50" gte="0"/>
      </iconSet>
    </cfRule>
  </conditionalFormatting>
  <conditionalFormatting sqref="T15:T214">
    <cfRule type="dataBar" priority="29">
      <dataBar>
        <cfvo type="num" val="0"/>
        <cfvo type="max"/>
        <color rgb="FF638EC6"/>
      </dataBar>
    </cfRule>
  </conditionalFormatting>
  <conditionalFormatting sqref="V15:V214">
    <cfRule type="expression" priority="19" dxfId="2">
      <formula>AND(NOT(ISBLANK(V15)),V15&lt;W$7)</formula>
    </cfRule>
    <cfRule type="expression" priority="20" dxfId="1">
      <formula>AND(V15&lt;=(W$7),(V15+W$5)&gt;(W$7))</formula>
    </cfRule>
    <cfRule type="expression" priority="21" dxfId="0">
      <formula>AND(NOT(ISBLANK(V15)),V15&gt;W$7)</formula>
    </cfRule>
    <cfRule type="cellIs" priority="23" operator="greaterThan" dxfId="3">
      <formula>0</formula>
    </cfRule>
  </conditionalFormatting>
  <conditionalFormatting sqref="W2">
    <cfRule type="iconSet" priority="18">
      <iconSet iconSet="3Symbols2">
        <cfvo type="percent" val="0"/>
        <cfvo type="num" val="30" gte="0"/>
        <cfvo type="num" val="50" gte="0"/>
      </iconSet>
    </cfRule>
  </conditionalFormatting>
  <conditionalFormatting sqref="W15:W214">
    <cfRule type="dataBar" priority="22">
      <dataBar>
        <cfvo type="num" val="0"/>
        <cfvo type="max"/>
        <color rgb="FF638EC6"/>
      </dataBar>
    </cfRule>
  </conditionalFormatting>
  <conditionalFormatting sqref="Y15:Y214">
    <cfRule type="expression" priority="12" dxfId="2">
      <formula>AND(NOT(ISBLANK(Y15)),Y15&lt;Z$7)</formula>
    </cfRule>
    <cfRule type="expression" priority="13" dxfId="1">
      <formula>AND(Y15&lt;=(Z$7),(Y15+Z$5)&gt;(Z$7))</formula>
    </cfRule>
    <cfRule type="expression" priority="14" dxfId="0">
      <formula>AND(NOT(ISBLANK(Y15)),Y15&gt;Z$7)</formula>
    </cfRule>
    <cfRule type="cellIs" priority="16" operator="greaterThan" dxfId="3">
      <formula>0</formula>
    </cfRule>
  </conditionalFormatting>
  <conditionalFormatting sqref="Z2">
    <cfRule type="iconSet" priority="11">
      <iconSet iconSet="3Symbols2">
        <cfvo type="percent" val="0"/>
        <cfvo type="num" val="30" gte="0"/>
        <cfvo type="num" val="50" gte="0"/>
      </iconSet>
    </cfRule>
  </conditionalFormatting>
  <conditionalFormatting sqref="Z15:Z214">
    <cfRule type="dataBar" priority="15">
      <dataBar>
        <cfvo type="num" val="0"/>
        <cfvo type="max"/>
        <color rgb="FF638EC6"/>
      </dataBar>
    </cfRule>
  </conditionalFormatting>
  <conditionalFormatting sqref="AB15:AB214">
    <cfRule type="expression" priority="5" dxfId="2">
      <formula>AND(NOT(ISBLANK(AB15)),AB15&lt;AC$7)</formula>
    </cfRule>
    <cfRule type="expression" priority="6" dxfId="1">
      <formula>AND(AB15&lt;=(AC$7),(AB15+AC$5)&gt;(AC$7))</formula>
    </cfRule>
    <cfRule type="expression" priority="7" dxfId="0">
      <formula>AND(NOT(ISBLANK(AB15)),AB15&gt;AC$7)</formula>
    </cfRule>
    <cfRule type="cellIs" priority="9" operator="greaterThan" dxfId="3">
      <formula>0</formula>
    </cfRule>
  </conditionalFormatting>
  <conditionalFormatting sqref="AC2">
    <cfRule type="iconSet" priority="4">
      <iconSet iconSet="3Symbols2">
        <cfvo type="percent" val="0"/>
        <cfvo type="num" val="30" gte="0"/>
        <cfvo type="num" val="50" gte="0"/>
      </iconSet>
    </cfRule>
  </conditionalFormatting>
  <conditionalFormatting sqref="AC15:AC214">
    <cfRule type="dataBar" priority="8">
      <dataBar>
        <cfvo type="num" val="0"/>
        <cfvo type="max"/>
        <color rgb="FF638EC6"/>
      </dataBar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tabColor rgb="FF92D050"/>
    <outlinePr summaryBelow="1" summaryRight="1"/>
    <pageSetUpPr/>
  </sheetPr>
  <dimension ref="A1:AE205"/>
  <sheetViews>
    <sheetView showGridLines="0" topLeftCell="A5" zoomScale="70" zoomScaleNormal="70" workbookViewId="0">
      <selection activeCell="A17" sqref="A17"/>
    </sheetView>
  </sheetViews>
  <sheetFormatPr baseColWidth="8" defaultRowHeight="14.4"/>
  <cols>
    <col width="8.44140625" customWidth="1" style="113" min="1" max="1"/>
    <col width="11.88671875" customWidth="1" style="113" min="2" max="2"/>
    <col width="7.109375" customWidth="1" style="113" min="3" max="3"/>
    <col width="8.5546875" customWidth="1" style="113" min="4" max="4"/>
    <col width="4.5546875" bestFit="1" customWidth="1" style="113" min="5" max="5"/>
    <col width="2.6640625" customWidth="1" style="113" min="6" max="6"/>
    <col width="11.5546875" customWidth="1" style="113" min="7" max="8"/>
    <col width="2.33203125" customWidth="1" style="113" min="9" max="9"/>
    <col width="11.5546875" customWidth="1" style="113" min="10" max="11"/>
    <col width="2.33203125" customWidth="1" style="113" min="12" max="12"/>
    <col width="11.5546875" customWidth="1" style="113" min="13" max="14"/>
    <col width="2.33203125" customWidth="1" style="113" min="15" max="15"/>
    <col width="11.5546875" customWidth="1" style="113" min="16" max="17"/>
    <col width="2.33203125" customWidth="1" style="113" min="18" max="18"/>
    <col width="11.5546875" customWidth="1" style="113" min="19" max="20"/>
    <col width="2.33203125" customWidth="1" style="113" min="21" max="21"/>
    <col width="11.5546875" customWidth="1" style="113" min="22" max="23"/>
    <col width="2.33203125" customWidth="1" style="113" min="24" max="24"/>
    <col width="11.5546875" customWidth="1" style="113" min="25" max="26"/>
    <col width="2.33203125" customWidth="1" style="113" min="27" max="27"/>
    <col width="11.5546875" customWidth="1" style="113" min="28" max="29"/>
    <col width="2.33203125" customWidth="1" style="113" min="30" max="30"/>
  </cols>
  <sheetData>
    <row r="1">
      <c r="D1" s="114" t="n"/>
      <c r="E1" s="115" t="n"/>
      <c r="F1" s="31" t="n"/>
      <c r="G1" s="36">
        <f>FAO!B1&amp;" max ="</f>
        <v/>
      </c>
      <c r="H1" s="116">
        <f>+FAO!B10</f>
        <v/>
      </c>
      <c r="I1" s="32" t="n"/>
      <c r="J1" s="36">
        <f>FAO!E1&amp;" max ="</f>
        <v/>
      </c>
      <c r="K1" s="116">
        <f>+FAO!E10</f>
        <v/>
      </c>
      <c r="L1" s="32" t="n"/>
      <c r="M1" s="36">
        <f>FAO!H1&amp;" max ="</f>
        <v/>
      </c>
      <c r="N1" s="116">
        <f>+FAO!H10</f>
        <v/>
      </c>
      <c r="O1" s="32" t="n"/>
      <c r="P1" s="36">
        <f>FAO!K1&amp;" max ="</f>
        <v/>
      </c>
      <c r="Q1" s="116">
        <f>+FAO!K10</f>
        <v/>
      </c>
      <c r="R1" s="32" t="n"/>
      <c r="S1" s="36">
        <f>FAO!N1&amp;" max ="</f>
        <v/>
      </c>
      <c r="T1" s="116">
        <f>+FAO!N10</f>
        <v/>
      </c>
      <c r="U1" s="32" t="n"/>
      <c r="V1" s="36">
        <f>FAO!Q1&amp;" max ="</f>
        <v/>
      </c>
      <c r="W1" s="116">
        <f>+FAO!Q10</f>
        <v/>
      </c>
      <c r="X1" s="32" t="n"/>
      <c r="Y1" s="36">
        <f>FAO!T1&amp;" max ="</f>
        <v/>
      </c>
      <c r="Z1" s="116">
        <f>+FAO!T10</f>
        <v/>
      </c>
      <c r="AA1" s="32" t="n"/>
      <c r="AB1" s="36">
        <f>FAO!W1&amp;" max ="</f>
        <v/>
      </c>
      <c r="AC1" s="116">
        <f>+FAO!W10</f>
        <v/>
      </c>
      <c r="AD1" s="32" t="n"/>
      <c r="AE1">
        <f>COUNTA($C$15:$C$10001)</f>
        <v/>
      </c>
    </row>
    <row r="2">
      <c r="D2" s="114" t="n"/>
      <c r="E2" s="115" t="n"/>
      <c r="F2" s="31" t="n"/>
      <c r="G2" s="48" t="inlineStr">
        <is>
          <t>obs n =</t>
        </is>
      </c>
      <c r="H2">
        <f>COUNTIF($C$18:$C$1003,G13)</f>
        <v/>
      </c>
      <c r="I2" s="32" t="n"/>
      <c r="J2" s="48" t="inlineStr">
        <is>
          <t>obs n =</t>
        </is>
      </c>
      <c r="K2">
        <f>COUNTIF($C$18:$C$1003,J13)</f>
        <v/>
      </c>
      <c r="L2" s="32" t="n"/>
      <c r="M2" s="48" t="inlineStr">
        <is>
          <t>obs n =</t>
        </is>
      </c>
      <c r="N2">
        <f>COUNTIF($C$18:$C$1003,M13)</f>
        <v/>
      </c>
      <c r="O2" s="32" t="n"/>
      <c r="P2" s="48" t="inlineStr">
        <is>
          <t>obs n =</t>
        </is>
      </c>
      <c r="Q2">
        <f>COUNTIF($C$18:$C$1003,P13)</f>
        <v/>
      </c>
      <c r="R2" s="32" t="n"/>
      <c r="S2" s="48" t="inlineStr">
        <is>
          <t>obs n =</t>
        </is>
      </c>
      <c r="T2">
        <f>COUNTIF($C$18:$C$1003,S13)</f>
        <v/>
      </c>
      <c r="U2" s="32" t="n"/>
      <c r="V2" s="48" t="inlineStr">
        <is>
          <t>obs n =</t>
        </is>
      </c>
      <c r="W2">
        <f>COUNTIF($C$18:$C$1003,V13)</f>
        <v/>
      </c>
      <c r="X2" s="32" t="n"/>
      <c r="Y2" s="48" t="inlineStr">
        <is>
          <t>obs n =</t>
        </is>
      </c>
      <c r="Z2">
        <f>COUNTIF($C$18:$C$1003,Y13)</f>
        <v/>
      </c>
      <c r="AA2" s="32" t="n"/>
      <c r="AB2" s="48" t="inlineStr">
        <is>
          <t>obs n =</t>
        </is>
      </c>
      <c r="AC2">
        <f>COUNTIF($C$18:$C$1003,AB13)</f>
        <v/>
      </c>
      <c r="AD2" s="32" t="n"/>
    </row>
    <row r="3">
      <c r="D3" s="114" t="n"/>
      <c r="E3" s="115" t="n"/>
      <c r="F3" s="31" t="n"/>
      <c r="G3" s="48" t="inlineStr">
        <is>
          <t xml:space="preserve">freq n= </t>
        </is>
      </c>
      <c r="H3">
        <f>+SUM(H15:H1003)</f>
        <v/>
      </c>
      <c r="I3" s="32" t="n"/>
      <c r="J3" s="48" t="inlineStr">
        <is>
          <t xml:space="preserve">freq n= </t>
        </is>
      </c>
      <c r="K3">
        <f>+SUM(K15:K1003)</f>
        <v/>
      </c>
      <c r="L3" s="32" t="n"/>
      <c r="M3" s="48" t="inlineStr">
        <is>
          <t xml:space="preserve">freq n= </t>
        </is>
      </c>
      <c r="N3">
        <f>+SUM(N15:N1003)</f>
        <v/>
      </c>
      <c r="O3" s="32" t="n"/>
      <c r="P3" s="48" t="inlineStr">
        <is>
          <t xml:space="preserve">freq n= </t>
        </is>
      </c>
      <c r="Q3">
        <f>+SUM(Q15:Q1003)</f>
        <v/>
      </c>
      <c r="R3" s="32" t="n"/>
      <c r="S3" s="48" t="inlineStr">
        <is>
          <t xml:space="preserve">freq n= </t>
        </is>
      </c>
      <c r="T3">
        <f>+SUM(T15:T1003)</f>
        <v/>
      </c>
      <c r="U3" s="32" t="n"/>
      <c r="V3" s="48" t="inlineStr">
        <is>
          <t xml:space="preserve">freq n= </t>
        </is>
      </c>
      <c r="W3">
        <f>+SUM(W15:W1003)</f>
        <v/>
      </c>
      <c r="X3" s="32" t="n"/>
      <c r="Y3" s="48" t="inlineStr">
        <is>
          <t xml:space="preserve">freq n= </t>
        </is>
      </c>
      <c r="Z3">
        <f>+SUM(Z15:Z1003)</f>
        <v/>
      </c>
      <c r="AA3" s="32" t="n"/>
      <c r="AB3" s="48" t="inlineStr">
        <is>
          <t xml:space="preserve">freq n= </t>
        </is>
      </c>
      <c r="AC3">
        <f>+SUM(AC15:AC1003)</f>
        <v/>
      </c>
      <c r="AD3" s="32" t="n"/>
    </row>
    <row r="4">
      <c r="D4" s="114" t="n"/>
      <c r="E4" s="115" t="n"/>
      <c r="F4" s="31" t="n"/>
      <c r="G4" s="48" t="inlineStr">
        <is>
          <t>first bin =</t>
        </is>
      </c>
      <c r="H4" t="n">
        <v>10</v>
      </c>
      <c r="I4" s="32" t="n"/>
      <c r="J4" s="48" t="inlineStr">
        <is>
          <t>first bin =</t>
        </is>
      </c>
      <c r="K4" t="n">
        <v>10</v>
      </c>
      <c r="L4" s="32" t="n"/>
      <c r="M4" s="48" t="inlineStr">
        <is>
          <t>first bin =</t>
        </is>
      </c>
      <c r="N4" t="n">
        <v>10</v>
      </c>
      <c r="O4" s="32" t="n"/>
      <c r="P4" s="48" t="inlineStr">
        <is>
          <t>first bin =</t>
        </is>
      </c>
      <c r="Q4" t="n">
        <v>10</v>
      </c>
      <c r="R4" s="32" t="n"/>
      <c r="S4" s="48" t="inlineStr">
        <is>
          <t>first bin =</t>
        </is>
      </c>
      <c r="T4" t="n">
        <v>10</v>
      </c>
      <c r="U4" s="32" t="n"/>
      <c r="V4" s="48" t="inlineStr">
        <is>
          <t>first bin =</t>
        </is>
      </c>
      <c r="W4" t="n">
        <v>10</v>
      </c>
      <c r="X4" s="32" t="n"/>
      <c r="Y4" s="48" t="inlineStr">
        <is>
          <t>first bin =</t>
        </is>
      </c>
      <c r="Z4" t="n">
        <v>10</v>
      </c>
      <c r="AA4" s="32" t="n"/>
      <c r="AB4" s="48" t="inlineStr">
        <is>
          <t>first bin =</t>
        </is>
      </c>
      <c r="AC4" t="n">
        <v>10</v>
      </c>
      <c r="AD4" s="32" t="n"/>
    </row>
    <row r="5">
      <c r="D5" s="114" t="n"/>
      <c r="E5" s="115" t="n"/>
      <c r="F5" s="31" t="n"/>
      <c r="G5" s="48" t="inlineStr">
        <is>
          <t>increment =</t>
        </is>
      </c>
      <c r="H5">
        <f>+FAO!B14</f>
        <v/>
      </c>
      <c r="I5" s="32" t="n"/>
      <c r="J5" s="48" t="inlineStr">
        <is>
          <t>increment =</t>
        </is>
      </c>
      <c r="K5">
        <f>+FAO!E14</f>
        <v/>
      </c>
      <c r="L5" s="32" t="n"/>
      <c r="M5" s="48" t="inlineStr">
        <is>
          <t>increment =</t>
        </is>
      </c>
      <c r="N5">
        <f>+FAO!H14</f>
        <v/>
      </c>
      <c r="O5" s="32" t="n"/>
      <c r="P5" s="48" t="inlineStr">
        <is>
          <t>increment =</t>
        </is>
      </c>
      <c r="Q5">
        <f>+FAO!K14</f>
        <v/>
      </c>
      <c r="R5" s="32" t="n"/>
      <c r="S5" s="48" t="inlineStr">
        <is>
          <t>increment =</t>
        </is>
      </c>
      <c r="T5">
        <f>+FAO!N14</f>
        <v/>
      </c>
      <c r="U5" s="32" t="n"/>
      <c r="V5" s="48" t="inlineStr">
        <is>
          <t>increment =</t>
        </is>
      </c>
      <c r="W5">
        <f>+FAO!Q14</f>
        <v/>
      </c>
      <c r="X5" s="32" t="n"/>
      <c r="Y5" s="48" t="inlineStr">
        <is>
          <t>increment =</t>
        </is>
      </c>
      <c r="Z5">
        <f>+FAO!T14</f>
        <v/>
      </c>
      <c r="AA5" s="32" t="n"/>
      <c r="AB5" s="48" t="inlineStr">
        <is>
          <t>increment =</t>
        </is>
      </c>
      <c r="AC5">
        <f>+FAO!W14</f>
        <v/>
      </c>
      <c r="AD5" s="32" t="n"/>
    </row>
    <row r="6">
      <c r="D6" s="114" t="n"/>
      <c r="E6" s="115" t="n"/>
      <c r="F6" s="31" t="n"/>
      <c r="G6" s="48" t="inlineStr">
        <is>
          <t>Complete =</t>
        </is>
      </c>
      <c r="H6">
        <f>COUNTIFS($C$18:$C$2015,G$13,$D$18:$D$2015,"&gt;5")/COUNTIF($C$18:$C$2015,G$13)*100</f>
        <v/>
      </c>
      <c r="I6" s="32" t="n"/>
      <c r="J6" s="48" t="inlineStr">
        <is>
          <t>Complete =</t>
        </is>
      </c>
      <c r="K6">
        <f>COUNTIFS($C$18:$C$2015,J$13,$D$18:$D$2015,"&gt;5")/COUNTIF($C$18:$C$2015,J$13)*100</f>
        <v/>
      </c>
      <c r="L6" s="32" t="n"/>
      <c r="M6" s="48" t="inlineStr">
        <is>
          <t>Complete =</t>
        </is>
      </c>
      <c r="N6">
        <f>COUNTIFS($C$18:$C$2015,M$13,$D$18:$D$2015,"&gt;5")/COUNTIF($C$18:$C$2015,M$13)*100</f>
        <v/>
      </c>
      <c r="O6" s="32" t="n"/>
      <c r="P6" s="48" t="inlineStr">
        <is>
          <t>Complete =</t>
        </is>
      </c>
      <c r="Q6">
        <f>COUNTIFS($C$18:$C$2015,P$13,$D$18:$D$2015,"&gt;5")/COUNTIF($C$18:$C$2015,P$13)*100</f>
        <v/>
      </c>
      <c r="R6" s="32" t="n"/>
      <c r="S6" s="48" t="inlineStr">
        <is>
          <t>Complete =</t>
        </is>
      </c>
      <c r="T6">
        <f>COUNTIFS($C$18:$C$2015,S$13,$D$18:$D$2015,"&gt;5")/COUNTIF($C$18:$C$2015,S$13)*100</f>
        <v/>
      </c>
      <c r="U6" s="32" t="n"/>
      <c r="V6" s="48" t="inlineStr">
        <is>
          <t>Complete =</t>
        </is>
      </c>
      <c r="W6">
        <f>COUNTIFS($C$18:$C$2015,V$13,$D$18:$D$2015,"&gt;5")/COUNTIF($C$18:$C$2015,V$13)*100</f>
        <v/>
      </c>
      <c r="X6" s="32" t="n"/>
      <c r="Y6" s="48" t="inlineStr">
        <is>
          <t>Complete =</t>
        </is>
      </c>
      <c r="Z6">
        <f>COUNTIFS($C$18:$C$2015,Y$13,$D$18:$D$2015,"&gt;5")/COUNTIF($C$18:$C$2015,Y$13)*100</f>
        <v/>
      </c>
      <c r="AA6" s="32" t="n"/>
      <c r="AB6" s="48" t="inlineStr">
        <is>
          <t>Complete =</t>
        </is>
      </c>
      <c r="AC6">
        <f>COUNTIFS($C$18:$C$2015,AB$13,$D$18:$D$2015,"&gt;5")/COUNTIF($C$18:$C$2015,AB$13)*100</f>
        <v/>
      </c>
      <c r="AD6" s="32" t="n"/>
    </row>
    <row r="7">
      <c r="D7" s="114" t="n"/>
      <c r="E7" s="115" t="n"/>
      <c r="F7" s="31" t="n"/>
      <c r="G7" s="48" t="inlineStr">
        <is>
          <t>L50 (cm) =</t>
        </is>
      </c>
      <c r="H7">
        <f>+FAO!B11</f>
        <v/>
      </c>
      <c r="I7" s="32" t="n"/>
      <c r="J7" s="48" t="inlineStr">
        <is>
          <t>L50 (cm) =</t>
        </is>
      </c>
      <c r="K7">
        <f>+FAO!E11</f>
        <v/>
      </c>
      <c r="L7" s="32" t="n"/>
      <c r="M7" s="48" t="inlineStr">
        <is>
          <t>L50 (cm) =</t>
        </is>
      </c>
      <c r="N7">
        <f>+FAO!H11</f>
        <v/>
      </c>
      <c r="O7" s="32" t="n"/>
      <c r="P7" s="48" t="inlineStr">
        <is>
          <t>L50 (cm) =</t>
        </is>
      </c>
      <c r="Q7">
        <f>+FAO!K11</f>
        <v/>
      </c>
      <c r="R7" s="32" t="n"/>
      <c r="S7" s="48" t="inlineStr">
        <is>
          <t>L50 (cm) =</t>
        </is>
      </c>
      <c r="T7">
        <f>+FAO!N11</f>
        <v/>
      </c>
      <c r="U7" s="32" t="n"/>
      <c r="V7" s="48" t="inlineStr">
        <is>
          <t>L50 (cm) =</t>
        </is>
      </c>
      <c r="W7">
        <f>+FAO!Q11</f>
        <v/>
      </c>
      <c r="X7" s="32" t="n"/>
      <c r="Y7" s="48" t="inlineStr">
        <is>
          <t>L50 (cm) =</t>
        </is>
      </c>
      <c r="Z7">
        <f>+FAO!T11</f>
        <v/>
      </c>
      <c r="AA7" s="32" t="n"/>
      <c r="AB7" s="48" t="inlineStr">
        <is>
          <t>L50 (cm) =</t>
        </is>
      </c>
      <c r="AC7">
        <f>+FAO!W11</f>
        <v/>
      </c>
      <c r="AD7" s="32" t="n"/>
    </row>
    <row r="8">
      <c r="D8" s="114" t="n"/>
      <c r="E8" s="115" t="n"/>
      <c r="F8" s="31" t="n"/>
      <c r="G8" s="48" t="inlineStr">
        <is>
          <t>Juven. (%) =</t>
        </is>
      </c>
      <c r="H8">
        <f>+ROUND(COUNTIFS($C$18:$C$2015,G$13,$D$18:$D$2015,"&lt;"&amp;H7)/COUNTIF($C$18:$C$2015,G$13)*100,0)</f>
        <v/>
      </c>
      <c r="I8" s="32" t="n"/>
      <c r="J8" s="48" t="inlineStr">
        <is>
          <t>Juven. (%) =</t>
        </is>
      </c>
      <c r="K8">
        <f>+ROUND(COUNTIFS($C$18:$C$2015,J$13,$D$18:$D$2015,"&lt;"&amp;K7)/COUNTIF($C$18:$C$2015,J$13)*100,0)</f>
        <v/>
      </c>
      <c r="L8" s="32" t="n"/>
      <c r="M8" s="48" t="inlineStr">
        <is>
          <t>Juven. (%) =</t>
        </is>
      </c>
      <c r="N8">
        <f>+ROUND(COUNTIFS($C$18:$C$2015,M$13,$D$18:$D$2015,"&lt;"&amp;N7)/COUNTIF($C$18:$C$2015,M$13)*100,0)</f>
        <v/>
      </c>
      <c r="O8" s="32" t="n"/>
      <c r="P8" s="48" t="inlineStr">
        <is>
          <t>Juven. (%) =</t>
        </is>
      </c>
      <c r="Q8">
        <f>+ROUND(COUNTIFS($C$18:$C$2015,P$13,$D$18:$D$2015,"&lt;"&amp;Q7)/COUNTIF($C$18:$C$2015,P$13)*100,0)</f>
        <v/>
      </c>
      <c r="R8" s="32" t="n"/>
      <c r="S8" s="48" t="inlineStr">
        <is>
          <t>Juven. (%) =</t>
        </is>
      </c>
      <c r="T8">
        <f>+ROUND(COUNTIFS($C$18:$C$2015,S$13,$D$18:$D$2015,"&lt;"&amp;T7)/COUNTIF($C$18:$C$2015,S$13)*100,0)</f>
        <v/>
      </c>
      <c r="U8" s="32" t="n"/>
      <c r="V8" s="48" t="inlineStr">
        <is>
          <t>Juven. (%) =</t>
        </is>
      </c>
      <c r="W8">
        <f>+ROUND(COUNTIFS($C$18:$C$2015,V$13,$D$18:$D$2015,"&lt;"&amp;W7)/COUNTIF($C$18:$C$2015,V$13)*100,0)</f>
        <v/>
      </c>
      <c r="X8" s="32" t="n"/>
      <c r="Y8" s="48" t="inlineStr">
        <is>
          <t>Juven. (%) =</t>
        </is>
      </c>
      <c r="Z8">
        <f>+ROUND(COUNTIFS($C$18:$C$2015,Y$13,$D$18:$D$2015,"&lt;"&amp;Z7)/COUNTIF($C$18:$C$2015,Y$13)*100,0)</f>
        <v/>
      </c>
      <c r="AA8" s="32" t="n"/>
      <c r="AB8" s="48" t="inlineStr">
        <is>
          <t>Juven. (%) =</t>
        </is>
      </c>
      <c r="AC8">
        <f>+ROUND(COUNTIFS($C$18:$C$2015,AB$13,$D$18:$D$2015,"&lt;"&amp;AC7)/COUNTIF($C$18:$C$2015,AB$13)*100,0)</f>
        <v/>
      </c>
      <c r="AD8" s="32" t="n"/>
    </row>
    <row r="9" customFormat="1" s="17">
      <c r="D9" s="114" t="n"/>
      <c r="E9" s="18" t="n"/>
      <c r="F9" s="31" t="n"/>
      <c r="G9" s="20">
        <f>+FAO!B6</f>
        <v/>
      </c>
      <c r="H9" s="117" t="n"/>
      <c r="I9" s="32" t="n"/>
      <c r="J9" s="20">
        <f>+FAO!E6</f>
        <v/>
      </c>
      <c r="K9" s="117" t="n"/>
      <c r="L9" s="32" t="n"/>
      <c r="M9" s="20">
        <f>+FAO!H6</f>
        <v/>
      </c>
      <c r="N9" s="117" t="n"/>
      <c r="O9" s="32" t="n"/>
      <c r="P9" s="20">
        <f>+FAO!K6</f>
        <v/>
      </c>
      <c r="Q9" s="117" t="n"/>
      <c r="R9" s="32" t="n"/>
      <c r="S9" s="20">
        <f>+FAO!N6</f>
        <v/>
      </c>
      <c r="T9" s="117" t="n"/>
      <c r="U9" s="32" t="n"/>
      <c r="V9" s="20">
        <f>+FAO!Q6</f>
        <v/>
      </c>
      <c r="W9" s="117" t="n"/>
      <c r="X9" s="32" t="n"/>
      <c r="Y9" s="20">
        <f>+FAO!T6</f>
        <v/>
      </c>
      <c r="Z9" s="117" t="n"/>
      <c r="AA9" s="32" t="n"/>
      <c r="AB9" s="20">
        <f>+FAO!W6</f>
        <v/>
      </c>
      <c r="AC9" s="117" t="n"/>
      <c r="AD9" s="32" t="n"/>
    </row>
    <row r="10" customFormat="1" s="1">
      <c r="D10" s="114" t="n"/>
      <c r="E10" s="33" t="n"/>
      <c r="F10" s="31" t="n"/>
      <c r="G10" s="20">
        <f>+FAO!B7</f>
        <v/>
      </c>
      <c r="H10" s="118" t="n"/>
      <c r="I10" s="32" t="n"/>
      <c r="J10" s="20">
        <f>+FAO!E7</f>
        <v/>
      </c>
      <c r="K10" s="118" t="n"/>
      <c r="L10" s="32" t="n"/>
      <c r="M10" s="20">
        <f>+FAO!H7</f>
        <v/>
      </c>
      <c r="N10" s="118" t="n"/>
      <c r="O10" s="32" t="n"/>
      <c r="P10" s="20">
        <f>+FAO!K7</f>
        <v/>
      </c>
      <c r="Q10" s="118" t="n"/>
      <c r="R10" s="32" t="n"/>
      <c r="S10" s="20">
        <f>+FAO!N7</f>
        <v/>
      </c>
      <c r="T10" s="118" t="n"/>
      <c r="U10" s="32" t="n"/>
      <c r="V10" s="20">
        <f>+FAO!Q7</f>
        <v/>
      </c>
      <c r="W10" s="118" t="n"/>
      <c r="X10" s="32" t="n"/>
      <c r="Y10" s="20">
        <f>+FAO!T7</f>
        <v/>
      </c>
      <c r="Z10" s="118" t="n"/>
      <c r="AA10" s="32" t="n"/>
      <c r="AB10" s="20">
        <f>+FAO!W7</f>
        <v/>
      </c>
      <c r="AC10" s="118" t="n"/>
      <c r="AD10" s="32" t="n"/>
    </row>
    <row r="11" customFormat="1" s="1">
      <c r="D11" s="114" t="n"/>
      <c r="E11" s="19" t="n"/>
      <c r="F11" s="31" t="n"/>
      <c r="G11" s="34">
        <f>+FAO!B9</f>
        <v/>
      </c>
      <c r="H11" s="119" t="n"/>
      <c r="I11" s="32" t="n"/>
      <c r="J11" s="34">
        <f>+FAO!E9</f>
        <v/>
      </c>
      <c r="K11" s="119" t="n"/>
      <c r="L11" s="32" t="n"/>
      <c r="M11" s="34">
        <f>+FAO!H9</f>
        <v/>
      </c>
      <c r="N11" s="119" t="n"/>
      <c r="O11" s="32" t="n"/>
      <c r="P11" s="34">
        <f>+FAO!K9</f>
        <v/>
      </c>
      <c r="Q11" s="119" t="n"/>
      <c r="R11" s="32" t="n"/>
      <c r="S11" s="34">
        <f>+FAO!N9</f>
        <v/>
      </c>
      <c r="T11" s="119" t="n"/>
      <c r="U11" s="32" t="n"/>
      <c r="V11" s="34">
        <f>+FAO!Q9</f>
        <v/>
      </c>
      <c r="W11" s="119" t="n"/>
      <c r="X11" s="32" t="n"/>
      <c r="Y11" s="34">
        <f>+FAO!T9</f>
        <v/>
      </c>
      <c r="Z11" s="119" t="n"/>
      <c r="AA11" s="32" t="n"/>
      <c r="AB11" s="34">
        <f>+FAO!W9</f>
        <v/>
      </c>
      <c r="AC11" s="119" t="n"/>
      <c r="AD11" s="32" t="n"/>
    </row>
    <row r="12">
      <c r="D12" s="114" t="n"/>
      <c r="E12" s="115" t="n"/>
      <c r="F12" s="31" t="n"/>
      <c r="G12" s="34">
        <f>+FAO!B5</f>
        <v/>
      </c>
      <c r="H12" s="120" t="n"/>
      <c r="I12" s="32" t="n"/>
      <c r="J12" s="34">
        <f>+FAO!E5</f>
        <v/>
      </c>
      <c r="K12" s="120" t="n"/>
      <c r="L12" s="32" t="n"/>
      <c r="M12" s="34">
        <f>+FAO!H5</f>
        <v/>
      </c>
      <c r="N12" s="120" t="n"/>
      <c r="O12" s="32" t="n"/>
      <c r="P12" s="34">
        <f>+FAO!K5</f>
        <v/>
      </c>
      <c r="Q12" s="120" t="n"/>
      <c r="R12" s="32" t="n"/>
      <c r="S12" s="34">
        <f>+FAO!N5</f>
        <v/>
      </c>
      <c r="T12" s="120" t="n"/>
      <c r="U12" s="32" t="n"/>
      <c r="V12" s="34">
        <f>+FAO!Q5</f>
        <v/>
      </c>
      <c r="W12" s="120" t="n"/>
      <c r="X12" s="32" t="n"/>
      <c r="Y12" s="34">
        <f>+FAO!T5</f>
        <v/>
      </c>
      <c r="Z12" s="120" t="n"/>
      <c r="AA12" s="32" t="n"/>
      <c r="AB12" s="34">
        <f>+FAO!W5</f>
        <v/>
      </c>
      <c r="AC12" s="120" t="n"/>
      <c r="AD12" s="32" t="n"/>
    </row>
    <row r="13" ht="39" customHeight="1" s="113">
      <c r="B13" s="49" t="n"/>
      <c r="D13" t="e">
        <v>#VALUE!</v>
      </c>
      <c r="E13" s="51">
        <f>COUNTA(C15:C1003)</f>
        <v/>
      </c>
      <c r="F13" s="31" t="n"/>
      <c r="G13" s="35">
        <f>+FAO!B1</f>
        <v/>
      </c>
      <c r="H13" s="121">
        <f>+FAO!B3</f>
        <v/>
      </c>
      <c r="I13" s="32" t="n"/>
      <c r="J13" s="35">
        <f>+FAO!E1</f>
        <v/>
      </c>
      <c r="K13" s="121">
        <f>+FAO!E3</f>
        <v/>
      </c>
      <c r="L13" s="32" t="n"/>
      <c r="M13" s="35">
        <f>+FAO!H1</f>
        <v/>
      </c>
      <c r="N13" s="121">
        <f>+FAO!H3</f>
        <v/>
      </c>
      <c r="O13" s="32" t="n"/>
      <c r="P13" s="35">
        <f>+FAO!K1</f>
        <v/>
      </c>
      <c r="Q13" s="121">
        <f>+FAO!K3</f>
        <v/>
      </c>
      <c r="R13" s="32" t="n"/>
      <c r="S13" s="35">
        <f>+FAO!N1</f>
        <v/>
      </c>
      <c r="T13" s="121">
        <f>+FAO!N3</f>
        <v/>
      </c>
      <c r="U13" s="32" t="n"/>
      <c r="V13" s="35">
        <f>+FAO!Q1</f>
        <v/>
      </c>
      <c r="W13" s="121">
        <f>+FAO!Q3</f>
        <v/>
      </c>
      <c r="X13" s="32" t="n"/>
      <c r="Y13" s="35">
        <f>+FAO!T1</f>
        <v/>
      </c>
      <c r="Z13" s="121">
        <f>+FAO!T3</f>
        <v/>
      </c>
      <c r="AA13" s="32" t="n"/>
      <c r="AB13" s="35">
        <f>+FAO!W1</f>
        <v/>
      </c>
      <c r="AC13" s="121">
        <f>+FAO!W3</f>
        <v/>
      </c>
      <c r="AD13" s="32" t="n"/>
    </row>
    <row r="14" customFormat="1" s="54">
      <c r="A14" s="99" t="inlineStr">
        <is>
          <t>TRIP</t>
        </is>
      </c>
      <c r="B14" s="99" t="inlineStr">
        <is>
          <t>DATE</t>
        </is>
      </c>
      <c r="C14" s="99" t="inlineStr">
        <is>
          <t>FAO</t>
        </is>
      </c>
      <c r="D14" s="122" t="inlineStr">
        <is>
          <t>OBS</t>
        </is>
      </c>
      <c r="E14" s="99" t="inlineStr">
        <is>
          <t>ID</t>
        </is>
      </c>
      <c r="F14" s="52" t="n"/>
      <c r="G14" s="50">
        <f>"LC-"&amp;G13</f>
        <v/>
      </c>
      <c r="H14" s="123">
        <f>"FQ-"&amp;G13</f>
        <v/>
      </c>
      <c r="I14" s="53" t="n"/>
      <c r="J14" s="50">
        <f>"LC-"&amp;J13</f>
        <v/>
      </c>
      <c r="K14" s="123">
        <f>"FQ-"&amp;J13</f>
        <v/>
      </c>
      <c r="L14" s="53" t="n"/>
      <c r="M14" s="50">
        <f>"LC-"&amp;M13</f>
        <v/>
      </c>
      <c r="N14" s="123">
        <f>"FQ-"&amp;M13</f>
        <v/>
      </c>
      <c r="O14" s="53" t="n"/>
      <c r="P14" s="50">
        <f>"LC-"&amp;P13</f>
        <v/>
      </c>
      <c r="Q14" s="123">
        <f>"FQ-"&amp;P13</f>
        <v/>
      </c>
      <c r="R14" s="53" t="n"/>
      <c r="S14" s="50">
        <f>"LC-"&amp;S13</f>
        <v/>
      </c>
      <c r="T14" s="123">
        <f>"FQ-"&amp;S13</f>
        <v/>
      </c>
      <c r="U14" s="53" t="n"/>
      <c r="V14" s="50">
        <f>"LC-"&amp;V13</f>
        <v/>
      </c>
      <c r="W14" s="123">
        <f>"FQ-"&amp;V13</f>
        <v/>
      </c>
      <c r="X14" s="53" t="n"/>
      <c r="Y14" s="50">
        <f>"LC-"&amp;Y13</f>
        <v/>
      </c>
      <c r="Z14" s="123">
        <f>"FQ-"&amp;Y13</f>
        <v/>
      </c>
      <c r="AA14" s="53" t="n"/>
      <c r="AB14" s="50">
        <f>"LC-"&amp;AB13</f>
        <v/>
      </c>
      <c r="AC14" s="123">
        <f>"FQ-"&amp;AB13</f>
        <v/>
      </c>
      <c r="AD14" s="53" t="n"/>
    </row>
    <row r="15">
      <c r="A15" s="58" t="n"/>
      <c r="B15" s="59" t="n"/>
      <c r="C15" s="59" t="n"/>
      <c r="E15" s="16">
        <f t="array" ref="E15">+_xlfn.SEQUENCE(E13,1,1)</f>
        <v/>
      </c>
      <c r="F15" s="13" t="n"/>
      <c r="G15" s="16">
        <f t="array" ref="G15:G85">_xlfn.SEQUENCE(((H1-H4)/H5)+1, 1, H4, H5)</f>
        <v/>
      </c>
      <c r="H15" s="124">
        <f>IF(G15="","",COUNTIFS($C$18:$C$2015,G$13,$D$18:$D$2015,"&gt;="&amp;G15,$D$18:$D$2015,"&lt;"&amp;G16))</f>
        <v/>
      </c>
      <c r="I15" s="14" t="n"/>
      <c r="J15" s="16">
        <f t="array" ref="J15:J43">_xlfn.SEQUENCE(((K1-K4)/K5)+1, 1, K4, K5)</f>
        <v/>
      </c>
      <c r="K15" s="124">
        <f>IF(J15="","",COUNTIFS($C$18:$C$2015,J$13,$D$18:$D$2015,"&gt;="&amp;J15,$D$18:$D$2015,"&lt;"&amp;J16))</f>
        <v/>
      </c>
      <c r="L15" s="14" t="n"/>
      <c r="M15" s="16">
        <f t="array" ref="M15:M55">_xlfn.SEQUENCE(((N1-N4)/N5)+1, 1, N4, N5)</f>
        <v/>
      </c>
      <c r="N15" s="124">
        <f>IF(M15="","",COUNTIFS($C$18:$C$2015,M$13,$D$18:$D$2015,"&gt;="&amp;M15,$D$18:$D$2015,"&lt;"&amp;M16))</f>
        <v/>
      </c>
      <c r="O15" s="14" t="n"/>
      <c r="P15" s="16">
        <f t="array" ref="P15:P85">_xlfn.SEQUENCE(((Q1-Q4)/Q5)+1, 1, Q4, Q5)</f>
        <v/>
      </c>
      <c r="Q15" s="124">
        <f>IF(P15="","",COUNTIFS($C$18:$C$2015,P$13,$D$18:$D$2015,"&gt;="&amp;P15,$D$18:$D$2015,"&lt;"&amp;P16))</f>
        <v/>
      </c>
      <c r="R15" s="14" t="n"/>
      <c r="S15" s="16">
        <f t="array" ref="S15:S60">_xlfn.SEQUENCE(((T1-T4)/T5)+1, 1, T4, T5)</f>
        <v/>
      </c>
      <c r="T15" s="124">
        <f>IF(S15="","",COUNTIFS($C$18:$C$2015,S$13,$D$18:$D$2015,"&gt;="&amp;S15,$D$18:$D$2015,"&lt;"&amp;S16))</f>
        <v/>
      </c>
      <c r="U15" s="14" t="n"/>
      <c r="V15" s="16">
        <f t="array" ref="V15:V50">_xlfn.SEQUENCE(((W1-W4)/W5)+1, 1, W4, W5)</f>
        <v/>
      </c>
      <c r="W15" s="124">
        <f>IF(V15="","",COUNTIFS($C$18:$C$2015,V$13,$D$18:$D$2015,"&gt;="&amp;V15,$D$18:$D$2015,"&lt;"&amp;V16))</f>
        <v/>
      </c>
      <c r="X15" s="14" t="n"/>
      <c r="Y15" s="16">
        <f t="array" ref="Y15:Y50">_xlfn.SEQUENCE(((Z1-Z4)/Z5)+1, 1, Z4, Z5)</f>
        <v/>
      </c>
      <c r="Z15" s="124">
        <f>IF(Y15="","",COUNTIFS($C$18:$C$2015,Y$13,$D$18:$D$2015,"&gt;="&amp;Y15,$D$18:$D$2015,"&lt;"&amp;Y16))</f>
        <v/>
      </c>
      <c r="AA15" s="14" t="n"/>
      <c r="AB15" s="16">
        <f t="array" ref="AB15:AB67">_xlfn.SEQUENCE(((AC1-AC4)/AC5)+1, 1, AC4, AC5)</f>
        <v/>
      </c>
      <c r="AC15" s="124">
        <f>IF(AB15="","",COUNTIFS($C$18:$C$2015,AB$13,$D$18:$D$2015,"&gt;="&amp;AB15,$D$18:$D$2015,"&lt;"&amp;AB16))</f>
        <v/>
      </c>
      <c r="AD15" s="14" t="n"/>
    </row>
    <row r="16">
      <c r="A16" s="56" t="n"/>
      <c r="B16" s="57" t="n"/>
      <c r="C16" s="59" t="n"/>
      <c r="E16" s="16" t="n"/>
      <c r="F16" s="13" t="n"/>
      <c r="G16" s="16" t="n">
        <v>11</v>
      </c>
      <c r="H16" s="124">
        <f>IF(G16="","",COUNTIFS($C$18:$C$2015,G$13,$D$18:$D$2015,"&gt;="&amp;G16,$D$18:$D$2015,"&lt;"&amp;G17))</f>
        <v/>
      </c>
      <c r="I16" s="14" t="n"/>
      <c r="J16" s="16" t="n">
        <v>15</v>
      </c>
      <c r="K16" s="124">
        <f>IF(J16="","",COUNTIFS($C$18:$C$2015,J$13,$D$18:$D$2015,"&gt;="&amp;J16,$D$18:$D$2015,"&lt;"&amp;J17))</f>
        <v/>
      </c>
      <c r="L16" s="14" t="n"/>
      <c r="M16" s="16" t="n">
        <v>12</v>
      </c>
      <c r="N16" s="124">
        <f>IF(M16="","",COUNTIFS($C$18:$C$2015,M$13,$D$18:$D$2015,"&gt;="&amp;M16,$D$18:$D$2015,"&lt;"&amp;M17))</f>
        <v/>
      </c>
      <c r="O16" s="14" t="n"/>
      <c r="P16" s="16" t="n">
        <v>11</v>
      </c>
      <c r="Q16" s="124">
        <f>IF(P16="","",COUNTIFS($C$18:$C$2015,P$13,$D$18:$D$2015,"&gt;="&amp;P16,$D$18:$D$2015,"&lt;"&amp;P17))</f>
        <v/>
      </c>
      <c r="R16" s="14" t="n"/>
      <c r="S16" s="16" t="n">
        <v>12</v>
      </c>
      <c r="T16" s="124">
        <f>IF(S16="","",COUNTIFS($C$18:$C$2015,S$13,$D$18:$D$2015,"&gt;="&amp;S16,$D$18:$D$2015,"&lt;"&amp;S17))</f>
        <v/>
      </c>
      <c r="U16" s="14" t="n"/>
      <c r="V16" s="16" t="n">
        <v>12</v>
      </c>
      <c r="W16" s="124">
        <f>IF(V16="","",COUNTIFS($C$18:$C$2015,V$13,$D$18:$D$2015,"&gt;="&amp;V16,$D$18:$D$2015,"&lt;"&amp;V17))</f>
        <v/>
      </c>
      <c r="X16" s="14" t="n"/>
      <c r="Y16" s="16" t="n">
        <v>12</v>
      </c>
      <c r="Z16" s="124">
        <f>IF(Y16="","",COUNTIFS($C$18:$C$2015,Y$13,$D$18:$D$2015,"&gt;="&amp;Y16,$D$18:$D$2015,"&lt;"&amp;Y17))</f>
        <v/>
      </c>
      <c r="AA16" s="14" t="n"/>
      <c r="AB16" s="16" t="n">
        <v>11</v>
      </c>
      <c r="AC16" s="124">
        <f>IF(AB16="","",COUNTIFS($C$18:$C$2015,AB$13,$D$18:$D$2015,"&gt;="&amp;AB16,$D$18:$D$2015,"&lt;"&amp;AB17))</f>
        <v/>
      </c>
      <c r="AD16" s="14" t="n"/>
    </row>
    <row r="17">
      <c r="A17" s="58" t="n"/>
      <c r="B17" s="59" t="n"/>
      <c r="C17" s="59" t="n"/>
      <c r="E17" s="16" t="n"/>
      <c r="F17" s="13" t="n"/>
      <c r="G17" s="16" t="n">
        <v>12</v>
      </c>
      <c r="H17" s="124">
        <f>IF(G17="","",COUNTIFS($C$18:$C$2015,G$13,$D$18:$D$2015,"&gt;="&amp;G17,$D$18:$D$2015,"&lt;"&amp;G18))</f>
        <v/>
      </c>
      <c r="I17" s="14" t="n"/>
      <c r="J17" s="16" t="n">
        <v>20</v>
      </c>
      <c r="K17" s="124">
        <f>IF(J17="","",COUNTIFS($C$18:$C$2015,J$13,$D$18:$D$2015,"&gt;="&amp;J17,$D$18:$D$2015,"&lt;"&amp;J18))</f>
        <v/>
      </c>
      <c r="L17" s="14" t="n"/>
      <c r="M17" s="16" t="n">
        <v>14</v>
      </c>
      <c r="N17" s="124">
        <f>IF(M17="","",COUNTIFS($C$18:$C$2015,M$13,$D$18:$D$2015,"&gt;="&amp;M17,$D$18:$D$2015,"&lt;"&amp;M18))</f>
        <v/>
      </c>
      <c r="O17" s="14" t="n"/>
      <c r="P17" s="16" t="n">
        <v>12</v>
      </c>
      <c r="Q17" s="124">
        <f>IF(P17="","",COUNTIFS($C$18:$C$2015,P$13,$D$18:$D$2015,"&gt;="&amp;P17,$D$18:$D$2015,"&lt;"&amp;P18))</f>
        <v/>
      </c>
      <c r="R17" s="14" t="n"/>
      <c r="S17" s="16" t="n">
        <v>14</v>
      </c>
      <c r="T17" s="124">
        <f>IF(S17="","",COUNTIFS($C$18:$C$2015,S$13,$D$18:$D$2015,"&gt;="&amp;S17,$D$18:$D$2015,"&lt;"&amp;S18))</f>
        <v/>
      </c>
      <c r="U17" s="14" t="n"/>
      <c r="V17" s="16" t="n">
        <v>14</v>
      </c>
      <c r="W17" s="124">
        <f>IF(V17="","",COUNTIFS($C$18:$C$2015,V$13,$D$18:$D$2015,"&gt;="&amp;V17,$D$18:$D$2015,"&lt;"&amp;V18))</f>
        <v/>
      </c>
      <c r="X17" s="14" t="n"/>
      <c r="Y17" s="16" t="n">
        <v>14</v>
      </c>
      <c r="Z17" s="124">
        <f>IF(Y17="","",COUNTIFS($C$18:$C$2015,Y$13,$D$18:$D$2015,"&gt;="&amp;Y17,$D$18:$D$2015,"&lt;"&amp;Y18))</f>
        <v/>
      </c>
      <c r="AA17" s="14" t="n"/>
      <c r="AB17" s="16" t="n">
        <v>12</v>
      </c>
      <c r="AC17" s="124">
        <f>IF(AB17="","",COUNTIFS($C$18:$C$2015,AB$13,$D$18:$D$2015,"&gt;="&amp;AB17,$D$18:$D$2015,"&lt;"&amp;AB18))</f>
        <v/>
      </c>
      <c r="AD17" s="14" t="n"/>
    </row>
    <row r="18">
      <c r="A18" s="56" t="n"/>
      <c r="B18" s="57" t="n"/>
      <c r="C18" s="59" t="n"/>
      <c r="E18" s="16" t="n"/>
      <c r="F18" s="13" t="n"/>
      <c r="G18" s="16" t="n">
        <v>13</v>
      </c>
      <c r="H18" s="124">
        <f>IF(G18="","",COUNTIFS($C$18:$C$2015,G$13,$D$18:$D$2015,"&gt;="&amp;G18,$D$18:$D$2015,"&lt;"&amp;G19))</f>
        <v/>
      </c>
      <c r="I18" s="14" t="n"/>
      <c r="J18" s="16" t="n">
        <v>25</v>
      </c>
      <c r="K18" s="124">
        <f>IF(J18="","",COUNTIFS($C$18:$C$2015,J$13,$D$18:$D$2015,"&gt;="&amp;J18,$D$18:$D$2015,"&lt;"&amp;J19))</f>
        <v/>
      </c>
      <c r="L18" s="14" t="n"/>
      <c r="M18" s="16" t="n">
        <v>16</v>
      </c>
      <c r="N18" s="124">
        <f>IF(M18="","",COUNTIFS($C$18:$C$2015,M$13,$D$18:$D$2015,"&gt;="&amp;M18,$D$18:$D$2015,"&lt;"&amp;M19))</f>
        <v/>
      </c>
      <c r="O18" s="14" t="n"/>
      <c r="P18" s="16" t="n">
        <v>13</v>
      </c>
      <c r="Q18" s="124">
        <f>IF(P18="","",COUNTIFS($C$18:$C$2015,P$13,$D$18:$D$2015,"&gt;="&amp;P18,$D$18:$D$2015,"&lt;"&amp;P19))</f>
        <v/>
      </c>
      <c r="R18" s="14" t="n"/>
      <c r="S18" s="16" t="n">
        <v>16</v>
      </c>
      <c r="T18" s="124">
        <f>IF(S18="","",COUNTIFS($C$18:$C$2015,S$13,$D$18:$D$2015,"&gt;="&amp;S18,$D$18:$D$2015,"&lt;"&amp;S19))</f>
        <v/>
      </c>
      <c r="U18" s="14" t="n"/>
      <c r="V18" s="16" t="n">
        <v>16</v>
      </c>
      <c r="W18" s="124">
        <f>IF(V18="","",COUNTIFS($C$18:$C$2015,V$13,$D$18:$D$2015,"&gt;="&amp;V18,$D$18:$D$2015,"&lt;"&amp;V19))</f>
        <v/>
      </c>
      <c r="X18" s="14" t="n"/>
      <c r="Y18" s="16" t="n">
        <v>16</v>
      </c>
      <c r="Z18" s="124">
        <f>IF(Y18="","",COUNTIFS($C$18:$C$2015,Y$13,$D$18:$D$2015,"&gt;="&amp;Y18,$D$18:$D$2015,"&lt;"&amp;Y19))</f>
        <v/>
      </c>
      <c r="AA18" s="14" t="n"/>
      <c r="AB18" s="16" t="n">
        <v>13</v>
      </c>
      <c r="AC18" s="124">
        <f>IF(AB18="","",COUNTIFS($C$18:$C$2015,AB$13,$D$18:$D$2015,"&gt;="&amp;AB18,$D$18:$D$2015,"&lt;"&amp;AB19))</f>
        <v/>
      </c>
      <c r="AD18" s="14" t="n"/>
    </row>
    <row r="19">
      <c r="A19" s="58" t="n"/>
      <c r="B19" s="59" t="n"/>
      <c r="C19" s="59" t="n"/>
      <c r="E19" s="16" t="n"/>
      <c r="F19" s="13" t="n"/>
      <c r="G19" s="16" t="n">
        <v>14</v>
      </c>
      <c r="H19" s="124">
        <f>IF(G19="","",COUNTIFS($C$18:$C$2015,G$13,$D$18:$D$2015,"&gt;="&amp;G19,$D$18:$D$2015,"&lt;"&amp;G20))</f>
        <v/>
      </c>
      <c r="I19" s="14" t="n"/>
      <c r="J19" s="16" t="n">
        <v>30</v>
      </c>
      <c r="K19" s="124">
        <f>IF(J19="","",COUNTIFS($C$18:$C$2015,J$13,$D$18:$D$2015,"&gt;="&amp;J19,$D$18:$D$2015,"&lt;"&amp;J20))</f>
        <v/>
      </c>
      <c r="L19" s="14" t="n"/>
      <c r="M19" s="16" t="n">
        <v>18</v>
      </c>
      <c r="N19" s="124">
        <f>IF(M19="","",COUNTIFS($C$18:$C$2015,M$13,$D$18:$D$2015,"&gt;="&amp;M19,$D$18:$D$2015,"&lt;"&amp;M20))</f>
        <v/>
      </c>
      <c r="O19" s="14" t="n"/>
      <c r="P19" s="16" t="n">
        <v>14</v>
      </c>
      <c r="Q19" s="124">
        <f>IF(P19="","",COUNTIFS($C$18:$C$2015,P$13,$D$18:$D$2015,"&gt;="&amp;P19,$D$18:$D$2015,"&lt;"&amp;P20))</f>
        <v/>
      </c>
      <c r="R19" s="14" t="n"/>
      <c r="S19" s="16" t="n">
        <v>18</v>
      </c>
      <c r="T19" s="124">
        <f>IF(S19="","",COUNTIFS($C$18:$C$2015,S$13,$D$18:$D$2015,"&gt;="&amp;S19,$D$18:$D$2015,"&lt;"&amp;S20))</f>
        <v/>
      </c>
      <c r="U19" s="14" t="n"/>
      <c r="V19" s="16" t="n">
        <v>18</v>
      </c>
      <c r="W19" s="124">
        <f>IF(V19="","",COUNTIFS($C$18:$C$2015,V$13,$D$18:$D$2015,"&gt;="&amp;V19,$D$18:$D$2015,"&lt;"&amp;V20))</f>
        <v/>
      </c>
      <c r="X19" s="14" t="n"/>
      <c r="Y19" s="16" t="n">
        <v>18</v>
      </c>
      <c r="Z19" s="124">
        <f>IF(Y19="","",COUNTIFS($C$18:$C$2015,Y$13,$D$18:$D$2015,"&gt;="&amp;Y19,$D$18:$D$2015,"&lt;"&amp;Y20))</f>
        <v/>
      </c>
      <c r="AA19" s="14" t="n"/>
      <c r="AB19" s="16" t="n">
        <v>14</v>
      </c>
      <c r="AC19" s="124">
        <f>IF(AB19="","",COUNTIFS($C$18:$C$2015,AB$13,$D$18:$D$2015,"&gt;="&amp;AB19,$D$18:$D$2015,"&lt;"&amp;AB20))</f>
        <v/>
      </c>
      <c r="AD19" s="14" t="n"/>
    </row>
    <row r="20">
      <c r="A20" s="56" t="n"/>
      <c r="B20" s="57" t="n"/>
      <c r="C20" s="59" t="n"/>
      <c r="E20" s="16" t="n"/>
      <c r="F20" s="13" t="n"/>
      <c r="G20" s="16" t="n">
        <v>15</v>
      </c>
      <c r="H20" s="124">
        <f>IF(G20="","",COUNTIFS($C$18:$C$2015,G$13,$D$18:$D$2015,"&gt;="&amp;G20,$D$18:$D$2015,"&lt;"&amp;G21))</f>
        <v/>
      </c>
      <c r="I20" s="14" t="n"/>
      <c r="J20" s="16" t="n">
        <v>35</v>
      </c>
      <c r="K20" s="124">
        <f>IF(J20="","",COUNTIFS($C$18:$C$2015,J$13,$D$18:$D$2015,"&gt;="&amp;J20,$D$18:$D$2015,"&lt;"&amp;J21))</f>
        <v/>
      </c>
      <c r="L20" s="14" t="n"/>
      <c r="M20" s="16" t="n">
        <v>20</v>
      </c>
      <c r="N20" s="124">
        <f>IF(M20="","",COUNTIFS($C$18:$C$2015,M$13,$D$18:$D$2015,"&gt;="&amp;M20,$D$18:$D$2015,"&lt;"&amp;M21))</f>
        <v/>
      </c>
      <c r="O20" s="14" t="n"/>
      <c r="P20" s="16" t="n">
        <v>15</v>
      </c>
      <c r="Q20" s="124">
        <f>IF(P20="","",COUNTIFS($C$18:$C$2015,P$13,$D$18:$D$2015,"&gt;="&amp;P20,$D$18:$D$2015,"&lt;"&amp;P21))</f>
        <v/>
      </c>
      <c r="R20" s="14" t="n"/>
      <c r="S20" s="16" t="n">
        <v>20</v>
      </c>
      <c r="T20" s="124">
        <f>IF(S20="","",COUNTIFS($C$18:$C$2015,S$13,$D$18:$D$2015,"&gt;="&amp;S20,$D$18:$D$2015,"&lt;"&amp;S21))</f>
        <v/>
      </c>
      <c r="U20" s="14" t="n"/>
      <c r="V20" s="16" t="n">
        <v>20</v>
      </c>
      <c r="W20" s="124">
        <f>IF(V20="","",COUNTIFS($C$18:$C$2015,V$13,$D$18:$D$2015,"&gt;="&amp;V20,$D$18:$D$2015,"&lt;"&amp;V21))</f>
        <v/>
      </c>
      <c r="X20" s="14" t="n"/>
      <c r="Y20" s="16" t="n">
        <v>20</v>
      </c>
      <c r="Z20" s="124">
        <f>IF(Y20="","",COUNTIFS($C$18:$C$2015,Y$13,$D$18:$D$2015,"&gt;="&amp;Y20,$D$18:$D$2015,"&lt;"&amp;Y21))</f>
        <v/>
      </c>
      <c r="AA20" s="14" t="n"/>
      <c r="AB20" s="16" t="n">
        <v>15</v>
      </c>
      <c r="AC20" s="124">
        <f>IF(AB20="","",COUNTIFS($C$18:$C$2015,AB$13,$D$18:$D$2015,"&gt;="&amp;AB20,$D$18:$D$2015,"&lt;"&amp;AB21))</f>
        <v/>
      </c>
      <c r="AD20" s="14" t="n"/>
    </row>
    <row r="21">
      <c r="A21" s="58" t="n"/>
      <c r="B21" s="59" t="n"/>
      <c r="C21" s="59" t="n"/>
      <c r="E21" s="16" t="n"/>
      <c r="F21" s="13" t="n"/>
      <c r="G21" s="16" t="n">
        <v>16</v>
      </c>
      <c r="H21" s="124">
        <f>IF(G21="","",COUNTIFS($C$18:$C$2015,G$13,$D$18:$D$2015,"&gt;="&amp;G21,$D$18:$D$2015,"&lt;"&amp;G22))</f>
        <v/>
      </c>
      <c r="I21" s="14" t="n"/>
      <c r="J21" s="16" t="n">
        <v>40</v>
      </c>
      <c r="K21" s="124">
        <f>IF(J21="","",COUNTIFS($C$18:$C$2015,J$13,$D$18:$D$2015,"&gt;="&amp;J21,$D$18:$D$2015,"&lt;"&amp;J22))</f>
        <v/>
      </c>
      <c r="L21" s="14" t="n"/>
      <c r="M21" s="16" t="n">
        <v>22</v>
      </c>
      <c r="N21" s="124">
        <f>IF(M21="","",COUNTIFS($C$18:$C$2015,M$13,$D$18:$D$2015,"&gt;="&amp;M21,$D$18:$D$2015,"&lt;"&amp;M22))</f>
        <v/>
      </c>
      <c r="O21" s="14" t="n"/>
      <c r="P21" s="16" t="n">
        <v>16</v>
      </c>
      <c r="Q21" s="124">
        <f>IF(P21="","",COUNTIFS($C$18:$C$2015,P$13,$D$18:$D$2015,"&gt;="&amp;P21,$D$18:$D$2015,"&lt;"&amp;P22))</f>
        <v/>
      </c>
      <c r="R21" s="14" t="n"/>
      <c r="S21" s="16" t="n">
        <v>22</v>
      </c>
      <c r="T21" s="124">
        <f>IF(S21="","",COUNTIFS($C$18:$C$2015,S$13,$D$18:$D$2015,"&gt;="&amp;S21,$D$18:$D$2015,"&lt;"&amp;S22))</f>
        <v/>
      </c>
      <c r="U21" s="14" t="n"/>
      <c r="V21" s="16" t="n">
        <v>22</v>
      </c>
      <c r="W21" s="124">
        <f>IF(V21="","",COUNTIFS($C$18:$C$2015,V$13,$D$18:$D$2015,"&gt;="&amp;V21,$D$18:$D$2015,"&lt;"&amp;V22))</f>
        <v/>
      </c>
      <c r="X21" s="14" t="n"/>
      <c r="Y21" s="16" t="n">
        <v>22</v>
      </c>
      <c r="Z21" s="124">
        <f>IF(Y21="","",COUNTIFS($C$18:$C$2015,Y$13,$D$18:$D$2015,"&gt;="&amp;Y21,$D$18:$D$2015,"&lt;"&amp;Y22))</f>
        <v/>
      </c>
      <c r="AA21" s="14" t="n"/>
      <c r="AB21" s="16" t="n">
        <v>16</v>
      </c>
      <c r="AC21" s="124">
        <f>IF(AB21="","",COUNTIFS($C$18:$C$2015,AB$13,$D$18:$D$2015,"&gt;="&amp;AB21,$D$18:$D$2015,"&lt;"&amp;AB22))</f>
        <v/>
      </c>
      <c r="AD21" s="14" t="n"/>
    </row>
    <row r="22">
      <c r="A22" s="56" t="n"/>
      <c r="B22" s="57" t="n"/>
      <c r="C22" s="59" t="n"/>
      <c r="E22" s="16" t="n"/>
      <c r="F22" s="13" t="n"/>
      <c r="G22" s="16" t="n">
        <v>17</v>
      </c>
      <c r="H22" s="124">
        <f>IF(G22="","",COUNTIFS($C$18:$C$2015,G$13,$D$18:$D$2015,"&gt;="&amp;G22,$D$18:$D$2015,"&lt;"&amp;G23))</f>
        <v/>
      </c>
      <c r="I22" s="14" t="n"/>
      <c r="J22" s="16" t="n">
        <v>45</v>
      </c>
      <c r="K22" s="124">
        <f>IF(J22="","",COUNTIFS($C$18:$C$2015,J$13,$D$18:$D$2015,"&gt;="&amp;J22,$D$18:$D$2015,"&lt;"&amp;J23))</f>
        <v/>
      </c>
      <c r="L22" s="14" t="n"/>
      <c r="M22" s="16" t="n">
        <v>24</v>
      </c>
      <c r="N22" s="124">
        <f>IF(M22="","",COUNTIFS($C$18:$C$2015,M$13,$D$18:$D$2015,"&gt;="&amp;M22,$D$18:$D$2015,"&lt;"&amp;M23))</f>
        <v/>
      </c>
      <c r="O22" s="14" t="n"/>
      <c r="P22" s="16" t="n">
        <v>17</v>
      </c>
      <c r="Q22" s="124">
        <f>IF(P22="","",COUNTIFS($C$18:$C$2015,P$13,$D$18:$D$2015,"&gt;="&amp;P22,$D$18:$D$2015,"&lt;"&amp;P23))</f>
        <v/>
      </c>
      <c r="R22" s="14" t="n"/>
      <c r="S22" s="16" t="n">
        <v>24</v>
      </c>
      <c r="T22" s="124">
        <f>IF(S22="","",COUNTIFS($C$18:$C$2015,S$13,$D$18:$D$2015,"&gt;="&amp;S22,$D$18:$D$2015,"&lt;"&amp;S23))</f>
        <v/>
      </c>
      <c r="U22" s="14" t="n"/>
      <c r="V22" s="16" t="n">
        <v>24</v>
      </c>
      <c r="W22" s="124">
        <f>IF(V22="","",COUNTIFS($C$18:$C$2015,V$13,$D$18:$D$2015,"&gt;="&amp;V22,$D$18:$D$2015,"&lt;"&amp;V23))</f>
        <v/>
      </c>
      <c r="X22" s="14" t="n"/>
      <c r="Y22" s="16" t="n">
        <v>24</v>
      </c>
      <c r="Z22" s="124">
        <f>IF(Y22="","",COUNTIFS($C$18:$C$2015,Y$13,$D$18:$D$2015,"&gt;="&amp;Y22,$D$18:$D$2015,"&lt;"&amp;Y23))</f>
        <v/>
      </c>
      <c r="AA22" s="14" t="n"/>
      <c r="AB22" s="16" t="n">
        <v>17</v>
      </c>
      <c r="AC22" s="124">
        <f>IF(AB22="","",COUNTIFS($C$18:$C$2015,AB$13,$D$18:$D$2015,"&gt;="&amp;AB22,$D$18:$D$2015,"&lt;"&amp;AB23))</f>
        <v/>
      </c>
      <c r="AD22" s="14" t="n"/>
    </row>
    <row r="23">
      <c r="A23" s="58" t="n"/>
      <c r="B23" s="59" t="n"/>
      <c r="C23" s="59" t="n"/>
      <c r="E23" s="16" t="n"/>
      <c r="F23" s="13" t="n"/>
      <c r="G23" s="16" t="n">
        <v>18</v>
      </c>
      <c r="H23" s="124">
        <f>IF(G23="","",COUNTIFS($C$18:$C$2015,G$13,$D$18:$D$2015,"&gt;="&amp;G23,$D$18:$D$2015,"&lt;"&amp;G24))</f>
        <v/>
      </c>
      <c r="I23" s="14" t="n"/>
      <c r="J23" s="16" t="n">
        <v>50</v>
      </c>
      <c r="K23" s="124">
        <f>IF(J23="","",COUNTIFS($C$18:$C$2015,J$13,$D$18:$D$2015,"&gt;="&amp;J23,$D$18:$D$2015,"&lt;"&amp;J24))</f>
        <v/>
      </c>
      <c r="L23" s="14" t="n"/>
      <c r="M23" s="16" t="n">
        <v>26</v>
      </c>
      <c r="N23" s="124">
        <f>IF(M23="","",COUNTIFS($C$18:$C$2015,M$13,$D$18:$D$2015,"&gt;="&amp;M23,$D$18:$D$2015,"&lt;"&amp;M24))</f>
        <v/>
      </c>
      <c r="O23" s="14" t="n"/>
      <c r="P23" s="16" t="n">
        <v>18</v>
      </c>
      <c r="Q23" s="124">
        <f>IF(P23="","",COUNTIFS($C$18:$C$2015,P$13,$D$18:$D$2015,"&gt;="&amp;P23,$D$18:$D$2015,"&lt;"&amp;P24))</f>
        <v/>
      </c>
      <c r="R23" s="14" t="n"/>
      <c r="S23" s="16" t="n">
        <v>26</v>
      </c>
      <c r="T23" s="124">
        <f>IF(S23="","",COUNTIFS($C$18:$C$2015,S$13,$D$18:$D$2015,"&gt;="&amp;S23,$D$18:$D$2015,"&lt;"&amp;S24))</f>
        <v/>
      </c>
      <c r="U23" s="14" t="n"/>
      <c r="V23" s="16" t="n">
        <v>26</v>
      </c>
      <c r="W23" s="124">
        <f>IF(V23="","",COUNTIFS($C$18:$C$2015,V$13,$D$18:$D$2015,"&gt;="&amp;V23,$D$18:$D$2015,"&lt;"&amp;V24))</f>
        <v/>
      </c>
      <c r="X23" s="14" t="n"/>
      <c r="Y23" s="16" t="n">
        <v>26</v>
      </c>
      <c r="Z23" s="124">
        <f>IF(Y23="","",COUNTIFS($C$18:$C$2015,Y$13,$D$18:$D$2015,"&gt;="&amp;Y23,$D$18:$D$2015,"&lt;"&amp;Y24))</f>
        <v/>
      </c>
      <c r="AA23" s="14" t="n"/>
      <c r="AB23" s="16" t="n">
        <v>18</v>
      </c>
      <c r="AC23" s="124">
        <f>IF(AB23="","",COUNTIFS($C$18:$C$2015,AB$13,$D$18:$D$2015,"&gt;="&amp;AB23,$D$18:$D$2015,"&lt;"&amp;AB24))</f>
        <v/>
      </c>
      <c r="AD23" s="14" t="n"/>
    </row>
    <row r="24">
      <c r="A24" s="56" t="n"/>
      <c r="B24" s="57" t="n"/>
      <c r="C24" s="59" t="n"/>
      <c r="E24" s="16" t="n"/>
      <c r="F24" s="13" t="n"/>
      <c r="G24" s="16" t="n">
        <v>19</v>
      </c>
      <c r="H24" s="124">
        <f>IF(G24="","",COUNTIFS($C$18:$C$2015,G$13,$D$18:$D$2015,"&gt;="&amp;G24,$D$18:$D$2015,"&lt;"&amp;G25))</f>
        <v/>
      </c>
      <c r="I24" s="14" t="n"/>
      <c r="J24" s="16" t="n">
        <v>55</v>
      </c>
      <c r="K24" s="124">
        <f>IF(J24="","",COUNTIFS($C$18:$C$2015,J$13,$D$18:$D$2015,"&gt;="&amp;J24,$D$18:$D$2015,"&lt;"&amp;J25))</f>
        <v/>
      </c>
      <c r="L24" s="14" t="n"/>
      <c r="M24" s="16" t="n">
        <v>28</v>
      </c>
      <c r="N24" s="124">
        <f>IF(M24="","",COUNTIFS($C$18:$C$2015,M$13,$D$18:$D$2015,"&gt;="&amp;M24,$D$18:$D$2015,"&lt;"&amp;M25))</f>
        <v/>
      </c>
      <c r="O24" s="14" t="n"/>
      <c r="P24" s="16" t="n">
        <v>19</v>
      </c>
      <c r="Q24" s="124">
        <f>IF(P24="","",COUNTIFS($C$18:$C$2015,P$13,$D$18:$D$2015,"&gt;="&amp;P24,$D$18:$D$2015,"&lt;"&amp;P25))</f>
        <v/>
      </c>
      <c r="R24" s="14" t="n"/>
      <c r="S24" s="16" t="n">
        <v>28</v>
      </c>
      <c r="T24" s="124">
        <f>IF(S24="","",COUNTIFS($C$18:$C$2015,S$13,$D$18:$D$2015,"&gt;="&amp;S24,$D$18:$D$2015,"&lt;"&amp;S25))</f>
        <v/>
      </c>
      <c r="U24" s="14" t="n"/>
      <c r="V24" s="16" t="n">
        <v>28</v>
      </c>
      <c r="W24" s="124">
        <f>IF(V24="","",COUNTIFS($C$18:$C$2015,V$13,$D$18:$D$2015,"&gt;="&amp;V24,$D$18:$D$2015,"&lt;"&amp;V25))</f>
        <v/>
      </c>
      <c r="X24" s="14" t="n"/>
      <c r="Y24" s="16" t="n">
        <v>28</v>
      </c>
      <c r="Z24" s="124">
        <f>IF(Y24="","",COUNTIFS($C$18:$C$2015,Y$13,$D$18:$D$2015,"&gt;="&amp;Y24,$D$18:$D$2015,"&lt;"&amp;Y25))</f>
        <v/>
      </c>
      <c r="AA24" s="14" t="n"/>
      <c r="AB24" s="16" t="n">
        <v>19</v>
      </c>
      <c r="AC24" s="124">
        <f>IF(AB24="","",COUNTIFS($C$18:$C$2015,AB$13,$D$18:$D$2015,"&gt;="&amp;AB24,$D$18:$D$2015,"&lt;"&amp;AB25))</f>
        <v/>
      </c>
      <c r="AD24" s="14" t="n"/>
    </row>
    <row r="25">
      <c r="A25" s="58" t="n"/>
      <c r="B25" s="59" t="n"/>
      <c r="C25" s="59" t="n"/>
      <c r="E25" s="16" t="n"/>
      <c r="F25" s="13" t="n"/>
      <c r="G25" s="16" t="n">
        <v>20</v>
      </c>
      <c r="H25" s="124">
        <f>IF(G25="","",COUNTIFS($C$18:$C$2015,G$13,$D$18:$D$2015,"&gt;="&amp;G25,$D$18:$D$2015,"&lt;"&amp;G26))</f>
        <v/>
      </c>
      <c r="I25" s="14" t="n"/>
      <c r="J25" s="16" t="n">
        <v>60</v>
      </c>
      <c r="K25" s="124">
        <f>IF(J25="","",COUNTIFS($C$18:$C$2015,J$13,$D$18:$D$2015,"&gt;="&amp;J25,$D$18:$D$2015,"&lt;"&amp;J26))</f>
        <v/>
      </c>
      <c r="L25" s="14" t="n"/>
      <c r="M25" s="16" t="n">
        <v>30</v>
      </c>
      <c r="N25" s="124">
        <f>IF(M25="","",COUNTIFS($C$18:$C$2015,M$13,$D$18:$D$2015,"&gt;="&amp;M25,$D$18:$D$2015,"&lt;"&amp;M26))</f>
        <v/>
      </c>
      <c r="O25" s="14" t="n"/>
      <c r="P25" s="16" t="n">
        <v>20</v>
      </c>
      <c r="Q25" s="124">
        <f>IF(P25="","",COUNTIFS($C$18:$C$2015,P$13,$D$18:$D$2015,"&gt;="&amp;P25,$D$18:$D$2015,"&lt;"&amp;P26))</f>
        <v/>
      </c>
      <c r="R25" s="14" t="n"/>
      <c r="S25" s="16" t="n">
        <v>30</v>
      </c>
      <c r="T25" s="124">
        <f>IF(S25="","",COUNTIFS($C$18:$C$2015,S$13,$D$18:$D$2015,"&gt;="&amp;S25,$D$18:$D$2015,"&lt;"&amp;S26))</f>
        <v/>
      </c>
      <c r="U25" s="14" t="n"/>
      <c r="V25" s="16" t="n">
        <v>30</v>
      </c>
      <c r="W25" s="124">
        <f>IF(V25="","",COUNTIFS($C$18:$C$2015,V$13,$D$18:$D$2015,"&gt;="&amp;V25,$D$18:$D$2015,"&lt;"&amp;V26))</f>
        <v/>
      </c>
      <c r="X25" s="14" t="n"/>
      <c r="Y25" s="16" t="n">
        <v>30</v>
      </c>
      <c r="Z25" s="124">
        <f>IF(Y25="","",COUNTIFS($C$18:$C$2015,Y$13,$D$18:$D$2015,"&gt;="&amp;Y25,$D$18:$D$2015,"&lt;"&amp;Y26))</f>
        <v/>
      </c>
      <c r="AA25" s="14" t="n"/>
      <c r="AB25" s="16" t="n">
        <v>20</v>
      </c>
      <c r="AC25" s="124">
        <f>IF(AB25="","",COUNTIFS($C$18:$C$2015,AB$13,$D$18:$D$2015,"&gt;="&amp;AB25,$D$18:$D$2015,"&lt;"&amp;AB26))</f>
        <v/>
      </c>
      <c r="AD25" s="14" t="n"/>
    </row>
    <row r="26">
      <c r="A26" s="56" t="n"/>
      <c r="B26" s="57" t="n"/>
      <c r="C26" s="59" t="n"/>
      <c r="E26" s="16" t="n"/>
      <c r="F26" s="13" t="n"/>
      <c r="G26" s="16" t="n">
        <v>21</v>
      </c>
      <c r="H26" s="124">
        <f>IF(G26="","",COUNTIFS($C$18:$C$2015,G$13,$D$18:$D$2015,"&gt;="&amp;G26,$D$18:$D$2015,"&lt;"&amp;G27))</f>
        <v/>
      </c>
      <c r="I26" s="14" t="n"/>
      <c r="J26" s="16" t="n">
        <v>65</v>
      </c>
      <c r="K26" s="124">
        <f>IF(J26="","",COUNTIFS($C$18:$C$2015,J$13,$D$18:$D$2015,"&gt;="&amp;J26,$D$18:$D$2015,"&lt;"&amp;J27))</f>
        <v/>
      </c>
      <c r="L26" s="14" t="n"/>
      <c r="M26" s="16" t="n">
        <v>32</v>
      </c>
      <c r="N26" s="124">
        <f>IF(M26="","",COUNTIFS($C$18:$C$2015,M$13,$D$18:$D$2015,"&gt;="&amp;M26,$D$18:$D$2015,"&lt;"&amp;M27))</f>
        <v/>
      </c>
      <c r="O26" s="14" t="n"/>
      <c r="P26" s="16" t="n">
        <v>21</v>
      </c>
      <c r="Q26" s="124">
        <f>IF(P26="","",COUNTIFS($C$18:$C$2015,P$13,$D$18:$D$2015,"&gt;="&amp;P26,$D$18:$D$2015,"&lt;"&amp;P27))</f>
        <v/>
      </c>
      <c r="R26" s="14" t="n"/>
      <c r="S26" s="16" t="n">
        <v>32</v>
      </c>
      <c r="T26" s="124">
        <f>IF(S26="","",COUNTIFS($C$18:$C$2015,S$13,$D$18:$D$2015,"&gt;="&amp;S26,$D$18:$D$2015,"&lt;"&amp;S27))</f>
        <v/>
      </c>
      <c r="U26" s="14" t="n"/>
      <c r="V26" s="16" t="n">
        <v>32</v>
      </c>
      <c r="W26" s="124">
        <f>IF(V26="","",COUNTIFS($C$18:$C$2015,V$13,$D$18:$D$2015,"&gt;="&amp;V26,$D$18:$D$2015,"&lt;"&amp;V27))</f>
        <v/>
      </c>
      <c r="X26" s="14" t="n"/>
      <c r="Y26" s="16" t="n">
        <v>32</v>
      </c>
      <c r="Z26" s="124">
        <f>IF(Y26="","",COUNTIFS($C$18:$C$2015,Y$13,$D$18:$D$2015,"&gt;="&amp;Y26,$D$18:$D$2015,"&lt;"&amp;Y27))</f>
        <v/>
      </c>
      <c r="AA26" s="14" t="n"/>
      <c r="AB26" s="16" t="n">
        <v>21</v>
      </c>
      <c r="AC26" s="124">
        <f>IF(AB26="","",COUNTIFS($C$18:$C$2015,AB$13,$D$18:$D$2015,"&gt;="&amp;AB26,$D$18:$D$2015,"&lt;"&amp;AB27))</f>
        <v/>
      </c>
      <c r="AD26" s="14" t="n"/>
    </row>
    <row r="27">
      <c r="A27" s="58" t="n"/>
      <c r="B27" s="59" t="n"/>
      <c r="C27" s="59" t="n"/>
      <c r="E27" s="16" t="n"/>
      <c r="F27" s="13" t="n"/>
      <c r="G27" s="16" t="n">
        <v>22</v>
      </c>
      <c r="H27" s="124">
        <f>IF(G27="","",COUNTIFS($C$18:$C$2015,G$13,$D$18:$D$2015,"&gt;="&amp;G27,$D$18:$D$2015,"&lt;"&amp;G28))</f>
        <v/>
      </c>
      <c r="I27" s="14" t="n"/>
      <c r="J27" s="16" t="n">
        <v>70</v>
      </c>
      <c r="K27" s="124">
        <f>IF(J27="","",COUNTIFS($C$18:$C$2015,J$13,$D$18:$D$2015,"&gt;="&amp;J27,$D$18:$D$2015,"&lt;"&amp;J28))</f>
        <v/>
      </c>
      <c r="L27" s="14" t="n"/>
      <c r="M27" s="16" t="n">
        <v>34</v>
      </c>
      <c r="N27" s="124">
        <f>IF(M27="","",COUNTIFS($C$18:$C$2015,M$13,$D$18:$D$2015,"&gt;="&amp;M27,$D$18:$D$2015,"&lt;"&amp;M28))</f>
        <v/>
      </c>
      <c r="O27" s="14" t="n"/>
      <c r="P27" s="16" t="n">
        <v>22</v>
      </c>
      <c r="Q27" s="124">
        <f>IF(P27="","",COUNTIFS($C$18:$C$2015,P$13,$D$18:$D$2015,"&gt;="&amp;P27,$D$18:$D$2015,"&lt;"&amp;P28))</f>
        <v/>
      </c>
      <c r="R27" s="14" t="n"/>
      <c r="S27" s="16" t="n">
        <v>34</v>
      </c>
      <c r="T27" s="124">
        <f>IF(S27="","",COUNTIFS($C$18:$C$2015,S$13,$D$18:$D$2015,"&gt;="&amp;S27,$D$18:$D$2015,"&lt;"&amp;S28))</f>
        <v/>
      </c>
      <c r="U27" s="14" t="n"/>
      <c r="V27" s="16" t="n">
        <v>34</v>
      </c>
      <c r="W27" s="124">
        <f>IF(V27="","",COUNTIFS($C$18:$C$2015,V$13,$D$18:$D$2015,"&gt;="&amp;V27,$D$18:$D$2015,"&lt;"&amp;V28))</f>
        <v/>
      </c>
      <c r="X27" s="14" t="n"/>
      <c r="Y27" s="16" t="n">
        <v>34</v>
      </c>
      <c r="Z27" s="124">
        <f>IF(Y27="","",COUNTIFS($C$18:$C$2015,Y$13,$D$18:$D$2015,"&gt;="&amp;Y27,$D$18:$D$2015,"&lt;"&amp;Y28))</f>
        <v/>
      </c>
      <c r="AA27" s="14" t="n"/>
      <c r="AB27" s="16" t="n">
        <v>22</v>
      </c>
      <c r="AC27" s="124">
        <f>IF(AB27="","",COUNTIFS($C$18:$C$2015,AB$13,$D$18:$D$2015,"&gt;="&amp;AB27,$D$18:$D$2015,"&lt;"&amp;AB28))</f>
        <v/>
      </c>
      <c r="AD27" s="14" t="n"/>
    </row>
    <row r="28">
      <c r="A28" s="56" t="n"/>
      <c r="B28" s="57" t="n"/>
      <c r="C28" s="59" t="n"/>
      <c r="E28" s="16" t="n"/>
      <c r="F28" s="13" t="n"/>
      <c r="G28" s="16" t="n">
        <v>23</v>
      </c>
      <c r="H28" s="124">
        <f>IF(G28="","",COUNTIFS($C$18:$C$2015,G$13,$D$18:$D$2015,"&gt;="&amp;G28,$D$18:$D$2015,"&lt;"&amp;G29))</f>
        <v/>
      </c>
      <c r="I28" s="14" t="n"/>
      <c r="J28" s="16" t="n">
        <v>75</v>
      </c>
      <c r="K28" s="124">
        <f>IF(J28="","",COUNTIFS($C$18:$C$2015,J$13,$D$18:$D$2015,"&gt;="&amp;J28,$D$18:$D$2015,"&lt;"&amp;J29))</f>
        <v/>
      </c>
      <c r="L28" s="14" t="n"/>
      <c r="M28" s="16" t="n">
        <v>36</v>
      </c>
      <c r="N28" s="124">
        <f>IF(M28="","",COUNTIFS($C$18:$C$2015,M$13,$D$18:$D$2015,"&gt;="&amp;M28,$D$18:$D$2015,"&lt;"&amp;M29))</f>
        <v/>
      </c>
      <c r="O28" s="14" t="n"/>
      <c r="P28" s="16" t="n">
        <v>23</v>
      </c>
      <c r="Q28" s="124">
        <f>IF(P28="","",COUNTIFS($C$18:$C$2015,P$13,$D$18:$D$2015,"&gt;="&amp;P28,$D$18:$D$2015,"&lt;"&amp;P29))</f>
        <v/>
      </c>
      <c r="R28" s="14" t="n"/>
      <c r="S28" s="16" t="n">
        <v>36</v>
      </c>
      <c r="T28" s="124">
        <f>IF(S28="","",COUNTIFS($C$18:$C$2015,S$13,$D$18:$D$2015,"&gt;="&amp;S28,$D$18:$D$2015,"&lt;"&amp;S29))</f>
        <v/>
      </c>
      <c r="U28" s="14" t="n"/>
      <c r="V28" s="16" t="n">
        <v>36</v>
      </c>
      <c r="W28" s="124">
        <f>IF(V28="","",COUNTIFS($C$18:$C$2015,V$13,$D$18:$D$2015,"&gt;="&amp;V28,$D$18:$D$2015,"&lt;"&amp;V29))</f>
        <v/>
      </c>
      <c r="X28" s="14" t="n"/>
      <c r="Y28" s="16" t="n">
        <v>36</v>
      </c>
      <c r="Z28" s="124">
        <f>IF(Y28="","",COUNTIFS($C$18:$C$2015,Y$13,$D$18:$D$2015,"&gt;="&amp;Y28,$D$18:$D$2015,"&lt;"&amp;Y29))</f>
        <v/>
      </c>
      <c r="AA28" s="14" t="n"/>
      <c r="AB28" s="16" t="n">
        <v>23</v>
      </c>
      <c r="AC28" s="124">
        <f>IF(AB28="","",COUNTIFS($C$18:$C$2015,AB$13,$D$18:$D$2015,"&gt;="&amp;AB28,$D$18:$D$2015,"&lt;"&amp;AB29))</f>
        <v/>
      </c>
      <c r="AD28" s="14" t="n"/>
    </row>
    <row r="29">
      <c r="A29" s="58" t="n"/>
      <c r="B29" s="59" t="n"/>
      <c r="C29" s="59" t="n"/>
      <c r="E29" s="16" t="n"/>
      <c r="F29" s="13" t="n"/>
      <c r="G29" s="16" t="n">
        <v>24</v>
      </c>
      <c r="H29" s="124">
        <f>IF(G29="","",COUNTIFS($C$18:$C$2015,G$13,$D$18:$D$2015,"&gt;="&amp;G29,$D$18:$D$2015,"&lt;"&amp;G30))</f>
        <v/>
      </c>
      <c r="I29" s="14" t="n"/>
      <c r="J29" s="16" t="n">
        <v>80</v>
      </c>
      <c r="K29" s="124">
        <f>IF(J29="","",COUNTIFS($C$18:$C$2015,J$13,$D$18:$D$2015,"&gt;="&amp;J29,$D$18:$D$2015,"&lt;"&amp;J30))</f>
        <v/>
      </c>
      <c r="L29" s="14" t="n"/>
      <c r="M29" s="16" t="n">
        <v>38</v>
      </c>
      <c r="N29" s="124">
        <f>IF(M29="","",COUNTIFS($C$18:$C$2015,M$13,$D$18:$D$2015,"&gt;="&amp;M29,$D$18:$D$2015,"&lt;"&amp;M30))</f>
        <v/>
      </c>
      <c r="O29" s="14" t="n"/>
      <c r="P29" s="16" t="n">
        <v>24</v>
      </c>
      <c r="Q29" s="124">
        <f>IF(P29="","",COUNTIFS($C$18:$C$2015,P$13,$D$18:$D$2015,"&gt;="&amp;P29,$D$18:$D$2015,"&lt;"&amp;P30))</f>
        <v/>
      </c>
      <c r="R29" s="14" t="n"/>
      <c r="S29" s="16" t="n">
        <v>38</v>
      </c>
      <c r="T29" s="124">
        <f>IF(S29="","",COUNTIFS($C$18:$C$2015,S$13,$D$18:$D$2015,"&gt;="&amp;S29,$D$18:$D$2015,"&lt;"&amp;S30))</f>
        <v/>
      </c>
      <c r="U29" s="14" t="n"/>
      <c r="V29" s="16" t="n">
        <v>38</v>
      </c>
      <c r="W29" s="124">
        <f>IF(V29="","",COUNTIFS($C$18:$C$2015,V$13,$D$18:$D$2015,"&gt;="&amp;V29,$D$18:$D$2015,"&lt;"&amp;V30))</f>
        <v/>
      </c>
      <c r="X29" s="14" t="n"/>
      <c r="Y29" s="16" t="n">
        <v>38</v>
      </c>
      <c r="Z29" s="124">
        <f>IF(Y29="","",COUNTIFS($C$18:$C$2015,Y$13,$D$18:$D$2015,"&gt;="&amp;Y29,$D$18:$D$2015,"&lt;"&amp;Y30))</f>
        <v/>
      </c>
      <c r="AA29" s="14" t="n"/>
      <c r="AB29" s="16" t="n">
        <v>24</v>
      </c>
      <c r="AC29" s="124">
        <f>IF(AB29="","",COUNTIFS($C$18:$C$2015,AB$13,$D$18:$D$2015,"&gt;="&amp;AB29,$D$18:$D$2015,"&lt;"&amp;AB30))</f>
        <v/>
      </c>
      <c r="AD29" s="14" t="n"/>
    </row>
    <row r="30">
      <c r="A30" s="56" t="n"/>
      <c r="B30" s="57" t="n"/>
      <c r="C30" s="59" t="n"/>
      <c r="E30" s="16" t="n"/>
      <c r="F30" s="13" t="n"/>
      <c r="G30" s="16" t="n">
        <v>25</v>
      </c>
      <c r="H30" s="124">
        <f>IF(G30="","",COUNTIFS($C$18:$C$2015,G$13,$D$18:$D$2015,"&gt;="&amp;G30,$D$18:$D$2015,"&lt;"&amp;G31))</f>
        <v/>
      </c>
      <c r="I30" s="14" t="n"/>
      <c r="J30" s="16" t="n">
        <v>85</v>
      </c>
      <c r="K30" s="124">
        <f>IF(J30="","",COUNTIFS($C$18:$C$2015,J$13,$D$18:$D$2015,"&gt;="&amp;J30,$D$18:$D$2015,"&lt;"&amp;J31))</f>
        <v/>
      </c>
      <c r="L30" s="14" t="n"/>
      <c r="M30" s="16" t="n">
        <v>40</v>
      </c>
      <c r="N30" s="124">
        <f>IF(M30="","",COUNTIFS($C$18:$C$2015,M$13,$D$18:$D$2015,"&gt;="&amp;M30,$D$18:$D$2015,"&lt;"&amp;M31))</f>
        <v/>
      </c>
      <c r="O30" s="14" t="n"/>
      <c r="P30" s="16" t="n">
        <v>25</v>
      </c>
      <c r="Q30" s="124">
        <f>IF(P30="","",COUNTIFS($C$18:$C$2015,P$13,$D$18:$D$2015,"&gt;="&amp;P30,$D$18:$D$2015,"&lt;"&amp;P31))</f>
        <v/>
      </c>
      <c r="R30" s="14" t="n"/>
      <c r="S30" s="16" t="n">
        <v>40</v>
      </c>
      <c r="T30" s="124">
        <f>IF(S30="","",COUNTIFS($C$18:$C$2015,S$13,$D$18:$D$2015,"&gt;="&amp;S30,$D$18:$D$2015,"&lt;"&amp;S31))</f>
        <v/>
      </c>
      <c r="U30" s="14" t="n"/>
      <c r="V30" s="16" t="n">
        <v>40</v>
      </c>
      <c r="W30" s="124">
        <f>IF(V30="","",COUNTIFS($C$18:$C$2015,V$13,$D$18:$D$2015,"&gt;="&amp;V30,$D$18:$D$2015,"&lt;"&amp;V31))</f>
        <v/>
      </c>
      <c r="X30" s="14" t="n"/>
      <c r="Y30" s="16" t="n">
        <v>40</v>
      </c>
      <c r="Z30" s="124">
        <f>IF(Y30="","",COUNTIFS($C$18:$C$2015,Y$13,$D$18:$D$2015,"&gt;="&amp;Y30,$D$18:$D$2015,"&lt;"&amp;Y31))</f>
        <v/>
      </c>
      <c r="AA30" s="14" t="n"/>
      <c r="AB30" s="16" t="n">
        <v>25</v>
      </c>
      <c r="AC30" s="124">
        <f>IF(AB30="","",COUNTIFS($C$18:$C$2015,AB$13,$D$18:$D$2015,"&gt;="&amp;AB30,$D$18:$D$2015,"&lt;"&amp;AB31))</f>
        <v/>
      </c>
      <c r="AD30" s="14" t="n"/>
    </row>
    <row r="31">
      <c r="A31" s="58" t="n"/>
      <c r="B31" s="59" t="n"/>
      <c r="C31" s="59" t="n"/>
      <c r="E31" s="16" t="n"/>
      <c r="F31" s="13" t="n"/>
      <c r="G31" s="16" t="n">
        <v>26</v>
      </c>
      <c r="H31" s="124">
        <f>IF(G31="","",COUNTIFS($C$18:$C$2015,G$13,$D$18:$D$2015,"&gt;="&amp;G31,$D$18:$D$2015,"&lt;"&amp;G32))</f>
        <v/>
      </c>
      <c r="I31" s="14" t="n"/>
      <c r="J31" s="16" t="n">
        <v>90</v>
      </c>
      <c r="K31" s="124">
        <f>IF(J31="","",COUNTIFS($C$18:$C$2015,J$13,$D$18:$D$2015,"&gt;="&amp;J31,$D$18:$D$2015,"&lt;"&amp;J32))</f>
        <v/>
      </c>
      <c r="L31" s="14" t="n"/>
      <c r="M31" s="16" t="n">
        <v>42</v>
      </c>
      <c r="N31" s="124">
        <f>IF(M31="","",COUNTIFS($C$18:$C$2015,M$13,$D$18:$D$2015,"&gt;="&amp;M31,$D$18:$D$2015,"&lt;"&amp;M32))</f>
        <v/>
      </c>
      <c r="O31" s="14" t="n"/>
      <c r="P31" s="16" t="n">
        <v>26</v>
      </c>
      <c r="Q31" s="124">
        <f>IF(P31="","",COUNTIFS($C$18:$C$2015,P$13,$D$18:$D$2015,"&gt;="&amp;P31,$D$18:$D$2015,"&lt;"&amp;P32))</f>
        <v/>
      </c>
      <c r="R31" s="14" t="n"/>
      <c r="S31" s="16" t="n">
        <v>42</v>
      </c>
      <c r="T31" s="124">
        <f>IF(S31="","",COUNTIFS($C$18:$C$2015,S$13,$D$18:$D$2015,"&gt;="&amp;S31,$D$18:$D$2015,"&lt;"&amp;S32))</f>
        <v/>
      </c>
      <c r="U31" s="14" t="n"/>
      <c r="V31" s="16" t="n">
        <v>42</v>
      </c>
      <c r="W31" s="124">
        <f>IF(V31="","",COUNTIFS($C$18:$C$2015,V$13,$D$18:$D$2015,"&gt;="&amp;V31,$D$18:$D$2015,"&lt;"&amp;V32))</f>
        <v/>
      </c>
      <c r="X31" s="14" t="n"/>
      <c r="Y31" s="16" t="n">
        <v>42</v>
      </c>
      <c r="Z31" s="124">
        <f>IF(Y31="","",COUNTIFS($C$18:$C$2015,Y$13,$D$18:$D$2015,"&gt;="&amp;Y31,$D$18:$D$2015,"&lt;"&amp;Y32))</f>
        <v/>
      </c>
      <c r="AA31" s="14" t="n"/>
      <c r="AB31" s="16" t="n">
        <v>26</v>
      </c>
      <c r="AC31" s="124">
        <f>IF(AB31="","",COUNTIFS($C$18:$C$2015,AB$13,$D$18:$D$2015,"&gt;="&amp;AB31,$D$18:$D$2015,"&lt;"&amp;AB32))</f>
        <v/>
      </c>
      <c r="AD31" s="14" t="n"/>
    </row>
    <row r="32">
      <c r="A32" s="56" t="n"/>
      <c r="B32" s="57" t="n"/>
      <c r="C32" s="59" t="n"/>
      <c r="E32" s="16" t="n"/>
      <c r="F32" s="13" t="n"/>
      <c r="G32" s="16" t="n">
        <v>27</v>
      </c>
      <c r="H32" s="124">
        <f>IF(G32="","",COUNTIFS($C$18:$C$2015,G$13,$D$18:$D$2015,"&gt;="&amp;G32,$D$18:$D$2015,"&lt;"&amp;G33))</f>
        <v/>
      </c>
      <c r="I32" s="14" t="n"/>
      <c r="J32" s="16" t="n">
        <v>95</v>
      </c>
      <c r="K32" s="124">
        <f>IF(J32="","",COUNTIFS($C$18:$C$2015,J$13,$D$18:$D$2015,"&gt;="&amp;J32,$D$18:$D$2015,"&lt;"&amp;J33))</f>
        <v/>
      </c>
      <c r="L32" s="14" t="n"/>
      <c r="M32" s="16" t="n">
        <v>44</v>
      </c>
      <c r="N32" s="124">
        <f>IF(M32="","",COUNTIFS($C$18:$C$2015,M$13,$D$18:$D$2015,"&gt;="&amp;M32,$D$18:$D$2015,"&lt;"&amp;M33))</f>
        <v/>
      </c>
      <c r="O32" s="14" t="n"/>
      <c r="P32" s="16" t="n">
        <v>27</v>
      </c>
      <c r="Q32" s="124">
        <f>IF(P32="","",COUNTIFS($C$18:$C$2015,P$13,$D$18:$D$2015,"&gt;="&amp;P32,$D$18:$D$2015,"&lt;"&amp;P33))</f>
        <v/>
      </c>
      <c r="R32" s="14" t="n"/>
      <c r="S32" s="16" t="n">
        <v>44</v>
      </c>
      <c r="T32" s="124">
        <f>IF(S32="","",COUNTIFS($C$18:$C$2015,S$13,$D$18:$D$2015,"&gt;="&amp;S32,$D$18:$D$2015,"&lt;"&amp;S33))</f>
        <v/>
      </c>
      <c r="U32" s="14" t="n"/>
      <c r="V32" s="16" t="n">
        <v>44</v>
      </c>
      <c r="W32" s="124">
        <f>IF(V32="","",COUNTIFS($C$18:$C$2015,V$13,$D$18:$D$2015,"&gt;="&amp;V32,$D$18:$D$2015,"&lt;"&amp;V33))</f>
        <v/>
      </c>
      <c r="X32" s="14" t="n"/>
      <c r="Y32" s="16" t="n">
        <v>44</v>
      </c>
      <c r="Z32" s="124">
        <f>IF(Y32="","",COUNTIFS($C$18:$C$2015,Y$13,$D$18:$D$2015,"&gt;="&amp;Y32,$D$18:$D$2015,"&lt;"&amp;Y33))</f>
        <v/>
      </c>
      <c r="AA32" s="14" t="n"/>
      <c r="AB32" s="16" t="n">
        <v>27</v>
      </c>
      <c r="AC32" s="124">
        <f>IF(AB32="","",COUNTIFS($C$18:$C$2015,AB$13,$D$18:$D$2015,"&gt;="&amp;AB32,$D$18:$D$2015,"&lt;"&amp;AB33))</f>
        <v/>
      </c>
      <c r="AD32" s="14" t="n"/>
    </row>
    <row r="33">
      <c r="A33" s="58" t="n"/>
      <c r="B33" s="59" t="n"/>
      <c r="C33" s="59" t="n"/>
      <c r="E33" s="16" t="n"/>
      <c r="F33" s="13" t="n"/>
      <c r="G33" s="16" t="n">
        <v>28</v>
      </c>
      <c r="H33" s="124">
        <f>IF(G33="","",COUNTIFS($C$18:$C$2015,G$13,$D$18:$D$2015,"&gt;="&amp;G33,$D$18:$D$2015,"&lt;"&amp;G34))</f>
        <v/>
      </c>
      <c r="I33" s="14" t="n"/>
      <c r="J33" s="16" t="n">
        <v>100</v>
      </c>
      <c r="K33" s="124">
        <f>IF(J33="","",COUNTIFS($C$18:$C$2015,J$13,$D$18:$D$2015,"&gt;="&amp;J33,$D$18:$D$2015,"&lt;"&amp;J34))</f>
        <v/>
      </c>
      <c r="L33" s="14" t="n"/>
      <c r="M33" s="16" t="n">
        <v>46</v>
      </c>
      <c r="N33" s="124">
        <f>IF(M33="","",COUNTIFS($C$18:$C$2015,M$13,$D$18:$D$2015,"&gt;="&amp;M33,$D$18:$D$2015,"&lt;"&amp;M34))</f>
        <v/>
      </c>
      <c r="O33" s="14" t="n"/>
      <c r="P33" s="16" t="n">
        <v>28</v>
      </c>
      <c r="Q33" s="124">
        <f>IF(P33="","",COUNTIFS($C$18:$C$2015,P$13,$D$18:$D$2015,"&gt;="&amp;P33,$D$18:$D$2015,"&lt;"&amp;P34))</f>
        <v/>
      </c>
      <c r="R33" s="14" t="n"/>
      <c r="S33" s="16" t="n">
        <v>46</v>
      </c>
      <c r="T33" s="124">
        <f>IF(S33="","",COUNTIFS($C$18:$C$2015,S$13,$D$18:$D$2015,"&gt;="&amp;S33,$D$18:$D$2015,"&lt;"&amp;S34))</f>
        <v/>
      </c>
      <c r="U33" s="14" t="n"/>
      <c r="V33" s="16" t="n">
        <v>46</v>
      </c>
      <c r="W33" s="124">
        <f>IF(V33="","",COUNTIFS($C$18:$C$2015,V$13,$D$18:$D$2015,"&gt;="&amp;V33,$D$18:$D$2015,"&lt;"&amp;V34))</f>
        <v/>
      </c>
      <c r="X33" s="14" t="n"/>
      <c r="Y33" s="16" t="n">
        <v>46</v>
      </c>
      <c r="Z33" s="124">
        <f>IF(Y33="","",COUNTIFS($C$18:$C$2015,Y$13,$D$18:$D$2015,"&gt;="&amp;Y33,$D$18:$D$2015,"&lt;"&amp;Y34))</f>
        <v/>
      </c>
      <c r="AA33" s="14" t="n"/>
      <c r="AB33" s="16" t="n">
        <v>28</v>
      </c>
      <c r="AC33" s="124">
        <f>IF(AB33="","",COUNTIFS($C$18:$C$2015,AB$13,$D$18:$D$2015,"&gt;="&amp;AB33,$D$18:$D$2015,"&lt;"&amp;AB34))</f>
        <v/>
      </c>
      <c r="AD33" s="14" t="n"/>
    </row>
    <row r="34">
      <c r="A34" s="56" t="n"/>
      <c r="B34" s="57" t="n"/>
      <c r="C34" s="59" t="n"/>
      <c r="E34" s="16" t="n"/>
      <c r="F34" s="13" t="n"/>
      <c r="G34" s="16" t="n">
        <v>29</v>
      </c>
      <c r="H34" s="124">
        <f>IF(G34="","",COUNTIFS($C$18:$C$2015,G$13,$D$18:$D$2015,"&gt;="&amp;G34,$D$18:$D$2015,"&lt;"&amp;G35))</f>
        <v/>
      </c>
      <c r="I34" s="14" t="n"/>
      <c r="J34" s="16" t="n">
        <v>105</v>
      </c>
      <c r="K34" s="124">
        <f>IF(J34="","",COUNTIFS($C$18:$C$2015,J$13,$D$18:$D$2015,"&gt;="&amp;J34,$D$18:$D$2015,"&lt;"&amp;J35))</f>
        <v/>
      </c>
      <c r="L34" s="14" t="n"/>
      <c r="M34" s="16" t="n">
        <v>48</v>
      </c>
      <c r="N34" s="124">
        <f>IF(M34="","",COUNTIFS($C$18:$C$2015,M$13,$D$18:$D$2015,"&gt;="&amp;M34,$D$18:$D$2015,"&lt;"&amp;M35))</f>
        <v/>
      </c>
      <c r="O34" s="14" t="n"/>
      <c r="P34" s="16" t="n">
        <v>29</v>
      </c>
      <c r="Q34" s="124">
        <f>IF(P34="","",COUNTIFS($C$18:$C$2015,P$13,$D$18:$D$2015,"&gt;="&amp;P34,$D$18:$D$2015,"&lt;"&amp;P35))</f>
        <v/>
      </c>
      <c r="R34" s="14" t="n"/>
      <c r="S34" s="16" t="n">
        <v>48</v>
      </c>
      <c r="T34" s="124">
        <f>IF(S34="","",COUNTIFS($C$18:$C$2015,S$13,$D$18:$D$2015,"&gt;="&amp;S34,$D$18:$D$2015,"&lt;"&amp;S35))</f>
        <v/>
      </c>
      <c r="U34" s="14" t="n"/>
      <c r="V34" s="16" t="n">
        <v>48</v>
      </c>
      <c r="W34" s="124">
        <f>IF(V34="","",COUNTIFS($C$18:$C$2015,V$13,$D$18:$D$2015,"&gt;="&amp;V34,$D$18:$D$2015,"&lt;"&amp;V35))</f>
        <v/>
      </c>
      <c r="X34" s="14" t="n"/>
      <c r="Y34" s="16" t="n">
        <v>48</v>
      </c>
      <c r="Z34" s="124">
        <f>IF(Y34="","",COUNTIFS($C$18:$C$2015,Y$13,$D$18:$D$2015,"&gt;="&amp;Y34,$D$18:$D$2015,"&lt;"&amp;Y35))</f>
        <v/>
      </c>
      <c r="AA34" s="14" t="n"/>
      <c r="AB34" s="16" t="n">
        <v>29</v>
      </c>
      <c r="AC34" s="124">
        <f>IF(AB34="","",COUNTIFS($C$18:$C$2015,AB$13,$D$18:$D$2015,"&gt;="&amp;AB34,$D$18:$D$2015,"&lt;"&amp;AB35))</f>
        <v/>
      </c>
      <c r="AD34" s="14" t="n"/>
    </row>
    <row r="35">
      <c r="A35" s="58" t="n"/>
      <c r="B35" s="59" t="n"/>
      <c r="C35" s="59" t="n"/>
      <c r="E35" s="16" t="n"/>
      <c r="F35" s="13" t="n"/>
      <c r="G35" s="16" t="n">
        <v>30</v>
      </c>
      <c r="H35" s="124">
        <f>IF(G35="","",COUNTIFS($C$18:$C$2015,G$13,$D$18:$D$2015,"&gt;="&amp;G35,$D$18:$D$2015,"&lt;"&amp;G36))</f>
        <v/>
      </c>
      <c r="I35" s="14" t="n"/>
      <c r="J35" s="16" t="n">
        <v>110</v>
      </c>
      <c r="K35" s="124">
        <f>IF(J35="","",COUNTIFS($C$18:$C$2015,J$13,$D$18:$D$2015,"&gt;="&amp;J35,$D$18:$D$2015,"&lt;"&amp;J36))</f>
        <v/>
      </c>
      <c r="L35" s="14" t="n"/>
      <c r="M35" s="16" t="n">
        <v>50</v>
      </c>
      <c r="N35" s="124">
        <f>IF(M35="","",COUNTIFS($C$18:$C$2015,M$13,$D$18:$D$2015,"&gt;="&amp;M35,$D$18:$D$2015,"&lt;"&amp;M36))</f>
        <v/>
      </c>
      <c r="O35" s="14" t="n"/>
      <c r="P35" s="16" t="n">
        <v>30</v>
      </c>
      <c r="Q35" s="124">
        <f>IF(P35="","",COUNTIFS($C$18:$C$2015,P$13,$D$18:$D$2015,"&gt;="&amp;P35,$D$18:$D$2015,"&lt;"&amp;P36))</f>
        <v/>
      </c>
      <c r="R35" s="14" t="n"/>
      <c r="S35" s="16" t="n">
        <v>50</v>
      </c>
      <c r="T35" s="124">
        <f>IF(S35="","",COUNTIFS($C$18:$C$2015,S$13,$D$18:$D$2015,"&gt;="&amp;S35,$D$18:$D$2015,"&lt;"&amp;S36))</f>
        <v/>
      </c>
      <c r="U35" s="14" t="n"/>
      <c r="V35" s="16" t="n">
        <v>50</v>
      </c>
      <c r="W35" s="124">
        <f>IF(V35="","",COUNTIFS($C$18:$C$2015,V$13,$D$18:$D$2015,"&gt;="&amp;V35,$D$18:$D$2015,"&lt;"&amp;V36))</f>
        <v/>
      </c>
      <c r="X35" s="14" t="n"/>
      <c r="Y35" s="16" t="n">
        <v>50</v>
      </c>
      <c r="Z35" s="124">
        <f>IF(Y35="","",COUNTIFS($C$18:$C$2015,Y$13,$D$18:$D$2015,"&gt;="&amp;Y35,$D$18:$D$2015,"&lt;"&amp;Y36))</f>
        <v/>
      </c>
      <c r="AA35" s="14" t="n"/>
      <c r="AB35" s="16" t="n">
        <v>30</v>
      </c>
      <c r="AC35" s="124">
        <f>IF(AB35="","",COUNTIFS($C$18:$C$2015,AB$13,$D$18:$D$2015,"&gt;="&amp;AB35,$D$18:$D$2015,"&lt;"&amp;AB36))</f>
        <v/>
      </c>
      <c r="AD35" s="14" t="n"/>
    </row>
    <row r="36">
      <c r="A36" s="56" t="n"/>
      <c r="B36" s="57" t="n"/>
      <c r="C36" s="59" t="n"/>
      <c r="E36" s="16" t="n"/>
      <c r="F36" s="13" t="n"/>
      <c r="G36" s="16" t="n">
        <v>31</v>
      </c>
      <c r="H36" s="124">
        <f>IF(G36="","",COUNTIFS($C$18:$C$2015,G$13,$D$18:$D$2015,"&gt;="&amp;G36,$D$18:$D$2015,"&lt;"&amp;G37))</f>
        <v/>
      </c>
      <c r="I36" s="14" t="n"/>
      <c r="J36" s="16" t="n">
        <v>115</v>
      </c>
      <c r="K36" s="124">
        <f>IF(J36="","",COUNTIFS($C$18:$C$2015,J$13,$D$18:$D$2015,"&gt;="&amp;J36,$D$18:$D$2015,"&lt;"&amp;J37))</f>
        <v/>
      </c>
      <c r="L36" s="14" t="n"/>
      <c r="M36" s="16" t="n">
        <v>52</v>
      </c>
      <c r="N36" s="124">
        <f>IF(M36="","",COUNTIFS($C$18:$C$2015,M$13,$D$18:$D$2015,"&gt;="&amp;M36,$D$18:$D$2015,"&lt;"&amp;M37))</f>
        <v/>
      </c>
      <c r="O36" s="14" t="n"/>
      <c r="P36" s="16" t="n">
        <v>31</v>
      </c>
      <c r="Q36" s="124">
        <f>IF(P36="","",COUNTIFS($C$18:$C$2015,P$13,$D$18:$D$2015,"&gt;="&amp;P36,$D$18:$D$2015,"&lt;"&amp;P37))</f>
        <v/>
      </c>
      <c r="R36" s="14" t="n"/>
      <c r="S36" s="16" t="n">
        <v>52</v>
      </c>
      <c r="T36" s="124">
        <f>IF(S36="","",COUNTIFS($C$18:$C$2015,S$13,$D$18:$D$2015,"&gt;="&amp;S36,$D$18:$D$2015,"&lt;"&amp;S37))</f>
        <v/>
      </c>
      <c r="U36" s="14" t="n"/>
      <c r="V36" s="16" t="n">
        <v>52</v>
      </c>
      <c r="W36" s="124">
        <f>IF(V36="","",COUNTIFS($C$18:$C$2015,V$13,$D$18:$D$2015,"&gt;="&amp;V36,$D$18:$D$2015,"&lt;"&amp;V37))</f>
        <v/>
      </c>
      <c r="X36" s="14" t="n"/>
      <c r="Y36" s="16" t="n">
        <v>52</v>
      </c>
      <c r="Z36" s="124">
        <f>IF(Y36="","",COUNTIFS($C$18:$C$2015,Y$13,$D$18:$D$2015,"&gt;="&amp;Y36,$D$18:$D$2015,"&lt;"&amp;Y37))</f>
        <v/>
      </c>
      <c r="AA36" s="14" t="n"/>
      <c r="AB36" s="16" t="n">
        <v>31</v>
      </c>
      <c r="AC36" s="124">
        <f>IF(AB36="","",COUNTIFS($C$18:$C$2015,AB$13,$D$18:$D$2015,"&gt;="&amp;AB36,$D$18:$D$2015,"&lt;"&amp;AB37))</f>
        <v/>
      </c>
      <c r="AD36" s="14" t="n"/>
    </row>
    <row r="37">
      <c r="A37" s="58" t="n"/>
      <c r="B37" s="59" t="n"/>
      <c r="C37" s="59" t="n"/>
      <c r="E37" s="16" t="n"/>
      <c r="F37" s="13" t="n"/>
      <c r="G37" s="16" t="n">
        <v>32</v>
      </c>
      <c r="H37" s="124">
        <f>IF(G37="","",COUNTIFS($C$18:$C$2015,G$13,$D$18:$D$2015,"&gt;="&amp;G37,$D$18:$D$2015,"&lt;"&amp;G38))</f>
        <v/>
      </c>
      <c r="I37" s="14" t="n"/>
      <c r="J37" s="16" t="n">
        <v>120</v>
      </c>
      <c r="K37" s="124">
        <f>IF(J37="","",COUNTIFS($C$18:$C$2015,J$13,$D$18:$D$2015,"&gt;="&amp;J37,$D$18:$D$2015,"&lt;"&amp;J38))</f>
        <v/>
      </c>
      <c r="L37" s="14" t="n"/>
      <c r="M37" s="16" t="n">
        <v>54</v>
      </c>
      <c r="N37" s="124">
        <f>IF(M37="","",COUNTIFS($C$18:$C$2015,M$13,$D$18:$D$2015,"&gt;="&amp;M37,$D$18:$D$2015,"&lt;"&amp;M38))</f>
        <v/>
      </c>
      <c r="O37" s="14" t="n"/>
      <c r="P37" s="16" t="n">
        <v>32</v>
      </c>
      <c r="Q37" s="124">
        <f>IF(P37="","",COUNTIFS($C$18:$C$2015,P$13,$D$18:$D$2015,"&gt;="&amp;P37,$D$18:$D$2015,"&lt;"&amp;P38))</f>
        <v/>
      </c>
      <c r="R37" s="14" t="n"/>
      <c r="S37" s="16" t="n">
        <v>54</v>
      </c>
      <c r="T37" s="124">
        <f>IF(S37="","",COUNTIFS($C$18:$C$2015,S$13,$D$18:$D$2015,"&gt;="&amp;S37,$D$18:$D$2015,"&lt;"&amp;S38))</f>
        <v/>
      </c>
      <c r="U37" s="14" t="n"/>
      <c r="V37" s="16" t="n">
        <v>54</v>
      </c>
      <c r="W37" s="124">
        <f>IF(V37="","",COUNTIFS($C$18:$C$2015,V$13,$D$18:$D$2015,"&gt;="&amp;V37,$D$18:$D$2015,"&lt;"&amp;V38))</f>
        <v/>
      </c>
      <c r="X37" s="14" t="n"/>
      <c r="Y37" s="16" t="n">
        <v>54</v>
      </c>
      <c r="Z37" s="124">
        <f>IF(Y37="","",COUNTIFS($C$18:$C$2015,Y$13,$D$18:$D$2015,"&gt;="&amp;Y37,$D$18:$D$2015,"&lt;"&amp;Y38))</f>
        <v/>
      </c>
      <c r="AA37" s="14" t="n"/>
      <c r="AB37" s="16" t="n">
        <v>32</v>
      </c>
      <c r="AC37" s="124">
        <f>IF(AB37="","",COUNTIFS($C$18:$C$2015,AB$13,$D$18:$D$2015,"&gt;="&amp;AB37,$D$18:$D$2015,"&lt;"&amp;AB38))</f>
        <v/>
      </c>
      <c r="AD37" s="14" t="n"/>
    </row>
    <row r="38">
      <c r="A38" s="56" t="n"/>
      <c r="B38" s="57" t="n"/>
      <c r="C38" s="59" t="n"/>
      <c r="E38" s="16" t="n"/>
      <c r="F38" s="13" t="n"/>
      <c r="G38" s="16" t="n">
        <v>33</v>
      </c>
      <c r="H38" s="124">
        <f>IF(G38="","",COUNTIFS($C$18:$C$2015,G$13,$D$18:$D$2015,"&gt;="&amp;G38,$D$18:$D$2015,"&lt;"&amp;G39))</f>
        <v/>
      </c>
      <c r="I38" s="14" t="n"/>
      <c r="J38" s="16" t="n">
        <v>125</v>
      </c>
      <c r="K38" s="124">
        <f>IF(J38="","",COUNTIFS($C$18:$C$2015,J$13,$D$18:$D$2015,"&gt;="&amp;J38,$D$18:$D$2015,"&lt;"&amp;J39))</f>
        <v/>
      </c>
      <c r="L38" s="14" t="n"/>
      <c r="M38" s="16" t="n">
        <v>56</v>
      </c>
      <c r="N38" s="124">
        <f>IF(M38="","",COUNTIFS($C$18:$C$2015,M$13,$D$18:$D$2015,"&gt;="&amp;M38,$D$18:$D$2015,"&lt;"&amp;M39))</f>
        <v/>
      </c>
      <c r="O38" s="14" t="n"/>
      <c r="P38" s="16" t="n">
        <v>33</v>
      </c>
      <c r="Q38" s="124">
        <f>IF(P38="","",COUNTIFS($C$18:$C$2015,P$13,$D$18:$D$2015,"&gt;="&amp;P38,$D$18:$D$2015,"&lt;"&amp;P39))</f>
        <v/>
      </c>
      <c r="R38" s="14" t="n"/>
      <c r="S38" s="16" t="n">
        <v>56</v>
      </c>
      <c r="T38" s="124">
        <f>IF(S38="","",COUNTIFS($C$18:$C$2015,S$13,$D$18:$D$2015,"&gt;="&amp;S38,$D$18:$D$2015,"&lt;"&amp;S39))</f>
        <v/>
      </c>
      <c r="U38" s="14" t="n"/>
      <c r="V38" s="16" t="n">
        <v>56</v>
      </c>
      <c r="W38" s="124">
        <f>IF(V38="","",COUNTIFS($C$18:$C$2015,V$13,$D$18:$D$2015,"&gt;="&amp;V38,$D$18:$D$2015,"&lt;"&amp;V39))</f>
        <v/>
      </c>
      <c r="X38" s="14" t="n"/>
      <c r="Y38" s="16" t="n">
        <v>56</v>
      </c>
      <c r="Z38" s="124">
        <f>IF(Y38="","",COUNTIFS($C$18:$C$2015,Y$13,$D$18:$D$2015,"&gt;="&amp;Y38,$D$18:$D$2015,"&lt;"&amp;Y39))</f>
        <v/>
      </c>
      <c r="AA38" s="14" t="n"/>
      <c r="AB38" s="16" t="n">
        <v>33</v>
      </c>
      <c r="AC38" s="124">
        <f>IF(AB38="","",COUNTIFS($C$18:$C$2015,AB$13,$D$18:$D$2015,"&gt;="&amp;AB38,$D$18:$D$2015,"&lt;"&amp;AB39))</f>
        <v/>
      </c>
      <c r="AD38" s="14" t="n"/>
    </row>
    <row r="39">
      <c r="A39" s="58" t="n"/>
      <c r="B39" s="59" t="n"/>
      <c r="C39" s="59" t="n"/>
      <c r="E39" s="16" t="n"/>
      <c r="F39" s="13" t="n"/>
      <c r="G39" s="16" t="n">
        <v>34</v>
      </c>
      <c r="H39" s="124">
        <f>IF(G39="","",COUNTIFS($C$18:$C$2015,G$13,$D$18:$D$2015,"&gt;="&amp;G39,$D$18:$D$2015,"&lt;"&amp;G40))</f>
        <v/>
      </c>
      <c r="I39" s="14" t="n"/>
      <c r="J39" s="16" t="n">
        <v>130</v>
      </c>
      <c r="K39" s="124">
        <f>IF(J39="","",COUNTIFS($C$18:$C$2015,J$13,$D$18:$D$2015,"&gt;="&amp;J39,$D$18:$D$2015,"&lt;"&amp;J40))</f>
        <v/>
      </c>
      <c r="L39" s="14" t="n"/>
      <c r="M39" s="16" t="n">
        <v>58</v>
      </c>
      <c r="N39" s="124">
        <f>IF(M39="","",COUNTIFS($C$18:$C$2015,M$13,$D$18:$D$2015,"&gt;="&amp;M39,$D$18:$D$2015,"&lt;"&amp;M40))</f>
        <v/>
      </c>
      <c r="O39" s="14" t="n"/>
      <c r="P39" s="16" t="n">
        <v>34</v>
      </c>
      <c r="Q39" s="124">
        <f>IF(P39="","",COUNTIFS($C$18:$C$2015,P$13,$D$18:$D$2015,"&gt;="&amp;P39,$D$18:$D$2015,"&lt;"&amp;P40))</f>
        <v/>
      </c>
      <c r="R39" s="14" t="n"/>
      <c r="S39" s="16" t="n">
        <v>58</v>
      </c>
      <c r="T39" s="124">
        <f>IF(S39="","",COUNTIFS($C$18:$C$2015,S$13,$D$18:$D$2015,"&gt;="&amp;S39,$D$18:$D$2015,"&lt;"&amp;S40))</f>
        <v/>
      </c>
      <c r="U39" s="14" t="n"/>
      <c r="V39" s="16" t="n">
        <v>58</v>
      </c>
      <c r="W39" s="124">
        <f>IF(V39="","",COUNTIFS($C$18:$C$2015,V$13,$D$18:$D$2015,"&gt;="&amp;V39,$D$18:$D$2015,"&lt;"&amp;V40))</f>
        <v/>
      </c>
      <c r="X39" s="14" t="n"/>
      <c r="Y39" s="16" t="n">
        <v>58</v>
      </c>
      <c r="Z39" s="124">
        <f>IF(Y39="","",COUNTIFS($C$18:$C$2015,Y$13,$D$18:$D$2015,"&gt;="&amp;Y39,$D$18:$D$2015,"&lt;"&amp;Y40))</f>
        <v/>
      </c>
      <c r="AA39" s="14" t="n"/>
      <c r="AB39" s="16" t="n">
        <v>34</v>
      </c>
      <c r="AC39" s="124">
        <f>IF(AB39="","",COUNTIFS($C$18:$C$2015,AB$13,$D$18:$D$2015,"&gt;="&amp;AB39,$D$18:$D$2015,"&lt;"&amp;AB40))</f>
        <v/>
      </c>
      <c r="AD39" s="14" t="n"/>
    </row>
    <row r="40">
      <c r="A40" s="56" t="n"/>
      <c r="B40" s="57" t="n"/>
      <c r="C40" s="59" t="n"/>
      <c r="E40" s="16" t="n"/>
      <c r="F40" s="13" t="n"/>
      <c r="G40" s="16" t="n">
        <v>35</v>
      </c>
      <c r="H40" s="124">
        <f>IF(G40="","",COUNTIFS($C$18:$C$2015,G$13,$D$18:$D$2015,"&gt;="&amp;G40,$D$18:$D$2015,"&lt;"&amp;G41))</f>
        <v/>
      </c>
      <c r="I40" s="14" t="n"/>
      <c r="J40" s="16" t="n">
        <v>135</v>
      </c>
      <c r="K40" s="124">
        <f>IF(J40="","",COUNTIFS($C$18:$C$2015,J$13,$D$18:$D$2015,"&gt;="&amp;J40,$D$18:$D$2015,"&lt;"&amp;J41))</f>
        <v/>
      </c>
      <c r="L40" s="14" t="n"/>
      <c r="M40" s="16" t="n">
        <v>60</v>
      </c>
      <c r="N40" s="124">
        <f>IF(M40="","",COUNTIFS($C$18:$C$2015,M$13,$D$18:$D$2015,"&gt;="&amp;M40,$D$18:$D$2015,"&lt;"&amp;M41))</f>
        <v/>
      </c>
      <c r="O40" s="14" t="n"/>
      <c r="P40" s="16" t="n">
        <v>35</v>
      </c>
      <c r="Q40" s="124">
        <f>IF(P40="","",COUNTIFS($C$18:$C$2015,P$13,$D$18:$D$2015,"&gt;="&amp;P40,$D$18:$D$2015,"&lt;"&amp;P41))</f>
        <v/>
      </c>
      <c r="R40" s="14" t="n"/>
      <c r="S40" s="16" t="n">
        <v>60</v>
      </c>
      <c r="T40" s="124">
        <f>IF(S40="","",COUNTIFS($C$18:$C$2015,S$13,$D$18:$D$2015,"&gt;="&amp;S40,$D$18:$D$2015,"&lt;"&amp;S41))</f>
        <v/>
      </c>
      <c r="U40" s="14" t="n"/>
      <c r="V40" s="16" t="n">
        <v>60</v>
      </c>
      <c r="W40" s="124">
        <f>IF(V40="","",COUNTIFS($C$18:$C$2015,V$13,$D$18:$D$2015,"&gt;="&amp;V40,$D$18:$D$2015,"&lt;"&amp;V41))</f>
        <v/>
      </c>
      <c r="X40" s="14" t="n"/>
      <c r="Y40" s="16" t="n">
        <v>60</v>
      </c>
      <c r="Z40" s="124">
        <f>IF(Y40="","",COUNTIFS($C$18:$C$2015,Y$13,$D$18:$D$2015,"&gt;="&amp;Y40,$D$18:$D$2015,"&lt;"&amp;Y41))</f>
        <v/>
      </c>
      <c r="AA40" s="14" t="n"/>
      <c r="AB40" s="16" t="n">
        <v>35</v>
      </c>
      <c r="AC40" s="124">
        <f>IF(AB40="","",COUNTIFS($C$18:$C$2015,AB$13,$D$18:$D$2015,"&gt;="&amp;AB40,$D$18:$D$2015,"&lt;"&amp;AB41))</f>
        <v/>
      </c>
      <c r="AD40" s="14" t="n"/>
    </row>
    <row r="41">
      <c r="A41" s="58" t="n"/>
      <c r="B41" s="59" t="n"/>
      <c r="C41" s="59" t="n"/>
      <c r="E41" s="16" t="n"/>
      <c r="F41" s="13" t="n"/>
      <c r="G41" s="16" t="n">
        <v>36</v>
      </c>
      <c r="H41" s="124">
        <f>IF(G41="","",COUNTIFS($C$18:$C$2015,G$13,$D$18:$D$2015,"&gt;="&amp;G41,$D$18:$D$2015,"&lt;"&amp;G42))</f>
        <v/>
      </c>
      <c r="I41" s="14" t="n"/>
      <c r="J41" s="16" t="n">
        <v>140</v>
      </c>
      <c r="K41" s="124">
        <f>IF(J41="","",COUNTIFS($C$18:$C$2015,J$13,$D$18:$D$2015,"&gt;="&amp;J41,$D$18:$D$2015,"&lt;"&amp;J42))</f>
        <v/>
      </c>
      <c r="L41" s="14" t="n"/>
      <c r="M41" s="16" t="n">
        <v>62</v>
      </c>
      <c r="N41" s="124">
        <f>IF(M41="","",COUNTIFS($C$18:$C$2015,M$13,$D$18:$D$2015,"&gt;="&amp;M41,$D$18:$D$2015,"&lt;"&amp;M42))</f>
        <v/>
      </c>
      <c r="O41" s="14" t="n"/>
      <c r="P41" s="16" t="n">
        <v>36</v>
      </c>
      <c r="Q41" s="124">
        <f>IF(P41="","",COUNTIFS($C$18:$C$2015,P$13,$D$18:$D$2015,"&gt;="&amp;P41,$D$18:$D$2015,"&lt;"&amp;P42))</f>
        <v/>
      </c>
      <c r="R41" s="14" t="n"/>
      <c r="S41" s="16" t="n">
        <v>62</v>
      </c>
      <c r="T41" s="124">
        <f>IF(S41="","",COUNTIFS($C$18:$C$2015,S$13,$D$18:$D$2015,"&gt;="&amp;S41,$D$18:$D$2015,"&lt;"&amp;S42))</f>
        <v/>
      </c>
      <c r="U41" s="14" t="n"/>
      <c r="V41" s="16" t="n">
        <v>62</v>
      </c>
      <c r="W41" s="124">
        <f>IF(V41="","",COUNTIFS($C$18:$C$2015,V$13,$D$18:$D$2015,"&gt;="&amp;V41,$D$18:$D$2015,"&lt;"&amp;V42))</f>
        <v/>
      </c>
      <c r="X41" s="14" t="n"/>
      <c r="Y41" s="16" t="n">
        <v>62</v>
      </c>
      <c r="Z41" s="124">
        <f>IF(Y41="","",COUNTIFS($C$18:$C$2015,Y$13,$D$18:$D$2015,"&gt;="&amp;Y41,$D$18:$D$2015,"&lt;"&amp;Y42))</f>
        <v/>
      </c>
      <c r="AA41" s="14" t="n"/>
      <c r="AB41" s="16" t="n">
        <v>36</v>
      </c>
      <c r="AC41" s="124">
        <f>IF(AB41="","",COUNTIFS($C$18:$C$2015,AB$13,$D$18:$D$2015,"&gt;="&amp;AB41,$D$18:$D$2015,"&lt;"&amp;AB42))</f>
        <v/>
      </c>
      <c r="AD41" s="14" t="n"/>
    </row>
    <row r="42">
      <c r="A42" s="56" t="n"/>
      <c r="B42" s="57" t="n"/>
      <c r="C42" s="59" t="n"/>
      <c r="E42" s="16" t="n"/>
      <c r="F42" s="13" t="n"/>
      <c r="G42" s="16" t="n">
        <v>37</v>
      </c>
      <c r="H42" s="124">
        <f>IF(G42="","",COUNTIFS($C$18:$C$2015,G$13,$D$18:$D$2015,"&gt;="&amp;G42,$D$18:$D$2015,"&lt;"&amp;G43))</f>
        <v/>
      </c>
      <c r="I42" s="14" t="n"/>
      <c r="J42" s="16" t="n">
        <v>145</v>
      </c>
      <c r="K42" s="124">
        <f>IF(J42="","",COUNTIFS($C$18:$C$2015,J$13,$D$18:$D$2015,"&gt;="&amp;J42,$D$18:$D$2015,"&lt;"&amp;J43))</f>
        <v/>
      </c>
      <c r="L42" s="14" t="n"/>
      <c r="M42" s="16" t="n">
        <v>64</v>
      </c>
      <c r="N42" s="124">
        <f>IF(M42="","",COUNTIFS($C$18:$C$2015,M$13,$D$18:$D$2015,"&gt;="&amp;M42,$D$18:$D$2015,"&lt;"&amp;M43))</f>
        <v/>
      </c>
      <c r="O42" s="14" t="n"/>
      <c r="P42" s="16" t="n">
        <v>37</v>
      </c>
      <c r="Q42" s="124">
        <f>IF(P42="","",COUNTIFS($C$18:$C$2015,P$13,$D$18:$D$2015,"&gt;="&amp;P42,$D$18:$D$2015,"&lt;"&amp;P43))</f>
        <v/>
      </c>
      <c r="R42" s="14" t="n"/>
      <c r="S42" s="16" t="n">
        <v>64</v>
      </c>
      <c r="T42" s="124">
        <f>IF(S42="","",COUNTIFS($C$18:$C$2015,S$13,$D$18:$D$2015,"&gt;="&amp;S42,$D$18:$D$2015,"&lt;"&amp;S43))</f>
        <v/>
      </c>
      <c r="U42" s="14" t="n"/>
      <c r="V42" s="16" t="n">
        <v>64</v>
      </c>
      <c r="W42" s="124">
        <f>IF(V42="","",COUNTIFS($C$18:$C$2015,V$13,$D$18:$D$2015,"&gt;="&amp;V42,$D$18:$D$2015,"&lt;"&amp;V43))</f>
        <v/>
      </c>
      <c r="X42" s="14" t="n"/>
      <c r="Y42" s="16" t="n">
        <v>64</v>
      </c>
      <c r="Z42" s="124">
        <f>IF(Y42="","",COUNTIFS($C$18:$C$2015,Y$13,$D$18:$D$2015,"&gt;="&amp;Y42,$D$18:$D$2015,"&lt;"&amp;Y43))</f>
        <v/>
      </c>
      <c r="AA42" s="14" t="n"/>
      <c r="AB42" s="16" t="n">
        <v>37</v>
      </c>
      <c r="AC42" s="124">
        <f>IF(AB42="","",COUNTIFS($C$18:$C$2015,AB$13,$D$18:$D$2015,"&gt;="&amp;AB42,$D$18:$D$2015,"&lt;"&amp;AB43))</f>
        <v/>
      </c>
      <c r="AD42" s="14" t="n"/>
    </row>
    <row r="43">
      <c r="A43" s="58" t="n"/>
      <c r="B43" s="59" t="n"/>
      <c r="C43" s="59" t="n"/>
      <c r="E43" s="16" t="n"/>
      <c r="F43" s="13" t="n"/>
      <c r="G43" s="16" t="n">
        <v>38</v>
      </c>
      <c r="H43" s="124">
        <f>IF(G43="","",COUNTIFS($C$18:$C$2015,G$13,$D$18:$D$2015,"&gt;="&amp;G43,$D$18:$D$2015,"&lt;"&amp;G44))</f>
        <v/>
      </c>
      <c r="I43" s="14" t="n"/>
      <c r="J43" s="16" t="n">
        <v>150</v>
      </c>
      <c r="K43" s="124">
        <f>IF(J43="","",COUNTIFS($C$18:$C$2015,J$13,$D$18:$D$2015,"&gt;="&amp;J43,$D$18:$D$2015,"&lt;"&amp;J44))</f>
        <v/>
      </c>
      <c r="L43" s="14" t="n"/>
      <c r="M43" s="16" t="n">
        <v>66</v>
      </c>
      <c r="N43" s="124">
        <f>IF(M43="","",COUNTIFS($C$18:$C$2015,M$13,$D$18:$D$2015,"&gt;="&amp;M43,$D$18:$D$2015,"&lt;"&amp;M44))</f>
        <v/>
      </c>
      <c r="O43" s="14" t="n"/>
      <c r="P43" s="16" t="n">
        <v>38</v>
      </c>
      <c r="Q43" s="124">
        <f>IF(P43="","",COUNTIFS($C$18:$C$2015,P$13,$D$18:$D$2015,"&gt;="&amp;P43,$D$18:$D$2015,"&lt;"&amp;P44))</f>
        <v/>
      </c>
      <c r="R43" s="14" t="n"/>
      <c r="S43" s="16" t="n">
        <v>66</v>
      </c>
      <c r="T43" s="124">
        <f>IF(S43="","",COUNTIFS($C$18:$C$2015,S$13,$D$18:$D$2015,"&gt;="&amp;S43,$D$18:$D$2015,"&lt;"&amp;S44))</f>
        <v/>
      </c>
      <c r="U43" s="14" t="n"/>
      <c r="V43" s="16" t="n">
        <v>66</v>
      </c>
      <c r="W43" s="124">
        <f>IF(V43="","",COUNTIFS($C$18:$C$2015,V$13,$D$18:$D$2015,"&gt;="&amp;V43,$D$18:$D$2015,"&lt;"&amp;V44))</f>
        <v/>
      </c>
      <c r="X43" s="14" t="n"/>
      <c r="Y43" s="16" t="n">
        <v>66</v>
      </c>
      <c r="Z43" s="124">
        <f>IF(Y43="","",COUNTIFS($C$18:$C$2015,Y$13,$D$18:$D$2015,"&gt;="&amp;Y43,$D$18:$D$2015,"&lt;"&amp;Y44))</f>
        <v/>
      </c>
      <c r="AA43" s="14" t="n"/>
      <c r="AB43" s="16" t="n">
        <v>38</v>
      </c>
      <c r="AC43" s="124">
        <f>IF(AB43="","",COUNTIFS($C$18:$C$2015,AB$13,$D$18:$D$2015,"&gt;="&amp;AB43,$D$18:$D$2015,"&lt;"&amp;AB44))</f>
        <v/>
      </c>
      <c r="AD43" s="14" t="n"/>
    </row>
    <row r="44">
      <c r="A44" s="56" t="n"/>
      <c r="B44" s="57" t="n"/>
      <c r="C44" s="59" t="n"/>
      <c r="E44" s="16" t="n"/>
      <c r="F44" s="13" t="n"/>
      <c r="G44" s="16" t="n">
        <v>39</v>
      </c>
      <c r="H44" s="124">
        <f>IF(G44="","",COUNTIFS($C$18:$C$2015,G$13,$D$18:$D$2015,"&gt;="&amp;G44,$D$18:$D$2015,"&lt;"&amp;G45))</f>
        <v/>
      </c>
      <c r="I44" s="14" t="n"/>
      <c r="J44" s="16" t="n"/>
      <c r="K44" s="124">
        <f>IF(J44="","",COUNTIFS($C$18:$C$2015,J$13,$D$18:$D$2015,"&gt;="&amp;J44,$D$18:$D$2015,"&lt;"&amp;J45))</f>
        <v/>
      </c>
      <c r="L44" s="14" t="n"/>
      <c r="M44" s="16" t="n">
        <v>68</v>
      </c>
      <c r="N44" s="124">
        <f>IF(M44="","",COUNTIFS($C$18:$C$2015,M$13,$D$18:$D$2015,"&gt;="&amp;M44,$D$18:$D$2015,"&lt;"&amp;M45))</f>
        <v/>
      </c>
      <c r="O44" s="14" t="n"/>
      <c r="P44" s="16" t="n">
        <v>39</v>
      </c>
      <c r="Q44" s="124">
        <f>IF(P44="","",COUNTIFS($C$18:$C$2015,P$13,$D$18:$D$2015,"&gt;="&amp;P44,$D$18:$D$2015,"&lt;"&amp;P45))</f>
        <v/>
      </c>
      <c r="R44" s="14" t="n"/>
      <c r="S44" s="16" t="n">
        <v>68</v>
      </c>
      <c r="T44" s="124">
        <f>IF(S44="","",COUNTIFS($C$18:$C$2015,S$13,$D$18:$D$2015,"&gt;="&amp;S44,$D$18:$D$2015,"&lt;"&amp;S45))</f>
        <v/>
      </c>
      <c r="U44" s="14" t="n"/>
      <c r="V44" s="16" t="n">
        <v>68</v>
      </c>
      <c r="W44" s="124">
        <f>IF(V44="","",COUNTIFS($C$18:$C$2015,V$13,$D$18:$D$2015,"&gt;="&amp;V44,$D$18:$D$2015,"&lt;"&amp;V45))</f>
        <v/>
      </c>
      <c r="X44" s="14" t="n"/>
      <c r="Y44" s="16" t="n">
        <v>68</v>
      </c>
      <c r="Z44" s="124">
        <f>IF(Y44="","",COUNTIFS($C$18:$C$2015,Y$13,$D$18:$D$2015,"&gt;="&amp;Y44,$D$18:$D$2015,"&lt;"&amp;Y45))</f>
        <v/>
      </c>
      <c r="AA44" s="14" t="n"/>
      <c r="AB44" s="16" t="n">
        <v>39</v>
      </c>
      <c r="AC44" s="124">
        <f>IF(AB44="","",COUNTIFS($C$18:$C$2015,AB$13,$D$18:$D$2015,"&gt;="&amp;AB44,$D$18:$D$2015,"&lt;"&amp;AB45))</f>
        <v/>
      </c>
      <c r="AD44" s="14" t="n"/>
    </row>
    <row r="45">
      <c r="A45" s="58" t="n"/>
      <c r="B45" s="59" t="n"/>
      <c r="C45" s="59" t="n"/>
      <c r="E45" s="16" t="n"/>
      <c r="F45" s="13" t="n"/>
      <c r="G45" s="16" t="n">
        <v>40</v>
      </c>
      <c r="H45" s="124">
        <f>IF(G45="","",COUNTIFS($C$18:$C$2015,G$13,$D$18:$D$2015,"&gt;="&amp;G45,$D$18:$D$2015,"&lt;"&amp;G46))</f>
        <v/>
      </c>
      <c r="I45" s="14" t="n"/>
      <c r="J45" s="16" t="n"/>
      <c r="K45" s="124">
        <f>IF(J45="","",COUNTIFS($C$18:$C$2015,J$13,$D$18:$D$2015,"&gt;="&amp;J45,$D$18:$D$2015,"&lt;"&amp;J46))</f>
        <v/>
      </c>
      <c r="L45" s="14" t="n"/>
      <c r="M45" s="16" t="n">
        <v>70</v>
      </c>
      <c r="N45" s="124">
        <f>IF(M45="","",COUNTIFS($C$18:$C$2015,M$13,$D$18:$D$2015,"&gt;="&amp;M45,$D$18:$D$2015,"&lt;"&amp;M46))</f>
        <v/>
      </c>
      <c r="O45" s="14" t="n"/>
      <c r="P45" s="16" t="n">
        <v>40</v>
      </c>
      <c r="Q45" s="124">
        <f>IF(P45="","",COUNTIFS($C$18:$C$2015,P$13,$D$18:$D$2015,"&gt;="&amp;P45,$D$18:$D$2015,"&lt;"&amp;P46))</f>
        <v/>
      </c>
      <c r="R45" s="14" t="n"/>
      <c r="S45" s="16" t="n">
        <v>70</v>
      </c>
      <c r="T45" s="124">
        <f>IF(S45="","",COUNTIFS($C$18:$C$2015,S$13,$D$18:$D$2015,"&gt;="&amp;S45,$D$18:$D$2015,"&lt;"&amp;S46))</f>
        <v/>
      </c>
      <c r="U45" s="14" t="n"/>
      <c r="V45" s="16" t="n">
        <v>70</v>
      </c>
      <c r="W45" s="124">
        <f>IF(V45="","",COUNTIFS($C$18:$C$2015,V$13,$D$18:$D$2015,"&gt;="&amp;V45,$D$18:$D$2015,"&lt;"&amp;V46))</f>
        <v/>
      </c>
      <c r="X45" s="14" t="n"/>
      <c r="Y45" s="16" t="n">
        <v>70</v>
      </c>
      <c r="Z45" s="124">
        <f>IF(Y45="","",COUNTIFS($C$18:$C$2015,Y$13,$D$18:$D$2015,"&gt;="&amp;Y45,$D$18:$D$2015,"&lt;"&amp;Y46))</f>
        <v/>
      </c>
      <c r="AA45" s="14" t="n"/>
      <c r="AB45" s="16" t="n">
        <v>40</v>
      </c>
      <c r="AC45" s="124">
        <f>IF(AB45="","",COUNTIFS($C$18:$C$2015,AB$13,$D$18:$D$2015,"&gt;="&amp;AB45,$D$18:$D$2015,"&lt;"&amp;AB46))</f>
        <v/>
      </c>
      <c r="AD45" s="14" t="n"/>
    </row>
    <row r="46">
      <c r="A46" s="56" t="n"/>
      <c r="B46" s="57" t="n"/>
      <c r="C46" s="59" t="n"/>
      <c r="E46" s="16" t="n"/>
      <c r="F46" s="13" t="n"/>
      <c r="G46" s="16" t="n">
        <v>41</v>
      </c>
      <c r="H46" s="124">
        <f>IF(G46="","",COUNTIFS($C$18:$C$2015,G$13,$D$18:$D$2015,"&gt;="&amp;G46,$D$18:$D$2015,"&lt;"&amp;G47))</f>
        <v/>
      </c>
      <c r="I46" s="14" t="n"/>
      <c r="J46" s="16" t="n"/>
      <c r="K46" s="124">
        <f>IF(J46="","",COUNTIFS($C$18:$C$2015,J$13,$D$18:$D$2015,"&gt;="&amp;J46,$D$18:$D$2015,"&lt;"&amp;J47))</f>
        <v/>
      </c>
      <c r="L46" s="14" t="n"/>
      <c r="M46" s="16" t="n">
        <v>72</v>
      </c>
      <c r="N46" s="124">
        <f>IF(M46="","",COUNTIFS($C$18:$C$2015,M$13,$D$18:$D$2015,"&gt;="&amp;M46,$D$18:$D$2015,"&lt;"&amp;M47))</f>
        <v/>
      </c>
      <c r="O46" s="14" t="n"/>
      <c r="P46" s="16" t="n">
        <v>41</v>
      </c>
      <c r="Q46" s="124">
        <f>IF(P46="","",COUNTIFS($C$18:$C$2015,P$13,$D$18:$D$2015,"&gt;="&amp;P46,$D$18:$D$2015,"&lt;"&amp;P47))</f>
        <v/>
      </c>
      <c r="R46" s="14" t="n"/>
      <c r="S46" s="16" t="n">
        <v>72</v>
      </c>
      <c r="T46" s="124">
        <f>IF(S46="","",COUNTIFS($C$18:$C$2015,S$13,$D$18:$D$2015,"&gt;="&amp;S46,$D$18:$D$2015,"&lt;"&amp;S47))</f>
        <v/>
      </c>
      <c r="U46" s="14" t="n"/>
      <c r="V46" s="16" t="n">
        <v>72</v>
      </c>
      <c r="W46" s="124">
        <f>IF(V46="","",COUNTIFS($C$18:$C$2015,V$13,$D$18:$D$2015,"&gt;="&amp;V46,$D$18:$D$2015,"&lt;"&amp;V47))</f>
        <v/>
      </c>
      <c r="X46" s="14" t="n"/>
      <c r="Y46" s="16" t="n">
        <v>72</v>
      </c>
      <c r="Z46" s="124">
        <f>IF(Y46="","",COUNTIFS($C$18:$C$2015,Y$13,$D$18:$D$2015,"&gt;="&amp;Y46,$D$18:$D$2015,"&lt;"&amp;Y47))</f>
        <v/>
      </c>
      <c r="AA46" s="14" t="n"/>
      <c r="AB46" s="16" t="n">
        <v>41</v>
      </c>
      <c r="AC46" s="124">
        <f>IF(AB46="","",COUNTIFS($C$18:$C$2015,AB$13,$D$18:$D$2015,"&gt;="&amp;AB46,$D$18:$D$2015,"&lt;"&amp;AB47))</f>
        <v/>
      </c>
      <c r="AD46" s="14" t="n"/>
    </row>
    <row r="47">
      <c r="A47" s="58" t="n"/>
      <c r="B47" s="59" t="n"/>
      <c r="C47" s="59" t="n"/>
      <c r="E47" s="16" t="n"/>
      <c r="F47" s="13" t="n"/>
      <c r="G47" s="16" t="n">
        <v>42</v>
      </c>
      <c r="H47" s="124">
        <f>IF(G47="","",COUNTIFS($C$18:$C$2015,G$13,$D$18:$D$2015,"&gt;="&amp;G47,$D$18:$D$2015,"&lt;"&amp;G48))</f>
        <v/>
      </c>
      <c r="I47" s="14" t="n"/>
      <c r="J47" s="16" t="n"/>
      <c r="K47" s="124">
        <f>IF(J47="","",COUNTIFS($C$18:$C$2015,J$13,$D$18:$D$2015,"&gt;="&amp;J47,$D$18:$D$2015,"&lt;"&amp;J48))</f>
        <v/>
      </c>
      <c r="L47" s="14" t="n"/>
      <c r="M47" s="16" t="n">
        <v>74</v>
      </c>
      <c r="N47" s="124">
        <f>IF(M47="","",COUNTIFS($C$18:$C$2015,M$13,$D$18:$D$2015,"&gt;="&amp;M47,$D$18:$D$2015,"&lt;"&amp;M48))</f>
        <v/>
      </c>
      <c r="O47" s="14" t="n"/>
      <c r="P47" s="16" t="n">
        <v>42</v>
      </c>
      <c r="Q47" s="124">
        <f>IF(P47="","",COUNTIFS($C$18:$C$2015,P$13,$D$18:$D$2015,"&gt;="&amp;P47,$D$18:$D$2015,"&lt;"&amp;P48))</f>
        <v/>
      </c>
      <c r="R47" s="14" t="n"/>
      <c r="S47" s="16" t="n">
        <v>74</v>
      </c>
      <c r="T47" s="124">
        <f>IF(S47="","",COUNTIFS($C$18:$C$2015,S$13,$D$18:$D$2015,"&gt;="&amp;S47,$D$18:$D$2015,"&lt;"&amp;S48))</f>
        <v/>
      </c>
      <c r="U47" s="14" t="n"/>
      <c r="V47" s="16" t="n">
        <v>74</v>
      </c>
      <c r="W47" s="124">
        <f>IF(V47="","",COUNTIFS($C$18:$C$2015,V$13,$D$18:$D$2015,"&gt;="&amp;V47,$D$18:$D$2015,"&lt;"&amp;V48))</f>
        <v/>
      </c>
      <c r="X47" s="14" t="n"/>
      <c r="Y47" s="16" t="n">
        <v>74</v>
      </c>
      <c r="Z47" s="124">
        <f>IF(Y47="","",COUNTIFS($C$18:$C$2015,Y$13,$D$18:$D$2015,"&gt;="&amp;Y47,$D$18:$D$2015,"&lt;"&amp;Y48))</f>
        <v/>
      </c>
      <c r="AA47" s="14" t="n"/>
      <c r="AB47" s="16" t="n">
        <v>42</v>
      </c>
      <c r="AC47" s="124">
        <f>IF(AB47="","",COUNTIFS($C$18:$C$2015,AB$13,$D$18:$D$2015,"&gt;="&amp;AB47,$D$18:$D$2015,"&lt;"&amp;AB48))</f>
        <v/>
      </c>
      <c r="AD47" s="14" t="n"/>
    </row>
    <row r="48">
      <c r="A48" s="56" t="n"/>
      <c r="B48" s="57" t="n"/>
      <c r="C48" s="59" t="n"/>
      <c r="E48" s="16" t="n"/>
      <c r="F48" s="13" t="n"/>
      <c r="G48" s="16" t="n">
        <v>43</v>
      </c>
      <c r="H48" s="124">
        <f>IF(G48="","",COUNTIFS($C$18:$C$2015,G$13,$D$18:$D$2015,"&gt;="&amp;G48,$D$18:$D$2015,"&lt;"&amp;G49))</f>
        <v/>
      </c>
      <c r="I48" s="14" t="n"/>
      <c r="J48" s="16" t="n"/>
      <c r="K48" s="124">
        <f>IF(J48="","",COUNTIFS($C$18:$C$2015,J$13,$D$18:$D$2015,"&gt;="&amp;J48,$D$18:$D$2015,"&lt;"&amp;J49))</f>
        <v/>
      </c>
      <c r="L48" s="14" t="n"/>
      <c r="M48" s="16" t="n">
        <v>76</v>
      </c>
      <c r="N48" s="124">
        <f>IF(M48="","",COUNTIFS($C$18:$C$2015,M$13,$D$18:$D$2015,"&gt;="&amp;M48,$D$18:$D$2015,"&lt;"&amp;M49))</f>
        <v/>
      </c>
      <c r="O48" s="14" t="n"/>
      <c r="P48" s="16" t="n">
        <v>43</v>
      </c>
      <c r="Q48" s="124">
        <f>IF(P48="","",COUNTIFS($C$18:$C$2015,P$13,$D$18:$D$2015,"&gt;="&amp;P48,$D$18:$D$2015,"&lt;"&amp;P49))</f>
        <v/>
      </c>
      <c r="R48" s="14" t="n"/>
      <c r="S48" s="16" t="n">
        <v>76</v>
      </c>
      <c r="T48" s="124">
        <f>IF(S48="","",COUNTIFS($C$18:$C$2015,S$13,$D$18:$D$2015,"&gt;="&amp;S48,$D$18:$D$2015,"&lt;"&amp;S49))</f>
        <v/>
      </c>
      <c r="U48" s="14" t="n"/>
      <c r="V48" s="16" t="n">
        <v>76</v>
      </c>
      <c r="W48" s="124">
        <f>IF(V48="","",COUNTIFS($C$18:$C$2015,V$13,$D$18:$D$2015,"&gt;="&amp;V48,$D$18:$D$2015,"&lt;"&amp;V49))</f>
        <v/>
      </c>
      <c r="X48" s="14" t="n"/>
      <c r="Y48" s="16" t="n">
        <v>76</v>
      </c>
      <c r="Z48" s="124">
        <f>IF(Y48="","",COUNTIFS($C$18:$C$2015,Y$13,$D$18:$D$2015,"&gt;="&amp;Y48,$D$18:$D$2015,"&lt;"&amp;Y49))</f>
        <v/>
      </c>
      <c r="AA48" s="14" t="n"/>
      <c r="AB48" s="16" t="n">
        <v>43</v>
      </c>
      <c r="AC48" s="124">
        <f>IF(AB48="","",COUNTIFS($C$18:$C$2015,AB$13,$D$18:$D$2015,"&gt;="&amp;AB48,$D$18:$D$2015,"&lt;"&amp;AB49))</f>
        <v/>
      </c>
      <c r="AD48" s="14" t="n"/>
    </row>
    <row r="49">
      <c r="A49" s="58" t="n"/>
      <c r="B49" s="59" t="n"/>
      <c r="C49" s="59" t="n"/>
      <c r="E49" s="16" t="n"/>
      <c r="F49" s="13" t="n"/>
      <c r="G49" s="16" t="n">
        <v>44</v>
      </c>
      <c r="H49" s="124">
        <f>IF(G49="","",COUNTIFS($C$18:$C$2015,G$13,$D$18:$D$2015,"&gt;="&amp;G49,$D$18:$D$2015,"&lt;"&amp;G50))</f>
        <v/>
      </c>
      <c r="I49" s="14" t="n"/>
      <c r="J49" s="16" t="n"/>
      <c r="K49" s="124">
        <f>IF(J49="","",COUNTIFS($C$18:$C$2015,J$13,$D$18:$D$2015,"&gt;="&amp;J49,$D$18:$D$2015,"&lt;"&amp;J50))</f>
        <v/>
      </c>
      <c r="L49" s="14" t="n"/>
      <c r="M49" s="16" t="n">
        <v>78</v>
      </c>
      <c r="N49" s="124">
        <f>IF(M49="","",COUNTIFS($C$18:$C$2015,M$13,$D$18:$D$2015,"&gt;="&amp;M49,$D$18:$D$2015,"&lt;"&amp;M50))</f>
        <v/>
      </c>
      <c r="O49" s="14" t="n"/>
      <c r="P49" s="16" t="n">
        <v>44</v>
      </c>
      <c r="Q49" s="124">
        <f>IF(P49="","",COUNTIFS($C$18:$C$2015,P$13,$D$18:$D$2015,"&gt;="&amp;P49,$D$18:$D$2015,"&lt;"&amp;P50))</f>
        <v/>
      </c>
      <c r="R49" s="14" t="n"/>
      <c r="S49" s="16" t="n">
        <v>78</v>
      </c>
      <c r="T49" s="124">
        <f>IF(S49="","",COUNTIFS($C$18:$C$2015,S$13,$D$18:$D$2015,"&gt;="&amp;S49,$D$18:$D$2015,"&lt;"&amp;S50))</f>
        <v/>
      </c>
      <c r="U49" s="14" t="n"/>
      <c r="V49" s="16" t="n">
        <v>78</v>
      </c>
      <c r="W49" s="124">
        <f>IF(V49="","",COUNTIFS($C$18:$C$2015,V$13,$D$18:$D$2015,"&gt;="&amp;V49,$D$18:$D$2015,"&lt;"&amp;V50))</f>
        <v/>
      </c>
      <c r="X49" s="14" t="n"/>
      <c r="Y49" s="16" t="n">
        <v>78</v>
      </c>
      <c r="Z49" s="124">
        <f>IF(Y49="","",COUNTIFS($C$18:$C$2015,Y$13,$D$18:$D$2015,"&gt;="&amp;Y49,$D$18:$D$2015,"&lt;"&amp;Y50))</f>
        <v/>
      </c>
      <c r="AA49" s="14" t="n"/>
      <c r="AB49" s="16" t="n">
        <v>44</v>
      </c>
      <c r="AC49" s="124">
        <f>IF(AB49="","",COUNTIFS($C$18:$C$2015,AB$13,$D$18:$D$2015,"&gt;="&amp;AB49,$D$18:$D$2015,"&lt;"&amp;AB50))</f>
        <v/>
      </c>
      <c r="AD49" s="14" t="n"/>
    </row>
    <row r="50">
      <c r="A50" s="56" t="n"/>
      <c r="B50" s="57" t="n"/>
      <c r="C50" s="59" t="n"/>
      <c r="E50" s="16" t="n"/>
      <c r="F50" s="13" t="n"/>
      <c r="G50" s="16" t="n">
        <v>45</v>
      </c>
      <c r="H50" s="124">
        <f>IF(G50="","",COUNTIFS($C$18:$C$2015,G$13,$D$18:$D$2015,"&gt;="&amp;G50,$D$18:$D$2015,"&lt;"&amp;G51))</f>
        <v/>
      </c>
      <c r="I50" s="14" t="n"/>
      <c r="J50" s="16" t="n"/>
      <c r="K50" s="124">
        <f>IF(J50="","",COUNTIFS($C$18:$C$2015,J$13,$D$18:$D$2015,"&gt;="&amp;J50,$D$18:$D$2015,"&lt;"&amp;J51))</f>
        <v/>
      </c>
      <c r="L50" s="14" t="n"/>
      <c r="M50" s="16" t="n">
        <v>80</v>
      </c>
      <c r="N50" s="124">
        <f>IF(M50="","",COUNTIFS($C$18:$C$2015,M$13,$D$18:$D$2015,"&gt;="&amp;M50,$D$18:$D$2015,"&lt;"&amp;M51))</f>
        <v/>
      </c>
      <c r="O50" s="14" t="n"/>
      <c r="P50" s="16" t="n">
        <v>45</v>
      </c>
      <c r="Q50" s="124">
        <f>IF(P50="","",COUNTIFS($C$18:$C$2015,P$13,$D$18:$D$2015,"&gt;="&amp;P50,$D$18:$D$2015,"&lt;"&amp;P51))</f>
        <v/>
      </c>
      <c r="R50" s="14" t="n"/>
      <c r="S50" s="16" t="n">
        <v>80</v>
      </c>
      <c r="T50" s="124">
        <f>IF(S50="","",COUNTIFS($C$18:$C$2015,S$13,$D$18:$D$2015,"&gt;="&amp;S50,$D$18:$D$2015,"&lt;"&amp;S51))</f>
        <v/>
      </c>
      <c r="U50" s="14" t="n"/>
      <c r="V50" s="16" t="n">
        <v>80</v>
      </c>
      <c r="W50" s="124">
        <f>IF(V50="","",COUNTIFS($C$18:$C$2015,V$13,$D$18:$D$2015,"&gt;="&amp;V50,$D$18:$D$2015,"&lt;"&amp;V51))</f>
        <v/>
      </c>
      <c r="X50" s="14" t="n"/>
      <c r="Y50" s="16" t="n">
        <v>80</v>
      </c>
      <c r="Z50" s="124">
        <f>IF(Y50="","",COUNTIFS($C$18:$C$2015,Y$13,$D$18:$D$2015,"&gt;="&amp;Y50,$D$18:$D$2015,"&lt;"&amp;Y51))</f>
        <v/>
      </c>
      <c r="AA50" s="14" t="n"/>
      <c r="AB50" s="16" t="n">
        <v>45</v>
      </c>
      <c r="AC50" s="124">
        <f>IF(AB50="","",COUNTIFS($C$18:$C$2015,AB$13,$D$18:$D$2015,"&gt;="&amp;AB50,$D$18:$D$2015,"&lt;"&amp;AB51))</f>
        <v/>
      </c>
      <c r="AD50" s="14" t="n"/>
    </row>
    <row r="51">
      <c r="A51" s="58" t="n"/>
      <c r="B51" s="59" t="n"/>
      <c r="C51" s="59" t="n"/>
      <c r="E51" s="16" t="n"/>
      <c r="F51" s="13" t="n"/>
      <c r="G51" s="16" t="n">
        <v>46</v>
      </c>
      <c r="H51" s="124">
        <f>IF(G51="","",COUNTIFS($C$18:$C$2015,G$13,$D$18:$D$2015,"&gt;="&amp;G51,$D$18:$D$2015,"&lt;"&amp;G52))</f>
        <v/>
      </c>
      <c r="I51" s="14" t="n"/>
      <c r="J51" s="16" t="n"/>
      <c r="K51" s="124">
        <f>IF(J51="","",COUNTIFS($C$18:$C$2015,J$13,$D$18:$D$2015,"&gt;="&amp;J51,$D$18:$D$2015,"&lt;"&amp;J52))</f>
        <v/>
      </c>
      <c r="L51" s="14" t="n"/>
      <c r="M51" s="16" t="n">
        <v>82</v>
      </c>
      <c r="N51" s="124">
        <f>IF(M51="","",COUNTIFS($C$18:$C$2015,M$13,$D$18:$D$2015,"&gt;="&amp;M51,$D$18:$D$2015,"&lt;"&amp;M52))</f>
        <v/>
      </c>
      <c r="O51" s="14" t="n"/>
      <c r="P51" s="16" t="n">
        <v>46</v>
      </c>
      <c r="Q51" s="124">
        <f>IF(P51="","",COUNTIFS($C$18:$C$2015,P$13,$D$18:$D$2015,"&gt;="&amp;P51,$D$18:$D$2015,"&lt;"&amp;P52))</f>
        <v/>
      </c>
      <c r="R51" s="14" t="n"/>
      <c r="S51" s="16" t="n">
        <v>82</v>
      </c>
      <c r="T51" s="124">
        <f>IF(S51="","",COUNTIFS($C$18:$C$2015,S$13,$D$18:$D$2015,"&gt;="&amp;S51,$D$18:$D$2015,"&lt;"&amp;S52))</f>
        <v/>
      </c>
      <c r="U51" s="14" t="n"/>
      <c r="V51" s="16" t="n"/>
      <c r="W51" s="124">
        <f>IF(V51="","",COUNTIFS($C$18:$C$2015,V$13,$D$18:$D$2015,"&gt;="&amp;V51,$D$18:$D$2015,"&lt;"&amp;V52))</f>
        <v/>
      </c>
      <c r="X51" s="14" t="n"/>
      <c r="Y51" s="16" t="n"/>
      <c r="Z51" s="124">
        <f>IF(Y51="","",COUNTIFS($C$18:$C$2015,Y$13,$D$18:$D$2015,"&gt;="&amp;Y51,$D$18:$D$2015,"&lt;"&amp;Y52))</f>
        <v/>
      </c>
      <c r="AA51" s="14" t="n"/>
      <c r="AB51" s="16" t="n">
        <v>46</v>
      </c>
      <c r="AC51" s="124">
        <f>IF(AB51="","",COUNTIFS($C$18:$C$2015,AB$13,$D$18:$D$2015,"&gt;="&amp;AB51,$D$18:$D$2015,"&lt;"&amp;AB52))</f>
        <v/>
      </c>
      <c r="AD51" s="14" t="n"/>
    </row>
    <row r="52">
      <c r="A52" s="56" t="n"/>
      <c r="B52" s="57" t="n"/>
      <c r="C52" s="59" t="n"/>
      <c r="E52" s="16" t="n"/>
      <c r="F52" s="13" t="n"/>
      <c r="G52" s="16" t="n">
        <v>47</v>
      </c>
      <c r="H52" s="124">
        <f>IF(G52="","",COUNTIFS($C$18:$C$2015,G$13,$D$18:$D$2015,"&gt;="&amp;G52,$D$18:$D$2015,"&lt;"&amp;G53))</f>
        <v/>
      </c>
      <c r="I52" s="14" t="n"/>
      <c r="J52" s="16" t="n"/>
      <c r="K52" s="124">
        <f>IF(J52="","",COUNTIFS($C$18:$C$2015,J$13,$D$18:$D$2015,"&gt;="&amp;J52,$D$18:$D$2015,"&lt;"&amp;J53))</f>
        <v/>
      </c>
      <c r="L52" s="14" t="n"/>
      <c r="M52" s="16" t="n">
        <v>84</v>
      </c>
      <c r="N52" s="124">
        <f>IF(M52="","",COUNTIFS($C$18:$C$2015,M$13,$D$18:$D$2015,"&gt;="&amp;M52,$D$18:$D$2015,"&lt;"&amp;M53))</f>
        <v/>
      </c>
      <c r="O52" s="14" t="n"/>
      <c r="P52" s="16" t="n">
        <v>47</v>
      </c>
      <c r="Q52" s="124">
        <f>IF(P52="","",COUNTIFS($C$18:$C$2015,P$13,$D$18:$D$2015,"&gt;="&amp;P52,$D$18:$D$2015,"&lt;"&amp;P53))</f>
        <v/>
      </c>
      <c r="R52" s="14" t="n"/>
      <c r="S52" s="16" t="n">
        <v>84</v>
      </c>
      <c r="T52" s="124">
        <f>IF(S52="","",COUNTIFS($C$18:$C$2015,S$13,$D$18:$D$2015,"&gt;="&amp;S52,$D$18:$D$2015,"&lt;"&amp;S53))</f>
        <v/>
      </c>
      <c r="U52" s="14" t="n"/>
      <c r="V52" s="16" t="n"/>
      <c r="W52" s="124">
        <f>IF(V52="","",COUNTIFS($C$18:$C$2015,V$13,$D$18:$D$2015,"&gt;="&amp;V52,$D$18:$D$2015,"&lt;"&amp;V53))</f>
        <v/>
      </c>
      <c r="X52" s="14" t="n"/>
      <c r="Y52" s="16" t="n"/>
      <c r="Z52" s="124">
        <f>IF(Y52="","",COUNTIFS($C$18:$C$2015,Y$13,$D$18:$D$2015,"&gt;="&amp;Y52,$D$18:$D$2015,"&lt;"&amp;Y53))</f>
        <v/>
      </c>
      <c r="AA52" s="14" t="n"/>
      <c r="AB52" s="16" t="n">
        <v>47</v>
      </c>
      <c r="AC52" s="124">
        <f>IF(AB52="","",COUNTIFS($C$18:$C$2015,AB$13,$D$18:$D$2015,"&gt;="&amp;AB52,$D$18:$D$2015,"&lt;"&amp;AB53))</f>
        <v/>
      </c>
      <c r="AD52" s="14" t="n"/>
    </row>
    <row r="53">
      <c r="A53" s="58" t="n"/>
      <c r="B53" s="59" t="n"/>
      <c r="C53" s="59" t="n"/>
      <c r="E53" s="16" t="n"/>
      <c r="F53" s="13" t="n"/>
      <c r="G53" s="16" t="n">
        <v>48</v>
      </c>
      <c r="H53" s="124">
        <f>IF(G53="","",COUNTIFS($C$18:$C$2015,G$13,$D$18:$D$2015,"&gt;="&amp;G53,$D$18:$D$2015,"&lt;"&amp;G54))</f>
        <v/>
      </c>
      <c r="I53" s="14" t="n"/>
      <c r="J53" s="16" t="n"/>
      <c r="K53" s="124">
        <f>IF(J53="","",COUNTIFS($C$18:$C$2015,J$13,$D$18:$D$2015,"&gt;="&amp;J53,$D$18:$D$2015,"&lt;"&amp;J54))</f>
        <v/>
      </c>
      <c r="L53" s="14" t="n"/>
      <c r="M53" s="16" t="n">
        <v>86</v>
      </c>
      <c r="N53" s="124">
        <f>IF(M53="","",COUNTIFS($C$18:$C$2015,M$13,$D$18:$D$2015,"&gt;="&amp;M53,$D$18:$D$2015,"&lt;"&amp;M54))</f>
        <v/>
      </c>
      <c r="O53" s="14" t="n"/>
      <c r="P53" s="16" t="n">
        <v>48</v>
      </c>
      <c r="Q53" s="124">
        <f>IF(P53="","",COUNTIFS($C$18:$C$2015,P$13,$D$18:$D$2015,"&gt;="&amp;P53,$D$18:$D$2015,"&lt;"&amp;P54))</f>
        <v/>
      </c>
      <c r="R53" s="14" t="n"/>
      <c r="S53" s="16" t="n">
        <v>86</v>
      </c>
      <c r="T53" s="124">
        <f>IF(S53="","",COUNTIFS($C$18:$C$2015,S$13,$D$18:$D$2015,"&gt;="&amp;S53,$D$18:$D$2015,"&lt;"&amp;S54))</f>
        <v/>
      </c>
      <c r="U53" s="14" t="n"/>
      <c r="V53" s="16" t="n"/>
      <c r="W53" s="124">
        <f>IF(V53="","",COUNTIFS($C$18:$C$2015,V$13,$D$18:$D$2015,"&gt;="&amp;V53,$D$18:$D$2015,"&lt;"&amp;V54))</f>
        <v/>
      </c>
      <c r="X53" s="14" t="n"/>
      <c r="Y53" s="16" t="n"/>
      <c r="Z53" s="124">
        <f>IF(Y53="","",COUNTIFS($C$18:$C$2015,Y$13,$D$18:$D$2015,"&gt;="&amp;Y53,$D$18:$D$2015,"&lt;"&amp;Y54))</f>
        <v/>
      </c>
      <c r="AA53" s="14" t="n"/>
      <c r="AB53" s="16" t="n">
        <v>48</v>
      </c>
      <c r="AC53" s="124">
        <f>IF(AB53="","",COUNTIFS($C$18:$C$2015,AB$13,$D$18:$D$2015,"&gt;="&amp;AB53,$D$18:$D$2015,"&lt;"&amp;AB54))</f>
        <v/>
      </c>
      <c r="AD53" s="14" t="n"/>
    </row>
    <row r="54">
      <c r="A54" s="56" t="n"/>
      <c r="B54" s="57" t="n"/>
      <c r="C54" s="59" t="n"/>
      <c r="E54" s="16" t="n"/>
      <c r="F54" s="13" t="n"/>
      <c r="G54" s="16" t="n">
        <v>49</v>
      </c>
      <c r="H54" s="124">
        <f>IF(G54="","",COUNTIFS($C$18:$C$2015,G$13,$D$18:$D$2015,"&gt;="&amp;G54,$D$18:$D$2015,"&lt;"&amp;G55))</f>
        <v/>
      </c>
      <c r="I54" s="14" t="n"/>
      <c r="J54" s="16" t="n"/>
      <c r="K54" s="124">
        <f>IF(J54="","",COUNTIFS($C$18:$C$2015,J$13,$D$18:$D$2015,"&gt;="&amp;J54,$D$18:$D$2015,"&lt;"&amp;J55))</f>
        <v/>
      </c>
      <c r="L54" s="14" t="n"/>
      <c r="M54" s="16" t="n">
        <v>88</v>
      </c>
      <c r="N54" s="124">
        <f>IF(M54="","",COUNTIFS($C$18:$C$2015,M$13,$D$18:$D$2015,"&gt;="&amp;M54,$D$18:$D$2015,"&lt;"&amp;M55))</f>
        <v/>
      </c>
      <c r="O54" s="14" t="n"/>
      <c r="P54" s="16" t="n">
        <v>49</v>
      </c>
      <c r="Q54" s="124">
        <f>IF(P54="","",COUNTIFS($C$18:$C$2015,P$13,$D$18:$D$2015,"&gt;="&amp;P54,$D$18:$D$2015,"&lt;"&amp;P55))</f>
        <v/>
      </c>
      <c r="R54" s="14" t="n"/>
      <c r="S54" s="16" t="n">
        <v>88</v>
      </c>
      <c r="T54" s="124">
        <f>IF(S54="","",COUNTIFS($C$18:$C$2015,S$13,$D$18:$D$2015,"&gt;="&amp;S54,$D$18:$D$2015,"&lt;"&amp;S55))</f>
        <v/>
      </c>
      <c r="U54" s="14" t="n"/>
      <c r="V54" s="16" t="n"/>
      <c r="W54" s="124">
        <f>IF(V54="","",COUNTIFS($C$18:$C$2015,V$13,$D$18:$D$2015,"&gt;="&amp;V54,$D$18:$D$2015,"&lt;"&amp;V55))</f>
        <v/>
      </c>
      <c r="X54" s="14" t="n"/>
      <c r="Y54" s="16" t="n"/>
      <c r="Z54" s="124">
        <f>IF(Y54="","",COUNTIFS($C$18:$C$2015,Y$13,$D$18:$D$2015,"&gt;="&amp;Y54,$D$18:$D$2015,"&lt;"&amp;Y55))</f>
        <v/>
      </c>
      <c r="AA54" s="14" t="n"/>
      <c r="AB54" s="16" t="n">
        <v>49</v>
      </c>
      <c r="AC54" s="124">
        <f>IF(AB54="","",COUNTIFS($C$18:$C$2015,AB$13,$D$18:$D$2015,"&gt;="&amp;AB54,$D$18:$D$2015,"&lt;"&amp;AB55))</f>
        <v/>
      </c>
      <c r="AD54" s="14" t="n"/>
    </row>
    <row r="55">
      <c r="A55" s="58" t="n"/>
      <c r="B55" s="59" t="n"/>
      <c r="C55" s="59" t="n"/>
      <c r="E55" s="16" t="n"/>
      <c r="F55" s="13" t="n"/>
      <c r="G55" s="16" t="n">
        <v>50</v>
      </c>
      <c r="H55" s="124">
        <f>IF(G55="","",COUNTIFS($C$18:$C$2015,G$13,$D$18:$D$2015,"&gt;="&amp;G55,$D$18:$D$2015,"&lt;"&amp;G56))</f>
        <v/>
      </c>
      <c r="I55" s="14" t="n"/>
      <c r="J55" s="16" t="n"/>
      <c r="K55" s="124">
        <f>IF(J55="","",COUNTIFS($C$18:$C$2015,J$13,$D$18:$D$2015,"&gt;="&amp;J55,$D$18:$D$2015,"&lt;"&amp;J56))</f>
        <v/>
      </c>
      <c r="L55" s="14" t="n"/>
      <c r="M55" s="16" t="n">
        <v>90</v>
      </c>
      <c r="N55" s="124">
        <f>IF(M55="","",COUNTIFS($C$18:$C$2015,M$13,$D$18:$D$2015,"&gt;="&amp;M55,$D$18:$D$2015,"&lt;"&amp;M56))</f>
        <v/>
      </c>
      <c r="O55" s="14" t="n"/>
      <c r="P55" s="16" t="n">
        <v>50</v>
      </c>
      <c r="Q55" s="124">
        <f>IF(P55="","",COUNTIFS($C$18:$C$2015,P$13,$D$18:$D$2015,"&gt;="&amp;P55,$D$18:$D$2015,"&lt;"&amp;P56))</f>
        <v/>
      </c>
      <c r="R55" s="14" t="n"/>
      <c r="S55" s="16" t="n">
        <v>90</v>
      </c>
      <c r="T55" s="124">
        <f>IF(S55="","",COUNTIFS($C$18:$C$2015,S$13,$D$18:$D$2015,"&gt;="&amp;S55,$D$18:$D$2015,"&lt;"&amp;S56))</f>
        <v/>
      </c>
      <c r="U55" s="14" t="n"/>
      <c r="V55" s="16" t="n"/>
      <c r="W55" s="124">
        <f>IF(V55="","",COUNTIFS($C$18:$C$2015,V$13,$D$18:$D$2015,"&gt;="&amp;V55,$D$18:$D$2015,"&lt;"&amp;V56))</f>
        <v/>
      </c>
      <c r="X55" s="14" t="n"/>
      <c r="Y55" s="16" t="n"/>
      <c r="Z55" s="124">
        <f>IF(Y55="","",COUNTIFS($C$18:$C$2015,Y$13,$D$18:$D$2015,"&gt;="&amp;Y55,$D$18:$D$2015,"&lt;"&amp;Y56))</f>
        <v/>
      </c>
      <c r="AA55" s="14" t="n"/>
      <c r="AB55" s="16" t="n">
        <v>50</v>
      </c>
      <c r="AC55" s="124">
        <f>IF(AB55="","",COUNTIFS($C$18:$C$2015,AB$13,$D$18:$D$2015,"&gt;="&amp;AB55,$D$18:$D$2015,"&lt;"&amp;AB56))</f>
        <v/>
      </c>
      <c r="AD55" s="14" t="n"/>
    </row>
    <row r="56">
      <c r="A56" s="56" t="n"/>
      <c r="B56" s="57" t="n"/>
      <c r="C56" s="59" t="n"/>
      <c r="E56" s="16" t="n"/>
      <c r="F56" s="13" t="n"/>
      <c r="G56" s="16" t="n">
        <v>51</v>
      </c>
      <c r="H56" s="124">
        <f>IF(G56="","",COUNTIFS($C$18:$C$2015,G$13,$D$18:$D$2015,"&gt;="&amp;G56,$D$18:$D$2015,"&lt;"&amp;G57))</f>
        <v/>
      </c>
      <c r="I56" s="14" t="n"/>
      <c r="J56" s="16" t="n"/>
      <c r="K56" s="124">
        <f>IF(J56="","",COUNTIFS($C$18:$C$2015,J$13,$D$18:$D$2015,"&gt;="&amp;J56,$D$18:$D$2015,"&lt;"&amp;J57))</f>
        <v/>
      </c>
      <c r="L56" s="14" t="n"/>
      <c r="M56" s="16" t="n"/>
      <c r="N56" s="124">
        <f>IF(M56="","",COUNTIFS($C$18:$C$2015,M$13,$D$18:$D$2015,"&gt;="&amp;M56,$D$18:$D$2015,"&lt;"&amp;M57))</f>
        <v/>
      </c>
      <c r="O56" s="14" t="n"/>
      <c r="P56" s="16" t="n">
        <v>51</v>
      </c>
      <c r="Q56" s="124">
        <f>IF(P56="","",COUNTIFS($C$18:$C$2015,P$13,$D$18:$D$2015,"&gt;="&amp;P56,$D$18:$D$2015,"&lt;"&amp;P57))</f>
        <v/>
      </c>
      <c r="R56" s="14" t="n"/>
      <c r="S56" s="16" t="n">
        <v>92</v>
      </c>
      <c r="T56" s="124">
        <f>IF(S56="","",COUNTIFS($C$18:$C$2015,S$13,$D$18:$D$2015,"&gt;="&amp;S56,$D$18:$D$2015,"&lt;"&amp;S57))</f>
        <v/>
      </c>
      <c r="U56" s="14" t="n"/>
      <c r="V56" s="16" t="n"/>
      <c r="W56" s="124">
        <f>IF(V56="","",COUNTIFS($C$18:$C$2015,V$13,$D$18:$D$2015,"&gt;="&amp;V56,$D$18:$D$2015,"&lt;"&amp;V57))</f>
        <v/>
      </c>
      <c r="X56" s="14" t="n"/>
      <c r="Y56" s="16" t="n"/>
      <c r="Z56" s="124">
        <f>IF(Y56="","",COUNTIFS($C$18:$C$2015,Y$13,$D$18:$D$2015,"&gt;="&amp;Y56,$D$18:$D$2015,"&lt;"&amp;Y57))</f>
        <v/>
      </c>
      <c r="AA56" s="14" t="n"/>
      <c r="AB56" s="16" t="n">
        <v>51</v>
      </c>
      <c r="AC56" s="124">
        <f>IF(AB56="","",COUNTIFS($C$18:$C$2015,AB$13,$D$18:$D$2015,"&gt;="&amp;AB56,$D$18:$D$2015,"&lt;"&amp;AB57))</f>
        <v/>
      </c>
      <c r="AD56" s="14" t="n"/>
    </row>
    <row r="57">
      <c r="A57" s="58" t="n"/>
      <c r="B57" s="59" t="n"/>
      <c r="C57" s="59" t="n"/>
      <c r="E57" s="16" t="n"/>
      <c r="F57" s="13" t="n"/>
      <c r="G57" s="16" t="n">
        <v>52</v>
      </c>
      <c r="H57" s="124">
        <f>IF(G57="","",COUNTIFS($C$18:$C$2015,G$13,$D$18:$D$2015,"&gt;="&amp;G57,$D$18:$D$2015,"&lt;"&amp;G58))</f>
        <v/>
      </c>
      <c r="I57" s="14" t="n"/>
      <c r="J57" s="16" t="n"/>
      <c r="K57" s="124">
        <f>IF(J57="","",COUNTIFS($C$18:$C$2015,J$13,$D$18:$D$2015,"&gt;="&amp;J57,$D$18:$D$2015,"&lt;"&amp;J58))</f>
        <v/>
      </c>
      <c r="L57" s="14" t="n"/>
      <c r="M57" s="16" t="n"/>
      <c r="N57" s="124">
        <f>IF(M57="","",COUNTIFS($C$18:$C$2015,M$13,$D$18:$D$2015,"&gt;="&amp;M57,$D$18:$D$2015,"&lt;"&amp;M58))</f>
        <v/>
      </c>
      <c r="O57" s="14" t="n"/>
      <c r="P57" s="16" t="n">
        <v>52</v>
      </c>
      <c r="Q57" s="124">
        <f>IF(P57="","",COUNTIFS($C$18:$C$2015,P$13,$D$18:$D$2015,"&gt;="&amp;P57,$D$18:$D$2015,"&lt;"&amp;P58))</f>
        <v/>
      </c>
      <c r="R57" s="14" t="n"/>
      <c r="S57" s="16" t="n">
        <v>94</v>
      </c>
      <c r="T57" s="124">
        <f>IF(S57="","",COUNTIFS($C$18:$C$2015,S$13,$D$18:$D$2015,"&gt;="&amp;S57,$D$18:$D$2015,"&lt;"&amp;S58))</f>
        <v/>
      </c>
      <c r="U57" s="14" t="n"/>
      <c r="V57" s="16" t="n"/>
      <c r="W57" s="124">
        <f>IF(V57="","",COUNTIFS($C$18:$C$2015,V$13,$D$18:$D$2015,"&gt;="&amp;V57,$D$18:$D$2015,"&lt;"&amp;V58))</f>
        <v/>
      </c>
      <c r="X57" s="14" t="n"/>
      <c r="Y57" s="16" t="n"/>
      <c r="Z57" s="124">
        <f>IF(Y57="","",COUNTIFS($C$18:$C$2015,Y$13,$D$18:$D$2015,"&gt;="&amp;Y57,$D$18:$D$2015,"&lt;"&amp;Y58))</f>
        <v/>
      </c>
      <c r="AA57" s="14" t="n"/>
      <c r="AB57" s="16" t="n">
        <v>52</v>
      </c>
      <c r="AC57" s="124">
        <f>IF(AB57="","",COUNTIFS($C$18:$C$2015,AB$13,$D$18:$D$2015,"&gt;="&amp;AB57,$D$18:$D$2015,"&lt;"&amp;AB58))</f>
        <v/>
      </c>
      <c r="AD57" s="14" t="n"/>
    </row>
    <row r="58">
      <c r="A58" s="56" t="n"/>
      <c r="B58" s="57" t="n"/>
      <c r="C58" s="59" t="n"/>
      <c r="E58" s="16" t="n"/>
      <c r="F58" s="13" t="n"/>
      <c r="G58" s="16" t="n">
        <v>53</v>
      </c>
      <c r="H58" s="124">
        <f>IF(G58="","",COUNTIFS($C$18:$C$2015,G$13,$D$18:$D$2015,"&gt;="&amp;G58,$D$18:$D$2015,"&lt;"&amp;G59))</f>
        <v/>
      </c>
      <c r="I58" s="14" t="n"/>
      <c r="J58" s="16" t="n"/>
      <c r="K58" s="124">
        <f>IF(J58="","",COUNTIFS($C$18:$C$2015,J$13,$D$18:$D$2015,"&gt;="&amp;J58,$D$18:$D$2015,"&lt;"&amp;J59))</f>
        <v/>
      </c>
      <c r="L58" s="14" t="n"/>
      <c r="M58" s="16" t="n"/>
      <c r="N58" s="124">
        <f>IF(M58="","",COUNTIFS($C$18:$C$2015,M$13,$D$18:$D$2015,"&gt;="&amp;M58,$D$18:$D$2015,"&lt;"&amp;M59))</f>
        <v/>
      </c>
      <c r="O58" s="14" t="n"/>
      <c r="P58" s="16" t="n">
        <v>53</v>
      </c>
      <c r="Q58" s="124">
        <f>IF(P58="","",COUNTIFS($C$18:$C$2015,P$13,$D$18:$D$2015,"&gt;="&amp;P58,$D$18:$D$2015,"&lt;"&amp;P59))</f>
        <v/>
      </c>
      <c r="R58" s="14" t="n"/>
      <c r="S58" s="16" t="n">
        <v>96</v>
      </c>
      <c r="T58" s="124">
        <f>IF(S58="","",COUNTIFS($C$18:$C$2015,S$13,$D$18:$D$2015,"&gt;="&amp;S58,$D$18:$D$2015,"&lt;"&amp;S59))</f>
        <v/>
      </c>
      <c r="U58" s="14" t="n"/>
      <c r="V58" s="16" t="n"/>
      <c r="W58" s="124">
        <f>IF(V58="","",COUNTIFS($C$18:$C$2015,V$13,$D$18:$D$2015,"&gt;="&amp;V58,$D$18:$D$2015,"&lt;"&amp;V59))</f>
        <v/>
      </c>
      <c r="X58" s="14" t="n"/>
      <c r="Y58" s="16" t="n"/>
      <c r="Z58" s="124">
        <f>IF(Y58="","",COUNTIFS($C$18:$C$2015,Y$13,$D$18:$D$2015,"&gt;="&amp;Y58,$D$18:$D$2015,"&lt;"&amp;Y59))</f>
        <v/>
      </c>
      <c r="AA58" s="14" t="n"/>
      <c r="AB58" s="16" t="n">
        <v>53</v>
      </c>
      <c r="AC58" s="124">
        <f>IF(AB58="","",COUNTIFS($C$18:$C$2015,AB$13,$D$18:$D$2015,"&gt;="&amp;AB58,$D$18:$D$2015,"&lt;"&amp;AB59))</f>
        <v/>
      </c>
      <c r="AD58" s="14" t="n"/>
    </row>
    <row r="59">
      <c r="A59" s="58" t="n"/>
      <c r="B59" s="59" t="n"/>
      <c r="C59" s="59" t="n"/>
      <c r="E59" s="16" t="n"/>
      <c r="F59" s="13" t="n"/>
      <c r="G59" s="16" t="n">
        <v>54</v>
      </c>
      <c r="H59" s="124">
        <f>IF(G59="","",COUNTIFS($C$18:$C$2015,G$13,$D$18:$D$2015,"&gt;="&amp;G59,$D$18:$D$2015,"&lt;"&amp;G60))</f>
        <v/>
      </c>
      <c r="I59" s="14" t="n"/>
      <c r="J59" s="16" t="n"/>
      <c r="K59" s="124">
        <f>IF(J59="","",COUNTIFS($C$18:$C$2015,J$13,$D$18:$D$2015,"&gt;="&amp;J59,$D$18:$D$2015,"&lt;"&amp;J60))</f>
        <v/>
      </c>
      <c r="L59" s="14" t="n"/>
      <c r="M59" s="16" t="n"/>
      <c r="N59" s="124">
        <f>IF(M59="","",COUNTIFS($C$18:$C$2015,M$13,$D$18:$D$2015,"&gt;="&amp;M59,$D$18:$D$2015,"&lt;"&amp;M60))</f>
        <v/>
      </c>
      <c r="O59" s="14" t="n"/>
      <c r="P59" s="16" t="n">
        <v>54</v>
      </c>
      <c r="Q59" s="124">
        <f>IF(P59="","",COUNTIFS($C$18:$C$2015,P$13,$D$18:$D$2015,"&gt;="&amp;P59,$D$18:$D$2015,"&lt;"&amp;P60))</f>
        <v/>
      </c>
      <c r="R59" s="14" t="n"/>
      <c r="S59" s="16" t="n">
        <v>98</v>
      </c>
      <c r="T59" s="124">
        <f>IF(S59="","",COUNTIFS($C$18:$C$2015,S$13,$D$18:$D$2015,"&gt;="&amp;S59,$D$18:$D$2015,"&lt;"&amp;S60))</f>
        <v/>
      </c>
      <c r="U59" s="14" t="n"/>
      <c r="V59" s="16" t="n"/>
      <c r="W59" s="124">
        <f>IF(V59="","",COUNTIFS($C$18:$C$2015,V$13,$D$18:$D$2015,"&gt;="&amp;V59,$D$18:$D$2015,"&lt;"&amp;V60))</f>
        <v/>
      </c>
      <c r="X59" s="14" t="n"/>
      <c r="Y59" s="16" t="n"/>
      <c r="Z59" s="124">
        <f>IF(Y59="","",COUNTIFS($C$18:$C$2015,Y$13,$D$18:$D$2015,"&gt;="&amp;Y59,$D$18:$D$2015,"&lt;"&amp;Y60))</f>
        <v/>
      </c>
      <c r="AA59" s="14" t="n"/>
      <c r="AB59" s="16" t="n">
        <v>54</v>
      </c>
      <c r="AC59" s="124">
        <f>IF(AB59="","",COUNTIFS($C$18:$C$2015,AB$13,$D$18:$D$2015,"&gt;="&amp;AB59,$D$18:$D$2015,"&lt;"&amp;AB60))</f>
        <v/>
      </c>
      <c r="AD59" s="14" t="n"/>
    </row>
    <row r="60">
      <c r="A60" s="56" t="n"/>
      <c r="B60" s="57" t="n"/>
      <c r="C60" s="59" t="n"/>
      <c r="E60" s="16" t="n"/>
      <c r="F60" s="13" t="n"/>
      <c r="G60" s="16" t="n">
        <v>55</v>
      </c>
      <c r="H60" s="124">
        <f>IF(G60="","",COUNTIFS($C$18:$C$2015,G$13,$D$18:$D$2015,"&gt;="&amp;G60,$D$18:$D$2015,"&lt;"&amp;G61))</f>
        <v/>
      </c>
      <c r="I60" s="14" t="n"/>
      <c r="J60" s="16" t="n"/>
      <c r="K60" s="124">
        <f>IF(J60="","",COUNTIFS($C$18:$C$2015,J$13,$D$18:$D$2015,"&gt;="&amp;J60,$D$18:$D$2015,"&lt;"&amp;J61))</f>
        <v/>
      </c>
      <c r="L60" s="14" t="n"/>
      <c r="M60" s="16" t="n"/>
      <c r="N60" s="124">
        <f>IF(M60="","",COUNTIFS($C$18:$C$2015,M$13,$D$18:$D$2015,"&gt;="&amp;M60,$D$18:$D$2015,"&lt;"&amp;M61))</f>
        <v/>
      </c>
      <c r="O60" s="14" t="n"/>
      <c r="P60" s="16" t="n">
        <v>55</v>
      </c>
      <c r="Q60" s="124">
        <f>IF(P60="","",COUNTIFS($C$18:$C$2015,P$13,$D$18:$D$2015,"&gt;="&amp;P60,$D$18:$D$2015,"&lt;"&amp;P61))</f>
        <v/>
      </c>
      <c r="R60" s="14" t="n"/>
      <c r="S60" s="16" t="n">
        <v>100</v>
      </c>
      <c r="T60" s="124">
        <f>IF(S60="","",COUNTIFS($C$18:$C$2015,S$13,$D$18:$D$2015,"&gt;="&amp;S60,$D$18:$D$2015,"&lt;"&amp;S61))</f>
        <v/>
      </c>
      <c r="U60" s="14" t="n"/>
      <c r="V60" s="16" t="n"/>
      <c r="W60" s="124">
        <f>IF(V60="","",COUNTIFS($C$18:$C$2015,V$13,$D$18:$D$2015,"&gt;="&amp;V60,$D$18:$D$2015,"&lt;"&amp;V61))</f>
        <v/>
      </c>
      <c r="X60" s="14" t="n"/>
      <c r="Y60" s="16" t="n"/>
      <c r="Z60" s="124">
        <f>IF(Y60="","",COUNTIFS($C$18:$C$2015,Y$13,$D$18:$D$2015,"&gt;="&amp;Y60,$D$18:$D$2015,"&lt;"&amp;Y61))</f>
        <v/>
      </c>
      <c r="AA60" s="14" t="n"/>
      <c r="AB60" s="16" t="n">
        <v>55</v>
      </c>
      <c r="AC60" s="124">
        <f>IF(AB60="","",COUNTIFS($C$18:$C$2015,AB$13,$D$18:$D$2015,"&gt;="&amp;AB60,$D$18:$D$2015,"&lt;"&amp;AB61))</f>
        <v/>
      </c>
      <c r="AD60" s="14" t="n"/>
    </row>
    <row r="61">
      <c r="A61" s="58" t="n"/>
      <c r="B61" s="59" t="n"/>
      <c r="C61" s="59" t="n"/>
      <c r="E61" s="16" t="n"/>
      <c r="F61" s="13" t="n"/>
      <c r="G61" s="16" t="n">
        <v>56</v>
      </c>
      <c r="H61" s="124">
        <f>IF(G61="","",COUNTIFS($C$18:$C$2015,G$13,$D$18:$D$2015,"&gt;="&amp;G61,$D$18:$D$2015,"&lt;"&amp;G62))</f>
        <v/>
      </c>
      <c r="I61" s="14" t="n"/>
      <c r="J61" s="16" t="n"/>
      <c r="K61" s="124">
        <f>IF(J61="","",COUNTIFS($C$18:$C$2015,J$13,$D$18:$D$2015,"&gt;="&amp;J61,$D$18:$D$2015,"&lt;"&amp;J62))</f>
        <v/>
      </c>
      <c r="L61" s="14" t="n"/>
      <c r="M61" s="16" t="n"/>
      <c r="N61" s="124">
        <f>IF(M61="","",COUNTIFS($C$18:$C$2015,M$13,$D$18:$D$2015,"&gt;="&amp;M61,$D$18:$D$2015,"&lt;"&amp;M62))</f>
        <v/>
      </c>
      <c r="O61" s="14" t="n"/>
      <c r="P61" s="16" t="n">
        <v>56</v>
      </c>
      <c r="Q61" s="124">
        <f>IF(P61="","",COUNTIFS($C$18:$C$2015,P$13,$D$18:$D$2015,"&gt;="&amp;P61,$D$18:$D$2015,"&lt;"&amp;P62))</f>
        <v/>
      </c>
      <c r="R61" s="14" t="n"/>
      <c r="S61" s="16" t="n"/>
      <c r="T61" s="124">
        <f>IF(S61="","",COUNTIFS($C$18:$C$2015,S$13,$D$18:$D$2015,"&gt;="&amp;S61,$D$18:$D$2015,"&lt;"&amp;S62))</f>
        <v/>
      </c>
      <c r="U61" s="14" t="n"/>
      <c r="V61" s="16" t="n"/>
      <c r="W61" s="124">
        <f>IF(V61="","",COUNTIFS($C$18:$C$2015,V$13,$D$18:$D$2015,"&gt;="&amp;V61,$D$18:$D$2015,"&lt;"&amp;V62))</f>
        <v/>
      </c>
      <c r="X61" s="14" t="n"/>
      <c r="Y61" s="16" t="n"/>
      <c r="Z61" s="124">
        <f>IF(Y61="","",COUNTIFS($C$18:$C$2015,Y$13,$D$18:$D$2015,"&gt;="&amp;Y61,$D$18:$D$2015,"&lt;"&amp;Y62))</f>
        <v/>
      </c>
      <c r="AA61" s="14" t="n"/>
      <c r="AB61" s="16" t="n">
        <v>56</v>
      </c>
      <c r="AC61" s="124">
        <f>IF(AB61="","",COUNTIFS($C$18:$C$2015,AB$13,$D$18:$D$2015,"&gt;="&amp;AB61,$D$18:$D$2015,"&lt;"&amp;AB62))</f>
        <v/>
      </c>
      <c r="AD61" s="14" t="n"/>
    </row>
    <row r="62">
      <c r="A62" s="56" t="n"/>
      <c r="B62" s="57" t="n"/>
      <c r="C62" s="59" t="n"/>
      <c r="E62" s="16" t="n"/>
      <c r="F62" s="13" t="n"/>
      <c r="G62" s="16" t="n">
        <v>57</v>
      </c>
      <c r="H62" s="124">
        <f>IF(G62="","",COUNTIFS($C$18:$C$2015,G$13,$D$18:$D$2015,"&gt;="&amp;G62,$D$18:$D$2015,"&lt;"&amp;G63))</f>
        <v/>
      </c>
      <c r="I62" s="14" t="n"/>
      <c r="J62" s="16" t="n"/>
      <c r="K62" s="124">
        <f>IF(J62="","",COUNTIFS($C$18:$C$2015,J$13,$D$18:$D$2015,"&gt;="&amp;J62,$D$18:$D$2015,"&lt;"&amp;J63))</f>
        <v/>
      </c>
      <c r="L62" s="14" t="n"/>
      <c r="M62" s="16" t="n"/>
      <c r="N62" s="124">
        <f>IF(M62="","",COUNTIFS($C$18:$C$2015,M$13,$D$18:$D$2015,"&gt;="&amp;M62,$D$18:$D$2015,"&lt;"&amp;M63))</f>
        <v/>
      </c>
      <c r="O62" s="14" t="n"/>
      <c r="P62" s="16" t="n">
        <v>57</v>
      </c>
      <c r="Q62" s="124">
        <f>IF(P62="","",COUNTIFS($C$18:$C$2015,P$13,$D$18:$D$2015,"&gt;="&amp;P62,$D$18:$D$2015,"&lt;"&amp;P63))</f>
        <v/>
      </c>
      <c r="R62" s="14" t="n"/>
      <c r="S62" s="16" t="n"/>
      <c r="T62" s="124">
        <f>IF(S62="","",COUNTIFS($C$18:$C$2015,S$13,$D$18:$D$2015,"&gt;="&amp;S62,$D$18:$D$2015,"&lt;"&amp;S63))</f>
        <v/>
      </c>
      <c r="U62" s="14" t="n"/>
      <c r="V62" s="16" t="n"/>
      <c r="W62" s="124">
        <f>IF(V62="","",COUNTIFS($C$18:$C$2015,V$13,$D$18:$D$2015,"&gt;="&amp;V62,$D$18:$D$2015,"&lt;"&amp;V63))</f>
        <v/>
      </c>
      <c r="X62" s="14" t="n"/>
      <c r="Y62" s="16" t="n"/>
      <c r="Z62" s="124">
        <f>IF(Y62="","",COUNTIFS($C$18:$C$2015,Y$13,$D$18:$D$2015,"&gt;="&amp;Y62,$D$18:$D$2015,"&lt;"&amp;Y63))</f>
        <v/>
      </c>
      <c r="AA62" s="14" t="n"/>
      <c r="AB62" s="16" t="n">
        <v>57</v>
      </c>
      <c r="AC62" s="124">
        <f>IF(AB62="","",COUNTIFS($C$18:$C$2015,AB$13,$D$18:$D$2015,"&gt;="&amp;AB62,$D$18:$D$2015,"&lt;"&amp;AB63))</f>
        <v/>
      </c>
      <c r="AD62" s="14" t="n"/>
    </row>
    <row r="63">
      <c r="A63" s="58" t="n"/>
      <c r="B63" s="59" t="n"/>
      <c r="C63" s="59" t="n"/>
      <c r="E63" s="16" t="n"/>
      <c r="F63" s="13" t="n"/>
      <c r="G63" s="16" t="n">
        <v>58</v>
      </c>
      <c r="H63" s="124">
        <f>IF(G63="","",COUNTIFS($C$18:$C$2015,G$13,$D$18:$D$2015,"&gt;="&amp;G63,$D$18:$D$2015,"&lt;"&amp;G64))</f>
        <v/>
      </c>
      <c r="I63" s="14" t="n"/>
      <c r="J63" s="16" t="n"/>
      <c r="K63" s="124">
        <f>IF(J63="","",COUNTIFS($C$18:$C$2015,J$13,$D$18:$D$2015,"&gt;="&amp;J63,$D$18:$D$2015,"&lt;"&amp;J64))</f>
        <v/>
      </c>
      <c r="L63" s="14" t="n"/>
      <c r="M63" s="16" t="n"/>
      <c r="N63" s="124">
        <f>IF(M63="","",COUNTIFS($C$18:$C$2015,M$13,$D$18:$D$2015,"&gt;="&amp;M63,$D$18:$D$2015,"&lt;"&amp;M64))</f>
        <v/>
      </c>
      <c r="O63" s="14" t="n"/>
      <c r="P63" s="16" t="n">
        <v>58</v>
      </c>
      <c r="Q63" s="124">
        <f>IF(P63="","",COUNTIFS($C$18:$C$2015,P$13,$D$18:$D$2015,"&gt;="&amp;P63,$D$18:$D$2015,"&lt;"&amp;P64))</f>
        <v/>
      </c>
      <c r="R63" s="14" t="n"/>
      <c r="S63" s="16" t="n"/>
      <c r="T63" s="124">
        <f>IF(S63="","",COUNTIFS($C$18:$C$2015,S$13,$D$18:$D$2015,"&gt;="&amp;S63,$D$18:$D$2015,"&lt;"&amp;S64))</f>
        <v/>
      </c>
      <c r="U63" s="14" t="n"/>
      <c r="V63" s="16" t="n"/>
      <c r="W63" s="124">
        <f>IF(V63="","",COUNTIFS($C$18:$C$2015,V$13,$D$18:$D$2015,"&gt;="&amp;V63,$D$18:$D$2015,"&lt;"&amp;V64))</f>
        <v/>
      </c>
      <c r="X63" s="14" t="n"/>
      <c r="Y63" s="16" t="n"/>
      <c r="Z63" s="124">
        <f>IF(Y63="","",COUNTIFS($C$18:$C$2015,Y$13,$D$18:$D$2015,"&gt;="&amp;Y63,$D$18:$D$2015,"&lt;"&amp;Y64))</f>
        <v/>
      </c>
      <c r="AA63" s="14" t="n"/>
      <c r="AB63" s="16" t="n">
        <v>58</v>
      </c>
      <c r="AC63" s="124">
        <f>IF(AB63="","",COUNTIFS($C$18:$C$2015,AB$13,$D$18:$D$2015,"&gt;="&amp;AB63,$D$18:$D$2015,"&lt;"&amp;AB64))</f>
        <v/>
      </c>
      <c r="AD63" s="14" t="n"/>
    </row>
    <row r="64">
      <c r="A64" s="56" t="n"/>
      <c r="B64" s="57" t="n"/>
      <c r="C64" s="59" t="n"/>
      <c r="E64" s="16" t="n"/>
      <c r="F64" s="13" t="n"/>
      <c r="G64" s="16" t="n">
        <v>59</v>
      </c>
      <c r="H64" s="124">
        <f>IF(G64="","",COUNTIFS($C$18:$C$2015,G$13,$D$18:$D$2015,"&gt;="&amp;G64,$D$18:$D$2015,"&lt;"&amp;G65))</f>
        <v/>
      </c>
      <c r="I64" s="14" t="n"/>
      <c r="J64" s="16" t="n"/>
      <c r="K64" s="124">
        <f>IF(J64="","",COUNTIFS($C$18:$C$2015,J$13,$D$18:$D$2015,"&gt;="&amp;J64,$D$18:$D$2015,"&lt;"&amp;J65))</f>
        <v/>
      </c>
      <c r="L64" s="14" t="n"/>
      <c r="M64" s="16" t="n"/>
      <c r="N64" s="124">
        <f>IF(M64="","",COUNTIFS($C$18:$C$2015,M$13,$D$18:$D$2015,"&gt;="&amp;M64,$D$18:$D$2015,"&lt;"&amp;M65))</f>
        <v/>
      </c>
      <c r="O64" s="14" t="n"/>
      <c r="P64" s="16" t="n">
        <v>59</v>
      </c>
      <c r="Q64" s="124">
        <f>IF(P64="","",COUNTIFS($C$18:$C$2015,P$13,$D$18:$D$2015,"&gt;="&amp;P64,$D$18:$D$2015,"&lt;"&amp;P65))</f>
        <v/>
      </c>
      <c r="R64" s="14" t="n"/>
      <c r="S64" s="16" t="n"/>
      <c r="T64" s="124">
        <f>IF(S64="","",COUNTIFS($C$18:$C$2015,S$13,$D$18:$D$2015,"&gt;="&amp;S64,$D$18:$D$2015,"&lt;"&amp;S65))</f>
        <v/>
      </c>
      <c r="U64" s="14" t="n"/>
      <c r="V64" s="16" t="n"/>
      <c r="W64" s="124">
        <f>IF(V64="","",COUNTIFS($C$18:$C$2015,V$13,$D$18:$D$2015,"&gt;="&amp;V64,$D$18:$D$2015,"&lt;"&amp;V65))</f>
        <v/>
      </c>
      <c r="X64" s="14" t="n"/>
      <c r="Y64" s="16" t="n"/>
      <c r="Z64" s="124">
        <f>IF(Y64="","",COUNTIFS($C$18:$C$2015,Y$13,$D$18:$D$2015,"&gt;="&amp;Y64,$D$18:$D$2015,"&lt;"&amp;Y65))</f>
        <v/>
      </c>
      <c r="AA64" s="14" t="n"/>
      <c r="AB64" s="16" t="n">
        <v>59</v>
      </c>
      <c r="AC64" s="124">
        <f>IF(AB64="","",COUNTIFS($C$18:$C$2015,AB$13,$D$18:$D$2015,"&gt;="&amp;AB64,$D$18:$D$2015,"&lt;"&amp;AB65))</f>
        <v/>
      </c>
      <c r="AD64" s="14" t="n"/>
    </row>
    <row r="65">
      <c r="A65" s="58" t="n"/>
      <c r="B65" s="59" t="n"/>
      <c r="C65" s="59" t="n"/>
      <c r="E65" s="16" t="n"/>
      <c r="F65" s="13" t="n"/>
      <c r="G65" s="16" t="n">
        <v>60</v>
      </c>
      <c r="H65" s="124">
        <f>IF(G65="","",COUNTIFS($C$18:$C$2015,G$13,$D$18:$D$2015,"&gt;="&amp;G65,$D$18:$D$2015,"&lt;"&amp;G66))</f>
        <v/>
      </c>
      <c r="I65" s="14" t="n"/>
      <c r="J65" s="16" t="n"/>
      <c r="K65" s="124">
        <f>IF(J65="","",COUNTIFS($C$18:$C$2015,J$13,$D$18:$D$2015,"&gt;="&amp;J65,$D$18:$D$2015,"&lt;"&amp;J66))</f>
        <v/>
      </c>
      <c r="L65" s="14" t="n"/>
      <c r="M65" s="16" t="n"/>
      <c r="N65" s="124">
        <f>IF(M65="","",COUNTIFS($C$18:$C$2015,M$13,$D$18:$D$2015,"&gt;="&amp;M65,$D$18:$D$2015,"&lt;"&amp;M66))</f>
        <v/>
      </c>
      <c r="O65" s="14" t="n"/>
      <c r="P65" s="16" t="n">
        <v>60</v>
      </c>
      <c r="Q65" s="124">
        <f>IF(P65="","",COUNTIFS($C$18:$C$2015,P$13,$D$18:$D$2015,"&gt;="&amp;P65,$D$18:$D$2015,"&lt;"&amp;P66))</f>
        <v/>
      </c>
      <c r="R65" s="14" t="n"/>
      <c r="S65" s="16" t="n"/>
      <c r="T65" s="124">
        <f>IF(S65="","",COUNTIFS($C$18:$C$2015,S$13,$D$18:$D$2015,"&gt;="&amp;S65,$D$18:$D$2015,"&lt;"&amp;S66))</f>
        <v/>
      </c>
      <c r="U65" s="14" t="n"/>
      <c r="V65" s="16" t="n"/>
      <c r="W65" s="124">
        <f>IF(V65="","",COUNTIFS($C$18:$C$2015,V$13,$D$18:$D$2015,"&gt;="&amp;V65,$D$18:$D$2015,"&lt;"&amp;V66))</f>
        <v/>
      </c>
      <c r="X65" s="14" t="n"/>
      <c r="Y65" s="16" t="n"/>
      <c r="Z65" s="124">
        <f>IF(Y65="","",COUNTIFS($C$18:$C$2015,Y$13,$D$18:$D$2015,"&gt;="&amp;Y65,$D$18:$D$2015,"&lt;"&amp;Y66))</f>
        <v/>
      </c>
      <c r="AA65" s="14" t="n"/>
      <c r="AB65" s="16" t="n">
        <v>60</v>
      </c>
      <c r="AC65" s="124">
        <f>IF(AB65="","",COUNTIFS($C$18:$C$2015,AB$13,$D$18:$D$2015,"&gt;="&amp;AB65,$D$18:$D$2015,"&lt;"&amp;AB66))</f>
        <v/>
      </c>
      <c r="AD65" s="14" t="n"/>
    </row>
    <row r="66">
      <c r="A66" s="56" t="n"/>
      <c r="B66" s="57" t="n"/>
      <c r="C66" s="59" t="n"/>
      <c r="E66" s="16" t="n"/>
      <c r="F66" s="13" t="n"/>
      <c r="G66" s="16" t="n">
        <v>61</v>
      </c>
      <c r="H66" s="124">
        <f>IF(G66="","",COUNTIFS($C$18:$C$2015,G$13,$D$18:$D$2015,"&gt;="&amp;G66,$D$18:$D$2015,"&lt;"&amp;G67))</f>
        <v/>
      </c>
      <c r="I66" s="14" t="n"/>
      <c r="J66" s="16" t="n"/>
      <c r="K66" s="124">
        <f>IF(J66="","",COUNTIFS($C$18:$C$2015,J$13,$D$18:$D$2015,"&gt;="&amp;J66,$D$18:$D$2015,"&lt;"&amp;J67))</f>
        <v/>
      </c>
      <c r="L66" s="14" t="n"/>
      <c r="M66" s="16" t="n"/>
      <c r="N66" s="124">
        <f>IF(M66="","",COUNTIFS($C$18:$C$2015,M$13,$D$18:$D$2015,"&gt;="&amp;M66,$D$18:$D$2015,"&lt;"&amp;M67))</f>
        <v/>
      </c>
      <c r="O66" s="14" t="n"/>
      <c r="P66" s="16" t="n">
        <v>61</v>
      </c>
      <c r="Q66" s="124">
        <f>IF(P66="","",COUNTIFS($C$18:$C$2015,P$13,$D$18:$D$2015,"&gt;="&amp;P66,$D$18:$D$2015,"&lt;"&amp;P67))</f>
        <v/>
      </c>
      <c r="R66" s="14" t="n"/>
      <c r="S66" s="16" t="n"/>
      <c r="T66" s="124">
        <f>IF(S66="","",COUNTIFS($C$18:$C$2015,S$13,$D$18:$D$2015,"&gt;="&amp;S66,$D$18:$D$2015,"&lt;"&amp;S67))</f>
        <v/>
      </c>
      <c r="U66" s="14" t="n"/>
      <c r="V66" s="16" t="n"/>
      <c r="W66" s="124">
        <f>IF(V66="","",COUNTIFS($C$18:$C$2015,V$13,$D$18:$D$2015,"&gt;="&amp;V66,$D$18:$D$2015,"&lt;"&amp;V67))</f>
        <v/>
      </c>
      <c r="X66" s="14" t="n"/>
      <c r="Y66" s="16" t="n"/>
      <c r="Z66" s="124">
        <f>IF(Y66="","",COUNTIFS($C$18:$C$2015,Y$13,$D$18:$D$2015,"&gt;="&amp;Y66,$D$18:$D$2015,"&lt;"&amp;Y67))</f>
        <v/>
      </c>
      <c r="AA66" s="14" t="n"/>
      <c r="AB66" s="16" t="n">
        <v>61</v>
      </c>
      <c r="AC66" s="124">
        <f>IF(AB66="","",COUNTIFS($C$18:$C$2015,AB$13,$D$18:$D$2015,"&gt;="&amp;AB66,$D$18:$D$2015,"&lt;"&amp;AB67))</f>
        <v/>
      </c>
      <c r="AD66" s="14" t="n"/>
    </row>
    <row r="67">
      <c r="A67" s="58" t="n"/>
      <c r="B67" s="59" t="n"/>
      <c r="C67" s="59" t="n"/>
      <c r="E67" s="16" t="n"/>
      <c r="F67" s="13" t="n"/>
      <c r="G67" s="16" t="n">
        <v>62</v>
      </c>
      <c r="H67" s="124">
        <f>IF(G67="","",COUNTIFS($C$18:$C$2015,G$13,$D$18:$D$2015,"&gt;="&amp;G67,$D$18:$D$2015,"&lt;"&amp;G68))</f>
        <v/>
      </c>
      <c r="I67" s="14" t="n"/>
      <c r="J67" s="16" t="n"/>
      <c r="K67" s="124">
        <f>IF(J67="","",COUNTIFS($C$18:$C$2015,J$13,$D$18:$D$2015,"&gt;="&amp;J67,$D$18:$D$2015,"&lt;"&amp;J68))</f>
        <v/>
      </c>
      <c r="L67" s="14" t="n"/>
      <c r="M67" s="16" t="n"/>
      <c r="N67" s="124">
        <f>IF(M67="","",COUNTIFS($C$18:$C$2015,M$13,$D$18:$D$2015,"&gt;="&amp;M67,$D$18:$D$2015,"&lt;"&amp;M68))</f>
        <v/>
      </c>
      <c r="O67" s="14" t="n"/>
      <c r="P67" s="16" t="n">
        <v>62</v>
      </c>
      <c r="Q67" s="124">
        <f>IF(P67="","",COUNTIFS($C$18:$C$2015,P$13,$D$18:$D$2015,"&gt;="&amp;P67,$D$18:$D$2015,"&lt;"&amp;P68))</f>
        <v/>
      </c>
      <c r="R67" s="14" t="n"/>
      <c r="S67" s="16" t="n"/>
      <c r="T67" s="124">
        <f>IF(S67="","",COUNTIFS($C$18:$C$2015,S$13,$D$18:$D$2015,"&gt;="&amp;S67,$D$18:$D$2015,"&lt;"&amp;S68))</f>
        <v/>
      </c>
      <c r="U67" s="14" t="n"/>
      <c r="V67" s="16" t="n"/>
      <c r="W67" s="124">
        <f>IF(V67="","",COUNTIFS($C$18:$C$2015,V$13,$D$18:$D$2015,"&gt;="&amp;V67,$D$18:$D$2015,"&lt;"&amp;V68))</f>
        <v/>
      </c>
      <c r="X67" s="14" t="n"/>
      <c r="Y67" s="16" t="n"/>
      <c r="Z67" s="124">
        <f>IF(Y67="","",COUNTIFS($C$18:$C$2015,Y$13,$D$18:$D$2015,"&gt;="&amp;Y67,$D$18:$D$2015,"&lt;"&amp;Y68))</f>
        <v/>
      </c>
      <c r="AA67" s="14" t="n"/>
      <c r="AB67" s="16" t="n">
        <v>62</v>
      </c>
      <c r="AC67" s="124">
        <f>IF(AB67="","",COUNTIFS($C$18:$C$2015,AB$13,$D$18:$D$2015,"&gt;="&amp;AB67,$D$18:$D$2015,"&lt;"&amp;AB68))</f>
        <v/>
      </c>
      <c r="AD67" s="14" t="n"/>
    </row>
    <row r="68">
      <c r="A68" s="56" t="n"/>
      <c r="B68" s="57" t="n"/>
      <c r="C68" s="59" t="n"/>
      <c r="E68" s="16" t="n"/>
      <c r="F68" s="13" t="n"/>
      <c r="G68" s="16" t="n">
        <v>63</v>
      </c>
      <c r="H68" s="124">
        <f>IF(G68="","",COUNTIFS($C$18:$C$2015,G$13,$D$18:$D$2015,"&gt;="&amp;G68,$D$18:$D$2015,"&lt;"&amp;G69))</f>
        <v/>
      </c>
      <c r="I68" s="14" t="n"/>
      <c r="J68" s="16" t="n"/>
      <c r="K68" s="124">
        <f>IF(J68="","",COUNTIFS($C$18:$C$2015,J$13,$D$18:$D$2015,"&gt;="&amp;J68,$D$18:$D$2015,"&lt;"&amp;J69))</f>
        <v/>
      </c>
      <c r="L68" s="14" t="n"/>
      <c r="M68" s="16" t="n"/>
      <c r="N68" s="124">
        <f>IF(M68="","",COUNTIFS($C$18:$C$2015,M$13,$D$18:$D$2015,"&gt;="&amp;M68,$D$18:$D$2015,"&lt;"&amp;M69))</f>
        <v/>
      </c>
      <c r="O68" s="14" t="n"/>
      <c r="P68" s="16" t="n">
        <v>63</v>
      </c>
      <c r="Q68" s="124">
        <f>IF(P68="","",COUNTIFS($C$18:$C$2015,P$13,$D$18:$D$2015,"&gt;="&amp;P68,$D$18:$D$2015,"&lt;"&amp;P69))</f>
        <v/>
      </c>
      <c r="R68" s="14" t="n"/>
      <c r="S68" s="16" t="n"/>
      <c r="T68" s="124">
        <f>IF(S68="","",COUNTIFS($C$18:$C$2015,S$13,$D$18:$D$2015,"&gt;="&amp;S68,$D$18:$D$2015,"&lt;"&amp;S69))</f>
        <v/>
      </c>
      <c r="U68" s="14" t="n"/>
      <c r="V68" s="16" t="n"/>
      <c r="W68" s="124">
        <f>IF(V68="","",COUNTIFS($C$18:$C$2015,V$13,$D$18:$D$2015,"&gt;="&amp;V68,$D$18:$D$2015,"&lt;"&amp;V69))</f>
        <v/>
      </c>
      <c r="X68" s="14" t="n"/>
      <c r="Y68" s="16" t="n"/>
      <c r="Z68" s="124">
        <f>IF(Y68="","",COUNTIFS($C$18:$C$2015,Y$13,$D$18:$D$2015,"&gt;="&amp;Y68,$D$18:$D$2015,"&lt;"&amp;Y69))</f>
        <v/>
      </c>
      <c r="AA68" s="14" t="n"/>
      <c r="AB68" s="16" t="n"/>
      <c r="AC68" s="124">
        <f>IF(AB68="","",COUNTIFS($C$18:$C$2015,AB$13,$D$18:$D$2015,"&gt;="&amp;AB68,$D$18:$D$2015,"&lt;"&amp;AB69))</f>
        <v/>
      </c>
      <c r="AD68" s="14" t="n"/>
    </row>
    <row r="69">
      <c r="A69" s="58" t="n"/>
      <c r="B69" s="59" t="n"/>
      <c r="C69" s="59" t="n"/>
      <c r="E69" s="16" t="n"/>
      <c r="F69" s="13" t="n"/>
      <c r="G69" s="16" t="n">
        <v>64</v>
      </c>
      <c r="H69" s="124">
        <f>IF(G69="","",COUNTIFS($C$18:$C$2015,G$13,$D$18:$D$2015,"&gt;="&amp;G69,$D$18:$D$2015,"&lt;"&amp;G70))</f>
        <v/>
      </c>
      <c r="I69" s="14" t="n"/>
      <c r="J69" s="16" t="n"/>
      <c r="K69" s="124">
        <f>IF(J69="","",COUNTIFS($C$18:$C$2015,J$13,$D$18:$D$2015,"&gt;="&amp;J69,$D$18:$D$2015,"&lt;"&amp;J70))</f>
        <v/>
      </c>
      <c r="L69" s="14" t="n"/>
      <c r="M69" s="16" t="n"/>
      <c r="N69" s="124">
        <f>IF(M69="","",COUNTIFS($C$18:$C$2015,M$13,$D$18:$D$2015,"&gt;="&amp;M69,$D$18:$D$2015,"&lt;"&amp;M70))</f>
        <v/>
      </c>
      <c r="O69" s="14" t="n"/>
      <c r="P69" s="16" t="n">
        <v>64</v>
      </c>
      <c r="Q69" s="124">
        <f>IF(P69="","",COUNTIFS($C$18:$C$2015,P$13,$D$18:$D$2015,"&gt;="&amp;P69,$D$18:$D$2015,"&lt;"&amp;P70))</f>
        <v/>
      </c>
      <c r="R69" s="14" t="n"/>
      <c r="S69" s="16" t="n"/>
      <c r="T69" s="124">
        <f>IF(S69="","",COUNTIFS($C$18:$C$2015,S$13,$D$18:$D$2015,"&gt;="&amp;S69,$D$18:$D$2015,"&lt;"&amp;S70))</f>
        <v/>
      </c>
      <c r="U69" s="14" t="n"/>
      <c r="V69" s="16" t="n"/>
      <c r="W69" s="124">
        <f>IF(V69="","",COUNTIFS($C$18:$C$2015,V$13,$D$18:$D$2015,"&gt;="&amp;V69,$D$18:$D$2015,"&lt;"&amp;V70))</f>
        <v/>
      </c>
      <c r="X69" s="14" t="n"/>
      <c r="Y69" s="16" t="n"/>
      <c r="Z69" s="124">
        <f>IF(Y69="","",COUNTIFS($C$18:$C$2015,Y$13,$D$18:$D$2015,"&gt;="&amp;Y69,$D$18:$D$2015,"&lt;"&amp;Y70))</f>
        <v/>
      </c>
      <c r="AA69" s="14" t="n"/>
      <c r="AB69" s="16" t="n"/>
      <c r="AC69" s="124">
        <f>IF(AB69="","",COUNTIFS($C$18:$C$2015,AB$13,$D$18:$D$2015,"&gt;="&amp;AB69,$D$18:$D$2015,"&lt;"&amp;AB70))</f>
        <v/>
      </c>
      <c r="AD69" s="14" t="n"/>
    </row>
    <row r="70">
      <c r="A70" s="56" t="n"/>
      <c r="B70" s="57" t="n"/>
      <c r="C70" s="59" t="n"/>
      <c r="E70" s="16" t="n"/>
      <c r="F70" s="13" t="n"/>
      <c r="G70" s="16" t="n">
        <v>65</v>
      </c>
      <c r="H70" s="124">
        <f>IF(G70="","",COUNTIFS($C$18:$C$2015,G$13,$D$18:$D$2015,"&gt;="&amp;G70,$D$18:$D$2015,"&lt;"&amp;G71))</f>
        <v/>
      </c>
      <c r="I70" s="14" t="n"/>
      <c r="J70" s="16" t="n"/>
      <c r="K70" s="124">
        <f>IF(J70="","",COUNTIFS($C$18:$C$2015,J$13,$D$18:$D$2015,"&gt;="&amp;J70,$D$18:$D$2015,"&lt;"&amp;J71))</f>
        <v/>
      </c>
      <c r="L70" s="14" t="n"/>
      <c r="M70" s="16" t="n"/>
      <c r="N70" s="124">
        <f>IF(M70="","",COUNTIFS($C$18:$C$2015,M$13,$D$18:$D$2015,"&gt;="&amp;M70,$D$18:$D$2015,"&lt;"&amp;M71))</f>
        <v/>
      </c>
      <c r="O70" s="14" t="n"/>
      <c r="P70" s="16" t="n">
        <v>65</v>
      </c>
      <c r="Q70" s="124">
        <f>IF(P70="","",COUNTIFS($C$18:$C$2015,P$13,$D$18:$D$2015,"&gt;="&amp;P70,$D$18:$D$2015,"&lt;"&amp;P71))</f>
        <v/>
      </c>
      <c r="R70" s="14" t="n"/>
      <c r="S70" s="16" t="n"/>
      <c r="T70" s="124">
        <f>IF(S70="","",COUNTIFS($C$18:$C$2015,S$13,$D$18:$D$2015,"&gt;="&amp;S70,$D$18:$D$2015,"&lt;"&amp;S71))</f>
        <v/>
      </c>
      <c r="U70" s="14" t="n"/>
      <c r="V70" s="16" t="n"/>
      <c r="W70" s="124">
        <f>IF(V70="","",COUNTIFS($C$18:$C$2015,V$13,$D$18:$D$2015,"&gt;="&amp;V70,$D$18:$D$2015,"&lt;"&amp;V71))</f>
        <v/>
      </c>
      <c r="X70" s="14" t="n"/>
      <c r="Y70" s="16" t="n"/>
      <c r="Z70" s="124">
        <f>IF(Y70="","",COUNTIFS($C$18:$C$2015,Y$13,$D$18:$D$2015,"&gt;="&amp;Y70,$D$18:$D$2015,"&lt;"&amp;Y71))</f>
        <v/>
      </c>
      <c r="AA70" s="14" t="n"/>
      <c r="AB70" s="16" t="n"/>
      <c r="AC70" s="124">
        <f>IF(AB70="","",COUNTIFS($C$18:$C$2015,AB$13,$D$18:$D$2015,"&gt;="&amp;AB70,$D$18:$D$2015,"&lt;"&amp;AB71))</f>
        <v/>
      </c>
      <c r="AD70" s="14" t="n"/>
    </row>
    <row r="71">
      <c r="A71" s="58" t="n"/>
      <c r="B71" s="59" t="n"/>
      <c r="C71" s="59" t="n"/>
      <c r="E71" s="16" t="n"/>
      <c r="F71" s="13" t="n"/>
      <c r="G71" s="16" t="n">
        <v>66</v>
      </c>
      <c r="H71" s="124">
        <f>IF(G71="","",COUNTIFS($C$18:$C$2015,G$13,$D$18:$D$2015,"&gt;="&amp;G71,$D$18:$D$2015,"&lt;"&amp;G72))</f>
        <v/>
      </c>
      <c r="I71" s="14" t="n"/>
      <c r="J71" s="16" t="n"/>
      <c r="K71" s="124">
        <f>IF(J71="","",COUNTIFS($C$18:$C$2015,J$13,$D$18:$D$2015,"&gt;="&amp;J71,$D$18:$D$2015,"&lt;"&amp;J72))</f>
        <v/>
      </c>
      <c r="L71" s="14" t="n"/>
      <c r="M71" s="16" t="n"/>
      <c r="N71" s="124">
        <f>IF(M71="","",COUNTIFS($C$18:$C$2015,M$13,$D$18:$D$2015,"&gt;="&amp;M71,$D$18:$D$2015,"&lt;"&amp;M72))</f>
        <v/>
      </c>
      <c r="O71" s="14" t="n"/>
      <c r="P71" s="16" t="n">
        <v>66</v>
      </c>
      <c r="Q71" s="124">
        <f>IF(P71="","",COUNTIFS($C$18:$C$2015,P$13,$D$18:$D$2015,"&gt;="&amp;P71,$D$18:$D$2015,"&lt;"&amp;P72))</f>
        <v/>
      </c>
      <c r="R71" s="14" t="n"/>
      <c r="S71" s="16" t="n"/>
      <c r="T71" s="124">
        <f>IF(S71="","",COUNTIFS($C$18:$C$2015,S$13,$D$18:$D$2015,"&gt;="&amp;S71,$D$18:$D$2015,"&lt;"&amp;S72))</f>
        <v/>
      </c>
      <c r="U71" s="14" t="n"/>
      <c r="V71" s="16" t="n"/>
      <c r="W71" s="124">
        <f>IF(V71="","",COUNTIFS($C$18:$C$2015,V$13,$D$18:$D$2015,"&gt;="&amp;V71,$D$18:$D$2015,"&lt;"&amp;V72))</f>
        <v/>
      </c>
      <c r="X71" s="14" t="n"/>
      <c r="Y71" s="16" t="n"/>
      <c r="Z71" s="124">
        <f>IF(Y71="","",COUNTIFS($C$18:$C$2015,Y$13,$D$18:$D$2015,"&gt;="&amp;Y71,$D$18:$D$2015,"&lt;"&amp;Y72))</f>
        <v/>
      </c>
      <c r="AA71" s="14" t="n"/>
      <c r="AB71" s="16" t="n"/>
      <c r="AC71" s="124">
        <f>IF(AB71="","",COUNTIFS($C$18:$C$2015,AB$13,$D$18:$D$2015,"&gt;="&amp;AB71,$D$18:$D$2015,"&lt;"&amp;AB72))</f>
        <v/>
      </c>
      <c r="AD71" s="14" t="n"/>
    </row>
    <row r="72">
      <c r="A72" s="56" t="n"/>
      <c r="B72" s="57" t="n"/>
      <c r="C72" s="59" t="n"/>
      <c r="E72" s="16" t="n"/>
      <c r="F72" s="13" t="n"/>
      <c r="G72" s="16" t="n">
        <v>67</v>
      </c>
      <c r="H72" s="124">
        <f>IF(G72="","",COUNTIFS($C$18:$C$2015,G$13,$D$18:$D$2015,"&gt;="&amp;G72,$D$18:$D$2015,"&lt;"&amp;G73))</f>
        <v/>
      </c>
      <c r="I72" s="14" t="n"/>
      <c r="J72" s="16" t="n"/>
      <c r="K72" s="124">
        <f>IF(J72="","",COUNTIFS($C$18:$C$2015,J$13,$D$18:$D$2015,"&gt;="&amp;J72,$D$18:$D$2015,"&lt;"&amp;J73))</f>
        <v/>
      </c>
      <c r="L72" s="14" t="n"/>
      <c r="M72" s="16" t="n"/>
      <c r="N72" s="124">
        <f>IF(M72="","",COUNTIFS($C$18:$C$2015,M$13,$D$18:$D$2015,"&gt;="&amp;M72,$D$18:$D$2015,"&lt;"&amp;M73))</f>
        <v/>
      </c>
      <c r="O72" s="14" t="n"/>
      <c r="P72" s="16" t="n">
        <v>67</v>
      </c>
      <c r="Q72" s="124">
        <f>IF(P72="","",COUNTIFS($C$18:$C$2015,P$13,$D$18:$D$2015,"&gt;="&amp;P72,$D$18:$D$2015,"&lt;"&amp;P73))</f>
        <v/>
      </c>
      <c r="R72" s="14" t="n"/>
      <c r="S72" s="16" t="n"/>
      <c r="T72" s="124">
        <f>IF(S72="","",COUNTIFS($C$18:$C$2015,S$13,$D$18:$D$2015,"&gt;="&amp;S72,$D$18:$D$2015,"&lt;"&amp;S73))</f>
        <v/>
      </c>
      <c r="U72" s="14" t="n"/>
      <c r="V72" s="16" t="n"/>
      <c r="W72" s="124">
        <f>IF(V72="","",COUNTIFS($C$18:$C$2015,V$13,$D$18:$D$2015,"&gt;="&amp;V72,$D$18:$D$2015,"&lt;"&amp;V73))</f>
        <v/>
      </c>
      <c r="X72" s="14" t="n"/>
      <c r="Y72" s="16" t="n"/>
      <c r="Z72" s="124">
        <f>IF(Y72="","",COUNTIFS($C$18:$C$2015,Y$13,$D$18:$D$2015,"&gt;="&amp;Y72,$D$18:$D$2015,"&lt;"&amp;Y73))</f>
        <v/>
      </c>
      <c r="AA72" s="14" t="n"/>
      <c r="AB72" s="16" t="n"/>
      <c r="AC72" s="124">
        <f>IF(AB72="","",COUNTIFS($C$18:$C$2015,AB$13,$D$18:$D$2015,"&gt;="&amp;AB72,$D$18:$D$2015,"&lt;"&amp;AB73))</f>
        <v/>
      </c>
      <c r="AD72" s="14" t="n"/>
    </row>
    <row r="73">
      <c r="A73" s="58" t="n"/>
      <c r="B73" s="59" t="n"/>
      <c r="C73" s="59" t="n"/>
      <c r="E73" s="16" t="n"/>
      <c r="F73" s="13" t="n"/>
      <c r="G73" s="16" t="n">
        <v>68</v>
      </c>
      <c r="H73" s="124">
        <f>IF(G73="","",COUNTIFS($C$18:$C$2015,G$13,$D$18:$D$2015,"&gt;="&amp;G73,$D$18:$D$2015,"&lt;"&amp;G74))</f>
        <v/>
      </c>
      <c r="I73" s="14" t="n"/>
      <c r="J73" s="16" t="n"/>
      <c r="K73" s="124">
        <f>IF(J73="","",COUNTIFS($C$18:$C$2015,J$13,$D$18:$D$2015,"&gt;="&amp;J73,$D$18:$D$2015,"&lt;"&amp;J74))</f>
        <v/>
      </c>
      <c r="L73" s="14" t="n"/>
      <c r="M73" s="16" t="n"/>
      <c r="N73" s="124">
        <f>IF(M73="","",COUNTIFS($C$18:$C$2015,M$13,$D$18:$D$2015,"&gt;="&amp;M73,$D$18:$D$2015,"&lt;"&amp;M74))</f>
        <v/>
      </c>
      <c r="O73" s="14" t="n"/>
      <c r="P73" s="16" t="n">
        <v>68</v>
      </c>
      <c r="Q73" s="124">
        <f>IF(P73="","",COUNTIFS($C$18:$C$2015,P$13,$D$18:$D$2015,"&gt;="&amp;P73,$D$18:$D$2015,"&lt;"&amp;P74))</f>
        <v/>
      </c>
      <c r="R73" s="14" t="n"/>
      <c r="S73" s="16" t="n"/>
      <c r="T73" s="124">
        <f>IF(S73="","",COUNTIFS($C$18:$C$2015,S$13,$D$18:$D$2015,"&gt;="&amp;S73,$D$18:$D$2015,"&lt;"&amp;S74))</f>
        <v/>
      </c>
      <c r="U73" s="14" t="n"/>
      <c r="V73" s="16" t="n"/>
      <c r="W73" s="124">
        <f>IF(V73="","",COUNTIFS($C$18:$C$2015,V$13,$D$18:$D$2015,"&gt;="&amp;V73,$D$18:$D$2015,"&lt;"&amp;V74))</f>
        <v/>
      </c>
      <c r="X73" s="14" t="n"/>
      <c r="Y73" s="16" t="n"/>
      <c r="Z73" s="124">
        <f>IF(Y73="","",COUNTIFS($C$18:$C$2015,Y$13,$D$18:$D$2015,"&gt;="&amp;Y73,$D$18:$D$2015,"&lt;"&amp;Y74))</f>
        <v/>
      </c>
      <c r="AA73" s="14" t="n"/>
      <c r="AB73" s="16" t="n"/>
      <c r="AC73" s="124">
        <f>IF(AB73="","",COUNTIFS($C$18:$C$2015,AB$13,$D$18:$D$2015,"&gt;="&amp;AB73,$D$18:$D$2015,"&lt;"&amp;AB74))</f>
        <v/>
      </c>
      <c r="AD73" s="14" t="n"/>
    </row>
    <row r="74">
      <c r="A74" s="56" t="n"/>
      <c r="B74" s="57" t="n"/>
      <c r="C74" s="59" t="n"/>
      <c r="E74" s="16" t="n"/>
      <c r="F74" s="13" t="n"/>
      <c r="G74" s="16" t="n">
        <v>69</v>
      </c>
      <c r="H74" s="124">
        <f>IF(G74="","",COUNTIFS($C$18:$C$2015,G$13,$D$18:$D$2015,"&gt;="&amp;G74,$D$18:$D$2015,"&lt;"&amp;G75))</f>
        <v/>
      </c>
      <c r="I74" s="14" t="n"/>
      <c r="J74" s="16" t="n"/>
      <c r="K74" s="124">
        <f>IF(J74="","",COUNTIFS($C$18:$C$2015,J$13,$D$18:$D$2015,"&gt;="&amp;J74,$D$18:$D$2015,"&lt;"&amp;J75))</f>
        <v/>
      </c>
      <c r="L74" s="14" t="n"/>
      <c r="M74" s="16" t="n"/>
      <c r="N74" s="124">
        <f>IF(M74="","",COUNTIFS($C$18:$C$2015,M$13,$D$18:$D$2015,"&gt;="&amp;M74,$D$18:$D$2015,"&lt;"&amp;M75))</f>
        <v/>
      </c>
      <c r="O74" s="14" t="n"/>
      <c r="P74" s="16" t="n">
        <v>69</v>
      </c>
      <c r="Q74" s="124">
        <f>IF(P74="","",COUNTIFS($C$18:$C$2015,P$13,$D$18:$D$2015,"&gt;="&amp;P74,$D$18:$D$2015,"&lt;"&amp;P75))</f>
        <v/>
      </c>
      <c r="R74" s="14" t="n"/>
      <c r="S74" s="16" t="n"/>
      <c r="T74" s="124">
        <f>IF(S74="","",COUNTIFS($C$18:$C$2015,S$13,$D$18:$D$2015,"&gt;="&amp;S74,$D$18:$D$2015,"&lt;"&amp;S75))</f>
        <v/>
      </c>
      <c r="U74" s="14" t="n"/>
      <c r="V74" s="16" t="n"/>
      <c r="W74" s="124">
        <f>IF(V74="","",COUNTIFS($C$18:$C$2015,V$13,$D$18:$D$2015,"&gt;="&amp;V74,$D$18:$D$2015,"&lt;"&amp;V75))</f>
        <v/>
      </c>
      <c r="X74" s="14" t="n"/>
      <c r="Y74" s="16" t="n"/>
      <c r="Z74" s="124">
        <f>IF(Y74="","",COUNTIFS($C$18:$C$2015,Y$13,$D$18:$D$2015,"&gt;="&amp;Y74,$D$18:$D$2015,"&lt;"&amp;Y75))</f>
        <v/>
      </c>
      <c r="AA74" s="14" t="n"/>
      <c r="AB74" s="16" t="n"/>
      <c r="AC74" s="124">
        <f>IF(AB74="","",COUNTIFS($C$18:$C$2015,AB$13,$D$18:$D$2015,"&gt;="&amp;AB74,$D$18:$D$2015,"&lt;"&amp;AB75))</f>
        <v/>
      </c>
      <c r="AD74" s="14" t="n"/>
    </row>
    <row r="75">
      <c r="A75" s="58" t="n"/>
      <c r="B75" s="59" t="n"/>
      <c r="C75" s="59" t="n"/>
      <c r="E75" s="16" t="n"/>
      <c r="F75" s="13" t="n"/>
      <c r="G75" s="16" t="n">
        <v>70</v>
      </c>
      <c r="H75" s="124">
        <f>IF(G75="","",COUNTIFS($C$18:$C$2015,G$13,$D$18:$D$2015,"&gt;="&amp;G75,$D$18:$D$2015,"&lt;"&amp;G76))</f>
        <v/>
      </c>
      <c r="I75" s="14" t="n"/>
      <c r="J75" s="16" t="n"/>
      <c r="K75" s="124">
        <f>IF(J75="","",COUNTIFS($C$18:$C$2015,J$13,$D$18:$D$2015,"&gt;="&amp;J75,$D$18:$D$2015,"&lt;"&amp;J76))</f>
        <v/>
      </c>
      <c r="L75" s="14" t="n"/>
      <c r="M75" s="16" t="n"/>
      <c r="N75" s="124">
        <f>IF(M75="","",COUNTIFS($C$18:$C$2015,M$13,$D$18:$D$2015,"&gt;="&amp;M75,$D$18:$D$2015,"&lt;"&amp;M76))</f>
        <v/>
      </c>
      <c r="O75" s="14" t="n"/>
      <c r="P75" s="16" t="n">
        <v>70</v>
      </c>
      <c r="Q75" s="124">
        <f>IF(P75="","",COUNTIFS($C$18:$C$2015,P$13,$D$18:$D$2015,"&gt;="&amp;P75,$D$18:$D$2015,"&lt;"&amp;P76))</f>
        <v/>
      </c>
      <c r="R75" s="14" t="n"/>
      <c r="S75" s="16" t="n"/>
      <c r="T75" s="124">
        <f>IF(S75="","",COUNTIFS($C$18:$C$2015,S$13,$D$18:$D$2015,"&gt;="&amp;S75,$D$18:$D$2015,"&lt;"&amp;S76))</f>
        <v/>
      </c>
      <c r="U75" s="14" t="n"/>
      <c r="V75" s="16" t="n"/>
      <c r="W75" s="124">
        <f>IF(V75="","",COUNTIFS($C$18:$C$2015,V$13,$D$18:$D$2015,"&gt;="&amp;V75,$D$18:$D$2015,"&lt;"&amp;V76))</f>
        <v/>
      </c>
      <c r="X75" s="14" t="n"/>
      <c r="Y75" s="16" t="n"/>
      <c r="Z75" s="124">
        <f>IF(Y75="","",COUNTIFS($C$18:$C$2015,Y$13,$D$18:$D$2015,"&gt;="&amp;Y75,$D$18:$D$2015,"&lt;"&amp;Y76))</f>
        <v/>
      </c>
      <c r="AA75" s="14" t="n"/>
      <c r="AB75" s="16" t="n"/>
      <c r="AC75" s="124">
        <f>IF(AB75="","",COUNTIFS($C$18:$C$2015,AB$13,$D$18:$D$2015,"&gt;="&amp;AB75,$D$18:$D$2015,"&lt;"&amp;AB76))</f>
        <v/>
      </c>
      <c r="AD75" s="14" t="n"/>
    </row>
    <row r="76">
      <c r="A76" s="56" t="n"/>
      <c r="B76" s="57" t="n"/>
      <c r="C76" s="59" t="n"/>
      <c r="E76" s="16" t="n"/>
      <c r="F76" s="13" t="n"/>
      <c r="G76" s="16" t="n">
        <v>71</v>
      </c>
      <c r="H76" s="124">
        <f>IF(G76="","",COUNTIFS($C$18:$C$2015,G$13,$D$18:$D$2015,"&gt;="&amp;G76,$D$18:$D$2015,"&lt;"&amp;G77))</f>
        <v/>
      </c>
      <c r="I76" s="14" t="n"/>
      <c r="J76" s="16" t="n"/>
      <c r="K76" s="124">
        <f>IF(J76="","",COUNTIFS($C$18:$C$2015,J$13,$D$18:$D$2015,"&gt;="&amp;J76,$D$18:$D$2015,"&lt;"&amp;J77))</f>
        <v/>
      </c>
      <c r="L76" s="14" t="n"/>
      <c r="M76" s="16" t="n"/>
      <c r="N76" s="124">
        <f>IF(M76="","",COUNTIFS($C$18:$C$2015,M$13,$D$18:$D$2015,"&gt;="&amp;M76,$D$18:$D$2015,"&lt;"&amp;M77))</f>
        <v/>
      </c>
      <c r="O76" s="14" t="n"/>
      <c r="P76" s="16" t="n">
        <v>71</v>
      </c>
      <c r="Q76" s="124">
        <f>IF(P76="","",COUNTIFS($C$18:$C$2015,P$13,$D$18:$D$2015,"&gt;="&amp;P76,$D$18:$D$2015,"&lt;"&amp;P77))</f>
        <v/>
      </c>
      <c r="R76" s="14" t="n"/>
      <c r="S76" s="16" t="n"/>
      <c r="T76" s="124">
        <f>IF(S76="","",COUNTIFS($C$18:$C$2015,S$13,$D$18:$D$2015,"&gt;="&amp;S76,$D$18:$D$2015,"&lt;"&amp;S77))</f>
        <v/>
      </c>
      <c r="U76" s="14" t="n"/>
      <c r="V76" s="16" t="n"/>
      <c r="W76" s="124">
        <f>IF(V76="","",COUNTIFS($C$18:$C$2015,V$13,$D$18:$D$2015,"&gt;="&amp;V76,$D$18:$D$2015,"&lt;"&amp;V77))</f>
        <v/>
      </c>
      <c r="X76" s="14" t="n"/>
      <c r="Y76" s="16" t="n"/>
      <c r="Z76" s="124">
        <f>IF(Y76="","",COUNTIFS($C$18:$C$2015,Y$13,$D$18:$D$2015,"&gt;="&amp;Y76,$D$18:$D$2015,"&lt;"&amp;Y77))</f>
        <v/>
      </c>
      <c r="AA76" s="14" t="n"/>
      <c r="AB76" s="16" t="n"/>
      <c r="AC76" s="124">
        <f>IF(AB76="","",COUNTIFS($C$18:$C$2015,AB$13,$D$18:$D$2015,"&gt;="&amp;AB76,$D$18:$D$2015,"&lt;"&amp;AB77))</f>
        <v/>
      </c>
      <c r="AD76" s="14" t="n"/>
    </row>
    <row r="77">
      <c r="A77" s="58" t="n"/>
      <c r="B77" s="59" t="n"/>
      <c r="C77" s="59" t="n"/>
      <c r="E77" s="16" t="n"/>
      <c r="F77" s="13" t="n"/>
      <c r="G77" s="16" t="n">
        <v>72</v>
      </c>
      <c r="H77" s="124">
        <f>IF(G77="","",COUNTIFS($C$18:$C$2015,G$13,$D$18:$D$2015,"&gt;="&amp;G77,$D$18:$D$2015,"&lt;"&amp;G78))</f>
        <v/>
      </c>
      <c r="I77" s="14" t="n"/>
      <c r="J77" s="16" t="n"/>
      <c r="K77" s="124">
        <f>IF(J77="","",COUNTIFS($C$18:$C$2015,J$13,$D$18:$D$2015,"&gt;="&amp;J77,$D$18:$D$2015,"&lt;"&amp;J78))</f>
        <v/>
      </c>
      <c r="L77" s="14" t="n"/>
      <c r="M77" s="16" t="n"/>
      <c r="N77" s="124">
        <f>IF(M77="","",COUNTIFS($C$18:$C$2015,M$13,$D$18:$D$2015,"&gt;="&amp;M77,$D$18:$D$2015,"&lt;"&amp;M78))</f>
        <v/>
      </c>
      <c r="O77" s="14" t="n"/>
      <c r="P77" s="16" t="n">
        <v>72</v>
      </c>
      <c r="Q77" s="124">
        <f>IF(P77="","",COUNTIFS($C$18:$C$2015,P$13,$D$18:$D$2015,"&gt;="&amp;P77,$D$18:$D$2015,"&lt;"&amp;P78))</f>
        <v/>
      </c>
      <c r="R77" s="14" t="n"/>
      <c r="S77" s="16" t="n"/>
      <c r="T77" s="124">
        <f>IF(S77="","",COUNTIFS($C$18:$C$2015,S$13,$D$18:$D$2015,"&gt;="&amp;S77,$D$18:$D$2015,"&lt;"&amp;S78))</f>
        <v/>
      </c>
      <c r="U77" s="14" t="n"/>
      <c r="V77" s="16" t="n"/>
      <c r="W77" s="124">
        <f>IF(V77="","",COUNTIFS($C$18:$C$2015,V$13,$D$18:$D$2015,"&gt;="&amp;V77,$D$18:$D$2015,"&lt;"&amp;V78))</f>
        <v/>
      </c>
      <c r="X77" s="14" t="n"/>
      <c r="Y77" s="16" t="n"/>
      <c r="Z77" s="124">
        <f>IF(Y77="","",COUNTIFS($C$18:$C$2015,Y$13,$D$18:$D$2015,"&gt;="&amp;Y77,$D$18:$D$2015,"&lt;"&amp;Y78))</f>
        <v/>
      </c>
      <c r="AA77" s="14" t="n"/>
      <c r="AB77" s="16" t="n"/>
      <c r="AC77" s="124">
        <f>IF(AB77="","",COUNTIFS($C$18:$C$2015,AB$13,$D$18:$D$2015,"&gt;="&amp;AB77,$D$18:$D$2015,"&lt;"&amp;AB78))</f>
        <v/>
      </c>
      <c r="AD77" s="14" t="n"/>
    </row>
    <row r="78">
      <c r="A78" s="56" t="n"/>
      <c r="B78" s="57" t="n"/>
      <c r="C78" s="59" t="n"/>
      <c r="E78" s="16" t="n"/>
      <c r="F78" s="13" t="n"/>
      <c r="G78" s="16" t="n">
        <v>73</v>
      </c>
      <c r="H78" s="124">
        <f>IF(G78="","",COUNTIFS($C$18:$C$2015,G$13,$D$18:$D$2015,"&gt;="&amp;G78,$D$18:$D$2015,"&lt;"&amp;G79))</f>
        <v/>
      </c>
      <c r="I78" s="14" t="n"/>
      <c r="J78" s="16" t="n"/>
      <c r="K78" s="124">
        <f>IF(J78="","",COUNTIFS($C$18:$C$2015,J$13,$D$18:$D$2015,"&gt;="&amp;J78,$D$18:$D$2015,"&lt;"&amp;J79))</f>
        <v/>
      </c>
      <c r="L78" s="14" t="n"/>
      <c r="M78" s="16" t="n"/>
      <c r="N78" s="124">
        <f>IF(M78="","",COUNTIFS($C$18:$C$2015,M$13,$D$18:$D$2015,"&gt;="&amp;M78,$D$18:$D$2015,"&lt;"&amp;M79))</f>
        <v/>
      </c>
      <c r="O78" s="14" t="n"/>
      <c r="P78" s="16" t="n">
        <v>73</v>
      </c>
      <c r="Q78" s="124">
        <f>IF(P78="","",COUNTIFS($C$18:$C$2015,P$13,$D$18:$D$2015,"&gt;="&amp;P78,$D$18:$D$2015,"&lt;"&amp;P79))</f>
        <v/>
      </c>
      <c r="R78" s="14" t="n"/>
      <c r="S78" s="16" t="n"/>
      <c r="T78" s="124">
        <f>IF(S78="","",COUNTIFS($C$18:$C$2015,S$13,$D$18:$D$2015,"&gt;="&amp;S78,$D$18:$D$2015,"&lt;"&amp;S79))</f>
        <v/>
      </c>
      <c r="U78" s="14" t="n"/>
      <c r="V78" s="16" t="n"/>
      <c r="W78" s="124">
        <f>IF(V78="","",COUNTIFS($C$18:$C$2015,V$13,$D$18:$D$2015,"&gt;="&amp;V78,$D$18:$D$2015,"&lt;"&amp;V79))</f>
        <v/>
      </c>
      <c r="X78" s="14" t="n"/>
      <c r="Y78" s="16" t="n"/>
      <c r="Z78" s="124">
        <f>IF(Y78="","",COUNTIFS($C$18:$C$2015,Y$13,$D$18:$D$2015,"&gt;="&amp;Y78,$D$18:$D$2015,"&lt;"&amp;Y79))</f>
        <v/>
      </c>
      <c r="AA78" s="14" t="n"/>
      <c r="AB78" s="16" t="n"/>
      <c r="AC78" s="124">
        <f>IF(AB78="","",COUNTIFS($C$18:$C$2015,AB$13,$D$18:$D$2015,"&gt;="&amp;AB78,$D$18:$D$2015,"&lt;"&amp;AB79))</f>
        <v/>
      </c>
      <c r="AD78" s="14" t="n"/>
    </row>
    <row r="79">
      <c r="A79" s="58" t="n"/>
      <c r="B79" s="59" t="n"/>
      <c r="C79" s="59" t="n"/>
      <c r="E79" s="16" t="n"/>
      <c r="F79" s="13" t="n"/>
      <c r="G79" s="16" t="n">
        <v>74</v>
      </c>
      <c r="H79" s="124">
        <f>IF(G79="","",COUNTIFS($C$18:$C$2015,G$13,$D$18:$D$2015,"&gt;="&amp;G79,$D$18:$D$2015,"&lt;"&amp;G80))</f>
        <v/>
      </c>
      <c r="I79" s="14" t="n"/>
      <c r="J79" s="16" t="n"/>
      <c r="K79" s="124">
        <f>IF(J79="","",COUNTIFS($C$18:$C$2015,J$13,$D$18:$D$2015,"&gt;="&amp;J79,$D$18:$D$2015,"&lt;"&amp;J80))</f>
        <v/>
      </c>
      <c r="L79" s="14" t="n"/>
      <c r="M79" s="16" t="n"/>
      <c r="N79" s="124">
        <f>IF(M79="","",COUNTIFS($C$18:$C$2015,M$13,$D$18:$D$2015,"&gt;="&amp;M79,$D$18:$D$2015,"&lt;"&amp;M80))</f>
        <v/>
      </c>
      <c r="O79" s="14" t="n"/>
      <c r="P79" s="16" t="n">
        <v>74</v>
      </c>
      <c r="Q79" s="124">
        <f>IF(P79="","",COUNTIFS($C$18:$C$2015,P$13,$D$18:$D$2015,"&gt;="&amp;P79,$D$18:$D$2015,"&lt;"&amp;P80))</f>
        <v/>
      </c>
      <c r="R79" s="14" t="n"/>
      <c r="S79" s="16" t="n"/>
      <c r="T79" s="124">
        <f>IF(S79="","",COUNTIFS($C$18:$C$2015,S$13,$D$18:$D$2015,"&gt;="&amp;S79,$D$18:$D$2015,"&lt;"&amp;S80))</f>
        <v/>
      </c>
      <c r="U79" s="14" t="n"/>
      <c r="V79" s="16" t="n"/>
      <c r="W79" s="124">
        <f>IF(V79="","",COUNTIFS($C$18:$C$2015,V$13,$D$18:$D$2015,"&gt;="&amp;V79,$D$18:$D$2015,"&lt;"&amp;V80))</f>
        <v/>
      </c>
      <c r="X79" s="14" t="n"/>
      <c r="Y79" s="16" t="n"/>
      <c r="Z79" s="124">
        <f>IF(Y79="","",COUNTIFS($C$18:$C$2015,Y$13,$D$18:$D$2015,"&gt;="&amp;Y79,$D$18:$D$2015,"&lt;"&amp;Y80))</f>
        <v/>
      </c>
      <c r="AA79" s="14" t="n"/>
      <c r="AB79" s="16" t="n"/>
      <c r="AC79" s="124">
        <f>IF(AB79="","",COUNTIFS($C$18:$C$2015,AB$13,$D$18:$D$2015,"&gt;="&amp;AB79,$D$18:$D$2015,"&lt;"&amp;AB80))</f>
        <v/>
      </c>
      <c r="AD79" s="14" t="n"/>
    </row>
    <row r="80">
      <c r="A80" s="56" t="n"/>
      <c r="B80" s="57" t="n"/>
      <c r="C80" s="59" t="n"/>
      <c r="E80" s="16" t="n"/>
      <c r="F80" s="13" t="n"/>
      <c r="G80" s="16" t="n">
        <v>75</v>
      </c>
      <c r="H80" s="124">
        <f>IF(G80="","",COUNTIFS($C$18:$C$2015,G$13,$D$18:$D$2015,"&gt;="&amp;G80,$D$18:$D$2015,"&lt;"&amp;G81))</f>
        <v/>
      </c>
      <c r="I80" s="14" t="n"/>
      <c r="J80" s="16" t="n"/>
      <c r="K80" s="124">
        <f>IF(J80="","",COUNTIFS($C$18:$C$2015,J$13,$D$18:$D$2015,"&gt;="&amp;J80,$D$18:$D$2015,"&lt;"&amp;J81))</f>
        <v/>
      </c>
      <c r="L80" s="14" t="n"/>
      <c r="M80" s="16" t="n"/>
      <c r="N80" s="124">
        <f>IF(M80="","",COUNTIFS($C$18:$C$2015,M$13,$D$18:$D$2015,"&gt;="&amp;M80,$D$18:$D$2015,"&lt;"&amp;M81))</f>
        <v/>
      </c>
      <c r="O80" s="14" t="n"/>
      <c r="P80" s="16" t="n">
        <v>75</v>
      </c>
      <c r="Q80" s="124">
        <f>IF(P80="","",COUNTIFS($C$18:$C$2015,P$13,$D$18:$D$2015,"&gt;="&amp;P80,$D$18:$D$2015,"&lt;"&amp;P81))</f>
        <v/>
      </c>
      <c r="R80" s="14" t="n"/>
      <c r="S80" s="16" t="n"/>
      <c r="T80" s="124">
        <f>IF(S80="","",COUNTIFS($C$18:$C$2015,S$13,$D$18:$D$2015,"&gt;="&amp;S80,$D$18:$D$2015,"&lt;"&amp;S81))</f>
        <v/>
      </c>
      <c r="U80" s="14" t="n"/>
      <c r="V80" s="16" t="n"/>
      <c r="W80" s="124">
        <f>IF(V80="","",COUNTIFS($C$18:$C$2015,V$13,$D$18:$D$2015,"&gt;="&amp;V80,$D$18:$D$2015,"&lt;"&amp;V81))</f>
        <v/>
      </c>
      <c r="X80" s="14" t="n"/>
      <c r="Y80" s="16" t="n"/>
      <c r="Z80" s="124">
        <f>IF(Y80="","",COUNTIFS($C$18:$C$2015,Y$13,$D$18:$D$2015,"&gt;="&amp;Y80,$D$18:$D$2015,"&lt;"&amp;Y81))</f>
        <v/>
      </c>
      <c r="AA80" s="14" t="n"/>
      <c r="AB80" s="16" t="n"/>
      <c r="AC80" s="124">
        <f>IF(AB80="","",COUNTIFS($C$18:$C$2015,AB$13,$D$18:$D$2015,"&gt;="&amp;AB80,$D$18:$D$2015,"&lt;"&amp;AB81))</f>
        <v/>
      </c>
      <c r="AD80" s="14" t="n"/>
    </row>
    <row r="81">
      <c r="A81" s="58" t="n"/>
      <c r="B81" s="59" t="n"/>
      <c r="C81" s="59" t="n"/>
      <c r="E81" s="16" t="n"/>
      <c r="F81" s="13" t="n"/>
      <c r="G81" s="16" t="n">
        <v>76</v>
      </c>
      <c r="H81" s="124">
        <f>IF(G81="","",COUNTIFS($C$18:$C$2015,G$13,$D$18:$D$2015,"&gt;="&amp;G81,$D$18:$D$2015,"&lt;"&amp;G82))</f>
        <v/>
      </c>
      <c r="I81" s="14" t="n"/>
      <c r="J81" s="16" t="n"/>
      <c r="K81" s="124">
        <f>IF(J81="","",COUNTIFS($C$18:$C$2015,J$13,$D$18:$D$2015,"&gt;="&amp;J81,$D$18:$D$2015,"&lt;"&amp;J82))</f>
        <v/>
      </c>
      <c r="L81" s="14" t="n"/>
      <c r="M81" s="16" t="n"/>
      <c r="N81" s="124">
        <f>IF(M81="","",COUNTIFS($C$18:$C$2015,M$13,$D$18:$D$2015,"&gt;="&amp;M81,$D$18:$D$2015,"&lt;"&amp;M82))</f>
        <v/>
      </c>
      <c r="O81" s="14" t="n"/>
      <c r="P81" s="16" t="n">
        <v>76</v>
      </c>
      <c r="Q81" s="124">
        <f>IF(P81="","",COUNTIFS($C$18:$C$2015,P$13,$D$18:$D$2015,"&gt;="&amp;P81,$D$18:$D$2015,"&lt;"&amp;P82))</f>
        <v/>
      </c>
      <c r="R81" s="14" t="n"/>
      <c r="S81" s="16" t="n"/>
      <c r="T81" s="124">
        <f>IF(S81="","",COUNTIFS($C$18:$C$2015,S$13,$D$18:$D$2015,"&gt;="&amp;S81,$D$18:$D$2015,"&lt;"&amp;S82))</f>
        <v/>
      </c>
      <c r="U81" s="14" t="n"/>
      <c r="V81" s="16" t="n"/>
      <c r="W81" s="124">
        <f>IF(V81="","",COUNTIFS($C$18:$C$2015,V$13,$D$18:$D$2015,"&gt;="&amp;V81,$D$18:$D$2015,"&lt;"&amp;V82))</f>
        <v/>
      </c>
      <c r="X81" s="14" t="n"/>
      <c r="Y81" s="16" t="n"/>
      <c r="Z81" s="124">
        <f>IF(Y81="","",COUNTIFS($C$18:$C$2015,Y$13,$D$18:$D$2015,"&gt;="&amp;Y81,$D$18:$D$2015,"&lt;"&amp;Y82))</f>
        <v/>
      </c>
      <c r="AA81" s="14" t="n"/>
      <c r="AB81" s="16" t="n"/>
      <c r="AC81" s="124">
        <f>IF(AB81="","",COUNTIFS($C$18:$C$2015,AB$13,$D$18:$D$2015,"&gt;="&amp;AB81,$D$18:$D$2015,"&lt;"&amp;AB82))</f>
        <v/>
      </c>
      <c r="AD81" s="14" t="n"/>
    </row>
    <row r="82">
      <c r="A82" s="56" t="n"/>
      <c r="B82" s="57" t="n"/>
      <c r="C82" s="59" t="n"/>
      <c r="E82" s="16" t="n"/>
      <c r="F82" s="13" t="n"/>
      <c r="G82" s="16" t="n">
        <v>77</v>
      </c>
      <c r="H82" s="124">
        <f>IF(G82="","",COUNTIFS($C$18:$C$2015,G$13,$D$18:$D$2015,"&gt;="&amp;G82,$D$18:$D$2015,"&lt;"&amp;G83))</f>
        <v/>
      </c>
      <c r="I82" s="14" t="n"/>
      <c r="J82" s="16" t="n"/>
      <c r="K82" s="124">
        <f>IF(J82="","",COUNTIFS($C$18:$C$2015,J$13,$D$18:$D$2015,"&gt;="&amp;J82,$D$18:$D$2015,"&lt;"&amp;J83))</f>
        <v/>
      </c>
      <c r="L82" s="14" t="n"/>
      <c r="M82" s="16" t="n"/>
      <c r="N82" s="124">
        <f>IF(M82="","",COUNTIFS($C$18:$C$2015,M$13,$D$18:$D$2015,"&gt;="&amp;M82,$D$18:$D$2015,"&lt;"&amp;M83))</f>
        <v/>
      </c>
      <c r="O82" s="14" t="n"/>
      <c r="P82" s="16" t="n">
        <v>77</v>
      </c>
      <c r="Q82" s="124">
        <f>IF(P82="","",COUNTIFS($C$18:$C$2015,P$13,$D$18:$D$2015,"&gt;="&amp;P82,$D$18:$D$2015,"&lt;"&amp;P83))</f>
        <v/>
      </c>
      <c r="R82" s="14" t="n"/>
      <c r="S82" s="16" t="n"/>
      <c r="T82" s="124">
        <f>IF(S82="","",COUNTIFS($C$18:$C$2015,S$13,$D$18:$D$2015,"&gt;="&amp;S82,$D$18:$D$2015,"&lt;"&amp;S83))</f>
        <v/>
      </c>
      <c r="U82" s="14" t="n"/>
      <c r="V82" s="16" t="n"/>
      <c r="W82" s="124">
        <f>IF(V82="","",COUNTIFS($C$18:$C$2015,V$13,$D$18:$D$2015,"&gt;="&amp;V82,$D$18:$D$2015,"&lt;"&amp;V83))</f>
        <v/>
      </c>
      <c r="X82" s="14" t="n"/>
      <c r="Y82" s="16" t="n"/>
      <c r="Z82" s="124">
        <f>IF(Y82="","",COUNTIFS($C$18:$C$2015,Y$13,$D$18:$D$2015,"&gt;="&amp;Y82,$D$18:$D$2015,"&lt;"&amp;Y83))</f>
        <v/>
      </c>
      <c r="AA82" s="14" t="n"/>
      <c r="AB82" s="16" t="n"/>
      <c r="AC82" s="124">
        <f>IF(AB82="","",COUNTIFS($C$18:$C$2015,AB$13,$D$18:$D$2015,"&gt;="&amp;AB82,$D$18:$D$2015,"&lt;"&amp;AB83))</f>
        <v/>
      </c>
      <c r="AD82" s="14" t="n"/>
    </row>
    <row r="83">
      <c r="A83" s="58" t="n"/>
      <c r="B83" s="59" t="n"/>
      <c r="C83" s="59" t="n"/>
      <c r="E83" s="16" t="n"/>
      <c r="F83" s="13" t="n"/>
      <c r="G83" s="16" t="n">
        <v>78</v>
      </c>
      <c r="H83" s="124">
        <f>IF(G83="","",COUNTIFS($C$18:$C$2015,G$13,$D$18:$D$2015,"&gt;="&amp;G83,$D$18:$D$2015,"&lt;"&amp;G84))</f>
        <v/>
      </c>
      <c r="I83" s="14" t="n"/>
      <c r="J83" s="16" t="n"/>
      <c r="K83" s="124">
        <f>IF(J83="","",COUNTIFS($C$18:$C$2015,J$13,$D$18:$D$2015,"&gt;="&amp;J83,$D$18:$D$2015,"&lt;"&amp;J84))</f>
        <v/>
      </c>
      <c r="L83" s="14" t="n"/>
      <c r="M83" s="16" t="n"/>
      <c r="N83" s="124">
        <f>IF(M83="","",COUNTIFS($C$18:$C$2015,M$13,$D$18:$D$2015,"&gt;="&amp;M83,$D$18:$D$2015,"&lt;"&amp;M84))</f>
        <v/>
      </c>
      <c r="O83" s="14" t="n"/>
      <c r="P83" s="16" t="n">
        <v>78</v>
      </c>
      <c r="Q83" s="124">
        <f>IF(P83="","",COUNTIFS($C$18:$C$2015,P$13,$D$18:$D$2015,"&gt;="&amp;P83,$D$18:$D$2015,"&lt;"&amp;P84))</f>
        <v/>
      </c>
      <c r="R83" s="14" t="n"/>
      <c r="S83" s="16" t="n"/>
      <c r="T83" s="124">
        <f>IF(S83="","",COUNTIFS($C$18:$C$2015,S$13,$D$18:$D$2015,"&gt;="&amp;S83,$D$18:$D$2015,"&lt;"&amp;S84))</f>
        <v/>
      </c>
      <c r="U83" s="14" t="n"/>
      <c r="V83" s="16" t="n"/>
      <c r="W83" s="124">
        <f>IF(V83="","",COUNTIFS($C$18:$C$2015,V$13,$D$18:$D$2015,"&gt;="&amp;V83,$D$18:$D$2015,"&lt;"&amp;V84))</f>
        <v/>
      </c>
      <c r="X83" s="14" t="n"/>
      <c r="Y83" s="16" t="n"/>
      <c r="Z83" s="124">
        <f>IF(Y83="","",COUNTIFS($C$18:$C$2015,Y$13,$D$18:$D$2015,"&gt;="&amp;Y83,$D$18:$D$2015,"&lt;"&amp;Y84))</f>
        <v/>
      </c>
      <c r="AA83" s="14" t="n"/>
      <c r="AB83" s="16" t="n"/>
      <c r="AC83" s="124">
        <f>IF(AB83="","",COUNTIFS($C$18:$C$2015,AB$13,$D$18:$D$2015,"&gt;="&amp;AB83,$D$18:$D$2015,"&lt;"&amp;AB84))</f>
        <v/>
      </c>
      <c r="AD83" s="14" t="n"/>
    </row>
    <row r="84">
      <c r="A84" s="56" t="n"/>
      <c r="B84" s="57" t="n"/>
      <c r="C84" s="59" t="n"/>
      <c r="E84" s="16" t="n"/>
      <c r="F84" s="13" t="n"/>
      <c r="G84" s="16" t="n">
        <v>79</v>
      </c>
      <c r="H84" s="124">
        <f>IF(G84="","",COUNTIFS($C$18:$C$2015,G$13,$D$18:$D$2015,"&gt;="&amp;G84,$D$18:$D$2015,"&lt;"&amp;G85))</f>
        <v/>
      </c>
      <c r="I84" s="14" t="n"/>
      <c r="J84" s="16" t="n"/>
      <c r="K84" s="124">
        <f>IF(J84="","",COUNTIFS($C$18:$C$2015,J$13,$D$18:$D$2015,"&gt;="&amp;J84,$D$18:$D$2015,"&lt;"&amp;J85))</f>
        <v/>
      </c>
      <c r="L84" s="14" t="n"/>
      <c r="M84" s="16" t="n"/>
      <c r="N84" s="124">
        <f>IF(M84="","",COUNTIFS($C$18:$C$2015,M$13,$D$18:$D$2015,"&gt;="&amp;M84,$D$18:$D$2015,"&lt;"&amp;M85))</f>
        <v/>
      </c>
      <c r="O84" s="14" t="n"/>
      <c r="P84" s="16" t="n">
        <v>79</v>
      </c>
      <c r="Q84" s="124">
        <f>IF(P84="","",COUNTIFS($C$18:$C$2015,P$13,$D$18:$D$2015,"&gt;="&amp;P84,$D$18:$D$2015,"&lt;"&amp;P85))</f>
        <v/>
      </c>
      <c r="R84" s="14" t="n"/>
      <c r="S84" s="16" t="n"/>
      <c r="T84" s="124">
        <f>IF(S84="","",COUNTIFS($C$18:$C$2015,S$13,$D$18:$D$2015,"&gt;="&amp;S84,$D$18:$D$2015,"&lt;"&amp;S85))</f>
        <v/>
      </c>
      <c r="U84" s="14" t="n"/>
      <c r="V84" s="16" t="n"/>
      <c r="W84" s="124">
        <f>IF(V84="","",COUNTIFS($C$18:$C$2015,V$13,$D$18:$D$2015,"&gt;="&amp;V84,$D$18:$D$2015,"&lt;"&amp;V85))</f>
        <v/>
      </c>
      <c r="X84" s="14" t="n"/>
      <c r="Y84" s="16" t="n"/>
      <c r="Z84" s="124">
        <f>IF(Y84="","",COUNTIFS($C$18:$C$2015,Y$13,$D$18:$D$2015,"&gt;="&amp;Y84,$D$18:$D$2015,"&lt;"&amp;Y85))</f>
        <v/>
      </c>
      <c r="AA84" s="14" t="n"/>
      <c r="AB84" s="16" t="n"/>
      <c r="AC84" s="124">
        <f>IF(AB84="","",COUNTIFS($C$18:$C$2015,AB$13,$D$18:$D$2015,"&gt;="&amp;AB84,$D$18:$D$2015,"&lt;"&amp;AB85))</f>
        <v/>
      </c>
      <c r="AD84" s="14" t="n"/>
    </row>
    <row r="85">
      <c r="A85" s="58" t="n"/>
      <c r="B85" s="59" t="n"/>
      <c r="C85" s="59" t="n"/>
      <c r="E85" s="16" t="n"/>
      <c r="F85" s="13" t="n"/>
      <c r="G85" s="16" t="n">
        <v>80</v>
      </c>
      <c r="H85" s="124">
        <f>IF(G85="","",COUNTIFS($C$18:$C$2015,G$13,$D$18:$D$2015,"&gt;="&amp;G85,$D$18:$D$2015,"&lt;"&amp;G86))</f>
        <v/>
      </c>
      <c r="I85" s="14" t="n"/>
      <c r="J85" s="16" t="n"/>
      <c r="K85" s="124">
        <f>IF(J85="","",COUNTIFS($C$18:$C$2015,J$13,$D$18:$D$2015,"&gt;="&amp;J85,$D$18:$D$2015,"&lt;"&amp;J86))</f>
        <v/>
      </c>
      <c r="L85" s="14" t="n"/>
      <c r="M85" s="16" t="n"/>
      <c r="N85" s="124">
        <f>IF(M85="","",COUNTIFS($C$18:$C$2015,M$13,$D$18:$D$2015,"&gt;="&amp;M85,$D$18:$D$2015,"&lt;"&amp;M86))</f>
        <v/>
      </c>
      <c r="O85" s="14" t="n"/>
      <c r="P85" s="16" t="n">
        <v>80</v>
      </c>
      <c r="Q85" s="124">
        <f>IF(P85="","",COUNTIFS($C$18:$C$2015,P$13,$D$18:$D$2015,"&gt;="&amp;P85,$D$18:$D$2015,"&lt;"&amp;P86))</f>
        <v/>
      </c>
      <c r="R85" s="14" t="n"/>
      <c r="S85" s="16" t="n"/>
      <c r="T85" s="124">
        <f>IF(S85="","",COUNTIFS($C$18:$C$2015,S$13,$D$18:$D$2015,"&gt;="&amp;S85,$D$18:$D$2015,"&lt;"&amp;S86))</f>
        <v/>
      </c>
      <c r="U85" s="14" t="n"/>
      <c r="V85" s="16" t="n"/>
      <c r="W85" s="124">
        <f>IF(V85="","",COUNTIFS($C$18:$C$2015,V$13,$D$18:$D$2015,"&gt;="&amp;V85,$D$18:$D$2015,"&lt;"&amp;V86))</f>
        <v/>
      </c>
      <c r="X85" s="14" t="n"/>
      <c r="Y85" s="16" t="n"/>
      <c r="Z85" s="124">
        <f>IF(Y85="","",COUNTIFS($C$18:$C$2015,Y$13,$D$18:$D$2015,"&gt;="&amp;Y85,$D$18:$D$2015,"&lt;"&amp;Y86))</f>
        <v/>
      </c>
      <c r="AA85" s="14" t="n"/>
      <c r="AB85" s="16" t="n"/>
      <c r="AC85" s="124">
        <f>IF(AB85="","",COUNTIFS($C$18:$C$2015,AB$13,$D$18:$D$2015,"&gt;="&amp;AB85,$D$18:$D$2015,"&lt;"&amp;AB86))</f>
        <v/>
      </c>
      <c r="AD85" s="14" t="n"/>
    </row>
    <row r="86">
      <c r="A86" s="56" t="n"/>
      <c r="B86" s="57" t="n"/>
      <c r="C86" s="59" t="n"/>
      <c r="E86" s="16" t="n"/>
      <c r="F86" s="13" t="n"/>
      <c r="G86" s="16" t="n"/>
      <c r="H86" s="124">
        <f>IF(G86="","",COUNTIFS($C$18:$C$2015,G$13,$D$18:$D$2015,"&gt;="&amp;G86,$D$18:$D$2015,"&lt;"&amp;G87))</f>
        <v/>
      </c>
      <c r="I86" s="14" t="n"/>
      <c r="J86" s="16" t="n"/>
      <c r="K86" s="124">
        <f>IF(J86="","",COUNTIFS($C$18:$C$2015,J$13,$D$18:$D$2015,"&gt;="&amp;J86,$D$18:$D$2015,"&lt;"&amp;J87))</f>
        <v/>
      </c>
      <c r="L86" s="14" t="n"/>
      <c r="M86" s="16" t="n"/>
      <c r="N86" s="124">
        <f>IF(M86="","",COUNTIFS($C$18:$C$2015,M$13,$D$18:$D$2015,"&gt;="&amp;M86,$D$18:$D$2015,"&lt;"&amp;M87))</f>
        <v/>
      </c>
      <c r="O86" s="14" t="n"/>
      <c r="P86" s="16" t="n"/>
      <c r="Q86" s="124">
        <f>IF(P86="","",COUNTIFS($C$18:$C$2015,P$13,$D$18:$D$2015,"&gt;="&amp;P86,$D$18:$D$2015,"&lt;"&amp;P87))</f>
        <v/>
      </c>
      <c r="R86" s="14" t="n"/>
      <c r="S86" s="16" t="n"/>
      <c r="T86" s="124">
        <f>IF(S86="","",COUNTIFS($C$18:$C$2015,S$13,$D$18:$D$2015,"&gt;="&amp;S86,$D$18:$D$2015,"&lt;"&amp;S87))</f>
        <v/>
      </c>
      <c r="U86" s="14" t="n"/>
      <c r="V86" s="16" t="n"/>
      <c r="W86" s="124">
        <f>IF(V86="","",COUNTIFS($C$18:$C$2015,V$13,$D$18:$D$2015,"&gt;="&amp;V86,$D$18:$D$2015,"&lt;"&amp;V87))</f>
        <v/>
      </c>
      <c r="X86" s="14" t="n"/>
      <c r="Y86" s="16" t="n"/>
      <c r="Z86" s="124">
        <f>IF(Y86="","",COUNTIFS($C$18:$C$2015,Y$13,$D$18:$D$2015,"&gt;="&amp;Y86,$D$18:$D$2015,"&lt;"&amp;Y87))</f>
        <v/>
      </c>
      <c r="AA86" s="14" t="n"/>
      <c r="AB86" s="16" t="n"/>
      <c r="AC86" s="124">
        <f>IF(AB86="","",COUNTIFS($C$18:$C$2015,AB$13,$D$18:$D$2015,"&gt;="&amp;AB86,$D$18:$D$2015,"&lt;"&amp;AB87))</f>
        <v/>
      </c>
      <c r="AD86" s="14" t="n"/>
    </row>
    <row r="87">
      <c r="A87" s="58" t="n"/>
      <c r="B87" s="59" t="n"/>
      <c r="C87" s="59" t="n"/>
      <c r="E87" s="16" t="n"/>
      <c r="F87" s="13" t="n"/>
      <c r="G87" s="16" t="n"/>
      <c r="H87" s="124">
        <f>IF(G87="","",COUNTIFS($C$18:$C$2015,G$13,$D$18:$D$2015,"&gt;="&amp;G87,$D$18:$D$2015,"&lt;"&amp;G88))</f>
        <v/>
      </c>
      <c r="I87" s="14" t="n"/>
      <c r="J87" s="16" t="n"/>
      <c r="K87" s="124">
        <f>IF(J87="","",COUNTIFS($C$18:$C$2015,J$13,$D$18:$D$2015,"&gt;="&amp;J87,$D$18:$D$2015,"&lt;"&amp;J88))</f>
        <v/>
      </c>
      <c r="L87" s="14" t="n"/>
      <c r="M87" s="16" t="n"/>
      <c r="N87" s="124">
        <f>IF(M87="","",COUNTIFS($C$18:$C$2015,M$13,$D$18:$D$2015,"&gt;="&amp;M87,$D$18:$D$2015,"&lt;"&amp;M88))</f>
        <v/>
      </c>
      <c r="O87" s="14" t="n"/>
      <c r="P87" s="16" t="n"/>
      <c r="Q87" s="124">
        <f>IF(P87="","",COUNTIFS($C$18:$C$2015,P$13,$D$18:$D$2015,"&gt;="&amp;P87,$D$18:$D$2015,"&lt;"&amp;P88))</f>
        <v/>
      </c>
      <c r="R87" s="14" t="n"/>
      <c r="S87" s="16" t="n"/>
      <c r="T87" s="124">
        <f>IF(S87="","",COUNTIFS($C$18:$C$2015,S$13,$D$18:$D$2015,"&gt;="&amp;S87,$D$18:$D$2015,"&lt;"&amp;S88))</f>
        <v/>
      </c>
      <c r="U87" s="14" t="n"/>
      <c r="V87" s="16" t="n"/>
      <c r="W87" s="124">
        <f>IF(V87="","",COUNTIFS($C$18:$C$2015,V$13,$D$18:$D$2015,"&gt;="&amp;V87,$D$18:$D$2015,"&lt;"&amp;V88))</f>
        <v/>
      </c>
      <c r="X87" s="14" t="n"/>
      <c r="Y87" s="16" t="n"/>
      <c r="Z87" s="124">
        <f>IF(Y87="","",COUNTIFS($C$18:$C$2015,Y$13,$D$18:$D$2015,"&gt;="&amp;Y87,$D$18:$D$2015,"&lt;"&amp;Y88))</f>
        <v/>
      </c>
      <c r="AA87" s="14" t="n"/>
      <c r="AB87" s="16" t="n"/>
      <c r="AC87" s="124">
        <f>IF(AB87="","",COUNTIFS($C$18:$C$2015,AB$13,$D$18:$D$2015,"&gt;="&amp;AB87,$D$18:$D$2015,"&lt;"&amp;AB88))</f>
        <v/>
      </c>
      <c r="AD87" s="14" t="n"/>
    </row>
    <row r="88">
      <c r="A88" s="56" t="n"/>
      <c r="B88" s="57" t="n"/>
      <c r="C88" s="59" t="n"/>
      <c r="E88" s="16" t="n"/>
      <c r="F88" s="13" t="n"/>
      <c r="G88" s="16" t="n"/>
      <c r="H88" s="124">
        <f>IF(G88="","",COUNTIFS($C$18:$C$2015,G$13,$D$18:$D$2015,"&gt;="&amp;G88,$D$18:$D$2015,"&lt;"&amp;G89))</f>
        <v/>
      </c>
      <c r="I88" s="14" t="n"/>
      <c r="J88" s="16" t="n"/>
      <c r="K88" s="124">
        <f>IF(J88="","",COUNTIFS($C$18:$C$2015,J$13,$D$18:$D$2015,"&gt;="&amp;J88,$D$18:$D$2015,"&lt;"&amp;J89))</f>
        <v/>
      </c>
      <c r="L88" s="14" t="n"/>
      <c r="M88" s="16" t="n"/>
      <c r="N88" s="124">
        <f>IF(M88="","",COUNTIFS($C$18:$C$2015,M$13,$D$18:$D$2015,"&gt;="&amp;M88,$D$18:$D$2015,"&lt;"&amp;M89))</f>
        <v/>
      </c>
      <c r="O88" s="14" t="n"/>
      <c r="P88" s="16" t="n"/>
      <c r="Q88" s="124">
        <f>IF(P88="","",COUNTIFS($C$18:$C$2015,P$13,$D$18:$D$2015,"&gt;="&amp;P88,$D$18:$D$2015,"&lt;"&amp;P89))</f>
        <v/>
      </c>
      <c r="R88" s="14" t="n"/>
      <c r="S88" s="16" t="n"/>
      <c r="T88" s="124">
        <f>IF(S88="","",COUNTIFS($C$18:$C$2015,S$13,$D$18:$D$2015,"&gt;="&amp;S88,$D$18:$D$2015,"&lt;"&amp;S89))</f>
        <v/>
      </c>
      <c r="U88" s="14" t="n"/>
      <c r="V88" s="16" t="n"/>
      <c r="W88" s="124">
        <f>IF(V88="","",COUNTIFS($C$18:$C$2015,V$13,$D$18:$D$2015,"&gt;="&amp;V88,$D$18:$D$2015,"&lt;"&amp;V89))</f>
        <v/>
      </c>
      <c r="X88" s="14" t="n"/>
      <c r="Y88" s="16" t="n"/>
      <c r="Z88" s="124">
        <f>IF(Y88="","",COUNTIFS($C$18:$C$2015,Y$13,$D$18:$D$2015,"&gt;="&amp;Y88,$D$18:$D$2015,"&lt;"&amp;Y89))</f>
        <v/>
      </c>
      <c r="AA88" s="14" t="n"/>
      <c r="AB88" s="16" t="n"/>
      <c r="AC88" s="124">
        <f>IF(AB88="","",COUNTIFS($C$18:$C$2015,AB$13,$D$18:$D$2015,"&gt;="&amp;AB88,$D$18:$D$2015,"&lt;"&amp;AB89))</f>
        <v/>
      </c>
      <c r="AD88" s="14" t="n"/>
    </row>
    <row r="89">
      <c r="A89" s="58" t="n"/>
      <c r="B89" s="59" t="n"/>
      <c r="C89" s="59" t="n"/>
      <c r="E89" s="16" t="n"/>
      <c r="F89" s="13" t="n"/>
      <c r="G89" s="16" t="n"/>
      <c r="H89" s="124">
        <f>IF(G89="","",COUNTIFS($C$18:$C$2015,G$13,$D$18:$D$2015,"&gt;="&amp;G89,$D$18:$D$2015,"&lt;"&amp;G90))</f>
        <v/>
      </c>
      <c r="I89" s="14" t="n"/>
      <c r="J89" s="16" t="n"/>
      <c r="K89" s="124">
        <f>IF(J89="","",COUNTIFS($C$18:$C$2015,J$13,$D$18:$D$2015,"&gt;="&amp;J89,$D$18:$D$2015,"&lt;"&amp;J90))</f>
        <v/>
      </c>
      <c r="L89" s="14" t="n"/>
      <c r="M89" s="16" t="n"/>
      <c r="N89" s="124">
        <f>IF(M89="","",COUNTIFS($C$18:$C$2015,M$13,$D$18:$D$2015,"&gt;="&amp;M89,$D$18:$D$2015,"&lt;"&amp;M90))</f>
        <v/>
      </c>
      <c r="O89" s="14" t="n"/>
      <c r="P89" s="16" t="n"/>
      <c r="Q89" s="124">
        <f>IF(P89="","",COUNTIFS($C$18:$C$2015,P$13,$D$18:$D$2015,"&gt;="&amp;P89,$D$18:$D$2015,"&lt;"&amp;P90))</f>
        <v/>
      </c>
      <c r="R89" s="14" t="n"/>
      <c r="S89" s="16" t="n"/>
      <c r="T89" s="124">
        <f>IF(S89="","",COUNTIFS($C$18:$C$2015,S$13,$D$18:$D$2015,"&gt;="&amp;S89,$D$18:$D$2015,"&lt;"&amp;S90))</f>
        <v/>
      </c>
      <c r="U89" s="14" t="n"/>
      <c r="V89" s="16" t="n"/>
      <c r="W89" s="124">
        <f>IF(V89="","",COUNTIFS($C$18:$C$2015,V$13,$D$18:$D$2015,"&gt;="&amp;V89,$D$18:$D$2015,"&lt;"&amp;V90))</f>
        <v/>
      </c>
      <c r="X89" s="14" t="n"/>
      <c r="Y89" s="16" t="n"/>
      <c r="Z89" s="124">
        <f>IF(Y89="","",COUNTIFS($C$18:$C$2015,Y$13,$D$18:$D$2015,"&gt;="&amp;Y89,$D$18:$D$2015,"&lt;"&amp;Y90))</f>
        <v/>
      </c>
      <c r="AA89" s="14" t="n"/>
      <c r="AB89" s="16" t="n"/>
      <c r="AC89" s="124">
        <f>IF(AB89="","",COUNTIFS($C$18:$C$2015,AB$13,$D$18:$D$2015,"&gt;="&amp;AB89,$D$18:$D$2015,"&lt;"&amp;AB90))</f>
        <v/>
      </c>
      <c r="AD89" s="14" t="n"/>
    </row>
    <row r="90">
      <c r="A90" s="56" t="n"/>
      <c r="B90" s="57" t="n"/>
      <c r="C90" s="59" t="n"/>
      <c r="E90" s="16" t="n"/>
      <c r="F90" s="13" t="n"/>
      <c r="G90" s="16" t="n"/>
      <c r="H90" s="124">
        <f>IF(G90="","",COUNTIFS($C$18:$C$2015,G$13,$D$18:$D$2015,"&gt;="&amp;G90,$D$18:$D$2015,"&lt;"&amp;G91))</f>
        <v/>
      </c>
      <c r="I90" s="14" t="n"/>
      <c r="J90" s="16" t="n"/>
      <c r="K90" s="124">
        <f>IF(J90="","",COUNTIFS($C$18:$C$2015,J$13,$D$18:$D$2015,"&gt;="&amp;J90,$D$18:$D$2015,"&lt;"&amp;J91))</f>
        <v/>
      </c>
      <c r="L90" s="14" t="n"/>
      <c r="M90" s="16" t="n"/>
      <c r="N90" s="124">
        <f>IF(M90="","",COUNTIFS($C$18:$C$2015,M$13,$D$18:$D$2015,"&gt;="&amp;M90,$D$18:$D$2015,"&lt;"&amp;M91))</f>
        <v/>
      </c>
      <c r="O90" s="14" t="n"/>
      <c r="P90" s="16" t="n"/>
      <c r="Q90" s="124">
        <f>IF(P90="","",COUNTIFS($C$18:$C$2015,P$13,$D$18:$D$2015,"&gt;="&amp;P90,$D$18:$D$2015,"&lt;"&amp;P91))</f>
        <v/>
      </c>
      <c r="R90" s="14" t="n"/>
      <c r="S90" s="16" t="n"/>
      <c r="T90" s="124">
        <f>IF(S90="","",COUNTIFS($C$18:$C$2015,S$13,$D$18:$D$2015,"&gt;="&amp;S90,$D$18:$D$2015,"&lt;"&amp;S91))</f>
        <v/>
      </c>
      <c r="U90" s="14" t="n"/>
      <c r="V90" s="16" t="n"/>
      <c r="W90" s="124">
        <f>IF(V90="","",COUNTIFS($C$18:$C$2015,V$13,$D$18:$D$2015,"&gt;="&amp;V90,$D$18:$D$2015,"&lt;"&amp;V91))</f>
        <v/>
      </c>
      <c r="X90" s="14" t="n"/>
      <c r="Y90" s="16" t="n"/>
      <c r="Z90" s="124">
        <f>IF(Y90="","",COUNTIFS($C$18:$C$2015,Y$13,$D$18:$D$2015,"&gt;="&amp;Y90,$D$18:$D$2015,"&lt;"&amp;Y91))</f>
        <v/>
      </c>
      <c r="AA90" s="14" t="n"/>
      <c r="AB90" s="16" t="n"/>
      <c r="AC90" s="124">
        <f>IF(AB90="","",COUNTIFS($C$18:$C$2015,AB$13,$D$18:$D$2015,"&gt;="&amp;AB90,$D$18:$D$2015,"&lt;"&amp;AB91))</f>
        <v/>
      </c>
      <c r="AD90" s="14" t="n"/>
    </row>
    <row r="91">
      <c r="A91" s="58" t="n"/>
      <c r="B91" s="59" t="n"/>
      <c r="C91" s="59" t="n"/>
      <c r="E91" s="16" t="n"/>
      <c r="F91" s="13" t="n"/>
      <c r="G91" s="16" t="n"/>
      <c r="H91" s="124">
        <f>IF(G91="","",COUNTIFS($C$18:$C$2015,G$13,$D$18:$D$2015,"&gt;="&amp;G91,$D$18:$D$2015,"&lt;"&amp;G92))</f>
        <v/>
      </c>
      <c r="I91" s="14" t="n"/>
      <c r="J91" s="16" t="n"/>
      <c r="K91" s="124">
        <f>IF(J91="","",COUNTIFS($C$18:$C$2015,J$13,$D$18:$D$2015,"&gt;="&amp;J91,$D$18:$D$2015,"&lt;"&amp;J92))</f>
        <v/>
      </c>
      <c r="L91" s="14" t="n"/>
      <c r="M91" s="16" t="n"/>
      <c r="N91" s="124">
        <f>IF(M91="","",COUNTIFS($C$18:$C$2015,M$13,$D$18:$D$2015,"&gt;="&amp;M91,$D$18:$D$2015,"&lt;"&amp;M92))</f>
        <v/>
      </c>
      <c r="O91" s="14" t="n"/>
      <c r="P91" s="16" t="n"/>
      <c r="Q91" s="124">
        <f>IF(P91="","",COUNTIFS($C$18:$C$2015,P$13,$D$18:$D$2015,"&gt;="&amp;P91,$D$18:$D$2015,"&lt;"&amp;P92))</f>
        <v/>
      </c>
      <c r="R91" s="14" t="n"/>
      <c r="S91" s="16" t="n"/>
      <c r="T91" s="124">
        <f>IF(S91="","",COUNTIFS($C$18:$C$2015,S$13,$D$18:$D$2015,"&gt;="&amp;S91,$D$18:$D$2015,"&lt;"&amp;S92))</f>
        <v/>
      </c>
      <c r="U91" s="14" t="n"/>
      <c r="V91" s="16" t="n"/>
      <c r="W91" s="124">
        <f>IF(V91="","",COUNTIFS($C$18:$C$2015,V$13,$D$18:$D$2015,"&gt;="&amp;V91,$D$18:$D$2015,"&lt;"&amp;V92))</f>
        <v/>
      </c>
      <c r="X91" s="14" t="n"/>
      <c r="Y91" s="16" t="n"/>
      <c r="Z91" s="124">
        <f>IF(Y91="","",COUNTIFS($C$18:$C$2015,Y$13,$D$18:$D$2015,"&gt;="&amp;Y91,$D$18:$D$2015,"&lt;"&amp;Y92))</f>
        <v/>
      </c>
      <c r="AA91" s="14" t="n"/>
      <c r="AB91" s="16" t="n"/>
      <c r="AC91" s="124">
        <f>IF(AB91="","",COUNTIFS($C$18:$C$2015,AB$13,$D$18:$D$2015,"&gt;="&amp;AB91,$D$18:$D$2015,"&lt;"&amp;AB92))</f>
        <v/>
      </c>
      <c r="AD91" s="14" t="n"/>
    </row>
    <row r="92">
      <c r="A92" s="56" t="n"/>
      <c r="B92" s="57" t="n"/>
      <c r="C92" s="59" t="n"/>
      <c r="E92" s="16" t="n"/>
      <c r="F92" s="13" t="n"/>
      <c r="G92" s="16" t="n"/>
      <c r="H92" s="124">
        <f>IF(G92="","",COUNTIFS($C$18:$C$2015,G$13,$D$18:$D$2015,"&gt;="&amp;G92,$D$18:$D$2015,"&lt;"&amp;G93))</f>
        <v/>
      </c>
      <c r="I92" s="14" t="n"/>
      <c r="J92" s="16" t="n"/>
      <c r="K92" s="124">
        <f>IF(J92="","",COUNTIFS($C$18:$C$2015,J$13,$D$18:$D$2015,"&gt;="&amp;J92,$D$18:$D$2015,"&lt;"&amp;J93))</f>
        <v/>
      </c>
      <c r="L92" s="14" t="n"/>
      <c r="M92" s="16" t="n"/>
      <c r="N92" s="124">
        <f>IF(M92="","",COUNTIFS($C$18:$C$2015,M$13,$D$18:$D$2015,"&gt;="&amp;M92,$D$18:$D$2015,"&lt;"&amp;M93))</f>
        <v/>
      </c>
      <c r="O92" s="14" t="n"/>
      <c r="P92" s="16" t="n"/>
      <c r="Q92" s="124">
        <f>IF(P92="","",COUNTIFS($C$18:$C$2015,P$13,$D$18:$D$2015,"&gt;="&amp;P92,$D$18:$D$2015,"&lt;"&amp;P93))</f>
        <v/>
      </c>
      <c r="R92" s="14" t="n"/>
      <c r="S92" s="16" t="n"/>
      <c r="T92" s="124">
        <f>IF(S92="","",COUNTIFS($C$18:$C$2015,S$13,$D$18:$D$2015,"&gt;="&amp;S92,$D$18:$D$2015,"&lt;"&amp;S93))</f>
        <v/>
      </c>
      <c r="U92" s="14" t="n"/>
      <c r="V92" s="16" t="n"/>
      <c r="W92" s="124">
        <f>IF(V92="","",COUNTIFS($C$18:$C$2015,V$13,$D$18:$D$2015,"&gt;="&amp;V92,$D$18:$D$2015,"&lt;"&amp;V93))</f>
        <v/>
      </c>
      <c r="X92" s="14" t="n"/>
      <c r="Y92" s="16" t="n"/>
      <c r="Z92" s="124">
        <f>IF(Y92="","",COUNTIFS($C$18:$C$2015,Y$13,$D$18:$D$2015,"&gt;="&amp;Y92,$D$18:$D$2015,"&lt;"&amp;Y93))</f>
        <v/>
      </c>
      <c r="AA92" s="14" t="n"/>
      <c r="AB92" s="16" t="n"/>
      <c r="AC92" s="124">
        <f>IF(AB92="","",COUNTIFS($C$18:$C$2015,AB$13,$D$18:$D$2015,"&gt;="&amp;AB92,$D$18:$D$2015,"&lt;"&amp;AB93))</f>
        <v/>
      </c>
      <c r="AD92" s="14" t="n"/>
    </row>
    <row r="93">
      <c r="A93" s="58" t="n"/>
      <c r="B93" s="59" t="n"/>
      <c r="C93" s="59" t="n"/>
      <c r="E93" s="16" t="n"/>
      <c r="F93" s="13" t="n"/>
      <c r="G93" s="16" t="n"/>
      <c r="H93" s="124">
        <f>IF(G93="","",COUNTIFS($C$18:$C$2015,G$13,$D$18:$D$2015,"&gt;="&amp;G93,$D$18:$D$2015,"&lt;"&amp;G94))</f>
        <v/>
      </c>
      <c r="I93" s="14" t="n"/>
      <c r="J93" s="16" t="n"/>
      <c r="K93" s="124">
        <f>IF(J93="","",COUNTIFS($C$18:$C$2015,J$13,$D$18:$D$2015,"&gt;="&amp;J93,$D$18:$D$2015,"&lt;"&amp;J94))</f>
        <v/>
      </c>
      <c r="L93" s="14" t="n"/>
      <c r="M93" s="16" t="n"/>
      <c r="N93" s="124">
        <f>IF(M93="","",COUNTIFS($C$18:$C$2015,M$13,$D$18:$D$2015,"&gt;="&amp;M93,$D$18:$D$2015,"&lt;"&amp;M94))</f>
        <v/>
      </c>
      <c r="O93" s="14" t="n"/>
      <c r="P93" s="16" t="n"/>
      <c r="Q93" s="124">
        <f>IF(P93="","",COUNTIFS($C$18:$C$2015,P$13,$D$18:$D$2015,"&gt;="&amp;P93,$D$18:$D$2015,"&lt;"&amp;P94))</f>
        <v/>
      </c>
      <c r="R93" s="14" t="n"/>
      <c r="S93" s="16" t="n"/>
      <c r="T93" s="124">
        <f>IF(S93="","",COUNTIFS($C$18:$C$2015,S$13,$D$18:$D$2015,"&gt;="&amp;S93,$D$18:$D$2015,"&lt;"&amp;S94))</f>
        <v/>
      </c>
      <c r="U93" s="14" t="n"/>
      <c r="V93" s="16" t="n"/>
      <c r="W93" s="124">
        <f>IF(V93="","",COUNTIFS($C$18:$C$2015,V$13,$D$18:$D$2015,"&gt;="&amp;V93,$D$18:$D$2015,"&lt;"&amp;V94))</f>
        <v/>
      </c>
      <c r="X93" s="14" t="n"/>
      <c r="Y93" s="16" t="n"/>
      <c r="Z93" s="124">
        <f>IF(Y93="","",COUNTIFS($C$18:$C$2015,Y$13,$D$18:$D$2015,"&gt;="&amp;Y93,$D$18:$D$2015,"&lt;"&amp;Y94))</f>
        <v/>
      </c>
      <c r="AA93" s="14" t="n"/>
      <c r="AB93" s="16" t="n"/>
      <c r="AC93" s="124">
        <f>IF(AB93="","",COUNTIFS($C$18:$C$2015,AB$13,$D$18:$D$2015,"&gt;="&amp;AB93,$D$18:$D$2015,"&lt;"&amp;AB94))</f>
        <v/>
      </c>
      <c r="AD93" s="14" t="n"/>
    </row>
    <row r="94">
      <c r="A94" s="56" t="n"/>
      <c r="B94" s="57" t="n"/>
      <c r="C94" s="59" t="n"/>
      <c r="E94" s="16" t="n"/>
      <c r="F94" s="13" t="n"/>
      <c r="G94" s="16" t="n"/>
      <c r="H94" s="124">
        <f>IF(G94="","",COUNTIFS($C$18:$C$2015,G$13,$D$18:$D$2015,"&gt;="&amp;G94,$D$18:$D$2015,"&lt;"&amp;G95))</f>
        <v/>
      </c>
      <c r="I94" s="14" t="n"/>
      <c r="J94" s="16" t="n"/>
      <c r="K94" s="124">
        <f>IF(J94="","",COUNTIFS($C$18:$C$2015,J$13,$D$18:$D$2015,"&gt;="&amp;J94,$D$18:$D$2015,"&lt;"&amp;J95))</f>
        <v/>
      </c>
      <c r="L94" s="14" t="n"/>
      <c r="M94" s="16" t="n"/>
      <c r="N94" s="124">
        <f>IF(M94="","",COUNTIFS($C$18:$C$2015,M$13,$D$18:$D$2015,"&gt;="&amp;M94,$D$18:$D$2015,"&lt;"&amp;M95))</f>
        <v/>
      </c>
      <c r="O94" s="14" t="n"/>
      <c r="P94" s="16" t="n"/>
      <c r="Q94" s="124">
        <f>IF(P94="","",COUNTIFS($C$18:$C$2015,P$13,$D$18:$D$2015,"&gt;="&amp;P94,$D$18:$D$2015,"&lt;"&amp;P95))</f>
        <v/>
      </c>
      <c r="R94" s="14" t="n"/>
      <c r="S94" s="16" t="n"/>
      <c r="T94" s="124">
        <f>IF(S94="","",COUNTIFS($C$18:$C$2015,S$13,$D$18:$D$2015,"&gt;="&amp;S94,$D$18:$D$2015,"&lt;"&amp;S95))</f>
        <v/>
      </c>
      <c r="U94" s="14" t="n"/>
      <c r="V94" s="16" t="n"/>
      <c r="W94" s="124">
        <f>IF(V94="","",COUNTIFS($C$18:$C$2015,V$13,$D$18:$D$2015,"&gt;="&amp;V94,$D$18:$D$2015,"&lt;"&amp;V95))</f>
        <v/>
      </c>
      <c r="X94" s="14" t="n"/>
      <c r="Y94" s="16" t="n"/>
      <c r="Z94" s="124">
        <f>IF(Y94="","",COUNTIFS($C$18:$C$2015,Y$13,$D$18:$D$2015,"&gt;="&amp;Y94,$D$18:$D$2015,"&lt;"&amp;Y95))</f>
        <v/>
      </c>
      <c r="AA94" s="14" t="n"/>
      <c r="AB94" s="16" t="n"/>
      <c r="AC94" s="124">
        <f>IF(AB94="","",COUNTIFS($C$18:$C$2015,AB$13,$D$18:$D$2015,"&gt;="&amp;AB94,$D$18:$D$2015,"&lt;"&amp;AB95))</f>
        <v/>
      </c>
      <c r="AD94" s="14" t="n"/>
    </row>
    <row r="95">
      <c r="A95" s="58" t="n"/>
      <c r="B95" s="59" t="n"/>
      <c r="C95" s="59" t="n"/>
      <c r="E95" s="16" t="n"/>
      <c r="F95" s="13" t="n"/>
      <c r="G95" s="16" t="n"/>
      <c r="H95" s="124">
        <f>IF(G95="","",COUNTIFS($C$18:$C$2015,G$13,$D$18:$D$2015,"&gt;="&amp;G95,$D$18:$D$2015,"&lt;"&amp;G96))</f>
        <v/>
      </c>
      <c r="I95" s="14" t="n"/>
      <c r="J95" s="16" t="n"/>
      <c r="K95" s="124">
        <f>IF(J95="","",COUNTIFS($C$18:$C$2015,J$13,$D$18:$D$2015,"&gt;="&amp;J95,$D$18:$D$2015,"&lt;"&amp;J96))</f>
        <v/>
      </c>
      <c r="L95" s="14" t="n"/>
      <c r="M95" s="16" t="n"/>
      <c r="N95" s="124">
        <f>IF(M95="","",COUNTIFS($C$18:$C$2015,M$13,$D$18:$D$2015,"&gt;="&amp;M95,$D$18:$D$2015,"&lt;"&amp;M96))</f>
        <v/>
      </c>
      <c r="O95" s="14" t="n"/>
      <c r="P95" s="16" t="n"/>
      <c r="Q95" s="124">
        <f>IF(P95="","",COUNTIFS($C$18:$C$2015,P$13,$D$18:$D$2015,"&gt;="&amp;P95,$D$18:$D$2015,"&lt;"&amp;P96))</f>
        <v/>
      </c>
      <c r="R95" s="14" t="n"/>
      <c r="S95" s="16" t="n"/>
      <c r="T95" s="124">
        <f>IF(S95="","",COUNTIFS($C$18:$C$2015,S$13,$D$18:$D$2015,"&gt;="&amp;S95,$D$18:$D$2015,"&lt;"&amp;S96))</f>
        <v/>
      </c>
      <c r="U95" s="14" t="n"/>
      <c r="V95" s="16" t="n"/>
      <c r="W95" s="124">
        <f>IF(V95="","",COUNTIFS($C$18:$C$2015,V$13,$D$18:$D$2015,"&gt;="&amp;V95,$D$18:$D$2015,"&lt;"&amp;V96))</f>
        <v/>
      </c>
      <c r="X95" s="14" t="n"/>
      <c r="Y95" s="16" t="n"/>
      <c r="Z95" s="124">
        <f>IF(Y95="","",COUNTIFS($C$18:$C$2015,Y$13,$D$18:$D$2015,"&gt;="&amp;Y95,$D$18:$D$2015,"&lt;"&amp;Y96))</f>
        <v/>
      </c>
      <c r="AA95" s="14" t="n"/>
      <c r="AB95" s="16" t="n"/>
      <c r="AC95" s="124">
        <f>IF(AB95="","",COUNTIFS($C$18:$C$2015,AB$13,$D$18:$D$2015,"&gt;="&amp;AB95,$D$18:$D$2015,"&lt;"&amp;AB96))</f>
        <v/>
      </c>
      <c r="AD95" s="14" t="n"/>
    </row>
    <row r="96">
      <c r="A96" s="56" t="n"/>
      <c r="B96" s="57" t="n"/>
      <c r="C96" s="59" t="n"/>
      <c r="E96" s="16" t="n"/>
      <c r="F96" s="13" t="n"/>
      <c r="G96" s="16" t="n"/>
      <c r="H96" s="124">
        <f>IF(G96="","",COUNTIFS($C$18:$C$2015,G$13,$D$18:$D$2015,"&gt;="&amp;G96,$D$18:$D$2015,"&lt;"&amp;G97))</f>
        <v/>
      </c>
      <c r="I96" s="14" t="n"/>
      <c r="J96" s="16" t="n"/>
      <c r="K96" s="124">
        <f>IF(J96="","",COUNTIFS($C$18:$C$2015,J$13,$D$18:$D$2015,"&gt;="&amp;J96,$D$18:$D$2015,"&lt;"&amp;J97))</f>
        <v/>
      </c>
      <c r="L96" s="14" t="n"/>
      <c r="M96" s="16" t="n"/>
      <c r="N96" s="124">
        <f>IF(M96="","",COUNTIFS($C$18:$C$2015,M$13,$D$18:$D$2015,"&gt;="&amp;M96,$D$18:$D$2015,"&lt;"&amp;M97))</f>
        <v/>
      </c>
      <c r="O96" s="14" t="n"/>
      <c r="P96" s="16" t="n"/>
      <c r="Q96" s="124">
        <f>IF(P96="","",COUNTIFS($C$18:$C$2015,P$13,$D$18:$D$2015,"&gt;="&amp;P96,$D$18:$D$2015,"&lt;"&amp;P97))</f>
        <v/>
      </c>
      <c r="R96" s="14" t="n"/>
      <c r="S96" s="16" t="n"/>
      <c r="T96" s="124">
        <f>IF(S96="","",COUNTIFS($C$18:$C$2015,S$13,$D$18:$D$2015,"&gt;="&amp;S96,$D$18:$D$2015,"&lt;"&amp;S97))</f>
        <v/>
      </c>
      <c r="U96" s="14" t="n"/>
      <c r="V96" s="16" t="n"/>
      <c r="W96" s="124">
        <f>IF(V96="","",COUNTIFS($C$18:$C$2015,V$13,$D$18:$D$2015,"&gt;="&amp;V96,$D$18:$D$2015,"&lt;"&amp;V97))</f>
        <v/>
      </c>
      <c r="X96" s="14" t="n"/>
      <c r="Y96" s="16" t="n"/>
      <c r="Z96" s="124">
        <f>IF(Y96="","",COUNTIFS($C$18:$C$2015,Y$13,$D$18:$D$2015,"&gt;="&amp;Y96,$D$18:$D$2015,"&lt;"&amp;Y97))</f>
        <v/>
      </c>
      <c r="AA96" s="14" t="n"/>
      <c r="AB96" s="16" t="n"/>
      <c r="AC96" s="124">
        <f>IF(AB96="","",COUNTIFS($C$18:$C$2015,AB$13,$D$18:$D$2015,"&gt;="&amp;AB96,$D$18:$D$2015,"&lt;"&amp;AB97))</f>
        <v/>
      </c>
      <c r="AD96" s="14" t="n"/>
    </row>
    <row r="97">
      <c r="A97" s="58" t="n"/>
      <c r="B97" s="59" t="n"/>
      <c r="C97" s="59" t="n"/>
      <c r="E97" s="16" t="n"/>
      <c r="F97" s="13" t="n"/>
      <c r="G97" s="16" t="n"/>
      <c r="H97" s="124">
        <f>IF(G97="","",COUNTIFS($C$18:$C$2015,G$13,$D$18:$D$2015,"&gt;="&amp;G97,$D$18:$D$2015,"&lt;"&amp;G98))</f>
        <v/>
      </c>
      <c r="I97" s="14" t="n"/>
      <c r="J97" s="16" t="n"/>
      <c r="K97" s="124">
        <f>IF(J97="","",COUNTIFS($C$18:$C$2015,J$13,$D$18:$D$2015,"&gt;="&amp;J97,$D$18:$D$2015,"&lt;"&amp;J98))</f>
        <v/>
      </c>
      <c r="L97" s="14" t="n"/>
      <c r="M97" s="16" t="n"/>
      <c r="N97" s="124">
        <f>IF(M97="","",COUNTIFS($C$18:$C$2015,M$13,$D$18:$D$2015,"&gt;="&amp;M97,$D$18:$D$2015,"&lt;"&amp;M98))</f>
        <v/>
      </c>
      <c r="O97" s="14" t="n"/>
      <c r="P97" s="16" t="n"/>
      <c r="Q97" s="124">
        <f>IF(P97="","",COUNTIFS($C$18:$C$2015,P$13,$D$18:$D$2015,"&gt;="&amp;P97,$D$18:$D$2015,"&lt;"&amp;P98))</f>
        <v/>
      </c>
      <c r="R97" s="14" t="n"/>
      <c r="S97" s="16" t="n"/>
      <c r="T97" s="124">
        <f>IF(S97="","",COUNTIFS($C$18:$C$2015,S$13,$D$18:$D$2015,"&gt;="&amp;S97,$D$18:$D$2015,"&lt;"&amp;S98))</f>
        <v/>
      </c>
      <c r="U97" s="14" t="n"/>
      <c r="V97" s="16" t="n"/>
      <c r="W97" s="124">
        <f>IF(V97="","",COUNTIFS($C$18:$C$2015,V$13,$D$18:$D$2015,"&gt;="&amp;V97,$D$18:$D$2015,"&lt;"&amp;V98))</f>
        <v/>
      </c>
      <c r="X97" s="14" t="n"/>
      <c r="Y97" s="16" t="n"/>
      <c r="Z97" s="124">
        <f>IF(Y97="","",COUNTIFS($C$18:$C$2015,Y$13,$D$18:$D$2015,"&gt;="&amp;Y97,$D$18:$D$2015,"&lt;"&amp;Y98))</f>
        <v/>
      </c>
      <c r="AA97" s="14" t="n"/>
      <c r="AB97" s="16" t="n"/>
      <c r="AC97" s="124">
        <f>IF(AB97="","",COUNTIFS($C$18:$C$2015,AB$13,$D$18:$D$2015,"&gt;="&amp;AB97,$D$18:$D$2015,"&lt;"&amp;AB98))</f>
        <v/>
      </c>
      <c r="AD97" s="14" t="n"/>
    </row>
    <row r="98">
      <c r="A98" s="56" t="n"/>
      <c r="B98" s="57" t="n"/>
      <c r="C98" s="59" t="n"/>
      <c r="E98" s="16" t="n"/>
      <c r="F98" s="13" t="n"/>
      <c r="G98" s="16" t="n"/>
      <c r="H98" s="124">
        <f>IF(G98="","",COUNTIFS($C$18:$C$2015,G$13,$D$18:$D$2015,"&gt;="&amp;G98,$D$18:$D$2015,"&lt;"&amp;G99))</f>
        <v/>
      </c>
      <c r="I98" s="14" t="n"/>
      <c r="J98" s="16" t="n"/>
      <c r="K98" s="124">
        <f>IF(J98="","",COUNTIFS($C$18:$C$2015,J$13,$D$18:$D$2015,"&gt;="&amp;J98,$D$18:$D$2015,"&lt;"&amp;J99))</f>
        <v/>
      </c>
      <c r="L98" s="14" t="n"/>
      <c r="M98" s="16" t="n"/>
      <c r="N98" s="124">
        <f>IF(M98="","",COUNTIFS($C$18:$C$2015,M$13,$D$18:$D$2015,"&gt;="&amp;M98,$D$18:$D$2015,"&lt;"&amp;M99))</f>
        <v/>
      </c>
      <c r="O98" s="14" t="n"/>
      <c r="P98" s="16" t="n"/>
      <c r="Q98" s="124">
        <f>IF(P98="","",COUNTIFS($C$18:$C$2015,P$13,$D$18:$D$2015,"&gt;="&amp;P98,$D$18:$D$2015,"&lt;"&amp;P99))</f>
        <v/>
      </c>
      <c r="R98" s="14" t="n"/>
      <c r="S98" s="16" t="n"/>
      <c r="T98" s="124">
        <f>IF(S98="","",COUNTIFS($C$18:$C$2015,S$13,$D$18:$D$2015,"&gt;="&amp;S98,$D$18:$D$2015,"&lt;"&amp;S99))</f>
        <v/>
      </c>
      <c r="U98" s="14" t="n"/>
      <c r="V98" s="16" t="n"/>
      <c r="W98" s="124">
        <f>IF(V98="","",COUNTIFS($C$18:$C$2015,V$13,$D$18:$D$2015,"&gt;="&amp;V98,$D$18:$D$2015,"&lt;"&amp;V99))</f>
        <v/>
      </c>
      <c r="X98" s="14" t="n"/>
      <c r="Y98" s="16" t="n"/>
      <c r="Z98" s="124">
        <f>IF(Y98="","",COUNTIFS($C$18:$C$2015,Y$13,$D$18:$D$2015,"&gt;="&amp;Y98,$D$18:$D$2015,"&lt;"&amp;Y99))</f>
        <v/>
      </c>
      <c r="AA98" s="14" t="n"/>
      <c r="AB98" s="16" t="n"/>
      <c r="AC98" s="124">
        <f>IF(AB98="","",COUNTIFS($C$18:$C$2015,AB$13,$D$18:$D$2015,"&gt;="&amp;AB98,$D$18:$D$2015,"&lt;"&amp;AB99))</f>
        <v/>
      </c>
      <c r="AD98" s="14" t="n"/>
    </row>
    <row r="99">
      <c r="A99" s="58" t="n"/>
      <c r="B99" s="59" t="n"/>
      <c r="C99" s="59" t="n"/>
      <c r="E99" s="16" t="n"/>
      <c r="F99" s="13" t="n"/>
      <c r="G99" s="16" t="n"/>
      <c r="H99" s="124">
        <f>IF(G99="","",COUNTIFS($C$18:$C$2015,G$13,$D$18:$D$2015,"&gt;="&amp;G99,$D$18:$D$2015,"&lt;"&amp;G100))</f>
        <v/>
      </c>
      <c r="I99" s="14" t="n"/>
      <c r="J99" s="16" t="n"/>
      <c r="K99" s="124">
        <f>IF(J99="","",COUNTIFS($C$18:$C$2015,J$13,$D$18:$D$2015,"&gt;="&amp;J99,$D$18:$D$2015,"&lt;"&amp;J100))</f>
        <v/>
      </c>
      <c r="L99" s="14" t="n"/>
      <c r="M99" s="16" t="n"/>
      <c r="N99" s="124">
        <f>IF(M99="","",COUNTIFS($C$18:$C$2015,M$13,$D$18:$D$2015,"&gt;="&amp;M99,$D$18:$D$2015,"&lt;"&amp;M100))</f>
        <v/>
      </c>
      <c r="O99" s="14" t="n"/>
      <c r="P99" s="16" t="n"/>
      <c r="Q99" s="124">
        <f>IF(P99="","",COUNTIFS($C$18:$C$2015,P$13,$D$18:$D$2015,"&gt;="&amp;P99,$D$18:$D$2015,"&lt;"&amp;P100))</f>
        <v/>
      </c>
      <c r="R99" s="14" t="n"/>
      <c r="S99" s="16" t="n"/>
      <c r="T99" s="124">
        <f>IF(S99="","",COUNTIFS($C$18:$C$2015,S$13,$D$18:$D$2015,"&gt;="&amp;S99,$D$18:$D$2015,"&lt;"&amp;S100))</f>
        <v/>
      </c>
      <c r="U99" s="14" t="n"/>
      <c r="V99" s="16" t="n"/>
      <c r="W99" s="124">
        <f>IF(V99="","",COUNTIFS($C$18:$C$2015,V$13,$D$18:$D$2015,"&gt;="&amp;V99,$D$18:$D$2015,"&lt;"&amp;V100))</f>
        <v/>
      </c>
      <c r="X99" s="14" t="n"/>
      <c r="Y99" s="16" t="n"/>
      <c r="Z99" s="124">
        <f>IF(Y99="","",COUNTIFS($C$18:$C$2015,Y$13,$D$18:$D$2015,"&gt;="&amp;Y99,$D$18:$D$2015,"&lt;"&amp;Y100))</f>
        <v/>
      </c>
      <c r="AA99" s="14" t="n"/>
      <c r="AB99" s="16" t="n"/>
      <c r="AC99" s="124">
        <f>IF(AB99="","",COUNTIFS($C$18:$C$2015,AB$13,$D$18:$D$2015,"&gt;="&amp;AB99,$D$18:$D$2015,"&lt;"&amp;AB100))</f>
        <v/>
      </c>
      <c r="AD99" s="14" t="n"/>
    </row>
    <row r="100">
      <c r="A100" s="56" t="n"/>
      <c r="B100" s="57" t="n"/>
      <c r="C100" s="59" t="n"/>
      <c r="E100" s="16" t="n"/>
      <c r="F100" s="13" t="n"/>
      <c r="G100" s="16" t="n"/>
      <c r="H100" s="124">
        <f>IF(G100="","",COUNTIFS($C$18:$C$2015,G$13,$D$18:$D$2015,"&gt;="&amp;G100,$D$18:$D$2015,"&lt;"&amp;G101))</f>
        <v/>
      </c>
      <c r="I100" s="14" t="n"/>
      <c r="J100" s="16" t="n"/>
      <c r="K100" s="124">
        <f>IF(J100="","",COUNTIFS($C$18:$C$2015,J$13,$D$18:$D$2015,"&gt;="&amp;J100,$D$18:$D$2015,"&lt;"&amp;J101))</f>
        <v/>
      </c>
      <c r="L100" s="14" t="n"/>
      <c r="M100" s="16" t="n"/>
      <c r="N100" s="124">
        <f>IF(M100="","",COUNTIFS($C$18:$C$2015,M$13,$D$18:$D$2015,"&gt;="&amp;M100,$D$18:$D$2015,"&lt;"&amp;M101))</f>
        <v/>
      </c>
      <c r="O100" s="14" t="n"/>
      <c r="P100" s="16" t="n"/>
      <c r="Q100" s="124">
        <f>IF(P100="","",COUNTIFS($C$18:$C$2015,P$13,$D$18:$D$2015,"&gt;="&amp;P100,$D$18:$D$2015,"&lt;"&amp;P101))</f>
        <v/>
      </c>
      <c r="R100" s="14" t="n"/>
      <c r="S100" s="16" t="n"/>
      <c r="T100" s="124">
        <f>IF(S100="","",COUNTIFS($C$18:$C$2015,S$13,$D$18:$D$2015,"&gt;="&amp;S100,$D$18:$D$2015,"&lt;"&amp;S101))</f>
        <v/>
      </c>
      <c r="U100" s="14" t="n"/>
      <c r="V100" s="16" t="n"/>
      <c r="W100" s="124">
        <f>IF(V100="","",COUNTIFS($C$18:$C$2015,V$13,$D$18:$D$2015,"&gt;="&amp;V100,$D$18:$D$2015,"&lt;"&amp;V101))</f>
        <v/>
      </c>
      <c r="X100" s="14" t="n"/>
      <c r="Y100" s="16" t="n"/>
      <c r="Z100" s="124">
        <f>IF(Y100="","",COUNTIFS($C$18:$C$2015,Y$13,$D$18:$D$2015,"&gt;="&amp;Y100,$D$18:$D$2015,"&lt;"&amp;Y101))</f>
        <v/>
      </c>
      <c r="AA100" s="14" t="n"/>
      <c r="AB100" s="16" t="n"/>
      <c r="AC100" s="124">
        <f>IF(AB100="","",COUNTIFS($C$18:$C$2015,AB$13,$D$18:$D$2015,"&gt;="&amp;AB100,$D$18:$D$2015,"&lt;"&amp;AB101))</f>
        <v/>
      </c>
      <c r="AD100" s="14" t="n"/>
    </row>
    <row r="101">
      <c r="A101" s="58" t="n"/>
      <c r="B101" s="59" t="n"/>
      <c r="C101" s="59" t="n"/>
      <c r="E101" s="16" t="n"/>
      <c r="F101" s="13" t="n"/>
      <c r="G101" s="16" t="n"/>
      <c r="H101" s="124">
        <f>IF(G101="","",COUNTIFS($C$18:$C$2015,G$13,$D$18:$D$2015,"&gt;="&amp;G101,$D$18:$D$2015,"&lt;"&amp;G102))</f>
        <v/>
      </c>
      <c r="I101" s="14" t="n"/>
      <c r="J101" s="16" t="n"/>
      <c r="K101" s="124">
        <f>IF(J101="","",COUNTIFS($C$18:$C$2015,J$13,$D$18:$D$2015,"&gt;="&amp;J101,$D$18:$D$2015,"&lt;"&amp;J102))</f>
        <v/>
      </c>
      <c r="L101" s="14" t="n"/>
      <c r="M101" s="16" t="n"/>
      <c r="N101" s="124">
        <f>IF(M101="","",COUNTIFS($C$18:$C$2015,M$13,$D$18:$D$2015,"&gt;="&amp;M101,$D$18:$D$2015,"&lt;"&amp;M102))</f>
        <v/>
      </c>
      <c r="O101" s="14" t="n"/>
      <c r="P101" s="16" t="n"/>
      <c r="Q101" s="124">
        <f>IF(P101="","",COUNTIFS($C$18:$C$2015,P$13,$D$18:$D$2015,"&gt;="&amp;P101,$D$18:$D$2015,"&lt;"&amp;P102))</f>
        <v/>
      </c>
      <c r="R101" s="14" t="n"/>
      <c r="S101" s="16" t="n"/>
      <c r="T101" s="124">
        <f>IF(S101="","",COUNTIFS($C$18:$C$2015,S$13,$D$18:$D$2015,"&gt;="&amp;S101,$D$18:$D$2015,"&lt;"&amp;S102))</f>
        <v/>
      </c>
      <c r="U101" s="14" t="n"/>
      <c r="V101" s="16" t="n"/>
      <c r="W101" s="124">
        <f>IF(V101="","",COUNTIFS($C$18:$C$2015,V$13,$D$18:$D$2015,"&gt;="&amp;V101,$D$18:$D$2015,"&lt;"&amp;V102))</f>
        <v/>
      </c>
      <c r="X101" s="14" t="n"/>
      <c r="Y101" s="16" t="n"/>
      <c r="Z101" s="124">
        <f>IF(Y101="","",COUNTIFS($C$18:$C$2015,Y$13,$D$18:$D$2015,"&gt;="&amp;Y101,$D$18:$D$2015,"&lt;"&amp;Y102))</f>
        <v/>
      </c>
      <c r="AA101" s="14" t="n"/>
      <c r="AB101" s="16" t="n"/>
      <c r="AC101" s="124">
        <f>IF(AB101="","",COUNTIFS($C$18:$C$2015,AB$13,$D$18:$D$2015,"&gt;="&amp;AB101,$D$18:$D$2015,"&lt;"&amp;AB102))</f>
        <v/>
      </c>
      <c r="AD101" s="14" t="n"/>
    </row>
    <row r="102">
      <c r="A102" s="56" t="n"/>
      <c r="B102" s="57" t="n"/>
      <c r="C102" s="59" t="n"/>
      <c r="E102" s="16" t="n"/>
      <c r="F102" s="13" t="n"/>
      <c r="G102" s="16" t="n"/>
      <c r="H102" s="124">
        <f>IF(G102="","",COUNTIFS($C$18:$C$2015,G$13,$D$18:$D$2015,"&gt;="&amp;G102,$D$18:$D$2015,"&lt;"&amp;G103))</f>
        <v/>
      </c>
      <c r="I102" s="14" t="n"/>
      <c r="J102" s="16" t="n"/>
      <c r="K102" s="124">
        <f>IF(J102="","",COUNTIFS($C$18:$C$2015,J$13,$D$18:$D$2015,"&gt;="&amp;J102,$D$18:$D$2015,"&lt;"&amp;J103))</f>
        <v/>
      </c>
      <c r="L102" s="14" t="n"/>
      <c r="M102" s="16" t="n"/>
      <c r="N102" s="124">
        <f>IF(M102="","",COUNTIFS($C$18:$C$2015,M$13,$D$18:$D$2015,"&gt;="&amp;M102,$D$18:$D$2015,"&lt;"&amp;M103))</f>
        <v/>
      </c>
      <c r="O102" s="14" t="n"/>
      <c r="P102" s="16" t="n"/>
      <c r="Q102" s="124">
        <f>IF(P102="","",COUNTIFS($C$18:$C$2015,P$13,$D$18:$D$2015,"&gt;="&amp;P102,$D$18:$D$2015,"&lt;"&amp;P103))</f>
        <v/>
      </c>
      <c r="R102" s="14" t="n"/>
      <c r="S102" s="16" t="n"/>
      <c r="T102" s="124">
        <f>IF(S102="","",COUNTIFS($C$18:$C$2015,S$13,$D$18:$D$2015,"&gt;="&amp;S102,$D$18:$D$2015,"&lt;"&amp;S103))</f>
        <v/>
      </c>
      <c r="U102" s="14" t="n"/>
      <c r="V102" s="16" t="n"/>
      <c r="W102" s="124">
        <f>IF(V102="","",COUNTIFS($C$18:$C$2015,V$13,$D$18:$D$2015,"&gt;="&amp;V102,$D$18:$D$2015,"&lt;"&amp;V103))</f>
        <v/>
      </c>
      <c r="X102" s="14" t="n"/>
      <c r="Y102" s="16" t="n"/>
      <c r="Z102" s="124">
        <f>IF(Y102="","",COUNTIFS($C$18:$C$2015,Y$13,$D$18:$D$2015,"&gt;="&amp;Y102,$D$18:$D$2015,"&lt;"&amp;Y103))</f>
        <v/>
      </c>
      <c r="AA102" s="14" t="n"/>
      <c r="AB102" s="16" t="n"/>
      <c r="AC102" s="124">
        <f>IF(AB102="","",COUNTIFS($C$18:$C$2015,AB$13,$D$18:$D$2015,"&gt;="&amp;AB102,$D$18:$D$2015,"&lt;"&amp;AB103))</f>
        <v/>
      </c>
      <c r="AD102" s="14" t="n"/>
    </row>
    <row r="103">
      <c r="A103" s="58" t="n"/>
      <c r="B103" s="59" t="n"/>
      <c r="C103" s="59" t="n"/>
      <c r="E103" s="16" t="n"/>
      <c r="F103" s="13" t="n"/>
      <c r="G103" s="16" t="n"/>
      <c r="H103" s="124">
        <f>IF(G103="","",COUNTIFS($C$18:$C$2015,G$13,$D$18:$D$2015,"&gt;="&amp;G103,$D$18:$D$2015,"&lt;"&amp;G104))</f>
        <v/>
      </c>
      <c r="I103" s="14" t="n"/>
      <c r="J103" s="16" t="n"/>
      <c r="K103" s="124">
        <f>IF(J103="","",COUNTIFS($C$18:$C$2015,J$13,$D$18:$D$2015,"&gt;="&amp;J103,$D$18:$D$2015,"&lt;"&amp;J104))</f>
        <v/>
      </c>
      <c r="L103" s="14" t="n"/>
      <c r="M103" s="16" t="n"/>
      <c r="N103" s="124">
        <f>IF(M103="","",COUNTIFS($C$18:$C$2015,M$13,$D$18:$D$2015,"&gt;="&amp;M103,$D$18:$D$2015,"&lt;"&amp;M104))</f>
        <v/>
      </c>
      <c r="O103" s="14" t="n"/>
      <c r="P103" s="16" t="n"/>
      <c r="Q103" s="124">
        <f>IF(P103="","",COUNTIFS($C$18:$C$2015,P$13,$D$18:$D$2015,"&gt;="&amp;P103,$D$18:$D$2015,"&lt;"&amp;P104))</f>
        <v/>
      </c>
      <c r="R103" s="14" t="n"/>
      <c r="S103" s="16" t="n"/>
      <c r="T103" s="124">
        <f>IF(S103="","",COUNTIFS($C$18:$C$2015,S$13,$D$18:$D$2015,"&gt;="&amp;S103,$D$18:$D$2015,"&lt;"&amp;S104))</f>
        <v/>
      </c>
      <c r="U103" s="14" t="n"/>
      <c r="V103" s="16" t="n"/>
      <c r="W103" s="124">
        <f>IF(V103="","",COUNTIFS($C$18:$C$2015,V$13,$D$18:$D$2015,"&gt;="&amp;V103,$D$18:$D$2015,"&lt;"&amp;V104))</f>
        <v/>
      </c>
      <c r="X103" s="14" t="n"/>
      <c r="Y103" s="16" t="n"/>
      <c r="Z103" s="124">
        <f>IF(Y103="","",COUNTIFS($C$18:$C$2015,Y$13,$D$18:$D$2015,"&gt;="&amp;Y103,$D$18:$D$2015,"&lt;"&amp;Y104))</f>
        <v/>
      </c>
      <c r="AA103" s="14" t="n"/>
      <c r="AB103" s="16" t="n"/>
      <c r="AC103" s="124">
        <f>IF(AB103="","",COUNTIFS($C$18:$C$2015,AB$13,$D$18:$D$2015,"&gt;="&amp;AB103,$D$18:$D$2015,"&lt;"&amp;AB104))</f>
        <v/>
      </c>
      <c r="AD103" s="14" t="n"/>
    </row>
    <row r="104">
      <c r="A104" s="56" t="n"/>
      <c r="B104" s="57" t="n"/>
      <c r="C104" s="59" t="n"/>
      <c r="E104" s="16" t="n"/>
      <c r="F104" s="13" t="n"/>
      <c r="G104" s="16" t="n"/>
      <c r="H104" s="124">
        <f>IF(G104="","",COUNTIFS($C$18:$C$2015,G$13,$D$18:$D$2015,"&gt;="&amp;G104,$D$18:$D$2015,"&lt;"&amp;G105))</f>
        <v/>
      </c>
      <c r="I104" s="14" t="n"/>
      <c r="J104" s="16" t="n"/>
      <c r="K104" s="124">
        <f>IF(J104="","",COUNTIFS($C$18:$C$2015,J$13,$D$18:$D$2015,"&gt;="&amp;J104,$D$18:$D$2015,"&lt;"&amp;J105))</f>
        <v/>
      </c>
      <c r="L104" s="14" t="n"/>
      <c r="M104" s="16" t="n"/>
      <c r="N104" s="124">
        <f>IF(M104="","",COUNTIFS($C$18:$C$2015,M$13,$D$18:$D$2015,"&gt;="&amp;M104,$D$18:$D$2015,"&lt;"&amp;M105))</f>
        <v/>
      </c>
      <c r="O104" s="14" t="n"/>
      <c r="P104" s="16" t="n"/>
      <c r="Q104" s="124">
        <f>IF(P104="","",COUNTIFS($C$18:$C$2015,P$13,$D$18:$D$2015,"&gt;="&amp;P104,$D$18:$D$2015,"&lt;"&amp;P105))</f>
        <v/>
      </c>
      <c r="R104" s="14" t="n"/>
      <c r="S104" s="16" t="n"/>
      <c r="T104" s="124">
        <f>IF(S104="","",COUNTIFS($C$18:$C$2015,S$13,$D$18:$D$2015,"&gt;="&amp;S104,$D$18:$D$2015,"&lt;"&amp;S105))</f>
        <v/>
      </c>
      <c r="U104" s="14" t="n"/>
      <c r="V104" s="16" t="n"/>
      <c r="W104" s="124">
        <f>IF(V104="","",COUNTIFS($C$18:$C$2015,V$13,$D$18:$D$2015,"&gt;="&amp;V104,$D$18:$D$2015,"&lt;"&amp;V105))</f>
        <v/>
      </c>
      <c r="X104" s="14" t="n"/>
      <c r="Y104" s="16" t="n"/>
      <c r="Z104" s="124">
        <f>IF(Y104="","",COUNTIFS($C$18:$C$2015,Y$13,$D$18:$D$2015,"&gt;="&amp;Y104,$D$18:$D$2015,"&lt;"&amp;Y105))</f>
        <v/>
      </c>
      <c r="AA104" s="14" t="n"/>
      <c r="AB104" s="16" t="n"/>
      <c r="AC104" s="124">
        <f>IF(AB104="","",COUNTIFS($C$18:$C$2015,AB$13,$D$18:$D$2015,"&gt;="&amp;AB104,$D$18:$D$2015,"&lt;"&amp;AB105))</f>
        <v/>
      </c>
      <c r="AD104" s="14" t="n"/>
    </row>
    <row r="105">
      <c r="A105" s="58" t="n"/>
      <c r="B105" s="59" t="n"/>
      <c r="C105" s="59" t="n"/>
      <c r="E105" s="16" t="n"/>
      <c r="F105" s="13" t="n"/>
      <c r="G105" s="16" t="n"/>
      <c r="H105" s="124">
        <f>IF(G105="","",COUNTIFS($C$18:$C$2015,G$13,$D$18:$D$2015,"&gt;="&amp;G105,$D$18:$D$2015,"&lt;"&amp;G106))</f>
        <v/>
      </c>
      <c r="I105" s="14" t="n"/>
      <c r="J105" s="16" t="n"/>
      <c r="K105" s="124">
        <f>IF(J105="","",COUNTIFS($C$18:$C$2015,J$13,$D$18:$D$2015,"&gt;="&amp;J105,$D$18:$D$2015,"&lt;"&amp;J106))</f>
        <v/>
      </c>
      <c r="L105" s="14" t="n"/>
      <c r="M105" s="16" t="n"/>
      <c r="N105" s="124">
        <f>IF(M105="","",COUNTIFS($C$18:$C$2015,M$13,$D$18:$D$2015,"&gt;="&amp;M105,$D$18:$D$2015,"&lt;"&amp;M106))</f>
        <v/>
      </c>
      <c r="O105" s="14" t="n"/>
      <c r="P105" s="16" t="n"/>
      <c r="Q105" s="124">
        <f>IF(P105="","",COUNTIFS($C$18:$C$2015,P$13,$D$18:$D$2015,"&gt;="&amp;P105,$D$18:$D$2015,"&lt;"&amp;P106))</f>
        <v/>
      </c>
      <c r="R105" s="14" t="n"/>
      <c r="S105" s="16" t="n"/>
      <c r="T105" s="124">
        <f>IF(S105="","",COUNTIFS($C$18:$C$2015,S$13,$D$18:$D$2015,"&gt;="&amp;S105,$D$18:$D$2015,"&lt;"&amp;S106))</f>
        <v/>
      </c>
      <c r="U105" s="14" t="n"/>
      <c r="V105" s="16" t="n"/>
      <c r="W105" s="124">
        <f>IF(V105="","",COUNTIFS($C$18:$C$2015,V$13,$D$18:$D$2015,"&gt;="&amp;V105,$D$18:$D$2015,"&lt;"&amp;V106))</f>
        <v/>
      </c>
      <c r="X105" s="14" t="n"/>
      <c r="Y105" s="16" t="n"/>
      <c r="Z105" s="124">
        <f>IF(Y105="","",COUNTIFS($C$18:$C$2015,Y$13,$D$18:$D$2015,"&gt;="&amp;Y105,$D$18:$D$2015,"&lt;"&amp;Y106))</f>
        <v/>
      </c>
      <c r="AA105" s="14" t="n"/>
      <c r="AB105" s="16" t="n"/>
      <c r="AC105" s="124">
        <f>IF(AB105="","",COUNTIFS($C$18:$C$2015,AB$13,$D$18:$D$2015,"&gt;="&amp;AB105,$D$18:$D$2015,"&lt;"&amp;AB106))</f>
        <v/>
      </c>
      <c r="AD105" s="14" t="n"/>
    </row>
    <row r="106">
      <c r="A106" s="56" t="n"/>
      <c r="B106" s="57" t="n"/>
      <c r="C106" s="59" t="n"/>
      <c r="E106" s="16" t="n"/>
      <c r="F106" s="13" t="n"/>
      <c r="G106" s="16" t="n"/>
      <c r="H106" s="124">
        <f>IF(G106="","",COUNTIFS($C$18:$C$2015,G$13,$D$18:$D$2015,"&gt;="&amp;G106,$D$18:$D$2015,"&lt;"&amp;G107))</f>
        <v/>
      </c>
      <c r="I106" s="14" t="n"/>
      <c r="J106" s="16" t="n"/>
      <c r="K106" s="124">
        <f>IF(J106="","",COUNTIFS($C$18:$C$2015,J$13,$D$18:$D$2015,"&gt;="&amp;J106,$D$18:$D$2015,"&lt;"&amp;J107))</f>
        <v/>
      </c>
      <c r="L106" s="14" t="n"/>
      <c r="M106" s="16" t="n"/>
      <c r="N106" s="124">
        <f>IF(M106="","",COUNTIFS($C$18:$C$2015,M$13,$D$18:$D$2015,"&gt;="&amp;M106,$D$18:$D$2015,"&lt;"&amp;M107))</f>
        <v/>
      </c>
      <c r="O106" s="14" t="n"/>
      <c r="P106" s="16" t="n"/>
      <c r="Q106" s="124">
        <f>IF(P106="","",COUNTIFS($C$18:$C$2015,P$13,$D$18:$D$2015,"&gt;="&amp;P106,$D$18:$D$2015,"&lt;"&amp;P107))</f>
        <v/>
      </c>
      <c r="R106" s="14" t="n"/>
      <c r="S106" s="16" t="n"/>
      <c r="T106" s="124">
        <f>IF(S106="","",COUNTIFS($C$18:$C$2015,S$13,$D$18:$D$2015,"&gt;="&amp;S106,$D$18:$D$2015,"&lt;"&amp;S107))</f>
        <v/>
      </c>
      <c r="U106" s="14" t="n"/>
      <c r="V106" s="16" t="n"/>
      <c r="W106" s="124">
        <f>IF(V106="","",COUNTIFS($C$18:$C$2015,V$13,$D$18:$D$2015,"&gt;="&amp;V106,$D$18:$D$2015,"&lt;"&amp;V107))</f>
        <v/>
      </c>
      <c r="X106" s="14" t="n"/>
      <c r="Y106" s="16" t="n"/>
      <c r="Z106" s="124">
        <f>IF(Y106="","",COUNTIFS($C$18:$C$2015,Y$13,$D$18:$D$2015,"&gt;="&amp;Y106,$D$18:$D$2015,"&lt;"&amp;Y107))</f>
        <v/>
      </c>
      <c r="AA106" s="14" t="n"/>
      <c r="AB106" s="16" t="n"/>
      <c r="AC106" s="124">
        <f>IF(AB106="","",COUNTIFS($C$18:$C$2015,AB$13,$D$18:$D$2015,"&gt;="&amp;AB106,$D$18:$D$2015,"&lt;"&amp;AB107))</f>
        <v/>
      </c>
      <c r="AD106" s="14" t="n"/>
    </row>
    <row r="107">
      <c r="A107" s="58" t="n"/>
      <c r="B107" s="59" t="n"/>
      <c r="C107" s="59" t="n"/>
      <c r="E107" s="16" t="n"/>
      <c r="F107" s="13" t="n"/>
      <c r="G107" s="16" t="n"/>
      <c r="H107" s="124">
        <f>IF(G107="","",COUNTIFS($C$18:$C$2015,G$13,$D$18:$D$2015,"&gt;="&amp;G107,$D$18:$D$2015,"&lt;"&amp;G108))</f>
        <v/>
      </c>
      <c r="I107" s="14" t="n"/>
      <c r="J107" s="16" t="n"/>
      <c r="K107" s="124">
        <f>IF(J107="","",COUNTIFS($C$18:$C$2015,J$13,$D$18:$D$2015,"&gt;="&amp;J107,$D$18:$D$2015,"&lt;"&amp;J108))</f>
        <v/>
      </c>
      <c r="L107" s="14" t="n"/>
      <c r="M107" s="16" t="n"/>
      <c r="N107" s="124">
        <f>IF(M107="","",COUNTIFS($C$18:$C$2015,M$13,$D$18:$D$2015,"&gt;="&amp;M107,$D$18:$D$2015,"&lt;"&amp;M108))</f>
        <v/>
      </c>
      <c r="O107" s="14" t="n"/>
      <c r="P107" s="16" t="n"/>
      <c r="Q107" s="124">
        <f>IF(P107="","",COUNTIFS($C$18:$C$2015,P$13,$D$18:$D$2015,"&gt;="&amp;P107,$D$18:$D$2015,"&lt;"&amp;P108))</f>
        <v/>
      </c>
      <c r="R107" s="14" t="n"/>
      <c r="S107" s="16" t="n"/>
      <c r="T107" s="124">
        <f>IF(S107="","",COUNTIFS($C$18:$C$2015,S$13,$D$18:$D$2015,"&gt;="&amp;S107,$D$18:$D$2015,"&lt;"&amp;S108))</f>
        <v/>
      </c>
      <c r="U107" s="14" t="n"/>
      <c r="V107" s="16" t="n"/>
      <c r="W107" s="124">
        <f>IF(V107="","",COUNTIFS($C$18:$C$2015,V$13,$D$18:$D$2015,"&gt;="&amp;V107,$D$18:$D$2015,"&lt;"&amp;V108))</f>
        <v/>
      </c>
      <c r="X107" s="14" t="n"/>
      <c r="Y107" s="16" t="n"/>
      <c r="Z107" s="124">
        <f>IF(Y107="","",COUNTIFS($C$18:$C$2015,Y$13,$D$18:$D$2015,"&gt;="&amp;Y107,$D$18:$D$2015,"&lt;"&amp;Y108))</f>
        <v/>
      </c>
      <c r="AA107" s="14" t="n"/>
      <c r="AB107" s="16" t="n"/>
      <c r="AC107" s="124">
        <f>IF(AB107="","",COUNTIFS($C$18:$C$2015,AB$13,$D$18:$D$2015,"&gt;="&amp;AB107,$D$18:$D$2015,"&lt;"&amp;AB108))</f>
        <v/>
      </c>
      <c r="AD107" s="14" t="n"/>
    </row>
    <row r="108">
      <c r="A108" s="56" t="n"/>
      <c r="B108" s="57" t="n"/>
      <c r="C108" s="59" t="n"/>
      <c r="E108" s="16" t="n"/>
      <c r="F108" s="13" t="n"/>
      <c r="G108" s="16" t="n"/>
      <c r="H108" s="124">
        <f>IF(G108="","",COUNTIFS($C$18:$C$2015,G$13,$D$18:$D$2015,"&gt;="&amp;G108,$D$18:$D$2015,"&lt;"&amp;G109))</f>
        <v/>
      </c>
      <c r="I108" s="14" t="n"/>
      <c r="J108" s="16" t="n"/>
      <c r="K108" s="124">
        <f>IF(J108="","",COUNTIFS($C$18:$C$2015,J$13,$D$18:$D$2015,"&gt;="&amp;J108,$D$18:$D$2015,"&lt;"&amp;J109))</f>
        <v/>
      </c>
      <c r="L108" s="14" t="n"/>
      <c r="M108" s="16" t="n"/>
      <c r="N108" s="124">
        <f>IF(M108="","",COUNTIFS($C$18:$C$2015,M$13,$D$18:$D$2015,"&gt;="&amp;M108,$D$18:$D$2015,"&lt;"&amp;M109))</f>
        <v/>
      </c>
      <c r="O108" s="14" t="n"/>
      <c r="P108" s="16" t="n"/>
      <c r="Q108" s="124">
        <f>IF(P108="","",COUNTIFS($C$18:$C$2015,P$13,$D$18:$D$2015,"&gt;="&amp;P108,$D$18:$D$2015,"&lt;"&amp;P109))</f>
        <v/>
      </c>
      <c r="R108" s="14" t="n"/>
      <c r="S108" s="16" t="n"/>
      <c r="T108" s="124">
        <f>IF(S108="","",COUNTIFS($C$18:$C$2015,S$13,$D$18:$D$2015,"&gt;="&amp;S108,$D$18:$D$2015,"&lt;"&amp;S109))</f>
        <v/>
      </c>
      <c r="U108" s="14" t="n"/>
      <c r="V108" s="16" t="n"/>
      <c r="W108" s="124">
        <f>IF(V108="","",COUNTIFS($C$18:$C$2015,V$13,$D$18:$D$2015,"&gt;="&amp;V108,$D$18:$D$2015,"&lt;"&amp;V109))</f>
        <v/>
      </c>
      <c r="X108" s="14" t="n"/>
      <c r="Y108" s="16" t="n"/>
      <c r="Z108" s="124">
        <f>IF(Y108="","",COUNTIFS($C$18:$C$2015,Y$13,$D$18:$D$2015,"&gt;="&amp;Y108,$D$18:$D$2015,"&lt;"&amp;Y109))</f>
        <v/>
      </c>
      <c r="AA108" s="14" t="n"/>
      <c r="AB108" s="16" t="n"/>
      <c r="AC108" s="124">
        <f>IF(AB108="","",COUNTIFS($C$18:$C$2015,AB$13,$D$18:$D$2015,"&gt;="&amp;AB108,$D$18:$D$2015,"&lt;"&amp;AB109))</f>
        <v/>
      </c>
      <c r="AD108" s="14" t="n"/>
    </row>
    <row r="109">
      <c r="A109" s="58" t="n"/>
      <c r="B109" s="59" t="n"/>
      <c r="C109" s="59" t="n"/>
      <c r="E109" s="16" t="n"/>
      <c r="F109" s="13" t="n"/>
      <c r="G109" s="16" t="n"/>
      <c r="H109" s="124">
        <f>IF(G109="","",COUNTIFS($C$18:$C$2015,G$13,$D$18:$D$2015,"&gt;="&amp;G109,$D$18:$D$2015,"&lt;"&amp;G110))</f>
        <v/>
      </c>
      <c r="I109" s="14" t="n"/>
      <c r="J109" s="16" t="n"/>
      <c r="K109" s="124">
        <f>IF(J109="","",COUNTIFS($C$18:$C$2015,J$13,$D$18:$D$2015,"&gt;="&amp;J109,$D$18:$D$2015,"&lt;"&amp;J110))</f>
        <v/>
      </c>
      <c r="L109" s="14" t="n"/>
      <c r="M109" s="16" t="n"/>
      <c r="N109" s="124">
        <f>IF(M109="","",COUNTIFS($C$18:$C$2015,M$13,$D$18:$D$2015,"&gt;="&amp;M109,$D$18:$D$2015,"&lt;"&amp;M110))</f>
        <v/>
      </c>
      <c r="O109" s="14" t="n"/>
      <c r="P109" s="16" t="n"/>
      <c r="Q109" s="124">
        <f>IF(P109="","",COUNTIFS($C$18:$C$2015,P$13,$D$18:$D$2015,"&gt;="&amp;P109,$D$18:$D$2015,"&lt;"&amp;P110))</f>
        <v/>
      </c>
      <c r="R109" s="14" t="n"/>
      <c r="S109" s="16" t="n"/>
      <c r="T109" s="124">
        <f>IF(S109="","",COUNTIFS($C$18:$C$2015,S$13,$D$18:$D$2015,"&gt;="&amp;S109,$D$18:$D$2015,"&lt;"&amp;S110))</f>
        <v/>
      </c>
      <c r="U109" s="14" t="n"/>
      <c r="V109" s="16" t="n"/>
      <c r="W109" s="124">
        <f>IF(V109="","",COUNTIFS($C$18:$C$2015,V$13,$D$18:$D$2015,"&gt;="&amp;V109,$D$18:$D$2015,"&lt;"&amp;V110))</f>
        <v/>
      </c>
      <c r="X109" s="14" t="n"/>
      <c r="Y109" s="16" t="n"/>
      <c r="Z109" s="124">
        <f>IF(Y109="","",COUNTIFS($C$18:$C$2015,Y$13,$D$18:$D$2015,"&gt;="&amp;Y109,$D$18:$D$2015,"&lt;"&amp;Y110))</f>
        <v/>
      </c>
      <c r="AA109" s="14" t="n"/>
      <c r="AB109" s="16" t="n"/>
      <c r="AC109" s="124">
        <f>IF(AB109="","",COUNTIFS($C$18:$C$2015,AB$13,$D$18:$D$2015,"&gt;="&amp;AB109,$D$18:$D$2015,"&lt;"&amp;AB110))</f>
        <v/>
      </c>
      <c r="AD109" s="14" t="n"/>
    </row>
    <row r="110">
      <c r="A110" s="56" t="n"/>
      <c r="B110" s="57" t="n"/>
      <c r="C110" s="59" t="n"/>
      <c r="E110" s="16" t="n"/>
      <c r="F110" s="13" t="n"/>
      <c r="G110" s="16" t="n"/>
      <c r="H110" s="124">
        <f>IF(G110="","",COUNTIFS($C$18:$C$2015,G$13,$D$18:$D$2015,"&gt;="&amp;G110,$D$18:$D$2015,"&lt;"&amp;G111))</f>
        <v/>
      </c>
      <c r="I110" s="14" t="n"/>
      <c r="J110" s="16" t="n"/>
      <c r="K110" s="124">
        <f>IF(J110="","",COUNTIFS($C$18:$C$2015,J$13,$D$18:$D$2015,"&gt;="&amp;J110,$D$18:$D$2015,"&lt;"&amp;J111))</f>
        <v/>
      </c>
      <c r="L110" s="14" t="n"/>
      <c r="M110" s="16" t="n"/>
      <c r="N110" s="124">
        <f>IF(M110="","",COUNTIFS($C$18:$C$2015,M$13,$D$18:$D$2015,"&gt;="&amp;M110,$D$18:$D$2015,"&lt;"&amp;M111))</f>
        <v/>
      </c>
      <c r="O110" s="14" t="n"/>
      <c r="P110" s="16" t="n"/>
      <c r="Q110" s="124">
        <f>IF(P110="","",COUNTIFS($C$18:$C$2015,P$13,$D$18:$D$2015,"&gt;="&amp;P110,$D$18:$D$2015,"&lt;"&amp;P111))</f>
        <v/>
      </c>
      <c r="R110" s="14" t="n"/>
      <c r="S110" s="16" t="n"/>
      <c r="T110" s="124">
        <f>IF(S110="","",COUNTIFS($C$18:$C$2015,S$13,$D$18:$D$2015,"&gt;="&amp;S110,$D$18:$D$2015,"&lt;"&amp;S111))</f>
        <v/>
      </c>
      <c r="U110" s="14" t="n"/>
      <c r="V110" s="16" t="n"/>
      <c r="W110" s="124">
        <f>IF(V110="","",COUNTIFS($C$18:$C$2015,V$13,$D$18:$D$2015,"&gt;="&amp;V110,$D$18:$D$2015,"&lt;"&amp;V111))</f>
        <v/>
      </c>
      <c r="X110" s="14" t="n"/>
      <c r="Y110" s="16" t="n"/>
      <c r="Z110" s="124">
        <f>IF(Y110="","",COUNTIFS($C$18:$C$2015,Y$13,$D$18:$D$2015,"&gt;="&amp;Y110,$D$18:$D$2015,"&lt;"&amp;Y111))</f>
        <v/>
      </c>
      <c r="AA110" s="14" t="n"/>
      <c r="AB110" s="16" t="n"/>
      <c r="AC110" s="124">
        <f>IF(AB110="","",COUNTIFS($C$18:$C$2015,AB$13,$D$18:$D$2015,"&gt;="&amp;AB110,$D$18:$D$2015,"&lt;"&amp;AB111))</f>
        <v/>
      </c>
      <c r="AD110" s="14" t="n"/>
    </row>
    <row r="111">
      <c r="A111" s="58" t="n"/>
      <c r="B111" s="59" t="n"/>
      <c r="C111" s="59" t="n"/>
      <c r="E111" s="16" t="n"/>
      <c r="F111" s="13" t="n"/>
      <c r="G111" s="16" t="n"/>
      <c r="H111" s="124">
        <f>IF(G111="","",COUNTIFS($C$18:$C$2015,G$13,$D$18:$D$2015,"&gt;="&amp;G111,$D$18:$D$2015,"&lt;"&amp;G112))</f>
        <v/>
      </c>
      <c r="I111" s="14" t="n"/>
      <c r="J111" s="16" t="n"/>
      <c r="K111" s="124">
        <f>IF(J111="","",COUNTIFS($C$18:$C$2015,J$13,$D$18:$D$2015,"&gt;="&amp;J111,$D$18:$D$2015,"&lt;"&amp;J112))</f>
        <v/>
      </c>
      <c r="L111" s="14" t="n"/>
      <c r="M111" s="16" t="n"/>
      <c r="N111" s="124">
        <f>IF(M111="","",COUNTIFS($C$18:$C$2015,M$13,$D$18:$D$2015,"&gt;="&amp;M111,$D$18:$D$2015,"&lt;"&amp;M112))</f>
        <v/>
      </c>
      <c r="O111" s="14" t="n"/>
      <c r="P111" s="16" t="n"/>
      <c r="Q111" s="124">
        <f>IF(P111="","",COUNTIFS($C$18:$C$2015,P$13,$D$18:$D$2015,"&gt;="&amp;P111,$D$18:$D$2015,"&lt;"&amp;P112))</f>
        <v/>
      </c>
      <c r="R111" s="14" t="n"/>
      <c r="S111" s="16" t="n"/>
      <c r="T111" s="124">
        <f>IF(S111="","",COUNTIFS($C$18:$C$2015,S$13,$D$18:$D$2015,"&gt;="&amp;S111,$D$18:$D$2015,"&lt;"&amp;S112))</f>
        <v/>
      </c>
      <c r="U111" s="14" t="n"/>
      <c r="V111" s="16" t="n"/>
      <c r="W111" s="124">
        <f>IF(V111="","",COUNTIFS($C$18:$C$2015,V$13,$D$18:$D$2015,"&gt;="&amp;V111,$D$18:$D$2015,"&lt;"&amp;V112))</f>
        <v/>
      </c>
      <c r="X111" s="14" t="n"/>
      <c r="Y111" s="16" t="n"/>
      <c r="Z111" s="124">
        <f>IF(Y111="","",COUNTIFS($C$18:$C$2015,Y$13,$D$18:$D$2015,"&gt;="&amp;Y111,$D$18:$D$2015,"&lt;"&amp;Y112))</f>
        <v/>
      </c>
      <c r="AA111" s="14" t="n"/>
      <c r="AB111" s="16" t="n"/>
      <c r="AC111" s="124">
        <f>IF(AB111="","",COUNTIFS($C$18:$C$2015,AB$13,$D$18:$D$2015,"&gt;="&amp;AB111,$D$18:$D$2015,"&lt;"&amp;AB112))</f>
        <v/>
      </c>
      <c r="AD111" s="14" t="n"/>
    </row>
    <row r="112">
      <c r="A112" s="56" t="n"/>
      <c r="B112" s="57" t="n"/>
      <c r="C112" s="59" t="n"/>
      <c r="E112" s="16" t="n"/>
      <c r="F112" s="13" t="n"/>
      <c r="G112" s="16" t="n"/>
      <c r="H112" s="124">
        <f>IF(G112="","",COUNTIFS($C$18:$C$2015,G$13,$D$18:$D$2015,"&gt;="&amp;G112,$D$18:$D$2015,"&lt;"&amp;G113))</f>
        <v/>
      </c>
      <c r="I112" s="14" t="n"/>
      <c r="J112" s="16" t="n"/>
      <c r="K112" s="124">
        <f>IF(J112="","",COUNTIFS($C$18:$C$2015,J$13,$D$18:$D$2015,"&gt;="&amp;J112,$D$18:$D$2015,"&lt;"&amp;J113))</f>
        <v/>
      </c>
      <c r="L112" s="14" t="n"/>
      <c r="M112" s="16" t="n"/>
      <c r="N112" s="124">
        <f>IF(M112="","",COUNTIFS($C$18:$C$2015,M$13,$D$18:$D$2015,"&gt;="&amp;M112,$D$18:$D$2015,"&lt;"&amp;M113))</f>
        <v/>
      </c>
      <c r="O112" s="14" t="n"/>
      <c r="P112" s="16" t="n"/>
      <c r="Q112" s="124">
        <f>IF(P112="","",COUNTIFS($C$18:$C$2015,P$13,$D$18:$D$2015,"&gt;="&amp;P112,$D$18:$D$2015,"&lt;"&amp;P113))</f>
        <v/>
      </c>
      <c r="R112" s="14" t="n"/>
      <c r="S112" s="16" t="n"/>
      <c r="T112" s="124">
        <f>IF(S112="","",COUNTIFS($C$18:$C$2015,S$13,$D$18:$D$2015,"&gt;="&amp;S112,$D$18:$D$2015,"&lt;"&amp;S113))</f>
        <v/>
      </c>
      <c r="U112" s="14" t="n"/>
      <c r="V112" s="16" t="n"/>
      <c r="W112" s="124">
        <f>IF(V112="","",COUNTIFS($C$18:$C$2015,V$13,$D$18:$D$2015,"&gt;="&amp;V112,$D$18:$D$2015,"&lt;"&amp;V113))</f>
        <v/>
      </c>
      <c r="X112" s="14" t="n"/>
      <c r="Y112" s="16" t="n"/>
      <c r="Z112" s="124">
        <f>IF(Y112="","",COUNTIFS($C$18:$C$2015,Y$13,$D$18:$D$2015,"&gt;="&amp;Y112,$D$18:$D$2015,"&lt;"&amp;Y113))</f>
        <v/>
      </c>
      <c r="AA112" s="14" t="n"/>
      <c r="AB112" s="16" t="n"/>
      <c r="AC112" s="124">
        <f>IF(AB112="","",COUNTIFS($C$18:$C$2015,AB$13,$D$18:$D$2015,"&gt;="&amp;AB112,$D$18:$D$2015,"&lt;"&amp;AB113))</f>
        <v/>
      </c>
      <c r="AD112" s="14" t="n"/>
    </row>
    <row r="113">
      <c r="A113" s="58" t="n"/>
      <c r="B113" s="59" t="n"/>
      <c r="C113" s="59" t="n"/>
      <c r="E113" s="16" t="n"/>
      <c r="F113" s="13" t="n"/>
      <c r="G113" s="16" t="n"/>
      <c r="H113" s="124">
        <f>IF(G113="","",COUNTIFS($C$18:$C$2015,G$13,$D$18:$D$2015,"&gt;="&amp;G113,$D$18:$D$2015,"&lt;"&amp;G114))</f>
        <v/>
      </c>
      <c r="I113" s="14" t="n"/>
      <c r="J113" s="16" t="n"/>
      <c r="K113" s="124">
        <f>IF(J113="","",COUNTIFS($C$18:$C$2015,J$13,$D$18:$D$2015,"&gt;="&amp;J113,$D$18:$D$2015,"&lt;"&amp;J114))</f>
        <v/>
      </c>
      <c r="L113" s="14" t="n"/>
      <c r="M113" s="16" t="n"/>
      <c r="N113" s="124">
        <f>IF(M113="","",COUNTIFS($C$18:$C$2015,M$13,$D$18:$D$2015,"&gt;="&amp;M113,$D$18:$D$2015,"&lt;"&amp;M114))</f>
        <v/>
      </c>
      <c r="O113" s="14" t="n"/>
      <c r="P113" s="16" t="n"/>
      <c r="Q113" s="124">
        <f>IF(P113="","",COUNTIFS($C$18:$C$2015,P$13,$D$18:$D$2015,"&gt;="&amp;P113,$D$18:$D$2015,"&lt;"&amp;P114))</f>
        <v/>
      </c>
      <c r="R113" s="14" t="n"/>
      <c r="S113" s="16" t="n"/>
      <c r="T113" s="124">
        <f>IF(S113="","",COUNTIFS($C$18:$C$2015,S$13,$D$18:$D$2015,"&gt;="&amp;S113,$D$18:$D$2015,"&lt;"&amp;S114))</f>
        <v/>
      </c>
      <c r="U113" s="14" t="n"/>
      <c r="V113" s="16" t="n"/>
      <c r="W113" s="124">
        <f>IF(V113="","",COUNTIFS($C$18:$C$2015,V$13,$D$18:$D$2015,"&gt;="&amp;V113,$D$18:$D$2015,"&lt;"&amp;V114))</f>
        <v/>
      </c>
      <c r="X113" s="14" t="n"/>
      <c r="Y113" s="16" t="n"/>
      <c r="Z113" s="124">
        <f>IF(Y113="","",COUNTIFS($C$18:$C$2015,Y$13,$D$18:$D$2015,"&gt;="&amp;Y113,$D$18:$D$2015,"&lt;"&amp;Y114))</f>
        <v/>
      </c>
      <c r="AA113" s="14" t="n"/>
      <c r="AB113" s="16" t="n"/>
      <c r="AC113" s="124">
        <f>IF(AB113="","",COUNTIFS($C$18:$C$2015,AB$13,$D$18:$D$2015,"&gt;="&amp;AB113,$D$18:$D$2015,"&lt;"&amp;AB114))</f>
        <v/>
      </c>
      <c r="AD113" s="14" t="n"/>
    </row>
    <row r="114">
      <c r="A114" s="56" t="n"/>
      <c r="B114" s="57" t="n"/>
      <c r="C114" s="59" t="n"/>
      <c r="E114" s="16" t="n"/>
      <c r="F114" s="13" t="n"/>
      <c r="G114" s="16" t="n"/>
      <c r="H114" s="124">
        <f>IF(G114="","",COUNTIFS($C$18:$C$2015,G$13,$D$18:$D$2015,"&gt;="&amp;G114,$D$18:$D$2015,"&lt;"&amp;G115))</f>
        <v/>
      </c>
      <c r="I114" s="14" t="n"/>
      <c r="J114" s="16" t="n"/>
      <c r="K114" s="124">
        <f>IF(J114="","",COUNTIFS($C$18:$C$2015,J$13,$D$18:$D$2015,"&gt;="&amp;J114,$D$18:$D$2015,"&lt;"&amp;J115))</f>
        <v/>
      </c>
      <c r="L114" s="14" t="n"/>
      <c r="M114" s="16" t="n"/>
      <c r="N114" s="124">
        <f>IF(M114="","",COUNTIFS($C$18:$C$2015,M$13,$D$18:$D$2015,"&gt;="&amp;M114,$D$18:$D$2015,"&lt;"&amp;M115))</f>
        <v/>
      </c>
      <c r="O114" s="14" t="n"/>
      <c r="P114" s="16" t="n"/>
      <c r="Q114" s="124">
        <f>IF(P114="","",COUNTIFS($C$18:$C$2015,P$13,$D$18:$D$2015,"&gt;="&amp;P114,$D$18:$D$2015,"&lt;"&amp;P115))</f>
        <v/>
      </c>
      <c r="R114" s="14" t="n"/>
      <c r="S114" s="16" t="n"/>
      <c r="T114" s="124">
        <f>IF(S114="","",COUNTIFS($C$18:$C$2015,S$13,$D$18:$D$2015,"&gt;="&amp;S114,$D$18:$D$2015,"&lt;"&amp;S115))</f>
        <v/>
      </c>
      <c r="U114" s="14" t="n"/>
      <c r="V114" s="16" t="n"/>
      <c r="W114" s="124">
        <f>IF(V114="","",COUNTIFS($C$18:$C$2015,V$13,$D$18:$D$2015,"&gt;="&amp;V114,$D$18:$D$2015,"&lt;"&amp;V115))</f>
        <v/>
      </c>
      <c r="X114" s="14" t="n"/>
      <c r="Y114" s="16" t="n"/>
      <c r="Z114" s="124">
        <f>IF(Y114="","",COUNTIFS($C$18:$C$2015,Y$13,$D$18:$D$2015,"&gt;="&amp;Y114,$D$18:$D$2015,"&lt;"&amp;Y115))</f>
        <v/>
      </c>
      <c r="AA114" s="14" t="n"/>
      <c r="AB114" s="16" t="n"/>
      <c r="AC114" s="124">
        <f>IF(AB114="","",COUNTIFS($C$18:$C$2015,AB$13,$D$18:$D$2015,"&gt;="&amp;AB114,$D$18:$D$2015,"&lt;"&amp;AB115))</f>
        <v/>
      </c>
      <c r="AD114" s="14" t="n"/>
    </row>
    <row r="115">
      <c r="A115" s="58" t="n"/>
      <c r="B115" s="59" t="n"/>
      <c r="C115" s="59" t="n"/>
      <c r="E115" s="16" t="n"/>
      <c r="F115" s="13" t="n"/>
      <c r="G115" s="16" t="n"/>
      <c r="H115" s="124">
        <f>IF(G115="","",COUNTIFS($C$18:$C$2015,G$13,$D$18:$D$2015,"&gt;="&amp;G115,$D$18:$D$2015,"&lt;"&amp;G116))</f>
        <v/>
      </c>
      <c r="I115" s="14" t="n"/>
      <c r="J115" s="16" t="n"/>
      <c r="K115" s="124">
        <f>IF(J115="","",COUNTIFS($C$18:$C$2015,J$13,$D$18:$D$2015,"&gt;="&amp;J115,$D$18:$D$2015,"&lt;"&amp;J116))</f>
        <v/>
      </c>
      <c r="L115" s="14" t="n"/>
      <c r="M115" s="16" t="n"/>
      <c r="N115" s="124">
        <f>IF(M115="","",COUNTIFS($C$18:$C$2015,M$13,$D$18:$D$2015,"&gt;="&amp;M115,$D$18:$D$2015,"&lt;"&amp;M116))</f>
        <v/>
      </c>
      <c r="O115" s="14" t="n"/>
      <c r="P115" s="16" t="n"/>
      <c r="Q115" s="124">
        <f>IF(P115="","",COUNTIFS($C$18:$C$2015,P$13,$D$18:$D$2015,"&gt;="&amp;P115,$D$18:$D$2015,"&lt;"&amp;P116))</f>
        <v/>
      </c>
      <c r="R115" s="14" t="n"/>
      <c r="S115" s="16" t="n"/>
      <c r="T115" s="124">
        <f>IF(S115="","",COUNTIFS($C$18:$C$2015,S$13,$D$18:$D$2015,"&gt;="&amp;S115,$D$18:$D$2015,"&lt;"&amp;S116))</f>
        <v/>
      </c>
      <c r="U115" s="14" t="n"/>
      <c r="V115" s="16" t="n"/>
      <c r="W115" s="124">
        <f>IF(V115="","",COUNTIFS($C$18:$C$2015,V$13,$D$18:$D$2015,"&gt;="&amp;V115,$D$18:$D$2015,"&lt;"&amp;V116))</f>
        <v/>
      </c>
      <c r="X115" s="14" t="n"/>
      <c r="Y115" s="16" t="n"/>
      <c r="Z115" s="124">
        <f>IF(Y115="","",COUNTIFS($C$18:$C$2015,Y$13,$D$18:$D$2015,"&gt;="&amp;Y115,$D$18:$D$2015,"&lt;"&amp;Y116))</f>
        <v/>
      </c>
      <c r="AA115" s="14" t="n"/>
      <c r="AB115" s="16" t="n"/>
      <c r="AC115" s="124">
        <f>IF(AB115="","",COUNTIFS($C$18:$C$2015,AB$13,$D$18:$D$2015,"&gt;="&amp;AB115,$D$18:$D$2015,"&lt;"&amp;AB116))</f>
        <v/>
      </c>
      <c r="AD115" s="14" t="n"/>
    </row>
    <row r="116">
      <c r="A116" s="56" t="n"/>
      <c r="B116" s="57" t="n"/>
      <c r="C116" s="59" t="n"/>
      <c r="E116" s="16" t="n"/>
      <c r="F116" s="13" t="n"/>
      <c r="G116" s="16" t="n"/>
      <c r="H116" s="124">
        <f>IF(G116="","",COUNTIFS($C$18:$C$2015,G$13,$D$18:$D$2015,"&gt;="&amp;G116,$D$18:$D$2015,"&lt;"&amp;G117))</f>
        <v/>
      </c>
      <c r="I116" s="14" t="n"/>
      <c r="J116" s="16" t="n"/>
      <c r="K116" s="124">
        <f>IF(J116="","",COUNTIFS($C$18:$C$2015,J$13,$D$18:$D$2015,"&gt;="&amp;J116,$D$18:$D$2015,"&lt;"&amp;J117))</f>
        <v/>
      </c>
      <c r="L116" s="14" t="n"/>
      <c r="M116" s="16" t="n"/>
      <c r="N116" s="124">
        <f>IF(M116="","",COUNTIFS($C$18:$C$2015,M$13,$D$18:$D$2015,"&gt;="&amp;M116,$D$18:$D$2015,"&lt;"&amp;M117))</f>
        <v/>
      </c>
      <c r="O116" s="14" t="n"/>
      <c r="P116" s="16" t="n"/>
      <c r="Q116" s="124">
        <f>IF(P116="","",COUNTIFS($C$18:$C$2015,P$13,$D$18:$D$2015,"&gt;="&amp;P116,$D$18:$D$2015,"&lt;"&amp;P117))</f>
        <v/>
      </c>
      <c r="R116" s="14" t="n"/>
      <c r="S116" s="16" t="n"/>
      <c r="T116" s="124">
        <f>IF(S116="","",COUNTIFS($C$18:$C$2015,S$13,$D$18:$D$2015,"&gt;="&amp;S116,$D$18:$D$2015,"&lt;"&amp;S117))</f>
        <v/>
      </c>
      <c r="U116" s="14" t="n"/>
      <c r="V116" s="16" t="n"/>
      <c r="W116" s="124">
        <f>IF(V116="","",COUNTIFS($C$18:$C$2015,V$13,$D$18:$D$2015,"&gt;="&amp;V116,$D$18:$D$2015,"&lt;"&amp;V117))</f>
        <v/>
      </c>
      <c r="X116" s="14" t="n"/>
      <c r="Y116" s="16" t="n"/>
      <c r="Z116" s="124">
        <f>IF(Y116="","",COUNTIFS($C$18:$C$2015,Y$13,$D$18:$D$2015,"&gt;="&amp;Y116,$D$18:$D$2015,"&lt;"&amp;Y117))</f>
        <v/>
      </c>
      <c r="AA116" s="14" t="n"/>
      <c r="AB116" s="16" t="n"/>
      <c r="AC116" s="124">
        <f>IF(AB116="","",COUNTIFS($C$18:$C$2015,AB$13,$D$18:$D$2015,"&gt;="&amp;AB116,$D$18:$D$2015,"&lt;"&amp;AB117))</f>
        <v/>
      </c>
      <c r="AD116" s="14" t="n"/>
    </row>
    <row r="117">
      <c r="A117" s="58" t="n"/>
      <c r="B117" s="59" t="n"/>
      <c r="C117" s="59" t="n"/>
      <c r="E117" s="16" t="n"/>
      <c r="F117" s="13" t="n"/>
      <c r="G117" s="16" t="n"/>
      <c r="H117" s="124">
        <f>IF(G117="","",COUNTIFS($C$18:$C$2015,G$13,$D$18:$D$2015,"&gt;="&amp;G117,$D$18:$D$2015,"&lt;"&amp;G118))</f>
        <v/>
      </c>
      <c r="I117" s="14" t="n"/>
      <c r="J117" s="16" t="n"/>
      <c r="K117" s="124">
        <f>IF(J117="","",COUNTIFS($C$18:$C$2015,J$13,$D$18:$D$2015,"&gt;="&amp;J117,$D$18:$D$2015,"&lt;"&amp;J118))</f>
        <v/>
      </c>
      <c r="L117" s="14" t="n"/>
      <c r="M117" s="16" t="n"/>
      <c r="N117" s="124">
        <f>IF(M117="","",COUNTIFS($C$18:$C$2015,M$13,$D$18:$D$2015,"&gt;="&amp;M117,$D$18:$D$2015,"&lt;"&amp;M118))</f>
        <v/>
      </c>
      <c r="O117" s="14" t="n"/>
      <c r="P117" s="16" t="n"/>
      <c r="Q117" s="124">
        <f>IF(P117="","",COUNTIFS($C$18:$C$2015,P$13,$D$18:$D$2015,"&gt;="&amp;P117,$D$18:$D$2015,"&lt;"&amp;P118))</f>
        <v/>
      </c>
      <c r="R117" s="14" t="n"/>
      <c r="S117" s="16" t="n"/>
      <c r="T117" s="124">
        <f>IF(S117="","",COUNTIFS($C$18:$C$2015,S$13,$D$18:$D$2015,"&gt;="&amp;S117,$D$18:$D$2015,"&lt;"&amp;S118))</f>
        <v/>
      </c>
      <c r="U117" s="14" t="n"/>
      <c r="V117" s="16" t="n"/>
      <c r="W117" s="124">
        <f>IF(V117="","",COUNTIFS($C$18:$C$2015,V$13,$D$18:$D$2015,"&gt;="&amp;V117,$D$18:$D$2015,"&lt;"&amp;V118))</f>
        <v/>
      </c>
      <c r="X117" s="14" t="n"/>
      <c r="Y117" s="16" t="n"/>
      <c r="Z117" s="124">
        <f>IF(Y117="","",COUNTIFS($C$18:$C$2015,Y$13,$D$18:$D$2015,"&gt;="&amp;Y117,$D$18:$D$2015,"&lt;"&amp;Y118))</f>
        <v/>
      </c>
      <c r="AA117" s="14" t="n"/>
      <c r="AB117" s="16" t="n"/>
      <c r="AC117" s="124">
        <f>IF(AB117="","",COUNTIFS($C$18:$C$2015,AB$13,$D$18:$D$2015,"&gt;="&amp;AB117,$D$18:$D$2015,"&lt;"&amp;AB118))</f>
        <v/>
      </c>
      <c r="AD117" s="14" t="n"/>
    </row>
    <row r="118">
      <c r="A118" s="56" t="n"/>
      <c r="B118" s="57" t="n"/>
      <c r="C118" s="59" t="n"/>
      <c r="E118" s="16" t="n"/>
      <c r="F118" s="13" t="n"/>
      <c r="G118" s="16" t="n"/>
      <c r="H118" s="124">
        <f>IF(G118="","",COUNTIFS($C$18:$C$2015,G$13,$D$18:$D$2015,"&gt;="&amp;G118,$D$18:$D$2015,"&lt;"&amp;G119))</f>
        <v/>
      </c>
      <c r="I118" s="14" t="n"/>
      <c r="J118" s="16" t="n"/>
      <c r="K118" s="124">
        <f>IF(J118="","",COUNTIFS($C$18:$C$2015,J$13,$D$18:$D$2015,"&gt;="&amp;J118,$D$18:$D$2015,"&lt;"&amp;J119))</f>
        <v/>
      </c>
      <c r="L118" s="14" t="n"/>
      <c r="M118" s="16" t="n"/>
      <c r="N118" s="124">
        <f>IF(M118="","",COUNTIFS($C$18:$C$2015,M$13,$D$18:$D$2015,"&gt;="&amp;M118,$D$18:$D$2015,"&lt;"&amp;M119))</f>
        <v/>
      </c>
      <c r="O118" s="14" t="n"/>
      <c r="P118" s="16" t="n"/>
      <c r="Q118" s="124">
        <f>IF(P118="","",COUNTIFS($C$18:$C$2015,P$13,$D$18:$D$2015,"&gt;="&amp;P118,$D$18:$D$2015,"&lt;"&amp;P119))</f>
        <v/>
      </c>
      <c r="R118" s="14" t="n"/>
      <c r="S118" s="16" t="n"/>
      <c r="T118" s="124">
        <f>IF(S118="","",COUNTIFS($C$18:$C$2015,S$13,$D$18:$D$2015,"&gt;="&amp;S118,$D$18:$D$2015,"&lt;"&amp;S119))</f>
        <v/>
      </c>
      <c r="U118" s="14" t="n"/>
      <c r="V118" s="16" t="n"/>
      <c r="W118" s="124">
        <f>IF(V118="","",COUNTIFS($C$18:$C$2015,V$13,$D$18:$D$2015,"&gt;="&amp;V118,$D$18:$D$2015,"&lt;"&amp;V119))</f>
        <v/>
      </c>
      <c r="X118" s="14" t="n"/>
      <c r="Y118" s="16" t="n"/>
      <c r="Z118" s="124">
        <f>IF(Y118="","",COUNTIFS($C$18:$C$2015,Y$13,$D$18:$D$2015,"&gt;="&amp;Y118,$D$18:$D$2015,"&lt;"&amp;Y119))</f>
        <v/>
      </c>
      <c r="AA118" s="14" t="n"/>
      <c r="AB118" s="16" t="n"/>
      <c r="AC118" s="124">
        <f>IF(AB118="","",COUNTIFS($C$18:$C$2015,AB$13,$D$18:$D$2015,"&gt;="&amp;AB118,$D$18:$D$2015,"&lt;"&amp;AB119))</f>
        <v/>
      </c>
      <c r="AD118" s="14" t="n"/>
    </row>
    <row r="119">
      <c r="A119" s="58" t="n"/>
      <c r="B119" s="59" t="n"/>
      <c r="C119" s="59" t="n"/>
      <c r="E119" s="16" t="n"/>
      <c r="F119" s="13" t="n"/>
      <c r="G119" s="16" t="n"/>
      <c r="H119" s="124">
        <f>IF(G119="","",COUNTIFS($C$18:$C$2015,G$13,$D$18:$D$2015,"&gt;="&amp;G119,$D$18:$D$2015,"&lt;"&amp;G120))</f>
        <v/>
      </c>
      <c r="I119" s="14" t="n"/>
      <c r="J119" s="16" t="n"/>
      <c r="K119" s="124">
        <f>IF(J119="","",COUNTIFS($C$18:$C$2015,J$13,$D$18:$D$2015,"&gt;="&amp;J119,$D$18:$D$2015,"&lt;"&amp;J120))</f>
        <v/>
      </c>
      <c r="L119" s="14" t="n"/>
      <c r="M119" s="16" t="n"/>
      <c r="N119" s="124">
        <f>IF(M119="","",COUNTIFS($C$18:$C$2015,M$13,$D$18:$D$2015,"&gt;="&amp;M119,$D$18:$D$2015,"&lt;"&amp;M120))</f>
        <v/>
      </c>
      <c r="O119" s="14" t="n"/>
      <c r="P119" s="16" t="n"/>
      <c r="Q119" s="124">
        <f>IF(P119="","",COUNTIFS($C$18:$C$2015,P$13,$D$18:$D$2015,"&gt;="&amp;P119,$D$18:$D$2015,"&lt;"&amp;P120))</f>
        <v/>
      </c>
      <c r="R119" s="14" t="n"/>
      <c r="S119" s="16" t="n"/>
      <c r="T119" s="124">
        <f>IF(S119="","",COUNTIFS($C$18:$C$2015,S$13,$D$18:$D$2015,"&gt;="&amp;S119,$D$18:$D$2015,"&lt;"&amp;S120))</f>
        <v/>
      </c>
      <c r="U119" s="14" t="n"/>
      <c r="V119" s="16" t="n"/>
      <c r="W119" s="124">
        <f>IF(V119="","",COUNTIFS($C$18:$C$2015,V$13,$D$18:$D$2015,"&gt;="&amp;V119,$D$18:$D$2015,"&lt;"&amp;V120))</f>
        <v/>
      </c>
      <c r="X119" s="14" t="n"/>
      <c r="Y119" s="16" t="n"/>
      <c r="Z119" s="124">
        <f>IF(Y119="","",COUNTIFS($C$18:$C$2015,Y$13,$D$18:$D$2015,"&gt;="&amp;Y119,$D$18:$D$2015,"&lt;"&amp;Y120))</f>
        <v/>
      </c>
      <c r="AA119" s="14" t="n"/>
      <c r="AB119" s="16" t="n"/>
      <c r="AC119" s="124">
        <f>IF(AB119="","",COUNTIFS($C$18:$C$2015,AB$13,$D$18:$D$2015,"&gt;="&amp;AB119,$D$18:$D$2015,"&lt;"&amp;AB120))</f>
        <v/>
      </c>
      <c r="AD119" s="14" t="n"/>
    </row>
    <row r="120">
      <c r="A120" s="56" t="n"/>
      <c r="B120" s="57" t="n"/>
      <c r="C120" s="59" t="n"/>
      <c r="E120" s="16" t="n"/>
      <c r="F120" s="13" t="n"/>
      <c r="G120" s="16" t="n"/>
      <c r="H120" s="124">
        <f>IF(G120="","",COUNTIFS($C$18:$C$2015,G$13,$D$18:$D$2015,"&gt;="&amp;G120,$D$18:$D$2015,"&lt;"&amp;G121))</f>
        <v/>
      </c>
      <c r="I120" s="14" t="n"/>
      <c r="J120" s="16" t="n"/>
      <c r="K120" s="124">
        <f>IF(J120="","",COUNTIFS($C$18:$C$2015,J$13,$D$18:$D$2015,"&gt;="&amp;J120,$D$18:$D$2015,"&lt;"&amp;J121))</f>
        <v/>
      </c>
      <c r="L120" s="14" t="n"/>
      <c r="M120" s="16" t="n"/>
      <c r="N120" s="124">
        <f>IF(M120="","",COUNTIFS($C$18:$C$2015,M$13,$D$18:$D$2015,"&gt;="&amp;M120,$D$18:$D$2015,"&lt;"&amp;M121))</f>
        <v/>
      </c>
      <c r="O120" s="14" t="n"/>
      <c r="P120" s="16" t="n"/>
      <c r="Q120" s="124">
        <f>IF(P120="","",COUNTIFS($C$18:$C$2015,P$13,$D$18:$D$2015,"&gt;="&amp;P120,$D$18:$D$2015,"&lt;"&amp;P121))</f>
        <v/>
      </c>
      <c r="R120" s="14" t="n"/>
      <c r="S120" s="16" t="n"/>
      <c r="T120" s="124">
        <f>IF(S120="","",COUNTIFS($C$18:$C$2015,S$13,$D$18:$D$2015,"&gt;="&amp;S120,$D$18:$D$2015,"&lt;"&amp;S121))</f>
        <v/>
      </c>
      <c r="U120" s="14" t="n"/>
      <c r="V120" s="16" t="n"/>
      <c r="W120" s="124">
        <f>IF(V120="","",COUNTIFS($C$18:$C$2015,V$13,$D$18:$D$2015,"&gt;="&amp;V120,$D$18:$D$2015,"&lt;"&amp;V121))</f>
        <v/>
      </c>
      <c r="X120" s="14" t="n"/>
      <c r="Y120" s="16" t="n"/>
      <c r="Z120" s="124">
        <f>IF(Y120="","",COUNTIFS($C$18:$C$2015,Y$13,$D$18:$D$2015,"&gt;="&amp;Y120,$D$18:$D$2015,"&lt;"&amp;Y121))</f>
        <v/>
      </c>
      <c r="AA120" s="14" t="n"/>
      <c r="AB120" s="16" t="n"/>
      <c r="AC120" s="124">
        <f>IF(AB120="","",COUNTIFS($C$18:$C$2015,AB$13,$D$18:$D$2015,"&gt;="&amp;AB120,$D$18:$D$2015,"&lt;"&amp;AB121))</f>
        <v/>
      </c>
      <c r="AD120" s="14" t="n"/>
    </row>
    <row r="121">
      <c r="A121" s="58" t="n"/>
      <c r="B121" s="59" t="n"/>
      <c r="C121" s="59" t="n"/>
      <c r="E121" s="16" t="n"/>
      <c r="F121" s="13" t="n"/>
      <c r="G121" s="16" t="n"/>
      <c r="H121" s="124">
        <f>IF(G121="","",COUNTIFS($C$18:$C$2015,G$13,$D$18:$D$2015,"&gt;="&amp;G121,$D$18:$D$2015,"&lt;"&amp;G122))</f>
        <v/>
      </c>
      <c r="I121" s="14" t="n"/>
      <c r="J121" s="16" t="n"/>
      <c r="K121" s="124">
        <f>IF(J121="","",COUNTIFS($C$18:$C$2015,J$13,$D$18:$D$2015,"&gt;="&amp;J121,$D$18:$D$2015,"&lt;"&amp;J122))</f>
        <v/>
      </c>
      <c r="L121" s="14" t="n"/>
      <c r="M121" s="16" t="n"/>
      <c r="N121" s="124">
        <f>IF(M121="","",COUNTIFS($C$18:$C$2015,M$13,$D$18:$D$2015,"&gt;="&amp;M121,$D$18:$D$2015,"&lt;"&amp;M122))</f>
        <v/>
      </c>
      <c r="O121" s="14" t="n"/>
      <c r="P121" s="16" t="n"/>
      <c r="Q121" s="124">
        <f>IF(P121="","",COUNTIFS($C$18:$C$2015,P$13,$D$18:$D$2015,"&gt;="&amp;P121,$D$18:$D$2015,"&lt;"&amp;P122))</f>
        <v/>
      </c>
      <c r="R121" s="14" t="n"/>
      <c r="S121" s="16" t="n"/>
      <c r="T121" s="124">
        <f>IF(S121="","",COUNTIFS($C$18:$C$2015,S$13,$D$18:$D$2015,"&gt;="&amp;S121,$D$18:$D$2015,"&lt;"&amp;S122))</f>
        <v/>
      </c>
      <c r="U121" s="14" t="n"/>
      <c r="V121" s="16" t="n"/>
      <c r="W121" s="124">
        <f>IF(V121="","",COUNTIFS($C$18:$C$2015,V$13,$D$18:$D$2015,"&gt;="&amp;V121,$D$18:$D$2015,"&lt;"&amp;V122))</f>
        <v/>
      </c>
      <c r="X121" s="14" t="n"/>
      <c r="Y121" s="16" t="n"/>
      <c r="Z121" s="124">
        <f>IF(Y121="","",COUNTIFS($C$18:$C$2015,Y$13,$D$18:$D$2015,"&gt;="&amp;Y121,$D$18:$D$2015,"&lt;"&amp;Y122))</f>
        <v/>
      </c>
      <c r="AA121" s="14" t="n"/>
      <c r="AB121" s="16" t="n"/>
      <c r="AC121" s="124">
        <f>IF(AB121="","",COUNTIFS($C$18:$C$2015,AB$13,$D$18:$D$2015,"&gt;="&amp;AB121,$D$18:$D$2015,"&lt;"&amp;AB122))</f>
        <v/>
      </c>
      <c r="AD121" s="14" t="n"/>
    </row>
    <row r="122">
      <c r="A122" s="56" t="n"/>
      <c r="B122" s="57" t="n"/>
      <c r="C122" s="59" t="n"/>
      <c r="E122" s="16" t="n"/>
      <c r="F122" s="13" t="n"/>
      <c r="G122" s="16" t="n"/>
      <c r="H122" s="124">
        <f>IF(G122="","",COUNTIFS($C$18:$C$2015,G$13,$D$18:$D$2015,"&gt;="&amp;G122,$D$18:$D$2015,"&lt;"&amp;G123))</f>
        <v/>
      </c>
      <c r="I122" s="14" t="n"/>
      <c r="J122" s="16" t="n"/>
      <c r="K122" s="124">
        <f>IF(J122="","",COUNTIFS($C$18:$C$2015,J$13,$D$18:$D$2015,"&gt;="&amp;J122,$D$18:$D$2015,"&lt;"&amp;J123))</f>
        <v/>
      </c>
      <c r="L122" s="14" t="n"/>
      <c r="M122" s="16" t="n"/>
      <c r="N122" s="124">
        <f>IF(M122="","",COUNTIFS($C$18:$C$2015,M$13,$D$18:$D$2015,"&gt;="&amp;M122,$D$18:$D$2015,"&lt;"&amp;M123))</f>
        <v/>
      </c>
      <c r="O122" s="14" t="n"/>
      <c r="P122" s="16" t="n"/>
      <c r="Q122" s="124">
        <f>IF(P122="","",COUNTIFS($C$18:$C$2015,P$13,$D$18:$D$2015,"&gt;="&amp;P122,$D$18:$D$2015,"&lt;"&amp;P123))</f>
        <v/>
      </c>
      <c r="R122" s="14" t="n"/>
      <c r="S122" s="16" t="n"/>
      <c r="T122" s="124">
        <f>IF(S122="","",COUNTIFS($C$18:$C$2015,S$13,$D$18:$D$2015,"&gt;="&amp;S122,$D$18:$D$2015,"&lt;"&amp;S123))</f>
        <v/>
      </c>
      <c r="U122" s="14" t="n"/>
      <c r="V122" s="16" t="n"/>
      <c r="W122" s="124">
        <f>IF(V122="","",COUNTIFS($C$18:$C$2015,V$13,$D$18:$D$2015,"&gt;="&amp;V122,$D$18:$D$2015,"&lt;"&amp;V123))</f>
        <v/>
      </c>
      <c r="X122" s="14" t="n"/>
      <c r="Y122" s="16" t="n"/>
      <c r="Z122" s="124">
        <f>IF(Y122="","",COUNTIFS($C$18:$C$2015,Y$13,$D$18:$D$2015,"&gt;="&amp;Y122,$D$18:$D$2015,"&lt;"&amp;Y123))</f>
        <v/>
      </c>
      <c r="AA122" s="14" t="n"/>
      <c r="AB122" s="16" t="n"/>
      <c r="AC122" s="124">
        <f>IF(AB122="","",COUNTIFS($C$18:$C$2015,AB$13,$D$18:$D$2015,"&gt;="&amp;AB122,$D$18:$D$2015,"&lt;"&amp;AB123))</f>
        <v/>
      </c>
      <c r="AD122" s="14" t="n"/>
    </row>
    <row r="123">
      <c r="A123" s="58" t="n"/>
      <c r="B123" s="59" t="n"/>
      <c r="C123" s="59" t="n"/>
      <c r="E123" s="16" t="n"/>
      <c r="F123" s="13" t="n"/>
      <c r="G123" s="16" t="n"/>
      <c r="H123" s="124">
        <f>IF(G123="","",COUNTIFS($C$18:$C$2015,G$13,$D$18:$D$2015,"&gt;="&amp;G123,$D$18:$D$2015,"&lt;"&amp;G124))</f>
        <v/>
      </c>
      <c r="I123" s="14" t="n"/>
      <c r="J123" s="16" t="n"/>
      <c r="K123" s="124">
        <f>IF(J123="","",COUNTIFS($C$18:$C$2015,J$13,$D$18:$D$2015,"&gt;="&amp;J123,$D$18:$D$2015,"&lt;"&amp;J124))</f>
        <v/>
      </c>
      <c r="L123" s="14" t="n"/>
      <c r="M123" s="16" t="n"/>
      <c r="N123" s="124">
        <f>IF(M123="","",COUNTIFS($C$18:$C$2015,M$13,$D$18:$D$2015,"&gt;="&amp;M123,$D$18:$D$2015,"&lt;"&amp;M124))</f>
        <v/>
      </c>
      <c r="O123" s="14" t="n"/>
      <c r="P123" s="16" t="n"/>
      <c r="Q123" s="124">
        <f>IF(P123="","",COUNTIFS($C$18:$C$2015,P$13,$D$18:$D$2015,"&gt;="&amp;P123,$D$18:$D$2015,"&lt;"&amp;P124))</f>
        <v/>
      </c>
      <c r="R123" s="14" t="n"/>
      <c r="S123" s="16" t="n"/>
      <c r="T123" s="124">
        <f>IF(S123="","",COUNTIFS($C$18:$C$2015,S$13,$D$18:$D$2015,"&gt;="&amp;S123,$D$18:$D$2015,"&lt;"&amp;S124))</f>
        <v/>
      </c>
      <c r="U123" s="14" t="n"/>
      <c r="V123" s="16" t="n"/>
      <c r="W123" s="124">
        <f>IF(V123="","",COUNTIFS($C$18:$C$2015,V$13,$D$18:$D$2015,"&gt;="&amp;V123,$D$18:$D$2015,"&lt;"&amp;V124))</f>
        <v/>
      </c>
      <c r="X123" s="14" t="n"/>
      <c r="Y123" s="16" t="n"/>
      <c r="Z123" s="124">
        <f>IF(Y123="","",COUNTIFS($C$18:$C$2015,Y$13,$D$18:$D$2015,"&gt;="&amp;Y123,$D$18:$D$2015,"&lt;"&amp;Y124))</f>
        <v/>
      </c>
      <c r="AA123" s="14" t="n"/>
      <c r="AB123" s="16" t="n"/>
      <c r="AC123" s="124">
        <f>IF(AB123="","",COUNTIFS($C$18:$C$2015,AB$13,$D$18:$D$2015,"&gt;="&amp;AB123,$D$18:$D$2015,"&lt;"&amp;AB124))</f>
        <v/>
      </c>
      <c r="AD123" s="14" t="n"/>
    </row>
    <row r="124">
      <c r="A124" s="56" t="n"/>
      <c r="B124" s="57" t="n"/>
      <c r="C124" s="59" t="n"/>
      <c r="E124" s="16" t="n"/>
      <c r="F124" s="13" t="n"/>
      <c r="G124" s="16" t="n"/>
      <c r="H124" s="124">
        <f>IF(G124="","",COUNTIFS($C$18:$C$2015,G$13,$D$18:$D$2015,"&gt;="&amp;G124,$D$18:$D$2015,"&lt;"&amp;G125))</f>
        <v/>
      </c>
      <c r="I124" s="14" t="n"/>
      <c r="J124" s="16" t="n"/>
      <c r="K124" s="124">
        <f>IF(J124="","",COUNTIFS($C$18:$C$2015,J$13,$D$18:$D$2015,"&gt;="&amp;J124,$D$18:$D$2015,"&lt;"&amp;J125))</f>
        <v/>
      </c>
      <c r="L124" s="14" t="n"/>
      <c r="M124" s="16" t="n"/>
      <c r="N124" s="124">
        <f>IF(M124="","",COUNTIFS($C$18:$C$2015,M$13,$D$18:$D$2015,"&gt;="&amp;M124,$D$18:$D$2015,"&lt;"&amp;M125))</f>
        <v/>
      </c>
      <c r="O124" s="14" t="n"/>
      <c r="P124" s="16" t="n"/>
      <c r="Q124" s="124">
        <f>IF(P124="","",COUNTIFS($C$18:$C$2015,P$13,$D$18:$D$2015,"&gt;="&amp;P124,$D$18:$D$2015,"&lt;"&amp;P125))</f>
        <v/>
      </c>
      <c r="R124" s="14" t="n"/>
      <c r="S124" s="16" t="n"/>
      <c r="T124" s="124">
        <f>IF(S124="","",COUNTIFS($C$18:$C$2015,S$13,$D$18:$D$2015,"&gt;="&amp;S124,$D$18:$D$2015,"&lt;"&amp;S125))</f>
        <v/>
      </c>
      <c r="U124" s="14" t="n"/>
      <c r="V124" s="16" t="n"/>
      <c r="W124" s="124">
        <f>IF(V124="","",COUNTIFS($C$18:$C$2015,V$13,$D$18:$D$2015,"&gt;="&amp;V124,$D$18:$D$2015,"&lt;"&amp;V125))</f>
        <v/>
      </c>
      <c r="X124" s="14" t="n"/>
      <c r="Y124" s="16" t="n"/>
      <c r="Z124" s="124">
        <f>IF(Y124="","",COUNTIFS($C$18:$C$2015,Y$13,$D$18:$D$2015,"&gt;="&amp;Y124,$D$18:$D$2015,"&lt;"&amp;Y125))</f>
        <v/>
      </c>
      <c r="AA124" s="14" t="n"/>
      <c r="AB124" s="16" t="n"/>
      <c r="AC124" s="124">
        <f>IF(AB124="","",COUNTIFS($C$18:$C$2015,AB$13,$D$18:$D$2015,"&gt;="&amp;AB124,$D$18:$D$2015,"&lt;"&amp;AB125))</f>
        <v/>
      </c>
      <c r="AD124" s="14" t="n"/>
    </row>
    <row r="125">
      <c r="A125" s="58" t="n"/>
      <c r="B125" s="59" t="n"/>
      <c r="C125" s="59" t="n"/>
      <c r="E125" s="16" t="n"/>
      <c r="F125" s="13" t="n"/>
      <c r="G125" s="16" t="n"/>
      <c r="H125" s="124">
        <f>IF(G125="","",COUNTIFS($C$18:$C$2015,G$13,$D$18:$D$2015,"&gt;="&amp;G125,$D$18:$D$2015,"&lt;"&amp;G126))</f>
        <v/>
      </c>
      <c r="I125" s="14" t="n"/>
      <c r="J125" s="16" t="n"/>
      <c r="K125" s="124">
        <f>IF(J125="","",COUNTIFS($C$18:$C$2015,J$13,$D$18:$D$2015,"&gt;="&amp;J125,$D$18:$D$2015,"&lt;"&amp;J126))</f>
        <v/>
      </c>
      <c r="L125" s="14" t="n"/>
      <c r="M125" s="16" t="n"/>
      <c r="N125" s="124">
        <f>IF(M125="","",COUNTIFS($C$18:$C$2015,M$13,$D$18:$D$2015,"&gt;="&amp;M125,$D$18:$D$2015,"&lt;"&amp;M126))</f>
        <v/>
      </c>
      <c r="O125" s="14" t="n"/>
      <c r="P125" s="16" t="n"/>
      <c r="Q125" s="124">
        <f>IF(P125="","",COUNTIFS($C$18:$C$2015,P$13,$D$18:$D$2015,"&gt;="&amp;P125,$D$18:$D$2015,"&lt;"&amp;P126))</f>
        <v/>
      </c>
      <c r="R125" s="14" t="n"/>
      <c r="S125" s="16" t="n"/>
      <c r="T125" s="124">
        <f>IF(S125="","",COUNTIFS($C$18:$C$2015,S$13,$D$18:$D$2015,"&gt;="&amp;S125,$D$18:$D$2015,"&lt;"&amp;S126))</f>
        <v/>
      </c>
      <c r="U125" s="14" t="n"/>
      <c r="V125" s="16" t="n"/>
      <c r="W125" s="124">
        <f>IF(V125="","",COUNTIFS($C$18:$C$2015,V$13,$D$18:$D$2015,"&gt;="&amp;V125,$D$18:$D$2015,"&lt;"&amp;V126))</f>
        <v/>
      </c>
      <c r="X125" s="14" t="n"/>
      <c r="Y125" s="16" t="n"/>
      <c r="Z125" s="124">
        <f>IF(Y125="","",COUNTIFS($C$18:$C$2015,Y$13,$D$18:$D$2015,"&gt;="&amp;Y125,$D$18:$D$2015,"&lt;"&amp;Y126))</f>
        <v/>
      </c>
      <c r="AA125" s="14" t="n"/>
      <c r="AB125" s="16" t="n"/>
      <c r="AC125" s="124">
        <f>IF(AB125="","",COUNTIFS($C$18:$C$2015,AB$13,$D$18:$D$2015,"&gt;="&amp;AB125,$D$18:$D$2015,"&lt;"&amp;AB126))</f>
        <v/>
      </c>
      <c r="AD125" s="14" t="n"/>
    </row>
    <row r="126">
      <c r="A126" s="56" t="n"/>
      <c r="B126" s="57" t="n"/>
      <c r="C126" s="59" t="n"/>
      <c r="E126" s="16" t="n"/>
      <c r="F126" s="13" t="n"/>
      <c r="G126" s="16" t="n"/>
      <c r="H126" s="124">
        <f>IF(G126="","",COUNTIFS($C$18:$C$2015,G$13,$D$18:$D$2015,"&gt;="&amp;G126,$D$18:$D$2015,"&lt;"&amp;G127))</f>
        <v/>
      </c>
      <c r="I126" s="14" t="n"/>
      <c r="J126" s="16" t="n"/>
      <c r="K126" s="124">
        <f>IF(J126="","",COUNTIFS($C$18:$C$2015,J$13,$D$18:$D$2015,"&gt;="&amp;J126,$D$18:$D$2015,"&lt;"&amp;J127))</f>
        <v/>
      </c>
      <c r="L126" s="14" t="n"/>
      <c r="M126" s="16" t="n"/>
      <c r="N126" s="124">
        <f>IF(M126="","",COUNTIFS($C$18:$C$2015,M$13,$D$18:$D$2015,"&gt;="&amp;M126,$D$18:$D$2015,"&lt;"&amp;M127))</f>
        <v/>
      </c>
      <c r="O126" s="14" t="n"/>
      <c r="P126" s="16" t="n"/>
      <c r="Q126" s="124">
        <f>IF(P126="","",COUNTIFS($C$18:$C$2015,P$13,$D$18:$D$2015,"&gt;="&amp;P126,$D$18:$D$2015,"&lt;"&amp;P127))</f>
        <v/>
      </c>
      <c r="R126" s="14" t="n"/>
      <c r="S126" s="16" t="n"/>
      <c r="T126" s="124">
        <f>IF(S126="","",COUNTIFS($C$18:$C$2015,S$13,$D$18:$D$2015,"&gt;="&amp;S126,$D$18:$D$2015,"&lt;"&amp;S127))</f>
        <v/>
      </c>
      <c r="U126" s="14" t="n"/>
      <c r="V126" s="16" t="n"/>
      <c r="W126" s="124">
        <f>IF(V126="","",COUNTIFS($C$18:$C$2015,V$13,$D$18:$D$2015,"&gt;="&amp;V126,$D$18:$D$2015,"&lt;"&amp;V127))</f>
        <v/>
      </c>
      <c r="X126" s="14" t="n"/>
      <c r="Y126" s="16" t="n"/>
      <c r="Z126" s="124">
        <f>IF(Y126="","",COUNTIFS($C$18:$C$2015,Y$13,$D$18:$D$2015,"&gt;="&amp;Y126,$D$18:$D$2015,"&lt;"&amp;Y127))</f>
        <v/>
      </c>
      <c r="AA126" s="14" t="n"/>
      <c r="AB126" s="16" t="n"/>
      <c r="AC126" s="124">
        <f>IF(AB126="","",COUNTIFS($C$18:$C$2015,AB$13,$D$18:$D$2015,"&gt;="&amp;AB126,$D$18:$D$2015,"&lt;"&amp;AB127))</f>
        <v/>
      </c>
      <c r="AD126" s="14" t="n"/>
    </row>
    <row r="127">
      <c r="A127" s="58" t="n"/>
      <c r="B127" s="59" t="n"/>
      <c r="C127" s="59" t="n"/>
      <c r="E127" s="16" t="n"/>
      <c r="F127" s="13" t="n"/>
      <c r="G127" s="16" t="n"/>
      <c r="H127" s="124">
        <f>IF(G127="","",COUNTIFS($C$18:$C$2015,G$13,$D$18:$D$2015,"&gt;="&amp;G127,$D$18:$D$2015,"&lt;"&amp;G128))</f>
        <v/>
      </c>
      <c r="I127" s="14" t="n"/>
      <c r="J127" s="16" t="n"/>
      <c r="K127" s="124">
        <f>IF(J127="","",COUNTIFS($C$18:$C$2015,J$13,$D$18:$D$2015,"&gt;="&amp;J127,$D$18:$D$2015,"&lt;"&amp;J128))</f>
        <v/>
      </c>
      <c r="L127" s="14" t="n"/>
      <c r="M127" s="16" t="n"/>
      <c r="N127" s="124">
        <f>IF(M127="","",COUNTIFS($C$18:$C$2015,M$13,$D$18:$D$2015,"&gt;="&amp;M127,$D$18:$D$2015,"&lt;"&amp;M128))</f>
        <v/>
      </c>
      <c r="O127" s="14" t="n"/>
      <c r="P127" s="16" t="n"/>
      <c r="Q127" s="124">
        <f>IF(P127="","",COUNTIFS($C$18:$C$2015,P$13,$D$18:$D$2015,"&gt;="&amp;P127,$D$18:$D$2015,"&lt;"&amp;P128))</f>
        <v/>
      </c>
      <c r="R127" s="14" t="n"/>
      <c r="S127" s="16" t="n"/>
      <c r="T127" s="124">
        <f>IF(S127="","",COUNTIFS($C$18:$C$2015,S$13,$D$18:$D$2015,"&gt;="&amp;S127,$D$18:$D$2015,"&lt;"&amp;S128))</f>
        <v/>
      </c>
      <c r="U127" s="14" t="n"/>
      <c r="V127" s="16" t="n"/>
      <c r="W127" s="124">
        <f>IF(V127="","",COUNTIFS($C$18:$C$2015,V$13,$D$18:$D$2015,"&gt;="&amp;V127,$D$18:$D$2015,"&lt;"&amp;V128))</f>
        <v/>
      </c>
      <c r="X127" s="14" t="n"/>
      <c r="Y127" s="16" t="n"/>
      <c r="Z127" s="124">
        <f>IF(Y127="","",COUNTIFS($C$18:$C$2015,Y$13,$D$18:$D$2015,"&gt;="&amp;Y127,$D$18:$D$2015,"&lt;"&amp;Y128))</f>
        <v/>
      </c>
      <c r="AA127" s="14" t="n"/>
      <c r="AB127" s="16" t="n"/>
      <c r="AC127" s="124">
        <f>IF(AB127="","",COUNTIFS($C$18:$C$2015,AB$13,$D$18:$D$2015,"&gt;="&amp;AB127,$D$18:$D$2015,"&lt;"&amp;AB128))</f>
        <v/>
      </c>
      <c r="AD127" s="14" t="n"/>
    </row>
    <row r="128">
      <c r="A128" s="56" t="n"/>
      <c r="B128" s="57" t="n"/>
      <c r="C128" s="59" t="n"/>
      <c r="E128" s="16" t="n"/>
      <c r="F128" s="13" t="n"/>
      <c r="G128" s="16" t="n"/>
      <c r="H128" s="124">
        <f>IF(G128="","",COUNTIFS($C$18:$C$2015,G$13,$D$18:$D$2015,"&gt;="&amp;G128,$D$18:$D$2015,"&lt;"&amp;G129))</f>
        <v/>
      </c>
      <c r="I128" s="14" t="n"/>
      <c r="J128" s="16" t="n"/>
      <c r="K128" s="124">
        <f>IF(J128="","",COUNTIFS($C$18:$C$2015,J$13,$D$18:$D$2015,"&gt;="&amp;J128,$D$18:$D$2015,"&lt;"&amp;J129))</f>
        <v/>
      </c>
      <c r="L128" s="14" t="n"/>
      <c r="M128" s="16" t="n"/>
      <c r="N128" s="124">
        <f>IF(M128="","",COUNTIFS($C$18:$C$2015,M$13,$D$18:$D$2015,"&gt;="&amp;M128,$D$18:$D$2015,"&lt;"&amp;M129))</f>
        <v/>
      </c>
      <c r="O128" s="14" t="n"/>
      <c r="P128" s="16" t="n"/>
      <c r="Q128" s="124">
        <f>IF(P128="","",COUNTIFS($C$18:$C$2015,P$13,$D$18:$D$2015,"&gt;="&amp;P128,$D$18:$D$2015,"&lt;"&amp;P129))</f>
        <v/>
      </c>
      <c r="R128" s="14" t="n"/>
      <c r="S128" s="16" t="n"/>
      <c r="T128" s="124">
        <f>IF(S128="","",COUNTIFS($C$18:$C$2015,S$13,$D$18:$D$2015,"&gt;="&amp;S128,$D$18:$D$2015,"&lt;"&amp;S129))</f>
        <v/>
      </c>
      <c r="U128" s="14" t="n"/>
      <c r="V128" s="16" t="n"/>
      <c r="W128" s="124">
        <f>IF(V128="","",COUNTIFS($C$18:$C$2015,V$13,$D$18:$D$2015,"&gt;="&amp;V128,$D$18:$D$2015,"&lt;"&amp;V129))</f>
        <v/>
      </c>
      <c r="X128" s="14" t="n"/>
      <c r="Y128" s="16" t="n"/>
      <c r="Z128" s="124">
        <f>IF(Y128="","",COUNTIFS($C$18:$C$2015,Y$13,$D$18:$D$2015,"&gt;="&amp;Y128,$D$18:$D$2015,"&lt;"&amp;Y129))</f>
        <v/>
      </c>
      <c r="AA128" s="14" t="n"/>
      <c r="AB128" s="16" t="n"/>
      <c r="AC128" s="124">
        <f>IF(AB128="","",COUNTIFS($C$18:$C$2015,AB$13,$D$18:$D$2015,"&gt;="&amp;AB128,$D$18:$D$2015,"&lt;"&amp;AB129))</f>
        <v/>
      </c>
      <c r="AD128" s="14" t="n"/>
    </row>
    <row r="129">
      <c r="A129" s="58" t="n"/>
      <c r="B129" s="59" t="n"/>
      <c r="C129" s="59" t="n"/>
      <c r="E129" s="16" t="n"/>
      <c r="F129" s="13" t="n"/>
      <c r="G129" s="16" t="n"/>
      <c r="H129" s="124">
        <f>IF(G129="","",COUNTIFS($C$18:$C$2015,G$13,$D$18:$D$2015,"&gt;="&amp;G129,$D$18:$D$2015,"&lt;"&amp;G130))</f>
        <v/>
      </c>
      <c r="I129" s="14" t="n"/>
      <c r="J129" s="16" t="n"/>
      <c r="K129" s="124">
        <f>IF(J129="","",COUNTIFS($C$18:$C$2015,J$13,$D$18:$D$2015,"&gt;="&amp;J129,$D$18:$D$2015,"&lt;"&amp;J130))</f>
        <v/>
      </c>
      <c r="L129" s="14" t="n"/>
      <c r="M129" s="16" t="n"/>
      <c r="N129" s="124">
        <f>IF(M129="","",COUNTIFS($C$18:$C$2015,M$13,$D$18:$D$2015,"&gt;="&amp;M129,$D$18:$D$2015,"&lt;"&amp;M130))</f>
        <v/>
      </c>
      <c r="O129" s="14" t="n"/>
      <c r="P129" s="16" t="n"/>
      <c r="Q129" s="124">
        <f>IF(P129="","",COUNTIFS($C$18:$C$2015,P$13,$D$18:$D$2015,"&gt;="&amp;P129,$D$18:$D$2015,"&lt;"&amp;P130))</f>
        <v/>
      </c>
      <c r="R129" s="14" t="n"/>
      <c r="S129" s="16" t="n"/>
      <c r="T129" s="124">
        <f>IF(S129="","",COUNTIFS($C$18:$C$2015,S$13,$D$18:$D$2015,"&gt;="&amp;S129,$D$18:$D$2015,"&lt;"&amp;S130))</f>
        <v/>
      </c>
      <c r="U129" s="14" t="n"/>
      <c r="V129" s="16" t="n"/>
      <c r="W129" s="124">
        <f>IF(V129="","",COUNTIFS($C$18:$C$2015,V$13,$D$18:$D$2015,"&gt;="&amp;V129,$D$18:$D$2015,"&lt;"&amp;V130))</f>
        <v/>
      </c>
      <c r="X129" s="14" t="n"/>
      <c r="Y129" s="16" t="n"/>
      <c r="Z129" s="124">
        <f>IF(Y129="","",COUNTIFS($C$18:$C$2015,Y$13,$D$18:$D$2015,"&gt;="&amp;Y129,$D$18:$D$2015,"&lt;"&amp;Y130))</f>
        <v/>
      </c>
      <c r="AA129" s="14" t="n"/>
      <c r="AB129" s="16" t="n"/>
      <c r="AC129" s="124">
        <f>IF(AB129="","",COUNTIFS($C$18:$C$2015,AB$13,$D$18:$D$2015,"&gt;="&amp;AB129,$D$18:$D$2015,"&lt;"&amp;AB130))</f>
        <v/>
      </c>
      <c r="AD129" s="14" t="n"/>
    </row>
    <row r="130">
      <c r="A130" s="56" t="n"/>
      <c r="B130" s="57" t="n"/>
      <c r="C130" s="59" t="n"/>
      <c r="E130" s="16" t="n"/>
      <c r="F130" s="13" t="n"/>
      <c r="G130" s="16" t="n"/>
      <c r="H130" s="124">
        <f>IF(G130="","",COUNTIFS($C$18:$C$2015,G$13,$D$18:$D$2015,"&gt;="&amp;G130,$D$18:$D$2015,"&lt;"&amp;G131))</f>
        <v/>
      </c>
      <c r="I130" s="14" t="n"/>
      <c r="J130" s="16" t="n"/>
      <c r="K130" s="124">
        <f>IF(J130="","",COUNTIFS($C$18:$C$2015,J$13,$D$18:$D$2015,"&gt;="&amp;J130,$D$18:$D$2015,"&lt;"&amp;J131))</f>
        <v/>
      </c>
      <c r="L130" s="14" t="n"/>
      <c r="M130" s="16" t="n"/>
      <c r="N130" s="124">
        <f>IF(M130="","",COUNTIFS($C$18:$C$2015,M$13,$D$18:$D$2015,"&gt;="&amp;M130,$D$18:$D$2015,"&lt;"&amp;M131))</f>
        <v/>
      </c>
      <c r="O130" s="14" t="n"/>
      <c r="P130" s="16" t="n"/>
      <c r="Q130" s="124">
        <f>IF(P130="","",COUNTIFS($C$18:$C$2015,P$13,$D$18:$D$2015,"&gt;="&amp;P130,$D$18:$D$2015,"&lt;"&amp;P131))</f>
        <v/>
      </c>
      <c r="R130" s="14" t="n"/>
      <c r="S130" s="16" t="n"/>
      <c r="T130" s="124">
        <f>IF(S130="","",COUNTIFS($C$18:$C$2015,S$13,$D$18:$D$2015,"&gt;="&amp;S130,$D$18:$D$2015,"&lt;"&amp;S131))</f>
        <v/>
      </c>
      <c r="U130" s="14" t="n"/>
      <c r="V130" s="16" t="n"/>
      <c r="W130" s="124">
        <f>IF(V130="","",COUNTIFS($C$18:$C$2015,V$13,$D$18:$D$2015,"&gt;="&amp;V130,$D$18:$D$2015,"&lt;"&amp;V131))</f>
        <v/>
      </c>
      <c r="X130" s="14" t="n"/>
      <c r="Y130" s="16" t="n"/>
      <c r="Z130" s="124">
        <f>IF(Y130="","",COUNTIFS($C$18:$C$2015,Y$13,$D$18:$D$2015,"&gt;="&amp;Y130,$D$18:$D$2015,"&lt;"&amp;Y131))</f>
        <v/>
      </c>
      <c r="AA130" s="14" t="n"/>
      <c r="AB130" s="16" t="n"/>
      <c r="AC130" s="124">
        <f>IF(AB130="","",COUNTIFS($C$18:$C$2015,AB$13,$D$18:$D$2015,"&gt;="&amp;AB130,$D$18:$D$2015,"&lt;"&amp;AB131))</f>
        <v/>
      </c>
      <c r="AD130" s="14" t="n"/>
    </row>
    <row r="131">
      <c r="A131" s="58" t="n"/>
      <c r="B131" s="59" t="n"/>
      <c r="C131" s="59" t="n"/>
      <c r="E131" s="16" t="n"/>
      <c r="F131" s="13" t="n"/>
      <c r="G131" s="16" t="n"/>
      <c r="H131" s="124">
        <f>IF(G131="","",COUNTIFS($C$18:$C$2015,G$13,$D$18:$D$2015,"&gt;="&amp;G131,$D$18:$D$2015,"&lt;"&amp;G132))</f>
        <v/>
      </c>
      <c r="I131" s="14" t="n"/>
      <c r="J131" s="16" t="n"/>
      <c r="K131" s="124">
        <f>IF(J131="","",COUNTIFS($C$18:$C$2015,J$13,$D$18:$D$2015,"&gt;="&amp;J131,$D$18:$D$2015,"&lt;"&amp;J132))</f>
        <v/>
      </c>
      <c r="L131" s="14" t="n"/>
      <c r="M131" s="16" t="n"/>
      <c r="N131" s="124">
        <f>IF(M131="","",COUNTIFS($C$18:$C$2015,M$13,$D$18:$D$2015,"&gt;="&amp;M131,$D$18:$D$2015,"&lt;"&amp;M132))</f>
        <v/>
      </c>
      <c r="O131" s="14" t="n"/>
      <c r="P131" s="16" t="n"/>
      <c r="Q131" s="124">
        <f>IF(P131="","",COUNTIFS($C$18:$C$2015,P$13,$D$18:$D$2015,"&gt;="&amp;P131,$D$18:$D$2015,"&lt;"&amp;P132))</f>
        <v/>
      </c>
      <c r="R131" s="14" t="n"/>
      <c r="S131" s="16" t="n"/>
      <c r="T131" s="124">
        <f>IF(S131="","",COUNTIFS($C$18:$C$2015,S$13,$D$18:$D$2015,"&gt;="&amp;S131,$D$18:$D$2015,"&lt;"&amp;S132))</f>
        <v/>
      </c>
      <c r="U131" s="14" t="n"/>
      <c r="V131" s="16" t="n"/>
      <c r="W131" s="124">
        <f>IF(V131="","",COUNTIFS($C$18:$C$2015,V$13,$D$18:$D$2015,"&gt;="&amp;V131,$D$18:$D$2015,"&lt;"&amp;V132))</f>
        <v/>
      </c>
      <c r="X131" s="14" t="n"/>
      <c r="Y131" s="16" t="n"/>
      <c r="Z131" s="124">
        <f>IF(Y131="","",COUNTIFS($C$18:$C$2015,Y$13,$D$18:$D$2015,"&gt;="&amp;Y131,$D$18:$D$2015,"&lt;"&amp;Y132))</f>
        <v/>
      </c>
      <c r="AA131" s="14" t="n"/>
      <c r="AB131" s="16" t="n"/>
      <c r="AC131" s="124">
        <f>IF(AB131="","",COUNTIFS($C$18:$C$2015,AB$13,$D$18:$D$2015,"&gt;="&amp;AB131,$D$18:$D$2015,"&lt;"&amp;AB132))</f>
        <v/>
      </c>
      <c r="AD131" s="14" t="n"/>
    </row>
    <row r="132">
      <c r="A132" s="56" t="n"/>
      <c r="B132" s="57" t="n"/>
      <c r="C132" s="59" t="n"/>
      <c r="E132" s="16" t="n"/>
      <c r="F132" s="13" t="n"/>
      <c r="G132" s="16" t="n"/>
      <c r="H132" s="124">
        <f>IF(G132="","",COUNTIFS($C$18:$C$2015,G$13,$D$18:$D$2015,"&gt;="&amp;G132,$D$18:$D$2015,"&lt;"&amp;G133))</f>
        <v/>
      </c>
      <c r="I132" s="14" t="n"/>
      <c r="J132" s="16" t="n"/>
      <c r="K132" s="124">
        <f>IF(J132="","",COUNTIFS($C$18:$C$2015,J$13,$D$18:$D$2015,"&gt;="&amp;J132,$D$18:$D$2015,"&lt;"&amp;J133))</f>
        <v/>
      </c>
      <c r="L132" s="14" t="n"/>
      <c r="M132" s="16" t="n"/>
      <c r="N132" s="124">
        <f>IF(M132="","",COUNTIFS($C$18:$C$2015,M$13,$D$18:$D$2015,"&gt;="&amp;M132,$D$18:$D$2015,"&lt;"&amp;M133))</f>
        <v/>
      </c>
      <c r="O132" s="14" t="n"/>
      <c r="P132" s="16" t="n"/>
      <c r="Q132" s="124">
        <f>IF(P132="","",COUNTIFS($C$18:$C$2015,P$13,$D$18:$D$2015,"&gt;="&amp;P132,$D$18:$D$2015,"&lt;"&amp;P133))</f>
        <v/>
      </c>
      <c r="R132" s="14" t="n"/>
      <c r="S132" s="16" t="n"/>
      <c r="T132" s="124">
        <f>IF(S132="","",COUNTIFS($C$18:$C$2015,S$13,$D$18:$D$2015,"&gt;="&amp;S132,$D$18:$D$2015,"&lt;"&amp;S133))</f>
        <v/>
      </c>
      <c r="U132" s="14" t="n"/>
      <c r="V132" s="16" t="n"/>
      <c r="W132" s="124">
        <f>IF(V132="","",COUNTIFS($C$18:$C$2015,V$13,$D$18:$D$2015,"&gt;="&amp;V132,$D$18:$D$2015,"&lt;"&amp;V133))</f>
        <v/>
      </c>
      <c r="X132" s="14" t="n"/>
      <c r="Y132" s="16" t="n"/>
      <c r="Z132" s="124">
        <f>IF(Y132="","",COUNTIFS($C$18:$C$2015,Y$13,$D$18:$D$2015,"&gt;="&amp;Y132,$D$18:$D$2015,"&lt;"&amp;Y133))</f>
        <v/>
      </c>
      <c r="AA132" s="14" t="n"/>
      <c r="AB132" s="16" t="n"/>
      <c r="AC132" s="124">
        <f>IF(AB132="","",COUNTIFS($C$18:$C$2015,AB$13,$D$18:$D$2015,"&gt;="&amp;AB132,$D$18:$D$2015,"&lt;"&amp;AB133))</f>
        <v/>
      </c>
      <c r="AD132" s="14" t="n"/>
    </row>
    <row r="133">
      <c r="A133" s="58" t="n"/>
      <c r="B133" s="59" t="n"/>
      <c r="C133" s="59" t="n"/>
      <c r="E133" s="16" t="n"/>
      <c r="F133" s="13" t="n"/>
      <c r="G133" s="16" t="n"/>
      <c r="H133" s="124">
        <f>IF(G133="","",COUNTIFS($C$18:$C$2015,G$13,$D$18:$D$2015,"&gt;="&amp;G133,$D$18:$D$2015,"&lt;"&amp;G134))</f>
        <v/>
      </c>
      <c r="I133" s="14" t="n"/>
      <c r="J133" s="16" t="n"/>
      <c r="K133" s="124">
        <f>IF(J133="","",COUNTIFS($C$18:$C$2015,J$13,$D$18:$D$2015,"&gt;="&amp;J133,$D$18:$D$2015,"&lt;"&amp;J134))</f>
        <v/>
      </c>
      <c r="L133" s="14" t="n"/>
      <c r="M133" s="16" t="n"/>
      <c r="N133" s="124">
        <f>IF(M133="","",COUNTIFS($C$18:$C$2015,M$13,$D$18:$D$2015,"&gt;="&amp;M133,$D$18:$D$2015,"&lt;"&amp;M134))</f>
        <v/>
      </c>
      <c r="O133" s="14" t="n"/>
      <c r="P133" s="16" t="n"/>
      <c r="Q133" s="124">
        <f>IF(P133="","",COUNTIFS($C$18:$C$2015,P$13,$D$18:$D$2015,"&gt;="&amp;P133,$D$18:$D$2015,"&lt;"&amp;P134))</f>
        <v/>
      </c>
      <c r="R133" s="14" t="n"/>
      <c r="S133" s="16" t="n"/>
      <c r="T133" s="124">
        <f>IF(S133="","",COUNTIFS($C$18:$C$2015,S$13,$D$18:$D$2015,"&gt;="&amp;S133,$D$18:$D$2015,"&lt;"&amp;S134))</f>
        <v/>
      </c>
      <c r="U133" s="14" t="n"/>
      <c r="V133" s="16" t="n"/>
      <c r="W133" s="124">
        <f>IF(V133="","",COUNTIFS($C$18:$C$2015,V$13,$D$18:$D$2015,"&gt;="&amp;V133,$D$18:$D$2015,"&lt;"&amp;V134))</f>
        <v/>
      </c>
      <c r="X133" s="14" t="n"/>
      <c r="Y133" s="16" t="n"/>
      <c r="Z133" s="124">
        <f>IF(Y133="","",COUNTIFS($C$18:$C$2015,Y$13,$D$18:$D$2015,"&gt;="&amp;Y133,$D$18:$D$2015,"&lt;"&amp;Y134))</f>
        <v/>
      </c>
      <c r="AA133" s="14" t="n"/>
      <c r="AB133" s="16" t="n"/>
      <c r="AC133" s="124">
        <f>IF(AB133="","",COUNTIFS($C$18:$C$2015,AB$13,$D$18:$D$2015,"&gt;="&amp;AB133,$D$18:$D$2015,"&lt;"&amp;AB134))</f>
        <v/>
      </c>
      <c r="AD133" s="14" t="n"/>
    </row>
    <row r="134">
      <c r="A134" s="56" t="n"/>
      <c r="B134" s="57" t="n"/>
      <c r="C134" s="59" t="n"/>
      <c r="E134" s="16" t="n"/>
      <c r="F134" s="13" t="n"/>
      <c r="G134" s="16" t="n"/>
      <c r="H134" s="124">
        <f>IF(G134="","",COUNTIFS($C$18:$C$2015,G$13,$D$18:$D$2015,"&gt;="&amp;G134,$D$18:$D$2015,"&lt;"&amp;G135))</f>
        <v/>
      </c>
      <c r="I134" s="14" t="n"/>
      <c r="J134" s="16" t="n"/>
      <c r="K134" s="124">
        <f>IF(J134="","",COUNTIFS($C$18:$C$2015,J$13,$D$18:$D$2015,"&gt;="&amp;J134,$D$18:$D$2015,"&lt;"&amp;J135))</f>
        <v/>
      </c>
      <c r="L134" s="14" t="n"/>
      <c r="M134" s="16" t="n"/>
      <c r="N134" s="124">
        <f>IF(M134="","",COUNTIFS($C$18:$C$2015,M$13,$D$18:$D$2015,"&gt;="&amp;M134,$D$18:$D$2015,"&lt;"&amp;M135))</f>
        <v/>
      </c>
      <c r="O134" s="14" t="n"/>
      <c r="P134" s="16" t="n"/>
      <c r="Q134" s="124">
        <f>IF(P134="","",COUNTIFS($C$18:$C$2015,P$13,$D$18:$D$2015,"&gt;="&amp;P134,$D$18:$D$2015,"&lt;"&amp;P135))</f>
        <v/>
      </c>
      <c r="R134" s="14" t="n"/>
      <c r="S134" s="16" t="n"/>
      <c r="T134" s="124">
        <f>IF(S134="","",COUNTIFS($C$18:$C$2015,S$13,$D$18:$D$2015,"&gt;="&amp;S134,$D$18:$D$2015,"&lt;"&amp;S135))</f>
        <v/>
      </c>
      <c r="U134" s="14" t="n"/>
      <c r="V134" s="16" t="n"/>
      <c r="W134" s="124">
        <f>IF(V134="","",COUNTIFS($C$18:$C$2015,V$13,$D$18:$D$2015,"&gt;="&amp;V134,$D$18:$D$2015,"&lt;"&amp;V135))</f>
        <v/>
      </c>
      <c r="X134" s="14" t="n"/>
      <c r="Y134" s="16" t="n"/>
      <c r="Z134" s="124">
        <f>IF(Y134="","",COUNTIFS($C$18:$C$2015,Y$13,$D$18:$D$2015,"&gt;="&amp;Y134,$D$18:$D$2015,"&lt;"&amp;Y135))</f>
        <v/>
      </c>
      <c r="AA134" s="14" t="n"/>
      <c r="AB134" s="16" t="n"/>
      <c r="AC134" s="124">
        <f>IF(AB134="","",COUNTIFS($C$18:$C$2015,AB$13,$D$18:$D$2015,"&gt;="&amp;AB134,$D$18:$D$2015,"&lt;"&amp;AB135))</f>
        <v/>
      </c>
      <c r="AD134" s="14" t="n"/>
    </row>
    <row r="135">
      <c r="A135" s="58" t="n"/>
      <c r="B135" s="59" t="n"/>
      <c r="C135" s="59" t="n"/>
      <c r="E135" s="16" t="n"/>
      <c r="F135" s="13" t="n"/>
      <c r="G135" s="16" t="n"/>
      <c r="H135" s="124">
        <f>IF(G135="","",COUNTIFS($C$18:$C$2015,G$13,$D$18:$D$2015,"&gt;="&amp;G135,$D$18:$D$2015,"&lt;"&amp;G136))</f>
        <v/>
      </c>
      <c r="I135" s="14" t="n"/>
      <c r="J135" s="16" t="n"/>
      <c r="K135" s="124">
        <f>IF(J135="","",COUNTIFS($C$18:$C$2015,J$13,$D$18:$D$2015,"&gt;="&amp;J135,$D$18:$D$2015,"&lt;"&amp;J136))</f>
        <v/>
      </c>
      <c r="L135" s="14" t="n"/>
      <c r="M135" s="16" t="n"/>
      <c r="N135" s="124">
        <f>IF(M135="","",COUNTIFS($C$18:$C$2015,M$13,$D$18:$D$2015,"&gt;="&amp;M135,$D$18:$D$2015,"&lt;"&amp;M136))</f>
        <v/>
      </c>
      <c r="O135" s="14" t="n"/>
      <c r="P135" s="16" t="n"/>
      <c r="Q135" s="124">
        <f>IF(P135="","",COUNTIFS($C$18:$C$2015,P$13,$D$18:$D$2015,"&gt;="&amp;P135,$D$18:$D$2015,"&lt;"&amp;P136))</f>
        <v/>
      </c>
      <c r="R135" s="14" t="n"/>
      <c r="S135" s="16" t="n"/>
      <c r="T135" s="124">
        <f>IF(S135="","",COUNTIFS($C$18:$C$2015,S$13,$D$18:$D$2015,"&gt;="&amp;S135,$D$18:$D$2015,"&lt;"&amp;S136))</f>
        <v/>
      </c>
      <c r="U135" s="14" t="n"/>
      <c r="V135" s="16" t="n"/>
      <c r="W135" s="124">
        <f>IF(V135="","",COUNTIFS($C$18:$C$2015,V$13,$D$18:$D$2015,"&gt;="&amp;V135,$D$18:$D$2015,"&lt;"&amp;V136))</f>
        <v/>
      </c>
      <c r="X135" s="14" t="n"/>
      <c r="Y135" s="16" t="n"/>
      <c r="Z135" s="124">
        <f>IF(Y135="","",COUNTIFS($C$18:$C$2015,Y$13,$D$18:$D$2015,"&gt;="&amp;Y135,$D$18:$D$2015,"&lt;"&amp;Y136))</f>
        <v/>
      </c>
      <c r="AA135" s="14" t="n"/>
      <c r="AB135" s="16" t="n"/>
      <c r="AC135" s="124">
        <f>IF(AB135="","",COUNTIFS($C$18:$C$2015,AB$13,$D$18:$D$2015,"&gt;="&amp;AB135,$D$18:$D$2015,"&lt;"&amp;AB136))</f>
        <v/>
      </c>
      <c r="AD135" s="14" t="n"/>
    </row>
    <row r="136">
      <c r="A136" s="56" t="n"/>
      <c r="B136" s="57" t="n"/>
      <c r="C136" s="59" t="n"/>
      <c r="E136" s="16" t="n"/>
      <c r="F136" s="13" t="n"/>
      <c r="G136" s="16" t="n"/>
      <c r="H136" s="124">
        <f>IF(G136="","",COUNTIFS($C$18:$C$2015,G$13,$D$18:$D$2015,"&gt;="&amp;G136,$D$18:$D$2015,"&lt;"&amp;G137))</f>
        <v/>
      </c>
      <c r="I136" s="14" t="n"/>
      <c r="J136" s="16" t="n"/>
      <c r="K136" s="124">
        <f>IF(J136="","",COUNTIFS($C$18:$C$2015,J$13,$D$18:$D$2015,"&gt;="&amp;J136,$D$18:$D$2015,"&lt;"&amp;J137))</f>
        <v/>
      </c>
      <c r="L136" s="14" t="n"/>
      <c r="M136" s="16" t="n"/>
      <c r="N136" s="124">
        <f>IF(M136="","",COUNTIFS($C$18:$C$2015,M$13,$D$18:$D$2015,"&gt;="&amp;M136,$D$18:$D$2015,"&lt;"&amp;M137))</f>
        <v/>
      </c>
      <c r="O136" s="14" t="n"/>
      <c r="P136" s="16" t="n"/>
      <c r="Q136" s="124">
        <f>IF(P136="","",COUNTIFS($C$18:$C$2015,P$13,$D$18:$D$2015,"&gt;="&amp;P136,$D$18:$D$2015,"&lt;"&amp;P137))</f>
        <v/>
      </c>
      <c r="R136" s="14" t="n"/>
      <c r="S136" s="16" t="n"/>
      <c r="T136" s="124">
        <f>IF(S136="","",COUNTIFS($C$18:$C$2015,S$13,$D$18:$D$2015,"&gt;="&amp;S136,$D$18:$D$2015,"&lt;"&amp;S137))</f>
        <v/>
      </c>
      <c r="U136" s="14" t="n"/>
      <c r="V136" s="16" t="n"/>
      <c r="W136" s="124">
        <f>IF(V136="","",COUNTIFS($C$18:$C$2015,V$13,$D$18:$D$2015,"&gt;="&amp;V136,$D$18:$D$2015,"&lt;"&amp;V137))</f>
        <v/>
      </c>
      <c r="X136" s="14" t="n"/>
      <c r="Y136" s="16" t="n"/>
      <c r="Z136" s="124">
        <f>IF(Y136="","",COUNTIFS($C$18:$C$2015,Y$13,$D$18:$D$2015,"&gt;="&amp;Y136,$D$18:$D$2015,"&lt;"&amp;Y137))</f>
        <v/>
      </c>
      <c r="AA136" s="14" t="n"/>
      <c r="AB136" s="16" t="n"/>
      <c r="AC136" s="124">
        <f>IF(AB136="","",COUNTIFS($C$18:$C$2015,AB$13,$D$18:$D$2015,"&gt;="&amp;AB136,$D$18:$D$2015,"&lt;"&amp;AB137))</f>
        <v/>
      </c>
      <c r="AD136" s="14" t="n"/>
    </row>
    <row r="137">
      <c r="A137" s="58" t="n"/>
      <c r="B137" s="59" t="n"/>
      <c r="C137" s="59" t="n"/>
      <c r="E137" s="16" t="n"/>
      <c r="F137" s="13" t="n"/>
      <c r="G137" s="16" t="n"/>
      <c r="H137" s="124">
        <f>IF(G137="","",COUNTIFS($C$18:$C$2015,G$13,$D$18:$D$2015,"&gt;="&amp;G137,$D$18:$D$2015,"&lt;"&amp;G138))</f>
        <v/>
      </c>
      <c r="I137" s="14" t="n"/>
      <c r="J137" s="16" t="n"/>
      <c r="K137" s="124">
        <f>IF(J137="","",COUNTIFS($C$18:$C$2015,J$13,$D$18:$D$2015,"&gt;="&amp;J137,$D$18:$D$2015,"&lt;"&amp;J138))</f>
        <v/>
      </c>
      <c r="L137" s="14" t="n"/>
      <c r="M137" s="16" t="n"/>
      <c r="N137" s="124">
        <f>IF(M137="","",COUNTIFS($C$18:$C$2015,M$13,$D$18:$D$2015,"&gt;="&amp;M137,$D$18:$D$2015,"&lt;"&amp;M138))</f>
        <v/>
      </c>
      <c r="O137" s="14" t="n"/>
      <c r="P137" s="16" t="n"/>
      <c r="Q137" s="124">
        <f>IF(P137="","",COUNTIFS($C$18:$C$2015,P$13,$D$18:$D$2015,"&gt;="&amp;P137,$D$18:$D$2015,"&lt;"&amp;P138))</f>
        <v/>
      </c>
      <c r="R137" s="14" t="n"/>
      <c r="S137" s="16" t="n"/>
      <c r="T137" s="124">
        <f>IF(S137="","",COUNTIFS($C$18:$C$2015,S$13,$D$18:$D$2015,"&gt;="&amp;S137,$D$18:$D$2015,"&lt;"&amp;S138))</f>
        <v/>
      </c>
      <c r="U137" s="14" t="n"/>
      <c r="V137" s="16" t="n"/>
      <c r="W137" s="124">
        <f>IF(V137="","",COUNTIFS($C$18:$C$2015,V$13,$D$18:$D$2015,"&gt;="&amp;V137,$D$18:$D$2015,"&lt;"&amp;V138))</f>
        <v/>
      </c>
      <c r="X137" s="14" t="n"/>
      <c r="Y137" s="16" t="n"/>
      <c r="Z137" s="124">
        <f>IF(Y137="","",COUNTIFS($C$18:$C$2015,Y$13,$D$18:$D$2015,"&gt;="&amp;Y137,$D$18:$D$2015,"&lt;"&amp;Y138))</f>
        <v/>
      </c>
      <c r="AA137" s="14" t="n"/>
      <c r="AB137" s="16" t="n"/>
      <c r="AC137" s="124">
        <f>IF(AB137="","",COUNTIFS($C$18:$C$2015,AB$13,$D$18:$D$2015,"&gt;="&amp;AB137,$D$18:$D$2015,"&lt;"&amp;AB138))</f>
        <v/>
      </c>
      <c r="AD137" s="14" t="n"/>
    </row>
    <row r="138">
      <c r="A138" s="56" t="n"/>
      <c r="B138" s="57" t="n"/>
      <c r="C138" s="59" t="n"/>
      <c r="E138" s="16" t="n"/>
      <c r="F138" s="13" t="n"/>
      <c r="G138" s="16" t="n"/>
      <c r="H138" s="124">
        <f>IF(G138="","",COUNTIFS($C$18:$C$2015,G$13,$D$18:$D$2015,"&gt;="&amp;G138,$D$18:$D$2015,"&lt;"&amp;G139))</f>
        <v/>
      </c>
      <c r="I138" s="14" t="n"/>
      <c r="J138" s="16" t="n"/>
      <c r="K138" s="124">
        <f>IF(J138="","",COUNTIFS($C$18:$C$2015,J$13,$D$18:$D$2015,"&gt;="&amp;J138,$D$18:$D$2015,"&lt;"&amp;J139))</f>
        <v/>
      </c>
      <c r="L138" s="14" t="n"/>
      <c r="M138" s="16" t="n"/>
      <c r="N138" s="124">
        <f>IF(M138="","",COUNTIFS($C$18:$C$2015,M$13,$D$18:$D$2015,"&gt;="&amp;M138,$D$18:$D$2015,"&lt;"&amp;M139))</f>
        <v/>
      </c>
      <c r="O138" s="14" t="n"/>
      <c r="P138" s="16" t="n"/>
      <c r="Q138" s="124">
        <f>IF(P138="","",COUNTIFS($C$18:$C$2015,P$13,$D$18:$D$2015,"&gt;="&amp;P138,$D$18:$D$2015,"&lt;"&amp;P139))</f>
        <v/>
      </c>
      <c r="R138" s="14" t="n"/>
      <c r="S138" s="16" t="n"/>
      <c r="T138" s="124">
        <f>IF(S138="","",COUNTIFS($C$18:$C$2015,S$13,$D$18:$D$2015,"&gt;="&amp;S138,$D$18:$D$2015,"&lt;"&amp;S139))</f>
        <v/>
      </c>
      <c r="U138" s="14" t="n"/>
      <c r="V138" s="16" t="n"/>
      <c r="W138" s="124">
        <f>IF(V138="","",COUNTIFS($C$18:$C$2015,V$13,$D$18:$D$2015,"&gt;="&amp;V138,$D$18:$D$2015,"&lt;"&amp;V139))</f>
        <v/>
      </c>
      <c r="X138" s="14" t="n"/>
      <c r="Y138" s="16" t="n"/>
      <c r="Z138" s="124">
        <f>IF(Y138="","",COUNTIFS($C$18:$C$2015,Y$13,$D$18:$D$2015,"&gt;="&amp;Y138,$D$18:$D$2015,"&lt;"&amp;Y139))</f>
        <v/>
      </c>
      <c r="AA138" s="14" t="n"/>
      <c r="AB138" s="16" t="n"/>
      <c r="AC138" s="124">
        <f>IF(AB138="","",COUNTIFS($C$18:$C$2015,AB$13,$D$18:$D$2015,"&gt;="&amp;AB138,$D$18:$D$2015,"&lt;"&amp;AB139))</f>
        <v/>
      </c>
      <c r="AD138" s="14" t="n"/>
    </row>
    <row r="139">
      <c r="A139" s="58" t="n"/>
      <c r="B139" s="59" t="n"/>
      <c r="C139" s="59" t="n"/>
      <c r="E139" s="16" t="n"/>
      <c r="F139" s="13" t="n"/>
      <c r="G139" s="16" t="n"/>
      <c r="H139" s="124">
        <f>IF(G139="","",COUNTIFS($C$18:$C$2015,G$13,$D$18:$D$2015,"&gt;="&amp;G139,$D$18:$D$2015,"&lt;"&amp;G140))</f>
        <v/>
      </c>
      <c r="I139" s="14" t="n"/>
      <c r="J139" s="16" t="n"/>
      <c r="K139" s="124">
        <f>IF(J139="","",COUNTIFS($C$18:$C$2015,J$13,$D$18:$D$2015,"&gt;="&amp;J139,$D$18:$D$2015,"&lt;"&amp;J140))</f>
        <v/>
      </c>
      <c r="L139" s="14" t="n"/>
      <c r="M139" s="16" t="n"/>
      <c r="N139" s="124">
        <f>IF(M139="","",COUNTIFS($C$18:$C$2015,M$13,$D$18:$D$2015,"&gt;="&amp;M139,$D$18:$D$2015,"&lt;"&amp;M140))</f>
        <v/>
      </c>
      <c r="O139" s="14" t="n"/>
      <c r="P139" s="16" t="n"/>
      <c r="Q139" s="124">
        <f>IF(P139="","",COUNTIFS($C$18:$C$2015,P$13,$D$18:$D$2015,"&gt;="&amp;P139,$D$18:$D$2015,"&lt;"&amp;P140))</f>
        <v/>
      </c>
      <c r="R139" s="14" t="n"/>
      <c r="S139" s="16" t="n"/>
      <c r="T139" s="124">
        <f>IF(S139="","",COUNTIFS($C$18:$C$2015,S$13,$D$18:$D$2015,"&gt;="&amp;S139,$D$18:$D$2015,"&lt;"&amp;S140))</f>
        <v/>
      </c>
      <c r="U139" s="14" t="n"/>
      <c r="V139" s="16" t="n"/>
      <c r="W139" s="124">
        <f>IF(V139="","",COUNTIFS($C$18:$C$2015,V$13,$D$18:$D$2015,"&gt;="&amp;V139,$D$18:$D$2015,"&lt;"&amp;V140))</f>
        <v/>
      </c>
      <c r="X139" s="14" t="n"/>
      <c r="Y139" s="16" t="n"/>
      <c r="Z139" s="124">
        <f>IF(Y139="","",COUNTIFS($C$18:$C$2015,Y$13,$D$18:$D$2015,"&gt;="&amp;Y139,$D$18:$D$2015,"&lt;"&amp;Y140))</f>
        <v/>
      </c>
      <c r="AA139" s="14" t="n"/>
      <c r="AB139" s="16" t="n"/>
      <c r="AC139" s="124">
        <f>IF(AB139="","",COUNTIFS($C$18:$C$2015,AB$13,$D$18:$D$2015,"&gt;="&amp;AB139,$D$18:$D$2015,"&lt;"&amp;AB140))</f>
        <v/>
      </c>
      <c r="AD139" s="14" t="n"/>
    </row>
    <row r="140">
      <c r="A140" s="56" t="n"/>
      <c r="B140" s="57" t="n"/>
      <c r="C140" s="59" t="n"/>
      <c r="E140" s="16" t="n"/>
      <c r="F140" s="13" t="n"/>
      <c r="G140" s="16" t="n"/>
      <c r="H140" s="124">
        <f>IF(G140="","",COUNTIFS($C$18:$C$2015,G$13,$D$18:$D$2015,"&gt;="&amp;G140,$D$18:$D$2015,"&lt;"&amp;G141))</f>
        <v/>
      </c>
      <c r="I140" s="14" t="n"/>
      <c r="J140" s="16" t="n"/>
      <c r="K140" s="124">
        <f>IF(J140="","",COUNTIFS($C$18:$C$2015,J$13,$D$18:$D$2015,"&gt;="&amp;J140,$D$18:$D$2015,"&lt;"&amp;J141))</f>
        <v/>
      </c>
      <c r="L140" s="14" t="n"/>
      <c r="M140" s="16" t="n"/>
      <c r="N140" s="124">
        <f>IF(M140="","",COUNTIFS($C$18:$C$2015,M$13,$D$18:$D$2015,"&gt;="&amp;M140,$D$18:$D$2015,"&lt;"&amp;M141))</f>
        <v/>
      </c>
      <c r="O140" s="14" t="n"/>
      <c r="P140" s="16" t="n"/>
      <c r="Q140" s="124">
        <f>IF(P140="","",COUNTIFS($C$18:$C$2015,P$13,$D$18:$D$2015,"&gt;="&amp;P140,$D$18:$D$2015,"&lt;"&amp;P141))</f>
        <v/>
      </c>
      <c r="R140" s="14" t="n"/>
      <c r="S140" s="16" t="n"/>
      <c r="T140" s="124">
        <f>IF(S140="","",COUNTIFS($C$18:$C$2015,S$13,$D$18:$D$2015,"&gt;="&amp;S140,$D$18:$D$2015,"&lt;"&amp;S141))</f>
        <v/>
      </c>
      <c r="U140" s="14" t="n"/>
      <c r="V140" s="16" t="n"/>
      <c r="W140" s="124">
        <f>IF(V140="","",COUNTIFS($C$18:$C$2015,V$13,$D$18:$D$2015,"&gt;="&amp;V140,$D$18:$D$2015,"&lt;"&amp;V141))</f>
        <v/>
      </c>
      <c r="X140" s="14" t="n"/>
      <c r="Y140" s="16" t="n"/>
      <c r="Z140" s="124">
        <f>IF(Y140="","",COUNTIFS($C$18:$C$2015,Y$13,$D$18:$D$2015,"&gt;="&amp;Y140,$D$18:$D$2015,"&lt;"&amp;Y141))</f>
        <v/>
      </c>
      <c r="AA140" s="14" t="n"/>
      <c r="AB140" s="16" t="n"/>
      <c r="AC140" s="124">
        <f>IF(AB140="","",COUNTIFS($C$18:$C$2015,AB$13,$D$18:$D$2015,"&gt;="&amp;AB140,$D$18:$D$2015,"&lt;"&amp;AB141))</f>
        <v/>
      </c>
      <c r="AD140" s="14" t="n"/>
    </row>
    <row r="141">
      <c r="A141" s="58" t="n"/>
      <c r="B141" s="59" t="n"/>
      <c r="C141" s="59" t="n"/>
      <c r="E141" s="16" t="n"/>
      <c r="F141" s="13" t="n"/>
      <c r="G141" s="16" t="n"/>
      <c r="H141" s="124">
        <f>IF(G141="","",COUNTIFS($C$18:$C$2015,G$13,$D$18:$D$2015,"&gt;="&amp;G141,$D$18:$D$2015,"&lt;"&amp;G142))</f>
        <v/>
      </c>
      <c r="I141" s="14" t="n"/>
      <c r="J141" s="16" t="n"/>
      <c r="K141" s="124">
        <f>IF(J141="","",COUNTIFS($C$18:$C$2015,J$13,$D$18:$D$2015,"&gt;="&amp;J141,$D$18:$D$2015,"&lt;"&amp;J142))</f>
        <v/>
      </c>
      <c r="L141" s="14" t="n"/>
      <c r="M141" s="16" t="n"/>
      <c r="N141" s="124">
        <f>IF(M141="","",COUNTIFS($C$18:$C$2015,M$13,$D$18:$D$2015,"&gt;="&amp;M141,$D$18:$D$2015,"&lt;"&amp;M142))</f>
        <v/>
      </c>
      <c r="O141" s="14" t="n"/>
      <c r="P141" s="16" t="n"/>
      <c r="Q141" s="124">
        <f>IF(P141="","",COUNTIFS($C$18:$C$2015,P$13,$D$18:$D$2015,"&gt;="&amp;P141,$D$18:$D$2015,"&lt;"&amp;P142))</f>
        <v/>
      </c>
      <c r="R141" s="14" t="n"/>
      <c r="S141" s="16" t="n"/>
      <c r="T141" s="124">
        <f>IF(S141="","",COUNTIFS($C$18:$C$2015,S$13,$D$18:$D$2015,"&gt;="&amp;S141,$D$18:$D$2015,"&lt;"&amp;S142))</f>
        <v/>
      </c>
      <c r="U141" s="14" t="n"/>
      <c r="V141" s="16" t="n"/>
      <c r="W141" s="124">
        <f>IF(V141="","",COUNTIFS($C$18:$C$2015,V$13,$D$18:$D$2015,"&gt;="&amp;V141,$D$18:$D$2015,"&lt;"&amp;V142))</f>
        <v/>
      </c>
      <c r="X141" s="14" t="n"/>
      <c r="Y141" s="16" t="n"/>
      <c r="Z141" s="124">
        <f>IF(Y141="","",COUNTIFS($C$18:$C$2015,Y$13,$D$18:$D$2015,"&gt;="&amp;Y141,$D$18:$D$2015,"&lt;"&amp;Y142))</f>
        <v/>
      </c>
      <c r="AA141" s="14" t="n"/>
      <c r="AB141" s="16" t="n"/>
      <c r="AC141" s="124">
        <f>IF(AB141="","",COUNTIFS($C$18:$C$2015,AB$13,$D$18:$D$2015,"&gt;="&amp;AB141,$D$18:$D$2015,"&lt;"&amp;AB142))</f>
        <v/>
      </c>
      <c r="AD141" s="14" t="n"/>
    </row>
    <row r="142">
      <c r="A142" s="56" t="n"/>
      <c r="B142" s="57" t="n"/>
      <c r="C142" s="59" t="n"/>
      <c r="E142" s="16" t="n"/>
      <c r="F142" s="13" t="n"/>
      <c r="G142" s="16" t="n"/>
      <c r="H142" s="124">
        <f>IF(G142="","",COUNTIFS($C$18:$C$2015,G$13,$D$18:$D$2015,"&gt;="&amp;G142,$D$18:$D$2015,"&lt;"&amp;G143))</f>
        <v/>
      </c>
      <c r="I142" s="14" t="n"/>
      <c r="J142" s="16" t="n"/>
      <c r="K142" s="124">
        <f>IF(J142="","",COUNTIFS($C$18:$C$2015,J$13,$D$18:$D$2015,"&gt;="&amp;J142,$D$18:$D$2015,"&lt;"&amp;J143))</f>
        <v/>
      </c>
      <c r="L142" s="14" t="n"/>
      <c r="M142" s="16" t="n"/>
      <c r="N142" s="124">
        <f>IF(M142="","",COUNTIFS($C$18:$C$2015,M$13,$D$18:$D$2015,"&gt;="&amp;M142,$D$18:$D$2015,"&lt;"&amp;M143))</f>
        <v/>
      </c>
      <c r="O142" s="14" t="n"/>
      <c r="P142" s="16" t="n"/>
      <c r="Q142" s="124">
        <f>IF(P142="","",COUNTIFS($C$18:$C$2015,P$13,$D$18:$D$2015,"&gt;="&amp;P142,$D$18:$D$2015,"&lt;"&amp;P143))</f>
        <v/>
      </c>
      <c r="R142" s="14" t="n"/>
      <c r="S142" s="16" t="n"/>
      <c r="T142" s="124">
        <f>IF(S142="","",COUNTIFS($C$18:$C$2015,S$13,$D$18:$D$2015,"&gt;="&amp;S142,$D$18:$D$2015,"&lt;"&amp;S143))</f>
        <v/>
      </c>
      <c r="U142" s="14" t="n"/>
      <c r="V142" s="16" t="n"/>
      <c r="W142" s="124">
        <f>IF(V142="","",COUNTIFS($C$18:$C$2015,V$13,$D$18:$D$2015,"&gt;="&amp;V142,$D$18:$D$2015,"&lt;"&amp;V143))</f>
        <v/>
      </c>
      <c r="X142" s="14" t="n"/>
      <c r="Y142" s="16" t="n"/>
      <c r="Z142" s="124">
        <f>IF(Y142="","",COUNTIFS($C$18:$C$2015,Y$13,$D$18:$D$2015,"&gt;="&amp;Y142,$D$18:$D$2015,"&lt;"&amp;Y143))</f>
        <v/>
      </c>
      <c r="AA142" s="14" t="n"/>
      <c r="AB142" s="16" t="n"/>
      <c r="AC142" s="124">
        <f>IF(AB142="","",COUNTIFS($C$18:$C$2015,AB$13,$D$18:$D$2015,"&gt;="&amp;AB142,$D$18:$D$2015,"&lt;"&amp;AB143))</f>
        <v/>
      </c>
      <c r="AD142" s="14" t="n"/>
    </row>
    <row r="143">
      <c r="A143" s="58" t="n"/>
      <c r="B143" s="59" t="n"/>
      <c r="C143" s="59" t="n"/>
      <c r="E143" s="16" t="n"/>
      <c r="F143" s="13" t="n"/>
      <c r="G143" s="16" t="n"/>
      <c r="H143" s="124">
        <f>IF(G143="","",COUNTIFS($C$18:$C$2015,G$13,$D$18:$D$2015,"&gt;="&amp;G143,$D$18:$D$2015,"&lt;"&amp;G144))</f>
        <v/>
      </c>
      <c r="I143" s="14" t="n"/>
      <c r="J143" s="16" t="n"/>
      <c r="K143" s="124">
        <f>IF(J143="","",COUNTIFS($C$18:$C$2015,J$13,$D$18:$D$2015,"&gt;="&amp;J143,$D$18:$D$2015,"&lt;"&amp;J144))</f>
        <v/>
      </c>
      <c r="L143" s="14" t="n"/>
      <c r="M143" s="16" t="n"/>
      <c r="N143" s="124">
        <f>IF(M143="","",COUNTIFS($C$18:$C$2015,M$13,$D$18:$D$2015,"&gt;="&amp;M143,$D$18:$D$2015,"&lt;"&amp;M144))</f>
        <v/>
      </c>
      <c r="O143" s="14" t="n"/>
      <c r="P143" s="16" t="n"/>
      <c r="Q143" s="124">
        <f>IF(P143="","",COUNTIFS($C$18:$C$2015,P$13,$D$18:$D$2015,"&gt;="&amp;P143,$D$18:$D$2015,"&lt;"&amp;P144))</f>
        <v/>
      </c>
      <c r="R143" s="14" t="n"/>
      <c r="S143" s="16" t="n"/>
      <c r="T143" s="124">
        <f>IF(S143="","",COUNTIFS($C$18:$C$2015,S$13,$D$18:$D$2015,"&gt;="&amp;S143,$D$18:$D$2015,"&lt;"&amp;S144))</f>
        <v/>
      </c>
      <c r="U143" s="14" t="n"/>
      <c r="V143" s="16" t="n"/>
      <c r="W143" s="124">
        <f>IF(V143="","",COUNTIFS($C$18:$C$2015,V$13,$D$18:$D$2015,"&gt;="&amp;V143,$D$18:$D$2015,"&lt;"&amp;V144))</f>
        <v/>
      </c>
      <c r="X143" s="14" t="n"/>
      <c r="Y143" s="16" t="n"/>
      <c r="Z143" s="124">
        <f>IF(Y143="","",COUNTIFS($C$18:$C$2015,Y$13,$D$18:$D$2015,"&gt;="&amp;Y143,$D$18:$D$2015,"&lt;"&amp;Y144))</f>
        <v/>
      </c>
      <c r="AA143" s="14" t="n"/>
      <c r="AB143" s="16" t="n"/>
      <c r="AC143" s="124">
        <f>IF(AB143="","",COUNTIFS($C$18:$C$2015,AB$13,$D$18:$D$2015,"&gt;="&amp;AB143,$D$18:$D$2015,"&lt;"&amp;AB144))</f>
        <v/>
      </c>
      <c r="AD143" s="14" t="n"/>
    </row>
    <row r="144">
      <c r="A144" s="56" t="n"/>
      <c r="B144" s="57" t="n"/>
      <c r="C144" s="59" t="n"/>
      <c r="E144" s="16" t="n"/>
      <c r="F144" s="13" t="n"/>
      <c r="G144" s="16" t="n"/>
      <c r="H144" s="124">
        <f>IF(G144="","",COUNTIFS($C$18:$C$2015,G$13,$D$18:$D$2015,"&gt;="&amp;G144,$D$18:$D$2015,"&lt;"&amp;G145))</f>
        <v/>
      </c>
      <c r="I144" s="14" t="n"/>
      <c r="J144" s="16" t="n"/>
      <c r="K144" s="124">
        <f>IF(J144="","",COUNTIFS($C$18:$C$2015,J$13,$D$18:$D$2015,"&gt;="&amp;J144,$D$18:$D$2015,"&lt;"&amp;J145))</f>
        <v/>
      </c>
      <c r="L144" s="14" t="n"/>
      <c r="M144" s="16" t="n"/>
      <c r="N144" s="124">
        <f>IF(M144="","",COUNTIFS($C$18:$C$2015,M$13,$D$18:$D$2015,"&gt;="&amp;M144,$D$18:$D$2015,"&lt;"&amp;M145))</f>
        <v/>
      </c>
      <c r="O144" s="14" t="n"/>
      <c r="P144" s="16" t="n"/>
      <c r="Q144" s="124">
        <f>IF(P144="","",COUNTIFS($C$18:$C$2015,P$13,$D$18:$D$2015,"&gt;="&amp;P144,$D$18:$D$2015,"&lt;"&amp;P145))</f>
        <v/>
      </c>
      <c r="R144" s="14" t="n"/>
      <c r="S144" s="16" t="n"/>
      <c r="T144" s="124">
        <f>IF(S144="","",COUNTIFS($C$18:$C$2015,S$13,$D$18:$D$2015,"&gt;="&amp;S144,$D$18:$D$2015,"&lt;"&amp;S145))</f>
        <v/>
      </c>
      <c r="U144" s="14" t="n"/>
      <c r="V144" s="16" t="n"/>
      <c r="W144" s="124">
        <f>IF(V144="","",COUNTIFS($C$18:$C$2015,V$13,$D$18:$D$2015,"&gt;="&amp;V144,$D$18:$D$2015,"&lt;"&amp;V145))</f>
        <v/>
      </c>
      <c r="X144" s="14" t="n"/>
      <c r="Y144" s="16" t="n"/>
      <c r="Z144" s="124">
        <f>IF(Y144="","",COUNTIFS($C$18:$C$2015,Y$13,$D$18:$D$2015,"&gt;="&amp;Y144,$D$18:$D$2015,"&lt;"&amp;Y145))</f>
        <v/>
      </c>
      <c r="AA144" s="14" t="n"/>
      <c r="AB144" s="16" t="n"/>
      <c r="AC144" s="124">
        <f>IF(AB144="","",COUNTIFS($C$18:$C$2015,AB$13,$D$18:$D$2015,"&gt;="&amp;AB144,$D$18:$D$2015,"&lt;"&amp;AB145))</f>
        <v/>
      </c>
      <c r="AD144" s="14" t="n"/>
    </row>
    <row r="145">
      <c r="A145" s="58" t="n"/>
      <c r="B145" s="59" t="n"/>
      <c r="C145" s="59" t="n"/>
      <c r="E145" s="16" t="n"/>
      <c r="F145" s="13" t="n"/>
      <c r="G145" s="16" t="n"/>
      <c r="H145" s="124">
        <f>IF(G145="","",COUNTIFS($C$18:$C$2015,G$13,$D$18:$D$2015,"&gt;="&amp;G145,$D$18:$D$2015,"&lt;"&amp;G146))</f>
        <v/>
      </c>
      <c r="I145" s="14" t="n"/>
      <c r="J145" s="16" t="n"/>
      <c r="K145" s="124">
        <f>IF(J145="","",COUNTIFS($C$18:$C$2015,J$13,$D$18:$D$2015,"&gt;="&amp;J145,$D$18:$D$2015,"&lt;"&amp;J146))</f>
        <v/>
      </c>
      <c r="L145" s="14" t="n"/>
      <c r="M145" s="16" t="n"/>
      <c r="N145" s="124">
        <f>IF(M145="","",COUNTIFS($C$18:$C$2015,M$13,$D$18:$D$2015,"&gt;="&amp;M145,$D$18:$D$2015,"&lt;"&amp;M146))</f>
        <v/>
      </c>
      <c r="O145" s="14" t="n"/>
      <c r="P145" s="16" t="n"/>
      <c r="Q145" s="124">
        <f>IF(P145="","",COUNTIFS($C$18:$C$2015,P$13,$D$18:$D$2015,"&gt;="&amp;P145,$D$18:$D$2015,"&lt;"&amp;P146))</f>
        <v/>
      </c>
      <c r="R145" s="14" t="n"/>
      <c r="S145" s="16" t="n"/>
      <c r="T145" s="124">
        <f>IF(S145="","",COUNTIFS($C$18:$C$2015,S$13,$D$18:$D$2015,"&gt;="&amp;S145,$D$18:$D$2015,"&lt;"&amp;S146))</f>
        <v/>
      </c>
      <c r="U145" s="14" t="n"/>
      <c r="V145" s="16" t="n"/>
      <c r="W145" s="124">
        <f>IF(V145="","",COUNTIFS($C$18:$C$2015,V$13,$D$18:$D$2015,"&gt;="&amp;V145,$D$18:$D$2015,"&lt;"&amp;V146))</f>
        <v/>
      </c>
      <c r="X145" s="14" t="n"/>
      <c r="Y145" s="16" t="n"/>
      <c r="Z145" s="124">
        <f>IF(Y145="","",COUNTIFS($C$18:$C$2015,Y$13,$D$18:$D$2015,"&gt;="&amp;Y145,$D$18:$D$2015,"&lt;"&amp;Y146))</f>
        <v/>
      </c>
      <c r="AA145" s="14" t="n"/>
      <c r="AB145" s="16" t="n"/>
      <c r="AC145" s="124">
        <f>IF(AB145="","",COUNTIFS($C$18:$C$2015,AB$13,$D$18:$D$2015,"&gt;="&amp;AB145,$D$18:$D$2015,"&lt;"&amp;AB146))</f>
        <v/>
      </c>
      <c r="AD145" s="14" t="n"/>
    </row>
    <row r="146">
      <c r="A146" s="56" t="n"/>
      <c r="B146" s="57" t="n"/>
      <c r="C146" s="59" t="n"/>
      <c r="E146" s="16" t="n"/>
      <c r="F146" s="13" t="n"/>
      <c r="G146" s="16" t="n"/>
      <c r="H146" s="124">
        <f>IF(G146="","",COUNTIFS($C$18:$C$2015,G$13,$D$18:$D$2015,"&gt;="&amp;G146,$D$18:$D$2015,"&lt;"&amp;G147))</f>
        <v/>
      </c>
      <c r="I146" s="14" t="n"/>
      <c r="J146" s="16" t="n"/>
      <c r="K146" s="124">
        <f>IF(J146="","",COUNTIFS($C$18:$C$2015,J$13,$D$18:$D$2015,"&gt;="&amp;J146,$D$18:$D$2015,"&lt;"&amp;J147))</f>
        <v/>
      </c>
      <c r="L146" s="14" t="n"/>
      <c r="M146" s="16" t="n"/>
      <c r="N146" s="124">
        <f>IF(M146="","",COUNTIFS($C$18:$C$2015,M$13,$D$18:$D$2015,"&gt;="&amp;M146,$D$18:$D$2015,"&lt;"&amp;M147))</f>
        <v/>
      </c>
      <c r="O146" s="14" t="n"/>
      <c r="P146" s="16" t="n"/>
      <c r="Q146" s="124">
        <f>IF(P146="","",COUNTIFS($C$18:$C$2015,P$13,$D$18:$D$2015,"&gt;="&amp;P146,$D$18:$D$2015,"&lt;"&amp;P147))</f>
        <v/>
      </c>
      <c r="R146" s="14" t="n"/>
      <c r="S146" s="16" t="n"/>
      <c r="T146" s="124">
        <f>IF(S146="","",COUNTIFS($C$18:$C$2015,S$13,$D$18:$D$2015,"&gt;="&amp;S146,$D$18:$D$2015,"&lt;"&amp;S147))</f>
        <v/>
      </c>
      <c r="U146" s="14" t="n"/>
      <c r="V146" s="16" t="n"/>
      <c r="W146" s="124">
        <f>IF(V146="","",COUNTIFS($C$18:$C$2015,V$13,$D$18:$D$2015,"&gt;="&amp;V146,$D$18:$D$2015,"&lt;"&amp;V147))</f>
        <v/>
      </c>
      <c r="X146" s="14" t="n"/>
      <c r="Y146" s="16" t="n"/>
      <c r="Z146" s="124">
        <f>IF(Y146="","",COUNTIFS($C$18:$C$2015,Y$13,$D$18:$D$2015,"&gt;="&amp;Y146,$D$18:$D$2015,"&lt;"&amp;Y147))</f>
        <v/>
      </c>
      <c r="AA146" s="14" t="n"/>
      <c r="AB146" s="16" t="n"/>
      <c r="AC146" s="124">
        <f>IF(AB146="","",COUNTIFS($C$18:$C$2015,AB$13,$D$18:$D$2015,"&gt;="&amp;AB146,$D$18:$D$2015,"&lt;"&amp;AB147))</f>
        <v/>
      </c>
      <c r="AD146" s="14" t="n"/>
    </row>
    <row r="147">
      <c r="A147" s="58" t="n"/>
      <c r="B147" s="59" t="n"/>
      <c r="C147" s="59" t="n"/>
      <c r="E147" s="16" t="n"/>
      <c r="F147" s="13" t="n"/>
      <c r="G147" s="16" t="n"/>
      <c r="H147" s="124">
        <f>IF(G147="","",COUNTIFS($C$18:$C$2015,G$13,$D$18:$D$2015,"&gt;="&amp;G147,$D$18:$D$2015,"&lt;"&amp;G148))</f>
        <v/>
      </c>
      <c r="I147" s="14" t="n"/>
      <c r="J147" s="16" t="n"/>
      <c r="K147" s="124">
        <f>IF(J147="","",COUNTIFS($C$18:$C$2015,J$13,$D$18:$D$2015,"&gt;="&amp;J147,$D$18:$D$2015,"&lt;"&amp;J148))</f>
        <v/>
      </c>
      <c r="L147" s="14" t="n"/>
      <c r="M147" s="16" t="n"/>
      <c r="N147" s="124">
        <f>IF(M147="","",COUNTIFS($C$18:$C$2015,M$13,$D$18:$D$2015,"&gt;="&amp;M147,$D$18:$D$2015,"&lt;"&amp;M148))</f>
        <v/>
      </c>
      <c r="O147" s="14" t="n"/>
      <c r="P147" s="16" t="n"/>
      <c r="Q147" s="124">
        <f>IF(P147="","",COUNTIFS($C$18:$C$2015,P$13,$D$18:$D$2015,"&gt;="&amp;P147,$D$18:$D$2015,"&lt;"&amp;P148))</f>
        <v/>
      </c>
      <c r="R147" s="14" t="n"/>
      <c r="S147" s="16" t="n"/>
      <c r="T147" s="124">
        <f>IF(S147="","",COUNTIFS($C$18:$C$2015,S$13,$D$18:$D$2015,"&gt;="&amp;S147,$D$18:$D$2015,"&lt;"&amp;S148))</f>
        <v/>
      </c>
      <c r="U147" s="14" t="n"/>
      <c r="V147" s="16" t="n"/>
      <c r="W147" s="124">
        <f>IF(V147="","",COUNTIFS($C$18:$C$2015,V$13,$D$18:$D$2015,"&gt;="&amp;V147,$D$18:$D$2015,"&lt;"&amp;V148))</f>
        <v/>
      </c>
      <c r="X147" s="14" t="n"/>
      <c r="Y147" s="16" t="n"/>
      <c r="Z147" s="124">
        <f>IF(Y147="","",COUNTIFS($C$18:$C$2015,Y$13,$D$18:$D$2015,"&gt;="&amp;Y147,$D$18:$D$2015,"&lt;"&amp;Y148))</f>
        <v/>
      </c>
      <c r="AA147" s="14" t="n"/>
      <c r="AB147" s="16" t="n"/>
      <c r="AC147" s="124">
        <f>IF(AB147="","",COUNTIFS($C$18:$C$2015,AB$13,$D$18:$D$2015,"&gt;="&amp;AB147,$D$18:$D$2015,"&lt;"&amp;AB148))</f>
        <v/>
      </c>
      <c r="AD147" s="14" t="n"/>
    </row>
    <row r="148">
      <c r="A148" s="56" t="n"/>
      <c r="B148" s="57" t="n"/>
      <c r="C148" s="59" t="n"/>
      <c r="E148" s="16" t="n"/>
      <c r="F148" s="13" t="n"/>
      <c r="G148" s="16" t="n"/>
      <c r="H148" s="124">
        <f>IF(G148="","",COUNTIFS($C$18:$C$2015,G$13,$D$18:$D$2015,"&gt;="&amp;G148,$D$18:$D$2015,"&lt;"&amp;G149))</f>
        <v/>
      </c>
      <c r="I148" s="14" t="n"/>
      <c r="J148" s="16" t="n"/>
      <c r="K148" s="124">
        <f>IF(J148="","",COUNTIFS($C$18:$C$2015,J$13,$D$18:$D$2015,"&gt;="&amp;J148,$D$18:$D$2015,"&lt;"&amp;J149))</f>
        <v/>
      </c>
      <c r="L148" s="14" t="n"/>
      <c r="M148" s="16" t="n"/>
      <c r="N148" s="124">
        <f>IF(M148="","",COUNTIFS($C$18:$C$2015,M$13,$D$18:$D$2015,"&gt;="&amp;M148,$D$18:$D$2015,"&lt;"&amp;M149))</f>
        <v/>
      </c>
      <c r="O148" s="14" t="n"/>
      <c r="P148" s="16" t="n"/>
      <c r="Q148" s="124">
        <f>IF(P148="","",COUNTIFS($C$18:$C$2015,P$13,$D$18:$D$2015,"&gt;="&amp;P148,$D$18:$D$2015,"&lt;"&amp;P149))</f>
        <v/>
      </c>
      <c r="R148" s="14" t="n"/>
      <c r="S148" s="16" t="n"/>
      <c r="T148" s="124">
        <f>IF(S148="","",COUNTIFS($C$18:$C$2015,S$13,$D$18:$D$2015,"&gt;="&amp;S148,$D$18:$D$2015,"&lt;"&amp;S149))</f>
        <v/>
      </c>
      <c r="U148" s="14" t="n"/>
      <c r="V148" s="16" t="n"/>
      <c r="W148" s="124">
        <f>IF(V148="","",COUNTIFS($C$18:$C$2015,V$13,$D$18:$D$2015,"&gt;="&amp;V148,$D$18:$D$2015,"&lt;"&amp;V149))</f>
        <v/>
      </c>
      <c r="X148" s="14" t="n"/>
      <c r="Y148" s="16" t="n"/>
      <c r="Z148" s="124">
        <f>IF(Y148="","",COUNTIFS($C$18:$C$2015,Y$13,$D$18:$D$2015,"&gt;="&amp;Y148,$D$18:$D$2015,"&lt;"&amp;Y149))</f>
        <v/>
      </c>
      <c r="AA148" s="14" t="n"/>
      <c r="AB148" s="16" t="n"/>
      <c r="AC148" s="124">
        <f>IF(AB148="","",COUNTIFS($C$18:$C$2015,AB$13,$D$18:$D$2015,"&gt;="&amp;AB148,$D$18:$D$2015,"&lt;"&amp;AB149))</f>
        <v/>
      </c>
      <c r="AD148" s="14" t="n"/>
    </row>
    <row r="149">
      <c r="A149" s="58" t="n"/>
      <c r="B149" s="59" t="n"/>
      <c r="C149" s="59" t="n"/>
      <c r="E149" s="16" t="n"/>
      <c r="F149" s="13" t="n"/>
      <c r="G149" s="16" t="n"/>
      <c r="H149" s="124">
        <f>IF(G149="","",COUNTIFS($C$18:$C$2015,G$13,$D$18:$D$2015,"&gt;="&amp;G149,$D$18:$D$2015,"&lt;"&amp;G150))</f>
        <v/>
      </c>
      <c r="I149" s="14" t="n"/>
      <c r="J149" s="16" t="n"/>
      <c r="K149" s="124">
        <f>IF(J149="","",COUNTIFS($C$18:$C$2015,J$13,$D$18:$D$2015,"&gt;="&amp;J149,$D$18:$D$2015,"&lt;"&amp;J150))</f>
        <v/>
      </c>
      <c r="L149" s="14" t="n"/>
      <c r="M149" s="16" t="n"/>
      <c r="N149" s="124">
        <f>IF(M149="","",COUNTIFS($C$18:$C$2015,M$13,$D$18:$D$2015,"&gt;="&amp;M149,$D$18:$D$2015,"&lt;"&amp;M150))</f>
        <v/>
      </c>
      <c r="O149" s="14" t="n"/>
      <c r="P149" s="16" t="n"/>
      <c r="Q149" s="124">
        <f>IF(P149="","",COUNTIFS($C$18:$C$2015,P$13,$D$18:$D$2015,"&gt;="&amp;P149,$D$18:$D$2015,"&lt;"&amp;P150))</f>
        <v/>
      </c>
      <c r="R149" s="14" t="n"/>
      <c r="S149" s="16" t="n"/>
      <c r="T149" s="124">
        <f>IF(S149="","",COUNTIFS($C$18:$C$2015,S$13,$D$18:$D$2015,"&gt;="&amp;S149,$D$18:$D$2015,"&lt;"&amp;S150))</f>
        <v/>
      </c>
      <c r="U149" s="14" t="n"/>
      <c r="V149" s="16" t="n"/>
      <c r="W149" s="124">
        <f>IF(V149="","",COUNTIFS($C$18:$C$2015,V$13,$D$18:$D$2015,"&gt;="&amp;V149,$D$18:$D$2015,"&lt;"&amp;V150))</f>
        <v/>
      </c>
      <c r="X149" s="14" t="n"/>
      <c r="Y149" s="16" t="n"/>
      <c r="Z149" s="124">
        <f>IF(Y149="","",COUNTIFS($C$18:$C$2015,Y$13,$D$18:$D$2015,"&gt;="&amp;Y149,$D$18:$D$2015,"&lt;"&amp;Y150))</f>
        <v/>
      </c>
      <c r="AA149" s="14" t="n"/>
      <c r="AB149" s="16" t="n"/>
      <c r="AC149" s="124">
        <f>IF(AB149="","",COUNTIFS($C$18:$C$2015,AB$13,$D$18:$D$2015,"&gt;="&amp;AB149,$D$18:$D$2015,"&lt;"&amp;AB150))</f>
        <v/>
      </c>
      <c r="AD149" s="14" t="n"/>
    </row>
    <row r="150">
      <c r="A150" s="56" t="n"/>
      <c r="B150" s="57" t="n"/>
      <c r="C150" s="59" t="n"/>
      <c r="E150" s="16" t="n"/>
      <c r="F150" s="13" t="n"/>
      <c r="G150" s="16" t="n"/>
      <c r="H150" s="124">
        <f>IF(G150="","",COUNTIFS($C$18:$C$2015,G$13,$D$18:$D$2015,"&gt;="&amp;G150,$D$18:$D$2015,"&lt;"&amp;G151))</f>
        <v/>
      </c>
      <c r="I150" s="14" t="n"/>
      <c r="J150" s="16" t="n"/>
      <c r="K150" s="124">
        <f>IF(J150="","",COUNTIFS($C$18:$C$2015,J$13,$D$18:$D$2015,"&gt;="&amp;J150,$D$18:$D$2015,"&lt;"&amp;J151))</f>
        <v/>
      </c>
      <c r="L150" s="14" t="n"/>
      <c r="M150" s="16" t="n"/>
      <c r="N150" s="124">
        <f>IF(M150="","",COUNTIFS($C$18:$C$2015,M$13,$D$18:$D$2015,"&gt;="&amp;M150,$D$18:$D$2015,"&lt;"&amp;M151))</f>
        <v/>
      </c>
      <c r="O150" s="14" t="n"/>
      <c r="P150" s="16" t="n"/>
      <c r="Q150" s="124">
        <f>IF(P150="","",COUNTIFS($C$18:$C$2015,P$13,$D$18:$D$2015,"&gt;="&amp;P150,$D$18:$D$2015,"&lt;"&amp;P151))</f>
        <v/>
      </c>
      <c r="R150" s="14" t="n"/>
      <c r="S150" s="16" t="n"/>
      <c r="T150" s="124">
        <f>IF(S150="","",COUNTIFS($C$18:$C$2015,S$13,$D$18:$D$2015,"&gt;="&amp;S150,$D$18:$D$2015,"&lt;"&amp;S151))</f>
        <v/>
      </c>
      <c r="U150" s="14" t="n"/>
      <c r="V150" s="16" t="n"/>
      <c r="W150" s="124">
        <f>IF(V150="","",COUNTIFS($C$18:$C$2015,V$13,$D$18:$D$2015,"&gt;="&amp;V150,$D$18:$D$2015,"&lt;"&amp;V151))</f>
        <v/>
      </c>
      <c r="X150" s="14" t="n"/>
      <c r="Y150" s="16" t="n"/>
      <c r="Z150" s="124">
        <f>IF(Y150="","",COUNTIFS($C$18:$C$2015,Y$13,$D$18:$D$2015,"&gt;="&amp;Y150,$D$18:$D$2015,"&lt;"&amp;Y151))</f>
        <v/>
      </c>
      <c r="AA150" s="14" t="n"/>
      <c r="AB150" s="16" t="n"/>
      <c r="AC150" s="124">
        <f>IF(AB150="","",COUNTIFS($C$18:$C$2015,AB$13,$D$18:$D$2015,"&gt;="&amp;AB150,$D$18:$D$2015,"&lt;"&amp;AB151))</f>
        <v/>
      </c>
      <c r="AD150" s="14" t="n"/>
    </row>
    <row r="151">
      <c r="A151" s="58" t="n"/>
      <c r="B151" s="59" t="n"/>
      <c r="C151" s="59" t="n"/>
      <c r="E151" s="16" t="n"/>
      <c r="F151" s="13" t="n"/>
      <c r="G151" s="16" t="n"/>
      <c r="H151" s="124">
        <f>IF(G151="","",COUNTIFS($C$18:$C$2015,G$13,$D$18:$D$2015,"&gt;="&amp;G151,$D$18:$D$2015,"&lt;"&amp;G152))</f>
        <v/>
      </c>
      <c r="I151" s="14" t="n"/>
      <c r="J151" s="16" t="n"/>
      <c r="K151" s="124">
        <f>IF(J151="","",COUNTIFS($C$18:$C$2015,J$13,$D$18:$D$2015,"&gt;="&amp;J151,$D$18:$D$2015,"&lt;"&amp;J152))</f>
        <v/>
      </c>
      <c r="L151" s="14" t="n"/>
      <c r="M151" s="16" t="n"/>
      <c r="N151" s="124">
        <f>IF(M151="","",COUNTIFS($C$18:$C$2015,M$13,$D$18:$D$2015,"&gt;="&amp;M151,$D$18:$D$2015,"&lt;"&amp;M152))</f>
        <v/>
      </c>
      <c r="O151" s="14" t="n"/>
      <c r="P151" s="16" t="n"/>
      <c r="Q151" s="124">
        <f>IF(P151="","",COUNTIFS($C$18:$C$2015,P$13,$D$18:$D$2015,"&gt;="&amp;P151,$D$18:$D$2015,"&lt;"&amp;P152))</f>
        <v/>
      </c>
      <c r="R151" s="14" t="n"/>
      <c r="S151" s="16" t="n"/>
      <c r="T151" s="124">
        <f>IF(S151="","",COUNTIFS($C$18:$C$2015,S$13,$D$18:$D$2015,"&gt;="&amp;S151,$D$18:$D$2015,"&lt;"&amp;S152))</f>
        <v/>
      </c>
      <c r="U151" s="14" t="n"/>
      <c r="V151" s="16" t="n"/>
      <c r="W151" s="124">
        <f>IF(V151="","",COUNTIFS($C$18:$C$2015,V$13,$D$18:$D$2015,"&gt;="&amp;V151,$D$18:$D$2015,"&lt;"&amp;V152))</f>
        <v/>
      </c>
      <c r="X151" s="14" t="n"/>
      <c r="Y151" s="16" t="n"/>
      <c r="Z151" s="124">
        <f>IF(Y151="","",COUNTIFS($C$18:$C$2015,Y$13,$D$18:$D$2015,"&gt;="&amp;Y151,$D$18:$D$2015,"&lt;"&amp;Y152))</f>
        <v/>
      </c>
      <c r="AA151" s="14" t="n"/>
      <c r="AB151" s="16" t="n"/>
      <c r="AC151" s="124">
        <f>IF(AB151="","",COUNTIFS($C$18:$C$2015,AB$13,$D$18:$D$2015,"&gt;="&amp;AB151,$D$18:$D$2015,"&lt;"&amp;AB152))</f>
        <v/>
      </c>
      <c r="AD151" s="14" t="n"/>
    </row>
    <row r="152">
      <c r="A152" s="56" t="n"/>
      <c r="B152" s="57" t="n"/>
      <c r="C152" s="59" t="n"/>
      <c r="E152" s="16" t="n"/>
      <c r="F152" s="13" t="n"/>
      <c r="G152" s="16" t="n"/>
      <c r="H152" s="124">
        <f>IF(G152="","",COUNTIFS($C$18:$C$2015,G$13,$D$18:$D$2015,"&gt;="&amp;G152,$D$18:$D$2015,"&lt;"&amp;G153))</f>
        <v/>
      </c>
      <c r="I152" s="14" t="n"/>
      <c r="J152" s="16" t="n"/>
      <c r="K152" s="124">
        <f>IF(J152="","",COUNTIFS($C$18:$C$2015,J$13,$D$18:$D$2015,"&gt;="&amp;J152,$D$18:$D$2015,"&lt;"&amp;J153))</f>
        <v/>
      </c>
      <c r="L152" s="14" t="n"/>
      <c r="M152" s="16" t="n"/>
      <c r="N152" s="124">
        <f>IF(M152="","",COUNTIFS($C$18:$C$2015,M$13,$D$18:$D$2015,"&gt;="&amp;M152,$D$18:$D$2015,"&lt;"&amp;M153))</f>
        <v/>
      </c>
      <c r="O152" s="14" t="n"/>
      <c r="P152" s="16" t="n"/>
      <c r="Q152" s="124">
        <f>IF(P152="","",COUNTIFS($C$18:$C$2015,P$13,$D$18:$D$2015,"&gt;="&amp;P152,$D$18:$D$2015,"&lt;"&amp;P153))</f>
        <v/>
      </c>
      <c r="R152" s="14" t="n"/>
      <c r="S152" s="16" t="n"/>
      <c r="T152" s="124">
        <f>IF(S152="","",COUNTIFS($C$18:$C$2015,S$13,$D$18:$D$2015,"&gt;="&amp;S152,$D$18:$D$2015,"&lt;"&amp;S153))</f>
        <v/>
      </c>
      <c r="U152" s="14" t="n"/>
      <c r="V152" s="16" t="n"/>
      <c r="W152" s="124">
        <f>IF(V152="","",COUNTIFS($C$18:$C$2015,V$13,$D$18:$D$2015,"&gt;="&amp;V152,$D$18:$D$2015,"&lt;"&amp;V153))</f>
        <v/>
      </c>
      <c r="X152" s="14" t="n"/>
      <c r="Y152" s="16" t="n"/>
      <c r="Z152" s="124">
        <f>IF(Y152="","",COUNTIFS($C$18:$C$2015,Y$13,$D$18:$D$2015,"&gt;="&amp;Y152,$D$18:$D$2015,"&lt;"&amp;Y153))</f>
        <v/>
      </c>
      <c r="AA152" s="14" t="n"/>
      <c r="AB152" s="16" t="n"/>
      <c r="AC152" s="124">
        <f>IF(AB152="","",COUNTIFS($C$18:$C$2015,AB$13,$D$18:$D$2015,"&gt;="&amp;AB152,$D$18:$D$2015,"&lt;"&amp;AB153))</f>
        <v/>
      </c>
      <c r="AD152" s="14" t="n"/>
    </row>
    <row r="153">
      <c r="A153" s="58" t="n"/>
      <c r="B153" s="59" t="n"/>
      <c r="C153" s="59" t="n"/>
      <c r="E153" s="16" t="n"/>
      <c r="F153" s="13" t="n"/>
      <c r="G153" s="16" t="n"/>
      <c r="H153" s="124">
        <f>IF(G153="","",COUNTIFS($C$18:$C$2015,G$13,$D$18:$D$2015,"&gt;="&amp;G153,$D$18:$D$2015,"&lt;"&amp;G154))</f>
        <v/>
      </c>
      <c r="I153" s="14" t="n"/>
      <c r="J153" s="16" t="n"/>
      <c r="K153" s="124">
        <f>IF(J153="","",COUNTIFS($C$18:$C$2015,J$13,$D$18:$D$2015,"&gt;="&amp;J153,$D$18:$D$2015,"&lt;"&amp;J154))</f>
        <v/>
      </c>
      <c r="L153" s="14" t="n"/>
      <c r="M153" s="16" t="n"/>
      <c r="N153" s="124">
        <f>IF(M153="","",COUNTIFS($C$18:$C$2015,M$13,$D$18:$D$2015,"&gt;="&amp;M153,$D$18:$D$2015,"&lt;"&amp;M154))</f>
        <v/>
      </c>
      <c r="O153" s="14" t="n"/>
      <c r="P153" s="16" t="n"/>
      <c r="Q153" s="124">
        <f>IF(P153="","",COUNTIFS($C$18:$C$2015,P$13,$D$18:$D$2015,"&gt;="&amp;P153,$D$18:$D$2015,"&lt;"&amp;P154))</f>
        <v/>
      </c>
      <c r="R153" s="14" t="n"/>
      <c r="S153" s="16" t="n"/>
      <c r="T153" s="124">
        <f>IF(S153="","",COUNTIFS($C$18:$C$2015,S$13,$D$18:$D$2015,"&gt;="&amp;S153,$D$18:$D$2015,"&lt;"&amp;S154))</f>
        <v/>
      </c>
      <c r="U153" s="14" t="n"/>
      <c r="V153" s="16" t="n"/>
      <c r="W153" s="124">
        <f>IF(V153="","",COUNTIFS($C$18:$C$2015,V$13,$D$18:$D$2015,"&gt;="&amp;V153,$D$18:$D$2015,"&lt;"&amp;V154))</f>
        <v/>
      </c>
      <c r="X153" s="14" t="n"/>
      <c r="Y153" s="16" t="n"/>
      <c r="Z153" s="124">
        <f>IF(Y153="","",COUNTIFS($C$18:$C$2015,Y$13,$D$18:$D$2015,"&gt;="&amp;Y153,$D$18:$D$2015,"&lt;"&amp;Y154))</f>
        <v/>
      </c>
      <c r="AA153" s="14" t="n"/>
      <c r="AB153" s="16" t="n"/>
      <c r="AC153" s="124">
        <f>IF(AB153="","",COUNTIFS($C$18:$C$2015,AB$13,$D$18:$D$2015,"&gt;="&amp;AB153,$D$18:$D$2015,"&lt;"&amp;AB154))</f>
        <v/>
      </c>
      <c r="AD153" s="14" t="n"/>
    </row>
    <row r="154">
      <c r="A154" s="56" t="n"/>
      <c r="B154" s="57" t="n"/>
      <c r="C154" s="59" t="n"/>
      <c r="E154" s="16" t="n"/>
      <c r="F154" s="13" t="n"/>
      <c r="G154" s="16" t="n"/>
      <c r="H154" s="124">
        <f>IF(G154="","",COUNTIFS($C$18:$C$2015,G$13,$D$18:$D$2015,"&gt;="&amp;G154,$D$18:$D$2015,"&lt;"&amp;G155))</f>
        <v/>
      </c>
      <c r="I154" s="14" t="n"/>
      <c r="J154" s="16" t="n"/>
      <c r="K154" s="124">
        <f>IF(J154="","",COUNTIFS($C$18:$C$2015,J$13,$D$18:$D$2015,"&gt;="&amp;J154,$D$18:$D$2015,"&lt;"&amp;J155))</f>
        <v/>
      </c>
      <c r="L154" s="14" t="n"/>
      <c r="M154" s="16" t="n"/>
      <c r="N154" s="124">
        <f>IF(M154="","",COUNTIFS($C$18:$C$2015,M$13,$D$18:$D$2015,"&gt;="&amp;M154,$D$18:$D$2015,"&lt;"&amp;M155))</f>
        <v/>
      </c>
      <c r="O154" s="14" t="n"/>
      <c r="P154" s="16" t="n"/>
      <c r="Q154" s="124">
        <f>IF(P154="","",COUNTIFS($C$18:$C$2015,P$13,$D$18:$D$2015,"&gt;="&amp;P154,$D$18:$D$2015,"&lt;"&amp;P155))</f>
        <v/>
      </c>
      <c r="R154" s="14" t="n"/>
      <c r="S154" s="16" t="n"/>
      <c r="T154" s="124">
        <f>IF(S154="","",COUNTIFS($C$18:$C$2015,S$13,$D$18:$D$2015,"&gt;="&amp;S154,$D$18:$D$2015,"&lt;"&amp;S155))</f>
        <v/>
      </c>
      <c r="U154" s="14" t="n"/>
      <c r="V154" s="16" t="n"/>
      <c r="W154" s="124">
        <f>IF(V154="","",COUNTIFS($C$18:$C$2015,V$13,$D$18:$D$2015,"&gt;="&amp;V154,$D$18:$D$2015,"&lt;"&amp;V155))</f>
        <v/>
      </c>
      <c r="X154" s="14" t="n"/>
      <c r="Y154" s="16" t="n"/>
      <c r="Z154" s="124">
        <f>IF(Y154="","",COUNTIFS($C$18:$C$2015,Y$13,$D$18:$D$2015,"&gt;="&amp;Y154,$D$18:$D$2015,"&lt;"&amp;Y155))</f>
        <v/>
      </c>
      <c r="AA154" s="14" t="n"/>
      <c r="AB154" s="16" t="n"/>
      <c r="AC154" s="124">
        <f>IF(AB154="","",COUNTIFS($C$18:$C$2015,AB$13,$D$18:$D$2015,"&gt;="&amp;AB154,$D$18:$D$2015,"&lt;"&amp;AB155))</f>
        <v/>
      </c>
      <c r="AD154" s="14" t="n"/>
    </row>
    <row r="155">
      <c r="A155" s="58" t="n"/>
      <c r="B155" s="59" t="n"/>
      <c r="C155" s="59" t="n"/>
      <c r="E155" s="16" t="n"/>
      <c r="F155" s="13" t="n"/>
      <c r="G155" s="16" t="n"/>
      <c r="H155" s="124">
        <f>IF(G155="","",COUNTIFS($C$18:$C$2015,G$13,$D$18:$D$2015,"&gt;="&amp;G155,$D$18:$D$2015,"&lt;"&amp;G156))</f>
        <v/>
      </c>
      <c r="I155" s="14" t="n"/>
      <c r="J155" s="16" t="n"/>
      <c r="K155" s="124">
        <f>IF(J155="","",COUNTIFS($C$18:$C$2015,J$13,$D$18:$D$2015,"&gt;="&amp;J155,$D$18:$D$2015,"&lt;"&amp;J156))</f>
        <v/>
      </c>
      <c r="L155" s="14" t="n"/>
      <c r="M155" s="16" t="n"/>
      <c r="N155" s="124">
        <f>IF(M155="","",COUNTIFS($C$18:$C$2015,M$13,$D$18:$D$2015,"&gt;="&amp;M155,$D$18:$D$2015,"&lt;"&amp;M156))</f>
        <v/>
      </c>
      <c r="O155" s="14" t="n"/>
      <c r="P155" s="16" t="n"/>
      <c r="Q155" s="124">
        <f>IF(P155="","",COUNTIFS($C$18:$C$2015,P$13,$D$18:$D$2015,"&gt;="&amp;P155,$D$18:$D$2015,"&lt;"&amp;P156))</f>
        <v/>
      </c>
      <c r="R155" s="14" t="n"/>
      <c r="S155" s="16" t="n"/>
      <c r="T155" s="124">
        <f>IF(S155="","",COUNTIFS($C$18:$C$2015,S$13,$D$18:$D$2015,"&gt;="&amp;S155,$D$18:$D$2015,"&lt;"&amp;S156))</f>
        <v/>
      </c>
      <c r="U155" s="14" t="n"/>
      <c r="V155" s="16" t="n"/>
      <c r="W155" s="124">
        <f>IF(V155="","",COUNTIFS($C$18:$C$2015,V$13,$D$18:$D$2015,"&gt;="&amp;V155,$D$18:$D$2015,"&lt;"&amp;V156))</f>
        <v/>
      </c>
      <c r="X155" s="14" t="n"/>
      <c r="Y155" s="16" t="n"/>
      <c r="Z155" s="124">
        <f>IF(Y155="","",COUNTIFS($C$18:$C$2015,Y$13,$D$18:$D$2015,"&gt;="&amp;Y155,$D$18:$D$2015,"&lt;"&amp;Y156))</f>
        <v/>
      </c>
      <c r="AA155" s="14" t="n"/>
      <c r="AB155" s="16" t="n"/>
      <c r="AC155" s="124">
        <f>IF(AB155="","",COUNTIFS($C$18:$C$2015,AB$13,$D$18:$D$2015,"&gt;="&amp;AB155,$D$18:$D$2015,"&lt;"&amp;AB156))</f>
        <v/>
      </c>
      <c r="AD155" s="14" t="n"/>
    </row>
    <row r="156">
      <c r="A156" s="56" t="n"/>
      <c r="B156" s="57" t="n"/>
      <c r="C156" s="59" t="n"/>
      <c r="E156" s="16" t="n"/>
      <c r="F156" s="13" t="n"/>
      <c r="G156" s="16" t="n"/>
      <c r="H156" s="124">
        <f>IF(G156="","",COUNTIFS($C$18:$C$2015,G$13,$D$18:$D$2015,"&gt;="&amp;G156,$D$18:$D$2015,"&lt;"&amp;G157))</f>
        <v/>
      </c>
      <c r="I156" s="14" t="n"/>
      <c r="J156" s="16" t="n"/>
      <c r="K156" s="124">
        <f>IF(J156="","",COUNTIFS($C$18:$C$2015,J$13,$D$18:$D$2015,"&gt;="&amp;J156,$D$18:$D$2015,"&lt;"&amp;J157))</f>
        <v/>
      </c>
      <c r="L156" s="14" t="n"/>
      <c r="M156" s="16" t="n"/>
      <c r="N156" s="124">
        <f>IF(M156="","",COUNTIFS($C$18:$C$2015,M$13,$D$18:$D$2015,"&gt;="&amp;M156,$D$18:$D$2015,"&lt;"&amp;M157))</f>
        <v/>
      </c>
      <c r="O156" s="14" t="n"/>
      <c r="P156" s="16" t="n"/>
      <c r="Q156" s="124">
        <f>IF(P156="","",COUNTIFS($C$18:$C$2015,P$13,$D$18:$D$2015,"&gt;="&amp;P156,$D$18:$D$2015,"&lt;"&amp;P157))</f>
        <v/>
      </c>
      <c r="R156" s="14" t="n"/>
      <c r="S156" s="16" t="n"/>
      <c r="T156" s="124">
        <f>IF(S156="","",COUNTIFS($C$18:$C$2015,S$13,$D$18:$D$2015,"&gt;="&amp;S156,$D$18:$D$2015,"&lt;"&amp;S157))</f>
        <v/>
      </c>
      <c r="U156" s="14" t="n"/>
      <c r="V156" s="16" t="n"/>
      <c r="W156" s="124">
        <f>IF(V156="","",COUNTIFS($C$18:$C$2015,V$13,$D$18:$D$2015,"&gt;="&amp;V156,$D$18:$D$2015,"&lt;"&amp;V157))</f>
        <v/>
      </c>
      <c r="X156" s="14" t="n"/>
      <c r="Y156" s="16" t="n"/>
      <c r="Z156" s="124">
        <f>IF(Y156="","",COUNTIFS($C$18:$C$2015,Y$13,$D$18:$D$2015,"&gt;="&amp;Y156,$D$18:$D$2015,"&lt;"&amp;Y157))</f>
        <v/>
      </c>
      <c r="AA156" s="14" t="n"/>
      <c r="AB156" s="16" t="n"/>
      <c r="AC156" s="124">
        <f>IF(AB156="","",COUNTIFS($C$18:$C$2015,AB$13,$D$18:$D$2015,"&gt;="&amp;AB156,$D$18:$D$2015,"&lt;"&amp;AB157))</f>
        <v/>
      </c>
      <c r="AD156" s="14" t="n"/>
    </row>
    <row r="157">
      <c r="A157" s="58" t="n"/>
      <c r="B157" s="59" t="n"/>
      <c r="C157" s="59" t="n"/>
      <c r="E157" s="16" t="n"/>
      <c r="F157" s="13" t="n"/>
      <c r="G157" s="16" t="n"/>
      <c r="H157" s="124">
        <f>IF(G157="","",COUNTIFS($C$18:$C$2015,G$13,$D$18:$D$2015,"&gt;="&amp;G157,$D$18:$D$2015,"&lt;"&amp;G158))</f>
        <v/>
      </c>
      <c r="I157" s="14" t="n"/>
      <c r="J157" s="16" t="n"/>
      <c r="K157" s="124">
        <f>IF(J157="","",COUNTIFS($C$18:$C$2015,J$13,$D$18:$D$2015,"&gt;="&amp;J157,$D$18:$D$2015,"&lt;"&amp;J158))</f>
        <v/>
      </c>
      <c r="L157" s="14" t="n"/>
      <c r="M157" s="16" t="n"/>
      <c r="N157" s="124">
        <f>IF(M157="","",COUNTIFS($C$18:$C$2015,M$13,$D$18:$D$2015,"&gt;="&amp;M157,$D$18:$D$2015,"&lt;"&amp;M158))</f>
        <v/>
      </c>
      <c r="O157" s="14" t="n"/>
      <c r="P157" s="16" t="n"/>
      <c r="Q157" s="124">
        <f>IF(P157="","",COUNTIFS($C$18:$C$2015,P$13,$D$18:$D$2015,"&gt;="&amp;P157,$D$18:$D$2015,"&lt;"&amp;P158))</f>
        <v/>
      </c>
      <c r="R157" s="14" t="n"/>
      <c r="S157" s="16" t="n"/>
      <c r="T157" s="124">
        <f>IF(S157="","",COUNTIFS($C$18:$C$2015,S$13,$D$18:$D$2015,"&gt;="&amp;S157,$D$18:$D$2015,"&lt;"&amp;S158))</f>
        <v/>
      </c>
      <c r="U157" s="14" t="n"/>
      <c r="V157" s="16" t="n"/>
      <c r="W157" s="124">
        <f>IF(V157="","",COUNTIFS($C$18:$C$2015,V$13,$D$18:$D$2015,"&gt;="&amp;V157,$D$18:$D$2015,"&lt;"&amp;V158))</f>
        <v/>
      </c>
      <c r="X157" s="14" t="n"/>
      <c r="Y157" s="16" t="n"/>
      <c r="Z157" s="124">
        <f>IF(Y157="","",COUNTIFS($C$18:$C$2015,Y$13,$D$18:$D$2015,"&gt;="&amp;Y157,$D$18:$D$2015,"&lt;"&amp;Y158))</f>
        <v/>
      </c>
      <c r="AA157" s="14" t="n"/>
      <c r="AB157" s="16" t="n"/>
      <c r="AC157" s="124">
        <f>IF(AB157="","",COUNTIFS($C$18:$C$2015,AB$13,$D$18:$D$2015,"&gt;="&amp;AB157,$D$18:$D$2015,"&lt;"&amp;AB158))</f>
        <v/>
      </c>
      <c r="AD157" s="14" t="n"/>
    </row>
    <row r="158">
      <c r="A158" s="56" t="n"/>
      <c r="B158" s="57" t="n"/>
      <c r="C158" s="59" t="n"/>
      <c r="E158" s="16" t="n"/>
      <c r="F158" s="13" t="n"/>
      <c r="G158" s="16" t="n"/>
      <c r="H158" s="124">
        <f>IF(G158="","",COUNTIFS($C$18:$C$2015,G$13,$D$18:$D$2015,"&gt;="&amp;G158,$D$18:$D$2015,"&lt;"&amp;G159))</f>
        <v/>
      </c>
      <c r="I158" s="14" t="n"/>
      <c r="J158" s="16" t="n"/>
      <c r="K158" s="124">
        <f>IF(J158="","",COUNTIFS($C$18:$C$2015,J$13,$D$18:$D$2015,"&gt;="&amp;J158,$D$18:$D$2015,"&lt;"&amp;J159))</f>
        <v/>
      </c>
      <c r="L158" s="14" t="n"/>
      <c r="M158" s="16" t="n"/>
      <c r="N158" s="124">
        <f>IF(M158="","",COUNTIFS($C$18:$C$2015,M$13,$D$18:$D$2015,"&gt;="&amp;M158,$D$18:$D$2015,"&lt;"&amp;M159))</f>
        <v/>
      </c>
      <c r="O158" s="14" t="n"/>
      <c r="P158" s="16" t="n"/>
      <c r="Q158" s="124">
        <f>IF(P158="","",COUNTIFS($C$18:$C$2015,P$13,$D$18:$D$2015,"&gt;="&amp;P158,$D$18:$D$2015,"&lt;"&amp;P159))</f>
        <v/>
      </c>
      <c r="R158" s="14" t="n"/>
      <c r="S158" s="16" t="n"/>
      <c r="T158" s="124">
        <f>IF(S158="","",COUNTIFS($C$18:$C$2015,S$13,$D$18:$D$2015,"&gt;="&amp;S158,$D$18:$D$2015,"&lt;"&amp;S159))</f>
        <v/>
      </c>
      <c r="U158" s="14" t="n"/>
      <c r="V158" s="16" t="n"/>
      <c r="W158" s="124">
        <f>IF(V158="","",COUNTIFS($C$18:$C$2015,V$13,$D$18:$D$2015,"&gt;="&amp;V158,$D$18:$D$2015,"&lt;"&amp;V159))</f>
        <v/>
      </c>
      <c r="X158" s="14" t="n"/>
      <c r="Y158" s="16" t="n"/>
      <c r="Z158" s="124">
        <f>IF(Y158="","",COUNTIFS($C$18:$C$2015,Y$13,$D$18:$D$2015,"&gt;="&amp;Y158,$D$18:$D$2015,"&lt;"&amp;Y159))</f>
        <v/>
      </c>
      <c r="AA158" s="14" t="n"/>
      <c r="AB158" s="16" t="n"/>
      <c r="AC158" s="124">
        <f>IF(AB158="","",COUNTIFS($C$18:$C$2015,AB$13,$D$18:$D$2015,"&gt;="&amp;AB158,$D$18:$D$2015,"&lt;"&amp;AB159))</f>
        <v/>
      </c>
      <c r="AD158" s="14" t="n"/>
    </row>
    <row r="159">
      <c r="A159" s="58" t="n"/>
      <c r="B159" s="59" t="n"/>
      <c r="C159" s="59" t="n"/>
      <c r="E159" s="16" t="n"/>
      <c r="F159" s="13" t="n"/>
      <c r="G159" s="16" t="n"/>
      <c r="H159" s="124">
        <f>IF(G159="","",COUNTIFS($C$18:$C$2015,G$13,$D$18:$D$2015,"&gt;="&amp;G159,$D$18:$D$2015,"&lt;"&amp;G160))</f>
        <v/>
      </c>
      <c r="I159" s="14" t="n"/>
      <c r="J159" s="16" t="n"/>
      <c r="K159" s="124">
        <f>IF(J159="","",COUNTIFS($C$18:$C$2015,J$13,$D$18:$D$2015,"&gt;="&amp;J159,$D$18:$D$2015,"&lt;"&amp;J160))</f>
        <v/>
      </c>
      <c r="L159" s="14" t="n"/>
      <c r="M159" s="16" t="n"/>
      <c r="N159" s="124">
        <f>IF(M159="","",COUNTIFS($C$18:$C$2015,M$13,$D$18:$D$2015,"&gt;="&amp;M159,$D$18:$D$2015,"&lt;"&amp;M160))</f>
        <v/>
      </c>
      <c r="O159" s="14" t="n"/>
      <c r="P159" s="16" t="n"/>
      <c r="Q159" s="124">
        <f>IF(P159="","",COUNTIFS($C$18:$C$2015,P$13,$D$18:$D$2015,"&gt;="&amp;P159,$D$18:$D$2015,"&lt;"&amp;P160))</f>
        <v/>
      </c>
      <c r="R159" s="14" t="n"/>
      <c r="S159" s="16" t="n"/>
      <c r="T159" s="124">
        <f>IF(S159="","",COUNTIFS($C$18:$C$2015,S$13,$D$18:$D$2015,"&gt;="&amp;S159,$D$18:$D$2015,"&lt;"&amp;S160))</f>
        <v/>
      </c>
      <c r="U159" s="14" t="n"/>
      <c r="V159" s="16" t="n"/>
      <c r="W159" s="124">
        <f>IF(V159="","",COUNTIFS($C$18:$C$2015,V$13,$D$18:$D$2015,"&gt;="&amp;V159,$D$18:$D$2015,"&lt;"&amp;V160))</f>
        <v/>
      </c>
      <c r="X159" s="14" t="n"/>
      <c r="Y159" s="16" t="n"/>
      <c r="Z159" s="124">
        <f>IF(Y159="","",COUNTIFS($C$18:$C$2015,Y$13,$D$18:$D$2015,"&gt;="&amp;Y159,$D$18:$D$2015,"&lt;"&amp;Y160))</f>
        <v/>
      </c>
      <c r="AA159" s="14" t="n"/>
      <c r="AB159" s="16" t="n"/>
      <c r="AC159" s="124">
        <f>IF(AB159="","",COUNTIFS($C$18:$C$2015,AB$13,$D$18:$D$2015,"&gt;="&amp;AB159,$D$18:$D$2015,"&lt;"&amp;AB160))</f>
        <v/>
      </c>
      <c r="AD159" s="14" t="n"/>
    </row>
    <row r="160">
      <c r="A160" s="56" t="n"/>
      <c r="B160" s="57" t="n"/>
      <c r="C160" s="59" t="n"/>
      <c r="E160" s="16" t="n"/>
      <c r="F160" s="13" t="n"/>
      <c r="G160" s="16" t="n"/>
      <c r="H160" s="124">
        <f>IF(G160="","",COUNTIFS($C$18:$C$2015,G$13,$D$18:$D$2015,"&gt;="&amp;G160,$D$18:$D$2015,"&lt;"&amp;G161))</f>
        <v/>
      </c>
      <c r="I160" s="14" t="n"/>
      <c r="J160" s="16" t="n"/>
      <c r="K160" s="124">
        <f>IF(J160="","",COUNTIFS($C$18:$C$2015,J$13,$D$18:$D$2015,"&gt;="&amp;J160,$D$18:$D$2015,"&lt;"&amp;J161))</f>
        <v/>
      </c>
      <c r="L160" s="14" t="n"/>
      <c r="M160" s="16" t="n"/>
      <c r="N160" s="124">
        <f>IF(M160="","",COUNTIFS($C$18:$C$2015,M$13,$D$18:$D$2015,"&gt;="&amp;M160,$D$18:$D$2015,"&lt;"&amp;M161))</f>
        <v/>
      </c>
      <c r="O160" s="14" t="n"/>
      <c r="P160" s="16" t="n"/>
      <c r="Q160" s="124">
        <f>IF(P160="","",COUNTIFS($C$18:$C$2015,P$13,$D$18:$D$2015,"&gt;="&amp;P160,$D$18:$D$2015,"&lt;"&amp;P161))</f>
        <v/>
      </c>
      <c r="R160" s="14" t="n"/>
      <c r="S160" s="16" t="n"/>
      <c r="T160" s="124">
        <f>IF(S160="","",COUNTIFS($C$18:$C$2015,S$13,$D$18:$D$2015,"&gt;="&amp;S160,$D$18:$D$2015,"&lt;"&amp;S161))</f>
        <v/>
      </c>
      <c r="U160" s="14" t="n"/>
      <c r="V160" s="16" t="n"/>
      <c r="W160" s="124">
        <f>IF(V160="","",COUNTIFS($C$18:$C$2015,V$13,$D$18:$D$2015,"&gt;="&amp;V160,$D$18:$D$2015,"&lt;"&amp;V161))</f>
        <v/>
      </c>
      <c r="X160" s="14" t="n"/>
      <c r="Y160" s="16" t="n"/>
      <c r="Z160" s="124">
        <f>IF(Y160="","",COUNTIFS($C$18:$C$2015,Y$13,$D$18:$D$2015,"&gt;="&amp;Y160,$D$18:$D$2015,"&lt;"&amp;Y161))</f>
        <v/>
      </c>
      <c r="AA160" s="14" t="n"/>
      <c r="AB160" s="16" t="n"/>
      <c r="AC160" s="124">
        <f>IF(AB160="","",COUNTIFS($C$18:$C$2015,AB$13,$D$18:$D$2015,"&gt;="&amp;AB160,$D$18:$D$2015,"&lt;"&amp;AB161))</f>
        <v/>
      </c>
      <c r="AD160" s="14" t="n"/>
    </row>
    <row r="161">
      <c r="A161" s="58" t="n"/>
      <c r="B161" s="59" t="n"/>
      <c r="C161" s="59" t="n"/>
      <c r="E161" s="16" t="n"/>
      <c r="F161" s="13" t="n"/>
      <c r="G161" s="16" t="n"/>
      <c r="H161" s="124">
        <f>IF(G161="","",COUNTIFS($C$18:$C$2015,G$13,$D$18:$D$2015,"&gt;="&amp;G161,$D$18:$D$2015,"&lt;"&amp;G162))</f>
        <v/>
      </c>
      <c r="I161" s="14" t="n"/>
      <c r="J161" s="16" t="n"/>
      <c r="K161" s="124">
        <f>IF(J161="","",COUNTIFS($C$18:$C$2015,J$13,$D$18:$D$2015,"&gt;="&amp;J161,$D$18:$D$2015,"&lt;"&amp;J162))</f>
        <v/>
      </c>
      <c r="L161" s="14" t="n"/>
      <c r="M161" s="16" t="n"/>
      <c r="N161" s="124">
        <f>IF(M161="","",COUNTIFS($C$18:$C$2015,M$13,$D$18:$D$2015,"&gt;="&amp;M161,$D$18:$D$2015,"&lt;"&amp;M162))</f>
        <v/>
      </c>
      <c r="O161" s="14" t="n"/>
      <c r="P161" s="16" t="n"/>
      <c r="Q161" s="124">
        <f>IF(P161="","",COUNTIFS($C$18:$C$2015,P$13,$D$18:$D$2015,"&gt;="&amp;P161,$D$18:$D$2015,"&lt;"&amp;P162))</f>
        <v/>
      </c>
      <c r="R161" s="14" t="n"/>
      <c r="S161" s="16" t="n"/>
      <c r="T161" s="124">
        <f>IF(S161="","",COUNTIFS($C$18:$C$2015,S$13,$D$18:$D$2015,"&gt;="&amp;S161,$D$18:$D$2015,"&lt;"&amp;S162))</f>
        <v/>
      </c>
      <c r="U161" s="14" t="n"/>
      <c r="V161" s="16" t="n"/>
      <c r="W161" s="124">
        <f>IF(V161="","",COUNTIFS($C$18:$C$2015,V$13,$D$18:$D$2015,"&gt;="&amp;V161,$D$18:$D$2015,"&lt;"&amp;V162))</f>
        <v/>
      </c>
      <c r="X161" s="14" t="n"/>
      <c r="Y161" s="16" t="n"/>
      <c r="Z161" s="124">
        <f>IF(Y161="","",COUNTIFS($C$18:$C$2015,Y$13,$D$18:$D$2015,"&gt;="&amp;Y161,$D$18:$D$2015,"&lt;"&amp;Y162))</f>
        <v/>
      </c>
      <c r="AA161" s="14" t="n"/>
      <c r="AB161" s="16" t="n"/>
      <c r="AC161" s="124">
        <f>IF(AB161="","",COUNTIFS($C$18:$C$2015,AB$13,$D$18:$D$2015,"&gt;="&amp;AB161,$D$18:$D$2015,"&lt;"&amp;AB162))</f>
        <v/>
      </c>
      <c r="AD161" s="14" t="n"/>
    </row>
    <row r="162">
      <c r="A162" s="56" t="n"/>
      <c r="B162" s="57" t="n"/>
      <c r="C162" s="59" t="n"/>
      <c r="E162" s="16" t="n"/>
      <c r="F162" s="13" t="n"/>
      <c r="G162" s="16" t="n"/>
      <c r="H162" s="124">
        <f>IF(G162="","",COUNTIFS($C$18:$C$2015,G$13,$D$18:$D$2015,"&gt;="&amp;G162,$D$18:$D$2015,"&lt;"&amp;G163))</f>
        <v/>
      </c>
      <c r="I162" s="14" t="n"/>
      <c r="J162" s="16" t="n"/>
      <c r="K162" s="124">
        <f>IF(J162="","",COUNTIFS($C$18:$C$2015,J$13,$D$18:$D$2015,"&gt;="&amp;J162,$D$18:$D$2015,"&lt;"&amp;J163))</f>
        <v/>
      </c>
      <c r="L162" s="14" t="n"/>
      <c r="M162" s="16" t="n"/>
      <c r="N162" s="124">
        <f>IF(M162="","",COUNTIFS($C$18:$C$2015,M$13,$D$18:$D$2015,"&gt;="&amp;M162,$D$18:$D$2015,"&lt;"&amp;M163))</f>
        <v/>
      </c>
      <c r="O162" s="14" t="n"/>
      <c r="P162" s="16" t="n"/>
      <c r="Q162" s="124">
        <f>IF(P162="","",COUNTIFS($C$18:$C$2015,P$13,$D$18:$D$2015,"&gt;="&amp;P162,$D$18:$D$2015,"&lt;"&amp;P163))</f>
        <v/>
      </c>
      <c r="R162" s="14" t="n"/>
      <c r="S162" s="16" t="n"/>
      <c r="T162" s="124">
        <f>IF(S162="","",COUNTIFS($C$18:$C$2015,S$13,$D$18:$D$2015,"&gt;="&amp;S162,$D$18:$D$2015,"&lt;"&amp;S163))</f>
        <v/>
      </c>
      <c r="U162" s="14" t="n"/>
      <c r="V162" s="16" t="n"/>
      <c r="W162" s="124">
        <f>IF(V162="","",COUNTIFS($C$18:$C$2015,V$13,$D$18:$D$2015,"&gt;="&amp;V162,$D$18:$D$2015,"&lt;"&amp;V163))</f>
        <v/>
      </c>
      <c r="X162" s="14" t="n"/>
      <c r="Y162" s="16" t="n"/>
      <c r="Z162" s="124">
        <f>IF(Y162="","",COUNTIFS($C$18:$C$2015,Y$13,$D$18:$D$2015,"&gt;="&amp;Y162,$D$18:$D$2015,"&lt;"&amp;Y163))</f>
        <v/>
      </c>
      <c r="AA162" s="14" t="n"/>
      <c r="AB162" s="16" t="n"/>
      <c r="AC162" s="124">
        <f>IF(AB162="","",COUNTIFS($C$18:$C$2015,AB$13,$D$18:$D$2015,"&gt;="&amp;AB162,$D$18:$D$2015,"&lt;"&amp;AB163))</f>
        <v/>
      </c>
      <c r="AD162" s="14" t="n"/>
    </row>
    <row r="163">
      <c r="A163" s="58" t="n"/>
      <c r="B163" s="59" t="n"/>
      <c r="C163" s="59" t="n"/>
      <c r="E163" s="16" t="n"/>
      <c r="F163" s="13" t="n"/>
      <c r="G163" s="16" t="n"/>
      <c r="H163" s="124">
        <f>IF(G163="","",COUNTIFS($C$18:$C$2015,G$13,$D$18:$D$2015,"&gt;="&amp;G163,$D$18:$D$2015,"&lt;"&amp;G164))</f>
        <v/>
      </c>
      <c r="I163" s="14" t="n"/>
      <c r="J163" s="16" t="n"/>
      <c r="K163" s="124">
        <f>IF(J163="","",COUNTIFS($C$18:$C$2015,J$13,$D$18:$D$2015,"&gt;="&amp;J163,$D$18:$D$2015,"&lt;"&amp;J164))</f>
        <v/>
      </c>
      <c r="L163" s="14" t="n"/>
      <c r="M163" s="16" t="n"/>
      <c r="N163" s="124">
        <f>IF(M163="","",COUNTIFS($C$18:$C$2015,M$13,$D$18:$D$2015,"&gt;="&amp;M163,$D$18:$D$2015,"&lt;"&amp;M164))</f>
        <v/>
      </c>
      <c r="O163" s="14" t="n"/>
      <c r="P163" s="16" t="n"/>
      <c r="Q163" s="124">
        <f>IF(P163="","",COUNTIFS($C$18:$C$2015,P$13,$D$18:$D$2015,"&gt;="&amp;P163,$D$18:$D$2015,"&lt;"&amp;P164))</f>
        <v/>
      </c>
      <c r="R163" s="14" t="n"/>
      <c r="S163" s="16" t="n"/>
      <c r="T163" s="124">
        <f>IF(S163="","",COUNTIFS($C$18:$C$2015,S$13,$D$18:$D$2015,"&gt;="&amp;S163,$D$18:$D$2015,"&lt;"&amp;S164))</f>
        <v/>
      </c>
      <c r="U163" s="14" t="n"/>
      <c r="V163" s="16" t="n"/>
      <c r="W163" s="124">
        <f>IF(V163="","",COUNTIFS($C$18:$C$2015,V$13,$D$18:$D$2015,"&gt;="&amp;V163,$D$18:$D$2015,"&lt;"&amp;V164))</f>
        <v/>
      </c>
      <c r="X163" s="14" t="n"/>
      <c r="Y163" s="16" t="n"/>
      <c r="Z163" s="124">
        <f>IF(Y163="","",COUNTIFS($C$18:$C$2015,Y$13,$D$18:$D$2015,"&gt;="&amp;Y163,$D$18:$D$2015,"&lt;"&amp;Y164))</f>
        <v/>
      </c>
      <c r="AA163" s="14" t="n"/>
      <c r="AB163" s="16" t="n"/>
      <c r="AC163" s="124">
        <f>IF(AB163="","",COUNTIFS($C$18:$C$2015,AB$13,$D$18:$D$2015,"&gt;="&amp;AB163,$D$18:$D$2015,"&lt;"&amp;AB164))</f>
        <v/>
      </c>
      <c r="AD163" s="14" t="n"/>
    </row>
    <row r="164">
      <c r="A164" s="56" t="n"/>
      <c r="B164" s="57" t="n"/>
      <c r="C164" s="59" t="n"/>
      <c r="E164" s="16" t="n"/>
      <c r="F164" s="13" t="n"/>
      <c r="G164" s="16" t="n"/>
      <c r="H164" s="124">
        <f>IF(G164="","",COUNTIFS($C$18:$C$2015,G$13,$D$18:$D$2015,"&gt;="&amp;G164,$D$18:$D$2015,"&lt;"&amp;G165))</f>
        <v/>
      </c>
      <c r="I164" s="14" t="n"/>
      <c r="J164" s="16" t="n"/>
      <c r="K164" s="124">
        <f>IF(J164="","",COUNTIFS($C$18:$C$2015,J$13,$D$18:$D$2015,"&gt;="&amp;J164,$D$18:$D$2015,"&lt;"&amp;J165))</f>
        <v/>
      </c>
      <c r="L164" s="14" t="n"/>
      <c r="M164" s="16" t="n"/>
      <c r="N164" s="124">
        <f>IF(M164="","",COUNTIFS($C$18:$C$2015,M$13,$D$18:$D$2015,"&gt;="&amp;M164,$D$18:$D$2015,"&lt;"&amp;M165))</f>
        <v/>
      </c>
      <c r="O164" s="14" t="n"/>
      <c r="P164" s="16" t="n"/>
      <c r="Q164" s="124">
        <f>IF(P164="","",COUNTIFS($C$18:$C$2015,P$13,$D$18:$D$2015,"&gt;="&amp;P164,$D$18:$D$2015,"&lt;"&amp;P165))</f>
        <v/>
      </c>
      <c r="R164" s="14" t="n"/>
      <c r="S164" s="16" t="n"/>
      <c r="T164" s="124">
        <f>IF(S164="","",COUNTIFS($C$18:$C$2015,S$13,$D$18:$D$2015,"&gt;="&amp;S164,$D$18:$D$2015,"&lt;"&amp;S165))</f>
        <v/>
      </c>
      <c r="U164" s="14" t="n"/>
      <c r="V164" s="16" t="n"/>
      <c r="W164" s="124">
        <f>IF(V164="","",COUNTIFS($C$18:$C$2015,V$13,$D$18:$D$2015,"&gt;="&amp;V164,$D$18:$D$2015,"&lt;"&amp;V165))</f>
        <v/>
      </c>
      <c r="X164" s="14" t="n"/>
      <c r="Y164" s="16" t="n"/>
      <c r="Z164" s="124">
        <f>IF(Y164="","",COUNTIFS($C$18:$C$2015,Y$13,$D$18:$D$2015,"&gt;="&amp;Y164,$D$18:$D$2015,"&lt;"&amp;Y165))</f>
        <v/>
      </c>
      <c r="AA164" s="14" t="n"/>
      <c r="AB164" s="16" t="n"/>
      <c r="AC164" s="124">
        <f>IF(AB164="","",COUNTIFS($C$18:$C$2015,AB$13,$D$18:$D$2015,"&gt;="&amp;AB164,$D$18:$D$2015,"&lt;"&amp;AB165))</f>
        <v/>
      </c>
      <c r="AD164" s="14" t="n"/>
    </row>
    <row r="165">
      <c r="A165" s="58" t="n"/>
      <c r="B165" s="59" t="n"/>
      <c r="C165" s="59" t="n"/>
      <c r="E165" s="16" t="n"/>
      <c r="F165" s="13" t="n"/>
      <c r="G165" s="16" t="n"/>
      <c r="H165" s="124">
        <f>IF(G165="","",COUNTIFS($C$18:$C$2015,G$13,$D$18:$D$2015,"&gt;="&amp;G165,$D$18:$D$2015,"&lt;"&amp;G166))</f>
        <v/>
      </c>
      <c r="I165" s="14" t="n"/>
      <c r="J165" s="16" t="n"/>
      <c r="K165" s="124">
        <f>IF(J165="","",COUNTIFS($C$18:$C$2015,J$13,$D$18:$D$2015,"&gt;="&amp;J165,$D$18:$D$2015,"&lt;"&amp;J166))</f>
        <v/>
      </c>
      <c r="L165" s="14" t="n"/>
      <c r="M165" s="16" t="n"/>
      <c r="N165" s="124">
        <f>IF(M165="","",COUNTIFS($C$18:$C$2015,M$13,$D$18:$D$2015,"&gt;="&amp;M165,$D$18:$D$2015,"&lt;"&amp;M166))</f>
        <v/>
      </c>
      <c r="O165" s="14" t="n"/>
      <c r="P165" s="16" t="n"/>
      <c r="Q165" s="124">
        <f>IF(P165="","",COUNTIFS($C$18:$C$2015,P$13,$D$18:$D$2015,"&gt;="&amp;P165,$D$18:$D$2015,"&lt;"&amp;P166))</f>
        <v/>
      </c>
      <c r="R165" s="14" t="n"/>
      <c r="S165" s="16" t="n"/>
      <c r="T165" s="124">
        <f>IF(S165="","",COUNTIFS($C$18:$C$2015,S$13,$D$18:$D$2015,"&gt;="&amp;S165,$D$18:$D$2015,"&lt;"&amp;S166))</f>
        <v/>
      </c>
      <c r="U165" s="14" t="n"/>
      <c r="V165" s="16" t="n"/>
      <c r="W165" s="124">
        <f>IF(V165="","",COUNTIFS($C$18:$C$2015,V$13,$D$18:$D$2015,"&gt;="&amp;V165,$D$18:$D$2015,"&lt;"&amp;V166))</f>
        <v/>
      </c>
      <c r="X165" s="14" t="n"/>
      <c r="Y165" s="16" t="n"/>
      <c r="Z165" s="124">
        <f>IF(Y165="","",COUNTIFS($C$18:$C$2015,Y$13,$D$18:$D$2015,"&gt;="&amp;Y165,$D$18:$D$2015,"&lt;"&amp;Y166))</f>
        <v/>
      </c>
      <c r="AA165" s="14" t="n"/>
      <c r="AB165" s="16" t="n"/>
      <c r="AC165" s="124">
        <f>IF(AB165="","",COUNTIFS($C$18:$C$2015,AB$13,$D$18:$D$2015,"&gt;="&amp;AB165,$D$18:$D$2015,"&lt;"&amp;AB166))</f>
        <v/>
      </c>
      <c r="AD165" s="14" t="n"/>
    </row>
    <row r="166">
      <c r="A166" s="56" t="n"/>
      <c r="B166" s="57" t="n"/>
      <c r="C166" s="59" t="n"/>
      <c r="E166" s="16" t="n"/>
      <c r="F166" s="13" t="n"/>
      <c r="G166" s="16" t="n"/>
      <c r="H166" s="124">
        <f>IF(G166="","",COUNTIFS($C$18:$C$2015,G$13,$D$18:$D$2015,"&gt;="&amp;G166,$D$18:$D$2015,"&lt;"&amp;G167))</f>
        <v/>
      </c>
      <c r="I166" s="14" t="n"/>
      <c r="J166" s="16" t="n"/>
      <c r="K166" s="124">
        <f>IF(J166="","",COUNTIFS($C$18:$C$2015,J$13,$D$18:$D$2015,"&gt;="&amp;J166,$D$18:$D$2015,"&lt;"&amp;J167))</f>
        <v/>
      </c>
      <c r="L166" s="14" t="n"/>
      <c r="M166" s="16" t="n"/>
      <c r="N166" s="124">
        <f>IF(M166="","",COUNTIFS($C$18:$C$2015,M$13,$D$18:$D$2015,"&gt;="&amp;M166,$D$18:$D$2015,"&lt;"&amp;M167))</f>
        <v/>
      </c>
      <c r="O166" s="14" t="n"/>
      <c r="P166" s="16" t="n"/>
      <c r="Q166" s="124">
        <f>IF(P166="","",COUNTIFS($C$18:$C$2015,P$13,$D$18:$D$2015,"&gt;="&amp;P166,$D$18:$D$2015,"&lt;"&amp;P167))</f>
        <v/>
      </c>
      <c r="R166" s="14" t="n"/>
      <c r="S166" s="16" t="n"/>
      <c r="T166" s="124">
        <f>IF(S166="","",COUNTIFS($C$18:$C$2015,S$13,$D$18:$D$2015,"&gt;="&amp;S166,$D$18:$D$2015,"&lt;"&amp;S167))</f>
        <v/>
      </c>
      <c r="U166" s="14" t="n"/>
      <c r="V166" s="16" t="n"/>
      <c r="W166" s="124">
        <f>IF(V166="","",COUNTIFS($C$18:$C$2015,V$13,$D$18:$D$2015,"&gt;="&amp;V166,$D$18:$D$2015,"&lt;"&amp;V167))</f>
        <v/>
      </c>
      <c r="X166" s="14" t="n"/>
      <c r="Y166" s="16" t="n"/>
      <c r="Z166" s="124">
        <f>IF(Y166="","",COUNTIFS($C$18:$C$2015,Y$13,$D$18:$D$2015,"&gt;="&amp;Y166,$D$18:$D$2015,"&lt;"&amp;Y167))</f>
        <v/>
      </c>
      <c r="AA166" s="14" t="n"/>
      <c r="AB166" s="16" t="n"/>
      <c r="AC166" s="124">
        <f>IF(AB166="","",COUNTIFS($C$18:$C$2015,AB$13,$D$18:$D$2015,"&gt;="&amp;AB166,$D$18:$D$2015,"&lt;"&amp;AB167))</f>
        <v/>
      </c>
      <c r="AD166" s="14" t="n"/>
    </row>
    <row r="167">
      <c r="A167" s="58" t="n"/>
      <c r="B167" s="59" t="n"/>
      <c r="C167" s="59" t="n"/>
      <c r="E167" s="16" t="n"/>
      <c r="F167" s="13" t="n"/>
      <c r="G167" s="16" t="n"/>
      <c r="H167" s="124">
        <f>IF(G167="","",COUNTIFS($C$18:$C$2015,G$13,$D$18:$D$2015,"&gt;="&amp;G167,$D$18:$D$2015,"&lt;"&amp;G168))</f>
        <v/>
      </c>
      <c r="I167" s="14" t="n"/>
      <c r="J167" s="16" t="n"/>
      <c r="K167" s="124">
        <f>IF(J167="","",COUNTIFS($C$18:$C$2015,J$13,$D$18:$D$2015,"&gt;="&amp;J167,$D$18:$D$2015,"&lt;"&amp;J168))</f>
        <v/>
      </c>
      <c r="L167" s="14" t="n"/>
      <c r="M167" s="16" t="n"/>
      <c r="N167" s="124">
        <f>IF(M167="","",COUNTIFS($C$18:$C$2015,M$13,$D$18:$D$2015,"&gt;="&amp;M167,$D$18:$D$2015,"&lt;"&amp;M168))</f>
        <v/>
      </c>
      <c r="O167" s="14" t="n"/>
      <c r="P167" s="16" t="n"/>
      <c r="Q167" s="124">
        <f>IF(P167="","",COUNTIFS($C$18:$C$2015,P$13,$D$18:$D$2015,"&gt;="&amp;P167,$D$18:$D$2015,"&lt;"&amp;P168))</f>
        <v/>
      </c>
      <c r="R167" s="14" t="n"/>
      <c r="S167" s="16" t="n"/>
      <c r="T167" s="124">
        <f>IF(S167="","",COUNTIFS($C$18:$C$2015,S$13,$D$18:$D$2015,"&gt;="&amp;S167,$D$18:$D$2015,"&lt;"&amp;S168))</f>
        <v/>
      </c>
      <c r="U167" s="14" t="n"/>
      <c r="V167" s="16" t="n"/>
      <c r="W167" s="124">
        <f>IF(V167="","",COUNTIFS($C$18:$C$2015,V$13,$D$18:$D$2015,"&gt;="&amp;V167,$D$18:$D$2015,"&lt;"&amp;V168))</f>
        <v/>
      </c>
      <c r="X167" s="14" t="n"/>
      <c r="Y167" s="16" t="n"/>
      <c r="Z167" s="124">
        <f>IF(Y167="","",COUNTIFS($C$18:$C$2015,Y$13,$D$18:$D$2015,"&gt;="&amp;Y167,$D$18:$D$2015,"&lt;"&amp;Y168))</f>
        <v/>
      </c>
      <c r="AA167" s="14" t="n"/>
      <c r="AB167" s="16" t="n"/>
      <c r="AC167" s="124">
        <f>IF(AB167="","",COUNTIFS($C$18:$C$2015,AB$13,$D$18:$D$2015,"&gt;="&amp;AB167,$D$18:$D$2015,"&lt;"&amp;AB168))</f>
        <v/>
      </c>
      <c r="AD167" s="14" t="n"/>
    </row>
    <row r="168">
      <c r="A168" s="56" t="n"/>
      <c r="B168" s="57" t="n"/>
      <c r="C168" s="59" t="n"/>
      <c r="E168" s="16" t="n"/>
      <c r="F168" s="13" t="n"/>
      <c r="G168" s="16" t="n"/>
      <c r="H168" s="124">
        <f>IF(G168="","",COUNTIFS($C$18:$C$2015,G$13,$D$18:$D$2015,"&gt;="&amp;G168,$D$18:$D$2015,"&lt;"&amp;G169))</f>
        <v/>
      </c>
      <c r="I168" s="14" t="n"/>
      <c r="J168" s="16" t="n"/>
      <c r="K168" s="124">
        <f>IF(J168="","",COUNTIFS($C$18:$C$2015,J$13,$D$18:$D$2015,"&gt;="&amp;J168,$D$18:$D$2015,"&lt;"&amp;J169))</f>
        <v/>
      </c>
      <c r="L168" s="14" t="n"/>
      <c r="M168" s="16" t="n"/>
      <c r="N168" s="124">
        <f>IF(M168="","",COUNTIFS($C$18:$C$2015,M$13,$D$18:$D$2015,"&gt;="&amp;M168,$D$18:$D$2015,"&lt;"&amp;M169))</f>
        <v/>
      </c>
      <c r="O168" s="14" t="n"/>
      <c r="P168" s="16" t="n"/>
      <c r="Q168" s="124">
        <f>IF(P168="","",COUNTIFS($C$18:$C$2015,P$13,$D$18:$D$2015,"&gt;="&amp;P168,$D$18:$D$2015,"&lt;"&amp;P169))</f>
        <v/>
      </c>
      <c r="R168" s="14" t="n"/>
      <c r="S168" s="16" t="n"/>
      <c r="T168" s="124">
        <f>IF(S168="","",COUNTIFS($C$18:$C$2015,S$13,$D$18:$D$2015,"&gt;="&amp;S168,$D$18:$D$2015,"&lt;"&amp;S169))</f>
        <v/>
      </c>
      <c r="U168" s="14" t="n"/>
      <c r="V168" s="16" t="n"/>
      <c r="W168" s="124">
        <f>IF(V168="","",COUNTIFS($C$18:$C$2015,V$13,$D$18:$D$2015,"&gt;="&amp;V168,$D$18:$D$2015,"&lt;"&amp;V169))</f>
        <v/>
      </c>
      <c r="X168" s="14" t="n"/>
      <c r="Y168" s="16" t="n"/>
      <c r="Z168" s="124">
        <f>IF(Y168="","",COUNTIFS($C$18:$C$2015,Y$13,$D$18:$D$2015,"&gt;="&amp;Y168,$D$18:$D$2015,"&lt;"&amp;Y169))</f>
        <v/>
      </c>
      <c r="AA168" s="14" t="n"/>
      <c r="AB168" s="16" t="n"/>
      <c r="AC168" s="124">
        <f>IF(AB168="","",COUNTIFS($C$18:$C$2015,AB$13,$D$18:$D$2015,"&gt;="&amp;AB168,$D$18:$D$2015,"&lt;"&amp;AB169))</f>
        <v/>
      </c>
      <c r="AD168" s="14" t="n"/>
    </row>
    <row r="169">
      <c r="A169" s="58" t="n"/>
      <c r="B169" s="59" t="n"/>
      <c r="C169" s="59" t="n"/>
      <c r="E169" s="16" t="n"/>
      <c r="F169" s="13" t="n"/>
      <c r="G169" s="16" t="n"/>
      <c r="H169" s="124">
        <f>IF(G169="","",COUNTIFS($C$18:$C$2015,G$13,$D$18:$D$2015,"&gt;="&amp;G169,$D$18:$D$2015,"&lt;"&amp;G170))</f>
        <v/>
      </c>
      <c r="I169" s="14" t="n"/>
      <c r="J169" s="16" t="n"/>
      <c r="K169" s="124">
        <f>IF(J169="","",COUNTIFS($C$18:$C$2015,J$13,$D$18:$D$2015,"&gt;="&amp;J169,$D$18:$D$2015,"&lt;"&amp;J170))</f>
        <v/>
      </c>
      <c r="L169" s="14" t="n"/>
      <c r="M169" s="16" t="n"/>
      <c r="N169" s="124">
        <f>IF(M169="","",COUNTIFS($C$18:$C$2015,M$13,$D$18:$D$2015,"&gt;="&amp;M169,$D$18:$D$2015,"&lt;"&amp;M170))</f>
        <v/>
      </c>
      <c r="O169" s="14" t="n"/>
      <c r="P169" s="16" t="n"/>
      <c r="Q169" s="124">
        <f>IF(P169="","",COUNTIFS($C$18:$C$2015,P$13,$D$18:$D$2015,"&gt;="&amp;P169,$D$18:$D$2015,"&lt;"&amp;P170))</f>
        <v/>
      </c>
      <c r="R169" s="14" t="n"/>
      <c r="S169" s="16" t="n"/>
      <c r="T169" s="124">
        <f>IF(S169="","",COUNTIFS($C$18:$C$2015,S$13,$D$18:$D$2015,"&gt;="&amp;S169,$D$18:$D$2015,"&lt;"&amp;S170))</f>
        <v/>
      </c>
      <c r="U169" s="14" t="n"/>
      <c r="V169" s="16" t="n"/>
      <c r="W169" s="124">
        <f>IF(V169="","",COUNTIFS($C$18:$C$2015,V$13,$D$18:$D$2015,"&gt;="&amp;V169,$D$18:$D$2015,"&lt;"&amp;V170))</f>
        <v/>
      </c>
      <c r="X169" s="14" t="n"/>
      <c r="Y169" s="16" t="n"/>
      <c r="Z169" s="124">
        <f>IF(Y169="","",COUNTIFS($C$18:$C$2015,Y$13,$D$18:$D$2015,"&gt;="&amp;Y169,$D$18:$D$2015,"&lt;"&amp;Y170))</f>
        <v/>
      </c>
      <c r="AA169" s="14" t="n"/>
      <c r="AB169" s="16" t="n"/>
      <c r="AC169" s="124">
        <f>IF(AB169="","",COUNTIFS($C$18:$C$2015,AB$13,$D$18:$D$2015,"&gt;="&amp;AB169,$D$18:$D$2015,"&lt;"&amp;AB170))</f>
        <v/>
      </c>
      <c r="AD169" s="14" t="n"/>
    </row>
    <row r="170">
      <c r="A170" s="56" t="n"/>
      <c r="B170" s="57" t="n"/>
      <c r="C170" s="59" t="n"/>
      <c r="E170" s="16" t="n"/>
      <c r="F170" s="13" t="n"/>
      <c r="G170" s="16" t="n"/>
      <c r="H170" s="124">
        <f>IF(G170="","",COUNTIFS($C$18:$C$2015,G$13,$D$18:$D$2015,"&gt;="&amp;G170,$D$18:$D$2015,"&lt;"&amp;G171))</f>
        <v/>
      </c>
      <c r="I170" s="14" t="n"/>
      <c r="J170" s="16" t="n"/>
      <c r="K170" s="124">
        <f>IF(J170="","",COUNTIFS($C$18:$C$2015,J$13,$D$18:$D$2015,"&gt;="&amp;J170,$D$18:$D$2015,"&lt;"&amp;J171))</f>
        <v/>
      </c>
      <c r="L170" s="14" t="n"/>
      <c r="M170" s="16" t="n"/>
      <c r="N170" s="124">
        <f>IF(M170="","",COUNTIFS($C$18:$C$2015,M$13,$D$18:$D$2015,"&gt;="&amp;M170,$D$18:$D$2015,"&lt;"&amp;M171))</f>
        <v/>
      </c>
      <c r="O170" s="14" t="n"/>
      <c r="P170" s="16" t="n"/>
      <c r="Q170" s="124">
        <f>IF(P170="","",COUNTIFS($C$18:$C$2015,P$13,$D$18:$D$2015,"&gt;="&amp;P170,$D$18:$D$2015,"&lt;"&amp;P171))</f>
        <v/>
      </c>
      <c r="R170" s="14" t="n"/>
      <c r="S170" s="16" t="n"/>
      <c r="T170" s="124">
        <f>IF(S170="","",COUNTIFS($C$18:$C$2015,S$13,$D$18:$D$2015,"&gt;="&amp;S170,$D$18:$D$2015,"&lt;"&amp;S171))</f>
        <v/>
      </c>
      <c r="U170" s="14" t="n"/>
      <c r="V170" s="16" t="n"/>
      <c r="W170" s="124">
        <f>IF(V170="","",COUNTIFS($C$18:$C$2015,V$13,$D$18:$D$2015,"&gt;="&amp;V170,$D$18:$D$2015,"&lt;"&amp;V171))</f>
        <v/>
      </c>
      <c r="X170" s="14" t="n"/>
      <c r="Y170" s="16" t="n"/>
      <c r="Z170" s="124">
        <f>IF(Y170="","",COUNTIFS($C$18:$C$2015,Y$13,$D$18:$D$2015,"&gt;="&amp;Y170,$D$18:$D$2015,"&lt;"&amp;Y171))</f>
        <v/>
      </c>
      <c r="AA170" s="14" t="n"/>
      <c r="AB170" s="16" t="n"/>
      <c r="AC170" s="124">
        <f>IF(AB170="","",COUNTIFS($C$18:$C$2015,AB$13,$D$18:$D$2015,"&gt;="&amp;AB170,$D$18:$D$2015,"&lt;"&amp;AB171))</f>
        <v/>
      </c>
      <c r="AD170" s="14" t="n"/>
    </row>
    <row r="171">
      <c r="A171" s="58" t="n"/>
      <c r="B171" s="59" t="n"/>
      <c r="C171" s="59" t="n"/>
      <c r="E171" s="16" t="n"/>
      <c r="F171" s="13" t="n"/>
      <c r="G171" s="16" t="n"/>
      <c r="H171" s="124">
        <f>IF(G171="","",COUNTIFS($C$18:$C$2015,G$13,$D$18:$D$2015,"&gt;="&amp;G171,$D$18:$D$2015,"&lt;"&amp;G172))</f>
        <v/>
      </c>
      <c r="I171" s="14" t="n"/>
      <c r="J171" s="16" t="n"/>
      <c r="K171" s="124">
        <f>IF(J171="","",COUNTIFS($C$18:$C$2015,J$13,$D$18:$D$2015,"&gt;="&amp;J171,$D$18:$D$2015,"&lt;"&amp;J172))</f>
        <v/>
      </c>
      <c r="L171" s="14" t="n"/>
      <c r="M171" s="16" t="n"/>
      <c r="N171" s="124">
        <f>IF(M171="","",COUNTIFS($C$18:$C$2015,M$13,$D$18:$D$2015,"&gt;="&amp;M171,$D$18:$D$2015,"&lt;"&amp;M172))</f>
        <v/>
      </c>
      <c r="O171" s="14" t="n"/>
      <c r="P171" s="16" t="n"/>
      <c r="Q171" s="124">
        <f>IF(P171="","",COUNTIFS($C$18:$C$2015,P$13,$D$18:$D$2015,"&gt;="&amp;P171,$D$18:$D$2015,"&lt;"&amp;P172))</f>
        <v/>
      </c>
      <c r="R171" s="14" t="n"/>
      <c r="S171" s="16" t="n"/>
      <c r="T171" s="124">
        <f>IF(S171="","",COUNTIFS($C$18:$C$2015,S$13,$D$18:$D$2015,"&gt;="&amp;S171,$D$18:$D$2015,"&lt;"&amp;S172))</f>
        <v/>
      </c>
      <c r="U171" s="14" t="n"/>
      <c r="V171" s="16" t="n"/>
      <c r="W171" s="124">
        <f>IF(V171="","",COUNTIFS($C$18:$C$2015,V$13,$D$18:$D$2015,"&gt;="&amp;V171,$D$18:$D$2015,"&lt;"&amp;V172))</f>
        <v/>
      </c>
      <c r="X171" s="14" t="n"/>
      <c r="Y171" s="16" t="n"/>
      <c r="Z171" s="124">
        <f>IF(Y171="","",COUNTIFS($C$18:$C$2015,Y$13,$D$18:$D$2015,"&gt;="&amp;Y171,$D$18:$D$2015,"&lt;"&amp;Y172))</f>
        <v/>
      </c>
      <c r="AA171" s="14" t="n"/>
      <c r="AB171" s="16" t="n"/>
      <c r="AC171" s="124">
        <f>IF(AB171="","",COUNTIFS($C$18:$C$2015,AB$13,$D$18:$D$2015,"&gt;="&amp;AB171,$D$18:$D$2015,"&lt;"&amp;AB172))</f>
        <v/>
      </c>
      <c r="AD171" s="14" t="n"/>
    </row>
    <row r="172">
      <c r="A172" s="56" t="n"/>
      <c r="B172" s="57" t="n"/>
      <c r="C172" s="59" t="n"/>
      <c r="E172" s="16" t="n"/>
      <c r="F172" s="13" t="n"/>
      <c r="G172" s="16" t="n"/>
      <c r="H172" s="124">
        <f>IF(G172="","",COUNTIFS($C$18:$C$2015,G$13,$D$18:$D$2015,"&gt;="&amp;G172,$D$18:$D$2015,"&lt;"&amp;G173))</f>
        <v/>
      </c>
      <c r="I172" s="14" t="n"/>
      <c r="J172" s="16" t="n"/>
      <c r="K172" s="124">
        <f>IF(J172="","",COUNTIFS($C$18:$C$2015,J$13,$D$18:$D$2015,"&gt;="&amp;J172,$D$18:$D$2015,"&lt;"&amp;J173))</f>
        <v/>
      </c>
      <c r="L172" s="14" t="n"/>
      <c r="M172" s="16" t="n"/>
      <c r="N172" s="124">
        <f>IF(M172="","",COUNTIFS($C$18:$C$2015,M$13,$D$18:$D$2015,"&gt;="&amp;M172,$D$18:$D$2015,"&lt;"&amp;M173))</f>
        <v/>
      </c>
      <c r="O172" s="14" t="n"/>
      <c r="P172" s="16" t="n"/>
      <c r="Q172" s="124">
        <f>IF(P172="","",COUNTIFS($C$18:$C$2015,P$13,$D$18:$D$2015,"&gt;="&amp;P172,$D$18:$D$2015,"&lt;"&amp;P173))</f>
        <v/>
      </c>
      <c r="R172" s="14" t="n"/>
      <c r="S172" s="16" t="n"/>
      <c r="T172" s="124">
        <f>IF(S172="","",COUNTIFS($C$18:$C$2015,S$13,$D$18:$D$2015,"&gt;="&amp;S172,$D$18:$D$2015,"&lt;"&amp;S173))</f>
        <v/>
      </c>
      <c r="U172" s="14" t="n"/>
      <c r="V172" s="16" t="n"/>
      <c r="W172" s="124">
        <f>IF(V172="","",COUNTIFS($C$18:$C$2015,V$13,$D$18:$D$2015,"&gt;="&amp;V172,$D$18:$D$2015,"&lt;"&amp;V173))</f>
        <v/>
      </c>
      <c r="X172" s="14" t="n"/>
      <c r="Y172" s="16" t="n"/>
      <c r="Z172" s="124">
        <f>IF(Y172="","",COUNTIFS($C$18:$C$2015,Y$13,$D$18:$D$2015,"&gt;="&amp;Y172,$D$18:$D$2015,"&lt;"&amp;Y173))</f>
        <v/>
      </c>
      <c r="AA172" s="14" t="n"/>
      <c r="AB172" s="16" t="n"/>
      <c r="AC172" s="124">
        <f>IF(AB172="","",COUNTIFS($C$18:$C$2015,AB$13,$D$18:$D$2015,"&gt;="&amp;AB172,$D$18:$D$2015,"&lt;"&amp;AB173))</f>
        <v/>
      </c>
      <c r="AD172" s="14" t="n"/>
    </row>
    <row r="173">
      <c r="A173" s="58" t="n"/>
      <c r="B173" s="59" t="n"/>
      <c r="C173" s="59" t="n"/>
      <c r="E173" s="16" t="n"/>
      <c r="F173" s="13" t="n"/>
      <c r="G173" s="16" t="n"/>
      <c r="H173" s="124">
        <f>IF(G173="","",COUNTIFS($C$18:$C$2015,G$13,$D$18:$D$2015,"&gt;="&amp;G173,$D$18:$D$2015,"&lt;"&amp;G174))</f>
        <v/>
      </c>
      <c r="I173" s="14" t="n"/>
      <c r="J173" s="16" t="n"/>
      <c r="K173" s="124">
        <f>IF(J173="","",COUNTIFS($C$18:$C$2015,J$13,$D$18:$D$2015,"&gt;="&amp;J173,$D$18:$D$2015,"&lt;"&amp;J174))</f>
        <v/>
      </c>
      <c r="L173" s="14" t="n"/>
      <c r="M173" s="16" t="n"/>
      <c r="N173" s="124">
        <f>IF(M173="","",COUNTIFS($C$18:$C$2015,M$13,$D$18:$D$2015,"&gt;="&amp;M173,$D$18:$D$2015,"&lt;"&amp;M174))</f>
        <v/>
      </c>
      <c r="O173" s="14" t="n"/>
      <c r="P173" s="16" t="n"/>
      <c r="Q173" s="124">
        <f>IF(P173="","",COUNTIFS($C$18:$C$2015,P$13,$D$18:$D$2015,"&gt;="&amp;P173,$D$18:$D$2015,"&lt;"&amp;P174))</f>
        <v/>
      </c>
      <c r="R173" s="14" t="n"/>
      <c r="S173" s="16" t="n"/>
      <c r="T173" s="124">
        <f>IF(S173="","",COUNTIFS($C$18:$C$2015,S$13,$D$18:$D$2015,"&gt;="&amp;S173,$D$18:$D$2015,"&lt;"&amp;S174))</f>
        <v/>
      </c>
      <c r="U173" s="14" t="n"/>
      <c r="V173" s="16" t="n"/>
      <c r="W173" s="124">
        <f>IF(V173="","",COUNTIFS($C$18:$C$2015,V$13,$D$18:$D$2015,"&gt;="&amp;V173,$D$18:$D$2015,"&lt;"&amp;V174))</f>
        <v/>
      </c>
      <c r="X173" s="14" t="n"/>
      <c r="Y173" s="16" t="n"/>
      <c r="Z173" s="124">
        <f>IF(Y173="","",COUNTIFS($C$18:$C$2015,Y$13,$D$18:$D$2015,"&gt;="&amp;Y173,$D$18:$D$2015,"&lt;"&amp;Y174))</f>
        <v/>
      </c>
      <c r="AA173" s="14" t="n"/>
      <c r="AB173" s="16" t="n"/>
      <c r="AC173" s="124">
        <f>IF(AB173="","",COUNTIFS($C$18:$C$2015,AB$13,$D$18:$D$2015,"&gt;="&amp;AB173,$D$18:$D$2015,"&lt;"&amp;AB174))</f>
        <v/>
      </c>
      <c r="AD173" s="14" t="n"/>
    </row>
    <row r="174">
      <c r="A174" s="56" t="n"/>
      <c r="B174" s="57" t="n"/>
      <c r="C174" s="59" t="n"/>
      <c r="E174" s="16" t="n"/>
      <c r="F174" s="13" t="n"/>
      <c r="G174" s="16" t="n"/>
      <c r="H174" s="124">
        <f>IF(G174="","",COUNTIFS($C$18:$C$2015,G$13,$D$18:$D$2015,"&gt;="&amp;G174,$D$18:$D$2015,"&lt;"&amp;G175))</f>
        <v/>
      </c>
      <c r="I174" s="14" t="n"/>
      <c r="J174" s="16" t="n"/>
      <c r="K174" s="124">
        <f>IF(J174="","",COUNTIFS($C$18:$C$2015,J$13,$D$18:$D$2015,"&gt;="&amp;J174,$D$18:$D$2015,"&lt;"&amp;J175))</f>
        <v/>
      </c>
      <c r="L174" s="14" t="n"/>
      <c r="M174" s="16" t="n"/>
      <c r="N174" s="124">
        <f>IF(M174="","",COUNTIFS($C$18:$C$2015,M$13,$D$18:$D$2015,"&gt;="&amp;M174,$D$18:$D$2015,"&lt;"&amp;M175))</f>
        <v/>
      </c>
      <c r="O174" s="14" t="n"/>
      <c r="P174" s="16" t="n"/>
      <c r="Q174" s="124">
        <f>IF(P174="","",COUNTIFS($C$18:$C$2015,P$13,$D$18:$D$2015,"&gt;="&amp;P174,$D$18:$D$2015,"&lt;"&amp;P175))</f>
        <v/>
      </c>
      <c r="R174" s="14" t="n"/>
      <c r="S174" s="16" t="n"/>
      <c r="T174" s="124">
        <f>IF(S174="","",COUNTIFS($C$18:$C$2015,S$13,$D$18:$D$2015,"&gt;="&amp;S174,$D$18:$D$2015,"&lt;"&amp;S175))</f>
        <v/>
      </c>
      <c r="U174" s="14" t="n"/>
      <c r="V174" s="16" t="n"/>
      <c r="W174" s="124">
        <f>IF(V174="","",COUNTIFS($C$18:$C$2015,V$13,$D$18:$D$2015,"&gt;="&amp;V174,$D$18:$D$2015,"&lt;"&amp;V175))</f>
        <v/>
      </c>
      <c r="X174" s="14" t="n"/>
      <c r="Y174" s="16" t="n"/>
      <c r="Z174" s="124">
        <f>IF(Y174="","",COUNTIFS($C$18:$C$2015,Y$13,$D$18:$D$2015,"&gt;="&amp;Y174,$D$18:$D$2015,"&lt;"&amp;Y175))</f>
        <v/>
      </c>
      <c r="AA174" s="14" t="n"/>
      <c r="AB174" s="16" t="n"/>
      <c r="AC174" s="124">
        <f>IF(AB174="","",COUNTIFS($C$18:$C$2015,AB$13,$D$18:$D$2015,"&gt;="&amp;AB174,$D$18:$D$2015,"&lt;"&amp;AB175))</f>
        <v/>
      </c>
      <c r="AD174" s="14" t="n"/>
    </row>
    <row r="175">
      <c r="A175" s="58" t="n"/>
      <c r="B175" s="59" t="n"/>
      <c r="C175" s="59" t="n"/>
      <c r="E175" s="16" t="n"/>
      <c r="F175" s="13" t="n"/>
      <c r="G175" s="16" t="n"/>
      <c r="H175" s="124">
        <f>IF(G175="","",COUNTIFS($C$18:$C$2015,G$13,$D$18:$D$2015,"&gt;="&amp;G175,$D$18:$D$2015,"&lt;"&amp;G176))</f>
        <v/>
      </c>
      <c r="I175" s="14" t="n"/>
      <c r="J175" s="16" t="n"/>
      <c r="K175" s="124">
        <f>IF(J175="","",COUNTIFS($C$18:$C$2015,J$13,$D$18:$D$2015,"&gt;="&amp;J175,$D$18:$D$2015,"&lt;"&amp;J176))</f>
        <v/>
      </c>
      <c r="L175" s="14" t="n"/>
      <c r="M175" s="16" t="n"/>
      <c r="N175" s="124">
        <f>IF(M175="","",COUNTIFS($C$18:$C$2015,M$13,$D$18:$D$2015,"&gt;="&amp;M175,$D$18:$D$2015,"&lt;"&amp;M176))</f>
        <v/>
      </c>
      <c r="O175" s="14" t="n"/>
      <c r="P175" s="16" t="n"/>
      <c r="Q175" s="124">
        <f>IF(P175="","",COUNTIFS($C$18:$C$2015,P$13,$D$18:$D$2015,"&gt;="&amp;P175,$D$18:$D$2015,"&lt;"&amp;P176))</f>
        <v/>
      </c>
      <c r="R175" s="14" t="n"/>
      <c r="S175" s="16" t="n"/>
      <c r="T175" s="124">
        <f>IF(S175="","",COUNTIFS($C$18:$C$2015,S$13,$D$18:$D$2015,"&gt;="&amp;S175,$D$18:$D$2015,"&lt;"&amp;S176))</f>
        <v/>
      </c>
      <c r="U175" s="14" t="n"/>
      <c r="V175" s="16" t="n"/>
      <c r="W175" s="124">
        <f>IF(V175="","",COUNTIFS($C$18:$C$2015,V$13,$D$18:$D$2015,"&gt;="&amp;V175,$D$18:$D$2015,"&lt;"&amp;V176))</f>
        <v/>
      </c>
      <c r="X175" s="14" t="n"/>
      <c r="Y175" s="16" t="n"/>
      <c r="Z175" s="124">
        <f>IF(Y175="","",COUNTIFS($C$18:$C$2015,Y$13,$D$18:$D$2015,"&gt;="&amp;Y175,$D$18:$D$2015,"&lt;"&amp;Y176))</f>
        <v/>
      </c>
      <c r="AA175" s="14" t="n"/>
      <c r="AB175" s="16" t="n"/>
      <c r="AC175" s="124">
        <f>IF(AB175="","",COUNTIFS($C$18:$C$2015,AB$13,$D$18:$D$2015,"&gt;="&amp;AB175,$D$18:$D$2015,"&lt;"&amp;AB176))</f>
        <v/>
      </c>
      <c r="AD175" s="14" t="n"/>
    </row>
    <row r="176">
      <c r="A176" s="56" t="n"/>
      <c r="B176" s="57" t="n"/>
      <c r="C176" s="59" t="n"/>
      <c r="E176" s="16" t="n"/>
      <c r="F176" s="13" t="n"/>
      <c r="G176" s="16" t="n"/>
      <c r="H176" s="124">
        <f>IF(G176="","",COUNTIFS($C$18:$C$2015,G$13,$D$18:$D$2015,"&gt;="&amp;G176,$D$18:$D$2015,"&lt;"&amp;G177))</f>
        <v/>
      </c>
      <c r="I176" s="14" t="n"/>
      <c r="J176" s="16" t="n"/>
      <c r="K176" s="124">
        <f>IF(J176="","",COUNTIFS($C$18:$C$2015,J$13,$D$18:$D$2015,"&gt;="&amp;J176,$D$18:$D$2015,"&lt;"&amp;J177))</f>
        <v/>
      </c>
      <c r="L176" s="14" t="n"/>
      <c r="M176" s="16" t="n"/>
      <c r="N176" s="124">
        <f>IF(M176="","",COUNTIFS($C$18:$C$2015,M$13,$D$18:$D$2015,"&gt;="&amp;M176,$D$18:$D$2015,"&lt;"&amp;M177))</f>
        <v/>
      </c>
      <c r="O176" s="14" t="n"/>
      <c r="P176" s="16" t="n"/>
      <c r="Q176" s="124">
        <f>IF(P176="","",COUNTIFS($C$18:$C$2015,P$13,$D$18:$D$2015,"&gt;="&amp;P176,$D$18:$D$2015,"&lt;"&amp;P177))</f>
        <v/>
      </c>
      <c r="R176" s="14" t="n"/>
      <c r="S176" s="16" t="n"/>
      <c r="T176" s="124">
        <f>IF(S176="","",COUNTIFS($C$18:$C$2015,S$13,$D$18:$D$2015,"&gt;="&amp;S176,$D$18:$D$2015,"&lt;"&amp;S177))</f>
        <v/>
      </c>
      <c r="U176" s="14" t="n"/>
      <c r="V176" s="16" t="n"/>
      <c r="W176" s="124">
        <f>IF(V176="","",COUNTIFS($C$18:$C$2015,V$13,$D$18:$D$2015,"&gt;="&amp;V176,$D$18:$D$2015,"&lt;"&amp;V177))</f>
        <v/>
      </c>
      <c r="X176" s="14" t="n"/>
      <c r="Y176" s="16" t="n"/>
      <c r="Z176" s="124">
        <f>IF(Y176="","",COUNTIFS($C$18:$C$2015,Y$13,$D$18:$D$2015,"&gt;="&amp;Y176,$D$18:$D$2015,"&lt;"&amp;Y177))</f>
        <v/>
      </c>
      <c r="AA176" s="14" t="n"/>
      <c r="AB176" s="16" t="n"/>
      <c r="AC176" s="124">
        <f>IF(AB176="","",COUNTIFS($C$18:$C$2015,AB$13,$D$18:$D$2015,"&gt;="&amp;AB176,$D$18:$D$2015,"&lt;"&amp;AB177))</f>
        <v/>
      </c>
      <c r="AD176" s="14" t="n"/>
    </row>
    <row r="177">
      <c r="A177" s="58" t="n"/>
      <c r="B177" s="59" t="n"/>
      <c r="C177" s="59" t="n"/>
      <c r="E177" s="16" t="n"/>
      <c r="F177" s="13" t="n"/>
      <c r="G177" s="16" t="n"/>
      <c r="H177" s="124">
        <f>IF(G177="","",COUNTIFS($C$18:$C$2015,G$13,$D$18:$D$2015,"&gt;="&amp;G177,$D$18:$D$2015,"&lt;"&amp;G178))</f>
        <v/>
      </c>
      <c r="I177" s="14" t="n"/>
      <c r="J177" s="16" t="n"/>
      <c r="K177" s="124">
        <f>IF(J177="","",COUNTIFS($C$18:$C$2015,J$13,$D$18:$D$2015,"&gt;="&amp;J177,$D$18:$D$2015,"&lt;"&amp;J178))</f>
        <v/>
      </c>
      <c r="L177" s="14" t="n"/>
      <c r="M177" s="16" t="n"/>
      <c r="N177" s="124">
        <f>IF(M177="","",COUNTIFS($C$18:$C$2015,M$13,$D$18:$D$2015,"&gt;="&amp;M177,$D$18:$D$2015,"&lt;"&amp;M178))</f>
        <v/>
      </c>
      <c r="O177" s="14" t="n"/>
      <c r="P177" s="16" t="n"/>
      <c r="Q177" s="124">
        <f>IF(P177="","",COUNTIFS($C$18:$C$2015,P$13,$D$18:$D$2015,"&gt;="&amp;P177,$D$18:$D$2015,"&lt;"&amp;P178))</f>
        <v/>
      </c>
      <c r="R177" s="14" t="n"/>
      <c r="S177" s="16" t="n"/>
      <c r="T177" s="124">
        <f>IF(S177="","",COUNTIFS($C$18:$C$2015,S$13,$D$18:$D$2015,"&gt;="&amp;S177,$D$18:$D$2015,"&lt;"&amp;S178))</f>
        <v/>
      </c>
      <c r="U177" s="14" t="n"/>
      <c r="V177" s="16" t="n"/>
      <c r="W177" s="124">
        <f>IF(V177="","",COUNTIFS($C$18:$C$2015,V$13,$D$18:$D$2015,"&gt;="&amp;V177,$D$18:$D$2015,"&lt;"&amp;V178))</f>
        <v/>
      </c>
      <c r="X177" s="14" t="n"/>
      <c r="Y177" s="16" t="n"/>
      <c r="Z177" s="124">
        <f>IF(Y177="","",COUNTIFS($C$18:$C$2015,Y$13,$D$18:$D$2015,"&gt;="&amp;Y177,$D$18:$D$2015,"&lt;"&amp;Y178))</f>
        <v/>
      </c>
      <c r="AA177" s="14" t="n"/>
      <c r="AB177" s="16" t="n"/>
      <c r="AC177" s="124">
        <f>IF(AB177="","",COUNTIFS($C$18:$C$2015,AB$13,$D$18:$D$2015,"&gt;="&amp;AB177,$D$18:$D$2015,"&lt;"&amp;AB178))</f>
        <v/>
      </c>
      <c r="AD177" s="14" t="n"/>
    </row>
    <row r="178">
      <c r="A178" s="56" t="n"/>
      <c r="B178" s="57" t="n"/>
      <c r="C178" s="59" t="n"/>
      <c r="E178" s="16" t="n"/>
      <c r="F178" s="13" t="n"/>
      <c r="G178" s="16" t="n"/>
      <c r="H178" s="124">
        <f>IF(G178="","",COUNTIFS($C$18:$C$2015,G$13,$D$18:$D$2015,"&gt;="&amp;G178,$D$18:$D$2015,"&lt;"&amp;G179))</f>
        <v/>
      </c>
      <c r="I178" s="14" t="n"/>
      <c r="J178" s="16" t="n"/>
      <c r="K178" s="124">
        <f>IF(J178="","",COUNTIFS($C$18:$C$2015,J$13,$D$18:$D$2015,"&gt;="&amp;J178,$D$18:$D$2015,"&lt;"&amp;J179))</f>
        <v/>
      </c>
      <c r="L178" s="14" t="n"/>
      <c r="M178" s="16" t="n"/>
      <c r="N178" s="124">
        <f>IF(M178="","",COUNTIFS($C$18:$C$2015,M$13,$D$18:$D$2015,"&gt;="&amp;M178,$D$18:$D$2015,"&lt;"&amp;M179))</f>
        <v/>
      </c>
      <c r="O178" s="14" t="n"/>
      <c r="P178" s="16" t="n"/>
      <c r="Q178" s="124">
        <f>IF(P178="","",COUNTIFS($C$18:$C$2015,P$13,$D$18:$D$2015,"&gt;="&amp;P178,$D$18:$D$2015,"&lt;"&amp;P179))</f>
        <v/>
      </c>
      <c r="R178" s="14" t="n"/>
      <c r="S178" s="16" t="n"/>
      <c r="T178" s="124">
        <f>IF(S178="","",COUNTIFS($C$18:$C$2015,S$13,$D$18:$D$2015,"&gt;="&amp;S178,$D$18:$D$2015,"&lt;"&amp;S179))</f>
        <v/>
      </c>
      <c r="U178" s="14" t="n"/>
      <c r="V178" s="16" t="n"/>
      <c r="W178" s="124">
        <f>IF(V178="","",COUNTIFS($C$18:$C$2015,V$13,$D$18:$D$2015,"&gt;="&amp;V178,$D$18:$D$2015,"&lt;"&amp;V179))</f>
        <v/>
      </c>
      <c r="X178" s="14" t="n"/>
      <c r="Y178" s="16" t="n"/>
      <c r="Z178" s="124">
        <f>IF(Y178="","",COUNTIFS($C$18:$C$2015,Y$13,$D$18:$D$2015,"&gt;="&amp;Y178,$D$18:$D$2015,"&lt;"&amp;Y179))</f>
        <v/>
      </c>
      <c r="AA178" s="14" t="n"/>
      <c r="AB178" s="16" t="n"/>
      <c r="AC178" s="124">
        <f>IF(AB178="","",COUNTIFS($C$18:$C$2015,AB$13,$D$18:$D$2015,"&gt;="&amp;AB178,$D$18:$D$2015,"&lt;"&amp;AB179))</f>
        <v/>
      </c>
      <c r="AD178" s="14" t="n"/>
    </row>
    <row r="179">
      <c r="A179" s="58" t="n"/>
      <c r="B179" s="59" t="n"/>
      <c r="C179" s="59" t="n"/>
      <c r="E179" s="16" t="n"/>
      <c r="F179" s="13" t="n"/>
      <c r="G179" s="16" t="n"/>
      <c r="H179" s="124">
        <f>IF(G179="","",COUNTIFS($C$18:$C$2015,G$13,$D$18:$D$2015,"&gt;="&amp;G179,$D$18:$D$2015,"&lt;"&amp;G180))</f>
        <v/>
      </c>
      <c r="I179" s="14" t="n"/>
      <c r="J179" s="16" t="n"/>
      <c r="K179" s="124">
        <f>IF(J179="","",COUNTIFS($C$18:$C$2015,J$13,$D$18:$D$2015,"&gt;="&amp;J179,$D$18:$D$2015,"&lt;"&amp;J180))</f>
        <v/>
      </c>
      <c r="L179" s="14" t="n"/>
      <c r="M179" s="16" t="n"/>
      <c r="N179" s="124">
        <f>IF(M179="","",COUNTIFS($C$18:$C$2015,M$13,$D$18:$D$2015,"&gt;="&amp;M179,$D$18:$D$2015,"&lt;"&amp;M180))</f>
        <v/>
      </c>
      <c r="O179" s="14" t="n"/>
      <c r="P179" s="16" t="n"/>
      <c r="Q179" s="124">
        <f>IF(P179="","",COUNTIFS($C$18:$C$2015,P$13,$D$18:$D$2015,"&gt;="&amp;P179,$D$18:$D$2015,"&lt;"&amp;P180))</f>
        <v/>
      </c>
      <c r="R179" s="14" t="n"/>
      <c r="S179" s="16" t="n"/>
      <c r="T179" s="124">
        <f>IF(S179="","",COUNTIFS($C$18:$C$2015,S$13,$D$18:$D$2015,"&gt;="&amp;S179,$D$18:$D$2015,"&lt;"&amp;S180))</f>
        <v/>
      </c>
      <c r="U179" s="14" t="n"/>
      <c r="V179" s="16" t="n"/>
      <c r="W179" s="124">
        <f>IF(V179="","",COUNTIFS($C$18:$C$2015,V$13,$D$18:$D$2015,"&gt;="&amp;V179,$D$18:$D$2015,"&lt;"&amp;V180))</f>
        <v/>
      </c>
      <c r="X179" s="14" t="n"/>
      <c r="Y179" s="16" t="n"/>
      <c r="Z179" s="124">
        <f>IF(Y179="","",COUNTIFS($C$18:$C$2015,Y$13,$D$18:$D$2015,"&gt;="&amp;Y179,$D$18:$D$2015,"&lt;"&amp;Y180))</f>
        <v/>
      </c>
      <c r="AA179" s="14" t="n"/>
      <c r="AB179" s="16" t="n"/>
      <c r="AC179" s="124">
        <f>IF(AB179="","",COUNTIFS($C$18:$C$2015,AB$13,$D$18:$D$2015,"&gt;="&amp;AB179,$D$18:$D$2015,"&lt;"&amp;AB180))</f>
        <v/>
      </c>
      <c r="AD179" s="14" t="n"/>
    </row>
    <row r="180">
      <c r="A180" s="56" t="n"/>
      <c r="B180" s="57" t="n"/>
      <c r="C180" s="59" t="n"/>
      <c r="E180" s="16" t="n"/>
      <c r="F180" s="13" t="n"/>
      <c r="G180" s="16" t="n"/>
      <c r="H180" s="124">
        <f>IF(G180="","",COUNTIFS($C$18:$C$2015,G$13,$D$18:$D$2015,"&gt;="&amp;G180,$D$18:$D$2015,"&lt;"&amp;G181))</f>
        <v/>
      </c>
      <c r="I180" s="14" t="n"/>
      <c r="J180" s="16" t="n"/>
      <c r="K180" s="124">
        <f>IF(J180="","",COUNTIFS($C$18:$C$2015,J$13,$D$18:$D$2015,"&gt;="&amp;J180,$D$18:$D$2015,"&lt;"&amp;J181))</f>
        <v/>
      </c>
      <c r="L180" s="14" t="n"/>
      <c r="M180" s="16" t="n"/>
      <c r="N180" s="124">
        <f>IF(M180="","",COUNTIFS($C$18:$C$2015,M$13,$D$18:$D$2015,"&gt;="&amp;M180,$D$18:$D$2015,"&lt;"&amp;M181))</f>
        <v/>
      </c>
      <c r="O180" s="14" t="n"/>
      <c r="P180" s="16" t="n"/>
      <c r="Q180" s="124">
        <f>IF(P180="","",COUNTIFS($C$18:$C$2015,P$13,$D$18:$D$2015,"&gt;="&amp;P180,$D$18:$D$2015,"&lt;"&amp;P181))</f>
        <v/>
      </c>
      <c r="R180" s="14" t="n"/>
      <c r="S180" s="16" t="n"/>
      <c r="T180" s="124">
        <f>IF(S180="","",COUNTIFS($C$18:$C$2015,S$13,$D$18:$D$2015,"&gt;="&amp;S180,$D$18:$D$2015,"&lt;"&amp;S181))</f>
        <v/>
      </c>
      <c r="U180" s="14" t="n"/>
      <c r="V180" s="16" t="n"/>
      <c r="W180" s="124">
        <f>IF(V180="","",COUNTIFS($C$18:$C$2015,V$13,$D$18:$D$2015,"&gt;="&amp;V180,$D$18:$D$2015,"&lt;"&amp;V181))</f>
        <v/>
      </c>
      <c r="X180" s="14" t="n"/>
      <c r="Y180" s="16" t="n"/>
      <c r="Z180" s="124">
        <f>IF(Y180="","",COUNTIFS($C$18:$C$2015,Y$13,$D$18:$D$2015,"&gt;="&amp;Y180,$D$18:$D$2015,"&lt;"&amp;Y181))</f>
        <v/>
      </c>
      <c r="AA180" s="14" t="n"/>
      <c r="AB180" s="16" t="n"/>
      <c r="AC180" s="124">
        <f>IF(AB180="","",COUNTIFS($C$18:$C$2015,AB$13,$D$18:$D$2015,"&gt;="&amp;AB180,$D$18:$D$2015,"&lt;"&amp;AB181))</f>
        <v/>
      </c>
      <c r="AD180" s="14" t="n"/>
    </row>
    <row r="181">
      <c r="A181" s="58" t="n"/>
      <c r="B181" s="59" t="n"/>
      <c r="C181" s="59" t="n"/>
      <c r="E181" s="16" t="n"/>
      <c r="F181" s="13" t="n"/>
      <c r="G181" s="16" t="n"/>
      <c r="H181" s="124">
        <f>IF(G181="","",COUNTIFS($C$18:$C$2015,G$13,$D$18:$D$2015,"&gt;="&amp;G181,$D$18:$D$2015,"&lt;"&amp;G182))</f>
        <v/>
      </c>
      <c r="I181" s="14" t="n"/>
      <c r="J181" s="16" t="n"/>
      <c r="K181" s="124">
        <f>IF(J181="","",COUNTIFS($C$18:$C$2015,J$13,$D$18:$D$2015,"&gt;="&amp;J181,$D$18:$D$2015,"&lt;"&amp;J182))</f>
        <v/>
      </c>
      <c r="L181" s="14" t="n"/>
      <c r="M181" s="16" t="n"/>
      <c r="N181" s="124">
        <f>IF(M181="","",COUNTIFS($C$18:$C$2015,M$13,$D$18:$D$2015,"&gt;="&amp;M181,$D$18:$D$2015,"&lt;"&amp;M182))</f>
        <v/>
      </c>
      <c r="O181" s="14" t="n"/>
      <c r="P181" s="16" t="n"/>
      <c r="Q181" s="124">
        <f>IF(P181="","",COUNTIFS($C$18:$C$2015,P$13,$D$18:$D$2015,"&gt;="&amp;P181,$D$18:$D$2015,"&lt;"&amp;P182))</f>
        <v/>
      </c>
      <c r="R181" s="14" t="n"/>
      <c r="S181" s="16" t="n"/>
      <c r="T181" s="124">
        <f>IF(S181="","",COUNTIFS($C$18:$C$2015,S$13,$D$18:$D$2015,"&gt;="&amp;S181,$D$18:$D$2015,"&lt;"&amp;S182))</f>
        <v/>
      </c>
      <c r="U181" s="14" t="n"/>
      <c r="V181" s="16" t="n"/>
      <c r="W181" s="124">
        <f>IF(V181="","",COUNTIFS($C$18:$C$2015,V$13,$D$18:$D$2015,"&gt;="&amp;V181,$D$18:$D$2015,"&lt;"&amp;V182))</f>
        <v/>
      </c>
      <c r="X181" s="14" t="n"/>
      <c r="Y181" s="16" t="n"/>
      <c r="Z181" s="124">
        <f>IF(Y181="","",COUNTIFS($C$18:$C$2015,Y$13,$D$18:$D$2015,"&gt;="&amp;Y181,$D$18:$D$2015,"&lt;"&amp;Y182))</f>
        <v/>
      </c>
      <c r="AA181" s="14" t="n"/>
      <c r="AB181" s="16" t="n"/>
      <c r="AC181" s="124">
        <f>IF(AB181="","",COUNTIFS($C$18:$C$2015,AB$13,$D$18:$D$2015,"&gt;="&amp;AB181,$D$18:$D$2015,"&lt;"&amp;AB182))</f>
        <v/>
      </c>
      <c r="AD181" s="14" t="n"/>
    </row>
    <row r="182">
      <c r="A182" s="56" t="n"/>
      <c r="B182" s="57" t="n"/>
      <c r="C182" s="59" t="n"/>
      <c r="E182" s="16" t="n"/>
      <c r="F182" s="13" t="n"/>
      <c r="G182" s="16" t="n"/>
      <c r="H182" s="124">
        <f>IF(G182="","",COUNTIFS($C$18:$C$2015,G$13,$D$18:$D$2015,"&gt;="&amp;G182,$D$18:$D$2015,"&lt;"&amp;G183))</f>
        <v/>
      </c>
      <c r="I182" s="14" t="n"/>
      <c r="J182" s="16" t="n"/>
      <c r="K182" s="124">
        <f>IF(J182="","",COUNTIFS($C$18:$C$2015,J$13,$D$18:$D$2015,"&gt;="&amp;J182,$D$18:$D$2015,"&lt;"&amp;J183))</f>
        <v/>
      </c>
      <c r="L182" s="14" t="n"/>
      <c r="M182" s="16" t="n"/>
      <c r="N182" s="124">
        <f>IF(M182="","",COUNTIFS($C$18:$C$2015,M$13,$D$18:$D$2015,"&gt;="&amp;M182,$D$18:$D$2015,"&lt;"&amp;M183))</f>
        <v/>
      </c>
      <c r="O182" s="14" t="n"/>
      <c r="P182" s="16" t="n"/>
      <c r="Q182" s="124">
        <f>IF(P182="","",COUNTIFS($C$18:$C$2015,P$13,$D$18:$D$2015,"&gt;="&amp;P182,$D$18:$D$2015,"&lt;"&amp;P183))</f>
        <v/>
      </c>
      <c r="R182" s="14" t="n"/>
      <c r="S182" s="16" t="n"/>
      <c r="T182" s="124">
        <f>IF(S182="","",COUNTIFS($C$18:$C$2015,S$13,$D$18:$D$2015,"&gt;="&amp;S182,$D$18:$D$2015,"&lt;"&amp;S183))</f>
        <v/>
      </c>
      <c r="U182" s="14" t="n"/>
      <c r="V182" s="16" t="n"/>
      <c r="W182" s="124">
        <f>IF(V182="","",COUNTIFS($C$18:$C$2015,V$13,$D$18:$D$2015,"&gt;="&amp;V182,$D$18:$D$2015,"&lt;"&amp;V183))</f>
        <v/>
      </c>
      <c r="X182" s="14" t="n"/>
      <c r="Y182" s="16" t="n"/>
      <c r="Z182" s="124">
        <f>IF(Y182="","",COUNTIFS($C$18:$C$2015,Y$13,$D$18:$D$2015,"&gt;="&amp;Y182,$D$18:$D$2015,"&lt;"&amp;Y183))</f>
        <v/>
      </c>
      <c r="AA182" s="14" t="n"/>
      <c r="AB182" s="16" t="n"/>
      <c r="AC182" s="124">
        <f>IF(AB182="","",COUNTIFS($C$18:$C$2015,AB$13,$D$18:$D$2015,"&gt;="&amp;AB182,$D$18:$D$2015,"&lt;"&amp;AB183))</f>
        <v/>
      </c>
      <c r="AD182" s="14" t="n"/>
    </row>
    <row r="183">
      <c r="A183" s="58" t="n"/>
      <c r="B183" s="59" t="n"/>
      <c r="C183" s="59" t="n"/>
      <c r="E183" s="16" t="n"/>
      <c r="F183" s="13" t="n"/>
      <c r="G183" s="16" t="n"/>
      <c r="H183" s="124">
        <f>IF(G183="","",COUNTIFS($C$18:$C$2015,G$13,$D$18:$D$2015,"&gt;="&amp;G183,$D$18:$D$2015,"&lt;"&amp;G184))</f>
        <v/>
      </c>
      <c r="I183" s="14" t="n"/>
      <c r="J183" s="16" t="n"/>
      <c r="K183" s="124">
        <f>IF(J183="","",COUNTIFS($C$18:$C$2015,J$13,$D$18:$D$2015,"&gt;="&amp;J183,$D$18:$D$2015,"&lt;"&amp;J184))</f>
        <v/>
      </c>
      <c r="L183" s="14" t="n"/>
      <c r="M183" s="16" t="n"/>
      <c r="N183" s="124">
        <f>IF(M183="","",COUNTIFS($C$18:$C$2015,M$13,$D$18:$D$2015,"&gt;="&amp;M183,$D$18:$D$2015,"&lt;"&amp;M184))</f>
        <v/>
      </c>
      <c r="O183" s="14" t="n"/>
      <c r="P183" s="16" t="n"/>
      <c r="Q183" s="124">
        <f>IF(P183="","",COUNTIFS($C$18:$C$2015,P$13,$D$18:$D$2015,"&gt;="&amp;P183,$D$18:$D$2015,"&lt;"&amp;P184))</f>
        <v/>
      </c>
      <c r="R183" s="14" t="n"/>
      <c r="S183" s="16" t="n"/>
      <c r="T183" s="124">
        <f>IF(S183="","",COUNTIFS($C$18:$C$2015,S$13,$D$18:$D$2015,"&gt;="&amp;S183,$D$18:$D$2015,"&lt;"&amp;S184))</f>
        <v/>
      </c>
      <c r="U183" s="14" t="n"/>
      <c r="V183" s="16" t="n"/>
      <c r="W183" s="124">
        <f>IF(V183="","",COUNTIFS($C$18:$C$2015,V$13,$D$18:$D$2015,"&gt;="&amp;V183,$D$18:$D$2015,"&lt;"&amp;V184))</f>
        <v/>
      </c>
      <c r="X183" s="14" t="n"/>
      <c r="Y183" s="16" t="n"/>
      <c r="Z183" s="124">
        <f>IF(Y183="","",COUNTIFS($C$18:$C$2015,Y$13,$D$18:$D$2015,"&gt;="&amp;Y183,$D$18:$D$2015,"&lt;"&amp;Y184))</f>
        <v/>
      </c>
      <c r="AA183" s="14" t="n"/>
      <c r="AB183" s="16" t="n"/>
      <c r="AC183" s="124">
        <f>IF(AB183="","",COUNTIFS($C$18:$C$2015,AB$13,$D$18:$D$2015,"&gt;="&amp;AB183,$D$18:$D$2015,"&lt;"&amp;AB184))</f>
        <v/>
      </c>
      <c r="AD183" s="14" t="n"/>
    </row>
    <row r="184">
      <c r="A184" s="56" t="n"/>
      <c r="B184" s="57" t="n"/>
      <c r="C184" s="59" t="n"/>
      <c r="E184" s="16" t="n"/>
      <c r="F184" s="13" t="n"/>
      <c r="G184" s="16" t="n"/>
      <c r="H184" s="124">
        <f>IF(G184="","",COUNTIFS($C$18:$C$2015,G$13,$D$18:$D$2015,"&gt;="&amp;G184,$D$18:$D$2015,"&lt;"&amp;G185))</f>
        <v/>
      </c>
      <c r="I184" s="14" t="n"/>
      <c r="J184" s="16" t="n"/>
      <c r="K184" s="124">
        <f>IF(J184="","",COUNTIFS($C$18:$C$2015,J$13,$D$18:$D$2015,"&gt;="&amp;J184,$D$18:$D$2015,"&lt;"&amp;J185))</f>
        <v/>
      </c>
      <c r="L184" s="14" t="n"/>
      <c r="M184" s="16" t="n"/>
      <c r="N184" s="124">
        <f>IF(M184="","",COUNTIFS($C$18:$C$2015,M$13,$D$18:$D$2015,"&gt;="&amp;M184,$D$18:$D$2015,"&lt;"&amp;M185))</f>
        <v/>
      </c>
      <c r="O184" s="14" t="n"/>
      <c r="P184" s="16" t="n"/>
      <c r="Q184" s="124">
        <f>IF(P184="","",COUNTIFS($C$18:$C$2015,P$13,$D$18:$D$2015,"&gt;="&amp;P184,$D$18:$D$2015,"&lt;"&amp;P185))</f>
        <v/>
      </c>
      <c r="R184" s="14" t="n"/>
      <c r="S184" s="16" t="n"/>
      <c r="T184" s="124">
        <f>IF(S184="","",COUNTIFS($C$18:$C$2015,S$13,$D$18:$D$2015,"&gt;="&amp;S184,$D$18:$D$2015,"&lt;"&amp;S185))</f>
        <v/>
      </c>
      <c r="U184" s="14" t="n"/>
      <c r="V184" s="16" t="n"/>
      <c r="W184" s="124">
        <f>IF(V184="","",COUNTIFS($C$18:$C$2015,V$13,$D$18:$D$2015,"&gt;="&amp;V184,$D$18:$D$2015,"&lt;"&amp;V185))</f>
        <v/>
      </c>
      <c r="X184" s="14" t="n"/>
      <c r="Y184" s="16" t="n"/>
      <c r="Z184" s="124">
        <f>IF(Y184="","",COUNTIFS($C$18:$C$2015,Y$13,$D$18:$D$2015,"&gt;="&amp;Y184,$D$18:$D$2015,"&lt;"&amp;Y185))</f>
        <v/>
      </c>
      <c r="AA184" s="14" t="n"/>
      <c r="AB184" s="16" t="n"/>
      <c r="AC184" s="124">
        <f>IF(AB184="","",COUNTIFS($C$18:$C$2015,AB$13,$D$18:$D$2015,"&gt;="&amp;AB184,$D$18:$D$2015,"&lt;"&amp;AB185))</f>
        <v/>
      </c>
      <c r="AD184" s="14" t="n"/>
    </row>
    <row r="185">
      <c r="A185" s="58" t="n"/>
      <c r="B185" s="59" t="n"/>
      <c r="C185" s="59" t="n"/>
      <c r="E185" s="16" t="n"/>
      <c r="F185" s="13" t="n"/>
      <c r="G185" s="16" t="n"/>
      <c r="H185" s="124">
        <f>IF(G185="","",COUNTIFS($C$18:$C$2015,G$13,$D$18:$D$2015,"&gt;="&amp;G185,$D$18:$D$2015,"&lt;"&amp;G186))</f>
        <v/>
      </c>
      <c r="I185" s="14" t="n"/>
      <c r="J185" s="16" t="n"/>
      <c r="K185" s="124">
        <f>IF(J185="","",COUNTIFS($C$18:$C$2015,J$13,$D$18:$D$2015,"&gt;="&amp;J185,$D$18:$D$2015,"&lt;"&amp;J186))</f>
        <v/>
      </c>
      <c r="L185" s="14" t="n"/>
      <c r="M185" s="16" t="n"/>
      <c r="N185" s="124">
        <f>IF(M185="","",COUNTIFS($C$18:$C$2015,M$13,$D$18:$D$2015,"&gt;="&amp;M185,$D$18:$D$2015,"&lt;"&amp;M186))</f>
        <v/>
      </c>
      <c r="O185" s="14" t="n"/>
      <c r="P185" s="16" t="n"/>
      <c r="Q185" s="124">
        <f>IF(P185="","",COUNTIFS($C$18:$C$2015,P$13,$D$18:$D$2015,"&gt;="&amp;P185,$D$18:$D$2015,"&lt;"&amp;P186))</f>
        <v/>
      </c>
      <c r="R185" s="14" t="n"/>
      <c r="S185" s="16" t="n"/>
      <c r="T185" s="124">
        <f>IF(S185="","",COUNTIFS($C$18:$C$2015,S$13,$D$18:$D$2015,"&gt;="&amp;S185,$D$18:$D$2015,"&lt;"&amp;S186))</f>
        <v/>
      </c>
      <c r="U185" s="14" t="n"/>
      <c r="V185" s="16" t="n"/>
      <c r="W185" s="124">
        <f>IF(V185="","",COUNTIFS($C$18:$C$2015,V$13,$D$18:$D$2015,"&gt;="&amp;V185,$D$18:$D$2015,"&lt;"&amp;V186))</f>
        <v/>
      </c>
      <c r="X185" s="14" t="n"/>
      <c r="Y185" s="16" t="n"/>
      <c r="Z185" s="124">
        <f>IF(Y185="","",COUNTIFS($C$18:$C$2015,Y$13,$D$18:$D$2015,"&gt;="&amp;Y185,$D$18:$D$2015,"&lt;"&amp;Y186))</f>
        <v/>
      </c>
      <c r="AA185" s="14" t="n"/>
      <c r="AB185" s="16" t="n"/>
      <c r="AC185" s="124">
        <f>IF(AB185="","",COUNTIFS($C$18:$C$2015,AB$13,$D$18:$D$2015,"&gt;="&amp;AB185,$D$18:$D$2015,"&lt;"&amp;AB186))</f>
        <v/>
      </c>
      <c r="AD185" s="14" t="n"/>
    </row>
    <row r="186">
      <c r="A186" s="56" t="n"/>
      <c r="B186" s="57" t="n"/>
      <c r="C186" s="59" t="n"/>
      <c r="E186" s="16" t="n"/>
      <c r="F186" s="13" t="n"/>
      <c r="G186" s="16" t="n"/>
      <c r="H186" s="124">
        <f>IF(G186="","",COUNTIFS($C$18:$C$2015,G$13,$D$18:$D$2015,"&gt;="&amp;G186,$D$18:$D$2015,"&lt;"&amp;G187))</f>
        <v/>
      </c>
      <c r="I186" s="14" t="n"/>
      <c r="J186" s="16" t="n"/>
      <c r="K186" s="124">
        <f>IF(J186="","",COUNTIFS($C$18:$C$2015,J$13,$D$18:$D$2015,"&gt;="&amp;J186,$D$18:$D$2015,"&lt;"&amp;J187))</f>
        <v/>
      </c>
      <c r="L186" s="14" t="n"/>
      <c r="M186" s="16" t="n"/>
      <c r="N186" s="124">
        <f>IF(M186="","",COUNTIFS($C$18:$C$2015,M$13,$D$18:$D$2015,"&gt;="&amp;M186,$D$18:$D$2015,"&lt;"&amp;M187))</f>
        <v/>
      </c>
      <c r="O186" s="14" t="n"/>
      <c r="P186" s="16" t="n"/>
      <c r="Q186" s="124">
        <f>IF(P186="","",COUNTIFS($C$18:$C$2015,P$13,$D$18:$D$2015,"&gt;="&amp;P186,$D$18:$D$2015,"&lt;"&amp;P187))</f>
        <v/>
      </c>
      <c r="R186" s="14" t="n"/>
      <c r="S186" s="16" t="n"/>
      <c r="T186" s="124">
        <f>IF(S186="","",COUNTIFS($C$18:$C$2015,S$13,$D$18:$D$2015,"&gt;="&amp;S186,$D$18:$D$2015,"&lt;"&amp;S187))</f>
        <v/>
      </c>
      <c r="U186" s="14" t="n"/>
      <c r="V186" s="16" t="n"/>
      <c r="W186" s="124">
        <f>IF(V186="","",COUNTIFS($C$18:$C$2015,V$13,$D$18:$D$2015,"&gt;="&amp;V186,$D$18:$D$2015,"&lt;"&amp;V187))</f>
        <v/>
      </c>
      <c r="X186" s="14" t="n"/>
      <c r="Y186" s="16" t="n"/>
      <c r="Z186" s="124">
        <f>IF(Y186="","",COUNTIFS($C$18:$C$2015,Y$13,$D$18:$D$2015,"&gt;="&amp;Y186,$D$18:$D$2015,"&lt;"&amp;Y187))</f>
        <v/>
      </c>
      <c r="AA186" s="14" t="n"/>
      <c r="AB186" s="16" t="n"/>
      <c r="AC186" s="124">
        <f>IF(AB186="","",COUNTIFS($C$18:$C$2015,AB$13,$D$18:$D$2015,"&gt;="&amp;AB186,$D$18:$D$2015,"&lt;"&amp;AB187))</f>
        <v/>
      </c>
      <c r="AD186" s="14" t="n"/>
    </row>
    <row r="187">
      <c r="A187" s="58" t="n"/>
      <c r="B187" s="59" t="n"/>
      <c r="C187" s="59" t="n"/>
      <c r="E187" s="16" t="n"/>
      <c r="F187" s="13" t="n"/>
      <c r="G187" s="16" t="n"/>
      <c r="H187" s="124">
        <f>IF(G187="","",COUNTIFS($C$18:$C$2015,G$13,$D$18:$D$2015,"&gt;="&amp;G187,$D$18:$D$2015,"&lt;"&amp;G188))</f>
        <v/>
      </c>
      <c r="I187" s="14" t="n"/>
      <c r="J187" s="16" t="n"/>
      <c r="K187" s="124">
        <f>IF(J187="","",COUNTIFS($C$18:$C$2015,J$13,$D$18:$D$2015,"&gt;="&amp;J187,$D$18:$D$2015,"&lt;"&amp;J188))</f>
        <v/>
      </c>
      <c r="L187" s="14" t="n"/>
      <c r="M187" s="16" t="n"/>
      <c r="N187" s="124">
        <f>IF(M187="","",COUNTIFS($C$18:$C$2015,M$13,$D$18:$D$2015,"&gt;="&amp;M187,$D$18:$D$2015,"&lt;"&amp;M188))</f>
        <v/>
      </c>
      <c r="O187" s="14" t="n"/>
      <c r="P187" s="16" t="n"/>
      <c r="Q187" s="124">
        <f>IF(P187="","",COUNTIFS($C$18:$C$2015,P$13,$D$18:$D$2015,"&gt;="&amp;P187,$D$18:$D$2015,"&lt;"&amp;P188))</f>
        <v/>
      </c>
      <c r="R187" s="14" t="n"/>
      <c r="S187" s="16" t="n"/>
      <c r="T187" s="124">
        <f>IF(S187="","",COUNTIFS($C$18:$C$2015,S$13,$D$18:$D$2015,"&gt;="&amp;S187,$D$18:$D$2015,"&lt;"&amp;S188))</f>
        <v/>
      </c>
      <c r="U187" s="14" t="n"/>
      <c r="V187" s="16" t="n"/>
      <c r="W187" s="124">
        <f>IF(V187="","",COUNTIFS($C$18:$C$2015,V$13,$D$18:$D$2015,"&gt;="&amp;V187,$D$18:$D$2015,"&lt;"&amp;V188))</f>
        <v/>
      </c>
      <c r="X187" s="14" t="n"/>
      <c r="Y187" s="16" t="n"/>
      <c r="Z187" s="124">
        <f>IF(Y187="","",COUNTIFS($C$18:$C$2015,Y$13,$D$18:$D$2015,"&gt;="&amp;Y187,$D$18:$D$2015,"&lt;"&amp;Y188))</f>
        <v/>
      </c>
      <c r="AA187" s="14" t="n"/>
      <c r="AB187" s="16" t="n"/>
      <c r="AC187" s="124">
        <f>IF(AB187="","",COUNTIFS($C$18:$C$2015,AB$13,$D$18:$D$2015,"&gt;="&amp;AB187,$D$18:$D$2015,"&lt;"&amp;AB188))</f>
        <v/>
      </c>
      <c r="AD187" s="14" t="n"/>
    </row>
    <row r="188">
      <c r="A188" s="56" t="n"/>
      <c r="B188" s="57" t="n"/>
      <c r="C188" s="59" t="n"/>
      <c r="E188" s="16" t="n"/>
      <c r="F188" s="13" t="n"/>
      <c r="G188" s="16" t="n"/>
      <c r="H188" s="124">
        <f>IF(G188="","",COUNTIFS($C$18:$C$2015,G$13,$D$18:$D$2015,"&gt;="&amp;G188,$D$18:$D$2015,"&lt;"&amp;G189))</f>
        <v/>
      </c>
      <c r="I188" s="14" t="n"/>
      <c r="J188" s="16" t="n"/>
      <c r="K188" s="124">
        <f>IF(J188="","",COUNTIFS($C$18:$C$2015,J$13,$D$18:$D$2015,"&gt;="&amp;J188,$D$18:$D$2015,"&lt;"&amp;J189))</f>
        <v/>
      </c>
      <c r="L188" s="14" t="n"/>
      <c r="M188" s="16" t="n"/>
      <c r="N188" s="124">
        <f>IF(M188="","",COUNTIFS($C$18:$C$2015,M$13,$D$18:$D$2015,"&gt;="&amp;M188,$D$18:$D$2015,"&lt;"&amp;M189))</f>
        <v/>
      </c>
      <c r="O188" s="14" t="n"/>
      <c r="P188" s="16" t="n"/>
      <c r="Q188" s="124">
        <f>IF(P188="","",COUNTIFS($C$18:$C$2015,P$13,$D$18:$D$2015,"&gt;="&amp;P188,$D$18:$D$2015,"&lt;"&amp;P189))</f>
        <v/>
      </c>
      <c r="R188" s="14" t="n"/>
      <c r="S188" s="16" t="n"/>
      <c r="T188" s="124">
        <f>IF(S188="","",COUNTIFS($C$18:$C$2015,S$13,$D$18:$D$2015,"&gt;="&amp;S188,$D$18:$D$2015,"&lt;"&amp;S189))</f>
        <v/>
      </c>
      <c r="U188" s="14" t="n"/>
      <c r="V188" s="16" t="n"/>
      <c r="W188" s="124">
        <f>IF(V188="","",COUNTIFS($C$18:$C$2015,V$13,$D$18:$D$2015,"&gt;="&amp;V188,$D$18:$D$2015,"&lt;"&amp;V189))</f>
        <v/>
      </c>
      <c r="X188" s="14" t="n"/>
      <c r="Y188" s="16" t="n"/>
      <c r="Z188" s="124">
        <f>IF(Y188="","",COUNTIFS($C$18:$C$2015,Y$13,$D$18:$D$2015,"&gt;="&amp;Y188,$D$18:$D$2015,"&lt;"&amp;Y189))</f>
        <v/>
      </c>
      <c r="AA188" s="14" t="n"/>
      <c r="AB188" s="16" t="n"/>
      <c r="AC188" s="124">
        <f>IF(AB188="","",COUNTIFS($C$18:$C$2015,AB$13,$D$18:$D$2015,"&gt;="&amp;AB188,$D$18:$D$2015,"&lt;"&amp;AB189))</f>
        <v/>
      </c>
      <c r="AD188" s="14" t="n"/>
    </row>
    <row r="189">
      <c r="A189" s="58" t="n"/>
      <c r="B189" s="59" t="n"/>
      <c r="C189" s="59" t="n"/>
      <c r="E189" s="16" t="n"/>
      <c r="F189" s="13" t="n"/>
      <c r="G189" s="16" t="n"/>
      <c r="H189" s="124">
        <f>IF(G189="","",COUNTIFS($C$18:$C$2015,G$13,$D$18:$D$2015,"&gt;="&amp;G189,$D$18:$D$2015,"&lt;"&amp;G190))</f>
        <v/>
      </c>
      <c r="I189" s="14" t="n"/>
      <c r="J189" s="16" t="n"/>
      <c r="K189" s="124">
        <f>IF(J189="","",COUNTIFS($C$18:$C$2015,J$13,$D$18:$D$2015,"&gt;="&amp;J189,$D$18:$D$2015,"&lt;"&amp;J190))</f>
        <v/>
      </c>
      <c r="L189" s="14" t="n"/>
      <c r="M189" s="16" t="n"/>
      <c r="N189" s="124">
        <f>IF(M189="","",COUNTIFS($C$18:$C$2015,M$13,$D$18:$D$2015,"&gt;="&amp;M189,$D$18:$D$2015,"&lt;"&amp;M190))</f>
        <v/>
      </c>
      <c r="O189" s="14" t="n"/>
      <c r="P189" s="16" t="n"/>
      <c r="Q189" s="124">
        <f>IF(P189="","",COUNTIFS($C$18:$C$2015,P$13,$D$18:$D$2015,"&gt;="&amp;P189,$D$18:$D$2015,"&lt;"&amp;P190))</f>
        <v/>
      </c>
      <c r="R189" s="14" t="n"/>
      <c r="S189" s="16" t="n"/>
      <c r="T189" s="124">
        <f>IF(S189="","",COUNTIFS($C$18:$C$2015,S$13,$D$18:$D$2015,"&gt;="&amp;S189,$D$18:$D$2015,"&lt;"&amp;S190))</f>
        <v/>
      </c>
      <c r="U189" s="14" t="n"/>
      <c r="V189" s="16" t="n"/>
      <c r="W189" s="124">
        <f>IF(V189="","",COUNTIFS($C$18:$C$2015,V$13,$D$18:$D$2015,"&gt;="&amp;V189,$D$18:$D$2015,"&lt;"&amp;V190))</f>
        <v/>
      </c>
      <c r="X189" s="14" t="n"/>
      <c r="Y189" s="16" t="n"/>
      <c r="Z189" s="124">
        <f>IF(Y189="","",COUNTIFS($C$18:$C$2015,Y$13,$D$18:$D$2015,"&gt;="&amp;Y189,$D$18:$D$2015,"&lt;"&amp;Y190))</f>
        <v/>
      </c>
      <c r="AA189" s="14" t="n"/>
      <c r="AB189" s="16" t="n"/>
      <c r="AC189" s="124">
        <f>IF(AB189="","",COUNTIFS($C$18:$C$2015,AB$13,$D$18:$D$2015,"&gt;="&amp;AB189,$D$18:$D$2015,"&lt;"&amp;AB190))</f>
        <v/>
      </c>
      <c r="AD189" s="14" t="n"/>
    </row>
    <row r="190">
      <c r="A190" s="56" t="n"/>
      <c r="B190" s="57" t="n"/>
      <c r="C190" s="59" t="n"/>
      <c r="E190" s="16" t="n"/>
      <c r="F190" s="13" t="n"/>
      <c r="G190" s="16" t="n"/>
      <c r="H190" s="124">
        <f>IF(G190="","",COUNTIFS($C$18:$C$2015,G$13,$D$18:$D$2015,"&gt;="&amp;G190,$D$18:$D$2015,"&lt;"&amp;G191))</f>
        <v/>
      </c>
      <c r="I190" s="14" t="n"/>
      <c r="J190" s="16" t="n"/>
      <c r="K190" s="124">
        <f>IF(J190="","",COUNTIFS($C$18:$C$2015,J$13,$D$18:$D$2015,"&gt;="&amp;J190,$D$18:$D$2015,"&lt;"&amp;J191))</f>
        <v/>
      </c>
      <c r="L190" s="14" t="n"/>
      <c r="M190" s="16" t="n"/>
      <c r="N190" s="124">
        <f>IF(M190="","",COUNTIFS($C$18:$C$2015,M$13,$D$18:$D$2015,"&gt;="&amp;M190,$D$18:$D$2015,"&lt;"&amp;M191))</f>
        <v/>
      </c>
      <c r="O190" s="14" t="n"/>
      <c r="P190" s="16" t="n"/>
      <c r="Q190" s="124">
        <f>IF(P190="","",COUNTIFS($C$18:$C$2015,P$13,$D$18:$D$2015,"&gt;="&amp;P190,$D$18:$D$2015,"&lt;"&amp;P191))</f>
        <v/>
      </c>
      <c r="R190" s="14" t="n"/>
      <c r="S190" s="16" t="n"/>
      <c r="T190" s="124">
        <f>IF(S190="","",COUNTIFS($C$18:$C$2015,S$13,$D$18:$D$2015,"&gt;="&amp;S190,$D$18:$D$2015,"&lt;"&amp;S191))</f>
        <v/>
      </c>
      <c r="U190" s="14" t="n"/>
      <c r="V190" s="16" t="n"/>
      <c r="W190" s="124">
        <f>IF(V190="","",COUNTIFS($C$18:$C$2015,V$13,$D$18:$D$2015,"&gt;="&amp;V190,$D$18:$D$2015,"&lt;"&amp;V191))</f>
        <v/>
      </c>
      <c r="X190" s="14" t="n"/>
      <c r="Y190" s="16" t="n"/>
      <c r="Z190" s="124">
        <f>IF(Y190="","",COUNTIFS($C$18:$C$2015,Y$13,$D$18:$D$2015,"&gt;="&amp;Y190,$D$18:$D$2015,"&lt;"&amp;Y191))</f>
        <v/>
      </c>
      <c r="AA190" s="14" t="n"/>
      <c r="AB190" s="16" t="n"/>
      <c r="AC190" s="124">
        <f>IF(AB190="","",COUNTIFS($C$18:$C$2015,AB$13,$D$18:$D$2015,"&gt;="&amp;AB190,$D$18:$D$2015,"&lt;"&amp;AB191))</f>
        <v/>
      </c>
      <c r="AD190" s="14" t="n"/>
    </row>
    <row r="191">
      <c r="A191" s="58" t="n"/>
      <c r="B191" s="59" t="n"/>
      <c r="C191" s="59" t="n"/>
      <c r="E191" s="16" t="n"/>
      <c r="F191" s="13" t="n"/>
      <c r="G191" s="16" t="n"/>
      <c r="H191" s="124">
        <f>IF(G191="","",COUNTIFS($C$18:$C$2015,G$13,$D$18:$D$2015,"&gt;="&amp;G191,$D$18:$D$2015,"&lt;"&amp;G192))</f>
        <v/>
      </c>
      <c r="I191" s="14" t="n"/>
      <c r="J191" s="16" t="n"/>
      <c r="K191" s="124">
        <f>IF(J191="","",COUNTIFS($C$18:$C$2015,J$13,$D$18:$D$2015,"&gt;="&amp;J191,$D$18:$D$2015,"&lt;"&amp;J192))</f>
        <v/>
      </c>
      <c r="L191" s="14" t="n"/>
      <c r="M191" s="16" t="n"/>
      <c r="N191" s="124">
        <f>IF(M191="","",COUNTIFS($C$18:$C$2015,M$13,$D$18:$D$2015,"&gt;="&amp;M191,$D$18:$D$2015,"&lt;"&amp;M192))</f>
        <v/>
      </c>
      <c r="O191" s="14" t="n"/>
      <c r="P191" s="16" t="n"/>
      <c r="Q191" s="124">
        <f>IF(P191="","",COUNTIFS($C$18:$C$2015,P$13,$D$18:$D$2015,"&gt;="&amp;P191,$D$18:$D$2015,"&lt;"&amp;P192))</f>
        <v/>
      </c>
      <c r="R191" s="14" t="n"/>
      <c r="S191" s="16" t="n"/>
      <c r="T191" s="124">
        <f>IF(S191="","",COUNTIFS($C$18:$C$2015,S$13,$D$18:$D$2015,"&gt;="&amp;S191,$D$18:$D$2015,"&lt;"&amp;S192))</f>
        <v/>
      </c>
      <c r="U191" s="14" t="n"/>
      <c r="V191" s="16" t="n"/>
      <c r="W191" s="124">
        <f>IF(V191="","",COUNTIFS($C$18:$C$2015,V$13,$D$18:$D$2015,"&gt;="&amp;V191,$D$18:$D$2015,"&lt;"&amp;V192))</f>
        <v/>
      </c>
      <c r="X191" s="14" t="n"/>
      <c r="Y191" s="16" t="n"/>
      <c r="Z191" s="124">
        <f>IF(Y191="","",COUNTIFS($C$18:$C$2015,Y$13,$D$18:$D$2015,"&gt;="&amp;Y191,$D$18:$D$2015,"&lt;"&amp;Y192))</f>
        <v/>
      </c>
      <c r="AA191" s="14" t="n"/>
      <c r="AB191" s="16" t="n"/>
      <c r="AC191" s="124">
        <f>IF(AB191="","",COUNTIFS($C$18:$C$2015,AB$13,$D$18:$D$2015,"&gt;="&amp;AB191,$D$18:$D$2015,"&lt;"&amp;AB192))</f>
        <v/>
      </c>
      <c r="AD191" s="14" t="n"/>
    </row>
    <row r="192">
      <c r="A192" s="56" t="n"/>
      <c r="B192" s="57" t="n"/>
      <c r="C192" s="59" t="n"/>
      <c r="E192" s="16" t="n"/>
      <c r="F192" s="13" t="n"/>
      <c r="G192" s="16" t="n"/>
      <c r="H192" s="124">
        <f>IF(G192="","",COUNTIFS($C$18:$C$2015,G$13,$D$18:$D$2015,"&gt;="&amp;G192,$D$18:$D$2015,"&lt;"&amp;G193))</f>
        <v/>
      </c>
      <c r="I192" s="14" t="n"/>
      <c r="J192" s="16" t="n"/>
      <c r="K192" s="124">
        <f>IF(J192="","",COUNTIFS($C$18:$C$2015,J$13,$D$18:$D$2015,"&gt;="&amp;J192,$D$18:$D$2015,"&lt;"&amp;J193))</f>
        <v/>
      </c>
      <c r="L192" s="14" t="n"/>
      <c r="M192" s="16" t="n"/>
      <c r="N192" s="124">
        <f>IF(M192="","",COUNTIFS($C$18:$C$2015,M$13,$D$18:$D$2015,"&gt;="&amp;M192,$D$18:$D$2015,"&lt;"&amp;M193))</f>
        <v/>
      </c>
      <c r="O192" s="14" t="n"/>
      <c r="P192" s="16" t="n"/>
      <c r="Q192" s="124">
        <f>IF(P192="","",COUNTIFS($C$18:$C$2015,P$13,$D$18:$D$2015,"&gt;="&amp;P192,$D$18:$D$2015,"&lt;"&amp;P193))</f>
        <v/>
      </c>
      <c r="R192" s="14" t="n"/>
      <c r="S192" s="16" t="n"/>
      <c r="T192" s="124">
        <f>IF(S192="","",COUNTIFS($C$18:$C$2015,S$13,$D$18:$D$2015,"&gt;="&amp;S192,$D$18:$D$2015,"&lt;"&amp;S193))</f>
        <v/>
      </c>
      <c r="U192" s="14" t="n"/>
      <c r="V192" s="16" t="n"/>
      <c r="W192" s="124">
        <f>IF(V192="","",COUNTIFS($C$18:$C$2015,V$13,$D$18:$D$2015,"&gt;="&amp;V192,$D$18:$D$2015,"&lt;"&amp;V193))</f>
        <v/>
      </c>
      <c r="X192" s="14" t="n"/>
      <c r="Y192" s="16" t="n"/>
      <c r="Z192" s="124">
        <f>IF(Y192="","",COUNTIFS($C$18:$C$2015,Y$13,$D$18:$D$2015,"&gt;="&amp;Y192,$D$18:$D$2015,"&lt;"&amp;Y193))</f>
        <v/>
      </c>
      <c r="AA192" s="14" t="n"/>
      <c r="AB192" s="16" t="n"/>
      <c r="AC192" s="124">
        <f>IF(AB192="","",COUNTIFS($C$18:$C$2015,AB$13,$D$18:$D$2015,"&gt;="&amp;AB192,$D$18:$D$2015,"&lt;"&amp;AB193))</f>
        <v/>
      </c>
      <c r="AD192" s="14" t="n"/>
    </row>
    <row r="193">
      <c r="A193" s="58" t="n"/>
      <c r="B193" s="59" t="n"/>
      <c r="C193" s="59" t="n"/>
      <c r="E193" s="16" t="n"/>
      <c r="F193" s="13" t="n"/>
      <c r="G193" s="16" t="n"/>
      <c r="H193" s="124">
        <f>IF(G193="","",COUNTIFS($C$18:$C$2015,G$13,$D$18:$D$2015,"&gt;="&amp;G193,$D$18:$D$2015,"&lt;"&amp;G194))</f>
        <v/>
      </c>
      <c r="I193" s="14" t="n"/>
      <c r="J193" s="16" t="n"/>
      <c r="K193" s="124">
        <f>IF(J193="","",COUNTIFS($C$18:$C$2015,J$13,$D$18:$D$2015,"&gt;="&amp;J193,$D$18:$D$2015,"&lt;"&amp;J194))</f>
        <v/>
      </c>
      <c r="L193" s="14" t="n"/>
      <c r="M193" s="16" t="n"/>
      <c r="N193" s="124">
        <f>IF(M193="","",COUNTIFS($C$18:$C$2015,M$13,$D$18:$D$2015,"&gt;="&amp;M193,$D$18:$D$2015,"&lt;"&amp;M194))</f>
        <v/>
      </c>
      <c r="O193" s="14" t="n"/>
      <c r="P193" s="16" t="n"/>
      <c r="Q193" s="124">
        <f>IF(P193="","",COUNTIFS($C$18:$C$2015,P$13,$D$18:$D$2015,"&gt;="&amp;P193,$D$18:$D$2015,"&lt;"&amp;P194))</f>
        <v/>
      </c>
      <c r="R193" s="14" t="n"/>
      <c r="S193" s="16" t="n"/>
      <c r="T193" s="124">
        <f>IF(S193="","",COUNTIFS($C$18:$C$2015,S$13,$D$18:$D$2015,"&gt;="&amp;S193,$D$18:$D$2015,"&lt;"&amp;S194))</f>
        <v/>
      </c>
      <c r="U193" s="14" t="n"/>
      <c r="V193" s="16" t="n"/>
      <c r="W193" s="124">
        <f>IF(V193="","",COUNTIFS($C$18:$C$2015,V$13,$D$18:$D$2015,"&gt;="&amp;V193,$D$18:$D$2015,"&lt;"&amp;V194))</f>
        <v/>
      </c>
      <c r="X193" s="14" t="n"/>
      <c r="Y193" s="16" t="n"/>
      <c r="Z193" s="124">
        <f>IF(Y193="","",COUNTIFS($C$18:$C$2015,Y$13,$D$18:$D$2015,"&gt;="&amp;Y193,$D$18:$D$2015,"&lt;"&amp;Y194))</f>
        <v/>
      </c>
      <c r="AA193" s="14" t="n"/>
      <c r="AB193" s="16" t="n"/>
      <c r="AC193" s="124">
        <f>IF(AB193="","",COUNTIFS($C$18:$C$2015,AB$13,$D$18:$D$2015,"&gt;="&amp;AB193,$D$18:$D$2015,"&lt;"&amp;AB194))</f>
        <v/>
      </c>
      <c r="AD193" s="14" t="n"/>
    </row>
    <row r="194">
      <c r="A194" s="56" t="n"/>
      <c r="B194" s="57" t="n"/>
      <c r="C194" s="59" t="n"/>
      <c r="E194" s="16" t="n"/>
      <c r="F194" s="13" t="n"/>
      <c r="G194" s="16" t="n"/>
      <c r="H194" s="124">
        <f>IF(G194="","",COUNTIFS($C$18:$C$2015,G$13,$D$18:$D$2015,"&gt;="&amp;G194,$D$18:$D$2015,"&lt;"&amp;G195))</f>
        <v/>
      </c>
      <c r="I194" s="14" t="n"/>
      <c r="J194" s="16" t="n"/>
      <c r="K194" s="124">
        <f>IF(J194="","",COUNTIFS($C$18:$C$2015,J$13,$D$18:$D$2015,"&gt;="&amp;J194,$D$18:$D$2015,"&lt;"&amp;J195))</f>
        <v/>
      </c>
      <c r="L194" s="14" t="n"/>
      <c r="M194" s="16" t="n"/>
      <c r="N194" s="124">
        <f>IF(M194="","",COUNTIFS($C$18:$C$2015,M$13,$D$18:$D$2015,"&gt;="&amp;M194,$D$18:$D$2015,"&lt;"&amp;M195))</f>
        <v/>
      </c>
      <c r="O194" s="14" t="n"/>
      <c r="P194" s="16" t="n"/>
      <c r="Q194" s="124">
        <f>IF(P194="","",COUNTIFS($C$18:$C$2015,P$13,$D$18:$D$2015,"&gt;="&amp;P194,$D$18:$D$2015,"&lt;"&amp;P195))</f>
        <v/>
      </c>
      <c r="R194" s="14" t="n"/>
      <c r="S194" s="16" t="n"/>
      <c r="T194" s="124">
        <f>IF(S194="","",COUNTIFS($C$18:$C$2015,S$13,$D$18:$D$2015,"&gt;="&amp;S194,$D$18:$D$2015,"&lt;"&amp;S195))</f>
        <v/>
      </c>
      <c r="U194" s="14" t="n"/>
      <c r="V194" s="16" t="n"/>
      <c r="W194" s="124">
        <f>IF(V194="","",COUNTIFS($C$18:$C$2015,V$13,$D$18:$D$2015,"&gt;="&amp;V194,$D$18:$D$2015,"&lt;"&amp;V195))</f>
        <v/>
      </c>
      <c r="X194" s="14" t="n"/>
      <c r="Y194" s="16" t="n"/>
      <c r="Z194" s="124">
        <f>IF(Y194="","",COUNTIFS($C$18:$C$2015,Y$13,$D$18:$D$2015,"&gt;="&amp;Y194,$D$18:$D$2015,"&lt;"&amp;Y195))</f>
        <v/>
      </c>
      <c r="AA194" s="14" t="n"/>
      <c r="AB194" s="16" t="n"/>
      <c r="AC194" s="124">
        <f>IF(AB194="","",COUNTIFS($C$18:$C$2015,AB$13,$D$18:$D$2015,"&gt;="&amp;AB194,$D$18:$D$2015,"&lt;"&amp;AB195))</f>
        <v/>
      </c>
      <c r="AD194" s="14" t="n"/>
    </row>
    <row r="195">
      <c r="A195" s="58" t="n"/>
      <c r="B195" s="59" t="n"/>
      <c r="C195" s="59" t="n"/>
      <c r="E195" s="16" t="n"/>
      <c r="F195" s="13" t="n"/>
      <c r="G195" s="16" t="n"/>
      <c r="H195" s="124">
        <f>IF(G195="","",COUNTIFS($C$18:$C$2015,G$13,$D$18:$D$2015,"&gt;="&amp;G195,$D$18:$D$2015,"&lt;"&amp;G196))</f>
        <v/>
      </c>
      <c r="I195" s="14" t="n"/>
      <c r="J195" s="16" t="n"/>
      <c r="K195" s="124">
        <f>IF(J195="","",COUNTIFS($C$18:$C$2015,J$13,$D$18:$D$2015,"&gt;="&amp;J195,$D$18:$D$2015,"&lt;"&amp;J196))</f>
        <v/>
      </c>
      <c r="L195" s="14" t="n"/>
      <c r="M195" s="16" t="n"/>
      <c r="N195" s="124">
        <f>IF(M195="","",COUNTIFS($C$18:$C$2015,M$13,$D$18:$D$2015,"&gt;="&amp;M195,$D$18:$D$2015,"&lt;"&amp;M196))</f>
        <v/>
      </c>
      <c r="O195" s="14" t="n"/>
      <c r="P195" s="16" t="n"/>
      <c r="Q195" s="124">
        <f>IF(P195="","",COUNTIFS($C$18:$C$2015,P$13,$D$18:$D$2015,"&gt;="&amp;P195,$D$18:$D$2015,"&lt;"&amp;P196))</f>
        <v/>
      </c>
      <c r="R195" s="14" t="n"/>
      <c r="S195" s="16" t="n"/>
      <c r="T195" s="124">
        <f>IF(S195="","",COUNTIFS($C$18:$C$2015,S$13,$D$18:$D$2015,"&gt;="&amp;S195,$D$18:$D$2015,"&lt;"&amp;S196))</f>
        <v/>
      </c>
      <c r="U195" s="14" t="n"/>
      <c r="V195" s="16" t="n"/>
      <c r="W195" s="124">
        <f>IF(V195="","",COUNTIFS($C$18:$C$2015,V$13,$D$18:$D$2015,"&gt;="&amp;V195,$D$18:$D$2015,"&lt;"&amp;V196))</f>
        <v/>
      </c>
      <c r="X195" s="14" t="n"/>
      <c r="Y195" s="16" t="n"/>
      <c r="Z195" s="124">
        <f>IF(Y195="","",COUNTIFS($C$18:$C$2015,Y$13,$D$18:$D$2015,"&gt;="&amp;Y195,$D$18:$D$2015,"&lt;"&amp;Y196))</f>
        <v/>
      </c>
      <c r="AA195" s="14" t="n"/>
      <c r="AB195" s="16" t="n"/>
      <c r="AC195" s="124">
        <f>IF(AB195="","",COUNTIFS($C$18:$C$2015,AB$13,$D$18:$D$2015,"&gt;="&amp;AB195,$D$18:$D$2015,"&lt;"&amp;AB196))</f>
        <v/>
      </c>
      <c r="AD195" s="14" t="n"/>
    </row>
    <row r="196">
      <c r="A196" s="56" t="n"/>
      <c r="B196" s="57" t="n"/>
      <c r="C196" s="59" t="n"/>
      <c r="E196" s="16" t="n"/>
      <c r="F196" s="13" t="n"/>
      <c r="G196" s="16" t="n"/>
      <c r="H196" s="124">
        <f>IF(G196="","",COUNTIFS($C$18:$C$2015,G$13,$D$18:$D$2015,"&gt;="&amp;G196,$D$18:$D$2015,"&lt;"&amp;G197))</f>
        <v/>
      </c>
      <c r="I196" s="14" t="n"/>
      <c r="J196" s="16" t="n"/>
      <c r="K196" s="124">
        <f>IF(J196="","",COUNTIFS($C$18:$C$2015,J$13,$D$18:$D$2015,"&gt;="&amp;J196,$D$18:$D$2015,"&lt;"&amp;J197))</f>
        <v/>
      </c>
      <c r="L196" s="14" t="n"/>
      <c r="M196" s="16" t="n"/>
      <c r="N196" s="124">
        <f>IF(M196="","",COUNTIFS($C$18:$C$2015,M$13,$D$18:$D$2015,"&gt;="&amp;M196,$D$18:$D$2015,"&lt;"&amp;M197))</f>
        <v/>
      </c>
      <c r="O196" s="14" t="n"/>
      <c r="P196" s="16" t="n"/>
      <c r="Q196" s="124">
        <f>IF(P196="","",COUNTIFS($C$18:$C$2015,P$13,$D$18:$D$2015,"&gt;="&amp;P196,$D$18:$D$2015,"&lt;"&amp;P197))</f>
        <v/>
      </c>
      <c r="R196" s="14" t="n"/>
      <c r="S196" s="16" t="n"/>
      <c r="T196" s="124">
        <f>IF(S196="","",COUNTIFS($C$18:$C$2015,S$13,$D$18:$D$2015,"&gt;="&amp;S196,$D$18:$D$2015,"&lt;"&amp;S197))</f>
        <v/>
      </c>
      <c r="U196" s="14" t="n"/>
      <c r="V196" s="16" t="n"/>
      <c r="W196" s="124">
        <f>IF(V196="","",COUNTIFS($C$18:$C$2015,V$13,$D$18:$D$2015,"&gt;="&amp;V196,$D$18:$D$2015,"&lt;"&amp;V197))</f>
        <v/>
      </c>
      <c r="X196" s="14" t="n"/>
      <c r="Y196" s="16" t="n"/>
      <c r="Z196" s="124">
        <f>IF(Y196="","",COUNTIFS($C$18:$C$2015,Y$13,$D$18:$D$2015,"&gt;="&amp;Y196,$D$18:$D$2015,"&lt;"&amp;Y197))</f>
        <v/>
      </c>
      <c r="AA196" s="14" t="n"/>
      <c r="AB196" s="16" t="n"/>
      <c r="AC196" s="124">
        <f>IF(AB196="","",COUNTIFS($C$18:$C$2015,AB$13,$D$18:$D$2015,"&gt;="&amp;AB196,$D$18:$D$2015,"&lt;"&amp;AB197))</f>
        <v/>
      </c>
      <c r="AD196" s="14" t="n"/>
    </row>
    <row r="197">
      <c r="A197" s="58" t="n"/>
      <c r="B197" s="59" t="n"/>
      <c r="C197" s="59" t="n"/>
      <c r="E197" s="16" t="n"/>
      <c r="F197" s="13" t="n"/>
      <c r="G197" s="16" t="n"/>
      <c r="H197" s="124">
        <f>IF(G197="","",COUNTIFS($C$18:$C$2015,G$13,$D$18:$D$2015,"&gt;="&amp;G197,$D$18:$D$2015,"&lt;"&amp;G198))</f>
        <v/>
      </c>
      <c r="I197" s="14" t="n"/>
      <c r="J197" s="16" t="n"/>
      <c r="K197" s="124">
        <f>IF(J197="","",COUNTIFS($C$18:$C$2015,J$13,$D$18:$D$2015,"&gt;="&amp;J197,$D$18:$D$2015,"&lt;"&amp;J198))</f>
        <v/>
      </c>
      <c r="L197" s="14" t="n"/>
      <c r="M197" s="16" t="n"/>
      <c r="N197" s="124">
        <f>IF(M197="","",COUNTIFS($C$18:$C$2015,M$13,$D$18:$D$2015,"&gt;="&amp;M197,$D$18:$D$2015,"&lt;"&amp;M198))</f>
        <v/>
      </c>
      <c r="O197" s="14" t="n"/>
      <c r="P197" s="16" t="n"/>
      <c r="Q197" s="124">
        <f>IF(P197="","",COUNTIFS($C$18:$C$2015,P$13,$D$18:$D$2015,"&gt;="&amp;P197,$D$18:$D$2015,"&lt;"&amp;P198))</f>
        <v/>
      </c>
      <c r="R197" s="14" t="n"/>
      <c r="S197" s="16" t="n"/>
      <c r="T197" s="124">
        <f>IF(S197="","",COUNTIFS($C$18:$C$2015,S$13,$D$18:$D$2015,"&gt;="&amp;S197,$D$18:$D$2015,"&lt;"&amp;S198))</f>
        <v/>
      </c>
      <c r="U197" s="14" t="n"/>
      <c r="V197" s="16" t="n"/>
      <c r="W197" s="124">
        <f>IF(V197="","",COUNTIFS($C$18:$C$2015,V$13,$D$18:$D$2015,"&gt;="&amp;V197,$D$18:$D$2015,"&lt;"&amp;V198))</f>
        <v/>
      </c>
      <c r="X197" s="14" t="n"/>
      <c r="Y197" s="16" t="n"/>
      <c r="Z197" s="124">
        <f>IF(Y197="","",COUNTIFS($C$18:$C$2015,Y$13,$D$18:$D$2015,"&gt;="&amp;Y197,$D$18:$D$2015,"&lt;"&amp;Y198))</f>
        <v/>
      </c>
      <c r="AA197" s="14" t="n"/>
      <c r="AB197" s="16" t="n"/>
      <c r="AC197" s="124">
        <f>IF(AB197="","",COUNTIFS($C$18:$C$2015,AB$13,$D$18:$D$2015,"&gt;="&amp;AB197,$D$18:$D$2015,"&lt;"&amp;AB198))</f>
        <v/>
      </c>
      <c r="AD197" s="14" t="n"/>
    </row>
    <row r="198">
      <c r="A198" s="56" t="n"/>
      <c r="B198" s="57" t="n"/>
      <c r="C198" s="59" t="n"/>
      <c r="E198" s="16" t="n"/>
      <c r="F198" s="13" t="n"/>
      <c r="G198" s="16" t="n"/>
      <c r="H198" s="124">
        <f>IF(G198="","",COUNTIFS($C$18:$C$2015,G$13,$D$18:$D$2015,"&gt;="&amp;G198,$D$18:$D$2015,"&lt;"&amp;G199))</f>
        <v/>
      </c>
      <c r="I198" s="14" t="n"/>
      <c r="J198" s="16" t="n"/>
      <c r="K198" s="124">
        <f>IF(J198="","",COUNTIFS($C$18:$C$2015,J$13,$D$18:$D$2015,"&gt;="&amp;J198,$D$18:$D$2015,"&lt;"&amp;J199))</f>
        <v/>
      </c>
      <c r="L198" s="14" t="n"/>
      <c r="M198" s="16" t="n"/>
      <c r="N198" s="124">
        <f>IF(M198="","",COUNTIFS($C$18:$C$2015,M$13,$D$18:$D$2015,"&gt;="&amp;M198,$D$18:$D$2015,"&lt;"&amp;M199))</f>
        <v/>
      </c>
      <c r="O198" s="14" t="n"/>
      <c r="P198" s="16" t="n"/>
      <c r="Q198" s="124">
        <f>IF(P198="","",COUNTIFS($C$18:$C$2015,P$13,$D$18:$D$2015,"&gt;="&amp;P198,$D$18:$D$2015,"&lt;"&amp;P199))</f>
        <v/>
      </c>
      <c r="R198" s="14" t="n"/>
      <c r="S198" s="16" t="n"/>
      <c r="T198" s="124">
        <f>IF(S198="","",COUNTIFS($C$18:$C$2015,S$13,$D$18:$D$2015,"&gt;="&amp;S198,$D$18:$D$2015,"&lt;"&amp;S199))</f>
        <v/>
      </c>
      <c r="U198" s="14" t="n"/>
      <c r="V198" s="16" t="n"/>
      <c r="W198" s="124">
        <f>IF(V198="","",COUNTIFS($C$18:$C$2015,V$13,$D$18:$D$2015,"&gt;="&amp;V198,$D$18:$D$2015,"&lt;"&amp;V199))</f>
        <v/>
      </c>
      <c r="X198" s="14" t="n"/>
      <c r="Y198" s="16" t="n"/>
      <c r="Z198" s="124">
        <f>IF(Y198="","",COUNTIFS($C$18:$C$2015,Y$13,$D$18:$D$2015,"&gt;="&amp;Y198,$D$18:$D$2015,"&lt;"&amp;Y199))</f>
        <v/>
      </c>
      <c r="AA198" s="14" t="n"/>
      <c r="AB198" s="16" t="n"/>
      <c r="AC198" s="124">
        <f>IF(AB198="","",COUNTIFS($C$18:$C$2015,AB$13,$D$18:$D$2015,"&gt;="&amp;AB198,$D$18:$D$2015,"&lt;"&amp;AB199))</f>
        <v/>
      </c>
      <c r="AD198" s="14" t="n"/>
    </row>
    <row r="199">
      <c r="A199" s="58" t="n"/>
      <c r="B199" s="59" t="n"/>
      <c r="C199" s="59" t="n"/>
      <c r="E199" s="16" t="n"/>
      <c r="F199" s="13" t="n"/>
      <c r="G199" s="16" t="n"/>
      <c r="H199" s="124">
        <f>IF(G199="","",COUNTIFS($C$18:$C$2015,G$13,$D$18:$D$2015,"&gt;="&amp;G199,$D$18:$D$2015,"&lt;"&amp;G200))</f>
        <v/>
      </c>
      <c r="I199" s="14" t="n"/>
      <c r="J199" s="16" t="n"/>
      <c r="K199" s="124">
        <f>IF(J199="","",COUNTIFS($C$18:$C$2015,J$13,$D$18:$D$2015,"&gt;="&amp;J199,$D$18:$D$2015,"&lt;"&amp;J200))</f>
        <v/>
      </c>
      <c r="L199" s="14" t="n"/>
      <c r="M199" s="16" t="n"/>
      <c r="N199" s="124">
        <f>IF(M199="","",COUNTIFS($C$18:$C$2015,M$13,$D$18:$D$2015,"&gt;="&amp;M199,$D$18:$D$2015,"&lt;"&amp;M200))</f>
        <v/>
      </c>
      <c r="O199" s="14" t="n"/>
      <c r="P199" s="16" t="n"/>
      <c r="Q199" s="124">
        <f>IF(P199="","",COUNTIFS($C$18:$C$2015,P$13,$D$18:$D$2015,"&gt;="&amp;P199,$D$18:$D$2015,"&lt;"&amp;P200))</f>
        <v/>
      </c>
      <c r="R199" s="14" t="n"/>
      <c r="S199" s="16" t="n"/>
      <c r="T199" s="124">
        <f>IF(S199="","",COUNTIFS($C$18:$C$2015,S$13,$D$18:$D$2015,"&gt;="&amp;S199,$D$18:$D$2015,"&lt;"&amp;S200))</f>
        <v/>
      </c>
      <c r="U199" s="14" t="n"/>
      <c r="V199" s="16" t="n"/>
      <c r="W199" s="124">
        <f>IF(V199="","",COUNTIFS($C$18:$C$2015,V$13,$D$18:$D$2015,"&gt;="&amp;V199,$D$18:$D$2015,"&lt;"&amp;V200))</f>
        <v/>
      </c>
      <c r="X199" s="14" t="n"/>
      <c r="Y199" s="16" t="n"/>
      <c r="Z199" s="124">
        <f>IF(Y199="","",COUNTIFS($C$18:$C$2015,Y$13,$D$18:$D$2015,"&gt;="&amp;Y199,$D$18:$D$2015,"&lt;"&amp;Y200))</f>
        <v/>
      </c>
      <c r="AA199" s="14" t="n"/>
      <c r="AB199" s="16" t="n"/>
      <c r="AC199" s="124">
        <f>IF(AB199="","",COUNTIFS($C$18:$C$2015,AB$13,$D$18:$D$2015,"&gt;="&amp;AB199,$D$18:$D$2015,"&lt;"&amp;AB200))</f>
        <v/>
      </c>
      <c r="AD199" s="14" t="n"/>
    </row>
    <row r="200">
      <c r="A200" s="56" t="n"/>
      <c r="B200" s="57" t="n"/>
      <c r="C200" s="59" t="n"/>
      <c r="E200" s="16" t="n"/>
      <c r="F200" s="13" t="n"/>
      <c r="G200" s="16" t="n"/>
      <c r="H200" s="124">
        <f>IF(G200="","",COUNTIFS($C$18:$C$2015,G$13,$D$18:$D$2015,"&gt;="&amp;G200,$D$18:$D$2015,"&lt;"&amp;G201))</f>
        <v/>
      </c>
      <c r="I200" s="14" t="n"/>
      <c r="J200" s="16" t="n"/>
      <c r="K200" s="124">
        <f>IF(J200="","",COUNTIFS($C$18:$C$2015,J$13,$D$18:$D$2015,"&gt;="&amp;J200,$D$18:$D$2015,"&lt;"&amp;J201))</f>
        <v/>
      </c>
      <c r="L200" s="14" t="n"/>
      <c r="M200" s="16" t="n"/>
      <c r="N200" s="124">
        <f>IF(M200="","",COUNTIFS($C$18:$C$2015,M$13,$D$18:$D$2015,"&gt;="&amp;M200,$D$18:$D$2015,"&lt;"&amp;M201))</f>
        <v/>
      </c>
      <c r="O200" s="14" t="n"/>
      <c r="P200" s="16" t="n"/>
      <c r="Q200" s="124">
        <f>IF(P200="","",COUNTIFS($C$18:$C$2015,P$13,$D$18:$D$2015,"&gt;="&amp;P200,$D$18:$D$2015,"&lt;"&amp;P201))</f>
        <v/>
      </c>
      <c r="R200" s="14" t="n"/>
      <c r="S200" s="16" t="n"/>
      <c r="T200" s="124">
        <f>IF(S200="","",COUNTIFS($C$18:$C$2015,S$13,$D$18:$D$2015,"&gt;="&amp;S200,$D$18:$D$2015,"&lt;"&amp;S201))</f>
        <v/>
      </c>
      <c r="U200" s="14" t="n"/>
      <c r="V200" s="16" t="n"/>
      <c r="W200" s="124">
        <f>IF(V200="","",COUNTIFS($C$18:$C$2015,V$13,$D$18:$D$2015,"&gt;="&amp;V200,$D$18:$D$2015,"&lt;"&amp;V201))</f>
        <v/>
      </c>
      <c r="X200" s="14" t="n"/>
      <c r="Y200" s="16" t="n"/>
      <c r="Z200" s="124">
        <f>IF(Y200="","",COUNTIFS($C$18:$C$2015,Y$13,$D$18:$D$2015,"&gt;="&amp;Y200,$D$18:$D$2015,"&lt;"&amp;Y201))</f>
        <v/>
      </c>
      <c r="AA200" s="14" t="n"/>
      <c r="AB200" s="16" t="n"/>
      <c r="AC200" s="124">
        <f>IF(AB200="","",COUNTIFS($C$18:$C$2015,AB$13,$D$18:$D$2015,"&gt;="&amp;AB200,$D$18:$D$2015,"&lt;"&amp;AB201))</f>
        <v/>
      </c>
      <c r="AD200" s="14" t="n"/>
    </row>
    <row r="201">
      <c r="A201" s="58" t="n"/>
      <c r="B201" s="59" t="n"/>
      <c r="C201" s="59" t="n"/>
      <c r="E201" s="16" t="n"/>
      <c r="F201" s="13" t="n"/>
      <c r="G201" s="16" t="n"/>
      <c r="H201" s="124">
        <f>IF(G201="","",COUNTIFS($C$18:$C$2015,G$13,$D$18:$D$2015,"&gt;="&amp;G201,$D$18:$D$2015,"&lt;"&amp;G202))</f>
        <v/>
      </c>
      <c r="I201" s="14" t="n"/>
      <c r="J201" s="16" t="n"/>
      <c r="K201" s="124">
        <f>IF(J201="","",COUNTIFS($C$18:$C$2015,J$13,$D$18:$D$2015,"&gt;="&amp;J201,$D$18:$D$2015,"&lt;"&amp;J202))</f>
        <v/>
      </c>
      <c r="L201" s="14" t="n"/>
      <c r="M201" s="16" t="n"/>
      <c r="N201" s="124">
        <f>IF(M201="","",COUNTIFS($C$18:$C$2015,M$13,$D$18:$D$2015,"&gt;="&amp;M201,$D$18:$D$2015,"&lt;"&amp;M202))</f>
        <v/>
      </c>
      <c r="O201" s="14" t="n"/>
      <c r="P201" s="16" t="n"/>
      <c r="Q201" s="124">
        <f>IF(P201="","",COUNTIFS($C$18:$C$2015,P$13,$D$18:$D$2015,"&gt;="&amp;P201,$D$18:$D$2015,"&lt;"&amp;P202))</f>
        <v/>
      </c>
      <c r="R201" s="14" t="n"/>
      <c r="S201" s="16" t="n"/>
      <c r="T201" s="124">
        <f>IF(S201="","",COUNTIFS($C$18:$C$2015,S$13,$D$18:$D$2015,"&gt;="&amp;S201,$D$18:$D$2015,"&lt;"&amp;S202))</f>
        <v/>
      </c>
      <c r="U201" s="14" t="n"/>
      <c r="V201" s="16" t="n"/>
      <c r="W201" s="124">
        <f>IF(V201="","",COUNTIFS($C$18:$C$2015,V$13,$D$18:$D$2015,"&gt;="&amp;V201,$D$18:$D$2015,"&lt;"&amp;V202))</f>
        <v/>
      </c>
      <c r="X201" s="14" t="n"/>
      <c r="Y201" s="16" t="n"/>
      <c r="Z201" s="124">
        <f>IF(Y201="","",COUNTIFS($C$18:$C$2015,Y$13,$D$18:$D$2015,"&gt;="&amp;Y201,$D$18:$D$2015,"&lt;"&amp;Y202))</f>
        <v/>
      </c>
      <c r="AA201" s="14" t="n"/>
      <c r="AB201" s="16" t="n"/>
      <c r="AC201" s="124">
        <f>IF(AB201="","",COUNTIFS($C$18:$C$2015,AB$13,$D$18:$D$2015,"&gt;="&amp;AB201,$D$18:$D$2015,"&lt;"&amp;AB202))</f>
        <v/>
      </c>
      <c r="AD201" s="14" t="n"/>
    </row>
    <row r="202">
      <c r="A202" s="56" t="n"/>
      <c r="B202" s="57" t="n"/>
      <c r="C202" s="59" t="n"/>
      <c r="E202" s="16" t="n"/>
      <c r="F202" s="13" t="n"/>
      <c r="G202" s="16" t="n"/>
      <c r="H202" s="124">
        <f>IF(G202="","",COUNTIFS($C$18:$C$2015,G$13,$D$18:$D$2015,"&gt;="&amp;G202,$D$18:$D$2015,"&lt;"&amp;G203))</f>
        <v/>
      </c>
      <c r="I202" s="14" t="n"/>
      <c r="J202" s="16" t="n"/>
      <c r="K202" s="124">
        <f>IF(J202="","",COUNTIFS($C$18:$C$2015,J$13,$D$18:$D$2015,"&gt;="&amp;J202,$D$18:$D$2015,"&lt;"&amp;J203))</f>
        <v/>
      </c>
      <c r="L202" s="14" t="n"/>
      <c r="M202" s="16" t="n"/>
      <c r="N202" s="124">
        <f>IF(M202="","",COUNTIFS($C$18:$C$2015,M$13,$D$18:$D$2015,"&gt;="&amp;M202,$D$18:$D$2015,"&lt;"&amp;M203))</f>
        <v/>
      </c>
      <c r="O202" s="14" t="n"/>
      <c r="P202" s="16" t="n"/>
      <c r="Q202" s="124">
        <f>IF(P202="","",COUNTIFS($C$18:$C$2015,P$13,$D$18:$D$2015,"&gt;="&amp;P202,$D$18:$D$2015,"&lt;"&amp;P203))</f>
        <v/>
      </c>
      <c r="R202" s="14" t="n"/>
      <c r="S202" s="16" t="n"/>
      <c r="T202" s="124">
        <f>IF(S202="","",COUNTIFS($C$18:$C$2015,S$13,$D$18:$D$2015,"&gt;="&amp;S202,$D$18:$D$2015,"&lt;"&amp;S203))</f>
        <v/>
      </c>
      <c r="U202" s="14" t="n"/>
      <c r="V202" s="16" t="n"/>
      <c r="W202" s="124">
        <f>IF(V202="","",COUNTIFS($C$18:$C$2015,V$13,$D$18:$D$2015,"&gt;="&amp;V202,$D$18:$D$2015,"&lt;"&amp;V203))</f>
        <v/>
      </c>
      <c r="X202" s="14" t="n"/>
      <c r="Y202" s="16" t="n"/>
      <c r="Z202" s="124">
        <f>IF(Y202="","",COUNTIFS($C$18:$C$2015,Y$13,$D$18:$D$2015,"&gt;="&amp;Y202,$D$18:$D$2015,"&lt;"&amp;Y203))</f>
        <v/>
      </c>
      <c r="AA202" s="14" t="n"/>
      <c r="AB202" s="16" t="n"/>
      <c r="AC202" s="124">
        <f>IF(AB202="","",COUNTIFS($C$18:$C$2015,AB$13,$D$18:$D$2015,"&gt;="&amp;AB202,$D$18:$D$2015,"&lt;"&amp;AB203))</f>
        <v/>
      </c>
      <c r="AD202" s="14" t="n"/>
    </row>
    <row r="203">
      <c r="A203" s="58" t="n"/>
      <c r="B203" s="59" t="n"/>
      <c r="C203" s="59" t="n"/>
      <c r="E203" s="16" t="n"/>
      <c r="F203" s="13" t="n"/>
      <c r="G203" s="16" t="n"/>
      <c r="H203" s="124">
        <f>IF(G203="","",COUNTIFS($C$18:$C$2015,G$13,$D$18:$D$2015,"&gt;="&amp;G203,$D$18:$D$2015,"&lt;"&amp;G204))</f>
        <v/>
      </c>
      <c r="I203" s="14" t="n"/>
      <c r="J203" s="16" t="n"/>
      <c r="K203" s="124">
        <f>IF(J203="","",COUNTIFS($C$18:$C$2015,J$13,$D$18:$D$2015,"&gt;="&amp;J203,$D$18:$D$2015,"&lt;"&amp;J204))</f>
        <v/>
      </c>
      <c r="L203" s="14" t="n"/>
      <c r="M203" s="16" t="n"/>
      <c r="N203" s="124">
        <f>IF(M203="","",COUNTIFS($C$18:$C$2015,M$13,$D$18:$D$2015,"&gt;="&amp;M203,$D$18:$D$2015,"&lt;"&amp;M204))</f>
        <v/>
      </c>
      <c r="O203" s="14" t="n"/>
      <c r="P203" s="16" t="n"/>
      <c r="Q203" s="124">
        <f>IF(P203="","",COUNTIFS($C$18:$C$2015,P$13,$D$18:$D$2015,"&gt;="&amp;P203,$D$18:$D$2015,"&lt;"&amp;P204))</f>
        <v/>
      </c>
      <c r="R203" s="14" t="n"/>
      <c r="S203" s="16" t="n"/>
      <c r="T203" s="124">
        <f>IF(S203="","",COUNTIFS($C$18:$C$2015,S$13,$D$18:$D$2015,"&gt;="&amp;S203,$D$18:$D$2015,"&lt;"&amp;S204))</f>
        <v/>
      </c>
      <c r="U203" s="14" t="n"/>
      <c r="V203" s="16" t="n"/>
      <c r="W203" s="124">
        <f>IF(V203="","",COUNTIFS($C$18:$C$2015,V$13,$D$18:$D$2015,"&gt;="&amp;V203,$D$18:$D$2015,"&lt;"&amp;V204))</f>
        <v/>
      </c>
      <c r="X203" s="14" t="n"/>
      <c r="Y203" s="16" t="n"/>
      <c r="Z203" s="124">
        <f>IF(Y203="","",COUNTIFS($C$18:$C$2015,Y$13,$D$18:$D$2015,"&gt;="&amp;Y203,$D$18:$D$2015,"&lt;"&amp;Y204))</f>
        <v/>
      </c>
      <c r="AA203" s="14" t="n"/>
      <c r="AB203" s="16" t="n"/>
      <c r="AC203" s="124">
        <f>IF(AB203="","",COUNTIFS($C$18:$C$2015,AB$13,$D$18:$D$2015,"&gt;="&amp;AB203,$D$18:$D$2015,"&lt;"&amp;AB204))</f>
        <v/>
      </c>
      <c r="AD203" s="14" t="n"/>
    </row>
    <row r="204">
      <c r="A204" s="56" t="n"/>
      <c r="B204" s="57" t="n"/>
      <c r="C204" s="59" t="n"/>
      <c r="E204" s="16" t="n"/>
      <c r="F204" s="13" t="n"/>
      <c r="G204" s="16" t="n"/>
      <c r="H204" s="124">
        <f>IF(G204="","",COUNTIFS($C$18:$C$2015,G$13,$D$18:$D$2015,"&gt;="&amp;G204,$D$18:$D$2015,"&lt;"&amp;G205))</f>
        <v/>
      </c>
      <c r="I204" s="14" t="n"/>
      <c r="J204" s="16" t="n"/>
      <c r="K204" s="124">
        <f>IF(J204="","",COUNTIFS($C$18:$C$2015,J$13,$D$18:$D$2015,"&gt;="&amp;J204,$D$18:$D$2015,"&lt;"&amp;J205))</f>
        <v/>
      </c>
      <c r="L204" s="14" t="n"/>
      <c r="M204" s="16" t="n"/>
      <c r="N204" s="124">
        <f>IF(M204="","",COUNTIFS($C$18:$C$2015,M$13,$D$18:$D$2015,"&gt;="&amp;M204,$D$18:$D$2015,"&lt;"&amp;M205))</f>
        <v/>
      </c>
      <c r="O204" s="14" t="n"/>
      <c r="P204" s="16" t="n"/>
      <c r="Q204" s="124">
        <f>IF(P204="","",COUNTIFS($C$18:$C$2015,P$13,$D$18:$D$2015,"&gt;="&amp;P204,$D$18:$D$2015,"&lt;"&amp;P205))</f>
        <v/>
      </c>
      <c r="R204" s="14" t="n"/>
      <c r="S204" s="16" t="n"/>
      <c r="T204" s="124">
        <f>IF(S204="","",COUNTIFS($C$18:$C$2015,S$13,$D$18:$D$2015,"&gt;="&amp;S204,$D$18:$D$2015,"&lt;"&amp;S205))</f>
        <v/>
      </c>
      <c r="U204" s="14" t="n"/>
      <c r="V204" s="16" t="n"/>
      <c r="W204" s="124">
        <f>IF(V204="","",COUNTIFS($C$18:$C$2015,V$13,$D$18:$D$2015,"&gt;="&amp;V204,$D$18:$D$2015,"&lt;"&amp;V205))</f>
        <v/>
      </c>
      <c r="X204" s="14" t="n"/>
      <c r="Y204" s="16" t="n"/>
      <c r="Z204" s="124">
        <f>IF(Y204="","",COUNTIFS($C$18:$C$2015,Y$13,$D$18:$D$2015,"&gt;="&amp;Y204,$D$18:$D$2015,"&lt;"&amp;Y205))</f>
        <v/>
      </c>
      <c r="AA204" s="14" t="n"/>
      <c r="AB204" s="16" t="n"/>
      <c r="AC204" s="124">
        <f>IF(AB204="","",COUNTIFS($C$18:$C$2015,AB$13,$D$18:$D$2015,"&gt;="&amp;AB204,$D$18:$D$2015,"&lt;"&amp;AB205))</f>
        <v/>
      </c>
      <c r="AD204" s="14" t="n"/>
    </row>
    <row r="205">
      <c r="A205" s="58" t="n"/>
      <c r="B205" s="59" t="n"/>
      <c r="C205" s="59" t="n"/>
      <c r="E205" s="16" t="n"/>
      <c r="F205" s="13" t="n"/>
      <c r="G205" s="16" t="n"/>
      <c r="H205" s="124">
        <f>IF(G205="","",COUNTIFS($C$18:$C$2015,G$13,$D$18:$D$2015,"&gt;="&amp;G205,$D$18:$D$2015,"&lt;"&amp;G206))</f>
        <v/>
      </c>
      <c r="I205" s="14" t="n"/>
      <c r="J205" s="16" t="n"/>
      <c r="K205" s="124">
        <f>IF(J205="","",COUNTIFS($C$18:$C$2015,J$13,$D$18:$D$2015,"&gt;="&amp;J205,$D$18:$D$2015,"&lt;"&amp;J206))</f>
        <v/>
      </c>
      <c r="L205" s="14" t="n"/>
      <c r="M205" s="16" t="n"/>
      <c r="N205" s="124">
        <f>IF(M205="","",COUNTIFS($C$18:$C$2015,M$13,$D$18:$D$2015,"&gt;="&amp;M205,$D$18:$D$2015,"&lt;"&amp;M206))</f>
        <v/>
      </c>
      <c r="O205" s="14" t="n"/>
      <c r="P205" s="16" t="n"/>
      <c r="Q205" s="124">
        <f>IF(P205="","",COUNTIFS($C$18:$C$2015,P$13,$D$18:$D$2015,"&gt;="&amp;P205,$D$18:$D$2015,"&lt;"&amp;P206))</f>
        <v/>
      </c>
      <c r="R205" s="14" t="n"/>
      <c r="S205" s="16" t="n"/>
      <c r="T205" s="124">
        <f>IF(S205="","",COUNTIFS($C$18:$C$2015,S$13,$D$18:$D$2015,"&gt;="&amp;S205,$D$18:$D$2015,"&lt;"&amp;S206))</f>
        <v/>
      </c>
      <c r="U205" s="14" t="n"/>
      <c r="V205" s="16" t="n"/>
      <c r="W205" s="124">
        <f>IF(V205="","",COUNTIFS($C$18:$C$2015,V$13,$D$18:$D$2015,"&gt;="&amp;V205,$D$18:$D$2015,"&lt;"&amp;V206))</f>
        <v/>
      </c>
      <c r="X205" s="14" t="n"/>
      <c r="Y205" s="16" t="n"/>
      <c r="Z205" s="124">
        <f>IF(Y205="","",COUNTIFS($C$18:$C$2015,Y$13,$D$18:$D$2015,"&gt;="&amp;Y205,$D$18:$D$2015,"&lt;"&amp;Y206))</f>
        <v/>
      </c>
      <c r="AA205" s="14" t="n"/>
      <c r="AB205" s="16" t="n"/>
      <c r="AC205" s="124">
        <f>IF(AB205="","",COUNTIFS($C$18:$C$2015,AB$13,$D$18:$D$2015,"&gt;="&amp;AB205,$D$18:$D$2015,"&lt;"&amp;AB206))</f>
        <v/>
      </c>
      <c r="AD205" s="14" t="n"/>
    </row>
  </sheetData>
  <autoFilter ref="A14:E14"/>
  <conditionalFormatting sqref="E15:E205">
    <cfRule type="cellIs" priority="1" operator="greaterThan" dxfId="3">
      <formula>0</formula>
    </cfRule>
  </conditionalFormatting>
  <conditionalFormatting sqref="G15:G205">
    <cfRule type="expression" priority="54" dxfId="2">
      <formula>AND(NOT(ISBLANK(G15)),G15&lt;H$7)</formula>
    </cfRule>
    <cfRule type="expression" priority="55" dxfId="1">
      <formula>AND(G15&lt;=(H$7),(G15+H$5)&gt;(H$7))</formula>
    </cfRule>
    <cfRule type="expression" priority="56" dxfId="0">
      <formula>AND(NOT(ISBLANK(G15)),G15&gt;H$7)</formula>
    </cfRule>
    <cfRule type="cellIs" priority="58" operator="greaterThan" dxfId="3">
      <formula>0</formula>
    </cfRule>
  </conditionalFormatting>
  <conditionalFormatting sqref="H2">
    <cfRule type="iconSet" priority="53">
      <iconSet iconSet="3Symbols2">
        <cfvo type="percent" val="0"/>
        <cfvo type="num" val="30" gte="0"/>
        <cfvo type="num" val="50" gte="0"/>
      </iconSet>
    </cfRule>
  </conditionalFormatting>
  <conditionalFormatting sqref="H15:H205">
    <cfRule type="dataBar" priority="57">
      <dataBar>
        <cfvo type="num" val="0"/>
        <cfvo type="max"/>
        <color rgb="FF638EC6"/>
      </dataBar>
    </cfRule>
  </conditionalFormatting>
  <conditionalFormatting sqref="J15:J205">
    <cfRule type="expression" priority="47" dxfId="2">
      <formula>AND(NOT(ISBLANK(J15)),J15&lt;K$7)</formula>
    </cfRule>
    <cfRule type="expression" priority="48" dxfId="1">
      <formula>AND(J15&lt;=(K$7),(J15+K$5)&gt;(K$7))</formula>
    </cfRule>
    <cfRule type="expression" priority="49" dxfId="0">
      <formula>AND(NOT(ISBLANK(J15)),J15&gt;K$7)</formula>
    </cfRule>
    <cfRule type="cellIs" priority="51" operator="greaterThan" dxfId="3">
      <formula>0</formula>
    </cfRule>
  </conditionalFormatting>
  <conditionalFormatting sqref="K2">
    <cfRule type="iconSet" priority="46">
      <iconSet iconSet="3Symbols2">
        <cfvo type="percent" val="0"/>
        <cfvo type="num" val="30" gte="0"/>
        <cfvo type="num" val="50" gte="0"/>
      </iconSet>
    </cfRule>
  </conditionalFormatting>
  <conditionalFormatting sqref="K15:K205">
    <cfRule type="dataBar" priority="50">
      <dataBar>
        <cfvo type="num" val="0"/>
        <cfvo type="max"/>
        <color rgb="FF638EC6"/>
      </dataBar>
    </cfRule>
  </conditionalFormatting>
  <conditionalFormatting sqref="M15:M205">
    <cfRule type="expression" priority="40" dxfId="2">
      <formula>AND(NOT(ISBLANK(M15)),M15&lt;N$7)</formula>
    </cfRule>
    <cfRule type="expression" priority="41" dxfId="1">
      <formula>AND(M15&lt;=(N$7),(M15+N$5)&gt;(N$7))</formula>
    </cfRule>
    <cfRule type="expression" priority="42" dxfId="0">
      <formula>AND(NOT(ISBLANK(M15)),M15&gt;N$7)</formula>
    </cfRule>
    <cfRule type="cellIs" priority="44" operator="greaterThan" dxfId="3">
      <formula>0</formula>
    </cfRule>
  </conditionalFormatting>
  <conditionalFormatting sqref="N2">
    <cfRule type="iconSet" priority="39">
      <iconSet iconSet="3Symbols2">
        <cfvo type="percent" val="0"/>
        <cfvo type="num" val="30" gte="0"/>
        <cfvo type="num" val="50" gte="0"/>
      </iconSet>
    </cfRule>
  </conditionalFormatting>
  <conditionalFormatting sqref="N15:N205">
    <cfRule type="dataBar" priority="43">
      <dataBar>
        <cfvo type="num" val="0"/>
        <cfvo type="max"/>
        <color rgb="FF638EC6"/>
      </dataBar>
    </cfRule>
  </conditionalFormatting>
  <conditionalFormatting sqref="P15:P205">
    <cfRule type="expression" priority="33" dxfId="2">
      <formula>AND(NOT(ISBLANK(P15)),P15&lt;Q$7)</formula>
    </cfRule>
    <cfRule type="expression" priority="34" dxfId="1">
      <formula>AND(P15&lt;=(Q$7),(P15+Q$5)&gt;(Q$7))</formula>
    </cfRule>
    <cfRule type="expression" priority="35" dxfId="0">
      <formula>AND(NOT(ISBLANK(P15)),P15&gt;Q$7)</formula>
    </cfRule>
    <cfRule type="cellIs" priority="37" operator="greaterThan" dxfId="3">
      <formula>0</formula>
    </cfRule>
  </conditionalFormatting>
  <conditionalFormatting sqref="Q2">
    <cfRule type="iconSet" priority="32">
      <iconSet iconSet="3Symbols2">
        <cfvo type="percent" val="0"/>
        <cfvo type="num" val="30" gte="0"/>
        <cfvo type="num" val="50" gte="0"/>
      </iconSet>
    </cfRule>
  </conditionalFormatting>
  <conditionalFormatting sqref="Q15:Q205">
    <cfRule type="dataBar" priority="36">
      <dataBar>
        <cfvo type="num" val="0"/>
        <cfvo type="max"/>
        <color rgb="FF638EC6"/>
      </dataBar>
    </cfRule>
  </conditionalFormatting>
  <conditionalFormatting sqref="S15:S205">
    <cfRule type="expression" priority="26" dxfId="2">
      <formula>AND(NOT(ISBLANK(S15)),S15&lt;T$7)</formula>
    </cfRule>
    <cfRule type="expression" priority="27" dxfId="1">
      <formula>AND(S15&lt;=(T$7),(S15+T$5)&gt;(T$7))</formula>
    </cfRule>
    <cfRule type="expression" priority="28" dxfId="0">
      <formula>AND(NOT(ISBLANK(S15)),S15&gt;T$7)</formula>
    </cfRule>
    <cfRule type="cellIs" priority="30" operator="greaterThan" dxfId="3">
      <formula>0</formula>
    </cfRule>
  </conditionalFormatting>
  <conditionalFormatting sqref="T2">
    <cfRule type="iconSet" priority="25">
      <iconSet iconSet="3Symbols2">
        <cfvo type="percent" val="0"/>
        <cfvo type="num" val="30" gte="0"/>
        <cfvo type="num" val="50" gte="0"/>
      </iconSet>
    </cfRule>
  </conditionalFormatting>
  <conditionalFormatting sqref="T15:T205">
    <cfRule type="dataBar" priority="29">
      <dataBar>
        <cfvo type="num" val="0"/>
        <cfvo type="max"/>
        <color rgb="FF638EC6"/>
      </dataBar>
    </cfRule>
  </conditionalFormatting>
  <conditionalFormatting sqref="V15:V205">
    <cfRule type="expression" priority="19" dxfId="2">
      <formula>AND(NOT(ISBLANK(V15)),V15&lt;W$7)</formula>
    </cfRule>
    <cfRule type="expression" priority="20" dxfId="1">
      <formula>AND(V15&lt;=(W$7),(V15+W$5)&gt;(W$7))</formula>
    </cfRule>
    <cfRule type="expression" priority="21" dxfId="0">
      <formula>AND(NOT(ISBLANK(V15)),V15&gt;W$7)</formula>
    </cfRule>
    <cfRule type="cellIs" priority="23" operator="greaterThan" dxfId="3">
      <formula>0</formula>
    </cfRule>
  </conditionalFormatting>
  <conditionalFormatting sqref="W2">
    <cfRule type="iconSet" priority="18">
      <iconSet iconSet="3Symbols2">
        <cfvo type="percent" val="0"/>
        <cfvo type="num" val="30" gte="0"/>
        <cfvo type="num" val="50" gte="0"/>
      </iconSet>
    </cfRule>
  </conditionalFormatting>
  <conditionalFormatting sqref="W15:W205">
    <cfRule type="dataBar" priority="22">
      <dataBar>
        <cfvo type="num" val="0"/>
        <cfvo type="max"/>
        <color rgb="FF638EC6"/>
      </dataBar>
    </cfRule>
  </conditionalFormatting>
  <conditionalFormatting sqref="Y15:Y205">
    <cfRule type="expression" priority="12" dxfId="2">
      <formula>AND(NOT(ISBLANK(Y15)),Y15&lt;Z$7)</formula>
    </cfRule>
    <cfRule type="expression" priority="13" dxfId="1">
      <formula>AND(Y15&lt;=(Z$7),(Y15+Z$5)&gt;(Z$7))</formula>
    </cfRule>
    <cfRule type="expression" priority="14" dxfId="0">
      <formula>AND(NOT(ISBLANK(Y15)),Y15&gt;Z$7)</formula>
    </cfRule>
    <cfRule type="cellIs" priority="16" operator="greaterThan" dxfId="3">
      <formula>0</formula>
    </cfRule>
  </conditionalFormatting>
  <conditionalFormatting sqref="Z2">
    <cfRule type="iconSet" priority="11">
      <iconSet iconSet="3Symbols2">
        <cfvo type="percent" val="0"/>
        <cfvo type="num" val="30" gte="0"/>
        <cfvo type="num" val="50" gte="0"/>
      </iconSet>
    </cfRule>
  </conditionalFormatting>
  <conditionalFormatting sqref="Z15:Z205">
    <cfRule type="dataBar" priority="15">
      <dataBar>
        <cfvo type="num" val="0"/>
        <cfvo type="max"/>
        <color rgb="FF638EC6"/>
      </dataBar>
    </cfRule>
  </conditionalFormatting>
  <conditionalFormatting sqref="AB15:AB205">
    <cfRule type="expression" priority="5" dxfId="2">
      <formula>AND(NOT(ISBLANK(AB15)),AB15&lt;AC$7)</formula>
    </cfRule>
    <cfRule type="expression" priority="6" dxfId="1">
      <formula>AND(AB15&lt;=(AC$7),(AB15+AC$5)&gt;(AC$7))</formula>
    </cfRule>
    <cfRule type="expression" priority="7" dxfId="0">
      <formula>AND(NOT(ISBLANK(AB15)),AB15&gt;AC$7)</formula>
    </cfRule>
    <cfRule type="cellIs" priority="9" operator="greaterThan" dxfId="3">
      <formula>0</formula>
    </cfRule>
  </conditionalFormatting>
  <conditionalFormatting sqref="AC2">
    <cfRule type="iconSet" priority="4">
      <iconSet iconSet="3Symbols2">
        <cfvo type="percent" val="0"/>
        <cfvo type="num" val="30" gte="0"/>
        <cfvo type="num" val="50" gte="0"/>
      </iconSet>
    </cfRule>
  </conditionalFormatting>
  <conditionalFormatting sqref="AC15:AC205">
    <cfRule type="dataBar" priority="8">
      <dataBar>
        <cfvo type="num" val="0"/>
        <cfvo type="max"/>
        <color rgb="FF638EC6"/>
      </dataBar>
    </cfRule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filterMode="1">
    <tabColor rgb="FF92D050"/>
    <outlinePr summaryBelow="1" summaryRight="1"/>
    <pageSetUpPr/>
  </sheetPr>
  <dimension ref="A1:AE93"/>
  <sheetViews>
    <sheetView showGridLines="0" showZeros="0" zoomScale="70" zoomScaleNormal="70" workbookViewId="0">
      <selection activeCell="A15" sqref="A15:D1048576"/>
    </sheetView>
  </sheetViews>
  <sheetFormatPr baseColWidth="8" defaultRowHeight="14.4"/>
  <cols>
    <col width="8.44140625" customWidth="1" style="113" min="1" max="1"/>
    <col width="11.88671875" customWidth="1" style="113" min="2" max="2"/>
    <col width="7.109375" customWidth="1" style="113" min="3" max="3"/>
    <col width="8.5546875" customWidth="1" style="113" min="4" max="4"/>
    <col width="4.5546875" bestFit="1" customWidth="1" style="113" min="5" max="5"/>
    <col width="2.6640625" customWidth="1" style="113" min="6" max="6"/>
    <col width="11.5546875" customWidth="1" style="113" min="7" max="8"/>
    <col width="2.33203125" customWidth="1" style="113" min="9" max="9"/>
    <col width="11.5546875" customWidth="1" style="113" min="10" max="11"/>
    <col width="2.33203125" customWidth="1" style="113" min="12" max="12"/>
    <col width="11.5546875" customWidth="1" style="113" min="13" max="14"/>
    <col width="2.33203125" customWidth="1" style="113" min="15" max="15"/>
    <col width="11.5546875" customWidth="1" style="113" min="16" max="17"/>
    <col width="2.33203125" customWidth="1" style="113" min="18" max="18"/>
    <col width="11.5546875" customWidth="1" style="113" min="19" max="20"/>
    <col width="2.33203125" customWidth="1" style="113" min="21" max="21"/>
    <col width="11.5546875" customWidth="1" style="113" min="22" max="23"/>
    <col width="2.33203125" customWidth="1" style="113" min="24" max="24"/>
    <col width="11.5546875" customWidth="1" style="113" min="25" max="26"/>
    <col width="2.33203125" customWidth="1" style="113" min="27" max="27"/>
    <col width="11.5546875" customWidth="1" style="113" min="28" max="29"/>
    <col width="2.33203125" customWidth="1" style="113" min="30" max="30"/>
  </cols>
  <sheetData>
    <row r="1">
      <c r="D1" s="114" t="n"/>
      <c r="E1" s="115" t="n"/>
      <c r="F1" s="31" t="n"/>
      <c r="G1" s="36">
        <f>FAO!B1&amp;" max ="</f>
        <v/>
      </c>
      <c r="H1" s="116">
        <f>+FAO!B10</f>
        <v/>
      </c>
      <c r="I1" s="32" t="n"/>
      <c r="J1" s="36">
        <f>FAO!E1&amp;" max ="</f>
        <v/>
      </c>
      <c r="K1" s="116">
        <f>+FAO!E10</f>
        <v/>
      </c>
      <c r="L1" s="32" t="n"/>
      <c r="M1" s="36">
        <f>FAO!H1&amp;" max ="</f>
        <v/>
      </c>
      <c r="N1" s="116">
        <f>+FAO!H10</f>
        <v/>
      </c>
      <c r="O1" s="32" t="n"/>
      <c r="P1" s="36">
        <f>FAO!K1&amp;" max ="</f>
        <v/>
      </c>
      <c r="Q1" s="116">
        <f>+FAO!K10</f>
        <v/>
      </c>
      <c r="R1" s="32" t="n"/>
      <c r="S1" s="36">
        <f>FAO!N1&amp;" max ="</f>
        <v/>
      </c>
      <c r="T1" s="116">
        <f>+FAO!N10</f>
        <v/>
      </c>
      <c r="U1" s="32" t="n"/>
      <c r="V1" s="36">
        <f>FAO!Q1&amp;" max ="</f>
        <v/>
      </c>
      <c r="W1" s="116">
        <f>+FAO!Q10</f>
        <v/>
      </c>
      <c r="X1" s="32" t="n"/>
      <c r="Y1" s="36">
        <f>FAO!T1&amp;" max ="</f>
        <v/>
      </c>
      <c r="Z1" s="116">
        <f>+FAO!T10</f>
        <v/>
      </c>
      <c r="AA1" s="32" t="n"/>
      <c r="AB1" s="36">
        <f>FAO!W1&amp;" max ="</f>
        <v/>
      </c>
      <c r="AC1" s="116">
        <f>+FAO!W10</f>
        <v/>
      </c>
      <c r="AD1" s="32" t="n"/>
      <c r="AE1">
        <f>COUNTA($C$15:$C$10001)</f>
        <v/>
      </c>
    </row>
    <row r="2">
      <c r="D2" s="114" t="n"/>
      <c r="E2" s="115" t="n"/>
      <c r="F2" s="31" t="n"/>
      <c r="G2" s="48" t="inlineStr">
        <is>
          <t>obs n =</t>
        </is>
      </c>
      <c r="H2">
        <f>COUNTIF($C$18:$C$1003,G13)</f>
        <v/>
      </c>
      <c r="I2" s="32" t="n"/>
      <c r="J2" s="48" t="inlineStr">
        <is>
          <t>obs n =</t>
        </is>
      </c>
      <c r="K2">
        <f>COUNTIF($C$18:$C$1003,J13)</f>
        <v/>
      </c>
      <c r="L2" s="32" t="n"/>
      <c r="M2" s="48" t="inlineStr">
        <is>
          <t>obs n =</t>
        </is>
      </c>
      <c r="N2">
        <f>COUNTIF($C$18:$C$1003,M13)</f>
        <v/>
      </c>
      <c r="O2" s="32" t="n"/>
      <c r="P2" s="48" t="inlineStr">
        <is>
          <t>obs n =</t>
        </is>
      </c>
      <c r="Q2">
        <f>COUNTIF($C$18:$C$1003,P13)</f>
        <v/>
      </c>
      <c r="R2" s="32" t="n"/>
      <c r="S2" s="48" t="inlineStr">
        <is>
          <t>obs n =</t>
        </is>
      </c>
      <c r="T2">
        <f>COUNTIF($C$18:$C$1003,S13)</f>
        <v/>
      </c>
      <c r="U2" s="32" t="n"/>
      <c r="V2" s="48" t="inlineStr">
        <is>
          <t>obs n =</t>
        </is>
      </c>
      <c r="W2">
        <f>COUNTIF($C$18:$C$1003,V13)</f>
        <v/>
      </c>
      <c r="X2" s="32" t="n"/>
      <c r="Y2" s="48" t="inlineStr">
        <is>
          <t>obs n =</t>
        </is>
      </c>
      <c r="Z2">
        <f>COUNTIF($C$18:$C$1003,Y13)</f>
        <v/>
      </c>
      <c r="AA2" s="32" t="n"/>
      <c r="AB2" s="48" t="inlineStr">
        <is>
          <t>obs n =</t>
        </is>
      </c>
      <c r="AC2">
        <f>COUNTIF($C$18:$C$1003,AB13)</f>
        <v/>
      </c>
      <c r="AD2" s="32" t="n"/>
    </row>
    <row r="3">
      <c r="D3" s="114" t="n"/>
      <c r="E3" s="115" t="n"/>
      <c r="F3" s="31" t="n"/>
      <c r="G3" s="48" t="inlineStr">
        <is>
          <t xml:space="preserve">freq n= </t>
        </is>
      </c>
      <c r="H3">
        <f>+SUM(H15:H1003)</f>
        <v/>
      </c>
      <c r="I3" s="32" t="n"/>
      <c r="J3" s="48" t="inlineStr">
        <is>
          <t xml:space="preserve">freq n= </t>
        </is>
      </c>
      <c r="K3">
        <f>+SUM(K15:K1003)</f>
        <v/>
      </c>
      <c r="L3" s="32" t="n"/>
      <c r="M3" s="48" t="inlineStr">
        <is>
          <t xml:space="preserve">freq n= </t>
        </is>
      </c>
      <c r="N3">
        <f>+SUM(N15:N1003)</f>
        <v/>
      </c>
      <c r="O3" s="32" t="n"/>
      <c r="P3" s="48" t="inlineStr">
        <is>
          <t xml:space="preserve">freq n= </t>
        </is>
      </c>
      <c r="Q3">
        <f>+SUM(Q15:Q1003)</f>
        <v/>
      </c>
      <c r="R3" s="32" t="n"/>
      <c r="S3" s="48" t="inlineStr">
        <is>
          <t xml:space="preserve">freq n= </t>
        </is>
      </c>
      <c r="T3">
        <f>+SUM(T15:T1003)</f>
        <v/>
      </c>
      <c r="U3" s="32" t="n"/>
      <c r="V3" s="48" t="inlineStr">
        <is>
          <t xml:space="preserve">freq n= </t>
        </is>
      </c>
      <c r="W3">
        <f>+SUM(W15:W1003)</f>
        <v/>
      </c>
      <c r="X3" s="32" t="n"/>
      <c r="Y3" s="48" t="inlineStr">
        <is>
          <t xml:space="preserve">freq n= </t>
        </is>
      </c>
      <c r="Z3">
        <f>+SUM(Z15:Z1003)</f>
        <v/>
      </c>
      <c r="AA3" s="32" t="n"/>
      <c r="AB3" s="48" t="inlineStr">
        <is>
          <t xml:space="preserve">freq n= </t>
        </is>
      </c>
      <c r="AC3">
        <f>+SUM(AC15:AC1003)</f>
        <v/>
      </c>
      <c r="AD3" s="32" t="n"/>
    </row>
    <row r="4">
      <c r="D4" s="114" t="n"/>
      <c r="E4" s="115" t="n"/>
      <c r="F4" s="31" t="n"/>
      <c r="G4" s="48" t="inlineStr">
        <is>
          <t>first bin =</t>
        </is>
      </c>
      <c r="H4" t="n">
        <v>10</v>
      </c>
      <c r="I4" s="32" t="n"/>
      <c r="J4" s="48" t="inlineStr">
        <is>
          <t>first bin =</t>
        </is>
      </c>
      <c r="K4" t="n">
        <v>10</v>
      </c>
      <c r="L4" s="32" t="n"/>
      <c r="M4" s="48" t="inlineStr">
        <is>
          <t>first bin =</t>
        </is>
      </c>
      <c r="N4" t="n">
        <v>10</v>
      </c>
      <c r="O4" s="32" t="n"/>
      <c r="P4" s="48" t="inlineStr">
        <is>
          <t>first bin =</t>
        </is>
      </c>
      <c r="Q4" t="n">
        <v>10</v>
      </c>
      <c r="R4" s="32" t="n"/>
      <c r="S4" s="48" t="inlineStr">
        <is>
          <t>first bin =</t>
        </is>
      </c>
      <c r="T4" t="n">
        <v>10</v>
      </c>
      <c r="U4" s="32" t="n"/>
      <c r="V4" s="48" t="inlineStr">
        <is>
          <t>first bin =</t>
        </is>
      </c>
      <c r="W4" t="n">
        <v>10</v>
      </c>
      <c r="X4" s="32" t="n"/>
      <c r="Y4" s="48" t="inlineStr">
        <is>
          <t>first bin =</t>
        </is>
      </c>
      <c r="Z4" t="n">
        <v>10</v>
      </c>
      <c r="AA4" s="32" t="n"/>
      <c r="AB4" s="48" t="inlineStr">
        <is>
          <t>first bin =</t>
        </is>
      </c>
      <c r="AC4" t="n">
        <v>10</v>
      </c>
      <c r="AD4" s="32" t="n"/>
    </row>
    <row r="5">
      <c r="D5" s="114" t="n"/>
      <c r="E5" s="115" t="n"/>
      <c r="F5" s="31" t="n"/>
      <c r="G5" s="48" t="inlineStr">
        <is>
          <t>increment =</t>
        </is>
      </c>
      <c r="H5">
        <f>+FAO!B14</f>
        <v/>
      </c>
      <c r="I5" s="32" t="n"/>
      <c r="J5" s="48" t="inlineStr">
        <is>
          <t>increment =</t>
        </is>
      </c>
      <c r="K5">
        <f>+FAO!E14</f>
        <v/>
      </c>
      <c r="L5" s="32" t="n"/>
      <c r="M5" s="48" t="inlineStr">
        <is>
          <t>increment =</t>
        </is>
      </c>
      <c r="N5">
        <f>+FAO!H14</f>
        <v/>
      </c>
      <c r="O5" s="32" t="n"/>
      <c r="P5" s="48" t="inlineStr">
        <is>
          <t>increment =</t>
        </is>
      </c>
      <c r="Q5">
        <f>+FAO!K14</f>
        <v/>
      </c>
      <c r="R5" s="32" t="n"/>
      <c r="S5" s="48" t="inlineStr">
        <is>
          <t>increment =</t>
        </is>
      </c>
      <c r="T5">
        <f>+FAO!N14</f>
        <v/>
      </c>
      <c r="U5" s="32" t="n"/>
      <c r="V5" s="48" t="inlineStr">
        <is>
          <t>increment =</t>
        </is>
      </c>
      <c r="W5">
        <f>+FAO!Q14</f>
        <v/>
      </c>
      <c r="X5" s="32" t="n"/>
      <c r="Y5" s="48" t="inlineStr">
        <is>
          <t>increment =</t>
        </is>
      </c>
      <c r="Z5">
        <f>+FAO!T14</f>
        <v/>
      </c>
      <c r="AA5" s="32" t="n"/>
      <c r="AB5" s="48" t="inlineStr">
        <is>
          <t>increment =</t>
        </is>
      </c>
      <c r="AC5">
        <f>+FAO!W14</f>
        <v/>
      </c>
      <c r="AD5" s="32" t="n"/>
    </row>
    <row r="6">
      <c r="D6" s="114" t="n"/>
      <c r="E6" s="115" t="n"/>
      <c r="F6" s="31" t="n"/>
      <c r="G6" s="48" t="inlineStr">
        <is>
          <t>Complete =</t>
        </is>
      </c>
      <c r="H6">
        <f>COUNTIFS($C$18:$C$2015,G$13,$D$18:$D$2015,"&gt;5")/COUNTIF($C$18:$C$2015,G$13)*100</f>
        <v/>
      </c>
      <c r="I6" s="32" t="n"/>
      <c r="J6" s="48" t="inlineStr">
        <is>
          <t>Complete =</t>
        </is>
      </c>
      <c r="K6">
        <f>COUNTIFS($C$18:$C$2015,J$13,$D$18:$D$2015,"&gt;5")/COUNTIF($C$18:$C$2015,J$13)*100</f>
        <v/>
      </c>
      <c r="L6" s="32" t="n"/>
      <c r="M6" s="48" t="inlineStr">
        <is>
          <t>Complete =</t>
        </is>
      </c>
      <c r="N6">
        <f>COUNTIFS($C$18:$C$2015,M$13,$D$18:$D$2015,"&gt;5")/COUNTIF($C$18:$C$2015,M$13)*100</f>
        <v/>
      </c>
      <c r="O6" s="32" t="n"/>
      <c r="P6" s="48" t="inlineStr">
        <is>
          <t>Complete =</t>
        </is>
      </c>
      <c r="Q6">
        <f>COUNTIFS($C$18:$C$2015,P$13,$D$18:$D$2015,"&gt;5")/COUNTIF($C$18:$C$2015,P$13)*100</f>
        <v/>
      </c>
      <c r="R6" s="32" t="n"/>
      <c r="S6" s="48" t="inlineStr">
        <is>
          <t>Complete =</t>
        </is>
      </c>
      <c r="T6">
        <f>COUNTIFS($C$18:$C$2015,S$13,$D$18:$D$2015,"&gt;5")/COUNTIF($C$18:$C$2015,S$13)*100</f>
        <v/>
      </c>
      <c r="U6" s="32" t="n"/>
      <c r="V6" s="48" t="inlineStr">
        <is>
          <t>Complete =</t>
        </is>
      </c>
      <c r="W6">
        <f>COUNTIFS($C$18:$C$2015,V$13,$D$18:$D$2015,"&gt;5")/COUNTIF($C$18:$C$2015,V$13)*100</f>
        <v/>
      </c>
      <c r="X6" s="32" t="n"/>
      <c r="Y6" s="48" t="inlineStr">
        <is>
          <t>Complete =</t>
        </is>
      </c>
      <c r="Z6">
        <f>COUNTIFS($C$18:$C$2015,Y$13,$D$18:$D$2015,"&gt;5")/COUNTIF($C$18:$C$2015,Y$13)*100</f>
        <v/>
      </c>
      <c r="AA6" s="32" t="n"/>
      <c r="AB6" s="48" t="inlineStr">
        <is>
          <t>Complete =</t>
        </is>
      </c>
      <c r="AC6">
        <f>COUNTIFS($C$18:$C$2015,AB$13,$D$18:$D$2015,"&gt;5")/COUNTIF($C$18:$C$2015,AB$13)*100</f>
        <v/>
      </c>
      <c r="AD6" s="32" t="n"/>
    </row>
    <row r="7">
      <c r="D7" s="114" t="n"/>
      <c r="E7" s="115" t="n"/>
      <c r="F7" s="31" t="n"/>
      <c r="G7" s="48" t="inlineStr">
        <is>
          <t>L50 (cm) =</t>
        </is>
      </c>
      <c r="H7">
        <f>+FAO!B11</f>
        <v/>
      </c>
      <c r="I7" s="32" t="n"/>
      <c r="J7" s="48" t="inlineStr">
        <is>
          <t>L50 (cm) =</t>
        </is>
      </c>
      <c r="K7">
        <f>+FAO!E11</f>
        <v/>
      </c>
      <c r="L7" s="32" t="n"/>
      <c r="M7" s="48" t="inlineStr">
        <is>
          <t>L50 (cm) =</t>
        </is>
      </c>
      <c r="N7">
        <f>+FAO!H11</f>
        <v/>
      </c>
      <c r="O7" s="32" t="n"/>
      <c r="P7" s="48" t="inlineStr">
        <is>
          <t>L50 (cm) =</t>
        </is>
      </c>
      <c r="Q7">
        <f>+FAO!K11</f>
        <v/>
      </c>
      <c r="R7" s="32" t="n"/>
      <c r="S7" s="48" t="inlineStr">
        <is>
          <t>L50 (cm) =</t>
        </is>
      </c>
      <c r="T7">
        <f>+FAO!N11</f>
        <v/>
      </c>
      <c r="U7" s="32" t="n"/>
      <c r="V7" s="48" t="inlineStr">
        <is>
          <t>L50 (cm) =</t>
        </is>
      </c>
      <c r="W7">
        <f>+FAO!Q11</f>
        <v/>
      </c>
      <c r="X7" s="32" t="n"/>
      <c r="Y7" s="48" t="inlineStr">
        <is>
          <t>L50 (cm) =</t>
        </is>
      </c>
      <c r="Z7">
        <f>+FAO!T11</f>
        <v/>
      </c>
      <c r="AA7" s="32" t="n"/>
      <c r="AB7" s="48" t="inlineStr">
        <is>
          <t>L50 (cm) =</t>
        </is>
      </c>
      <c r="AC7">
        <f>+FAO!W11</f>
        <v/>
      </c>
      <c r="AD7" s="32" t="n"/>
    </row>
    <row r="8">
      <c r="D8" s="114" t="n"/>
      <c r="E8" s="115" t="n"/>
      <c r="F8" s="31" t="n"/>
      <c r="G8" s="48" t="inlineStr">
        <is>
          <t>Juven. (%) =</t>
        </is>
      </c>
      <c r="H8">
        <f>+ROUND(COUNTIFS($C$18:$C$2015,G$13,$D$18:$D$2015,"&lt;"&amp;H7)/COUNTIF($C$18:$C$2015,G$13)*100,0)</f>
        <v/>
      </c>
      <c r="I8" s="32" t="n"/>
      <c r="J8" s="48" t="inlineStr">
        <is>
          <t>Juven. (%) =</t>
        </is>
      </c>
      <c r="K8">
        <f>+ROUND(COUNTIFS($C$18:$C$2015,J$13,$D$18:$D$2015,"&lt;"&amp;K7)/COUNTIF($C$18:$C$2015,J$13)*100,0)</f>
        <v/>
      </c>
      <c r="L8" s="32" t="n"/>
      <c r="M8" s="48" t="inlineStr">
        <is>
          <t>Juven. (%) =</t>
        </is>
      </c>
      <c r="N8">
        <f>+ROUND(COUNTIFS($C$18:$C$2015,M$13,$D$18:$D$2015,"&lt;"&amp;N7)/COUNTIF($C$18:$C$2015,M$13)*100,0)</f>
        <v/>
      </c>
      <c r="O8" s="32" t="n"/>
      <c r="P8" s="48" t="inlineStr">
        <is>
          <t>Juven. (%) =</t>
        </is>
      </c>
      <c r="Q8">
        <f>+ROUND(COUNTIFS($C$18:$C$2015,P$13,$D$18:$D$2015,"&lt;"&amp;Q7)/COUNTIF($C$18:$C$2015,P$13)*100,0)</f>
        <v/>
      </c>
      <c r="R8" s="32" t="n"/>
      <c r="S8" s="48" t="inlineStr">
        <is>
          <t>Juven. (%) =</t>
        </is>
      </c>
      <c r="T8">
        <f>+ROUND(COUNTIFS($C$18:$C$2015,S$13,$D$18:$D$2015,"&lt;"&amp;T7)/COUNTIF($C$18:$C$2015,S$13)*100,0)</f>
        <v/>
      </c>
      <c r="U8" s="32" t="n"/>
      <c r="V8" s="48" t="inlineStr">
        <is>
          <t>Juven. (%) =</t>
        </is>
      </c>
      <c r="W8">
        <f>+ROUND(COUNTIFS($C$18:$C$2015,V$13,$D$18:$D$2015,"&lt;"&amp;W7)/COUNTIF($C$18:$C$2015,V$13)*100,0)</f>
        <v/>
      </c>
      <c r="X8" s="32" t="n"/>
      <c r="Y8" s="48" t="inlineStr">
        <is>
          <t>Juven. (%) =</t>
        </is>
      </c>
      <c r="Z8">
        <f>+ROUND(COUNTIFS($C$18:$C$2015,Y$13,$D$18:$D$2015,"&lt;"&amp;Z7)/COUNTIF($C$18:$C$2015,Y$13)*100,0)</f>
        <v/>
      </c>
      <c r="AA8" s="32" t="n"/>
      <c r="AB8" s="48" t="inlineStr">
        <is>
          <t>Juven. (%) =</t>
        </is>
      </c>
      <c r="AC8">
        <f>+ROUND(COUNTIFS($C$18:$C$2015,AB$13,$D$18:$D$2015,"&lt;"&amp;AC7)/COUNTIF($C$18:$C$2015,AB$13)*100,0)</f>
        <v/>
      </c>
      <c r="AD8" s="32" t="n"/>
    </row>
    <row r="9" customFormat="1" s="17">
      <c r="D9" s="114" t="n"/>
      <c r="E9" s="18" t="n"/>
      <c r="F9" s="31" t="n"/>
      <c r="G9" s="20">
        <f>+FAO!B6</f>
        <v/>
      </c>
      <c r="H9" s="117" t="n"/>
      <c r="I9" s="32" t="n"/>
      <c r="J9" s="20">
        <f>+FAO!E6</f>
        <v/>
      </c>
      <c r="K9" s="117" t="n"/>
      <c r="L9" s="32" t="n"/>
      <c r="M9" s="20">
        <f>+FAO!H6</f>
        <v/>
      </c>
      <c r="N9" s="117" t="n"/>
      <c r="O9" s="32" t="n"/>
      <c r="P9" s="20">
        <f>+FAO!K6</f>
        <v/>
      </c>
      <c r="Q9" s="117" t="n"/>
      <c r="R9" s="32" t="n"/>
      <c r="S9" s="20">
        <f>+FAO!N6</f>
        <v/>
      </c>
      <c r="T9" s="117" t="n"/>
      <c r="U9" s="32" t="n"/>
      <c r="V9" s="20">
        <f>+FAO!Q6</f>
        <v/>
      </c>
      <c r="W9" s="117" t="n"/>
      <c r="X9" s="32" t="n"/>
      <c r="Y9" s="20">
        <f>+FAO!T6</f>
        <v/>
      </c>
      <c r="Z9" s="117" t="n"/>
      <c r="AA9" s="32" t="n"/>
      <c r="AB9" s="20">
        <f>+FAO!W6</f>
        <v/>
      </c>
      <c r="AC9" s="117" t="n"/>
      <c r="AD9" s="32" t="n"/>
    </row>
    <row r="10" customFormat="1" s="1">
      <c r="D10" s="114" t="n"/>
      <c r="E10" s="33" t="n"/>
      <c r="F10" s="31" t="n"/>
      <c r="G10" s="20">
        <f>+FAO!B7</f>
        <v/>
      </c>
      <c r="H10" s="118" t="n"/>
      <c r="I10" s="32" t="n"/>
      <c r="J10" s="20">
        <f>+FAO!E7</f>
        <v/>
      </c>
      <c r="K10" s="118" t="n"/>
      <c r="L10" s="32" t="n"/>
      <c r="M10" s="20">
        <f>+FAO!H7</f>
        <v/>
      </c>
      <c r="N10" s="118" t="n"/>
      <c r="O10" s="32" t="n"/>
      <c r="P10" s="20">
        <f>+FAO!K7</f>
        <v/>
      </c>
      <c r="Q10" s="118" t="n"/>
      <c r="R10" s="32" t="n"/>
      <c r="S10" s="20">
        <f>+FAO!N7</f>
        <v/>
      </c>
      <c r="T10" s="118" t="n"/>
      <c r="U10" s="32" t="n"/>
      <c r="V10" s="20">
        <f>+FAO!Q7</f>
        <v/>
      </c>
      <c r="W10" s="118" t="n"/>
      <c r="X10" s="32" t="n"/>
      <c r="Y10" s="20">
        <f>+FAO!T7</f>
        <v/>
      </c>
      <c r="Z10" s="118" t="n"/>
      <c r="AA10" s="32" t="n"/>
      <c r="AB10" s="20">
        <f>+FAO!W7</f>
        <v/>
      </c>
      <c r="AC10" s="118" t="n"/>
      <c r="AD10" s="32" t="n"/>
    </row>
    <row r="11" customFormat="1" s="1">
      <c r="D11" s="114" t="n"/>
      <c r="E11" s="19" t="n"/>
      <c r="F11" s="31" t="n"/>
      <c r="G11" s="34">
        <f>+FAO!B9</f>
        <v/>
      </c>
      <c r="H11" s="119" t="n"/>
      <c r="I11" s="32" t="n"/>
      <c r="J11" s="34">
        <f>+FAO!E9</f>
        <v/>
      </c>
      <c r="K11" s="119" t="n"/>
      <c r="L11" s="32" t="n"/>
      <c r="M11" s="34">
        <f>+FAO!H9</f>
        <v/>
      </c>
      <c r="N11" s="119" t="n"/>
      <c r="O11" s="32" t="n"/>
      <c r="P11" s="34">
        <f>+FAO!K9</f>
        <v/>
      </c>
      <c r="Q11" s="119" t="n"/>
      <c r="R11" s="32" t="n"/>
      <c r="S11" s="34">
        <f>+FAO!N9</f>
        <v/>
      </c>
      <c r="T11" s="119" t="n"/>
      <c r="U11" s="32" t="n"/>
      <c r="V11" s="34">
        <f>+FAO!Q9</f>
        <v/>
      </c>
      <c r="W11" s="119" t="n"/>
      <c r="X11" s="32" t="n"/>
      <c r="Y11" s="34">
        <f>+FAO!T9</f>
        <v/>
      </c>
      <c r="Z11" s="119" t="n"/>
      <c r="AA11" s="32" t="n"/>
      <c r="AB11" s="34">
        <f>+FAO!W9</f>
        <v/>
      </c>
      <c r="AC11" s="119" t="n"/>
      <c r="AD11" s="32" t="n"/>
    </row>
    <row r="12">
      <c r="D12" s="114" t="n"/>
      <c r="E12" s="115" t="n"/>
      <c r="F12" s="31" t="n"/>
      <c r="G12" s="34">
        <f>+FAO!B5</f>
        <v/>
      </c>
      <c r="H12" s="120" t="n"/>
      <c r="I12" s="32" t="n"/>
      <c r="J12" s="34">
        <f>+FAO!E5</f>
        <v/>
      </c>
      <c r="K12" s="120" t="n"/>
      <c r="L12" s="32" t="n"/>
      <c r="M12" s="34">
        <f>+FAO!H5</f>
        <v/>
      </c>
      <c r="N12" s="120" t="n"/>
      <c r="O12" s="32" t="n"/>
      <c r="P12" s="34">
        <f>+FAO!K5</f>
        <v/>
      </c>
      <c r="Q12" s="120" t="n"/>
      <c r="R12" s="32" t="n"/>
      <c r="S12" s="34">
        <f>+FAO!N5</f>
        <v/>
      </c>
      <c r="T12" s="120" t="n"/>
      <c r="U12" s="32" t="n"/>
      <c r="V12" s="34">
        <f>+FAO!Q5</f>
        <v/>
      </c>
      <c r="W12" s="120" t="n"/>
      <c r="X12" s="32" t="n"/>
      <c r="Y12" s="34">
        <f>+FAO!T5</f>
        <v/>
      </c>
      <c r="Z12" s="120" t="n"/>
      <c r="AA12" s="32" t="n"/>
      <c r="AB12" s="34">
        <f>+FAO!W5</f>
        <v/>
      </c>
      <c r="AC12" s="120" t="n"/>
      <c r="AD12" s="32" t="n"/>
    </row>
    <row r="13">
      <c r="B13" s="49" t="n"/>
      <c r="D13" t="e">
        <v>#VALUE!</v>
      </c>
      <c r="E13" s="51">
        <f>COUNTA(C15:C1003)</f>
        <v/>
      </c>
      <c r="F13" s="31" t="n"/>
      <c r="G13" s="35">
        <f>+FAO!B1</f>
        <v/>
      </c>
      <c r="H13" s="121">
        <f>+FAO!B3</f>
        <v/>
      </c>
      <c r="I13" s="32" t="n"/>
      <c r="J13" s="35">
        <f>+FAO!E1</f>
        <v/>
      </c>
      <c r="K13" s="121">
        <f>+FAO!E3</f>
        <v/>
      </c>
      <c r="L13" s="32" t="n"/>
      <c r="M13" s="35">
        <f>+FAO!H1</f>
        <v/>
      </c>
      <c r="N13" s="121">
        <f>+FAO!H3</f>
        <v/>
      </c>
      <c r="O13" s="32" t="n"/>
      <c r="P13" s="35">
        <f>+FAO!K1</f>
        <v/>
      </c>
      <c r="Q13" s="121">
        <f>+FAO!K3</f>
        <v/>
      </c>
      <c r="R13" s="32" t="n"/>
      <c r="S13" s="35">
        <f>+FAO!N1</f>
        <v/>
      </c>
      <c r="T13" s="121">
        <f>+FAO!N3</f>
        <v/>
      </c>
      <c r="U13" s="32" t="n"/>
      <c r="V13" s="35">
        <f>+FAO!Q1</f>
        <v/>
      </c>
      <c r="W13" s="121">
        <f>+FAO!Q3</f>
        <v/>
      </c>
      <c r="X13" s="32" t="n"/>
      <c r="Y13" s="35">
        <f>+FAO!T1</f>
        <v/>
      </c>
      <c r="Z13" s="121">
        <f>+FAO!T3</f>
        <v/>
      </c>
      <c r="AA13" s="32" t="n"/>
      <c r="AB13" s="35">
        <f>+FAO!W1</f>
        <v/>
      </c>
      <c r="AC13" s="121">
        <f>+FAO!W3</f>
        <v/>
      </c>
      <c r="AD13" s="32" t="n"/>
    </row>
    <row r="14" customFormat="1" s="54">
      <c r="A14" s="99" t="inlineStr">
        <is>
          <t>TRIP</t>
        </is>
      </c>
      <c r="B14" s="99" t="inlineStr">
        <is>
          <t>DATE</t>
        </is>
      </c>
      <c r="C14" s="99" t="inlineStr">
        <is>
          <t>FAO</t>
        </is>
      </c>
      <c r="D14" s="122" t="inlineStr">
        <is>
          <t>OBS</t>
        </is>
      </c>
      <c r="E14" s="99" t="inlineStr">
        <is>
          <t>ID</t>
        </is>
      </c>
      <c r="F14" s="52" t="n"/>
      <c r="G14" s="50">
        <f>"LC-"&amp;G13</f>
        <v/>
      </c>
      <c r="H14" s="123">
        <f>"FQ-"&amp;G13</f>
        <v/>
      </c>
      <c r="I14" s="53" t="n"/>
      <c r="J14" s="50">
        <f>"LC-"&amp;J13</f>
        <v/>
      </c>
      <c r="K14" s="123">
        <f>"FQ-"&amp;J13</f>
        <v/>
      </c>
      <c r="L14" s="53" t="n"/>
      <c r="M14" s="50">
        <f>"LC-"&amp;M13</f>
        <v/>
      </c>
      <c r="N14" s="123">
        <f>"FQ-"&amp;M13</f>
        <v/>
      </c>
      <c r="O14" s="53" t="n"/>
      <c r="P14" s="50">
        <f>"LC-"&amp;P13</f>
        <v/>
      </c>
      <c r="Q14" s="123">
        <f>"FQ-"&amp;P13</f>
        <v/>
      </c>
      <c r="R14" s="53" t="n"/>
      <c r="S14" s="50">
        <f>"LC-"&amp;S13</f>
        <v/>
      </c>
      <c r="T14" s="123">
        <f>"FQ-"&amp;S13</f>
        <v/>
      </c>
      <c r="U14" s="53" t="n"/>
      <c r="V14" s="50">
        <f>"LC-"&amp;V13</f>
        <v/>
      </c>
      <c r="W14" s="123">
        <f>"FQ-"&amp;V13</f>
        <v/>
      </c>
      <c r="X14" s="53" t="n"/>
      <c r="Y14" s="50">
        <f>"LC-"&amp;Y13</f>
        <v/>
      </c>
      <c r="Z14" s="123">
        <f>"FQ-"&amp;Y13</f>
        <v/>
      </c>
      <c r="AA14" s="53" t="n"/>
      <c r="AB14" s="50">
        <f>"LC-"&amp;AB13</f>
        <v/>
      </c>
      <c r="AC14" s="123">
        <f>"FQ-"&amp;AB13</f>
        <v/>
      </c>
      <c r="AD14" s="53" t="n"/>
    </row>
    <row r="15">
      <c r="A15" s="58" t="n"/>
      <c r="B15" s="59" t="n"/>
      <c r="C15" s="59" t="n"/>
      <c r="E15" s="16">
        <f t="array" ref="E15">+_xlfn.SEQUENCE(E13,1,1)</f>
        <v/>
      </c>
      <c r="F15" s="13" t="n"/>
      <c r="G15" s="16">
        <f t="array" ref="G15:G85">_xlfn.SEQUENCE(((H1-H4)/H5)+1, 1, H4, H5)</f>
        <v/>
      </c>
      <c r="H15" s="124">
        <f>IF(G15="","",COUNTIFS($C$18:$C$2015,G$13,$D$18:$D$2015,"&gt;="&amp;G15,$D$18:$D$2015,"&lt;"&amp;G16))</f>
        <v/>
      </c>
      <c r="I15" s="14" t="n"/>
      <c r="J15" s="16">
        <f t="array" ref="J15:J43">_xlfn.SEQUENCE(((K1-K4)/K5)+1, 1, K4, K5)</f>
        <v/>
      </c>
      <c r="K15" s="124">
        <f>IF(J15="","",COUNTIFS($C$18:$C$2015,J$13,$D$18:$D$2015,"&gt;="&amp;J15,$D$18:$D$2015,"&lt;"&amp;J16))</f>
        <v/>
      </c>
      <c r="L15" s="14" t="n"/>
      <c r="M15" s="16">
        <f t="array" ref="M15:M55">_xlfn.SEQUENCE(((N1-N4)/N5)+1, 1, N4, N5)</f>
        <v/>
      </c>
      <c r="N15" s="124">
        <f>IF(M15="","",COUNTIFS($C$18:$C$2015,M$13,$D$18:$D$2015,"&gt;="&amp;M15,$D$18:$D$2015,"&lt;"&amp;M16))</f>
        <v/>
      </c>
      <c r="O15" s="14" t="n"/>
      <c r="P15" s="16">
        <f t="array" ref="P15:P85">_xlfn.SEQUENCE(((Q1-Q4)/Q5)+1, 1, Q4, Q5)</f>
        <v/>
      </c>
      <c r="Q15" s="124">
        <f>IF(P15="","",COUNTIFS($C$18:$C$2015,P$13,$D$18:$D$2015,"&gt;="&amp;P15,$D$18:$D$2015,"&lt;"&amp;P16))</f>
        <v/>
      </c>
      <c r="R15" s="14" t="n"/>
      <c r="S15" s="16">
        <f t="array" ref="S15:S60">_xlfn.SEQUENCE(((T1-T4)/T5)+1, 1, T4, T5)</f>
        <v/>
      </c>
      <c r="T15" s="124">
        <f>IF(S15="","",COUNTIFS($C$18:$C$2015,S$13,$D$18:$D$2015,"&gt;="&amp;S15,$D$18:$D$2015,"&lt;"&amp;S16))</f>
        <v/>
      </c>
      <c r="U15" s="14" t="n"/>
      <c r="V15" s="16">
        <f t="array" ref="V15:V50">_xlfn.SEQUENCE(((W1-W4)/W5)+1, 1, W4, W5)</f>
        <v/>
      </c>
      <c r="W15" s="124">
        <f>IF(V15="","",COUNTIFS($C$18:$C$2015,V$13,$D$18:$D$2015,"&gt;="&amp;V15,$D$18:$D$2015,"&lt;"&amp;V16))</f>
        <v/>
      </c>
      <c r="X15" s="14" t="n"/>
      <c r="Y15" s="16">
        <f t="array" ref="Y15:Y50">_xlfn.SEQUENCE(((Z1-Z4)/Z5)+1, 1, Z4, Z5)</f>
        <v/>
      </c>
      <c r="Z15" s="124">
        <f>IF(Y15="","",COUNTIFS($C$18:$C$2015,Y$13,$D$18:$D$2015,"&gt;="&amp;Y15,$D$18:$D$2015,"&lt;"&amp;Y16))</f>
        <v/>
      </c>
      <c r="AA15" s="14" t="n"/>
      <c r="AB15" s="16">
        <f t="array" ref="AB15:AB67">_xlfn.SEQUENCE(((AC1-AC4)/AC5)+1, 1, AC4, AC5)</f>
        <v/>
      </c>
      <c r="AC15" s="124">
        <f>IF(AB15="","",COUNTIFS($C$18:$C$2015,AB$13,$D$18:$D$2015,"&gt;="&amp;AB15,$D$18:$D$2015,"&lt;"&amp;AB16))</f>
        <v/>
      </c>
      <c r="AD15" s="14" t="n"/>
    </row>
    <row r="16">
      <c r="A16" s="56" t="n"/>
      <c r="B16" s="57" t="n"/>
      <c r="C16" s="59" t="n"/>
      <c r="E16" s="16" t="n"/>
      <c r="F16" s="13" t="n"/>
      <c r="G16" s="16" t="n">
        <v>11</v>
      </c>
      <c r="H16" s="124">
        <f>IF(G16="","",COUNTIFS($C$18:$C$2015,G$13,$D$18:$D$2015,"&gt;="&amp;G16,$D$18:$D$2015,"&lt;"&amp;G17))</f>
        <v/>
      </c>
      <c r="I16" s="14" t="n"/>
      <c r="J16" s="16" t="n">
        <v>15</v>
      </c>
      <c r="K16" s="124">
        <f>IF(J16="","",COUNTIFS($C$18:$C$2015,J$13,$D$18:$D$2015,"&gt;="&amp;J16,$D$18:$D$2015,"&lt;"&amp;J17))</f>
        <v/>
      </c>
      <c r="L16" s="14" t="n"/>
      <c r="M16" s="16" t="n">
        <v>12</v>
      </c>
      <c r="N16" s="124">
        <f>IF(M16="","",COUNTIFS($C$18:$C$2015,M$13,$D$18:$D$2015,"&gt;="&amp;M16,$D$18:$D$2015,"&lt;"&amp;M17))</f>
        <v/>
      </c>
      <c r="O16" s="14" t="n"/>
      <c r="P16" s="16" t="n">
        <v>11</v>
      </c>
      <c r="Q16" s="124">
        <f>IF(P16="","",COUNTIFS($C$18:$C$2015,P$13,$D$18:$D$2015,"&gt;="&amp;P16,$D$18:$D$2015,"&lt;"&amp;P17))</f>
        <v/>
      </c>
      <c r="R16" s="14" t="n"/>
      <c r="S16" s="16" t="n">
        <v>12</v>
      </c>
      <c r="T16" s="124">
        <f>IF(S16="","",COUNTIFS($C$18:$C$2015,S$13,$D$18:$D$2015,"&gt;="&amp;S16,$D$18:$D$2015,"&lt;"&amp;S17))</f>
        <v/>
      </c>
      <c r="U16" s="14" t="n"/>
      <c r="V16" s="16" t="n">
        <v>12</v>
      </c>
      <c r="W16" s="124">
        <f>IF(V16="","",COUNTIFS($C$18:$C$2015,V$13,$D$18:$D$2015,"&gt;="&amp;V16,$D$18:$D$2015,"&lt;"&amp;V17))</f>
        <v/>
      </c>
      <c r="X16" s="14" t="n"/>
      <c r="Y16" s="16" t="n">
        <v>12</v>
      </c>
      <c r="Z16" s="124">
        <f>IF(Y16="","",COUNTIFS($C$18:$C$2015,Y$13,$D$18:$D$2015,"&gt;="&amp;Y16,$D$18:$D$2015,"&lt;"&amp;Y17))</f>
        <v/>
      </c>
      <c r="AA16" s="14" t="n"/>
      <c r="AB16" s="16" t="n">
        <v>11</v>
      </c>
      <c r="AC16" s="124">
        <f>IF(AB16="","",COUNTIFS($C$18:$C$2015,AB$13,$D$18:$D$2015,"&gt;="&amp;AB16,$D$18:$D$2015,"&lt;"&amp;AB17))</f>
        <v/>
      </c>
      <c r="AD16" s="14" t="n"/>
    </row>
    <row r="17">
      <c r="A17" s="58" t="n"/>
      <c r="B17" s="59" t="n"/>
      <c r="C17" s="59" t="n"/>
      <c r="E17" s="16" t="n"/>
      <c r="F17" s="13" t="n"/>
      <c r="G17" s="16" t="n">
        <v>12</v>
      </c>
      <c r="H17" s="124">
        <f>IF(G17="","",COUNTIFS($C$18:$C$2015,G$13,$D$18:$D$2015,"&gt;="&amp;G17,$D$18:$D$2015,"&lt;"&amp;G18))</f>
        <v/>
      </c>
      <c r="I17" s="14" t="n"/>
      <c r="J17" s="16" t="n">
        <v>20</v>
      </c>
      <c r="K17" s="124">
        <f>IF(J17="","",COUNTIFS($C$18:$C$2015,J$13,$D$18:$D$2015,"&gt;="&amp;J17,$D$18:$D$2015,"&lt;"&amp;J18))</f>
        <v/>
      </c>
      <c r="L17" s="14" t="n"/>
      <c r="M17" s="16" t="n">
        <v>14</v>
      </c>
      <c r="N17" s="124">
        <f>IF(M17="","",COUNTIFS($C$18:$C$2015,M$13,$D$18:$D$2015,"&gt;="&amp;M17,$D$18:$D$2015,"&lt;"&amp;M18))</f>
        <v/>
      </c>
      <c r="O17" s="14" t="n"/>
      <c r="P17" s="16" t="n">
        <v>12</v>
      </c>
      <c r="Q17" s="124">
        <f>IF(P17="","",COUNTIFS($C$18:$C$2015,P$13,$D$18:$D$2015,"&gt;="&amp;P17,$D$18:$D$2015,"&lt;"&amp;P18))</f>
        <v/>
      </c>
      <c r="R17" s="14" t="n"/>
      <c r="S17" s="16" t="n">
        <v>14</v>
      </c>
      <c r="T17" s="124">
        <f>IF(S17="","",COUNTIFS($C$18:$C$2015,S$13,$D$18:$D$2015,"&gt;="&amp;S17,$D$18:$D$2015,"&lt;"&amp;S18))</f>
        <v/>
      </c>
      <c r="U17" s="14" t="n"/>
      <c r="V17" s="16" t="n">
        <v>14</v>
      </c>
      <c r="W17" s="124">
        <f>IF(V17="","",COUNTIFS($C$18:$C$2015,V$13,$D$18:$D$2015,"&gt;="&amp;V17,$D$18:$D$2015,"&lt;"&amp;V18))</f>
        <v/>
      </c>
      <c r="X17" s="14" t="n"/>
      <c r="Y17" s="16" t="n">
        <v>14</v>
      </c>
      <c r="Z17" s="124">
        <f>IF(Y17="","",COUNTIFS($C$18:$C$2015,Y$13,$D$18:$D$2015,"&gt;="&amp;Y17,$D$18:$D$2015,"&lt;"&amp;Y18))</f>
        <v/>
      </c>
      <c r="AA17" s="14" t="n"/>
      <c r="AB17" s="16" t="n">
        <v>12</v>
      </c>
      <c r="AC17" s="124">
        <f>IF(AB17="","",COUNTIFS($C$18:$C$2015,AB$13,$D$18:$D$2015,"&gt;="&amp;AB17,$D$18:$D$2015,"&lt;"&amp;AB18))</f>
        <v/>
      </c>
      <c r="AD17" s="14" t="n"/>
    </row>
    <row r="18">
      <c r="A18" s="56" t="n"/>
      <c r="B18" s="57" t="n"/>
      <c r="C18" s="59" t="n"/>
      <c r="E18" s="16" t="n"/>
      <c r="F18" s="13" t="n"/>
      <c r="G18" s="16" t="n">
        <v>13</v>
      </c>
      <c r="H18" s="124">
        <f>IF(G18="","",COUNTIFS($C$18:$C$2015,G$13,$D$18:$D$2015,"&gt;="&amp;G18,$D$18:$D$2015,"&lt;"&amp;G19))</f>
        <v/>
      </c>
      <c r="I18" s="14" t="n"/>
      <c r="J18" s="16" t="n">
        <v>25</v>
      </c>
      <c r="K18" s="124">
        <f>IF(J18="","",COUNTIFS($C$18:$C$2015,J$13,$D$18:$D$2015,"&gt;="&amp;J18,$D$18:$D$2015,"&lt;"&amp;J19))</f>
        <v/>
      </c>
      <c r="L18" s="14" t="n"/>
      <c r="M18" s="16" t="n">
        <v>16</v>
      </c>
      <c r="N18" s="124">
        <f>IF(M18="","",COUNTIFS($C$18:$C$2015,M$13,$D$18:$D$2015,"&gt;="&amp;M18,$D$18:$D$2015,"&lt;"&amp;M19))</f>
        <v/>
      </c>
      <c r="O18" s="14" t="n"/>
      <c r="P18" s="16" t="n">
        <v>13</v>
      </c>
      <c r="Q18" s="124">
        <f>IF(P18="","",COUNTIFS($C$18:$C$2015,P$13,$D$18:$D$2015,"&gt;="&amp;P18,$D$18:$D$2015,"&lt;"&amp;P19))</f>
        <v/>
      </c>
      <c r="R18" s="14" t="n"/>
      <c r="S18" s="16" t="n">
        <v>16</v>
      </c>
      <c r="T18" s="124">
        <f>IF(S18="","",COUNTIFS($C$18:$C$2015,S$13,$D$18:$D$2015,"&gt;="&amp;S18,$D$18:$D$2015,"&lt;"&amp;S19))</f>
        <v/>
      </c>
      <c r="U18" s="14" t="n"/>
      <c r="V18" s="16" t="n">
        <v>16</v>
      </c>
      <c r="W18" s="124">
        <f>IF(V18="","",COUNTIFS($C$18:$C$2015,V$13,$D$18:$D$2015,"&gt;="&amp;V18,$D$18:$D$2015,"&lt;"&amp;V19))</f>
        <v/>
      </c>
      <c r="X18" s="14" t="n"/>
      <c r="Y18" s="16" t="n">
        <v>16</v>
      </c>
      <c r="Z18" s="124">
        <f>IF(Y18="","",COUNTIFS($C$18:$C$2015,Y$13,$D$18:$D$2015,"&gt;="&amp;Y18,$D$18:$D$2015,"&lt;"&amp;Y19))</f>
        <v/>
      </c>
      <c r="AA18" s="14" t="n"/>
      <c r="AB18" s="16" t="n">
        <v>13</v>
      </c>
      <c r="AC18" s="124">
        <f>IF(AB18="","",COUNTIFS($C$18:$C$2015,AB$13,$D$18:$D$2015,"&gt;="&amp;AB18,$D$18:$D$2015,"&lt;"&amp;AB19))</f>
        <v/>
      </c>
      <c r="AD18" s="14" t="n"/>
    </row>
    <row r="19">
      <c r="A19" s="58" t="n"/>
      <c r="B19" s="59" t="n"/>
      <c r="C19" s="59" t="n"/>
      <c r="E19" s="16" t="n"/>
      <c r="F19" s="13" t="n"/>
      <c r="G19" s="16" t="n">
        <v>14</v>
      </c>
      <c r="H19" s="124">
        <f>IF(G19="","",COUNTIFS($C$18:$C$2015,G$13,$D$18:$D$2015,"&gt;="&amp;G19,$D$18:$D$2015,"&lt;"&amp;G20))</f>
        <v/>
      </c>
      <c r="I19" s="14" t="n"/>
      <c r="J19" s="16" t="n">
        <v>30</v>
      </c>
      <c r="K19" s="124">
        <f>IF(J19="","",COUNTIFS($C$18:$C$2015,J$13,$D$18:$D$2015,"&gt;="&amp;J19,$D$18:$D$2015,"&lt;"&amp;J20))</f>
        <v/>
      </c>
      <c r="L19" s="14" t="n"/>
      <c r="M19" s="16" t="n">
        <v>18</v>
      </c>
      <c r="N19" s="124">
        <f>IF(M19="","",COUNTIFS($C$18:$C$2015,M$13,$D$18:$D$2015,"&gt;="&amp;M19,$D$18:$D$2015,"&lt;"&amp;M20))</f>
        <v/>
      </c>
      <c r="O19" s="14" t="n"/>
      <c r="P19" s="16" t="n">
        <v>14</v>
      </c>
      <c r="Q19" s="124">
        <f>IF(P19="","",COUNTIFS($C$18:$C$2015,P$13,$D$18:$D$2015,"&gt;="&amp;P19,$D$18:$D$2015,"&lt;"&amp;P20))</f>
        <v/>
      </c>
      <c r="R19" s="14" t="n"/>
      <c r="S19" s="16" t="n">
        <v>18</v>
      </c>
      <c r="T19" s="124">
        <f>IF(S19="","",COUNTIFS($C$18:$C$2015,S$13,$D$18:$D$2015,"&gt;="&amp;S19,$D$18:$D$2015,"&lt;"&amp;S20))</f>
        <v/>
      </c>
      <c r="U19" s="14" t="n"/>
      <c r="V19" s="16" t="n">
        <v>18</v>
      </c>
      <c r="W19" s="124">
        <f>IF(V19="","",COUNTIFS($C$18:$C$2015,V$13,$D$18:$D$2015,"&gt;="&amp;V19,$D$18:$D$2015,"&lt;"&amp;V20))</f>
        <v/>
      </c>
      <c r="X19" s="14" t="n"/>
      <c r="Y19" s="16" t="n">
        <v>18</v>
      </c>
      <c r="Z19" s="124">
        <f>IF(Y19="","",COUNTIFS($C$18:$C$2015,Y$13,$D$18:$D$2015,"&gt;="&amp;Y19,$D$18:$D$2015,"&lt;"&amp;Y20))</f>
        <v/>
      </c>
      <c r="AA19" s="14" t="n"/>
      <c r="AB19" s="16" t="n">
        <v>14</v>
      </c>
      <c r="AC19" s="124">
        <f>IF(AB19="","",COUNTIFS($C$18:$C$2015,AB$13,$D$18:$D$2015,"&gt;="&amp;AB19,$D$18:$D$2015,"&lt;"&amp;AB20))</f>
        <v/>
      </c>
      <c r="AD19" s="14" t="n"/>
    </row>
    <row r="20">
      <c r="A20" s="56" t="n"/>
      <c r="B20" s="57" t="n"/>
      <c r="C20" s="59" t="n"/>
      <c r="E20" s="16" t="n"/>
      <c r="F20" s="13" t="n"/>
      <c r="G20" s="16" t="n">
        <v>15</v>
      </c>
      <c r="H20" s="124">
        <f>IF(G20="","",COUNTIFS($C$18:$C$2015,G$13,$D$18:$D$2015,"&gt;="&amp;G20,$D$18:$D$2015,"&lt;"&amp;G21))</f>
        <v/>
      </c>
      <c r="I20" s="14" t="n"/>
      <c r="J20" s="16" t="n">
        <v>35</v>
      </c>
      <c r="K20" s="124">
        <f>IF(J20="","",COUNTIFS($C$18:$C$2015,J$13,$D$18:$D$2015,"&gt;="&amp;J20,$D$18:$D$2015,"&lt;"&amp;J21))</f>
        <v/>
      </c>
      <c r="L20" s="14" t="n"/>
      <c r="M20" s="16" t="n">
        <v>20</v>
      </c>
      <c r="N20" s="124">
        <f>IF(M20="","",COUNTIFS($C$18:$C$2015,M$13,$D$18:$D$2015,"&gt;="&amp;M20,$D$18:$D$2015,"&lt;"&amp;M21))</f>
        <v/>
      </c>
      <c r="O20" s="14" t="n"/>
      <c r="P20" s="16" t="n">
        <v>15</v>
      </c>
      <c r="Q20" s="124">
        <f>IF(P20="","",COUNTIFS($C$18:$C$2015,P$13,$D$18:$D$2015,"&gt;="&amp;P20,$D$18:$D$2015,"&lt;"&amp;P21))</f>
        <v/>
      </c>
      <c r="R20" s="14" t="n"/>
      <c r="S20" s="16" t="n">
        <v>20</v>
      </c>
      <c r="T20" s="124">
        <f>IF(S20="","",COUNTIFS($C$18:$C$2015,S$13,$D$18:$D$2015,"&gt;="&amp;S20,$D$18:$D$2015,"&lt;"&amp;S21))</f>
        <v/>
      </c>
      <c r="U20" s="14" t="n"/>
      <c r="V20" s="16" t="n">
        <v>20</v>
      </c>
      <c r="W20" s="124">
        <f>IF(V20="","",COUNTIFS($C$18:$C$2015,V$13,$D$18:$D$2015,"&gt;="&amp;V20,$D$18:$D$2015,"&lt;"&amp;V21))</f>
        <v/>
      </c>
      <c r="X20" s="14" t="n"/>
      <c r="Y20" s="16" t="n">
        <v>20</v>
      </c>
      <c r="Z20" s="124">
        <f>IF(Y20="","",COUNTIFS($C$18:$C$2015,Y$13,$D$18:$D$2015,"&gt;="&amp;Y20,$D$18:$D$2015,"&lt;"&amp;Y21))</f>
        <v/>
      </c>
      <c r="AA20" s="14" t="n"/>
      <c r="AB20" s="16" t="n">
        <v>15</v>
      </c>
      <c r="AC20" s="124">
        <f>IF(AB20="","",COUNTIFS($C$18:$C$2015,AB$13,$D$18:$D$2015,"&gt;="&amp;AB20,$D$18:$D$2015,"&lt;"&amp;AB21))</f>
        <v/>
      </c>
      <c r="AD20" s="14" t="n"/>
    </row>
    <row r="21">
      <c r="A21" s="58" t="n"/>
      <c r="B21" s="59" t="n"/>
      <c r="C21" s="59" t="n"/>
      <c r="E21" s="16" t="n"/>
      <c r="F21" s="13" t="n"/>
      <c r="G21" s="16" t="n">
        <v>16</v>
      </c>
      <c r="H21" s="124">
        <f>IF(G21="","",COUNTIFS($C$18:$C$2015,G$13,$D$18:$D$2015,"&gt;="&amp;G21,$D$18:$D$2015,"&lt;"&amp;G22))</f>
        <v/>
      </c>
      <c r="I21" s="14" t="n"/>
      <c r="J21" s="16" t="n">
        <v>40</v>
      </c>
      <c r="K21" s="124">
        <f>IF(J21="","",COUNTIFS($C$18:$C$2015,J$13,$D$18:$D$2015,"&gt;="&amp;J21,$D$18:$D$2015,"&lt;"&amp;J22))</f>
        <v/>
      </c>
      <c r="L21" s="14" t="n"/>
      <c r="M21" s="16" t="n">
        <v>22</v>
      </c>
      <c r="N21" s="124">
        <f>IF(M21="","",COUNTIFS($C$18:$C$2015,M$13,$D$18:$D$2015,"&gt;="&amp;M21,$D$18:$D$2015,"&lt;"&amp;M22))</f>
        <v/>
      </c>
      <c r="O21" s="14" t="n"/>
      <c r="P21" s="16" t="n">
        <v>16</v>
      </c>
      <c r="Q21" s="124">
        <f>IF(P21="","",COUNTIFS($C$18:$C$2015,P$13,$D$18:$D$2015,"&gt;="&amp;P21,$D$18:$D$2015,"&lt;"&amp;P22))</f>
        <v/>
      </c>
      <c r="R21" s="14" t="n"/>
      <c r="S21" s="16" t="n">
        <v>22</v>
      </c>
      <c r="T21" s="124">
        <f>IF(S21="","",COUNTIFS($C$18:$C$2015,S$13,$D$18:$D$2015,"&gt;="&amp;S21,$D$18:$D$2015,"&lt;"&amp;S22))</f>
        <v/>
      </c>
      <c r="U21" s="14" t="n"/>
      <c r="V21" s="16" t="n">
        <v>22</v>
      </c>
      <c r="W21" s="124">
        <f>IF(V21="","",COUNTIFS($C$18:$C$2015,V$13,$D$18:$D$2015,"&gt;="&amp;V21,$D$18:$D$2015,"&lt;"&amp;V22))</f>
        <v/>
      </c>
      <c r="X21" s="14" t="n"/>
      <c r="Y21" s="16" t="n">
        <v>22</v>
      </c>
      <c r="Z21" s="124">
        <f>IF(Y21="","",COUNTIFS($C$18:$C$2015,Y$13,$D$18:$D$2015,"&gt;="&amp;Y21,$D$18:$D$2015,"&lt;"&amp;Y22))</f>
        <v/>
      </c>
      <c r="AA21" s="14" t="n"/>
      <c r="AB21" s="16" t="n">
        <v>16</v>
      </c>
      <c r="AC21" s="124">
        <f>IF(AB21="","",COUNTIFS($C$18:$C$2015,AB$13,$D$18:$D$2015,"&gt;="&amp;AB21,$D$18:$D$2015,"&lt;"&amp;AB22))</f>
        <v/>
      </c>
      <c r="AD21" s="14" t="n"/>
    </row>
    <row r="22">
      <c r="A22" s="56" t="n"/>
      <c r="B22" s="57" t="n"/>
      <c r="C22" s="59" t="n"/>
      <c r="E22" s="16" t="n"/>
      <c r="F22" s="13" t="n"/>
      <c r="G22" s="16" t="n">
        <v>17</v>
      </c>
      <c r="H22" s="124">
        <f>IF(G22="","",COUNTIFS($C$18:$C$2015,G$13,$D$18:$D$2015,"&gt;="&amp;G22,$D$18:$D$2015,"&lt;"&amp;G23))</f>
        <v/>
      </c>
      <c r="I22" s="14" t="n"/>
      <c r="J22" s="16" t="n">
        <v>45</v>
      </c>
      <c r="K22" s="124">
        <f>IF(J22="","",COUNTIFS($C$18:$C$2015,J$13,$D$18:$D$2015,"&gt;="&amp;J22,$D$18:$D$2015,"&lt;"&amp;J23))</f>
        <v/>
      </c>
      <c r="L22" s="14" t="n"/>
      <c r="M22" s="16" t="n">
        <v>24</v>
      </c>
      <c r="N22" s="124">
        <f>IF(M22="","",COUNTIFS($C$18:$C$2015,M$13,$D$18:$D$2015,"&gt;="&amp;M22,$D$18:$D$2015,"&lt;"&amp;M23))</f>
        <v/>
      </c>
      <c r="O22" s="14" t="n"/>
      <c r="P22" s="16" t="n">
        <v>17</v>
      </c>
      <c r="Q22" s="124">
        <f>IF(P22="","",COUNTIFS($C$18:$C$2015,P$13,$D$18:$D$2015,"&gt;="&amp;P22,$D$18:$D$2015,"&lt;"&amp;P23))</f>
        <v/>
      </c>
      <c r="R22" s="14" t="n"/>
      <c r="S22" s="16" t="n">
        <v>24</v>
      </c>
      <c r="T22" s="124">
        <f>IF(S22="","",COUNTIFS($C$18:$C$2015,S$13,$D$18:$D$2015,"&gt;="&amp;S22,$D$18:$D$2015,"&lt;"&amp;S23))</f>
        <v/>
      </c>
      <c r="U22" s="14" t="n"/>
      <c r="V22" s="16" t="n">
        <v>24</v>
      </c>
      <c r="W22" s="124">
        <f>IF(V22="","",COUNTIFS($C$18:$C$2015,V$13,$D$18:$D$2015,"&gt;="&amp;V22,$D$18:$D$2015,"&lt;"&amp;V23))</f>
        <v/>
      </c>
      <c r="X22" s="14" t="n"/>
      <c r="Y22" s="16" t="n">
        <v>24</v>
      </c>
      <c r="Z22" s="124">
        <f>IF(Y22="","",COUNTIFS($C$18:$C$2015,Y$13,$D$18:$D$2015,"&gt;="&amp;Y22,$D$18:$D$2015,"&lt;"&amp;Y23))</f>
        <v/>
      </c>
      <c r="AA22" s="14" t="n"/>
      <c r="AB22" s="16" t="n">
        <v>17</v>
      </c>
      <c r="AC22" s="124">
        <f>IF(AB22="","",COUNTIFS($C$18:$C$2015,AB$13,$D$18:$D$2015,"&gt;="&amp;AB22,$D$18:$D$2015,"&lt;"&amp;AB23))</f>
        <v/>
      </c>
      <c r="AD22" s="14" t="n"/>
    </row>
    <row r="23">
      <c r="A23" s="58" t="n"/>
      <c r="B23" s="59" t="n"/>
      <c r="C23" s="59" t="n"/>
      <c r="E23" s="16" t="n"/>
      <c r="F23" s="13" t="n"/>
      <c r="G23" s="16" t="n">
        <v>18</v>
      </c>
      <c r="H23" s="124">
        <f>IF(G23="","",COUNTIFS($C$18:$C$2015,G$13,$D$18:$D$2015,"&gt;="&amp;G23,$D$18:$D$2015,"&lt;"&amp;G24))</f>
        <v/>
      </c>
      <c r="I23" s="14" t="n"/>
      <c r="J23" s="16" t="n">
        <v>50</v>
      </c>
      <c r="K23" s="124">
        <f>IF(J23="","",COUNTIFS($C$18:$C$2015,J$13,$D$18:$D$2015,"&gt;="&amp;J23,$D$18:$D$2015,"&lt;"&amp;J24))</f>
        <v/>
      </c>
      <c r="L23" s="14" t="n"/>
      <c r="M23" s="16" t="n">
        <v>26</v>
      </c>
      <c r="N23" s="124">
        <f>IF(M23="","",COUNTIFS($C$18:$C$2015,M$13,$D$18:$D$2015,"&gt;="&amp;M23,$D$18:$D$2015,"&lt;"&amp;M24))</f>
        <v/>
      </c>
      <c r="O23" s="14" t="n"/>
      <c r="P23" s="16" t="n">
        <v>18</v>
      </c>
      <c r="Q23" s="124">
        <f>IF(P23="","",COUNTIFS($C$18:$C$2015,P$13,$D$18:$D$2015,"&gt;="&amp;P23,$D$18:$D$2015,"&lt;"&amp;P24))</f>
        <v/>
      </c>
      <c r="R23" s="14" t="n"/>
      <c r="S23" s="16" t="n">
        <v>26</v>
      </c>
      <c r="T23" s="124">
        <f>IF(S23="","",COUNTIFS($C$18:$C$2015,S$13,$D$18:$D$2015,"&gt;="&amp;S23,$D$18:$D$2015,"&lt;"&amp;S24))</f>
        <v/>
      </c>
      <c r="U23" s="14" t="n"/>
      <c r="V23" s="16" t="n">
        <v>26</v>
      </c>
      <c r="W23" s="124">
        <f>IF(V23="","",COUNTIFS($C$18:$C$2015,V$13,$D$18:$D$2015,"&gt;="&amp;V23,$D$18:$D$2015,"&lt;"&amp;V24))</f>
        <v/>
      </c>
      <c r="X23" s="14" t="n"/>
      <c r="Y23" s="16" t="n">
        <v>26</v>
      </c>
      <c r="Z23" s="124">
        <f>IF(Y23="","",COUNTIFS($C$18:$C$2015,Y$13,$D$18:$D$2015,"&gt;="&amp;Y23,$D$18:$D$2015,"&lt;"&amp;Y24))</f>
        <v/>
      </c>
      <c r="AA23" s="14" t="n"/>
      <c r="AB23" s="16" t="n">
        <v>18</v>
      </c>
      <c r="AC23" s="124">
        <f>IF(AB23="","",COUNTIFS($C$18:$C$2015,AB$13,$D$18:$D$2015,"&gt;="&amp;AB23,$D$18:$D$2015,"&lt;"&amp;AB24))</f>
        <v/>
      </c>
      <c r="AD23" s="14" t="n"/>
    </row>
    <row r="24">
      <c r="A24" s="56" t="n"/>
      <c r="B24" s="57" t="n"/>
      <c r="C24" s="59" t="n"/>
      <c r="E24" s="16" t="n"/>
      <c r="F24" s="13" t="n"/>
      <c r="G24" s="16" t="n">
        <v>19</v>
      </c>
      <c r="H24" s="124">
        <f>IF(G24="","",COUNTIFS($C$18:$C$2015,G$13,$D$18:$D$2015,"&gt;="&amp;G24,$D$18:$D$2015,"&lt;"&amp;G25))</f>
        <v/>
      </c>
      <c r="I24" s="14" t="n"/>
      <c r="J24" s="16" t="n">
        <v>55</v>
      </c>
      <c r="K24" s="124">
        <f>IF(J24="","",COUNTIFS($C$18:$C$2015,J$13,$D$18:$D$2015,"&gt;="&amp;J24,$D$18:$D$2015,"&lt;"&amp;J25))</f>
        <v/>
      </c>
      <c r="L24" s="14" t="n"/>
      <c r="M24" s="16" t="n">
        <v>28</v>
      </c>
      <c r="N24" s="124">
        <f>IF(M24="","",COUNTIFS($C$18:$C$2015,M$13,$D$18:$D$2015,"&gt;="&amp;M24,$D$18:$D$2015,"&lt;"&amp;M25))</f>
        <v/>
      </c>
      <c r="O24" s="14" t="n"/>
      <c r="P24" s="16" t="n">
        <v>19</v>
      </c>
      <c r="Q24" s="124">
        <f>IF(P24="","",COUNTIFS($C$18:$C$2015,P$13,$D$18:$D$2015,"&gt;="&amp;P24,$D$18:$D$2015,"&lt;"&amp;P25))</f>
        <v/>
      </c>
      <c r="R24" s="14" t="n"/>
      <c r="S24" s="16" t="n">
        <v>28</v>
      </c>
      <c r="T24" s="124">
        <f>IF(S24="","",COUNTIFS($C$18:$C$2015,S$13,$D$18:$D$2015,"&gt;="&amp;S24,$D$18:$D$2015,"&lt;"&amp;S25))</f>
        <v/>
      </c>
      <c r="U24" s="14" t="n"/>
      <c r="V24" s="16" t="n">
        <v>28</v>
      </c>
      <c r="W24" s="124">
        <f>IF(V24="","",COUNTIFS($C$18:$C$2015,V$13,$D$18:$D$2015,"&gt;="&amp;V24,$D$18:$D$2015,"&lt;"&amp;V25))</f>
        <v/>
      </c>
      <c r="X24" s="14" t="n"/>
      <c r="Y24" s="16" t="n">
        <v>28</v>
      </c>
      <c r="Z24" s="124">
        <f>IF(Y24="","",COUNTIFS($C$18:$C$2015,Y$13,$D$18:$D$2015,"&gt;="&amp;Y24,$D$18:$D$2015,"&lt;"&amp;Y25))</f>
        <v/>
      </c>
      <c r="AA24" s="14" t="n"/>
      <c r="AB24" s="16" t="n">
        <v>19</v>
      </c>
      <c r="AC24" s="124">
        <f>IF(AB24="","",COUNTIFS($C$18:$C$2015,AB$13,$D$18:$D$2015,"&gt;="&amp;AB24,$D$18:$D$2015,"&lt;"&amp;AB25))</f>
        <v/>
      </c>
      <c r="AD24" s="14" t="n"/>
    </row>
    <row r="25">
      <c r="A25" s="58" t="n"/>
      <c r="B25" s="59" t="n"/>
      <c r="C25" s="59" t="n"/>
      <c r="E25" s="16" t="n"/>
      <c r="F25" s="13" t="n"/>
      <c r="G25" s="16" t="n">
        <v>20</v>
      </c>
      <c r="H25" s="124">
        <f>IF(G25="","",COUNTIFS($C$18:$C$2015,G$13,$D$18:$D$2015,"&gt;="&amp;G25,$D$18:$D$2015,"&lt;"&amp;G26))</f>
        <v/>
      </c>
      <c r="I25" s="14" t="n"/>
      <c r="J25" s="16" t="n">
        <v>60</v>
      </c>
      <c r="K25" s="124">
        <f>IF(J25="","",COUNTIFS($C$18:$C$2015,J$13,$D$18:$D$2015,"&gt;="&amp;J25,$D$18:$D$2015,"&lt;"&amp;J26))</f>
        <v/>
      </c>
      <c r="L25" s="14" t="n"/>
      <c r="M25" s="16" t="n">
        <v>30</v>
      </c>
      <c r="N25" s="124">
        <f>IF(M25="","",COUNTIFS($C$18:$C$2015,M$13,$D$18:$D$2015,"&gt;="&amp;M25,$D$18:$D$2015,"&lt;"&amp;M26))</f>
        <v/>
      </c>
      <c r="O25" s="14" t="n"/>
      <c r="P25" s="16" t="n">
        <v>20</v>
      </c>
      <c r="Q25" s="124">
        <f>IF(P25="","",COUNTIFS($C$18:$C$2015,P$13,$D$18:$D$2015,"&gt;="&amp;P25,$D$18:$D$2015,"&lt;"&amp;P26))</f>
        <v/>
      </c>
      <c r="R25" s="14" t="n"/>
      <c r="S25" s="16" t="n">
        <v>30</v>
      </c>
      <c r="T25" s="124">
        <f>IF(S25="","",COUNTIFS($C$18:$C$2015,S$13,$D$18:$D$2015,"&gt;="&amp;S25,$D$18:$D$2015,"&lt;"&amp;S26))</f>
        <v/>
      </c>
      <c r="U25" s="14" t="n"/>
      <c r="V25" s="16" t="n">
        <v>30</v>
      </c>
      <c r="W25" s="124">
        <f>IF(V25="","",COUNTIFS($C$18:$C$2015,V$13,$D$18:$D$2015,"&gt;="&amp;V25,$D$18:$D$2015,"&lt;"&amp;V26))</f>
        <v/>
      </c>
      <c r="X25" s="14" t="n"/>
      <c r="Y25" s="16" t="n">
        <v>30</v>
      </c>
      <c r="Z25" s="124">
        <f>IF(Y25="","",COUNTIFS($C$18:$C$2015,Y$13,$D$18:$D$2015,"&gt;="&amp;Y25,$D$18:$D$2015,"&lt;"&amp;Y26))</f>
        <v/>
      </c>
      <c r="AA25" s="14" t="n"/>
      <c r="AB25" s="16" t="n">
        <v>20</v>
      </c>
      <c r="AC25" s="124">
        <f>IF(AB25="","",COUNTIFS($C$18:$C$2015,AB$13,$D$18:$D$2015,"&gt;="&amp;AB25,$D$18:$D$2015,"&lt;"&amp;AB26))</f>
        <v/>
      </c>
      <c r="AD25" s="14" t="n"/>
    </row>
    <row r="26">
      <c r="A26" s="56" t="n"/>
      <c r="B26" s="57" t="n"/>
      <c r="C26" s="59" t="n"/>
      <c r="E26" s="16" t="n"/>
      <c r="F26" s="13" t="n"/>
      <c r="G26" s="16" t="n">
        <v>21</v>
      </c>
      <c r="H26" s="124">
        <f>IF(G26="","",COUNTIFS($C$18:$C$2015,G$13,$D$18:$D$2015,"&gt;="&amp;G26,$D$18:$D$2015,"&lt;"&amp;G27))</f>
        <v/>
      </c>
      <c r="I26" s="14" t="n"/>
      <c r="J26" s="16" t="n">
        <v>65</v>
      </c>
      <c r="K26" s="124">
        <f>IF(J26="","",COUNTIFS($C$18:$C$2015,J$13,$D$18:$D$2015,"&gt;="&amp;J26,$D$18:$D$2015,"&lt;"&amp;J27))</f>
        <v/>
      </c>
      <c r="L26" s="14" t="n"/>
      <c r="M26" s="16" t="n">
        <v>32</v>
      </c>
      <c r="N26" s="124">
        <f>IF(M26="","",COUNTIFS($C$18:$C$2015,M$13,$D$18:$D$2015,"&gt;="&amp;M26,$D$18:$D$2015,"&lt;"&amp;M27))</f>
        <v/>
      </c>
      <c r="O26" s="14" t="n"/>
      <c r="P26" s="16" t="n">
        <v>21</v>
      </c>
      <c r="Q26" s="124">
        <f>IF(P26="","",COUNTIFS($C$18:$C$2015,P$13,$D$18:$D$2015,"&gt;="&amp;P26,$D$18:$D$2015,"&lt;"&amp;P27))</f>
        <v/>
      </c>
      <c r="R26" s="14" t="n"/>
      <c r="S26" s="16" t="n">
        <v>32</v>
      </c>
      <c r="T26" s="124">
        <f>IF(S26="","",COUNTIFS($C$18:$C$2015,S$13,$D$18:$D$2015,"&gt;="&amp;S26,$D$18:$D$2015,"&lt;"&amp;S27))</f>
        <v/>
      </c>
      <c r="U26" s="14" t="n"/>
      <c r="V26" s="16" t="n">
        <v>32</v>
      </c>
      <c r="W26" s="124">
        <f>IF(V26="","",COUNTIFS($C$18:$C$2015,V$13,$D$18:$D$2015,"&gt;="&amp;V26,$D$18:$D$2015,"&lt;"&amp;V27))</f>
        <v/>
      </c>
      <c r="X26" s="14" t="n"/>
      <c r="Y26" s="16" t="n">
        <v>32</v>
      </c>
      <c r="Z26" s="124">
        <f>IF(Y26="","",COUNTIFS($C$18:$C$2015,Y$13,$D$18:$D$2015,"&gt;="&amp;Y26,$D$18:$D$2015,"&lt;"&amp;Y27))</f>
        <v/>
      </c>
      <c r="AA26" s="14" t="n"/>
      <c r="AB26" s="16" t="n">
        <v>21</v>
      </c>
      <c r="AC26" s="124">
        <f>IF(AB26="","",COUNTIFS($C$18:$C$2015,AB$13,$D$18:$D$2015,"&gt;="&amp;AB26,$D$18:$D$2015,"&lt;"&amp;AB27))</f>
        <v/>
      </c>
      <c r="AD26" s="14" t="n"/>
    </row>
    <row r="27">
      <c r="A27" s="58" t="n"/>
      <c r="B27" s="59" t="n"/>
      <c r="C27" s="59" t="n"/>
      <c r="E27" s="16" t="n"/>
      <c r="F27" s="13" t="n"/>
      <c r="G27" s="16" t="n">
        <v>22</v>
      </c>
      <c r="H27" s="124">
        <f>IF(G27="","",COUNTIFS($C$18:$C$2015,G$13,$D$18:$D$2015,"&gt;="&amp;G27,$D$18:$D$2015,"&lt;"&amp;G28))</f>
        <v/>
      </c>
      <c r="I27" s="14" t="n"/>
      <c r="J27" s="16" t="n">
        <v>70</v>
      </c>
      <c r="K27" s="124">
        <f>IF(J27="","",COUNTIFS($C$18:$C$2015,J$13,$D$18:$D$2015,"&gt;="&amp;J27,$D$18:$D$2015,"&lt;"&amp;J28))</f>
        <v/>
      </c>
      <c r="L27" s="14" t="n"/>
      <c r="M27" s="16" t="n">
        <v>34</v>
      </c>
      <c r="N27" s="124">
        <f>IF(M27="","",COUNTIFS($C$18:$C$2015,M$13,$D$18:$D$2015,"&gt;="&amp;M27,$D$18:$D$2015,"&lt;"&amp;M28))</f>
        <v/>
      </c>
      <c r="O27" s="14" t="n"/>
      <c r="P27" s="16" t="n">
        <v>22</v>
      </c>
      <c r="Q27" s="124">
        <f>IF(P27="","",COUNTIFS($C$18:$C$2015,P$13,$D$18:$D$2015,"&gt;="&amp;P27,$D$18:$D$2015,"&lt;"&amp;P28))</f>
        <v/>
      </c>
      <c r="R27" s="14" t="n"/>
      <c r="S27" s="16" t="n">
        <v>34</v>
      </c>
      <c r="T27" s="124">
        <f>IF(S27="","",COUNTIFS($C$18:$C$2015,S$13,$D$18:$D$2015,"&gt;="&amp;S27,$D$18:$D$2015,"&lt;"&amp;S28))</f>
        <v/>
      </c>
      <c r="U27" s="14" t="n"/>
      <c r="V27" s="16" t="n">
        <v>34</v>
      </c>
      <c r="W27" s="124">
        <f>IF(V27="","",COUNTIFS($C$18:$C$2015,V$13,$D$18:$D$2015,"&gt;="&amp;V27,$D$18:$D$2015,"&lt;"&amp;V28))</f>
        <v/>
      </c>
      <c r="X27" s="14" t="n"/>
      <c r="Y27" s="16" t="n">
        <v>34</v>
      </c>
      <c r="Z27" s="124">
        <f>IF(Y27="","",COUNTIFS($C$18:$C$2015,Y$13,$D$18:$D$2015,"&gt;="&amp;Y27,$D$18:$D$2015,"&lt;"&amp;Y28))</f>
        <v/>
      </c>
      <c r="AA27" s="14" t="n"/>
      <c r="AB27" s="16" t="n">
        <v>22</v>
      </c>
      <c r="AC27" s="124">
        <f>IF(AB27="","",COUNTIFS($C$18:$C$2015,AB$13,$D$18:$D$2015,"&gt;="&amp;AB27,$D$18:$D$2015,"&lt;"&amp;AB28))</f>
        <v/>
      </c>
      <c r="AD27" s="14" t="n"/>
    </row>
    <row r="28">
      <c r="A28" s="56" t="n"/>
      <c r="B28" s="57" t="n"/>
      <c r="C28" s="59" t="n"/>
      <c r="E28" s="16" t="n"/>
      <c r="F28" s="13" t="n"/>
      <c r="G28" s="16" t="n">
        <v>23</v>
      </c>
      <c r="H28" s="124">
        <f>IF(G28="","",COUNTIFS($C$18:$C$2015,G$13,$D$18:$D$2015,"&gt;="&amp;G28,$D$18:$D$2015,"&lt;"&amp;G29))</f>
        <v/>
      </c>
      <c r="I28" s="14" t="n"/>
      <c r="J28" s="16" t="n">
        <v>75</v>
      </c>
      <c r="K28" s="124">
        <f>IF(J28="","",COUNTIFS($C$18:$C$2015,J$13,$D$18:$D$2015,"&gt;="&amp;J28,$D$18:$D$2015,"&lt;"&amp;J29))</f>
        <v/>
      </c>
      <c r="L28" s="14" t="n"/>
      <c r="M28" s="16" t="n">
        <v>36</v>
      </c>
      <c r="N28" s="124">
        <f>IF(M28="","",COUNTIFS($C$18:$C$2015,M$13,$D$18:$D$2015,"&gt;="&amp;M28,$D$18:$D$2015,"&lt;"&amp;M29))</f>
        <v/>
      </c>
      <c r="O28" s="14" t="n"/>
      <c r="P28" s="16" t="n">
        <v>23</v>
      </c>
      <c r="Q28" s="124">
        <f>IF(P28="","",COUNTIFS($C$18:$C$2015,P$13,$D$18:$D$2015,"&gt;="&amp;P28,$D$18:$D$2015,"&lt;"&amp;P29))</f>
        <v/>
      </c>
      <c r="R28" s="14" t="n"/>
      <c r="S28" s="16" t="n">
        <v>36</v>
      </c>
      <c r="T28" s="124">
        <f>IF(S28="","",COUNTIFS($C$18:$C$2015,S$13,$D$18:$D$2015,"&gt;="&amp;S28,$D$18:$D$2015,"&lt;"&amp;S29))</f>
        <v/>
      </c>
      <c r="U28" s="14" t="n"/>
      <c r="V28" s="16" t="n">
        <v>36</v>
      </c>
      <c r="W28" s="124">
        <f>IF(V28="","",COUNTIFS($C$18:$C$2015,V$13,$D$18:$D$2015,"&gt;="&amp;V28,$D$18:$D$2015,"&lt;"&amp;V29))</f>
        <v/>
      </c>
      <c r="X28" s="14" t="n"/>
      <c r="Y28" s="16" t="n">
        <v>36</v>
      </c>
      <c r="Z28" s="124">
        <f>IF(Y28="","",COUNTIFS($C$18:$C$2015,Y$13,$D$18:$D$2015,"&gt;="&amp;Y28,$D$18:$D$2015,"&lt;"&amp;Y29))</f>
        <v/>
      </c>
      <c r="AA28" s="14" t="n"/>
      <c r="AB28" s="16" t="n">
        <v>23</v>
      </c>
      <c r="AC28" s="124">
        <f>IF(AB28="","",COUNTIFS($C$18:$C$2015,AB$13,$D$18:$D$2015,"&gt;="&amp;AB28,$D$18:$D$2015,"&lt;"&amp;AB29))</f>
        <v/>
      </c>
      <c r="AD28" s="14" t="n"/>
    </row>
    <row r="29">
      <c r="A29" s="58" t="n"/>
      <c r="B29" s="59" t="n"/>
      <c r="C29" s="59" t="n"/>
      <c r="E29" s="16" t="n"/>
      <c r="F29" s="13" t="n"/>
      <c r="G29" s="16" t="n">
        <v>24</v>
      </c>
      <c r="H29" s="124">
        <f>IF(G29="","",COUNTIFS($C$18:$C$2015,G$13,$D$18:$D$2015,"&gt;="&amp;G29,$D$18:$D$2015,"&lt;"&amp;G30))</f>
        <v/>
      </c>
      <c r="I29" s="14" t="n"/>
      <c r="J29" s="16" t="n">
        <v>80</v>
      </c>
      <c r="K29" s="124">
        <f>IF(J29="","",COUNTIFS($C$18:$C$2015,J$13,$D$18:$D$2015,"&gt;="&amp;J29,$D$18:$D$2015,"&lt;"&amp;J30))</f>
        <v/>
      </c>
      <c r="L29" s="14" t="n"/>
      <c r="M29" s="16" t="n">
        <v>38</v>
      </c>
      <c r="N29" s="124">
        <f>IF(M29="","",COUNTIFS($C$18:$C$2015,M$13,$D$18:$D$2015,"&gt;="&amp;M29,$D$18:$D$2015,"&lt;"&amp;M30))</f>
        <v/>
      </c>
      <c r="O29" s="14" t="n"/>
      <c r="P29" s="16" t="n">
        <v>24</v>
      </c>
      <c r="Q29" s="124">
        <f>IF(P29="","",COUNTIFS($C$18:$C$2015,P$13,$D$18:$D$2015,"&gt;="&amp;P29,$D$18:$D$2015,"&lt;"&amp;P30))</f>
        <v/>
      </c>
      <c r="R29" s="14" t="n"/>
      <c r="S29" s="16" t="n">
        <v>38</v>
      </c>
      <c r="T29" s="124">
        <f>IF(S29="","",COUNTIFS($C$18:$C$2015,S$13,$D$18:$D$2015,"&gt;="&amp;S29,$D$18:$D$2015,"&lt;"&amp;S30))</f>
        <v/>
      </c>
      <c r="U29" s="14" t="n"/>
      <c r="V29" s="16" t="n">
        <v>38</v>
      </c>
      <c r="W29" s="124">
        <f>IF(V29="","",COUNTIFS($C$18:$C$2015,V$13,$D$18:$D$2015,"&gt;="&amp;V29,$D$18:$D$2015,"&lt;"&amp;V30))</f>
        <v/>
      </c>
      <c r="X29" s="14" t="n"/>
      <c r="Y29" s="16" t="n">
        <v>38</v>
      </c>
      <c r="Z29" s="124">
        <f>IF(Y29="","",COUNTIFS($C$18:$C$2015,Y$13,$D$18:$D$2015,"&gt;="&amp;Y29,$D$18:$D$2015,"&lt;"&amp;Y30))</f>
        <v/>
      </c>
      <c r="AA29" s="14" t="n"/>
      <c r="AB29" s="16" t="n">
        <v>24</v>
      </c>
      <c r="AC29" s="124">
        <f>IF(AB29="","",COUNTIFS($C$18:$C$2015,AB$13,$D$18:$D$2015,"&gt;="&amp;AB29,$D$18:$D$2015,"&lt;"&amp;AB30))</f>
        <v/>
      </c>
      <c r="AD29" s="14" t="n"/>
    </row>
    <row r="30">
      <c r="A30" s="56" t="n"/>
      <c r="B30" s="57" t="n"/>
      <c r="C30" s="59" t="n"/>
      <c r="E30" s="16" t="n"/>
      <c r="F30" s="13" t="n"/>
      <c r="G30" s="16" t="n">
        <v>25</v>
      </c>
      <c r="H30" s="124">
        <f>IF(G30="","",COUNTIFS($C$18:$C$2015,G$13,$D$18:$D$2015,"&gt;="&amp;G30,$D$18:$D$2015,"&lt;"&amp;G31))</f>
        <v/>
      </c>
      <c r="I30" s="14" t="n"/>
      <c r="J30" s="16" t="n">
        <v>85</v>
      </c>
      <c r="K30" s="124">
        <f>IF(J30="","",COUNTIFS($C$18:$C$2015,J$13,$D$18:$D$2015,"&gt;="&amp;J30,$D$18:$D$2015,"&lt;"&amp;J31))</f>
        <v/>
      </c>
      <c r="L30" s="14" t="n"/>
      <c r="M30" s="16" t="n">
        <v>40</v>
      </c>
      <c r="N30" s="124">
        <f>IF(M30="","",COUNTIFS($C$18:$C$2015,M$13,$D$18:$D$2015,"&gt;="&amp;M30,$D$18:$D$2015,"&lt;"&amp;M31))</f>
        <v/>
      </c>
      <c r="O30" s="14" t="n"/>
      <c r="P30" s="16" t="n">
        <v>25</v>
      </c>
      <c r="Q30" s="124">
        <f>IF(P30="","",COUNTIFS($C$18:$C$2015,P$13,$D$18:$D$2015,"&gt;="&amp;P30,$D$18:$D$2015,"&lt;"&amp;P31))</f>
        <v/>
      </c>
      <c r="R30" s="14" t="n"/>
      <c r="S30" s="16" t="n">
        <v>40</v>
      </c>
      <c r="T30" s="124">
        <f>IF(S30="","",COUNTIFS($C$18:$C$2015,S$13,$D$18:$D$2015,"&gt;="&amp;S30,$D$18:$D$2015,"&lt;"&amp;S31))</f>
        <v/>
      </c>
      <c r="U30" s="14" t="n"/>
      <c r="V30" s="16" t="n">
        <v>40</v>
      </c>
      <c r="W30" s="124">
        <f>IF(V30="","",COUNTIFS($C$18:$C$2015,V$13,$D$18:$D$2015,"&gt;="&amp;V30,$D$18:$D$2015,"&lt;"&amp;V31))</f>
        <v/>
      </c>
      <c r="X30" s="14" t="n"/>
      <c r="Y30" s="16" t="n">
        <v>40</v>
      </c>
      <c r="Z30" s="124">
        <f>IF(Y30="","",COUNTIFS($C$18:$C$2015,Y$13,$D$18:$D$2015,"&gt;="&amp;Y30,$D$18:$D$2015,"&lt;"&amp;Y31))</f>
        <v/>
      </c>
      <c r="AA30" s="14" t="n"/>
      <c r="AB30" s="16" t="n">
        <v>25</v>
      </c>
      <c r="AC30" s="124">
        <f>IF(AB30="","",COUNTIFS($C$18:$C$2015,AB$13,$D$18:$D$2015,"&gt;="&amp;AB30,$D$18:$D$2015,"&lt;"&amp;AB31))</f>
        <v/>
      </c>
      <c r="AD30" s="14" t="n"/>
    </row>
    <row r="31">
      <c r="A31" s="58" t="n"/>
      <c r="B31" s="59" t="n"/>
      <c r="C31" s="59" t="n"/>
      <c r="E31" s="16" t="n"/>
      <c r="F31" s="13" t="n"/>
      <c r="G31" s="16" t="n">
        <v>26</v>
      </c>
      <c r="H31" s="124">
        <f>IF(G31="","",COUNTIFS($C$18:$C$2015,G$13,$D$18:$D$2015,"&gt;="&amp;G31,$D$18:$D$2015,"&lt;"&amp;G32))</f>
        <v/>
      </c>
      <c r="I31" s="14" t="n"/>
      <c r="J31" s="16" t="n">
        <v>90</v>
      </c>
      <c r="K31" s="124">
        <f>IF(J31="","",COUNTIFS($C$18:$C$2015,J$13,$D$18:$D$2015,"&gt;="&amp;J31,$D$18:$D$2015,"&lt;"&amp;J32))</f>
        <v/>
      </c>
      <c r="L31" s="14" t="n"/>
      <c r="M31" s="16" t="n">
        <v>42</v>
      </c>
      <c r="N31" s="124">
        <f>IF(M31="","",COUNTIFS($C$18:$C$2015,M$13,$D$18:$D$2015,"&gt;="&amp;M31,$D$18:$D$2015,"&lt;"&amp;M32))</f>
        <v/>
      </c>
      <c r="O31" s="14" t="n"/>
      <c r="P31" s="16" t="n">
        <v>26</v>
      </c>
      <c r="Q31" s="124">
        <f>IF(P31="","",COUNTIFS($C$18:$C$2015,P$13,$D$18:$D$2015,"&gt;="&amp;P31,$D$18:$D$2015,"&lt;"&amp;P32))</f>
        <v/>
      </c>
      <c r="R31" s="14" t="n"/>
      <c r="S31" s="16" t="n">
        <v>42</v>
      </c>
      <c r="T31" s="124">
        <f>IF(S31="","",COUNTIFS($C$18:$C$2015,S$13,$D$18:$D$2015,"&gt;="&amp;S31,$D$18:$D$2015,"&lt;"&amp;S32))</f>
        <v/>
      </c>
      <c r="U31" s="14" t="n"/>
      <c r="V31" s="16" t="n">
        <v>42</v>
      </c>
      <c r="W31" s="124">
        <f>IF(V31="","",COUNTIFS($C$18:$C$2015,V$13,$D$18:$D$2015,"&gt;="&amp;V31,$D$18:$D$2015,"&lt;"&amp;V32))</f>
        <v/>
      </c>
      <c r="X31" s="14" t="n"/>
      <c r="Y31" s="16" t="n">
        <v>42</v>
      </c>
      <c r="Z31" s="124">
        <f>IF(Y31="","",COUNTIFS($C$18:$C$2015,Y$13,$D$18:$D$2015,"&gt;="&amp;Y31,$D$18:$D$2015,"&lt;"&amp;Y32))</f>
        <v/>
      </c>
      <c r="AA31" s="14" t="n"/>
      <c r="AB31" s="16" t="n">
        <v>26</v>
      </c>
      <c r="AC31" s="124">
        <f>IF(AB31="","",COUNTIFS($C$18:$C$2015,AB$13,$D$18:$D$2015,"&gt;="&amp;AB31,$D$18:$D$2015,"&lt;"&amp;AB32))</f>
        <v/>
      </c>
      <c r="AD31" s="14" t="n"/>
    </row>
    <row r="32">
      <c r="A32" s="56" t="n"/>
      <c r="B32" s="57" t="n"/>
      <c r="C32" s="59" t="n"/>
      <c r="E32" s="16" t="n"/>
      <c r="F32" s="13" t="n"/>
      <c r="G32" s="16" t="n">
        <v>27</v>
      </c>
      <c r="H32" s="124">
        <f>IF(G32="","",COUNTIFS($C$18:$C$2015,G$13,$D$18:$D$2015,"&gt;="&amp;G32,$D$18:$D$2015,"&lt;"&amp;G33))</f>
        <v/>
      </c>
      <c r="I32" s="14" t="n"/>
      <c r="J32" s="16" t="n">
        <v>95</v>
      </c>
      <c r="K32" s="124">
        <f>IF(J32="","",COUNTIFS($C$18:$C$2015,J$13,$D$18:$D$2015,"&gt;="&amp;J32,$D$18:$D$2015,"&lt;"&amp;J33))</f>
        <v/>
      </c>
      <c r="L32" s="14" t="n"/>
      <c r="M32" s="16" t="n">
        <v>44</v>
      </c>
      <c r="N32" s="124">
        <f>IF(M32="","",COUNTIFS($C$18:$C$2015,M$13,$D$18:$D$2015,"&gt;="&amp;M32,$D$18:$D$2015,"&lt;"&amp;M33))</f>
        <v/>
      </c>
      <c r="O32" s="14" t="n"/>
      <c r="P32" s="16" t="n">
        <v>27</v>
      </c>
      <c r="Q32" s="124">
        <f>IF(P32="","",COUNTIFS($C$18:$C$2015,P$13,$D$18:$D$2015,"&gt;="&amp;P32,$D$18:$D$2015,"&lt;"&amp;P33))</f>
        <v/>
      </c>
      <c r="R32" s="14" t="n"/>
      <c r="S32" s="16" t="n">
        <v>44</v>
      </c>
      <c r="T32" s="124">
        <f>IF(S32="","",COUNTIFS($C$18:$C$2015,S$13,$D$18:$D$2015,"&gt;="&amp;S32,$D$18:$D$2015,"&lt;"&amp;S33))</f>
        <v/>
      </c>
      <c r="U32" s="14" t="n"/>
      <c r="V32" s="16" t="n">
        <v>44</v>
      </c>
      <c r="W32" s="124">
        <f>IF(V32="","",COUNTIFS($C$18:$C$2015,V$13,$D$18:$D$2015,"&gt;="&amp;V32,$D$18:$D$2015,"&lt;"&amp;V33))</f>
        <v/>
      </c>
      <c r="X32" s="14" t="n"/>
      <c r="Y32" s="16" t="n">
        <v>44</v>
      </c>
      <c r="Z32" s="124">
        <f>IF(Y32="","",COUNTIFS($C$18:$C$2015,Y$13,$D$18:$D$2015,"&gt;="&amp;Y32,$D$18:$D$2015,"&lt;"&amp;Y33))</f>
        <v/>
      </c>
      <c r="AA32" s="14" t="n"/>
      <c r="AB32" s="16" t="n">
        <v>27</v>
      </c>
      <c r="AC32" s="124">
        <f>IF(AB32="","",COUNTIFS($C$18:$C$2015,AB$13,$D$18:$D$2015,"&gt;="&amp;AB32,$D$18:$D$2015,"&lt;"&amp;AB33))</f>
        <v/>
      </c>
      <c r="AD32" s="14" t="n"/>
    </row>
    <row r="33">
      <c r="A33" s="58" t="n"/>
      <c r="B33" s="59" t="n"/>
      <c r="C33" s="59" t="n"/>
      <c r="E33" s="16" t="n"/>
      <c r="F33" s="13" t="n"/>
      <c r="G33" s="16" t="n">
        <v>28</v>
      </c>
      <c r="H33" s="124">
        <f>IF(G33="","",COUNTIFS($C$18:$C$2015,G$13,$D$18:$D$2015,"&gt;="&amp;G33,$D$18:$D$2015,"&lt;"&amp;G34))</f>
        <v/>
      </c>
      <c r="I33" s="14" t="n"/>
      <c r="J33" s="16" t="n">
        <v>100</v>
      </c>
      <c r="K33" s="124">
        <f>IF(J33="","",COUNTIFS($C$18:$C$2015,J$13,$D$18:$D$2015,"&gt;="&amp;J33,$D$18:$D$2015,"&lt;"&amp;J34))</f>
        <v/>
      </c>
      <c r="L33" s="14" t="n"/>
      <c r="M33" s="16" t="n">
        <v>46</v>
      </c>
      <c r="N33" s="124">
        <f>IF(M33="","",COUNTIFS($C$18:$C$2015,M$13,$D$18:$D$2015,"&gt;="&amp;M33,$D$18:$D$2015,"&lt;"&amp;M34))</f>
        <v/>
      </c>
      <c r="O33" s="14" t="n"/>
      <c r="P33" s="16" t="n">
        <v>28</v>
      </c>
      <c r="Q33" s="124">
        <f>IF(P33="","",COUNTIFS($C$18:$C$2015,P$13,$D$18:$D$2015,"&gt;="&amp;P33,$D$18:$D$2015,"&lt;"&amp;P34))</f>
        <v/>
      </c>
      <c r="R33" s="14" t="n"/>
      <c r="S33" s="16" t="n">
        <v>46</v>
      </c>
      <c r="T33" s="124">
        <f>IF(S33="","",COUNTIFS($C$18:$C$2015,S$13,$D$18:$D$2015,"&gt;="&amp;S33,$D$18:$D$2015,"&lt;"&amp;S34))</f>
        <v/>
      </c>
      <c r="U33" s="14" t="n"/>
      <c r="V33" s="16" t="n">
        <v>46</v>
      </c>
      <c r="W33" s="124">
        <f>IF(V33="","",COUNTIFS($C$18:$C$2015,V$13,$D$18:$D$2015,"&gt;="&amp;V33,$D$18:$D$2015,"&lt;"&amp;V34))</f>
        <v/>
      </c>
      <c r="X33" s="14" t="n"/>
      <c r="Y33" s="16" t="n">
        <v>46</v>
      </c>
      <c r="Z33" s="124">
        <f>IF(Y33="","",COUNTIFS($C$18:$C$2015,Y$13,$D$18:$D$2015,"&gt;="&amp;Y33,$D$18:$D$2015,"&lt;"&amp;Y34))</f>
        <v/>
      </c>
      <c r="AA33" s="14" t="n"/>
      <c r="AB33" s="16" t="n">
        <v>28</v>
      </c>
      <c r="AC33" s="124">
        <f>IF(AB33="","",COUNTIFS($C$18:$C$2015,AB$13,$D$18:$D$2015,"&gt;="&amp;AB33,$D$18:$D$2015,"&lt;"&amp;AB34))</f>
        <v/>
      </c>
      <c r="AD33" s="14" t="n"/>
    </row>
    <row r="34">
      <c r="A34" s="56" t="n"/>
      <c r="B34" s="57" t="n"/>
      <c r="C34" s="59" t="n"/>
      <c r="E34" s="16" t="n"/>
      <c r="F34" s="13" t="n"/>
      <c r="G34" s="16" t="n">
        <v>29</v>
      </c>
      <c r="H34" s="124">
        <f>IF(G34="","",COUNTIFS($C$18:$C$2015,G$13,$D$18:$D$2015,"&gt;="&amp;G34,$D$18:$D$2015,"&lt;"&amp;G35))</f>
        <v/>
      </c>
      <c r="I34" s="14" t="n"/>
      <c r="J34" s="16" t="n">
        <v>105</v>
      </c>
      <c r="K34" s="124">
        <f>IF(J34="","",COUNTIFS($C$18:$C$2015,J$13,$D$18:$D$2015,"&gt;="&amp;J34,$D$18:$D$2015,"&lt;"&amp;J35))</f>
        <v/>
      </c>
      <c r="L34" s="14" t="n"/>
      <c r="M34" s="16" t="n">
        <v>48</v>
      </c>
      <c r="N34" s="124">
        <f>IF(M34="","",COUNTIFS($C$18:$C$2015,M$13,$D$18:$D$2015,"&gt;="&amp;M34,$D$18:$D$2015,"&lt;"&amp;M35))</f>
        <v/>
      </c>
      <c r="O34" s="14" t="n"/>
      <c r="P34" s="16" t="n">
        <v>29</v>
      </c>
      <c r="Q34" s="124">
        <f>IF(P34="","",COUNTIFS($C$18:$C$2015,P$13,$D$18:$D$2015,"&gt;="&amp;P34,$D$18:$D$2015,"&lt;"&amp;P35))</f>
        <v/>
      </c>
      <c r="R34" s="14" t="n"/>
      <c r="S34" s="16" t="n">
        <v>48</v>
      </c>
      <c r="T34" s="124">
        <f>IF(S34="","",COUNTIFS($C$18:$C$2015,S$13,$D$18:$D$2015,"&gt;="&amp;S34,$D$18:$D$2015,"&lt;"&amp;S35))</f>
        <v/>
      </c>
      <c r="U34" s="14" t="n"/>
      <c r="V34" s="16" t="n">
        <v>48</v>
      </c>
      <c r="W34" s="124">
        <f>IF(V34="","",COUNTIFS($C$18:$C$2015,V$13,$D$18:$D$2015,"&gt;="&amp;V34,$D$18:$D$2015,"&lt;"&amp;V35))</f>
        <v/>
      </c>
      <c r="X34" s="14" t="n"/>
      <c r="Y34" s="16" t="n">
        <v>48</v>
      </c>
      <c r="Z34" s="124">
        <f>IF(Y34="","",COUNTIFS($C$18:$C$2015,Y$13,$D$18:$D$2015,"&gt;="&amp;Y34,$D$18:$D$2015,"&lt;"&amp;Y35))</f>
        <v/>
      </c>
      <c r="AA34" s="14" t="n"/>
      <c r="AB34" s="16" t="n">
        <v>29</v>
      </c>
      <c r="AC34" s="124">
        <f>IF(AB34="","",COUNTIFS($C$18:$C$2015,AB$13,$D$18:$D$2015,"&gt;="&amp;AB34,$D$18:$D$2015,"&lt;"&amp;AB35))</f>
        <v/>
      </c>
      <c r="AD34" s="14" t="n"/>
    </row>
    <row r="35">
      <c r="A35" s="58" t="n"/>
      <c r="B35" s="59" t="n"/>
      <c r="C35" s="59" t="n"/>
      <c r="E35" s="16" t="n"/>
      <c r="F35" s="13" t="n"/>
      <c r="G35" s="16" t="n">
        <v>30</v>
      </c>
      <c r="H35" s="124">
        <f>IF(G35="","",COUNTIFS($C$18:$C$2015,G$13,$D$18:$D$2015,"&gt;="&amp;G35,$D$18:$D$2015,"&lt;"&amp;G36))</f>
        <v/>
      </c>
      <c r="I35" s="14" t="n"/>
      <c r="J35" s="16" t="n">
        <v>110</v>
      </c>
      <c r="K35" s="124">
        <f>IF(J35="","",COUNTIFS($C$18:$C$2015,J$13,$D$18:$D$2015,"&gt;="&amp;J35,$D$18:$D$2015,"&lt;"&amp;J36))</f>
        <v/>
      </c>
      <c r="L35" s="14" t="n"/>
      <c r="M35" s="16" t="n">
        <v>50</v>
      </c>
      <c r="N35" s="124">
        <f>IF(M35="","",COUNTIFS($C$18:$C$2015,M$13,$D$18:$D$2015,"&gt;="&amp;M35,$D$18:$D$2015,"&lt;"&amp;M36))</f>
        <v/>
      </c>
      <c r="O35" s="14" t="n"/>
      <c r="P35" s="16" t="n">
        <v>30</v>
      </c>
      <c r="Q35" s="124">
        <f>IF(P35="","",COUNTIFS($C$18:$C$2015,P$13,$D$18:$D$2015,"&gt;="&amp;P35,$D$18:$D$2015,"&lt;"&amp;P36))</f>
        <v/>
      </c>
      <c r="R35" s="14" t="n"/>
      <c r="S35" s="16" t="n">
        <v>50</v>
      </c>
      <c r="T35" s="124">
        <f>IF(S35="","",COUNTIFS($C$18:$C$2015,S$13,$D$18:$D$2015,"&gt;="&amp;S35,$D$18:$D$2015,"&lt;"&amp;S36))</f>
        <v/>
      </c>
      <c r="U35" s="14" t="n"/>
      <c r="V35" s="16" t="n">
        <v>50</v>
      </c>
      <c r="W35" s="124">
        <f>IF(V35="","",COUNTIFS($C$18:$C$2015,V$13,$D$18:$D$2015,"&gt;="&amp;V35,$D$18:$D$2015,"&lt;"&amp;V36))</f>
        <v/>
      </c>
      <c r="X35" s="14" t="n"/>
      <c r="Y35" s="16" t="n">
        <v>50</v>
      </c>
      <c r="Z35" s="124">
        <f>IF(Y35="","",COUNTIFS($C$18:$C$2015,Y$13,$D$18:$D$2015,"&gt;="&amp;Y35,$D$18:$D$2015,"&lt;"&amp;Y36))</f>
        <v/>
      </c>
      <c r="AA35" s="14" t="n"/>
      <c r="AB35" s="16" t="n">
        <v>30</v>
      </c>
      <c r="AC35" s="124">
        <f>IF(AB35="","",COUNTIFS($C$18:$C$2015,AB$13,$D$18:$D$2015,"&gt;="&amp;AB35,$D$18:$D$2015,"&lt;"&amp;AB36))</f>
        <v/>
      </c>
      <c r="AD35" s="14" t="n"/>
    </row>
    <row r="36">
      <c r="A36" s="56" t="n"/>
      <c r="B36" s="57" t="n"/>
      <c r="C36" s="59" t="n"/>
      <c r="E36" s="16" t="n"/>
      <c r="F36" s="13" t="n"/>
      <c r="G36" s="16" t="n">
        <v>31</v>
      </c>
      <c r="H36" s="124">
        <f>IF(G36="","",COUNTIFS($C$18:$C$2015,G$13,$D$18:$D$2015,"&gt;="&amp;G36,$D$18:$D$2015,"&lt;"&amp;G37))</f>
        <v/>
      </c>
      <c r="I36" s="14" t="n"/>
      <c r="J36" s="16" t="n">
        <v>115</v>
      </c>
      <c r="K36" s="124">
        <f>IF(J36="","",COUNTIFS($C$18:$C$2015,J$13,$D$18:$D$2015,"&gt;="&amp;J36,$D$18:$D$2015,"&lt;"&amp;J37))</f>
        <v/>
      </c>
      <c r="L36" s="14" t="n"/>
      <c r="M36" s="16" t="n">
        <v>52</v>
      </c>
      <c r="N36" s="124">
        <f>IF(M36="","",COUNTIFS($C$18:$C$2015,M$13,$D$18:$D$2015,"&gt;="&amp;M36,$D$18:$D$2015,"&lt;"&amp;M37))</f>
        <v/>
      </c>
      <c r="O36" s="14" t="n"/>
      <c r="P36" s="16" t="n">
        <v>31</v>
      </c>
      <c r="Q36" s="124">
        <f>IF(P36="","",COUNTIFS($C$18:$C$2015,P$13,$D$18:$D$2015,"&gt;="&amp;P36,$D$18:$D$2015,"&lt;"&amp;P37))</f>
        <v/>
      </c>
      <c r="R36" s="14" t="n"/>
      <c r="S36" s="16" t="n">
        <v>52</v>
      </c>
      <c r="T36" s="124">
        <f>IF(S36="","",COUNTIFS($C$18:$C$2015,S$13,$D$18:$D$2015,"&gt;="&amp;S36,$D$18:$D$2015,"&lt;"&amp;S37))</f>
        <v/>
      </c>
      <c r="U36" s="14" t="n"/>
      <c r="V36" s="16" t="n">
        <v>52</v>
      </c>
      <c r="W36" s="124">
        <f>IF(V36="","",COUNTIFS($C$18:$C$2015,V$13,$D$18:$D$2015,"&gt;="&amp;V36,$D$18:$D$2015,"&lt;"&amp;V37))</f>
        <v/>
      </c>
      <c r="X36" s="14" t="n"/>
      <c r="Y36" s="16" t="n">
        <v>52</v>
      </c>
      <c r="Z36" s="124">
        <f>IF(Y36="","",COUNTIFS($C$18:$C$2015,Y$13,$D$18:$D$2015,"&gt;="&amp;Y36,$D$18:$D$2015,"&lt;"&amp;Y37))</f>
        <v/>
      </c>
      <c r="AA36" s="14" t="n"/>
      <c r="AB36" s="16" t="n">
        <v>31</v>
      </c>
      <c r="AC36" s="124">
        <f>IF(AB36="","",COUNTIFS($C$18:$C$2015,AB$13,$D$18:$D$2015,"&gt;="&amp;AB36,$D$18:$D$2015,"&lt;"&amp;AB37))</f>
        <v/>
      </c>
      <c r="AD36" s="14" t="n"/>
    </row>
    <row r="37">
      <c r="A37" s="58" t="n"/>
      <c r="B37" s="59" t="n"/>
      <c r="C37" s="59" t="n"/>
      <c r="E37" s="16" t="n"/>
      <c r="F37" s="13" t="n"/>
      <c r="G37" s="16" t="n">
        <v>32</v>
      </c>
      <c r="H37" s="124">
        <f>IF(G37="","",COUNTIFS($C$18:$C$2015,G$13,$D$18:$D$2015,"&gt;="&amp;G37,$D$18:$D$2015,"&lt;"&amp;G38))</f>
        <v/>
      </c>
      <c r="I37" s="14" t="n"/>
      <c r="J37" s="16" t="n">
        <v>120</v>
      </c>
      <c r="K37" s="124">
        <f>IF(J37="","",COUNTIFS($C$18:$C$2015,J$13,$D$18:$D$2015,"&gt;="&amp;J37,$D$18:$D$2015,"&lt;"&amp;J38))</f>
        <v/>
      </c>
      <c r="L37" s="14" t="n"/>
      <c r="M37" s="16" t="n">
        <v>54</v>
      </c>
      <c r="N37" s="124">
        <f>IF(M37="","",COUNTIFS($C$18:$C$2015,M$13,$D$18:$D$2015,"&gt;="&amp;M37,$D$18:$D$2015,"&lt;"&amp;M38))</f>
        <v/>
      </c>
      <c r="O37" s="14" t="n"/>
      <c r="P37" s="16" t="n">
        <v>32</v>
      </c>
      <c r="Q37" s="124">
        <f>IF(P37="","",COUNTIFS($C$18:$C$2015,P$13,$D$18:$D$2015,"&gt;="&amp;P37,$D$18:$D$2015,"&lt;"&amp;P38))</f>
        <v/>
      </c>
      <c r="R37" s="14" t="n"/>
      <c r="S37" s="16" t="n">
        <v>54</v>
      </c>
      <c r="T37" s="124">
        <f>IF(S37="","",COUNTIFS($C$18:$C$2015,S$13,$D$18:$D$2015,"&gt;="&amp;S37,$D$18:$D$2015,"&lt;"&amp;S38))</f>
        <v/>
      </c>
      <c r="U37" s="14" t="n"/>
      <c r="V37" s="16" t="n">
        <v>54</v>
      </c>
      <c r="W37" s="124">
        <f>IF(V37="","",COUNTIFS($C$18:$C$2015,V$13,$D$18:$D$2015,"&gt;="&amp;V37,$D$18:$D$2015,"&lt;"&amp;V38))</f>
        <v/>
      </c>
      <c r="X37" s="14" t="n"/>
      <c r="Y37" s="16" t="n">
        <v>54</v>
      </c>
      <c r="Z37" s="124">
        <f>IF(Y37="","",COUNTIFS($C$18:$C$2015,Y$13,$D$18:$D$2015,"&gt;="&amp;Y37,$D$18:$D$2015,"&lt;"&amp;Y38))</f>
        <v/>
      </c>
      <c r="AA37" s="14" t="n"/>
      <c r="AB37" s="16" t="n">
        <v>32</v>
      </c>
      <c r="AC37" s="124">
        <f>IF(AB37="","",COUNTIFS($C$18:$C$2015,AB$13,$D$18:$D$2015,"&gt;="&amp;AB37,$D$18:$D$2015,"&lt;"&amp;AB38))</f>
        <v/>
      </c>
      <c r="AD37" s="14" t="n"/>
    </row>
    <row r="38">
      <c r="A38" s="56" t="n"/>
      <c r="B38" s="57" t="n"/>
      <c r="C38" s="59" t="n"/>
      <c r="E38" s="16" t="n"/>
      <c r="F38" s="13" t="n"/>
      <c r="G38" s="16" t="n">
        <v>33</v>
      </c>
      <c r="H38" s="124">
        <f>IF(G38="","",COUNTIFS($C$18:$C$2015,G$13,$D$18:$D$2015,"&gt;="&amp;G38,$D$18:$D$2015,"&lt;"&amp;G39))</f>
        <v/>
      </c>
      <c r="I38" s="14" t="n"/>
      <c r="J38" s="16" t="n">
        <v>125</v>
      </c>
      <c r="K38" s="124">
        <f>IF(J38="","",COUNTIFS($C$18:$C$2015,J$13,$D$18:$D$2015,"&gt;="&amp;J38,$D$18:$D$2015,"&lt;"&amp;J39))</f>
        <v/>
      </c>
      <c r="L38" s="14" t="n"/>
      <c r="M38" s="16" t="n">
        <v>56</v>
      </c>
      <c r="N38" s="124">
        <f>IF(M38="","",COUNTIFS($C$18:$C$2015,M$13,$D$18:$D$2015,"&gt;="&amp;M38,$D$18:$D$2015,"&lt;"&amp;M39))</f>
        <v/>
      </c>
      <c r="O38" s="14" t="n"/>
      <c r="P38" s="16" t="n">
        <v>33</v>
      </c>
      <c r="Q38" s="124">
        <f>IF(P38="","",COUNTIFS($C$18:$C$2015,P$13,$D$18:$D$2015,"&gt;="&amp;P38,$D$18:$D$2015,"&lt;"&amp;P39))</f>
        <v/>
      </c>
      <c r="R38" s="14" t="n"/>
      <c r="S38" s="16" t="n">
        <v>56</v>
      </c>
      <c r="T38" s="124">
        <f>IF(S38="","",COUNTIFS($C$18:$C$2015,S$13,$D$18:$D$2015,"&gt;="&amp;S38,$D$18:$D$2015,"&lt;"&amp;S39))</f>
        <v/>
      </c>
      <c r="U38" s="14" t="n"/>
      <c r="V38" s="16" t="n">
        <v>56</v>
      </c>
      <c r="W38" s="124">
        <f>IF(V38="","",COUNTIFS($C$18:$C$2015,V$13,$D$18:$D$2015,"&gt;="&amp;V38,$D$18:$D$2015,"&lt;"&amp;V39))</f>
        <v/>
      </c>
      <c r="X38" s="14" t="n"/>
      <c r="Y38" s="16" t="n">
        <v>56</v>
      </c>
      <c r="Z38" s="124">
        <f>IF(Y38="","",COUNTIFS($C$18:$C$2015,Y$13,$D$18:$D$2015,"&gt;="&amp;Y38,$D$18:$D$2015,"&lt;"&amp;Y39))</f>
        <v/>
      </c>
      <c r="AA38" s="14" t="n"/>
      <c r="AB38" s="16" t="n">
        <v>33</v>
      </c>
      <c r="AC38" s="124">
        <f>IF(AB38="","",COUNTIFS($C$18:$C$2015,AB$13,$D$18:$D$2015,"&gt;="&amp;AB38,$D$18:$D$2015,"&lt;"&amp;AB39))</f>
        <v/>
      </c>
      <c r="AD38" s="14" t="n"/>
    </row>
    <row r="39">
      <c r="A39" s="58" t="n"/>
      <c r="B39" s="59" t="n"/>
      <c r="C39" s="59" t="n"/>
      <c r="E39" s="16" t="n"/>
      <c r="F39" s="13" t="n"/>
      <c r="G39" s="16" t="n">
        <v>34</v>
      </c>
      <c r="H39" s="124">
        <f>IF(G39="","",COUNTIFS($C$18:$C$2015,G$13,$D$18:$D$2015,"&gt;="&amp;G39,$D$18:$D$2015,"&lt;"&amp;G40))</f>
        <v/>
      </c>
      <c r="I39" s="14" t="n"/>
      <c r="J39" s="16" t="n">
        <v>130</v>
      </c>
      <c r="K39" s="124">
        <f>IF(J39="","",COUNTIFS($C$18:$C$2015,J$13,$D$18:$D$2015,"&gt;="&amp;J39,$D$18:$D$2015,"&lt;"&amp;J40))</f>
        <v/>
      </c>
      <c r="L39" s="14" t="n"/>
      <c r="M39" s="16" t="n">
        <v>58</v>
      </c>
      <c r="N39" s="124">
        <f>IF(M39="","",COUNTIFS($C$18:$C$2015,M$13,$D$18:$D$2015,"&gt;="&amp;M39,$D$18:$D$2015,"&lt;"&amp;M40))</f>
        <v/>
      </c>
      <c r="O39" s="14" t="n"/>
      <c r="P39" s="16" t="n">
        <v>34</v>
      </c>
      <c r="Q39" s="124">
        <f>IF(P39="","",COUNTIFS($C$18:$C$2015,P$13,$D$18:$D$2015,"&gt;="&amp;P39,$D$18:$D$2015,"&lt;"&amp;P40))</f>
        <v/>
      </c>
      <c r="R39" s="14" t="n"/>
      <c r="S39" s="16" t="n">
        <v>58</v>
      </c>
      <c r="T39" s="124">
        <f>IF(S39="","",COUNTIFS($C$18:$C$2015,S$13,$D$18:$D$2015,"&gt;="&amp;S39,$D$18:$D$2015,"&lt;"&amp;S40))</f>
        <v/>
      </c>
      <c r="U39" s="14" t="n"/>
      <c r="V39" s="16" t="n">
        <v>58</v>
      </c>
      <c r="W39" s="124">
        <f>IF(V39="","",COUNTIFS($C$18:$C$2015,V$13,$D$18:$D$2015,"&gt;="&amp;V39,$D$18:$D$2015,"&lt;"&amp;V40))</f>
        <v/>
      </c>
      <c r="X39" s="14" t="n"/>
      <c r="Y39" s="16" t="n">
        <v>58</v>
      </c>
      <c r="Z39" s="124">
        <f>IF(Y39="","",COUNTIFS($C$18:$C$2015,Y$13,$D$18:$D$2015,"&gt;="&amp;Y39,$D$18:$D$2015,"&lt;"&amp;Y40))</f>
        <v/>
      </c>
      <c r="AA39" s="14" t="n"/>
      <c r="AB39" s="16" t="n">
        <v>34</v>
      </c>
      <c r="AC39" s="124">
        <f>IF(AB39="","",COUNTIFS($C$18:$C$2015,AB$13,$D$18:$D$2015,"&gt;="&amp;AB39,$D$18:$D$2015,"&lt;"&amp;AB40))</f>
        <v/>
      </c>
      <c r="AD39" s="14" t="n"/>
    </row>
    <row r="40">
      <c r="A40" s="56" t="n"/>
      <c r="B40" s="57" t="n"/>
      <c r="C40" s="59" t="n"/>
      <c r="E40" s="16" t="n"/>
      <c r="F40" s="13" t="n"/>
      <c r="G40" s="16" t="n">
        <v>35</v>
      </c>
      <c r="H40" s="124">
        <f>IF(G40="","",COUNTIFS($C$18:$C$2015,G$13,$D$18:$D$2015,"&gt;="&amp;G40,$D$18:$D$2015,"&lt;"&amp;G41))</f>
        <v/>
      </c>
      <c r="I40" s="14" t="n"/>
      <c r="J40" s="16" t="n">
        <v>135</v>
      </c>
      <c r="K40" s="124">
        <f>IF(J40="","",COUNTIFS($C$18:$C$2015,J$13,$D$18:$D$2015,"&gt;="&amp;J40,$D$18:$D$2015,"&lt;"&amp;J41))</f>
        <v/>
      </c>
      <c r="L40" s="14" t="n"/>
      <c r="M40" s="16" t="n">
        <v>60</v>
      </c>
      <c r="N40" s="124">
        <f>IF(M40="","",COUNTIFS($C$18:$C$2015,M$13,$D$18:$D$2015,"&gt;="&amp;M40,$D$18:$D$2015,"&lt;"&amp;M41))</f>
        <v/>
      </c>
      <c r="O40" s="14" t="n"/>
      <c r="P40" s="16" t="n">
        <v>35</v>
      </c>
      <c r="Q40" s="124">
        <f>IF(P40="","",COUNTIFS($C$18:$C$2015,P$13,$D$18:$D$2015,"&gt;="&amp;P40,$D$18:$D$2015,"&lt;"&amp;P41))</f>
        <v/>
      </c>
      <c r="R40" s="14" t="n"/>
      <c r="S40" s="16" t="n">
        <v>60</v>
      </c>
      <c r="T40" s="124">
        <f>IF(S40="","",COUNTIFS($C$18:$C$2015,S$13,$D$18:$D$2015,"&gt;="&amp;S40,$D$18:$D$2015,"&lt;"&amp;S41))</f>
        <v/>
      </c>
      <c r="U40" s="14" t="n"/>
      <c r="V40" s="16" t="n">
        <v>60</v>
      </c>
      <c r="W40" s="124">
        <f>IF(V40="","",COUNTIFS($C$18:$C$2015,V$13,$D$18:$D$2015,"&gt;="&amp;V40,$D$18:$D$2015,"&lt;"&amp;V41))</f>
        <v/>
      </c>
      <c r="X40" s="14" t="n"/>
      <c r="Y40" s="16" t="n">
        <v>60</v>
      </c>
      <c r="Z40" s="124">
        <f>IF(Y40="","",COUNTIFS($C$18:$C$2015,Y$13,$D$18:$D$2015,"&gt;="&amp;Y40,$D$18:$D$2015,"&lt;"&amp;Y41))</f>
        <v/>
      </c>
      <c r="AA40" s="14" t="n"/>
      <c r="AB40" s="16" t="n">
        <v>35</v>
      </c>
      <c r="AC40" s="124">
        <f>IF(AB40="","",COUNTIFS($C$18:$C$2015,AB$13,$D$18:$D$2015,"&gt;="&amp;AB40,$D$18:$D$2015,"&lt;"&amp;AB41))</f>
        <v/>
      </c>
      <c r="AD40" s="14" t="n"/>
    </row>
    <row r="41">
      <c r="A41" s="58" t="n"/>
      <c r="B41" s="59" t="n"/>
      <c r="C41" s="59" t="n"/>
      <c r="E41" s="16" t="n"/>
      <c r="F41" s="13" t="n"/>
      <c r="G41" s="16" t="n">
        <v>36</v>
      </c>
      <c r="H41" s="124">
        <f>IF(G41="","",COUNTIFS($C$18:$C$2015,G$13,$D$18:$D$2015,"&gt;="&amp;G41,$D$18:$D$2015,"&lt;"&amp;G42))</f>
        <v/>
      </c>
      <c r="I41" s="14" t="n"/>
      <c r="J41" s="16" t="n">
        <v>140</v>
      </c>
      <c r="K41" s="124">
        <f>IF(J41="","",COUNTIFS($C$18:$C$2015,J$13,$D$18:$D$2015,"&gt;="&amp;J41,$D$18:$D$2015,"&lt;"&amp;J42))</f>
        <v/>
      </c>
      <c r="L41" s="14" t="n"/>
      <c r="M41" s="16" t="n">
        <v>62</v>
      </c>
      <c r="N41" s="124">
        <f>IF(M41="","",COUNTIFS($C$18:$C$2015,M$13,$D$18:$D$2015,"&gt;="&amp;M41,$D$18:$D$2015,"&lt;"&amp;M42))</f>
        <v/>
      </c>
      <c r="O41" s="14" t="n"/>
      <c r="P41" s="16" t="n">
        <v>36</v>
      </c>
      <c r="Q41" s="124">
        <f>IF(P41="","",COUNTIFS($C$18:$C$2015,P$13,$D$18:$D$2015,"&gt;="&amp;P41,$D$18:$D$2015,"&lt;"&amp;P42))</f>
        <v/>
      </c>
      <c r="R41" s="14" t="n"/>
      <c r="S41" s="16" t="n">
        <v>62</v>
      </c>
      <c r="T41" s="124">
        <f>IF(S41="","",COUNTIFS($C$18:$C$2015,S$13,$D$18:$D$2015,"&gt;="&amp;S41,$D$18:$D$2015,"&lt;"&amp;S42))</f>
        <v/>
      </c>
      <c r="U41" s="14" t="n"/>
      <c r="V41" s="16" t="n">
        <v>62</v>
      </c>
      <c r="W41" s="124">
        <f>IF(V41="","",COUNTIFS($C$18:$C$2015,V$13,$D$18:$D$2015,"&gt;="&amp;V41,$D$18:$D$2015,"&lt;"&amp;V42))</f>
        <v/>
      </c>
      <c r="X41" s="14" t="n"/>
      <c r="Y41" s="16" t="n">
        <v>62</v>
      </c>
      <c r="Z41" s="124">
        <f>IF(Y41="","",COUNTIFS($C$18:$C$2015,Y$13,$D$18:$D$2015,"&gt;="&amp;Y41,$D$18:$D$2015,"&lt;"&amp;Y42))</f>
        <v/>
      </c>
      <c r="AA41" s="14" t="n"/>
      <c r="AB41" s="16" t="n">
        <v>36</v>
      </c>
      <c r="AC41" s="124">
        <f>IF(AB41="","",COUNTIFS($C$18:$C$2015,AB$13,$D$18:$D$2015,"&gt;="&amp;AB41,$D$18:$D$2015,"&lt;"&amp;AB42))</f>
        <v/>
      </c>
      <c r="AD41" s="14" t="n"/>
    </row>
    <row r="42">
      <c r="A42" s="56" t="n"/>
      <c r="B42" s="57" t="n"/>
      <c r="C42" s="59" t="n"/>
      <c r="E42" s="16" t="n"/>
      <c r="F42" s="13" t="n"/>
      <c r="G42" s="16" t="n">
        <v>37</v>
      </c>
      <c r="H42" s="124">
        <f>IF(G42="","",COUNTIFS($C$18:$C$2015,G$13,$D$18:$D$2015,"&gt;="&amp;G42,$D$18:$D$2015,"&lt;"&amp;G43))</f>
        <v/>
      </c>
      <c r="I42" s="14" t="n"/>
      <c r="J42" s="16" t="n">
        <v>145</v>
      </c>
      <c r="K42" s="124">
        <f>IF(J42="","",COUNTIFS($C$18:$C$2015,J$13,$D$18:$D$2015,"&gt;="&amp;J42,$D$18:$D$2015,"&lt;"&amp;J43))</f>
        <v/>
      </c>
      <c r="L42" s="14" t="n"/>
      <c r="M42" s="16" t="n">
        <v>64</v>
      </c>
      <c r="N42" s="124">
        <f>IF(M42="","",COUNTIFS($C$18:$C$2015,M$13,$D$18:$D$2015,"&gt;="&amp;M42,$D$18:$D$2015,"&lt;"&amp;M43))</f>
        <v/>
      </c>
      <c r="O42" s="14" t="n"/>
      <c r="P42" s="16" t="n">
        <v>37</v>
      </c>
      <c r="Q42" s="124">
        <f>IF(P42="","",COUNTIFS($C$18:$C$2015,P$13,$D$18:$D$2015,"&gt;="&amp;P42,$D$18:$D$2015,"&lt;"&amp;P43))</f>
        <v/>
      </c>
      <c r="R42" s="14" t="n"/>
      <c r="S42" s="16" t="n">
        <v>64</v>
      </c>
      <c r="T42" s="124">
        <f>IF(S42="","",COUNTIFS($C$18:$C$2015,S$13,$D$18:$D$2015,"&gt;="&amp;S42,$D$18:$D$2015,"&lt;"&amp;S43))</f>
        <v/>
      </c>
      <c r="U42" s="14" t="n"/>
      <c r="V42" s="16" t="n">
        <v>64</v>
      </c>
      <c r="W42" s="124">
        <f>IF(V42="","",COUNTIFS($C$18:$C$2015,V$13,$D$18:$D$2015,"&gt;="&amp;V42,$D$18:$D$2015,"&lt;"&amp;V43))</f>
        <v/>
      </c>
      <c r="X42" s="14" t="n"/>
      <c r="Y42" s="16" t="n">
        <v>64</v>
      </c>
      <c r="Z42" s="124">
        <f>IF(Y42="","",COUNTIFS($C$18:$C$2015,Y$13,$D$18:$D$2015,"&gt;="&amp;Y42,$D$18:$D$2015,"&lt;"&amp;Y43))</f>
        <v/>
      </c>
      <c r="AA42" s="14" t="n"/>
      <c r="AB42" s="16" t="n">
        <v>37</v>
      </c>
      <c r="AC42" s="124">
        <f>IF(AB42="","",COUNTIFS($C$18:$C$2015,AB$13,$D$18:$D$2015,"&gt;="&amp;AB42,$D$18:$D$2015,"&lt;"&amp;AB43))</f>
        <v/>
      </c>
      <c r="AD42" s="14" t="n"/>
    </row>
    <row r="43">
      <c r="A43" s="58" t="n"/>
      <c r="B43" s="59" t="n"/>
      <c r="C43" s="59" t="n"/>
      <c r="E43" s="16" t="n"/>
      <c r="F43" s="13" t="n"/>
      <c r="G43" s="16" t="n">
        <v>38</v>
      </c>
      <c r="H43" s="124">
        <f>IF(G43="","",COUNTIFS($C$18:$C$2015,G$13,$D$18:$D$2015,"&gt;="&amp;G43,$D$18:$D$2015,"&lt;"&amp;G44))</f>
        <v/>
      </c>
      <c r="I43" s="14" t="n"/>
      <c r="J43" s="16" t="n">
        <v>150</v>
      </c>
      <c r="K43" s="124">
        <f>IF(J43="","",COUNTIFS($C$18:$C$2015,J$13,$D$18:$D$2015,"&gt;="&amp;J43,$D$18:$D$2015,"&lt;"&amp;J44))</f>
        <v/>
      </c>
      <c r="L43" s="14" t="n"/>
      <c r="M43" s="16" t="n">
        <v>66</v>
      </c>
      <c r="N43" s="124">
        <f>IF(M43="","",COUNTIFS($C$18:$C$2015,M$13,$D$18:$D$2015,"&gt;="&amp;M43,$D$18:$D$2015,"&lt;"&amp;M44))</f>
        <v/>
      </c>
      <c r="O43" s="14" t="n"/>
      <c r="P43" s="16" t="n">
        <v>38</v>
      </c>
      <c r="Q43" s="124">
        <f>IF(P43="","",COUNTIFS($C$18:$C$2015,P$13,$D$18:$D$2015,"&gt;="&amp;P43,$D$18:$D$2015,"&lt;"&amp;P44))</f>
        <v/>
      </c>
      <c r="R43" s="14" t="n"/>
      <c r="S43" s="16" t="n">
        <v>66</v>
      </c>
      <c r="T43" s="124">
        <f>IF(S43="","",COUNTIFS($C$18:$C$2015,S$13,$D$18:$D$2015,"&gt;="&amp;S43,$D$18:$D$2015,"&lt;"&amp;S44))</f>
        <v/>
      </c>
      <c r="U43" s="14" t="n"/>
      <c r="V43" s="16" t="n">
        <v>66</v>
      </c>
      <c r="W43" s="124">
        <f>IF(V43="","",COUNTIFS($C$18:$C$2015,V$13,$D$18:$D$2015,"&gt;="&amp;V43,$D$18:$D$2015,"&lt;"&amp;V44))</f>
        <v/>
      </c>
      <c r="X43" s="14" t="n"/>
      <c r="Y43" s="16" t="n">
        <v>66</v>
      </c>
      <c r="Z43" s="124">
        <f>IF(Y43="","",COUNTIFS($C$18:$C$2015,Y$13,$D$18:$D$2015,"&gt;="&amp;Y43,$D$18:$D$2015,"&lt;"&amp;Y44))</f>
        <v/>
      </c>
      <c r="AA43" s="14" t="n"/>
      <c r="AB43" s="16" t="n">
        <v>38</v>
      </c>
      <c r="AC43" s="124">
        <f>IF(AB43="","",COUNTIFS($C$18:$C$2015,AB$13,$D$18:$D$2015,"&gt;="&amp;AB43,$D$18:$D$2015,"&lt;"&amp;AB44))</f>
        <v/>
      </c>
      <c r="AD43" s="14" t="n"/>
    </row>
    <row r="44">
      <c r="A44" s="56" t="n"/>
      <c r="B44" s="57" t="n"/>
      <c r="C44" s="59" t="n"/>
      <c r="E44" s="16" t="n"/>
      <c r="F44" s="13" t="n"/>
      <c r="G44" s="16" t="n">
        <v>39</v>
      </c>
      <c r="H44" s="124">
        <f>IF(G44="","",COUNTIFS($C$18:$C$2015,G$13,$D$18:$D$2015,"&gt;="&amp;G44,$D$18:$D$2015,"&lt;"&amp;G45))</f>
        <v/>
      </c>
      <c r="I44" s="14" t="n"/>
      <c r="J44" s="16" t="n"/>
      <c r="K44" s="124">
        <f>IF(J44="","",COUNTIFS($C$18:$C$2015,J$13,$D$18:$D$2015,"&gt;="&amp;J44,$D$18:$D$2015,"&lt;"&amp;J45))</f>
        <v/>
      </c>
      <c r="L44" s="14" t="n"/>
      <c r="M44" s="16" t="n">
        <v>68</v>
      </c>
      <c r="N44" s="124">
        <f>IF(M44="","",COUNTIFS($C$18:$C$2015,M$13,$D$18:$D$2015,"&gt;="&amp;M44,$D$18:$D$2015,"&lt;"&amp;M45))</f>
        <v/>
      </c>
      <c r="O44" s="14" t="n"/>
      <c r="P44" s="16" t="n">
        <v>39</v>
      </c>
      <c r="Q44" s="124">
        <f>IF(P44="","",COUNTIFS($C$18:$C$2015,P$13,$D$18:$D$2015,"&gt;="&amp;P44,$D$18:$D$2015,"&lt;"&amp;P45))</f>
        <v/>
      </c>
      <c r="R44" s="14" t="n"/>
      <c r="S44" s="16" t="n">
        <v>68</v>
      </c>
      <c r="T44" s="124">
        <f>IF(S44="","",COUNTIFS($C$18:$C$2015,S$13,$D$18:$D$2015,"&gt;="&amp;S44,$D$18:$D$2015,"&lt;"&amp;S45))</f>
        <v/>
      </c>
      <c r="U44" s="14" t="n"/>
      <c r="V44" s="16" t="n">
        <v>68</v>
      </c>
      <c r="W44" s="124">
        <f>IF(V44="","",COUNTIFS($C$18:$C$2015,V$13,$D$18:$D$2015,"&gt;="&amp;V44,$D$18:$D$2015,"&lt;"&amp;V45))</f>
        <v/>
      </c>
      <c r="X44" s="14" t="n"/>
      <c r="Y44" s="16" t="n">
        <v>68</v>
      </c>
      <c r="Z44" s="124">
        <f>IF(Y44="","",COUNTIFS($C$18:$C$2015,Y$13,$D$18:$D$2015,"&gt;="&amp;Y44,$D$18:$D$2015,"&lt;"&amp;Y45))</f>
        <v/>
      </c>
      <c r="AA44" s="14" t="n"/>
      <c r="AB44" s="16" t="n">
        <v>39</v>
      </c>
      <c r="AC44" s="124">
        <f>IF(AB44="","",COUNTIFS($C$18:$C$2015,AB$13,$D$18:$D$2015,"&gt;="&amp;AB44,$D$18:$D$2015,"&lt;"&amp;AB45))</f>
        <v/>
      </c>
      <c r="AD44" s="14" t="n"/>
    </row>
    <row r="45">
      <c r="A45" s="58" t="n"/>
      <c r="B45" s="59" t="n"/>
      <c r="C45" s="59" t="n"/>
      <c r="E45" s="16" t="n"/>
      <c r="F45" s="13" t="n"/>
      <c r="G45" s="16" t="n">
        <v>40</v>
      </c>
      <c r="H45" s="124">
        <f>IF(G45="","",COUNTIFS($C$18:$C$2015,G$13,$D$18:$D$2015,"&gt;="&amp;G45,$D$18:$D$2015,"&lt;"&amp;G46))</f>
        <v/>
      </c>
      <c r="I45" s="14" t="n"/>
      <c r="J45" s="16" t="n"/>
      <c r="K45" s="124">
        <f>IF(J45="","",COUNTIFS($C$18:$C$2015,J$13,$D$18:$D$2015,"&gt;="&amp;J45,$D$18:$D$2015,"&lt;"&amp;J46))</f>
        <v/>
      </c>
      <c r="L45" s="14" t="n"/>
      <c r="M45" s="16" t="n">
        <v>70</v>
      </c>
      <c r="N45" s="124">
        <f>IF(M45="","",COUNTIFS($C$18:$C$2015,M$13,$D$18:$D$2015,"&gt;="&amp;M45,$D$18:$D$2015,"&lt;"&amp;M46))</f>
        <v/>
      </c>
      <c r="O45" s="14" t="n"/>
      <c r="P45" s="16" t="n">
        <v>40</v>
      </c>
      <c r="Q45" s="124">
        <f>IF(P45="","",COUNTIFS($C$18:$C$2015,P$13,$D$18:$D$2015,"&gt;="&amp;P45,$D$18:$D$2015,"&lt;"&amp;P46))</f>
        <v/>
      </c>
      <c r="R45" s="14" t="n"/>
      <c r="S45" s="16" t="n">
        <v>70</v>
      </c>
      <c r="T45" s="124">
        <f>IF(S45="","",COUNTIFS($C$18:$C$2015,S$13,$D$18:$D$2015,"&gt;="&amp;S45,$D$18:$D$2015,"&lt;"&amp;S46))</f>
        <v/>
      </c>
      <c r="U45" s="14" t="n"/>
      <c r="V45" s="16" t="n">
        <v>70</v>
      </c>
      <c r="W45" s="124">
        <f>IF(V45="","",COUNTIFS($C$18:$C$2015,V$13,$D$18:$D$2015,"&gt;="&amp;V45,$D$18:$D$2015,"&lt;"&amp;V46))</f>
        <v/>
      </c>
      <c r="X45" s="14" t="n"/>
      <c r="Y45" s="16" t="n">
        <v>70</v>
      </c>
      <c r="Z45" s="124">
        <f>IF(Y45="","",COUNTIFS($C$18:$C$2015,Y$13,$D$18:$D$2015,"&gt;="&amp;Y45,$D$18:$D$2015,"&lt;"&amp;Y46))</f>
        <v/>
      </c>
      <c r="AA45" s="14" t="n"/>
      <c r="AB45" s="16" t="n">
        <v>40</v>
      </c>
      <c r="AC45" s="124">
        <f>IF(AB45="","",COUNTIFS($C$18:$C$2015,AB$13,$D$18:$D$2015,"&gt;="&amp;AB45,$D$18:$D$2015,"&lt;"&amp;AB46))</f>
        <v/>
      </c>
      <c r="AD45" s="14" t="n"/>
    </row>
    <row r="46">
      <c r="A46" s="56" t="n"/>
      <c r="B46" s="57" t="n"/>
      <c r="C46" s="59" t="n"/>
      <c r="E46" s="16" t="n"/>
      <c r="F46" s="13" t="n"/>
      <c r="G46" s="16" t="n">
        <v>41</v>
      </c>
      <c r="H46" s="124">
        <f>IF(G46="","",COUNTIFS($C$18:$C$2015,G$13,$D$18:$D$2015,"&gt;="&amp;G46,$D$18:$D$2015,"&lt;"&amp;G47))</f>
        <v/>
      </c>
      <c r="I46" s="14" t="n"/>
      <c r="J46" s="16" t="n"/>
      <c r="K46" s="124">
        <f>IF(J46="","",COUNTIFS($C$18:$C$2015,J$13,$D$18:$D$2015,"&gt;="&amp;J46,$D$18:$D$2015,"&lt;"&amp;J47))</f>
        <v/>
      </c>
      <c r="L46" s="14" t="n"/>
      <c r="M46" s="16" t="n">
        <v>72</v>
      </c>
      <c r="N46" s="124">
        <f>IF(M46="","",COUNTIFS($C$18:$C$2015,M$13,$D$18:$D$2015,"&gt;="&amp;M46,$D$18:$D$2015,"&lt;"&amp;M47))</f>
        <v/>
      </c>
      <c r="O46" s="14" t="n"/>
      <c r="P46" s="16" t="n">
        <v>41</v>
      </c>
      <c r="Q46" s="124">
        <f>IF(P46="","",COUNTIFS($C$18:$C$2015,P$13,$D$18:$D$2015,"&gt;="&amp;P46,$D$18:$D$2015,"&lt;"&amp;P47))</f>
        <v/>
      </c>
      <c r="R46" s="14" t="n"/>
      <c r="S46" s="16" t="n">
        <v>72</v>
      </c>
      <c r="T46" s="124">
        <f>IF(S46="","",COUNTIFS($C$18:$C$2015,S$13,$D$18:$D$2015,"&gt;="&amp;S46,$D$18:$D$2015,"&lt;"&amp;S47))</f>
        <v/>
      </c>
      <c r="U46" s="14" t="n"/>
      <c r="V46" s="16" t="n">
        <v>72</v>
      </c>
      <c r="W46" s="124">
        <f>IF(V46="","",COUNTIFS($C$18:$C$2015,V$13,$D$18:$D$2015,"&gt;="&amp;V46,$D$18:$D$2015,"&lt;"&amp;V47))</f>
        <v/>
      </c>
      <c r="X46" s="14" t="n"/>
      <c r="Y46" s="16" t="n">
        <v>72</v>
      </c>
      <c r="Z46" s="124">
        <f>IF(Y46="","",COUNTIFS($C$18:$C$2015,Y$13,$D$18:$D$2015,"&gt;="&amp;Y46,$D$18:$D$2015,"&lt;"&amp;Y47))</f>
        <v/>
      </c>
      <c r="AA46" s="14" t="n"/>
      <c r="AB46" s="16" t="n">
        <v>41</v>
      </c>
      <c r="AC46" s="124">
        <f>IF(AB46="","",COUNTIFS($C$18:$C$2015,AB$13,$D$18:$D$2015,"&gt;="&amp;AB46,$D$18:$D$2015,"&lt;"&amp;AB47))</f>
        <v/>
      </c>
      <c r="AD46" s="14" t="n"/>
    </row>
    <row r="47">
      <c r="A47" s="58" t="n"/>
      <c r="B47" s="59" t="n"/>
      <c r="C47" s="59" t="n"/>
      <c r="E47" s="16" t="n"/>
      <c r="F47" s="13" t="n"/>
      <c r="G47" s="16" t="n">
        <v>42</v>
      </c>
      <c r="H47" s="124">
        <f>IF(G47="","",COUNTIFS($C$18:$C$2015,G$13,$D$18:$D$2015,"&gt;="&amp;G47,$D$18:$D$2015,"&lt;"&amp;G48))</f>
        <v/>
      </c>
      <c r="I47" s="14" t="n"/>
      <c r="J47" s="16" t="n"/>
      <c r="K47" s="124">
        <f>IF(J47="","",COUNTIFS($C$18:$C$2015,J$13,$D$18:$D$2015,"&gt;="&amp;J47,$D$18:$D$2015,"&lt;"&amp;J48))</f>
        <v/>
      </c>
      <c r="L47" s="14" t="n"/>
      <c r="M47" s="16" t="n">
        <v>74</v>
      </c>
      <c r="N47" s="124">
        <f>IF(M47="","",COUNTIFS($C$18:$C$2015,M$13,$D$18:$D$2015,"&gt;="&amp;M47,$D$18:$D$2015,"&lt;"&amp;M48))</f>
        <v/>
      </c>
      <c r="O47" s="14" t="n"/>
      <c r="P47" s="16" t="n">
        <v>42</v>
      </c>
      <c r="Q47" s="124">
        <f>IF(P47="","",COUNTIFS($C$18:$C$2015,P$13,$D$18:$D$2015,"&gt;="&amp;P47,$D$18:$D$2015,"&lt;"&amp;P48))</f>
        <v/>
      </c>
      <c r="R47" s="14" t="n"/>
      <c r="S47" s="16" t="n">
        <v>74</v>
      </c>
      <c r="T47" s="124">
        <f>IF(S47="","",COUNTIFS($C$18:$C$2015,S$13,$D$18:$D$2015,"&gt;="&amp;S47,$D$18:$D$2015,"&lt;"&amp;S48))</f>
        <v/>
      </c>
      <c r="U47" s="14" t="n"/>
      <c r="V47" s="16" t="n">
        <v>74</v>
      </c>
      <c r="W47" s="124">
        <f>IF(V47="","",COUNTIFS($C$18:$C$2015,V$13,$D$18:$D$2015,"&gt;="&amp;V47,$D$18:$D$2015,"&lt;"&amp;V48))</f>
        <v/>
      </c>
      <c r="X47" s="14" t="n"/>
      <c r="Y47" s="16" t="n">
        <v>74</v>
      </c>
      <c r="Z47" s="124">
        <f>IF(Y47="","",COUNTIFS($C$18:$C$2015,Y$13,$D$18:$D$2015,"&gt;="&amp;Y47,$D$18:$D$2015,"&lt;"&amp;Y48))</f>
        <v/>
      </c>
      <c r="AA47" s="14" t="n"/>
      <c r="AB47" s="16" t="n">
        <v>42</v>
      </c>
      <c r="AC47" s="124">
        <f>IF(AB47="","",COUNTIFS($C$18:$C$2015,AB$13,$D$18:$D$2015,"&gt;="&amp;AB47,$D$18:$D$2015,"&lt;"&amp;AB48))</f>
        <v/>
      </c>
      <c r="AD47" s="14" t="n"/>
    </row>
    <row r="48">
      <c r="A48" s="56" t="n"/>
      <c r="B48" s="57" t="n"/>
      <c r="C48" s="59" t="n"/>
      <c r="E48" s="16" t="n"/>
      <c r="F48" s="13" t="n"/>
      <c r="G48" s="16" t="n">
        <v>43</v>
      </c>
      <c r="H48" s="124">
        <f>IF(G48="","",COUNTIFS($C$18:$C$2015,G$13,$D$18:$D$2015,"&gt;="&amp;G48,$D$18:$D$2015,"&lt;"&amp;G49))</f>
        <v/>
      </c>
      <c r="I48" s="14" t="n"/>
      <c r="J48" s="16" t="n"/>
      <c r="K48" s="124">
        <f>IF(J48="","",COUNTIFS($C$18:$C$2015,J$13,$D$18:$D$2015,"&gt;="&amp;J48,$D$18:$D$2015,"&lt;"&amp;J49))</f>
        <v/>
      </c>
      <c r="L48" s="14" t="n"/>
      <c r="M48" s="16" t="n">
        <v>76</v>
      </c>
      <c r="N48" s="124">
        <f>IF(M48="","",COUNTIFS($C$18:$C$2015,M$13,$D$18:$D$2015,"&gt;="&amp;M48,$D$18:$D$2015,"&lt;"&amp;M49))</f>
        <v/>
      </c>
      <c r="O48" s="14" t="n"/>
      <c r="P48" s="16" t="n">
        <v>43</v>
      </c>
      <c r="Q48" s="124">
        <f>IF(P48="","",COUNTIFS($C$18:$C$2015,P$13,$D$18:$D$2015,"&gt;="&amp;P48,$D$18:$D$2015,"&lt;"&amp;P49))</f>
        <v/>
      </c>
      <c r="R48" s="14" t="n"/>
      <c r="S48" s="16" t="n">
        <v>76</v>
      </c>
      <c r="T48" s="124">
        <f>IF(S48="","",COUNTIFS($C$18:$C$2015,S$13,$D$18:$D$2015,"&gt;="&amp;S48,$D$18:$D$2015,"&lt;"&amp;S49))</f>
        <v/>
      </c>
      <c r="U48" s="14" t="n"/>
      <c r="V48" s="16" t="n">
        <v>76</v>
      </c>
      <c r="W48" s="124">
        <f>IF(V48="","",COUNTIFS($C$18:$C$2015,V$13,$D$18:$D$2015,"&gt;="&amp;V48,$D$18:$D$2015,"&lt;"&amp;V49))</f>
        <v/>
      </c>
      <c r="X48" s="14" t="n"/>
      <c r="Y48" s="16" t="n">
        <v>76</v>
      </c>
      <c r="Z48" s="124">
        <f>IF(Y48="","",COUNTIFS($C$18:$C$2015,Y$13,$D$18:$D$2015,"&gt;="&amp;Y48,$D$18:$D$2015,"&lt;"&amp;Y49))</f>
        <v/>
      </c>
      <c r="AA48" s="14" t="n"/>
      <c r="AB48" s="16" t="n">
        <v>43</v>
      </c>
      <c r="AC48" s="124">
        <f>IF(AB48="","",COUNTIFS($C$18:$C$2015,AB$13,$D$18:$D$2015,"&gt;="&amp;AB48,$D$18:$D$2015,"&lt;"&amp;AB49))</f>
        <v/>
      </c>
      <c r="AD48" s="14" t="n"/>
    </row>
    <row r="49">
      <c r="A49" s="58" t="n"/>
      <c r="B49" s="59" t="n"/>
      <c r="C49" s="59" t="n"/>
      <c r="E49" s="16" t="n"/>
      <c r="F49" s="13" t="n"/>
      <c r="G49" s="16" t="n">
        <v>44</v>
      </c>
      <c r="H49" s="124">
        <f>IF(G49="","",COUNTIFS($C$18:$C$2015,G$13,$D$18:$D$2015,"&gt;="&amp;G49,$D$18:$D$2015,"&lt;"&amp;G50))</f>
        <v/>
      </c>
      <c r="I49" s="14" t="n"/>
      <c r="J49" s="16" t="n"/>
      <c r="K49" s="124">
        <f>IF(J49="","",COUNTIFS($C$18:$C$2015,J$13,$D$18:$D$2015,"&gt;="&amp;J49,$D$18:$D$2015,"&lt;"&amp;J50))</f>
        <v/>
      </c>
      <c r="L49" s="14" t="n"/>
      <c r="M49" s="16" t="n">
        <v>78</v>
      </c>
      <c r="N49" s="124">
        <f>IF(M49="","",COUNTIFS($C$18:$C$2015,M$13,$D$18:$D$2015,"&gt;="&amp;M49,$D$18:$D$2015,"&lt;"&amp;M50))</f>
        <v/>
      </c>
      <c r="O49" s="14" t="n"/>
      <c r="P49" s="16" t="n">
        <v>44</v>
      </c>
      <c r="Q49" s="124">
        <f>IF(P49="","",COUNTIFS($C$18:$C$2015,P$13,$D$18:$D$2015,"&gt;="&amp;P49,$D$18:$D$2015,"&lt;"&amp;P50))</f>
        <v/>
      </c>
      <c r="R49" s="14" t="n"/>
      <c r="S49" s="16" t="n">
        <v>78</v>
      </c>
      <c r="T49" s="124">
        <f>IF(S49="","",COUNTIFS($C$18:$C$2015,S$13,$D$18:$D$2015,"&gt;="&amp;S49,$D$18:$D$2015,"&lt;"&amp;S50))</f>
        <v/>
      </c>
      <c r="U49" s="14" t="n"/>
      <c r="V49" s="16" t="n">
        <v>78</v>
      </c>
      <c r="W49" s="124">
        <f>IF(V49="","",COUNTIFS($C$18:$C$2015,V$13,$D$18:$D$2015,"&gt;="&amp;V49,$D$18:$D$2015,"&lt;"&amp;V50))</f>
        <v/>
      </c>
      <c r="X49" s="14" t="n"/>
      <c r="Y49" s="16" t="n">
        <v>78</v>
      </c>
      <c r="Z49" s="124">
        <f>IF(Y49="","",COUNTIFS($C$18:$C$2015,Y$13,$D$18:$D$2015,"&gt;="&amp;Y49,$D$18:$D$2015,"&lt;"&amp;Y50))</f>
        <v/>
      </c>
      <c r="AA49" s="14" t="n"/>
      <c r="AB49" s="16" t="n">
        <v>44</v>
      </c>
      <c r="AC49" s="124">
        <f>IF(AB49="","",COUNTIFS($C$18:$C$2015,AB$13,$D$18:$D$2015,"&gt;="&amp;AB49,$D$18:$D$2015,"&lt;"&amp;AB50))</f>
        <v/>
      </c>
      <c r="AD49" s="14" t="n"/>
    </row>
    <row r="50">
      <c r="A50" s="56" t="n"/>
      <c r="B50" s="57" t="n"/>
      <c r="C50" s="59" t="n"/>
      <c r="E50" s="16" t="n"/>
      <c r="F50" s="13" t="n"/>
      <c r="G50" s="16" t="n">
        <v>45</v>
      </c>
      <c r="H50" s="124">
        <f>IF(G50="","",COUNTIFS($C$18:$C$2015,G$13,$D$18:$D$2015,"&gt;="&amp;G50,$D$18:$D$2015,"&lt;"&amp;G51))</f>
        <v/>
      </c>
      <c r="I50" s="14" t="n"/>
      <c r="J50" s="16" t="n"/>
      <c r="K50" s="124">
        <f>IF(J50="","",COUNTIFS($C$18:$C$2015,J$13,$D$18:$D$2015,"&gt;="&amp;J50,$D$18:$D$2015,"&lt;"&amp;J51))</f>
        <v/>
      </c>
      <c r="L50" s="14" t="n"/>
      <c r="M50" s="16" t="n">
        <v>80</v>
      </c>
      <c r="N50" s="124">
        <f>IF(M50="","",COUNTIFS($C$18:$C$2015,M$13,$D$18:$D$2015,"&gt;="&amp;M50,$D$18:$D$2015,"&lt;"&amp;M51))</f>
        <v/>
      </c>
      <c r="O50" s="14" t="n"/>
      <c r="P50" s="16" t="n">
        <v>45</v>
      </c>
      <c r="Q50" s="124">
        <f>IF(P50="","",COUNTIFS($C$18:$C$2015,P$13,$D$18:$D$2015,"&gt;="&amp;P50,$D$18:$D$2015,"&lt;"&amp;P51))</f>
        <v/>
      </c>
      <c r="R50" s="14" t="n"/>
      <c r="S50" s="16" t="n">
        <v>80</v>
      </c>
      <c r="T50" s="124">
        <f>IF(S50="","",COUNTIFS($C$18:$C$2015,S$13,$D$18:$D$2015,"&gt;="&amp;S50,$D$18:$D$2015,"&lt;"&amp;S51))</f>
        <v/>
      </c>
      <c r="U50" s="14" t="n"/>
      <c r="V50" s="16" t="n">
        <v>80</v>
      </c>
      <c r="W50" s="124">
        <f>IF(V50="","",COUNTIFS($C$18:$C$2015,V$13,$D$18:$D$2015,"&gt;="&amp;V50,$D$18:$D$2015,"&lt;"&amp;V51))</f>
        <v/>
      </c>
      <c r="X50" s="14" t="n"/>
      <c r="Y50" s="16" t="n">
        <v>80</v>
      </c>
      <c r="Z50" s="124">
        <f>IF(Y50="","",COUNTIFS($C$18:$C$2015,Y$13,$D$18:$D$2015,"&gt;="&amp;Y50,$D$18:$D$2015,"&lt;"&amp;Y51))</f>
        <v/>
      </c>
      <c r="AA50" s="14" t="n"/>
      <c r="AB50" s="16" t="n">
        <v>45</v>
      </c>
      <c r="AC50" s="124">
        <f>IF(AB50="","",COUNTIFS($C$18:$C$2015,AB$13,$D$18:$D$2015,"&gt;="&amp;AB50,$D$18:$D$2015,"&lt;"&amp;AB51))</f>
        <v/>
      </c>
      <c r="AD50" s="14" t="n"/>
    </row>
    <row r="51">
      <c r="A51" s="58" t="n"/>
      <c r="B51" s="59" t="n"/>
      <c r="C51" s="59" t="n"/>
      <c r="E51" s="16" t="n"/>
      <c r="F51" s="13" t="n"/>
      <c r="G51" s="16" t="n">
        <v>46</v>
      </c>
      <c r="H51" s="124">
        <f>IF(G51="","",COUNTIFS($C$18:$C$2015,G$13,$D$18:$D$2015,"&gt;="&amp;G51,$D$18:$D$2015,"&lt;"&amp;G52))</f>
        <v/>
      </c>
      <c r="I51" s="14" t="n"/>
      <c r="J51" s="16" t="n"/>
      <c r="K51" s="124">
        <f>IF(J51="","",COUNTIFS($C$18:$C$2015,J$13,$D$18:$D$2015,"&gt;="&amp;J51,$D$18:$D$2015,"&lt;"&amp;J52))</f>
        <v/>
      </c>
      <c r="L51" s="14" t="n"/>
      <c r="M51" s="16" t="n">
        <v>82</v>
      </c>
      <c r="N51" s="124">
        <f>IF(M51="","",COUNTIFS($C$18:$C$2015,M$13,$D$18:$D$2015,"&gt;="&amp;M51,$D$18:$D$2015,"&lt;"&amp;M52))</f>
        <v/>
      </c>
      <c r="O51" s="14" t="n"/>
      <c r="P51" s="16" t="n">
        <v>46</v>
      </c>
      <c r="Q51" s="124">
        <f>IF(P51="","",COUNTIFS($C$18:$C$2015,P$13,$D$18:$D$2015,"&gt;="&amp;P51,$D$18:$D$2015,"&lt;"&amp;P52))</f>
        <v/>
      </c>
      <c r="R51" s="14" t="n"/>
      <c r="S51" s="16" t="n">
        <v>82</v>
      </c>
      <c r="T51" s="124">
        <f>IF(S51="","",COUNTIFS($C$18:$C$2015,S$13,$D$18:$D$2015,"&gt;="&amp;S51,$D$18:$D$2015,"&lt;"&amp;S52))</f>
        <v/>
      </c>
      <c r="U51" s="14" t="n"/>
      <c r="V51" s="16" t="n"/>
      <c r="W51" s="124">
        <f>IF(V51="","",COUNTIFS($C$18:$C$2015,V$13,$D$18:$D$2015,"&gt;="&amp;V51,$D$18:$D$2015,"&lt;"&amp;V52))</f>
        <v/>
      </c>
      <c r="X51" s="14" t="n"/>
      <c r="Y51" s="16" t="n"/>
      <c r="Z51" s="124">
        <f>IF(Y51="","",COUNTIFS($C$18:$C$2015,Y$13,$D$18:$D$2015,"&gt;="&amp;Y51,$D$18:$D$2015,"&lt;"&amp;Y52))</f>
        <v/>
      </c>
      <c r="AA51" s="14" t="n"/>
      <c r="AB51" s="16" t="n">
        <v>46</v>
      </c>
      <c r="AC51" s="124">
        <f>IF(AB51="","",COUNTIFS($C$18:$C$2015,AB$13,$D$18:$D$2015,"&gt;="&amp;AB51,$D$18:$D$2015,"&lt;"&amp;AB52))</f>
        <v/>
      </c>
      <c r="AD51" s="14" t="n"/>
    </row>
    <row r="52">
      <c r="A52" s="56" t="n"/>
      <c r="B52" s="57" t="n"/>
      <c r="C52" s="59" t="n"/>
      <c r="E52" s="16" t="n"/>
      <c r="F52" s="13" t="n"/>
      <c r="G52" s="16" t="n">
        <v>47</v>
      </c>
      <c r="H52" s="124">
        <f>IF(G52="","",COUNTIFS($C$18:$C$2015,G$13,$D$18:$D$2015,"&gt;="&amp;G52,$D$18:$D$2015,"&lt;"&amp;G53))</f>
        <v/>
      </c>
      <c r="I52" s="14" t="n"/>
      <c r="J52" s="16" t="n"/>
      <c r="K52" s="124">
        <f>IF(J52="","",COUNTIFS($C$18:$C$2015,J$13,$D$18:$D$2015,"&gt;="&amp;J52,$D$18:$D$2015,"&lt;"&amp;J53))</f>
        <v/>
      </c>
      <c r="L52" s="14" t="n"/>
      <c r="M52" s="16" t="n">
        <v>84</v>
      </c>
      <c r="N52" s="124">
        <f>IF(M52="","",COUNTIFS($C$18:$C$2015,M$13,$D$18:$D$2015,"&gt;="&amp;M52,$D$18:$D$2015,"&lt;"&amp;M53))</f>
        <v/>
      </c>
      <c r="O52" s="14" t="n"/>
      <c r="P52" s="16" t="n">
        <v>47</v>
      </c>
      <c r="Q52" s="124">
        <f>IF(P52="","",COUNTIFS($C$18:$C$2015,P$13,$D$18:$D$2015,"&gt;="&amp;P52,$D$18:$D$2015,"&lt;"&amp;P53))</f>
        <v/>
      </c>
      <c r="R52" s="14" t="n"/>
      <c r="S52" s="16" t="n">
        <v>84</v>
      </c>
      <c r="T52" s="124">
        <f>IF(S52="","",COUNTIFS($C$18:$C$2015,S$13,$D$18:$D$2015,"&gt;="&amp;S52,$D$18:$D$2015,"&lt;"&amp;S53))</f>
        <v/>
      </c>
      <c r="U52" s="14" t="n"/>
      <c r="V52" s="16" t="n"/>
      <c r="W52" s="124">
        <f>IF(V52="","",COUNTIFS($C$18:$C$2015,V$13,$D$18:$D$2015,"&gt;="&amp;V52,$D$18:$D$2015,"&lt;"&amp;V53))</f>
        <v/>
      </c>
      <c r="X52" s="14" t="n"/>
      <c r="Y52" s="16" t="n"/>
      <c r="Z52" s="124">
        <f>IF(Y52="","",COUNTIFS($C$18:$C$2015,Y$13,$D$18:$D$2015,"&gt;="&amp;Y52,$D$18:$D$2015,"&lt;"&amp;Y53))</f>
        <v/>
      </c>
      <c r="AA52" s="14" t="n"/>
      <c r="AB52" s="16" t="n">
        <v>47</v>
      </c>
      <c r="AC52" s="124">
        <f>IF(AB52="","",COUNTIFS($C$18:$C$2015,AB$13,$D$18:$D$2015,"&gt;="&amp;AB52,$D$18:$D$2015,"&lt;"&amp;AB53))</f>
        <v/>
      </c>
      <c r="AD52" s="14" t="n"/>
    </row>
    <row r="53">
      <c r="A53" s="58" t="n"/>
      <c r="B53" s="59" t="n"/>
      <c r="C53" s="59" t="n"/>
      <c r="E53" s="16" t="n"/>
      <c r="F53" s="13" t="n"/>
      <c r="G53" s="16" t="n">
        <v>48</v>
      </c>
      <c r="H53" s="124">
        <f>IF(G53="","",COUNTIFS($C$18:$C$2015,G$13,$D$18:$D$2015,"&gt;="&amp;G53,$D$18:$D$2015,"&lt;"&amp;G54))</f>
        <v/>
      </c>
      <c r="I53" s="14" t="n"/>
      <c r="J53" s="16" t="n"/>
      <c r="K53" s="124">
        <f>IF(J53="","",COUNTIFS($C$18:$C$2015,J$13,$D$18:$D$2015,"&gt;="&amp;J53,$D$18:$D$2015,"&lt;"&amp;J54))</f>
        <v/>
      </c>
      <c r="L53" s="14" t="n"/>
      <c r="M53" s="16" t="n">
        <v>86</v>
      </c>
      <c r="N53" s="124">
        <f>IF(M53="","",COUNTIFS($C$18:$C$2015,M$13,$D$18:$D$2015,"&gt;="&amp;M53,$D$18:$D$2015,"&lt;"&amp;M54))</f>
        <v/>
      </c>
      <c r="O53" s="14" t="n"/>
      <c r="P53" s="16" t="n">
        <v>48</v>
      </c>
      <c r="Q53" s="124">
        <f>IF(P53="","",COUNTIFS($C$18:$C$2015,P$13,$D$18:$D$2015,"&gt;="&amp;P53,$D$18:$D$2015,"&lt;"&amp;P54))</f>
        <v/>
      </c>
      <c r="R53" s="14" t="n"/>
      <c r="S53" s="16" t="n">
        <v>86</v>
      </c>
      <c r="T53" s="124">
        <f>IF(S53="","",COUNTIFS($C$18:$C$2015,S$13,$D$18:$D$2015,"&gt;="&amp;S53,$D$18:$D$2015,"&lt;"&amp;S54))</f>
        <v/>
      </c>
      <c r="U53" s="14" t="n"/>
      <c r="V53" s="16" t="n"/>
      <c r="W53" s="124">
        <f>IF(V53="","",COUNTIFS($C$18:$C$2015,V$13,$D$18:$D$2015,"&gt;="&amp;V53,$D$18:$D$2015,"&lt;"&amp;V54))</f>
        <v/>
      </c>
      <c r="X53" s="14" t="n"/>
      <c r="Y53" s="16" t="n"/>
      <c r="Z53" s="124">
        <f>IF(Y53="","",COUNTIFS($C$18:$C$2015,Y$13,$D$18:$D$2015,"&gt;="&amp;Y53,$D$18:$D$2015,"&lt;"&amp;Y54))</f>
        <v/>
      </c>
      <c r="AA53" s="14" t="n"/>
      <c r="AB53" s="16" t="n">
        <v>48</v>
      </c>
      <c r="AC53" s="124">
        <f>IF(AB53="","",COUNTIFS($C$18:$C$2015,AB$13,$D$18:$D$2015,"&gt;="&amp;AB53,$D$18:$D$2015,"&lt;"&amp;AB54))</f>
        <v/>
      </c>
      <c r="AD53" s="14" t="n"/>
    </row>
    <row r="54">
      <c r="A54" s="56" t="n"/>
      <c r="B54" s="57" t="n"/>
      <c r="C54" s="59" t="n"/>
      <c r="E54" s="16" t="n"/>
      <c r="F54" s="13" t="n"/>
      <c r="G54" s="16" t="n">
        <v>49</v>
      </c>
      <c r="H54" s="124">
        <f>IF(G54="","",COUNTIFS($C$18:$C$2015,G$13,$D$18:$D$2015,"&gt;="&amp;G54,$D$18:$D$2015,"&lt;"&amp;G55))</f>
        <v/>
      </c>
      <c r="I54" s="14" t="n"/>
      <c r="J54" s="16" t="n"/>
      <c r="K54" s="124">
        <f>IF(J54="","",COUNTIFS($C$18:$C$2015,J$13,$D$18:$D$2015,"&gt;="&amp;J54,$D$18:$D$2015,"&lt;"&amp;J55))</f>
        <v/>
      </c>
      <c r="L54" s="14" t="n"/>
      <c r="M54" s="16" t="n">
        <v>88</v>
      </c>
      <c r="N54" s="124">
        <f>IF(M54="","",COUNTIFS($C$18:$C$2015,M$13,$D$18:$D$2015,"&gt;="&amp;M54,$D$18:$D$2015,"&lt;"&amp;M55))</f>
        <v/>
      </c>
      <c r="O54" s="14" t="n"/>
      <c r="P54" s="16" t="n">
        <v>49</v>
      </c>
      <c r="Q54" s="124">
        <f>IF(P54="","",COUNTIFS($C$18:$C$2015,P$13,$D$18:$D$2015,"&gt;="&amp;P54,$D$18:$D$2015,"&lt;"&amp;P55))</f>
        <v/>
      </c>
      <c r="R54" s="14" t="n"/>
      <c r="S54" s="16" t="n">
        <v>88</v>
      </c>
      <c r="T54" s="124">
        <f>IF(S54="","",COUNTIFS($C$18:$C$2015,S$13,$D$18:$D$2015,"&gt;="&amp;S54,$D$18:$D$2015,"&lt;"&amp;S55))</f>
        <v/>
      </c>
      <c r="U54" s="14" t="n"/>
      <c r="V54" s="16" t="n"/>
      <c r="W54" s="124">
        <f>IF(V54="","",COUNTIFS($C$18:$C$2015,V$13,$D$18:$D$2015,"&gt;="&amp;V54,$D$18:$D$2015,"&lt;"&amp;V55))</f>
        <v/>
      </c>
      <c r="X54" s="14" t="n"/>
      <c r="Y54" s="16" t="n"/>
      <c r="Z54" s="124">
        <f>IF(Y54="","",COUNTIFS($C$18:$C$2015,Y$13,$D$18:$D$2015,"&gt;="&amp;Y54,$D$18:$D$2015,"&lt;"&amp;Y55))</f>
        <v/>
      </c>
      <c r="AA54" s="14" t="n"/>
      <c r="AB54" s="16" t="n">
        <v>49</v>
      </c>
      <c r="AC54" s="124">
        <f>IF(AB54="","",COUNTIFS($C$18:$C$2015,AB$13,$D$18:$D$2015,"&gt;="&amp;AB54,$D$18:$D$2015,"&lt;"&amp;AB55))</f>
        <v/>
      </c>
      <c r="AD54" s="14" t="n"/>
    </row>
    <row r="55">
      <c r="A55" s="58" t="n"/>
      <c r="B55" s="59" t="n"/>
      <c r="C55" s="59" t="n"/>
      <c r="E55" s="16" t="n"/>
      <c r="F55" s="13" t="n"/>
      <c r="G55" s="16" t="n">
        <v>50</v>
      </c>
      <c r="H55" s="124">
        <f>IF(G55="","",COUNTIFS($C$18:$C$2015,G$13,$D$18:$D$2015,"&gt;="&amp;G55,$D$18:$D$2015,"&lt;"&amp;G56))</f>
        <v/>
      </c>
      <c r="I55" s="14" t="n"/>
      <c r="J55" s="16" t="n"/>
      <c r="K55" s="124">
        <f>IF(J55="","",COUNTIFS($C$18:$C$2015,J$13,$D$18:$D$2015,"&gt;="&amp;J55,$D$18:$D$2015,"&lt;"&amp;J56))</f>
        <v/>
      </c>
      <c r="L55" s="14" t="n"/>
      <c r="M55" s="16" t="n">
        <v>90</v>
      </c>
      <c r="N55" s="124">
        <f>IF(M55="","",COUNTIFS($C$18:$C$2015,M$13,$D$18:$D$2015,"&gt;="&amp;M55,$D$18:$D$2015,"&lt;"&amp;M56))</f>
        <v/>
      </c>
      <c r="O55" s="14" t="n"/>
      <c r="P55" s="16" t="n">
        <v>50</v>
      </c>
      <c r="Q55" s="124">
        <f>IF(P55="","",COUNTIFS($C$18:$C$2015,P$13,$D$18:$D$2015,"&gt;="&amp;P55,$D$18:$D$2015,"&lt;"&amp;P56))</f>
        <v/>
      </c>
      <c r="R55" s="14" t="n"/>
      <c r="S55" s="16" t="n">
        <v>90</v>
      </c>
      <c r="T55" s="124">
        <f>IF(S55="","",COUNTIFS($C$18:$C$2015,S$13,$D$18:$D$2015,"&gt;="&amp;S55,$D$18:$D$2015,"&lt;"&amp;S56))</f>
        <v/>
      </c>
      <c r="U55" s="14" t="n"/>
      <c r="V55" s="16" t="n"/>
      <c r="W55" s="124">
        <f>IF(V55="","",COUNTIFS($C$18:$C$2015,V$13,$D$18:$D$2015,"&gt;="&amp;V55,$D$18:$D$2015,"&lt;"&amp;V56))</f>
        <v/>
      </c>
      <c r="X55" s="14" t="n"/>
      <c r="Y55" s="16" t="n"/>
      <c r="Z55" s="124">
        <f>IF(Y55="","",COUNTIFS($C$18:$C$2015,Y$13,$D$18:$D$2015,"&gt;="&amp;Y55,$D$18:$D$2015,"&lt;"&amp;Y56))</f>
        <v/>
      </c>
      <c r="AA55" s="14" t="n"/>
      <c r="AB55" s="16" t="n">
        <v>50</v>
      </c>
      <c r="AC55" s="124">
        <f>IF(AB55="","",COUNTIFS($C$18:$C$2015,AB$13,$D$18:$D$2015,"&gt;="&amp;AB55,$D$18:$D$2015,"&lt;"&amp;AB56))</f>
        <v/>
      </c>
      <c r="AD55" s="14" t="n"/>
    </row>
    <row r="56">
      <c r="A56" s="56" t="n"/>
      <c r="B56" s="57" t="n"/>
      <c r="C56" s="59" t="n"/>
      <c r="E56" s="16" t="n"/>
      <c r="F56" s="13" t="n"/>
      <c r="G56" s="16" t="n">
        <v>51</v>
      </c>
      <c r="H56" s="124">
        <f>IF(G56="","",COUNTIFS($C$18:$C$2015,G$13,$D$18:$D$2015,"&gt;="&amp;G56,$D$18:$D$2015,"&lt;"&amp;G57))</f>
        <v/>
      </c>
      <c r="I56" s="14" t="n"/>
      <c r="J56" s="16" t="n"/>
      <c r="K56" s="124">
        <f>IF(J56="","",COUNTIFS($C$18:$C$2015,J$13,$D$18:$D$2015,"&gt;="&amp;J56,$D$18:$D$2015,"&lt;"&amp;J57))</f>
        <v/>
      </c>
      <c r="L56" s="14" t="n"/>
      <c r="M56" s="16" t="n"/>
      <c r="N56" s="124">
        <f>IF(M56="","",COUNTIFS($C$18:$C$2015,M$13,$D$18:$D$2015,"&gt;="&amp;M56,$D$18:$D$2015,"&lt;"&amp;M57))</f>
        <v/>
      </c>
      <c r="O56" s="14" t="n"/>
      <c r="P56" s="16" t="n">
        <v>51</v>
      </c>
      <c r="Q56" s="124">
        <f>IF(P56="","",COUNTIFS($C$18:$C$2015,P$13,$D$18:$D$2015,"&gt;="&amp;P56,$D$18:$D$2015,"&lt;"&amp;P57))</f>
        <v/>
      </c>
      <c r="R56" s="14" t="n"/>
      <c r="S56" s="16" t="n">
        <v>92</v>
      </c>
      <c r="T56" s="124">
        <f>IF(S56="","",COUNTIFS($C$18:$C$2015,S$13,$D$18:$D$2015,"&gt;="&amp;S56,$D$18:$D$2015,"&lt;"&amp;S57))</f>
        <v/>
      </c>
      <c r="U56" s="14" t="n"/>
      <c r="V56" s="16" t="n"/>
      <c r="W56" s="124">
        <f>IF(V56="","",COUNTIFS($C$18:$C$2015,V$13,$D$18:$D$2015,"&gt;="&amp;V56,$D$18:$D$2015,"&lt;"&amp;V57))</f>
        <v/>
      </c>
      <c r="X56" s="14" t="n"/>
      <c r="Y56" s="16" t="n"/>
      <c r="Z56" s="124">
        <f>IF(Y56="","",COUNTIFS($C$18:$C$2015,Y$13,$D$18:$D$2015,"&gt;="&amp;Y56,$D$18:$D$2015,"&lt;"&amp;Y57))</f>
        <v/>
      </c>
      <c r="AA56" s="14" t="n"/>
      <c r="AB56" s="16" t="n">
        <v>51</v>
      </c>
      <c r="AC56" s="124">
        <f>IF(AB56="","",COUNTIFS($C$18:$C$2015,AB$13,$D$18:$D$2015,"&gt;="&amp;AB56,$D$18:$D$2015,"&lt;"&amp;AB57))</f>
        <v/>
      </c>
      <c r="AD56" s="14" t="n"/>
    </row>
    <row r="57">
      <c r="A57" s="58" t="n"/>
      <c r="B57" s="59" t="n"/>
      <c r="C57" s="59" t="n"/>
      <c r="E57" s="16" t="n"/>
      <c r="F57" s="13" t="n"/>
      <c r="G57" s="16" t="n">
        <v>52</v>
      </c>
      <c r="H57" s="124">
        <f>IF(G57="","",COUNTIFS($C$18:$C$2015,G$13,$D$18:$D$2015,"&gt;="&amp;G57,$D$18:$D$2015,"&lt;"&amp;G58))</f>
        <v/>
      </c>
      <c r="I57" s="14" t="n"/>
      <c r="J57" s="16" t="n"/>
      <c r="K57" s="124">
        <f>IF(J57="","",COUNTIFS($C$18:$C$2015,J$13,$D$18:$D$2015,"&gt;="&amp;J57,$D$18:$D$2015,"&lt;"&amp;J58))</f>
        <v/>
      </c>
      <c r="L57" s="14" t="n"/>
      <c r="M57" s="16" t="n"/>
      <c r="N57" s="124">
        <f>IF(M57="","",COUNTIFS($C$18:$C$2015,M$13,$D$18:$D$2015,"&gt;="&amp;M57,$D$18:$D$2015,"&lt;"&amp;M58))</f>
        <v/>
      </c>
      <c r="O57" s="14" t="n"/>
      <c r="P57" s="16" t="n">
        <v>52</v>
      </c>
      <c r="Q57" s="124">
        <f>IF(P57="","",COUNTIFS($C$18:$C$2015,P$13,$D$18:$D$2015,"&gt;="&amp;P57,$D$18:$D$2015,"&lt;"&amp;P58))</f>
        <v/>
      </c>
      <c r="R57" s="14" t="n"/>
      <c r="S57" s="16" t="n">
        <v>94</v>
      </c>
      <c r="T57" s="124">
        <f>IF(S57="","",COUNTIFS($C$18:$C$2015,S$13,$D$18:$D$2015,"&gt;="&amp;S57,$D$18:$D$2015,"&lt;"&amp;S58))</f>
        <v/>
      </c>
      <c r="U57" s="14" t="n"/>
      <c r="V57" s="16" t="n"/>
      <c r="W57" s="124">
        <f>IF(V57="","",COUNTIFS($C$18:$C$2015,V$13,$D$18:$D$2015,"&gt;="&amp;V57,$D$18:$D$2015,"&lt;"&amp;V58))</f>
        <v/>
      </c>
      <c r="X57" s="14" t="n"/>
      <c r="Y57" s="16" t="n"/>
      <c r="Z57" s="124">
        <f>IF(Y57="","",COUNTIFS($C$18:$C$2015,Y$13,$D$18:$D$2015,"&gt;="&amp;Y57,$D$18:$D$2015,"&lt;"&amp;Y58))</f>
        <v/>
      </c>
      <c r="AA57" s="14" t="n"/>
      <c r="AB57" s="16" t="n">
        <v>52</v>
      </c>
      <c r="AC57" s="124">
        <f>IF(AB57="","",COUNTIFS($C$18:$C$2015,AB$13,$D$18:$D$2015,"&gt;="&amp;AB57,$D$18:$D$2015,"&lt;"&amp;AB58))</f>
        <v/>
      </c>
      <c r="AD57" s="14" t="n"/>
    </row>
    <row r="58">
      <c r="A58" s="56" t="n"/>
      <c r="B58" s="57" t="n"/>
      <c r="C58" s="59" t="n"/>
      <c r="E58" s="16" t="n"/>
      <c r="F58" s="13" t="n"/>
      <c r="G58" s="16" t="n">
        <v>53</v>
      </c>
      <c r="H58" s="124">
        <f>IF(G58="","",COUNTIFS($C$18:$C$2015,G$13,$D$18:$D$2015,"&gt;="&amp;G58,$D$18:$D$2015,"&lt;"&amp;G59))</f>
        <v/>
      </c>
      <c r="I58" s="14" t="n"/>
      <c r="J58" s="16" t="n"/>
      <c r="K58" s="124">
        <f>IF(J58="","",COUNTIFS($C$18:$C$2015,J$13,$D$18:$D$2015,"&gt;="&amp;J58,$D$18:$D$2015,"&lt;"&amp;J59))</f>
        <v/>
      </c>
      <c r="L58" s="14" t="n"/>
      <c r="M58" s="16" t="n"/>
      <c r="N58" s="124">
        <f>IF(M58="","",COUNTIFS($C$18:$C$2015,M$13,$D$18:$D$2015,"&gt;="&amp;M58,$D$18:$D$2015,"&lt;"&amp;M59))</f>
        <v/>
      </c>
      <c r="O58" s="14" t="n"/>
      <c r="P58" s="16" t="n">
        <v>53</v>
      </c>
      <c r="Q58" s="124">
        <f>IF(P58="","",COUNTIFS($C$18:$C$2015,P$13,$D$18:$D$2015,"&gt;="&amp;P58,$D$18:$D$2015,"&lt;"&amp;P59))</f>
        <v/>
      </c>
      <c r="R58" s="14" t="n"/>
      <c r="S58" s="16" t="n">
        <v>96</v>
      </c>
      <c r="T58" s="124">
        <f>IF(S58="","",COUNTIFS($C$18:$C$2015,S$13,$D$18:$D$2015,"&gt;="&amp;S58,$D$18:$D$2015,"&lt;"&amp;S59))</f>
        <v/>
      </c>
      <c r="U58" s="14" t="n"/>
      <c r="V58" s="16" t="n"/>
      <c r="W58" s="124">
        <f>IF(V58="","",COUNTIFS($C$18:$C$2015,V$13,$D$18:$D$2015,"&gt;="&amp;V58,$D$18:$D$2015,"&lt;"&amp;V59))</f>
        <v/>
      </c>
      <c r="X58" s="14" t="n"/>
      <c r="Y58" s="16" t="n"/>
      <c r="Z58" s="124">
        <f>IF(Y58="","",COUNTIFS($C$18:$C$2015,Y$13,$D$18:$D$2015,"&gt;="&amp;Y58,$D$18:$D$2015,"&lt;"&amp;Y59))</f>
        <v/>
      </c>
      <c r="AA58" s="14" t="n"/>
      <c r="AB58" s="16" t="n">
        <v>53</v>
      </c>
      <c r="AC58" s="124">
        <f>IF(AB58="","",COUNTIFS($C$18:$C$2015,AB$13,$D$18:$D$2015,"&gt;="&amp;AB58,$D$18:$D$2015,"&lt;"&amp;AB59))</f>
        <v/>
      </c>
      <c r="AD58" s="14" t="n"/>
    </row>
    <row r="59">
      <c r="A59" s="58" t="n"/>
      <c r="B59" s="59" t="n"/>
      <c r="C59" s="59" t="n"/>
      <c r="E59" s="16" t="n"/>
      <c r="F59" s="13" t="n"/>
      <c r="G59" s="16" t="n">
        <v>54</v>
      </c>
      <c r="H59" s="124">
        <f>IF(G59="","",COUNTIFS($C$18:$C$2015,G$13,$D$18:$D$2015,"&gt;="&amp;G59,$D$18:$D$2015,"&lt;"&amp;G60))</f>
        <v/>
      </c>
      <c r="I59" s="14" t="n"/>
      <c r="J59" s="16" t="n"/>
      <c r="K59" s="124">
        <f>IF(J59="","",COUNTIFS($C$18:$C$2015,J$13,$D$18:$D$2015,"&gt;="&amp;J59,$D$18:$D$2015,"&lt;"&amp;J60))</f>
        <v/>
      </c>
      <c r="L59" s="14" t="n"/>
      <c r="M59" s="16" t="n"/>
      <c r="N59" s="124">
        <f>IF(M59="","",COUNTIFS($C$18:$C$2015,M$13,$D$18:$D$2015,"&gt;="&amp;M59,$D$18:$D$2015,"&lt;"&amp;M60))</f>
        <v/>
      </c>
      <c r="O59" s="14" t="n"/>
      <c r="P59" s="16" t="n">
        <v>54</v>
      </c>
      <c r="Q59" s="124">
        <f>IF(P59="","",COUNTIFS($C$18:$C$2015,P$13,$D$18:$D$2015,"&gt;="&amp;P59,$D$18:$D$2015,"&lt;"&amp;P60))</f>
        <v/>
      </c>
      <c r="R59" s="14" t="n"/>
      <c r="S59" s="16" t="n">
        <v>98</v>
      </c>
      <c r="T59" s="124">
        <f>IF(S59="","",COUNTIFS($C$18:$C$2015,S$13,$D$18:$D$2015,"&gt;="&amp;S59,$D$18:$D$2015,"&lt;"&amp;S60))</f>
        <v/>
      </c>
      <c r="U59" s="14" t="n"/>
      <c r="V59" s="16" t="n"/>
      <c r="W59" s="124">
        <f>IF(V59="","",COUNTIFS($C$18:$C$2015,V$13,$D$18:$D$2015,"&gt;="&amp;V59,$D$18:$D$2015,"&lt;"&amp;V60))</f>
        <v/>
      </c>
      <c r="X59" s="14" t="n"/>
      <c r="Y59" s="16" t="n"/>
      <c r="Z59" s="124">
        <f>IF(Y59="","",COUNTIFS($C$18:$C$2015,Y$13,$D$18:$D$2015,"&gt;="&amp;Y59,$D$18:$D$2015,"&lt;"&amp;Y60))</f>
        <v/>
      </c>
      <c r="AA59" s="14" t="n"/>
      <c r="AB59" s="16" t="n">
        <v>54</v>
      </c>
      <c r="AC59" s="124">
        <f>IF(AB59="","",COUNTIFS($C$18:$C$2015,AB$13,$D$18:$D$2015,"&gt;="&amp;AB59,$D$18:$D$2015,"&lt;"&amp;AB60))</f>
        <v/>
      </c>
      <c r="AD59" s="14" t="n"/>
    </row>
    <row r="60">
      <c r="A60" s="56" t="n"/>
      <c r="B60" s="57" t="n"/>
      <c r="C60" s="59" t="n"/>
      <c r="E60" s="16" t="n"/>
      <c r="F60" s="13" t="n"/>
      <c r="G60" s="16" t="n">
        <v>55</v>
      </c>
      <c r="H60" s="124">
        <f>IF(G60="","",COUNTIFS($C$18:$C$2015,G$13,$D$18:$D$2015,"&gt;="&amp;G60,$D$18:$D$2015,"&lt;"&amp;G61))</f>
        <v/>
      </c>
      <c r="I60" s="14" t="n"/>
      <c r="J60" s="16" t="n"/>
      <c r="K60" s="124">
        <f>IF(J60="","",COUNTIFS($C$18:$C$2015,J$13,$D$18:$D$2015,"&gt;="&amp;J60,$D$18:$D$2015,"&lt;"&amp;J61))</f>
        <v/>
      </c>
      <c r="L60" s="14" t="n"/>
      <c r="M60" s="16" t="n"/>
      <c r="N60" s="124">
        <f>IF(M60="","",COUNTIFS($C$18:$C$2015,M$13,$D$18:$D$2015,"&gt;="&amp;M60,$D$18:$D$2015,"&lt;"&amp;M61))</f>
        <v/>
      </c>
      <c r="O60" s="14" t="n"/>
      <c r="P60" s="16" t="n">
        <v>55</v>
      </c>
      <c r="Q60" s="124">
        <f>IF(P60="","",COUNTIFS($C$18:$C$2015,P$13,$D$18:$D$2015,"&gt;="&amp;P60,$D$18:$D$2015,"&lt;"&amp;P61))</f>
        <v/>
      </c>
      <c r="R60" s="14" t="n"/>
      <c r="S60" s="16" t="n">
        <v>100</v>
      </c>
      <c r="T60" s="124">
        <f>IF(S60="","",COUNTIFS($C$18:$C$2015,S$13,$D$18:$D$2015,"&gt;="&amp;S60,$D$18:$D$2015,"&lt;"&amp;S61))</f>
        <v/>
      </c>
      <c r="U60" s="14" t="n"/>
      <c r="V60" s="16" t="n"/>
      <c r="W60" s="124">
        <f>IF(V60="","",COUNTIFS($C$18:$C$2015,V$13,$D$18:$D$2015,"&gt;="&amp;V60,$D$18:$D$2015,"&lt;"&amp;V61))</f>
        <v/>
      </c>
      <c r="X60" s="14" t="n"/>
      <c r="Y60" s="16" t="n"/>
      <c r="Z60" s="124">
        <f>IF(Y60="","",COUNTIFS($C$18:$C$2015,Y$13,$D$18:$D$2015,"&gt;="&amp;Y60,$D$18:$D$2015,"&lt;"&amp;Y61))</f>
        <v/>
      </c>
      <c r="AA60" s="14" t="n"/>
      <c r="AB60" s="16" t="n">
        <v>55</v>
      </c>
      <c r="AC60" s="124">
        <f>IF(AB60="","",COUNTIFS($C$18:$C$2015,AB$13,$D$18:$D$2015,"&gt;="&amp;AB60,$D$18:$D$2015,"&lt;"&amp;AB61))</f>
        <v/>
      </c>
      <c r="AD60" s="14" t="n"/>
    </row>
    <row r="61">
      <c r="A61" s="58" t="n"/>
      <c r="B61" s="59" t="n"/>
      <c r="C61" s="59" t="n"/>
      <c r="E61" s="16" t="n"/>
      <c r="F61" s="13" t="n"/>
      <c r="G61" s="16" t="n">
        <v>56</v>
      </c>
      <c r="H61" s="124">
        <f>IF(G61="","",COUNTIFS($C$18:$C$2015,G$13,$D$18:$D$2015,"&gt;="&amp;G61,$D$18:$D$2015,"&lt;"&amp;G62))</f>
        <v/>
      </c>
      <c r="I61" s="14" t="n"/>
      <c r="J61" s="16" t="n"/>
      <c r="K61" s="124">
        <f>IF(J61="","",COUNTIFS($C$18:$C$2015,J$13,$D$18:$D$2015,"&gt;="&amp;J61,$D$18:$D$2015,"&lt;"&amp;J62))</f>
        <v/>
      </c>
      <c r="L61" s="14" t="n"/>
      <c r="M61" s="16" t="n"/>
      <c r="N61" s="124">
        <f>IF(M61="","",COUNTIFS($C$18:$C$2015,M$13,$D$18:$D$2015,"&gt;="&amp;M61,$D$18:$D$2015,"&lt;"&amp;M62))</f>
        <v/>
      </c>
      <c r="O61" s="14" t="n"/>
      <c r="P61" s="16" t="n">
        <v>56</v>
      </c>
      <c r="Q61" s="124">
        <f>IF(P61="","",COUNTIFS($C$18:$C$2015,P$13,$D$18:$D$2015,"&gt;="&amp;P61,$D$18:$D$2015,"&lt;"&amp;P62))</f>
        <v/>
      </c>
      <c r="R61" s="14" t="n"/>
      <c r="S61" s="16" t="n"/>
      <c r="T61" s="124">
        <f>IF(S61="","",COUNTIFS($C$18:$C$2015,S$13,$D$18:$D$2015,"&gt;="&amp;S61,$D$18:$D$2015,"&lt;"&amp;S62))</f>
        <v/>
      </c>
      <c r="U61" s="14" t="n"/>
      <c r="V61" s="16" t="n"/>
      <c r="W61" s="124">
        <f>IF(V61="","",COUNTIFS($C$18:$C$2015,V$13,$D$18:$D$2015,"&gt;="&amp;V61,$D$18:$D$2015,"&lt;"&amp;V62))</f>
        <v/>
      </c>
      <c r="X61" s="14" t="n"/>
      <c r="Y61" s="16" t="n"/>
      <c r="Z61" s="124">
        <f>IF(Y61="","",COUNTIFS($C$18:$C$2015,Y$13,$D$18:$D$2015,"&gt;="&amp;Y61,$D$18:$D$2015,"&lt;"&amp;Y62))</f>
        <v/>
      </c>
      <c r="AA61" s="14" t="n"/>
      <c r="AB61" s="16" t="n">
        <v>56</v>
      </c>
      <c r="AC61" s="124">
        <f>IF(AB61="","",COUNTIFS($C$18:$C$2015,AB$13,$D$18:$D$2015,"&gt;="&amp;AB61,$D$18:$D$2015,"&lt;"&amp;AB62))</f>
        <v/>
      </c>
      <c r="AD61" s="14" t="n"/>
    </row>
    <row r="62">
      <c r="A62" s="56" t="n"/>
      <c r="B62" s="57" t="n"/>
      <c r="C62" s="59" t="n"/>
      <c r="E62" s="16" t="n"/>
      <c r="F62" s="13" t="n"/>
      <c r="G62" s="16" t="n">
        <v>57</v>
      </c>
      <c r="H62" s="124">
        <f>IF(G62="","",COUNTIFS($C$18:$C$2015,G$13,$D$18:$D$2015,"&gt;="&amp;G62,$D$18:$D$2015,"&lt;"&amp;G63))</f>
        <v/>
      </c>
      <c r="I62" s="14" t="n"/>
      <c r="J62" s="16" t="n"/>
      <c r="K62" s="124">
        <f>IF(J62="","",COUNTIFS($C$18:$C$2015,J$13,$D$18:$D$2015,"&gt;="&amp;J62,$D$18:$D$2015,"&lt;"&amp;J63))</f>
        <v/>
      </c>
      <c r="L62" s="14" t="n"/>
      <c r="M62" s="16" t="n"/>
      <c r="N62" s="124">
        <f>IF(M62="","",COUNTIFS($C$18:$C$2015,M$13,$D$18:$D$2015,"&gt;="&amp;M62,$D$18:$D$2015,"&lt;"&amp;M63))</f>
        <v/>
      </c>
      <c r="O62" s="14" t="n"/>
      <c r="P62" s="16" t="n">
        <v>57</v>
      </c>
      <c r="Q62" s="124">
        <f>IF(P62="","",COUNTIFS($C$18:$C$2015,P$13,$D$18:$D$2015,"&gt;="&amp;P62,$D$18:$D$2015,"&lt;"&amp;P63))</f>
        <v/>
      </c>
      <c r="R62" s="14" t="n"/>
      <c r="S62" s="16" t="n"/>
      <c r="T62" s="124">
        <f>IF(S62="","",COUNTIFS($C$18:$C$2015,S$13,$D$18:$D$2015,"&gt;="&amp;S62,$D$18:$D$2015,"&lt;"&amp;S63))</f>
        <v/>
      </c>
      <c r="U62" s="14" t="n"/>
      <c r="V62" s="16" t="n"/>
      <c r="W62" s="124">
        <f>IF(V62="","",COUNTIFS($C$18:$C$2015,V$13,$D$18:$D$2015,"&gt;="&amp;V62,$D$18:$D$2015,"&lt;"&amp;V63))</f>
        <v/>
      </c>
      <c r="X62" s="14" t="n"/>
      <c r="Y62" s="16" t="n"/>
      <c r="Z62" s="124">
        <f>IF(Y62="","",COUNTIFS($C$18:$C$2015,Y$13,$D$18:$D$2015,"&gt;="&amp;Y62,$D$18:$D$2015,"&lt;"&amp;Y63))</f>
        <v/>
      </c>
      <c r="AA62" s="14" t="n"/>
      <c r="AB62" s="16" t="n">
        <v>57</v>
      </c>
      <c r="AC62" s="124">
        <f>IF(AB62="","",COUNTIFS($C$18:$C$2015,AB$13,$D$18:$D$2015,"&gt;="&amp;AB62,$D$18:$D$2015,"&lt;"&amp;AB63))</f>
        <v/>
      </c>
      <c r="AD62" s="14" t="n"/>
    </row>
    <row r="63">
      <c r="A63" s="58" t="n"/>
      <c r="B63" s="59" t="n"/>
      <c r="C63" s="59" t="n"/>
      <c r="E63" s="16" t="n"/>
      <c r="F63" s="13" t="n"/>
      <c r="G63" s="16" t="n">
        <v>58</v>
      </c>
      <c r="H63" s="124">
        <f>IF(G63="","",COUNTIFS($C$18:$C$2015,G$13,$D$18:$D$2015,"&gt;="&amp;G63,$D$18:$D$2015,"&lt;"&amp;G64))</f>
        <v/>
      </c>
      <c r="I63" s="14" t="n"/>
      <c r="J63" s="16" t="n"/>
      <c r="K63" s="124">
        <f>IF(J63="","",COUNTIFS($C$18:$C$2015,J$13,$D$18:$D$2015,"&gt;="&amp;J63,$D$18:$D$2015,"&lt;"&amp;J64))</f>
        <v/>
      </c>
      <c r="L63" s="14" t="n"/>
      <c r="M63" s="16" t="n"/>
      <c r="N63" s="124">
        <f>IF(M63="","",COUNTIFS($C$18:$C$2015,M$13,$D$18:$D$2015,"&gt;="&amp;M63,$D$18:$D$2015,"&lt;"&amp;M64))</f>
        <v/>
      </c>
      <c r="O63" s="14" t="n"/>
      <c r="P63" s="16" t="n">
        <v>58</v>
      </c>
      <c r="Q63" s="124">
        <f>IF(P63="","",COUNTIFS($C$18:$C$2015,P$13,$D$18:$D$2015,"&gt;="&amp;P63,$D$18:$D$2015,"&lt;"&amp;P64))</f>
        <v/>
      </c>
      <c r="R63" s="14" t="n"/>
      <c r="S63" s="16" t="n"/>
      <c r="T63" s="124">
        <f>IF(S63="","",COUNTIFS($C$18:$C$2015,S$13,$D$18:$D$2015,"&gt;="&amp;S63,$D$18:$D$2015,"&lt;"&amp;S64))</f>
        <v/>
      </c>
      <c r="U63" s="14" t="n"/>
      <c r="V63" s="16" t="n"/>
      <c r="W63" s="124">
        <f>IF(V63="","",COUNTIFS($C$18:$C$2015,V$13,$D$18:$D$2015,"&gt;="&amp;V63,$D$18:$D$2015,"&lt;"&amp;V64))</f>
        <v/>
      </c>
      <c r="X63" s="14" t="n"/>
      <c r="Y63" s="16" t="n"/>
      <c r="Z63" s="124">
        <f>IF(Y63="","",COUNTIFS($C$18:$C$2015,Y$13,$D$18:$D$2015,"&gt;="&amp;Y63,$D$18:$D$2015,"&lt;"&amp;Y64))</f>
        <v/>
      </c>
      <c r="AA63" s="14" t="n"/>
      <c r="AB63" s="16" t="n">
        <v>58</v>
      </c>
      <c r="AC63" s="124">
        <f>IF(AB63="","",COUNTIFS($C$18:$C$2015,AB$13,$D$18:$D$2015,"&gt;="&amp;AB63,$D$18:$D$2015,"&lt;"&amp;AB64))</f>
        <v/>
      </c>
      <c r="AD63" s="14" t="n"/>
    </row>
    <row r="64">
      <c r="A64" s="56" t="n"/>
      <c r="B64" s="57" t="n"/>
      <c r="C64" s="59" t="n"/>
      <c r="E64" s="16" t="n"/>
      <c r="F64" s="13" t="n"/>
      <c r="G64" s="16" t="n">
        <v>59</v>
      </c>
      <c r="H64" s="124">
        <f>IF(G64="","",COUNTIFS($C$18:$C$2015,G$13,$D$18:$D$2015,"&gt;="&amp;G64,$D$18:$D$2015,"&lt;"&amp;G65))</f>
        <v/>
      </c>
      <c r="I64" s="14" t="n"/>
      <c r="J64" s="16" t="n"/>
      <c r="K64" s="124">
        <f>IF(J64="","",COUNTIFS($C$18:$C$2015,J$13,$D$18:$D$2015,"&gt;="&amp;J64,$D$18:$D$2015,"&lt;"&amp;J65))</f>
        <v/>
      </c>
      <c r="L64" s="14" t="n"/>
      <c r="M64" s="16" t="n"/>
      <c r="N64" s="124">
        <f>IF(M64="","",COUNTIFS($C$18:$C$2015,M$13,$D$18:$D$2015,"&gt;="&amp;M64,$D$18:$D$2015,"&lt;"&amp;M65))</f>
        <v/>
      </c>
      <c r="O64" s="14" t="n"/>
      <c r="P64" s="16" t="n">
        <v>59</v>
      </c>
      <c r="Q64" s="124">
        <f>IF(P64="","",COUNTIFS($C$18:$C$2015,P$13,$D$18:$D$2015,"&gt;="&amp;P64,$D$18:$D$2015,"&lt;"&amp;P65))</f>
        <v/>
      </c>
      <c r="R64" s="14" t="n"/>
      <c r="S64" s="16" t="n"/>
      <c r="T64" s="124">
        <f>IF(S64="","",COUNTIFS($C$18:$C$2015,S$13,$D$18:$D$2015,"&gt;="&amp;S64,$D$18:$D$2015,"&lt;"&amp;S65))</f>
        <v/>
      </c>
      <c r="U64" s="14" t="n"/>
      <c r="V64" s="16" t="n"/>
      <c r="W64" s="124">
        <f>IF(V64="","",COUNTIFS($C$18:$C$2015,V$13,$D$18:$D$2015,"&gt;="&amp;V64,$D$18:$D$2015,"&lt;"&amp;V65))</f>
        <v/>
      </c>
      <c r="X64" s="14" t="n"/>
      <c r="Y64" s="16" t="n"/>
      <c r="Z64" s="124">
        <f>IF(Y64="","",COUNTIFS($C$18:$C$2015,Y$13,$D$18:$D$2015,"&gt;="&amp;Y64,$D$18:$D$2015,"&lt;"&amp;Y65))</f>
        <v/>
      </c>
      <c r="AA64" s="14" t="n"/>
      <c r="AB64" s="16" t="n">
        <v>59</v>
      </c>
      <c r="AC64" s="124">
        <f>IF(AB64="","",COUNTIFS($C$18:$C$2015,AB$13,$D$18:$D$2015,"&gt;="&amp;AB64,$D$18:$D$2015,"&lt;"&amp;AB65))</f>
        <v/>
      </c>
      <c r="AD64" s="14" t="n"/>
    </row>
    <row r="65">
      <c r="A65" s="58" t="n"/>
      <c r="B65" s="59" t="n"/>
      <c r="C65" s="59" t="n"/>
      <c r="E65" s="16" t="n"/>
      <c r="F65" s="13" t="n"/>
      <c r="G65" s="16" t="n">
        <v>60</v>
      </c>
      <c r="H65" s="124">
        <f>IF(G65="","",COUNTIFS($C$18:$C$2015,G$13,$D$18:$D$2015,"&gt;="&amp;G65,$D$18:$D$2015,"&lt;"&amp;G66))</f>
        <v/>
      </c>
      <c r="I65" s="14" t="n"/>
      <c r="J65" s="16" t="n"/>
      <c r="K65" s="124">
        <f>IF(J65="","",COUNTIFS($C$18:$C$2015,J$13,$D$18:$D$2015,"&gt;="&amp;J65,$D$18:$D$2015,"&lt;"&amp;J66))</f>
        <v/>
      </c>
      <c r="L65" s="14" t="n"/>
      <c r="M65" s="16" t="n"/>
      <c r="N65" s="124">
        <f>IF(M65="","",COUNTIFS($C$18:$C$2015,M$13,$D$18:$D$2015,"&gt;="&amp;M65,$D$18:$D$2015,"&lt;"&amp;M66))</f>
        <v/>
      </c>
      <c r="O65" s="14" t="n"/>
      <c r="P65" s="16" t="n">
        <v>60</v>
      </c>
      <c r="Q65" s="124">
        <f>IF(P65="","",COUNTIFS($C$18:$C$2015,P$13,$D$18:$D$2015,"&gt;="&amp;P65,$D$18:$D$2015,"&lt;"&amp;P66))</f>
        <v/>
      </c>
      <c r="R65" s="14" t="n"/>
      <c r="S65" s="16" t="n"/>
      <c r="T65" s="124">
        <f>IF(S65="","",COUNTIFS($C$18:$C$2015,S$13,$D$18:$D$2015,"&gt;="&amp;S65,$D$18:$D$2015,"&lt;"&amp;S66))</f>
        <v/>
      </c>
      <c r="U65" s="14" t="n"/>
      <c r="V65" s="16" t="n"/>
      <c r="W65" s="124">
        <f>IF(V65="","",COUNTIFS($C$18:$C$2015,V$13,$D$18:$D$2015,"&gt;="&amp;V65,$D$18:$D$2015,"&lt;"&amp;V66))</f>
        <v/>
      </c>
      <c r="X65" s="14" t="n"/>
      <c r="Y65" s="16" t="n"/>
      <c r="Z65" s="124">
        <f>IF(Y65="","",COUNTIFS($C$18:$C$2015,Y$13,$D$18:$D$2015,"&gt;="&amp;Y65,$D$18:$D$2015,"&lt;"&amp;Y66))</f>
        <v/>
      </c>
      <c r="AA65" s="14" t="n"/>
      <c r="AB65" s="16" t="n">
        <v>60</v>
      </c>
      <c r="AC65" s="124">
        <f>IF(AB65="","",COUNTIFS($C$18:$C$2015,AB$13,$D$18:$D$2015,"&gt;="&amp;AB65,$D$18:$D$2015,"&lt;"&amp;AB66))</f>
        <v/>
      </c>
      <c r="AD65" s="14" t="n"/>
    </row>
    <row r="66">
      <c r="A66" s="56" t="n"/>
      <c r="B66" s="57" t="n"/>
      <c r="C66" s="59" t="n"/>
      <c r="E66" s="16" t="n"/>
      <c r="F66" s="13" t="n"/>
      <c r="G66" s="16" t="n">
        <v>61</v>
      </c>
      <c r="H66" s="124">
        <f>IF(G66="","",COUNTIFS($C$18:$C$2015,G$13,$D$18:$D$2015,"&gt;="&amp;G66,$D$18:$D$2015,"&lt;"&amp;G67))</f>
        <v/>
      </c>
      <c r="I66" s="14" t="n"/>
      <c r="J66" s="16" t="n"/>
      <c r="K66" s="124">
        <f>IF(J66="","",COUNTIFS($C$18:$C$2015,J$13,$D$18:$D$2015,"&gt;="&amp;J66,$D$18:$D$2015,"&lt;"&amp;J67))</f>
        <v/>
      </c>
      <c r="L66" s="14" t="n"/>
      <c r="M66" s="16" t="n"/>
      <c r="N66" s="124">
        <f>IF(M66="","",COUNTIFS($C$18:$C$2015,M$13,$D$18:$D$2015,"&gt;="&amp;M66,$D$18:$D$2015,"&lt;"&amp;M67))</f>
        <v/>
      </c>
      <c r="O66" s="14" t="n"/>
      <c r="P66" s="16" t="n">
        <v>61</v>
      </c>
      <c r="Q66" s="124">
        <f>IF(P66="","",COUNTIFS($C$18:$C$2015,P$13,$D$18:$D$2015,"&gt;="&amp;P66,$D$18:$D$2015,"&lt;"&amp;P67))</f>
        <v/>
      </c>
      <c r="R66" s="14" t="n"/>
      <c r="S66" s="16" t="n"/>
      <c r="T66" s="124">
        <f>IF(S66="","",COUNTIFS($C$18:$C$2015,S$13,$D$18:$D$2015,"&gt;="&amp;S66,$D$18:$D$2015,"&lt;"&amp;S67))</f>
        <v/>
      </c>
      <c r="U66" s="14" t="n"/>
      <c r="V66" s="16" t="n"/>
      <c r="W66" s="124">
        <f>IF(V66="","",COUNTIFS($C$18:$C$2015,V$13,$D$18:$D$2015,"&gt;="&amp;V66,$D$18:$D$2015,"&lt;"&amp;V67))</f>
        <v/>
      </c>
      <c r="X66" s="14" t="n"/>
      <c r="Y66" s="16" t="n"/>
      <c r="Z66" s="124">
        <f>IF(Y66="","",COUNTIFS($C$18:$C$2015,Y$13,$D$18:$D$2015,"&gt;="&amp;Y66,$D$18:$D$2015,"&lt;"&amp;Y67))</f>
        <v/>
      </c>
      <c r="AA66" s="14" t="n"/>
      <c r="AB66" s="16" t="n">
        <v>61</v>
      </c>
      <c r="AC66" s="124">
        <f>IF(AB66="","",COUNTIFS($C$18:$C$2015,AB$13,$D$18:$D$2015,"&gt;="&amp;AB66,$D$18:$D$2015,"&lt;"&amp;AB67))</f>
        <v/>
      </c>
      <c r="AD66" s="14" t="n"/>
    </row>
    <row r="67">
      <c r="A67" s="58" t="n"/>
      <c r="B67" s="59" t="n"/>
      <c r="C67" s="59" t="n"/>
      <c r="E67" s="16" t="n"/>
      <c r="F67" s="13" t="n"/>
      <c r="G67" s="16" t="n">
        <v>62</v>
      </c>
      <c r="H67" s="124">
        <f>IF(G67="","",COUNTIFS($C$18:$C$2015,G$13,$D$18:$D$2015,"&gt;="&amp;G67,$D$18:$D$2015,"&lt;"&amp;G68))</f>
        <v/>
      </c>
      <c r="I67" s="14" t="n"/>
      <c r="J67" s="16" t="n"/>
      <c r="K67" s="124">
        <f>IF(J67="","",COUNTIFS($C$18:$C$2015,J$13,$D$18:$D$2015,"&gt;="&amp;J67,$D$18:$D$2015,"&lt;"&amp;J68))</f>
        <v/>
      </c>
      <c r="L67" s="14" t="n"/>
      <c r="M67" s="16" t="n"/>
      <c r="N67" s="124">
        <f>IF(M67="","",COUNTIFS($C$18:$C$2015,M$13,$D$18:$D$2015,"&gt;="&amp;M67,$D$18:$D$2015,"&lt;"&amp;M68))</f>
        <v/>
      </c>
      <c r="O67" s="14" t="n"/>
      <c r="P67" s="16" t="n">
        <v>62</v>
      </c>
      <c r="Q67" s="124">
        <f>IF(P67="","",COUNTIFS($C$18:$C$2015,P$13,$D$18:$D$2015,"&gt;="&amp;P67,$D$18:$D$2015,"&lt;"&amp;P68))</f>
        <v/>
      </c>
      <c r="R67" s="14" t="n"/>
      <c r="S67" s="16" t="n"/>
      <c r="T67" s="124">
        <f>IF(S67="","",COUNTIFS($C$18:$C$2015,S$13,$D$18:$D$2015,"&gt;="&amp;S67,$D$18:$D$2015,"&lt;"&amp;S68))</f>
        <v/>
      </c>
      <c r="U67" s="14" t="n"/>
      <c r="V67" s="16" t="n"/>
      <c r="W67" s="124">
        <f>IF(V67="","",COUNTIFS($C$18:$C$2015,V$13,$D$18:$D$2015,"&gt;="&amp;V67,$D$18:$D$2015,"&lt;"&amp;V68))</f>
        <v/>
      </c>
      <c r="X67" s="14" t="n"/>
      <c r="Y67" s="16" t="n"/>
      <c r="Z67" s="124">
        <f>IF(Y67="","",COUNTIFS($C$18:$C$2015,Y$13,$D$18:$D$2015,"&gt;="&amp;Y67,$D$18:$D$2015,"&lt;"&amp;Y68))</f>
        <v/>
      </c>
      <c r="AA67" s="14" t="n"/>
      <c r="AB67" s="16" t="n">
        <v>62</v>
      </c>
      <c r="AC67" s="124">
        <f>IF(AB67="","",COUNTIFS($C$18:$C$2015,AB$13,$D$18:$D$2015,"&gt;="&amp;AB67,$D$18:$D$2015,"&lt;"&amp;AB68))</f>
        <v/>
      </c>
      <c r="AD67" s="14" t="n"/>
    </row>
    <row r="68">
      <c r="A68" s="56" t="n"/>
      <c r="B68" s="57" t="n"/>
      <c r="C68" s="59" t="n"/>
      <c r="E68" s="16" t="n"/>
      <c r="F68" s="13" t="n"/>
      <c r="G68" s="16" t="n">
        <v>63</v>
      </c>
      <c r="H68" s="124">
        <f>IF(G68="","",COUNTIFS($C$18:$C$2015,G$13,$D$18:$D$2015,"&gt;="&amp;G68,$D$18:$D$2015,"&lt;"&amp;G69))</f>
        <v/>
      </c>
      <c r="I68" s="14" t="n"/>
      <c r="J68" s="16" t="n"/>
      <c r="K68" s="124">
        <f>IF(J68="","",COUNTIFS($C$18:$C$2015,J$13,$D$18:$D$2015,"&gt;="&amp;J68,$D$18:$D$2015,"&lt;"&amp;J69))</f>
        <v/>
      </c>
      <c r="L68" s="14" t="n"/>
      <c r="M68" s="16" t="n"/>
      <c r="N68" s="124">
        <f>IF(M68="","",COUNTIFS($C$18:$C$2015,M$13,$D$18:$D$2015,"&gt;="&amp;M68,$D$18:$D$2015,"&lt;"&amp;M69))</f>
        <v/>
      </c>
      <c r="O68" s="14" t="n"/>
      <c r="P68" s="16" t="n">
        <v>63</v>
      </c>
      <c r="Q68" s="124">
        <f>IF(P68="","",COUNTIFS($C$18:$C$2015,P$13,$D$18:$D$2015,"&gt;="&amp;P68,$D$18:$D$2015,"&lt;"&amp;P69))</f>
        <v/>
      </c>
      <c r="R68" s="14" t="n"/>
      <c r="S68" s="16" t="n"/>
      <c r="T68" s="124">
        <f>IF(S68="","",COUNTIFS($C$18:$C$2015,S$13,$D$18:$D$2015,"&gt;="&amp;S68,$D$18:$D$2015,"&lt;"&amp;S69))</f>
        <v/>
      </c>
      <c r="U68" s="14" t="n"/>
      <c r="V68" s="16" t="n"/>
      <c r="W68" s="124">
        <f>IF(V68="","",COUNTIFS($C$18:$C$2015,V$13,$D$18:$D$2015,"&gt;="&amp;V68,$D$18:$D$2015,"&lt;"&amp;V69))</f>
        <v/>
      </c>
      <c r="X68" s="14" t="n"/>
      <c r="Y68" s="16" t="n"/>
      <c r="Z68" s="124">
        <f>IF(Y68="","",COUNTIFS($C$18:$C$2015,Y$13,$D$18:$D$2015,"&gt;="&amp;Y68,$D$18:$D$2015,"&lt;"&amp;Y69))</f>
        <v/>
      </c>
      <c r="AA68" s="14" t="n"/>
      <c r="AB68" s="16" t="n"/>
      <c r="AC68" s="124">
        <f>IF(AB68="","",COUNTIFS($C$18:$C$2015,AB$13,$D$18:$D$2015,"&gt;="&amp;AB68,$D$18:$D$2015,"&lt;"&amp;AB69))</f>
        <v/>
      </c>
      <c r="AD68" s="14" t="n"/>
    </row>
    <row r="69">
      <c r="A69" s="58" t="n"/>
      <c r="B69" s="59" t="n"/>
      <c r="C69" s="59" t="n"/>
      <c r="E69" s="16" t="n"/>
      <c r="F69" s="13" t="n"/>
      <c r="G69" s="16" t="n">
        <v>64</v>
      </c>
      <c r="H69" s="124">
        <f>IF(G69="","",COUNTIFS($C$18:$C$2015,G$13,$D$18:$D$2015,"&gt;="&amp;G69,$D$18:$D$2015,"&lt;"&amp;G70))</f>
        <v/>
      </c>
      <c r="I69" s="14" t="n"/>
      <c r="J69" s="16" t="n"/>
      <c r="K69" s="124">
        <f>IF(J69="","",COUNTIFS($C$18:$C$2015,J$13,$D$18:$D$2015,"&gt;="&amp;J69,$D$18:$D$2015,"&lt;"&amp;J70))</f>
        <v/>
      </c>
      <c r="L69" s="14" t="n"/>
      <c r="M69" s="16" t="n"/>
      <c r="N69" s="124">
        <f>IF(M69="","",COUNTIFS($C$18:$C$2015,M$13,$D$18:$D$2015,"&gt;="&amp;M69,$D$18:$D$2015,"&lt;"&amp;M70))</f>
        <v/>
      </c>
      <c r="O69" s="14" t="n"/>
      <c r="P69" s="16" t="n">
        <v>64</v>
      </c>
      <c r="Q69" s="124">
        <f>IF(P69="","",COUNTIFS($C$18:$C$2015,P$13,$D$18:$D$2015,"&gt;="&amp;P69,$D$18:$D$2015,"&lt;"&amp;P70))</f>
        <v/>
      </c>
      <c r="R69" s="14" t="n"/>
      <c r="S69" s="16" t="n"/>
      <c r="T69" s="124">
        <f>IF(S69="","",COUNTIFS($C$18:$C$2015,S$13,$D$18:$D$2015,"&gt;="&amp;S69,$D$18:$D$2015,"&lt;"&amp;S70))</f>
        <v/>
      </c>
      <c r="U69" s="14" t="n"/>
      <c r="V69" s="16" t="n"/>
      <c r="W69" s="124">
        <f>IF(V69="","",COUNTIFS($C$18:$C$2015,V$13,$D$18:$D$2015,"&gt;="&amp;V69,$D$18:$D$2015,"&lt;"&amp;V70))</f>
        <v/>
      </c>
      <c r="X69" s="14" t="n"/>
      <c r="Y69" s="16" t="n"/>
      <c r="Z69" s="124">
        <f>IF(Y69="","",COUNTIFS($C$18:$C$2015,Y$13,$D$18:$D$2015,"&gt;="&amp;Y69,$D$18:$D$2015,"&lt;"&amp;Y70))</f>
        <v/>
      </c>
      <c r="AA69" s="14" t="n"/>
      <c r="AB69" s="16" t="n"/>
      <c r="AC69" s="124">
        <f>IF(AB69="","",COUNTIFS($C$18:$C$2015,AB$13,$D$18:$D$2015,"&gt;="&amp;AB69,$D$18:$D$2015,"&lt;"&amp;AB70))</f>
        <v/>
      </c>
      <c r="AD69" s="14" t="n"/>
    </row>
    <row r="70">
      <c r="A70" s="56" t="n"/>
      <c r="B70" s="57" t="n"/>
      <c r="C70" s="59" t="n"/>
      <c r="E70" s="16" t="n"/>
      <c r="F70" s="13" t="n"/>
      <c r="G70" s="16" t="n">
        <v>65</v>
      </c>
      <c r="H70" s="124">
        <f>IF(G70="","",COUNTIFS($C$18:$C$2015,G$13,$D$18:$D$2015,"&gt;="&amp;G70,$D$18:$D$2015,"&lt;"&amp;G71))</f>
        <v/>
      </c>
      <c r="I70" s="14" t="n"/>
      <c r="J70" s="16" t="n"/>
      <c r="K70" s="124">
        <f>IF(J70="","",COUNTIFS($C$18:$C$2015,J$13,$D$18:$D$2015,"&gt;="&amp;J70,$D$18:$D$2015,"&lt;"&amp;J71))</f>
        <v/>
      </c>
      <c r="L70" s="14" t="n"/>
      <c r="M70" s="16" t="n"/>
      <c r="N70" s="124">
        <f>IF(M70="","",COUNTIFS($C$18:$C$2015,M$13,$D$18:$D$2015,"&gt;="&amp;M70,$D$18:$D$2015,"&lt;"&amp;M71))</f>
        <v/>
      </c>
      <c r="O70" s="14" t="n"/>
      <c r="P70" s="16" t="n">
        <v>65</v>
      </c>
      <c r="Q70" s="124">
        <f>IF(P70="","",COUNTIFS($C$18:$C$2015,P$13,$D$18:$D$2015,"&gt;="&amp;P70,$D$18:$D$2015,"&lt;"&amp;P71))</f>
        <v/>
      </c>
      <c r="R70" s="14" t="n"/>
      <c r="S70" s="16" t="n"/>
      <c r="T70" s="124">
        <f>IF(S70="","",COUNTIFS($C$18:$C$2015,S$13,$D$18:$D$2015,"&gt;="&amp;S70,$D$18:$D$2015,"&lt;"&amp;S71))</f>
        <v/>
      </c>
      <c r="U70" s="14" t="n"/>
      <c r="V70" s="16" t="n"/>
      <c r="W70" s="124">
        <f>IF(V70="","",COUNTIFS($C$18:$C$2015,V$13,$D$18:$D$2015,"&gt;="&amp;V70,$D$18:$D$2015,"&lt;"&amp;V71))</f>
        <v/>
      </c>
      <c r="X70" s="14" t="n"/>
      <c r="Y70" s="16" t="n"/>
      <c r="Z70" s="124">
        <f>IF(Y70="","",COUNTIFS($C$18:$C$2015,Y$13,$D$18:$D$2015,"&gt;="&amp;Y70,$D$18:$D$2015,"&lt;"&amp;Y71))</f>
        <v/>
      </c>
      <c r="AA70" s="14" t="n"/>
      <c r="AB70" s="16" t="n"/>
      <c r="AC70" s="124">
        <f>IF(AB70="","",COUNTIFS($C$18:$C$2015,AB$13,$D$18:$D$2015,"&gt;="&amp;AB70,$D$18:$D$2015,"&lt;"&amp;AB71))</f>
        <v/>
      </c>
      <c r="AD70" s="14" t="n"/>
    </row>
    <row r="71">
      <c r="A71" s="58" t="n"/>
      <c r="B71" s="59" t="n"/>
      <c r="C71" s="59" t="n"/>
      <c r="E71" s="16" t="n"/>
      <c r="F71" s="13" t="n"/>
      <c r="G71" s="16" t="n">
        <v>66</v>
      </c>
      <c r="H71" s="124">
        <f>IF(G71="","",COUNTIFS($C$18:$C$2015,G$13,$D$18:$D$2015,"&gt;="&amp;G71,$D$18:$D$2015,"&lt;"&amp;G72))</f>
        <v/>
      </c>
      <c r="I71" s="14" t="n"/>
      <c r="J71" s="16" t="n"/>
      <c r="K71" s="124">
        <f>IF(J71="","",COUNTIFS($C$18:$C$2015,J$13,$D$18:$D$2015,"&gt;="&amp;J71,$D$18:$D$2015,"&lt;"&amp;J72))</f>
        <v/>
      </c>
      <c r="L71" s="14" t="n"/>
      <c r="M71" s="16" t="n"/>
      <c r="N71" s="124">
        <f>IF(M71="","",COUNTIFS($C$18:$C$2015,M$13,$D$18:$D$2015,"&gt;="&amp;M71,$D$18:$D$2015,"&lt;"&amp;M72))</f>
        <v/>
      </c>
      <c r="O71" s="14" t="n"/>
      <c r="P71" s="16" t="n">
        <v>66</v>
      </c>
      <c r="Q71" s="124">
        <f>IF(P71="","",COUNTIFS($C$18:$C$2015,P$13,$D$18:$D$2015,"&gt;="&amp;P71,$D$18:$D$2015,"&lt;"&amp;P72))</f>
        <v/>
      </c>
      <c r="R71" s="14" t="n"/>
      <c r="S71" s="16" t="n"/>
      <c r="T71" s="124">
        <f>IF(S71="","",COUNTIFS($C$18:$C$2015,S$13,$D$18:$D$2015,"&gt;="&amp;S71,$D$18:$D$2015,"&lt;"&amp;S72))</f>
        <v/>
      </c>
      <c r="U71" s="14" t="n"/>
      <c r="V71" s="16" t="n"/>
      <c r="W71" s="124">
        <f>IF(V71="","",COUNTIFS($C$18:$C$2015,V$13,$D$18:$D$2015,"&gt;="&amp;V71,$D$18:$D$2015,"&lt;"&amp;V72))</f>
        <v/>
      </c>
      <c r="X71" s="14" t="n"/>
      <c r="Y71" s="16" t="n"/>
      <c r="Z71" s="124">
        <f>IF(Y71="","",COUNTIFS($C$18:$C$2015,Y$13,$D$18:$D$2015,"&gt;="&amp;Y71,$D$18:$D$2015,"&lt;"&amp;Y72))</f>
        <v/>
      </c>
      <c r="AA71" s="14" t="n"/>
      <c r="AB71" s="16" t="n"/>
      <c r="AC71" s="124">
        <f>IF(AB71="","",COUNTIFS($C$18:$C$2015,AB$13,$D$18:$D$2015,"&gt;="&amp;AB71,$D$18:$D$2015,"&lt;"&amp;AB72))</f>
        <v/>
      </c>
      <c r="AD71" s="14" t="n"/>
    </row>
    <row r="72">
      <c r="A72" s="56" t="n"/>
      <c r="B72" s="57" t="n"/>
      <c r="C72" s="59" t="n"/>
      <c r="E72" s="16" t="n"/>
      <c r="F72" s="13" t="n"/>
      <c r="G72" s="16" t="n">
        <v>67</v>
      </c>
      <c r="H72" s="124">
        <f>IF(G72="","",COUNTIFS($C$18:$C$2015,G$13,$D$18:$D$2015,"&gt;="&amp;G72,$D$18:$D$2015,"&lt;"&amp;G73))</f>
        <v/>
      </c>
      <c r="I72" s="14" t="n"/>
      <c r="J72" s="16" t="n"/>
      <c r="K72" s="124">
        <f>IF(J72="","",COUNTIFS($C$18:$C$2015,J$13,$D$18:$D$2015,"&gt;="&amp;J72,$D$18:$D$2015,"&lt;"&amp;J73))</f>
        <v/>
      </c>
      <c r="L72" s="14" t="n"/>
      <c r="M72" s="16" t="n"/>
      <c r="N72" s="124">
        <f>IF(M72="","",COUNTIFS($C$18:$C$2015,M$13,$D$18:$D$2015,"&gt;="&amp;M72,$D$18:$D$2015,"&lt;"&amp;M73))</f>
        <v/>
      </c>
      <c r="O72" s="14" t="n"/>
      <c r="P72" s="16" t="n">
        <v>67</v>
      </c>
      <c r="Q72" s="124">
        <f>IF(P72="","",COUNTIFS($C$18:$C$2015,P$13,$D$18:$D$2015,"&gt;="&amp;P72,$D$18:$D$2015,"&lt;"&amp;P73))</f>
        <v/>
      </c>
      <c r="R72" s="14" t="n"/>
      <c r="S72" s="16" t="n"/>
      <c r="T72" s="124">
        <f>IF(S72="","",COUNTIFS($C$18:$C$2015,S$13,$D$18:$D$2015,"&gt;="&amp;S72,$D$18:$D$2015,"&lt;"&amp;S73))</f>
        <v/>
      </c>
      <c r="U72" s="14" t="n"/>
      <c r="V72" s="16" t="n"/>
      <c r="W72" s="124">
        <f>IF(V72="","",COUNTIFS($C$18:$C$2015,V$13,$D$18:$D$2015,"&gt;="&amp;V72,$D$18:$D$2015,"&lt;"&amp;V73))</f>
        <v/>
      </c>
      <c r="X72" s="14" t="n"/>
      <c r="Y72" s="16" t="n"/>
      <c r="Z72" s="124">
        <f>IF(Y72="","",COUNTIFS($C$18:$C$2015,Y$13,$D$18:$D$2015,"&gt;="&amp;Y72,$D$18:$D$2015,"&lt;"&amp;Y73))</f>
        <v/>
      </c>
      <c r="AA72" s="14" t="n"/>
      <c r="AB72" s="16" t="n"/>
      <c r="AC72" s="124">
        <f>IF(AB72="","",COUNTIFS($C$18:$C$2015,AB$13,$D$18:$D$2015,"&gt;="&amp;AB72,$D$18:$D$2015,"&lt;"&amp;AB73))</f>
        <v/>
      </c>
      <c r="AD72" s="14" t="n"/>
    </row>
    <row r="73">
      <c r="A73" s="58" t="n"/>
      <c r="B73" s="59" t="n"/>
      <c r="C73" s="59" t="n"/>
      <c r="E73" s="16" t="n"/>
      <c r="F73" s="13" t="n"/>
      <c r="G73" s="16" t="n">
        <v>68</v>
      </c>
      <c r="H73" s="124">
        <f>IF(G73="","",COUNTIFS($C$18:$C$2015,G$13,$D$18:$D$2015,"&gt;="&amp;G73,$D$18:$D$2015,"&lt;"&amp;G74))</f>
        <v/>
      </c>
      <c r="I73" s="14" t="n"/>
      <c r="J73" s="16" t="n"/>
      <c r="K73" s="124">
        <f>IF(J73="","",COUNTIFS($C$18:$C$2015,J$13,$D$18:$D$2015,"&gt;="&amp;J73,$D$18:$D$2015,"&lt;"&amp;J74))</f>
        <v/>
      </c>
      <c r="L73" s="14" t="n"/>
      <c r="M73" s="16" t="n"/>
      <c r="N73" s="124">
        <f>IF(M73="","",COUNTIFS($C$18:$C$2015,M$13,$D$18:$D$2015,"&gt;="&amp;M73,$D$18:$D$2015,"&lt;"&amp;M74))</f>
        <v/>
      </c>
      <c r="O73" s="14" t="n"/>
      <c r="P73" s="16" t="n">
        <v>68</v>
      </c>
      <c r="Q73" s="124">
        <f>IF(P73="","",COUNTIFS($C$18:$C$2015,P$13,$D$18:$D$2015,"&gt;="&amp;P73,$D$18:$D$2015,"&lt;"&amp;P74))</f>
        <v/>
      </c>
      <c r="R73" s="14" t="n"/>
      <c r="S73" s="16" t="n"/>
      <c r="T73" s="124">
        <f>IF(S73="","",COUNTIFS($C$18:$C$2015,S$13,$D$18:$D$2015,"&gt;="&amp;S73,$D$18:$D$2015,"&lt;"&amp;S74))</f>
        <v/>
      </c>
      <c r="U73" s="14" t="n"/>
      <c r="V73" s="16" t="n"/>
      <c r="W73" s="124">
        <f>IF(V73="","",COUNTIFS($C$18:$C$2015,V$13,$D$18:$D$2015,"&gt;="&amp;V73,$D$18:$D$2015,"&lt;"&amp;V74))</f>
        <v/>
      </c>
      <c r="X73" s="14" t="n"/>
      <c r="Y73" s="16" t="n"/>
      <c r="Z73" s="124">
        <f>IF(Y73="","",COUNTIFS($C$18:$C$2015,Y$13,$D$18:$D$2015,"&gt;="&amp;Y73,$D$18:$D$2015,"&lt;"&amp;Y74))</f>
        <v/>
      </c>
      <c r="AA73" s="14" t="n"/>
      <c r="AB73" s="16" t="n"/>
      <c r="AC73" s="124">
        <f>IF(AB73="","",COUNTIFS($C$18:$C$2015,AB$13,$D$18:$D$2015,"&gt;="&amp;AB73,$D$18:$D$2015,"&lt;"&amp;AB74))</f>
        <v/>
      </c>
      <c r="AD73" s="14" t="n"/>
    </row>
    <row r="74">
      <c r="A74" s="56" t="n"/>
      <c r="B74" s="57" t="n"/>
      <c r="C74" s="59" t="n"/>
      <c r="E74" s="16" t="n"/>
      <c r="F74" s="13" t="n"/>
      <c r="G74" s="16" t="n">
        <v>69</v>
      </c>
      <c r="H74" s="124">
        <f>IF(G74="","",COUNTIFS($C$18:$C$2015,G$13,$D$18:$D$2015,"&gt;="&amp;G74,$D$18:$D$2015,"&lt;"&amp;G75))</f>
        <v/>
      </c>
      <c r="I74" s="14" t="n"/>
      <c r="J74" s="16" t="n"/>
      <c r="K74" s="124">
        <f>IF(J74="","",COUNTIFS($C$18:$C$2015,J$13,$D$18:$D$2015,"&gt;="&amp;J74,$D$18:$D$2015,"&lt;"&amp;J75))</f>
        <v/>
      </c>
      <c r="L74" s="14" t="n"/>
      <c r="M74" s="16" t="n"/>
      <c r="N74" s="124">
        <f>IF(M74="","",COUNTIFS($C$18:$C$2015,M$13,$D$18:$D$2015,"&gt;="&amp;M74,$D$18:$D$2015,"&lt;"&amp;M75))</f>
        <v/>
      </c>
      <c r="O74" s="14" t="n"/>
      <c r="P74" s="16" t="n">
        <v>69</v>
      </c>
      <c r="Q74" s="124">
        <f>IF(P74="","",COUNTIFS($C$18:$C$2015,P$13,$D$18:$D$2015,"&gt;="&amp;P74,$D$18:$D$2015,"&lt;"&amp;P75))</f>
        <v/>
      </c>
      <c r="R74" s="14" t="n"/>
      <c r="S74" s="16" t="n"/>
      <c r="T74" s="124">
        <f>IF(S74="","",COUNTIFS($C$18:$C$2015,S$13,$D$18:$D$2015,"&gt;="&amp;S74,$D$18:$D$2015,"&lt;"&amp;S75))</f>
        <v/>
      </c>
      <c r="U74" s="14" t="n"/>
      <c r="V74" s="16" t="n"/>
      <c r="W74" s="124">
        <f>IF(V74="","",COUNTIFS($C$18:$C$2015,V$13,$D$18:$D$2015,"&gt;="&amp;V74,$D$18:$D$2015,"&lt;"&amp;V75))</f>
        <v/>
      </c>
      <c r="X74" s="14" t="n"/>
      <c r="Y74" s="16" t="n"/>
      <c r="Z74" s="124">
        <f>IF(Y74="","",COUNTIFS($C$18:$C$2015,Y$13,$D$18:$D$2015,"&gt;="&amp;Y74,$D$18:$D$2015,"&lt;"&amp;Y75))</f>
        <v/>
      </c>
      <c r="AA74" s="14" t="n"/>
      <c r="AB74" s="16" t="n"/>
      <c r="AC74" s="124">
        <f>IF(AB74="","",COUNTIFS($C$18:$C$2015,AB$13,$D$18:$D$2015,"&gt;="&amp;AB74,$D$18:$D$2015,"&lt;"&amp;AB75))</f>
        <v/>
      </c>
      <c r="AD74" s="14" t="n"/>
    </row>
    <row r="75">
      <c r="A75" s="58" t="n"/>
      <c r="B75" s="59" t="n"/>
      <c r="C75" s="59" t="n"/>
      <c r="E75" s="16" t="n"/>
      <c r="F75" s="13" t="n"/>
      <c r="G75" s="16" t="n">
        <v>70</v>
      </c>
      <c r="H75" s="124">
        <f>IF(G75="","",COUNTIFS($C$18:$C$2015,G$13,$D$18:$D$2015,"&gt;="&amp;G75,$D$18:$D$2015,"&lt;"&amp;G76))</f>
        <v/>
      </c>
      <c r="I75" s="14" t="n"/>
      <c r="J75" s="16" t="n"/>
      <c r="K75" s="124">
        <f>IF(J75="","",COUNTIFS($C$18:$C$2015,J$13,$D$18:$D$2015,"&gt;="&amp;J75,$D$18:$D$2015,"&lt;"&amp;J76))</f>
        <v/>
      </c>
      <c r="L75" s="14" t="n"/>
      <c r="M75" s="16" t="n"/>
      <c r="N75" s="124">
        <f>IF(M75="","",COUNTIFS($C$18:$C$2015,M$13,$D$18:$D$2015,"&gt;="&amp;M75,$D$18:$D$2015,"&lt;"&amp;M76))</f>
        <v/>
      </c>
      <c r="O75" s="14" t="n"/>
      <c r="P75" s="16" t="n">
        <v>70</v>
      </c>
      <c r="Q75" s="124">
        <f>IF(P75="","",COUNTIFS($C$18:$C$2015,P$13,$D$18:$D$2015,"&gt;="&amp;P75,$D$18:$D$2015,"&lt;"&amp;P76))</f>
        <v/>
      </c>
      <c r="R75" s="14" t="n"/>
      <c r="S75" s="16" t="n"/>
      <c r="T75" s="124">
        <f>IF(S75="","",COUNTIFS($C$18:$C$2015,S$13,$D$18:$D$2015,"&gt;="&amp;S75,$D$18:$D$2015,"&lt;"&amp;S76))</f>
        <v/>
      </c>
      <c r="U75" s="14" t="n"/>
      <c r="V75" s="16" t="n"/>
      <c r="W75" s="124">
        <f>IF(V75="","",COUNTIFS($C$18:$C$2015,V$13,$D$18:$D$2015,"&gt;="&amp;V75,$D$18:$D$2015,"&lt;"&amp;V76))</f>
        <v/>
      </c>
      <c r="X75" s="14" t="n"/>
      <c r="Y75" s="16" t="n"/>
      <c r="Z75" s="124">
        <f>IF(Y75="","",COUNTIFS($C$18:$C$2015,Y$13,$D$18:$D$2015,"&gt;="&amp;Y75,$D$18:$D$2015,"&lt;"&amp;Y76))</f>
        <v/>
      </c>
      <c r="AA75" s="14" t="n"/>
      <c r="AB75" s="16" t="n"/>
      <c r="AC75" s="124">
        <f>IF(AB75="","",COUNTIFS($C$18:$C$2015,AB$13,$D$18:$D$2015,"&gt;="&amp;AB75,$D$18:$D$2015,"&lt;"&amp;AB76))</f>
        <v/>
      </c>
      <c r="AD75" s="14" t="n"/>
    </row>
    <row r="76">
      <c r="A76" s="56" t="n"/>
      <c r="B76" s="57" t="n"/>
      <c r="C76" s="59" t="n"/>
      <c r="E76" s="16" t="n"/>
      <c r="F76" s="13" t="n"/>
      <c r="G76" s="16" t="n">
        <v>71</v>
      </c>
      <c r="H76" s="124">
        <f>IF(G76="","",COUNTIFS($C$18:$C$2015,G$13,$D$18:$D$2015,"&gt;="&amp;G76,$D$18:$D$2015,"&lt;"&amp;G77))</f>
        <v/>
      </c>
      <c r="I76" s="14" t="n"/>
      <c r="J76" s="16" t="n"/>
      <c r="K76" s="124">
        <f>IF(J76="","",COUNTIFS($C$18:$C$2015,J$13,$D$18:$D$2015,"&gt;="&amp;J76,$D$18:$D$2015,"&lt;"&amp;J77))</f>
        <v/>
      </c>
      <c r="L76" s="14" t="n"/>
      <c r="M76" s="16" t="n"/>
      <c r="N76" s="124">
        <f>IF(M76="","",COUNTIFS($C$18:$C$2015,M$13,$D$18:$D$2015,"&gt;="&amp;M76,$D$18:$D$2015,"&lt;"&amp;M77))</f>
        <v/>
      </c>
      <c r="O76" s="14" t="n"/>
      <c r="P76" s="16" t="n">
        <v>71</v>
      </c>
      <c r="Q76" s="124">
        <f>IF(P76="","",COUNTIFS($C$18:$C$2015,P$13,$D$18:$D$2015,"&gt;="&amp;P76,$D$18:$D$2015,"&lt;"&amp;P77))</f>
        <v/>
      </c>
      <c r="R76" s="14" t="n"/>
      <c r="S76" s="16" t="n"/>
      <c r="T76" s="124">
        <f>IF(S76="","",COUNTIFS($C$18:$C$2015,S$13,$D$18:$D$2015,"&gt;="&amp;S76,$D$18:$D$2015,"&lt;"&amp;S77))</f>
        <v/>
      </c>
      <c r="U76" s="14" t="n"/>
      <c r="V76" s="16" t="n"/>
      <c r="W76" s="124">
        <f>IF(V76="","",COUNTIFS($C$18:$C$2015,V$13,$D$18:$D$2015,"&gt;="&amp;V76,$D$18:$D$2015,"&lt;"&amp;V77))</f>
        <v/>
      </c>
      <c r="X76" s="14" t="n"/>
      <c r="Y76" s="16" t="n"/>
      <c r="Z76" s="124">
        <f>IF(Y76="","",COUNTIFS($C$18:$C$2015,Y$13,$D$18:$D$2015,"&gt;="&amp;Y76,$D$18:$D$2015,"&lt;"&amp;Y77))</f>
        <v/>
      </c>
      <c r="AA76" s="14" t="n"/>
      <c r="AB76" s="16" t="n"/>
      <c r="AC76" s="124">
        <f>IF(AB76="","",COUNTIFS($C$18:$C$2015,AB$13,$D$18:$D$2015,"&gt;="&amp;AB76,$D$18:$D$2015,"&lt;"&amp;AB77))</f>
        <v/>
      </c>
      <c r="AD76" s="14" t="n"/>
    </row>
    <row r="77">
      <c r="A77" s="58" t="n"/>
      <c r="B77" s="59" t="n"/>
      <c r="C77" s="59" t="n"/>
      <c r="E77" s="16" t="n"/>
      <c r="F77" s="13" t="n"/>
      <c r="G77" s="16" t="n">
        <v>72</v>
      </c>
      <c r="H77" s="124">
        <f>IF(G77="","",COUNTIFS($C$18:$C$2015,G$13,$D$18:$D$2015,"&gt;="&amp;G77,$D$18:$D$2015,"&lt;"&amp;G78))</f>
        <v/>
      </c>
      <c r="I77" s="14" t="n"/>
      <c r="J77" s="16" t="n"/>
      <c r="K77" s="124">
        <f>IF(J77="","",COUNTIFS($C$18:$C$2015,J$13,$D$18:$D$2015,"&gt;="&amp;J77,$D$18:$D$2015,"&lt;"&amp;J78))</f>
        <v/>
      </c>
      <c r="L77" s="14" t="n"/>
      <c r="M77" s="16" t="n"/>
      <c r="N77" s="124">
        <f>IF(M77="","",COUNTIFS($C$18:$C$2015,M$13,$D$18:$D$2015,"&gt;="&amp;M77,$D$18:$D$2015,"&lt;"&amp;M78))</f>
        <v/>
      </c>
      <c r="O77" s="14" t="n"/>
      <c r="P77" s="16" t="n">
        <v>72</v>
      </c>
      <c r="Q77" s="124">
        <f>IF(P77="","",COUNTIFS($C$18:$C$2015,P$13,$D$18:$D$2015,"&gt;="&amp;P77,$D$18:$D$2015,"&lt;"&amp;P78))</f>
        <v/>
      </c>
      <c r="R77" s="14" t="n"/>
      <c r="S77" s="16" t="n"/>
      <c r="T77" s="124">
        <f>IF(S77="","",COUNTIFS($C$18:$C$2015,S$13,$D$18:$D$2015,"&gt;="&amp;S77,$D$18:$D$2015,"&lt;"&amp;S78))</f>
        <v/>
      </c>
      <c r="U77" s="14" t="n"/>
      <c r="V77" s="16" t="n"/>
      <c r="W77" s="124">
        <f>IF(V77="","",COUNTIFS($C$18:$C$2015,V$13,$D$18:$D$2015,"&gt;="&amp;V77,$D$18:$D$2015,"&lt;"&amp;V78))</f>
        <v/>
      </c>
      <c r="X77" s="14" t="n"/>
      <c r="Y77" s="16" t="n"/>
      <c r="Z77" s="124">
        <f>IF(Y77="","",COUNTIFS($C$18:$C$2015,Y$13,$D$18:$D$2015,"&gt;="&amp;Y77,$D$18:$D$2015,"&lt;"&amp;Y78))</f>
        <v/>
      </c>
      <c r="AA77" s="14" t="n"/>
      <c r="AB77" s="16" t="n"/>
      <c r="AC77" s="124">
        <f>IF(AB77="","",COUNTIFS($C$18:$C$2015,AB$13,$D$18:$D$2015,"&gt;="&amp;AB77,$D$18:$D$2015,"&lt;"&amp;AB78))</f>
        <v/>
      </c>
      <c r="AD77" s="14" t="n"/>
    </row>
    <row r="78">
      <c r="A78" s="56" t="n"/>
      <c r="B78" s="57" t="n"/>
      <c r="C78" s="59" t="n"/>
      <c r="E78" s="16" t="n"/>
      <c r="F78" s="13" t="n"/>
      <c r="G78" s="16" t="n">
        <v>73</v>
      </c>
      <c r="H78" s="124">
        <f>IF(G78="","",COUNTIFS($C$18:$C$2015,G$13,$D$18:$D$2015,"&gt;="&amp;G78,$D$18:$D$2015,"&lt;"&amp;G79))</f>
        <v/>
      </c>
      <c r="I78" s="14" t="n"/>
      <c r="J78" s="16" t="n"/>
      <c r="K78" s="124">
        <f>IF(J78="","",COUNTIFS($C$18:$C$2015,J$13,$D$18:$D$2015,"&gt;="&amp;J78,$D$18:$D$2015,"&lt;"&amp;J79))</f>
        <v/>
      </c>
      <c r="L78" s="14" t="n"/>
      <c r="M78" s="16" t="n"/>
      <c r="N78" s="124">
        <f>IF(M78="","",COUNTIFS($C$18:$C$2015,M$13,$D$18:$D$2015,"&gt;="&amp;M78,$D$18:$D$2015,"&lt;"&amp;M79))</f>
        <v/>
      </c>
      <c r="O78" s="14" t="n"/>
      <c r="P78" s="16" t="n">
        <v>73</v>
      </c>
      <c r="Q78" s="124">
        <f>IF(P78="","",COUNTIFS($C$18:$C$2015,P$13,$D$18:$D$2015,"&gt;="&amp;P78,$D$18:$D$2015,"&lt;"&amp;P79))</f>
        <v/>
      </c>
      <c r="R78" s="14" t="n"/>
      <c r="S78" s="16" t="n"/>
      <c r="T78" s="124">
        <f>IF(S78="","",COUNTIFS($C$18:$C$2015,S$13,$D$18:$D$2015,"&gt;="&amp;S78,$D$18:$D$2015,"&lt;"&amp;S79))</f>
        <v/>
      </c>
      <c r="U78" s="14" t="n"/>
      <c r="V78" s="16" t="n"/>
      <c r="W78" s="124">
        <f>IF(V78="","",COUNTIFS($C$18:$C$2015,V$13,$D$18:$D$2015,"&gt;="&amp;V78,$D$18:$D$2015,"&lt;"&amp;V79))</f>
        <v/>
      </c>
      <c r="X78" s="14" t="n"/>
      <c r="Y78" s="16" t="n"/>
      <c r="Z78" s="124">
        <f>IF(Y78="","",COUNTIFS($C$18:$C$2015,Y$13,$D$18:$D$2015,"&gt;="&amp;Y78,$D$18:$D$2015,"&lt;"&amp;Y79))</f>
        <v/>
      </c>
      <c r="AA78" s="14" t="n"/>
      <c r="AB78" s="16" t="n"/>
      <c r="AC78" s="124">
        <f>IF(AB78="","",COUNTIFS($C$18:$C$2015,AB$13,$D$18:$D$2015,"&gt;="&amp;AB78,$D$18:$D$2015,"&lt;"&amp;AB79))</f>
        <v/>
      </c>
      <c r="AD78" s="14" t="n"/>
    </row>
    <row r="79">
      <c r="A79" s="58" t="n"/>
      <c r="B79" s="59" t="n"/>
      <c r="C79" s="59" t="n"/>
      <c r="E79" s="16" t="n"/>
      <c r="F79" s="13" t="n"/>
      <c r="G79" s="16" t="n">
        <v>74</v>
      </c>
      <c r="H79" s="124">
        <f>IF(G79="","",COUNTIFS($C$18:$C$2015,G$13,$D$18:$D$2015,"&gt;="&amp;G79,$D$18:$D$2015,"&lt;"&amp;G80))</f>
        <v/>
      </c>
      <c r="I79" s="14" t="n"/>
      <c r="J79" s="16" t="n"/>
      <c r="K79" s="124">
        <f>IF(J79="","",COUNTIFS($C$18:$C$2015,J$13,$D$18:$D$2015,"&gt;="&amp;J79,$D$18:$D$2015,"&lt;"&amp;J80))</f>
        <v/>
      </c>
      <c r="L79" s="14" t="n"/>
      <c r="M79" s="16" t="n"/>
      <c r="N79" s="124">
        <f>IF(M79="","",COUNTIFS($C$18:$C$2015,M$13,$D$18:$D$2015,"&gt;="&amp;M79,$D$18:$D$2015,"&lt;"&amp;M80))</f>
        <v/>
      </c>
      <c r="O79" s="14" t="n"/>
      <c r="P79" s="16" t="n">
        <v>74</v>
      </c>
      <c r="Q79" s="124">
        <f>IF(P79="","",COUNTIFS($C$18:$C$2015,P$13,$D$18:$D$2015,"&gt;="&amp;P79,$D$18:$D$2015,"&lt;"&amp;P80))</f>
        <v/>
      </c>
      <c r="R79" s="14" t="n"/>
      <c r="S79" s="16" t="n"/>
      <c r="T79" s="124">
        <f>IF(S79="","",COUNTIFS($C$18:$C$2015,S$13,$D$18:$D$2015,"&gt;="&amp;S79,$D$18:$D$2015,"&lt;"&amp;S80))</f>
        <v/>
      </c>
      <c r="U79" s="14" t="n"/>
      <c r="V79" s="16" t="n"/>
      <c r="W79" s="124">
        <f>IF(V79="","",COUNTIFS($C$18:$C$2015,V$13,$D$18:$D$2015,"&gt;="&amp;V79,$D$18:$D$2015,"&lt;"&amp;V80))</f>
        <v/>
      </c>
      <c r="X79" s="14" t="n"/>
      <c r="Y79" s="16" t="n"/>
      <c r="Z79" s="124">
        <f>IF(Y79="","",COUNTIFS($C$18:$C$2015,Y$13,$D$18:$D$2015,"&gt;="&amp;Y79,$D$18:$D$2015,"&lt;"&amp;Y80))</f>
        <v/>
      </c>
      <c r="AA79" s="14" t="n"/>
      <c r="AB79" s="16" t="n"/>
      <c r="AC79" s="124">
        <f>IF(AB79="","",COUNTIFS($C$18:$C$2015,AB$13,$D$18:$D$2015,"&gt;="&amp;AB79,$D$18:$D$2015,"&lt;"&amp;AB80))</f>
        <v/>
      </c>
      <c r="AD79" s="14" t="n"/>
    </row>
    <row r="80">
      <c r="A80" s="56" t="n"/>
      <c r="B80" s="57" t="n"/>
      <c r="C80" s="59" t="n"/>
      <c r="E80" s="16" t="n"/>
      <c r="F80" s="13" t="n"/>
      <c r="G80" s="16" t="n">
        <v>75</v>
      </c>
      <c r="H80" s="124">
        <f>IF(G80="","",COUNTIFS($C$18:$C$2015,G$13,$D$18:$D$2015,"&gt;="&amp;G80,$D$18:$D$2015,"&lt;"&amp;G81))</f>
        <v/>
      </c>
      <c r="I80" s="14" t="n"/>
      <c r="J80" s="16" t="n"/>
      <c r="K80" s="124">
        <f>IF(J80="","",COUNTIFS($C$18:$C$2015,J$13,$D$18:$D$2015,"&gt;="&amp;J80,$D$18:$D$2015,"&lt;"&amp;J81))</f>
        <v/>
      </c>
      <c r="L80" s="14" t="n"/>
      <c r="M80" s="16" t="n"/>
      <c r="N80" s="124">
        <f>IF(M80="","",COUNTIFS($C$18:$C$2015,M$13,$D$18:$D$2015,"&gt;="&amp;M80,$D$18:$D$2015,"&lt;"&amp;M81))</f>
        <v/>
      </c>
      <c r="O80" s="14" t="n"/>
      <c r="P80" s="16" t="n">
        <v>75</v>
      </c>
      <c r="Q80" s="124">
        <f>IF(P80="","",COUNTIFS($C$18:$C$2015,P$13,$D$18:$D$2015,"&gt;="&amp;P80,$D$18:$D$2015,"&lt;"&amp;P81))</f>
        <v/>
      </c>
      <c r="R80" s="14" t="n"/>
      <c r="S80" s="16" t="n"/>
      <c r="T80" s="124">
        <f>IF(S80="","",COUNTIFS($C$18:$C$2015,S$13,$D$18:$D$2015,"&gt;="&amp;S80,$D$18:$D$2015,"&lt;"&amp;S81))</f>
        <v/>
      </c>
      <c r="U80" s="14" t="n"/>
      <c r="V80" s="16" t="n"/>
      <c r="W80" s="124">
        <f>IF(V80="","",COUNTIFS($C$18:$C$2015,V$13,$D$18:$D$2015,"&gt;="&amp;V80,$D$18:$D$2015,"&lt;"&amp;V81))</f>
        <v/>
      </c>
      <c r="X80" s="14" t="n"/>
      <c r="Y80" s="16" t="n"/>
      <c r="Z80" s="124">
        <f>IF(Y80="","",COUNTIFS($C$18:$C$2015,Y$13,$D$18:$D$2015,"&gt;="&amp;Y80,$D$18:$D$2015,"&lt;"&amp;Y81))</f>
        <v/>
      </c>
      <c r="AA80" s="14" t="n"/>
      <c r="AB80" s="16" t="n"/>
      <c r="AC80" s="124">
        <f>IF(AB80="","",COUNTIFS($C$18:$C$2015,AB$13,$D$18:$D$2015,"&gt;="&amp;AB80,$D$18:$D$2015,"&lt;"&amp;AB81))</f>
        <v/>
      </c>
      <c r="AD80" s="14" t="n"/>
    </row>
    <row r="81">
      <c r="A81" s="58" t="n"/>
      <c r="B81" s="59" t="n"/>
      <c r="C81" s="59" t="n"/>
      <c r="E81" s="16" t="n"/>
      <c r="F81" s="13" t="n"/>
      <c r="G81" s="16" t="n">
        <v>76</v>
      </c>
      <c r="H81" s="124">
        <f>IF(G81="","",COUNTIFS($C$18:$C$2015,G$13,$D$18:$D$2015,"&gt;="&amp;G81,$D$18:$D$2015,"&lt;"&amp;G82))</f>
        <v/>
      </c>
      <c r="I81" s="14" t="n"/>
      <c r="J81" s="16" t="n"/>
      <c r="K81" s="124">
        <f>IF(J81="","",COUNTIFS($C$18:$C$2015,J$13,$D$18:$D$2015,"&gt;="&amp;J81,$D$18:$D$2015,"&lt;"&amp;J82))</f>
        <v/>
      </c>
      <c r="L81" s="14" t="n"/>
      <c r="M81" s="16" t="n"/>
      <c r="N81" s="124">
        <f>IF(M81="","",COUNTIFS($C$18:$C$2015,M$13,$D$18:$D$2015,"&gt;="&amp;M81,$D$18:$D$2015,"&lt;"&amp;M82))</f>
        <v/>
      </c>
      <c r="O81" s="14" t="n"/>
      <c r="P81" s="16" t="n">
        <v>76</v>
      </c>
      <c r="Q81" s="124">
        <f>IF(P81="","",COUNTIFS($C$18:$C$2015,P$13,$D$18:$D$2015,"&gt;="&amp;P81,$D$18:$D$2015,"&lt;"&amp;P82))</f>
        <v/>
      </c>
      <c r="R81" s="14" t="n"/>
      <c r="S81" s="16" t="n"/>
      <c r="T81" s="124">
        <f>IF(S81="","",COUNTIFS($C$18:$C$2015,S$13,$D$18:$D$2015,"&gt;="&amp;S81,$D$18:$D$2015,"&lt;"&amp;S82))</f>
        <v/>
      </c>
      <c r="U81" s="14" t="n"/>
      <c r="V81" s="16" t="n"/>
      <c r="W81" s="124">
        <f>IF(V81="","",COUNTIFS($C$18:$C$2015,V$13,$D$18:$D$2015,"&gt;="&amp;V81,$D$18:$D$2015,"&lt;"&amp;V82))</f>
        <v/>
      </c>
      <c r="X81" s="14" t="n"/>
      <c r="Y81" s="16" t="n"/>
      <c r="Z81" s="124">
        <f>IF(Y81="","",COUNTIFS($C$18:$C$2015,Y$13,$D$18:$D$2015,"&gt;="&amp;Y81,$D$18:$D$2015,"&lt;"&amp;Y82))</f>
        <v/>
      </c>
      <c r="AA81" s="14" t="n"/>
      <c r="AB81" s="16" t="n"/>
      <c r="AC81" s="124">
        <f>IF(AB81="","",COUNTIFS($C$18:$C$2015,AB$13,$D$18:$D$2015,"&gt;="&amp;AB81,$D$18:$D$2015,"&lt;"&amp;AB82))</f>
        <v/>
      </c>
      <c r="AD81" s="14" t="n"/>
    </row>
    <row r="82">
      <c r="A82" s="56" t="n"/>
      <c r="B82" s="57" t="n"/>
      <c r="C82" s="59" t="n"/>
      <c r="E82" s="16" t="n"/>
      <c r="F82" s="13" t="n"/>
      <c r="G82" s="16" t="n">
        <v>77</v>
      </c>
      <c r="H82" s="124">
        <f>IF(G82="","",COUNTIFS($C$18:$C$2015,G$13,$D$18:$D$2015,"&gt;="&amp;G82,$D$18:$D$2015,"&lt;"&amp;G83))</f>
        <v/>
      </c>
      <c r="I82" s="14" t="n"/>
      <c r="J82" s="16" t="n"/>
      <c r="K82" s="124">
        <f>IF(J82="","",COUNTIFS($C$18:$C$2015,J$13,$D$18:$D$2015,"&gt;="&amp;J82,$D$18:$D$2015,"&lt;"&amp;J83))</f>
        <v/>
      </c>
      <c r="L82" s="14" t="n"/>
      <c r="M82" s="16" t="n"/>
      <c r="N82" s="124">
        <f>IF(M82="","",COUNTIFS($C$18:$C$2015,M$13,$D$18:$D$2015,"&gt;="&amp;M82,$D$18:$D$2015,"&lt;"&amp;M83))</f>
        <v/>
      </c>
      <c r="O82" s="14" t="n"/>
      <c r="P82" s="16" t="n">
        <v>77</v>
      </c>
      <c r="Q82" s="124">
        <f>IF(P82="","",COUNTIFS($C$18:$C$2015,P$13,$D$18:$D$2015,"&gt;="&amp;P82,$D$18:$D$2015,"&lt;"&amp;P83))</f>
        <v/>
      </c>
      <c r="R82" s="14" t="n"/>
      <c r="S82" s="16" t="n"/>
      <c r="T82" s="124">
        <f>IF(S82="","",COUNTIFS($C$18:$C$2015,S$13,$D$18:$D$2015,"&gt;="&amp;S82,$D$18:$D$2015,"&lt;"&amp;S83))</f>
        <v/>
      </c>
      <c r="U82" s="14" t="n"/>
      <c r="V82" s="16" t="n"/>
      <c r="W82" s="124">
        <f>IF(V82="","",COUNTIFS($C$18:$C$2015,V$13,$D$18:$D$2015,"&gt;="&amp;V82,$D$18:$D$2015,"&lt;"&amp;V83))</f>
        <v/>
      </c>
      <c r="X82" s="14" t="n"/>
      <c r="Y82" s="16" t="n"/>
      <c r="Z82" s="124">
        <f>IF(Y82="","",COUNTIFS($C$18:$C$2015,Y$13,$D$18:$D$2015,"&gt;="&amp;Y82,$D$18:$D$2015,"&lt;"&amp;Y83))</f>
        <v/>
      </c>
      <c r="AA82" s="14" t="n"/>
      <c r="AB82" s="16" t="n"/>
      <c r="AC82" s="124">
        <f>IF(AB82="","",COUNTIFS($C$18:$C$2015,AB$13,$D$18:$D$2015,"&gt;="&amp;AB82,$D$18:$D$2015,"&lt;"&amp;AB83))</f>
        <v/>
      </c>
      <c r="AD82" s="14" t="n"/>
    </row>
    <row r="83">
      <c r="A83" s="58" t="n"/>
      <c r="B83" s="59" t="n"/>
      <c r="C83" s="59" t="n"/>
      <c r="E83" s="16" t="n"/>
      <c r="F83" s="13" t="n"/>
      <c r="G83" s="16" t="n">
        <v>78</v>
      </c>
      <c r="H83" s="124">
        <f>IF(G83="","",COUNTIFS($C$18:$C$2015,G$13,$D$18:$D$2015,"&gt;="&amp;G83,$D$18:$D$2015,"&lt;"&amp;G84))</f>
        <v/>
      </c>
      <c r="I83" s="14" t="n"/>
      <c r="J83" s="16" t="n"/>
      <c r="K83" s="124">
        <f>IF(J83="","",COUNTIFS($C$18:$C$2015,J$13,$D$18:$D$2015,"&gt;="&amp;J83,$D$18:$D$2015,"&lt;"&amp;J84))</f>
        <v/>
      </c>
      <c r="L83" s="14" t="n"/>
      <c r="M83" s="16" t="n"/>
      <c r="N83" s="124">
        <f>IF(M83="","",COUNTIFS($C$18:$C$2015,M$13,$D$18:$D$2015,"&gt;="&amp;M83,$D$18:$D$2015,"&lt;"&amp;M84))</f>
        <v/>
      </c>
      <c r="O83" s="14" t="n"/>
      <c r="P83" s="16" t="n">
        <v>78</v>
      </c>
      <c r="Q83" s="124">
        <f>IF(P83="","",COUNTIFS($C$18:$C$2015,P$13,$D$18:$D$2015,"&gt;="&amp;P83,$D$18:$D$2015,"&lt;"&amp;P84))</f>
        <v/>
      </c>
      <c r="R83" s="14" t="n"/>
      <c r="S83" s="16" t="n"/>
      <c r="T83" s="124">
        <f>IF(S83="","",COUNTIFS($C$18:$C$2015,S$13,$D$18:$D$2015,"&gt;="&amp;S83,$D$18:$D$2015,"&lt;"&amp;S84))</f>
        <v/>
      </c>
      <c r="U83" s="14" t="n"/>
      <c r="V83" s="16" t="n"/>
      <c r="W83" s="124">
        <f>IF(V83="","",COUNTIFS($C$18:$C$2015,V$13,$D$18:$D$2015,"&gt;="&amp;V83,$D$18:$D$2015,"&lt;"&amp;V84))</f>
        <v/>
      </c>
      <c r="X83" s="14" t="n"/>
      <c r="Y83" s="16" t="n"/>
      <c r="Z83" s="124">
        <f>IF(Y83="","",COUNTIFS($C$18:$C$2015,Y$13,$D$18:$D$2015,"&gt;="&amp;Y83,$D$18:$D$2015,"&lt;"&amp;Y84))</f>
        <v/>
      </c>
      <c r="AA83" s="14" t="n"/>
      <c r="AB83" s="16" t="n"/>
      <c r="AC83" s="124">
        <f>IF(AB83="","",COUNTIFS($C$18:$C$2015,AB$13,$D$18:$D$2015,"&gt;="&amp;AB83,$D$18:$D$2015,"&lt;"&amp;AB84))</f>
        <v/>
      </c>
      <c r="AD83" s="14" t="n"/>
    </row>
    <row r="84">
      <c r="A84" s="56" t="n"/>
      <c r="B84" s="57" t="n"/>
      <c r="C84" s="59" t="n"/>
      <c r="E84" s="16" t="n"/>
      <c r="F84" s="13" t="n"/>
      <c r="G84" s="16" t="n">
        <v>79</v>
      </c>
      <c r="H84" s="124">
        <f>IF(G84="","",COUNTIFS($C$18:$C$2015,G$13,$D$18:$D$2015,"&gt;="&amp;G84,$D$18:$D$2015,"&lt;"&amp;G85))</f>
        <v/>
      </c>
      <c r="I84" s="14" t="n"/>
      <c r="J84" s="16" t="n"/>
      <c r="K84" s="124">
        <f>IF(J84="","",COUNTIFS($C$18:$C$2015,J$13,$D$18:$D$2015,"&gt;="&amp;J84,$D$18:$D$2015,"&lt;"&amp;J85))</f>
        <v/>
      </c>
      <c r="L84" s="14" t="n"/>
      <c r="M84" s="16" t="n"/>
      <c r="N84" s="124">
        <f>IF(M84="","",COUNTIFS($C$18:$C$2015,M$13,$D$18:$D$2015,"&gt;="&amp;M84,$D$18:$D$2015,"&lt;"&amp;M85))</f>
        <v/>
      </c>
      <c r="O84" s="14" t="n"/>
      <c r="P84" s="16" t="n">
        <v>79</v>
      </c>
      <c r="Q84" s="124">
        <f>IF(P84="","",COUNTIFS($C$18:$C$2015,P$13,$D$18:$D$2015,"&gt;="&amp;P84,$D$18:$D$2015,"&lt;"&amp;P85))</f>
        <v/>
      </c>
      <c r="R84" s="14" t="n"/>
      <c r="S84" s="16" t="n"/>
      <c r="T84" s="124">
        <f>IF(S84="","",COUNTIFS($C$18:$C$2015,S$13,$D$18:$D$2015,"&gt;="&amp;S84,$D$18:$D$2015,"&lt;"&amp;S85))</f>
        <v/>
      </c>
      <c r="U84" s="14" t="n"/>
      <c r="V84" s="16" t="n"/>
      <c r="W84" s="124">
        <f>IF(V84="","",COUNTIFS($C$18:$C$2015,V$13,$D$18:$D$2015,"&gt;="&amp;V84,$D$18:$D$2015,"&lt;"&amp;V85))</f>
        <v/>
      </c>
      <c r="X84" s="14" t="n"/>
      <c r="Y84" s="16" t="n"/>
      <c r="Z84" s="124">
        <f>IF(Y84="","",COUNTIFS($C$18:$C$2015,Y$13,$D$18:$D$2015,"&gt;="&amp;Y84,$D$18:$D$2015,"&lt;"&amp;Y85))</f>
        <v/>
      </c>
      <c r="AA84" s="14" t="n"/>
      <c r="AB84" s="16" t="n"/>
      <c r="AC84" s="124">
        <f>IF(AB84="","",COUNTIFS($C$18:$C$2015,AB$13,$D$18:$D$2015,"&gt;="&amp;AB84,$D$18:$D$2015,"&lt;"&amp;AB85))</f>
        <v/>
      </c>
      <c r="AD84" s="14" t="n"/>
    </row>
    <row r="85">
      <c r="A85" s="58" t="n"/>
      <c r="B85" s="59" t="n"/>
      <c r="C85" s="59" t="n"/>
      <c r="E85" s="16" t="n"/>
      <c r="F85" s="13" t="n"/>
      <c r="G85" s="16" t="n">
        <v>80</v>
      </c>
      <c r="H85" s="124">
        <f>IF(G85="","",COUNTIFS($C$18:$C$2015,G$13,$D$18:$D$2015,"&gt;="&amp;G85,$D$18:$D$2015,"&lt;"&amp;G86))</f>
        <v/>
      </c>
      <c r="I85" s="14" t="n"/>
      <c r="J85" s="16" t="n"/>
      <c r="K85" s="124">
        <f>IF(J85="","",COUNTIFS($C$18:$C$2015,J$13,$D$18:$D$2015,"&gt;="&amp;J85,$D$18:$D$2015,"&lt;"&amp;J86))</f>
        <v/>
      </c>
      <c r="L85" s="14" t="n"/>
      <c r="M85" s="16" t="n"/>
      <c r="N85" s="124">
        <f>IF(M85="","",COUNTIFS($C$18:$C$2015,M$13,$D$18:$D$2015,"&gt;="&amp;M85,$D$18:$D$2015,"&lt;"&amp;M86))</f>
        <v/>
      </c>
      <c r="O85" s="14" t="n"/>
      <c r="P85" s="16" t="n">
        <v>80</v>
      </c>
      <c r="Q85" s="124">
        <f>IF(P85="","",COUNTIFS($C$18:$C$2015,P$13,$D$18:$D$2015,"&gt;="&amp;P85,$D$18:$D$2015,"&lt;"&amp;P86))</f>
        <v/>
      </c>
      <c r="R85" s="14" t="n"/>
      <c r="S85" s="16" t="n"/>
      <c r="T85" s="124">
        <f>IF(S85="","",COUNTIFS($C$18:$C$2015,S$13,$D$18:$D$2015,"&gt;="&amp;S85,$D$18:$D$2015,"&lt;"&amp;S86))</f>
        <v/>
      </c>
      <c r="U85" s="14" t="n"/>
      <c r="V85" s="16" t="n"/>
      <c r="W85" s="124">
        <f>IF(V85="","",COUNTIFS($C$18:$C$2015,V$13,$D$18:$D$2015,"&gt;="&amp;V85,$D$18:$D$2015,"&lt;"&amp;V86))</f>
        <v/>
      </c>
      <c r="X85" s="14" t="n"/>
      <c r="Y85" s="16" t="n"/>
      <c r="Z85" s="124">
        <f>IF(Y85="","",COUNTIFS($C$18:$C$2015,Y$13,$D$18:$D$2015,"&gt;="&amp;Y85,$D$18:$D$2015,"&lt;"&amp;Y86))</f>
        <v/>
      </c>
      <c r="AA85" s="14" t="n"/>
      <c r="AB85" s="16" t="n"/>
      <c r="AC85" s="124">
        <f>IF(AB85="","",COUNTIFS($C$18:$C$2015,AB$13,$D$18:$D$2015,"&gt;="&amp;AB85,$D$18:$D$2015,"&lt;"&amp;AB86))</f>
        <v/>
      </c>
      <c r="AD85" s="14" t="n"/>
    </row>
    <row r="86">
      <c r="A86" s="56" t="n"/>
      <c r="B86" s="57" t="n"/>
      <c r="C86" s="59" t="n"/>
      <c r="E86" s="16" t="n"/>
      <c r="F86" s="13" t="n"/>
      <c r="G86" s="16" t="n"/>
      <c r="H86" s="124">
        <f>IF(G86="","",COUNTIFS($C$18:$C$2015,G$13,$D$18:$D$2015,"&gt;="&amp;G86,$D$18:$D$2015,"&lt;"&amp;G87))</f>
        <v/>
      </c>
      <c r="I86" s="14" t="n"/>
      <c r="J86" s="16" t="n"/>
      <c r="K86" s="124">
        <f>IF(J86="","",COUNTIFS($C$18:$C$2015,J$13,$D$18:$D$2015,"&gt;="&amp;J86,$D$18:$D$2015,"&lt;"&amp;J87))</f>
        <v/>
      </c>
      <c r="L86" s="14" t="n"/>
      <c r="M86" s="16" t="n"/>
      <c r="N86" s="124">
        <f>IF(M86="","",COUNTIFS($C$18:$C$2015,M$13,$D$18:$D$2015,"&gt;="&amp;M86,$D$18:$D$2015,"&lt;"&amp;M87))</f>
        <v/>
      </c>
      <c r="O86" s="14" t="n"/>
      <c r="P86" s="16" t="n"/>
      <c r="Q86" s="124">
        <f>IF(P86="","",COUNTIFS($C$18:$C$2015,P$13,$D$18:$D$2015,"&gt;="&amp;P86,$D$18:$D$2015,"&lt;"&amp;P87))</f>
        <v/>
      </c>
      <c r="R86" s="14" t="n"/>
      <c r="S86" s="16" t="n"/>
      <c r="T86" s="124">
        <f>IF(S86="","",COUNTIFS($C$18:$C$2015,S$13,$D$18:$D$2015,"&gt;="&amp;S86,$D$18:$D$2015,"&lt;"&amp;S87))</f>
        <v/>
      </c>
      <c r="U86" s="14" t="n"/>
      <c r="V86" s="16" t="n"/>
      <c r="W86" s="124">
        <f>IF(V86="","",COUNTIFS($C$18:$C$2015,V$13,$D$18:$D$2015,"&gt;="&amp;V86,$D$18:$D$2015,"&lt;"&amp;V87))</f>
        <v/>
      </c>
      <c r="X86" s="14" t="n"/>
      <c r="Y86" s="16" t="n"/>
      <c r="Z86" s="124">
        <f>IF(Y86="","",COUNTIFS($C$18:$C$2015,Y$13,$D$18:$D$2015,"&gt;="&amp;Y86,$D$18:$D$2015,"&lt;"&amp;Y87))</f>
        <v/>
      </c>
      <c r="AA86" s="14" t="n"/>
      <c r="AB86" s="16" t="n"/>
      <c r="AC86" s="124">
        <f>IF(AB86="","",COUNTIFS($C$18:$C$2015,AB$13,$D$18:$D$2015,"&gt;="&amp;AB86,$D$18:$D$2015,"&lt;"&amp;AB87))</f>
        <v/>
      </c>
      <c r="AD86" s="14" t="n"/>
    </row>
    <row r="87">
      <c r="A87" s="58" t="n"/>
      <c r="B87" s="59" t="n"/>
      <c r="C87" s="59" t="n"/>
      <c r="E87" s="16" t="n"/>
      <c r="F87" s="13" t="n"/>
      <c r="G87" s="16" t="n"/>
      <c r="H87" s="124">
        <f>IF(G87="","",COUNTIFS($C$18:$C$2015,G$13,$D$18:$D$2015,"&gt;="&amp;G87,$D$18:$D$2015,"&lt;"&amp;G88))</f>
        <v/>
      </c>
      <c r="I87" s="14" t="n"/>
      <c r="J87" s="16" t="n"/>
      <c r="K87" s="124">
        <f>IF(J87="","",COUNTIFS($C$18:$C$2015,J$13,$D$18:$D$2015,"&gt;="&amp;J87,$D$18:$D$2015,"&lt;"&amp;J88))</f>
        <v/>
      </c>
      <c r="L87" s="14" t="n"/>
      <c r="M87" s="16" t="n"/>
      <c r="N87" s="124">
        <f>IF(M87="","",COUNTIFS($C$18:$C$2015,M$13,$D$18:$D$2015,"&gt;="&amp;M87,$D$18:$D$2015,"&lt;"&amp;M88))</f>
        <v/>
      </c>
      <c r="O87" s="14" t="n"/>
      <c r="P87" s="16" t="n"/>
      <c r="Q87" s="124">
        <f>IF(P87="","",COUNTIFS($C$18:$C$2015,P$13,$D$18:$D$2015,"&gt;="&amp;P87,$D$18:$D$2015,"&lt;"&amp;P88))</f>
        <v/>
      </c>
      <c r="R87" s="14" t="n"/>
      <c r="S87" s="16" t="n"/>
      <c r="T87" s="124">
        <f>IF(S87="","",COUNTIFS($C$18:$C$2015,S$13,$D$18:$D$2015,"&gt;="&amp;S87,$D$18:$D$2015,"&lt;"&amp;S88))</f>
        <v/>
      </c>
      <c r="U87" s="14" t="n"/>
      <c r="V87" s="16" t="n"/>
      <c r="W87" s="124">
        <f>IF(V87="","",COUNTIFS($C$18:$C$2015,V$13,$D$18:$D$2015,"&gt;="&amp;V87,$D$18:$D$2015,"&lt;"&amp;V88))</f>
        <v/>
      </c>
      <c r="X87" s="14" t="n"/>
      <c r="Y87" s="16" t="n"/>
      <c r="Z87" s="124">
        <f>IF(Y87="","",COUNTIFS($C$18:$C$2015,Y$13,$D$18:$D$2015,"&gt;="&amp;Y87,$D$18:$D$2015,"&lt;"&amp;Y88))</f>
        <v/>
      </c>
      <c r="AA87" s="14" t="n"/>
      <c r="AB87" s="16" t="n"/>
      <c r="AC87" s="124">
        <f>IF(AB87="","",COUNTIFS($C$18:$C$2015,AB$13,$D$18:$D$2015,"&gt;="&amp;AB87,$D$18:$D$2015,"&lt;"&amp;AB88))</f>
        <v/>
      </c>
      <c r="AD87" s="14" t="n"/>
    </row>
    <row r="88">
      <c r="A88" s="56" t="n"/>
      <c r="B88" s="57" t="n"/>
      <c r="C88" s="59" t="n"/>
      <c r="E88" s="16" t="n"/>
      <c r="F88" s="13" t="n"/>
      <c r="G88" s="16" t="n"/>
      <c r="H88" s="124">
        <f>IF(G88="","",COUNTIFS($C$18:$C$2015,G$13,$D$18:$D$2015,"&gt;="&amp;G88,$D$18:$D$2015,"&lt;"&amp;G89))</f>
        <v/>
      </c>
      <c r="I88" s="14" t="n"/>
      <c r="J88" s="16" t="n"/>
      <c r="K88" s="124">
        <f>IF(J88="","",COUNTIFS($C$18:$C$2015,J$13,$D$18:$D$2015,"&gt;="&amp;J88,$D$18:$D$2015,"&lt;"&amp;J89))</f>
        <v/>
      </c>
      <c r="L88" s="14" t="n"/>
      <c r="M88" s="16" t="n"/>
      <c r="N88" s="124">
        <f>IF(M88="","",COUNTIFS($C$18:$C$2015,M$13,$D$18:$D$2015,"&gt;="&amp;M88,$D$18:$D$2015,"&lt;"&amp;M89))</f>
        <v/>
      </c>
      <c r="O88" s="14" t="n"/>
      <c r="P88" s="16" t="n"/>
      <c r="Q88" s="124">
        <f>IF(P88="","",COUNTIFS($C$18:$C$2015,P$13,$D$18:$D$2015,"&gt;="&amp;P88,$D$18:$D$2015,"&lt;"&amp;P89))</f>
        <v/>
      </c>
      <c r="R88" s="14" t="n"/>
      <c r="S88" s="16" t="n"/>
      <c r="T88" s="124">
        <f>IF(S88="","",COUNTIFS($C$18:$C$2015,S$13,$D$18:$D$2015,"&gt;="&amp;S88,$D$18:$D$2015,"&lt;"&amp;S89))</f>
        <v/>
      </c>
      <c r="U88" s="14" t="n"/>
      <c r="V88" s="16" t="n"/>
      <c r="W88" s="124">
        <f>IF(V88="","",COUNTIFS($C$18:$C$2015,V$13,$D$18:$D$2015,"&gt;="&amp;V88,$D$18:$D$2015,"&lt;"&amp;V89))</f>
        <v/>
      </c>
      <c r="X88" s="14" t="n"/>
      <c r="Y88" s="16" t="n"/>
      <c r="Z88" s="124">
        <f>IF(Y88="","",COUNTIFS($C$18:$C$2015,Y$13,$D$18:$D$2015,"&gt;="&amp;Y88,$D$18:$D$2015,"&lt;"&amp;Y89))</f>
        <v/>
      </c>
      <c r="AA88" s="14" t="n"/>
      <c r="AB88" s="16" t="n"/>
      <c r="AC88" s="124">
        <f>IF(AB88="","",COUNTIFS($C$18:$C$2015,AB$13,$D$18:$D$2015,"&gt;="&amp;AB88,$D$18:$D$2015,"&lt;"&amp;AB89))</f>
        <v/>
      </c>
      <c r="AD88" s="14" t="n"/>
    </row>
    <row r="89">
      <c r="A89" s="58" t="n"/>
      <c r="B89" s="59" t="n"/>
      <c r="C89" s="59" t="n"/>
      <c r="E89" s="16" t="n"/>
      <c r="F89" s="13" t="n"/>
      <c r="G89" s="16" t="n"/>
      <c r="H89" s="124">
        <f>IF(G89="","",COUNTIFS($C$18:$C$2015,G$13,$D$18:$D$2015,"&gt;="&amp;G89,$D$18:$D$2015,"&lt;"&amp;G90))</f>
        <v/>
      </c>
      <c r="I89" s="14" t="n"/>
      <c r="J89" s="16" t="n"/>
      <c r="K89" s="124">
        <f>IF(J89="","",COUNTIFS($C$18:$C$2015,J$13,$D$18:$D$2015,"&gt;="&amp;J89,$D$18:$D$2015,"&lt;"&amp;J90))</f>
        <v/>
      </c>
      <c r="L89" s="14" t="n"/>
      <c r="M89" s="16" t="n"/>
      <c r="N89" s="124">
        <f>IF(M89="","",COUNTIFS($C$18:$C$2015,M$13,$D$18:$D$2015,"&gt;="&amp;M89,$D$18:$D$2015,"&lt;"&amp;M90))</f>
        <v/>
      </c>
      <c r="O89" s="14" t="n"/>
      <c r="P89" s="16" t="n"/>
      <c r="Q89" s="124">
        <f>IF(P89="","",COUNTIFS($C$18:$C$2015,P$13,$D$18:$D$2015,"&gt;="&amp;P89,$D$18:$D$2015,"&lt;"&amp;P90))</f>
        <v/>
      </c>
      <c r="R89" s="14" t="n"/>
      <c r="S89" s="16" t="n"/>
      <c r="T89" s="124">
        <f>IF(S89="","",COUNTIFS($C$18:$C$2015,S$13,$D$18:$D$2015,"&gt;="&amp;S89,$D$18:$D$2015,"&lt;"&amp;S90))</f>
        <v/>
      </c>
      <c r="U89" s="14" t="n"/>
      <c r="V89" s="16" t="n"/>
      <c r="W89" s="124">
        <f>IF(V89="","",COUNTIFS($C$18:$C$2015,V$13,$D$18:$D$2015,"&gt;="&amp;V89,$D$18:$D$2015,"&lt;"&amp;V90))</f>
        <v/>
      </c>
      <c r="X89" s="14" t="n"/>
      <c r="Y89" s="16" t="n"/>
      <c r="Z89" s="124">
        <f>IF(Y89="","",COUNTIFS($C$18:$C$2015,Y$13,$D$18:$D$2015,"&gt;="&amp;Y89,$D$18:$D$2015,"&lt;"&amp;Y90))</f>
        <v/>
      </c>
      <c r="AA89" s="14" t="n"/>
      <c r="AB89" s="16" t="n"/>
      <c r="AC89" s="124">
        <f>IF(AB89="","",COUNTIFS($C$18:$C$2015,AB$13,$D$18:$D$2015,"&gt;="&amp;AB89,$D$18:$D$2015,"&lt;"&amp;AB90))</f>
        <v/>
      </c>
      <c r="AD89" s="14" t="n"/>
    </row>
    <row r="90">
      <c r="A90" s="56" t="n"/>
      <c r="B90" s="57" t="n"/>
      <c r="C90" s="59" t="n"/>
      <c r="E90" s="16" t="n"/>
      <c r="F90" s="13" t="n"/>
      <c r="G90" s="16" t="n"/>
      <c r="H90" s="124">
        <f>IF(G90="","",COUNTIFS($C$18:$C$2015,G$13,$D$18:$D$2015,"&gt;="&amp;G90,$D$18:$D$2015,"&lt;"&amp;G91))</f>
        <v/>
      </c>
      <c r="I90" s="14" t="n"/>
      <c r="J90" s="16" t="n"/>
      <c r="K90" s="124">
        <f>IF(J90="","",COUNTIFS($C$18:$C$2015,J$13,$D$18:$D$2015,"&gt;="&amp;J90,$D$18:$D$2015,"&lt;"&amp;J91))</f>
        <v/>
      </c>
      <c r="L90" s="14" t="n"/>
      <c r="M90" s="16" t="n"/>
      <c r="N90" s="124">
        <f>IF(M90="","",COUNTIFS($C$18:$C$2015,M$13,$D$18:$D$2015,"&gt;="&amp;M90,$D$18:$D$2015,"&lt;"&amp;M91))</f>
        <v/>
      </c>
      <c r="O90" s="14" t="n"/>
      <c r="P90" s="16" t="n"/>
      <c r="Q90" s="124">
        <f>IF(P90="","",COUNTIFS($C$18:$C$2015,P$13,$D$18:$D$2015,"&gt;="&amp;P90,$D$18:$D$2015,"&lt;"&amp;P91))</f>
        <v/>
      </c>
      <c r="R90" s="14" t="n"/>
      <c r="S90" s="16" t="n"/>
      <c r="T90" s="124">
        <f>IF(S90="","",COUNTIFS($C$18:$C$2015,S$13,$D$18:$D$2015,"&gt;="&amp;S90,$D$18:$D$2015,"&lt;"&amp;S91))</f>
        <v/>
      </c>
      <c r="U90" s="14" t="n"/>
      <c r="V90" s="16" t="n"/>
      <c r="W90" s="124">
        <f>IF(V90="","",COUNTIFS($C$18:$C$2015,V$13,$D$18:$D$2015,"&gt;="&amp;V90,$D$18:$D$2015,"&lt;"&amp;V91))</f>
        <v/>
      </c>
      <c r="X90" s="14" t="n"/>
      <c r="Y90" s="16" t="n"/>
      <c r="Z90" s="124">
        <f>IF(Y90="","",COUNTIFS($C$18:$C$2015,Y$13,$D$18:$D$2015,"&gt;="&amp;Y90,$D$18:$D$2015,"&lt;"&amp;Y91))</f>
        <v/>
      </c>
      <c r="AA90" s="14" t="n"/>
      <c r="AB90" s="16" t="n"/>
      <c r="AC90" s="124">
        <f>IF(AB90="","",COUNTIFS($C$18:$C$2015,AB$13,$D$18:$D$2015,"&gt;="&amp;AB90,$D$18:$D$2015,"&lt;"&amp;AB91))</f>
        <v/>
      </c>
      <c r="AD90" s="14" t="n"/>
    </row>
    <row r="91">
      <c r="A91" s="58" t="n"/>
      <c r="B91" s="59" t="n"/>
      <c r="C91" s="59" t="n"/>
      <c r="E91" s="16" t="n"/>
      <c r="F91" s="13" t="n"/>
      <c r="G91" s="16" t="n"/>
      <c r="H91" s="124">
        <f>IF(G91="","",COUNTIFS($C$18:$C$2015,G$13,$D$18:$D$2015,"&gt;="&amp;G91,$D$18:$D$2015,"&lt;"&amp;G92))</f>
        <v/>
      </c>
      <c r="I91" s="14" t="n"/>
      <c r="J91" s="16" t="n"/>
      <c r="K91" s="124">
        <f>IF(J91="","",COUNTIFS($C$18:$C$2015,J$13,$D$18:$D$2015,"&gt;="&amp;J91,$D$18:$D$2015,"&lt;"&amp;J92))</f>
        <v/>
      </c>
      <c r="L91" s="14" t="n"/>
      <c r="M91" s="16" t="n"/>
      <c r="N91" s="124">
        <f>IF(M91="","",COUNTIFS($C$18:$C$2015,M$13,$D$18:$D$2015,"&gt;="&amp;M91,$D$18:$D$2015,"&lt;"&amp;M92))</f>
        <v/>
      </c>
      <c r="O91" s="14" t="n"/>
      <c r="P91" s="16" t="n"/>
      <c r="Q91" s="124">
        <f>IF(P91="","",COUNTIFS($C$18:$C$2015,P$13,$D$18:$D$2015,"&gt;="&amp;P91,$D$18:$D$2015,"&lt;"&amp;P92))</f>
        <v/>
      </c>
      <c r="R91" s="14" t="n"/>
      <c r="S91" s="16" t="n"/>
      <c r="T91" s="124">
        <f>IF(S91="","",COUNTIFS($C$18:$C$2015,S$13,$D$18:$D$2015,"&gt;="&amp;S91,$D$18:$D$2015,"&lt;"&amp;S92))</f>
        <v/>
      </c>
      <c r="U91" s="14" t="n"/>
      <c r="V91" s="16" t="n"/>
      <c r="W91" s="124">
        <f>IF(V91="","",COUNTIFS($C$18:$C$2015,V$13,$D$18:$D$2015,"&gt;="&amp;V91,$D$18:$D$2015,"&lt;"&amp;V92))</f>
        <v/>
      </c>
      <c r="X91" s="14" t="n"/>
      <c r="Y91" s="16" t="n"/>
      <c r="Z91" s="124">
        <f>IF(Y91="","",COUNTIFS($C$18:$C$2015,Y$13,$D$18:$D$2015,"&gt;="&amp;Y91,$D$18:$D$2015,"&lt;"&amp;Y92))</f>
        <v/>
      </c>
      <c r="AA91" s="14" t="n"/>
      <c r="AB91" s="16" t="n"/>
      <c r="AC91" s="124">
        <f>IF(AB91="","",COUNTIFS($C$18:$C$2015,AB$13,$D$18:$D$2015,"&gt;="&amp;AB91,$D$18:$D$2015,"&lt;"&amp;AB92))</f>
        <v/>
      </c>
      <c r="AD91" s="14" t="n"/>
    </row>
    <row r="92">
      <c r="A92" s="56" t="n"/>
      <c r="B92" s="57" t="n"/>
      <c r="C92" s="59" t="n"/>
      <c r="E92" s="16" t="n"/>
      <c r="F92" s="13" t="n"/>
      <c r="G92" s="16" t="n"/>
      <c r="H92" s="124">
        <f>IF(G92="","",COUNTIFS($C$18:$C$2015,G$13,$D$18:$D$2015,"&gt;="&amp;G92,$D$18:$D$2015,"&lt;"&amp;G93))</f>
        <v/>
      </c>
      <c r="I92" s="14" t="n"/>
      <c r="J92" s="16" t="n"/>
      <c r="K92" s="124">
        <f>IF(J92="","",COUNTIFS($C$18:$C$2015,J$13,$D$18:$D$2015,"&gt;="&amp;J92,$D$18:$D$2015,"&lt;"&amp;J93))</f>
        <v/>
      </c>
      <c r="L92" s="14" t="n"/>
      <c r="M92" s="16" t="n"/>
      <c r="N92" s="124">
        <f>IF(M92="","",COUNTIFS($C$18:$C$2015,M$13,$D$18:$D$2015,"&gt;="&amp;M92,$D$18:$D$2015,"&lt;"&amp;M93))</f>
        <v/>
      </c>
      <c r="O92" s="14" t="n"/>
      <c r="P92" s="16" t="n"/>
      <c r="Q92" s="124">
        <f>IF(P92="","",COUNTIFS($C$18:$C$2015,P$13,$D$18:$D$2015,"&gt;="&amp;P92,$D$18:$D$2015,"&lt;"&amp;P93))</f>
        <v/>
      </c>
      <c r="R92" s="14" t="n"/>
      <c r="S92" s="16" t="n"/>
      <c r="T92" s="124">
        <f>IF(S92="","",COUNTIFS($C$18:$C$2015,S$13,$D$18:$D$2015,"&gt;="&amp;S92,$D$18:$D$2015,"&lt;"&amp;S93))</f>
        <v/>
      </c>
      <c r="U92" s="14" t="n"/>
      <c r="V92" s="16" t="n"/>
      <c r="W92" s="124">
        <f>IF(V92="","",COUNTIFS($C$18:$C$2015,V$13,$D$18:$D$2015,"&gt;="&amp;V92,$D$18:$D$2015,"&lt;"&amp;V93))</f>
        <v/>
      </c>
      <c r="X92" s="14" t="n"/>
      <c r="Y92" s="16" t="n"/>
      <c r="Z92" s="124">
        <f>IF(Y92="","",COUNTIFS($C$18:$C$2015,Y$13,$D$18:$D$2015,"&gt;="&amp;Y92,$D$18:$D$2015,"&lt;"&amp;Y93))</f>
        <v/>
      </c>
      <c r="AA92" s="14" t="n"/>
      <c r="AB92" s="16" t="n"/>
      <c r="AC92" s="124">
        <f>IF(AB92="","",COUNTIFS($C$18:$C$2015,AB$13,$D$18:$D$2015,"&gt;="&amp;AB92,$D$18:$D$2015,"&lt;"&amp;AB93))</f>
        <v/>
      </c>
      <c r="AD92" s="14" t="n"/>
    </row>
    <row r="93">
      <c r="A93" s="58" t="n"/>
      <c r="B93" s="59" t="n"/>
      <c r="C93" s="59" t="n"/>
      <c r="E93" s="16" t="n"/>
      <c r="F93" s="13" t="n"/>
      <c r="G93" s="16" t="n"/>
      <c r="H93" s="124">
        <f>IF(G93="","",COUNTIFS($C$18:$C$2015,G$13,$D$18:$D$2015,"&gt;="&amp;G93,$D$18:$D$2015,"&lt;"&amp;G94))</f>
        <v/>
      </c>
      <c r="I93" s="14" t="n"/>
      <c r="J93" s="16" t="n"/>
      <c r="K93" s="124">
        <f>IF(J93="","",COUNTIFS($C$18:$C$2015,J$13,$D$18:$D$2015,"&gt;="&amp;J93,$D$18:$D$2015,"&lt;"&amp;J94))</f>
        <v/>
      </c>
      <c r="L93" s="14" t="n"/>
      <c r="M93" s="16" t="n"/>
      <c r="N93" s="124">
        <f>IF(M93="","",COUNTIFS($C$18:$C$2015,M$13,$D$18:$D$2015,"&gt;="&amp;M93,$D$18:$D$2015,"&lt;"&amp;M94))</f>
        <v/>
      </c>
      <c r="O93" s="14" t="n"/>
      <c r="P93" s="16" t="n"/>
      <c r="Q93" s="124">
        <f>IF(P93="","",COUNTIFS($C$18:$C$2015,P$13,$D$18:$D$2015,"&gt;="&amp;P93,$D$18:$D$2015,"&lt;"&amp;P94))</f>
        <v/>
      </c>
      <c r="R93" s="14" t="n"/>
      <c r="S93" s="16" t="n"/>
      <c r="T93" s="124">
        <f>IF(S93="","",COUNTIFS($C$18:$C$2015,S$13,$D$18:$D$2015,"&gt;="&amp;S93,$D$18:$D$2015,"&lt;"&amp;S94))</f>
        <v/>
      </c>
      <c r="U93" s="14" t="n"/>
      <c r="V93" s="16" t="n"/>
      <c r="W93" s="124">
        <f>IF(V93="","",COUNTIFS($C$18:$C$2015,V$13,$D$18:$D$2015,"&gt;="&amp;V93,$D$18:$D$2015,"&lt;"&amp;V94))</f>
        <v/>
      </c>
      <c r="X93" s="14" t="n"/>
      <c r="Y93" s="16" t="n"/>
      <c r="Z93" s="124">
        <f>IF(Y93="","",COUNTIFS($C$18:$C$2015,Y$13,$D$18:$D$2015,"&gt;="&amp;Y93,$D$18:$D$2015,"&lt;"&amp;Y94))</f>
        <v/>
      </c>
      <c r="AA93" s="14" t="n"/>
      <c r="AB93" s="16" t="n"/>
      <c r="AC93" s="124">
        <f>IF(AB93="","",COUNTIFS($C$18:$C$2015,AB$13,$D$18:$D$2015,"&gt;="&amp;AB93,$D$18:$D$2015,"&lt;"&amp;AB94))</f>
        <v/>
      </c>
      <c r="AD93" s="14" t="n"/>
    </row>
  </sheetData>
  <autoFilter ref="A14:E574">
    <filterColumn colId="2" hiddenButton="0" showButton="1">
      <filters>
        <filter val="COM"/>
      </filters>
    </filterColumn>
  </autoFilter>
  <conditionalFormatting sqref="E15:E93">
    <cfRule type="cellIs" priority="8" operator="greaterThan" dxfId="3">
      <formula>0</formula>
    </cfRule>
  </conditionalFormatting>
  <conditionalFormatting sqref="G15:G93">
    <cfRule type="expression" priority="61" dxfId="2">
      <formula>AND(NOT(ISBLANK(G15)),G15&lt;H$7)</formula>
    </cfRule>
    <cfRule type="expression" priority="62" dxfId="1">
      <formula>AND(G15&lt;=(H$7),(G15+H$5)&gt;(H$7))</formula>
    </cfRule>
    <cfRule type="expression" priority="63" dxfId="0">
      <formula>AND(NOT(ISBLANK(G15)),G15&gt;H$7)</formula>
    </cfRule>
    <cfRule type="cellIs" priority="65" operator="greaterThan" dxfId="3">
      <formula>0</formula>
    </cfRule>
  </conditionalFormatting>
  <conditionalFormatting sqref="H2">
    <cfRule type="iconSet" priority="60">
      <iconSet iconSet="3Symbols2">
        <cfvo type="percent" val="0"/>
        <cfvo type="num" val="30" gte="0"/>
        <cfvo type="num" val="50" gte="0"/>
      </iconSet>
    </cfRule>
  </conditionalFormatting>
  <conditionalFormatting sqref="H15:H93">
    <cfRule type="dataBar" priority="64">
      <dataBar>
        <cfvo type="num" val="0"/>
        <cfvo type="max"/>
        <color rgb="FF638EC6"/>
      </dataBar>
    </cfRule>
  </conditionalFormatting>
  <conditionalFormatting sqref="J15:J93">
    <cfRule type="expression" priority="54" dxfId="2">
      <formula>AND(NOT(ISBLANK(J15)),J15&lt;K$7)</formula>
    </cfRule>
    <cfRule type="expression" priority="55" dxfId="1">
      <formula>AND(J15&lt;=(K$7),(J15+K$5)&gt;(K$7))</formula>
    </cfRule>
    <cfRule type="expression" priority="56" dxfId="0">
      <formula>AND(NOT(ISBLANK(J15)),J15&gt;K$7)</formula>
    </cfRule>
    <cfRule type="cellIs" priority="58" operator="greaterThan" dxfId="3">
      <formula>0</formula>
    </cfRule>
  </conditionalFormatting>
  <conditionalFormatting sqref="K2">
    <cfRule type="iconSet" priority="53">
      <iconSet iconSet="3Symbols2">
        <cfvo type="percent" val="0"/>
        <cfvo type="num" val="30" gte="0"/>
        <cfvo type="num" val="50" gte="0"/>
      </iconSet>
    </cfRule>
  </conditionalFormatting>
  <conditionalFormatting sqref="K15:K93">
    <cfRule type="dataBar" priority="57">
      <dataBar>
        <cfvo type="num" val="0"/>
        <cfvo type="max"/>
        <color rgb="FF638EC6"/>
      </dataBar>
    </cfRule>
  </conditionalFormatting>
  <conditionalFormatting sqref="M15:M93">
    <cfRule type="expression" priority="3" dxfId="2">
      <formula>AND(NOT(ISBLANK(M15)),M15&lt;N$7)</formula>
    </cfRule>
    <cfRule type="expression" priority="4" dxfId="1">
      <formula>AND(M15&lt;=(N$7),(M15+N$5)&gt;(N$7))</formula>
    </cfRule>
    <cfRule type="expression" priority="5" dxfId="0">
      <formula>AND(NOT(ISBLANK(M15)),M15&gt;N$7)</formula>
    </cfRule>
    <cfRule type="cellIs" priority="7" operator="greaterThan" dxfId="3">
      <formula>0</formula>
    </cfRule>
  </conditionalFormatting>
  <conditionalFormatting sqref="N2">
    <cfRule type="iconSet" priority="2">
      <iconSet iconSet="3Symbols2">
        <cfvo type="percent" val="0"/>
        <cfvo type="num" val="30" gte="0"/>
        <cfvo type="num" val="50" gte="0"/>
      </iconSet>
    </cfRule>
  </conditionalFormatting>
  <conditionalFormatting sqref="N15:N93">
    <cfRule type="dataBar" priority="6">
      <dataBar>
        <cfvo type="num" val="0"/>
        <cfvo type="max"/>
        <color rgb="FF638EC6"/>
      </dataBar>
    </cfRule>
  </conditionalFormatting>
  <conditionalFormatting sqref="P15:P93">
    <cfRule type="expression" priority="40" dxfId="2">
      <formula>AND(NOT(ISBLANK(P15)),P15&lt;Q$7)</formula>
    </cfRule>
    <cfRule type="expression" priority="41" dxfId="1">
      <formula>AND(P15&lt;=(Q$7),(P15+Q$5)&gt;(Q$7))</formula>
    </cfRule>
    <cfRule type="expression" priority="42" dxfId="0">
      <formula>AND(NOT(ISBLANK(P15)),P15&gt;Q$7)</formula>
    </cfRule>
    <cfRule type="cellIs" priority="44" operator="greaterThan" dxfId="3">
      <formula>0</formula>
    </cfRule>
  </conditionalFormatting>
  <conditionalFormatting sqref="Q2">
    <cfRule type="iconSet" priority="39">
      <iconSet iconSet="3Symbols2">
        <cfvo type="percent" val="0"/>
        <cfvo type="num" val="30" gte="0"/>
        <cfvo type="num" val="50" gte="0"/>
      </iconSet>
    </cfRule>
  </conditionalFormatting>
  <conditionalFormatting sqref="Q15:Q93">
    <cfRule type="dataBar" priority="43">
      <dataBar>
        <cfvo type="num" val="0"/>
        <cfvo type="max"/>
        <color rgb="FF638EC6"/>
      </dataBar>
    </cfRule>
  </conditionalFormatting>
  <conditionalFormatting sqref="S15:S93">
    <cfRule type="expression" priority="33" dxfId="2">
      <formula>AND(NOT(ISBLANK(S15)),S15&lt;T$7)</formula>
    </cfRule>
    <cfRule type="expression" priority="34" dxfId="1">
      <formula>AND(S15&lt;=(T$7),(S15+T$5)&gt;(T$7))</formula>
    </cfRule>
    <cfRule type="expression" priority="35" dxfId="0">
      <formula>AND(NOT(ISBLANK(S15)),S15&gt;T$7)</formula>
    </cfRule>
    <cfRule type="cellIs" priority="37" operator="greaterThan" dxfId="3">
      <formula>0</formula>
    </cfRule>
  </conditionalFormatting>
  <conditionalFormatting sqref="T2">
    <cfRule type="iconSet" priority="32">
      <iconSet iconSet="3Symbols2">
        <cfvo type="percent" val="0"/>
        <cfvo type="num" val="30" gte="0"/>
        <cfvo type="num" val="50" gte="0"/>
      </iconSet>
    </cfRule>
  </conditionalFormatting>
  <conditionalFormatting sqref="T15:T93">
    <cfRule type="dataBar" priority="36">
      <dataBar>
        <cfvo type="num" val="0"/>
        <cfvo type="max"/>
        <color rgb="FF638EC6"/>
      </dataBar>
    </cfRule>
  </conditionalFormatting>
  <conditionalFormatting sqref="V15:V93">
    <cfRule type="expression" priority="26" dxfId="2">
      <formula>AND(NOT(ISBLANK(V15)),V15&lt;W$7)</formula>
    </cfRule>
    <cfRule type="expression" priority="27" dxfId="1">
      <formula>AND(V15&lt;=(W$7),(V15+W$5)&gt;(W$7))</formula>
    </cfRule>
    <cfRule type="expression" priority="28" dxfId="0">
      <formula>AND(NOT(ISBLANK(V15)),V15&gt;W$7)</formula>
    </cfRule>
    <cfRule type="cellIs" priority="30" operator="greaterThan" dxfId="3">
      <formula>0</formula>
    </cfRule>
  </conditionalFormatting>
  <conditionalFormatting sqref="W2">
    <cfRule type="iconSet" priority="25">
      <iconSet iconSet="3Symbols2">
        <cfvo type="percent" val="0"/>
        <cfvo type="num" val="30" gte="0"/>
        <cfvo type="num" val="50" gte="0"/>
      </iconSet>
    </cfRule>
  </conditionalFormatting>
  <conditionalFormatting sqref="W15:W93">
    <cfRule type="dataBar" priority="29">
      <dataBar>
        <cfvo type="num" val="0"/>
        <cfvo type="max"/>
        <color rgb="FF638EC6"/>
      </dataBar>
    </cfRule>
  </conditionalFormatting>
  <conditionalFormatting sqref="Y15:Y93">
    <cfRule type="expression" priority="19" dxfId="2">
      <formula>AND(NOT(ISBLANK(Y15)),Y15&lt;Z$7)</formula>
    </cfRule>
    <cfRule type="expression" priority="20" dxfId="1">
      <formula>AND(Y15&lt;=(Z$7),(Y15+Z$5)&gt;(Z$7))</formula>
    </cfRule>
    <cfRule type="expression" priority="21" dxfId="0">
      <formula>AND(NOT(ISBLANK(Y15)),Y15&gt;Z$7)</formula>
    </cfRule>
    <cfRule type="cellIs" priority="23" operator="greaterThan" dxfId="3">
      <formula>0</formula>
    </cfRule>
  </conditionalFormatting>
  <conditionalFormatting sqref="Z2">
    <cfRule type="iconSet" priority="18">
      <iconSet iconSet="3Symbols2">
        <cfvo type="percent" val="0"/>
        <cfvo type="num" val="30" gte="0"/>
        <cfvo type="num" val="50" gte="0"/>
      </iconSet>
    </cfRule>
  </conditionalFormatting>
  <conditionalFormatting sqref="Z15:Z93">
    <cfRule type="dataBar" priority="22">
      <dataBar>
        <cfvo type="num" val="0"/>
        <cfvo type="max"/>
        <color rgb="FF638EC6"/>
      </dataBar>
    </cfRule>
  </conditionalFormatting>
  <conditionalFormatting sqref="AB15:AB93">
    <cfRule type="expression" priority="12" dxfId="2">
      <formula>AND(NOT(ISBLANK(AB15)),AB15&lt;AC$7)</formula>
    </cfRule>
    <cfRule type="expression" priority="13" dxfId="1">
      <formula>AND(AB15&lt;=(AC$7),(AB15+AC$5)&gt;(AC$7))</formula>
    </cfRule>
    <cfRule type="expression" priority="14" dxfId="0">
      <formula>AND(NOT(ISBLANK(AB15)),AB15&gt;AC$7)</formula>
    </cfRule>
    <cfRule type="cellIs" priority="16" operator="greaterThan" dxfId="3">
      <formula>0</formula>
    </cfRule>
  </conditionalFormatting>
  <conditionalFormatting sqref="AC2">
    <cfRule type="iconSet" priority="11">
      <iconSet iconSet="3Symbols2">
        <cfvo type="percent" val="0"/>
        <cfvo type="num" val="30" gte="0"/>
        <cfvo type="num" val="50" gte="0"/>
      </iconSet>
    </cfRule>
  </conditionalFormatting>
  <conditionalFormatting sqref="AC15:AC93">
    <cfRule type="dataBar" priority="15">
      <dataBar>
        <cfvo type="num" val="0"/>
        <cfvo type="max"/>
        <color rgb="FF638EC6"/>
      </dataBar>
    </cfRule>
  </conditionalFormatting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tabColor rgb="FFFF0000"/>
    <outlinePr summaryBelow="1" summaryRight="1"/>
    <pageSetUpPr/>
  </sheetPr>
  <dimension ref="A1:AE777"/>
  <sheetViews>
    <sheetView showGridLines="0" zoomScale="70" zoomScaleNormal="70" workbookViewId="0">
      <selection activeCell="A15" sqref="A15:D1048576"/>
    </sheetView>
  </sheetViews>
  <sheetFormatPr baseColWidth="8" defaultRowHeight="14.4"/>
  <cols>
    <col width="8.44140625" customWidth="1" style="113" min="1" max="1"/>
    <col width="11.88671875" customWidth="1" style="113" min="2" max="2"/>
    <col width="7.109375" customWidth="1" style="113" min="3" max="3"/>
    <col width="8.5546875" customWidth="1" style="113" min="4" max="4"/>
    <col width="4.5546875" bestFit="1" customWidth="1" style="113" min="5" max="5"/>
    <col width="2.6640625" customWidth="1" style="113" min="6" max="6"/>
    <col width="11.5546875" customWidth="1" style="113" min="7" max="8"/>
    <col width="2.33203125" customWidth="1" style="113" min="9" max="9"/>
    <col width="11.5546875" customWidth="1" style="113" min="10" max="11"/>
    <col width="2.33203125" customWidth="1" style="113" min="12" max="12"/>
    <col width="11.5546875" customWidth="1" style="113" min="13" max="14"/>
    <col width="2.33203125" customWidth="1" style="113" min="15" max="15"/>
    <col width="11.5546875" customWidth="1" style="113" min="16" max="17"/>
    <col width="2.33203125" customWidth="1" style="113" min="18" max="18"/>
    <col width="11.5546875" customWidth="1" style="113" min="19" max="20"/>
    <col width="2.33203125" customWidth="1" style="113" min="21" max="21"/>
    <col width="11.5546875" customWidth="1" style="113" min="22" max="23"/>
    <col width="2.33203125" customWidth="1" style="113" min="24" max="24"/>
    <col width="11.5546875" customWidth="1" style="113" min="25" max="26"/>
    <col width="2.33203125" customWidth="1" style="113" min="27" max="27"/>
    <col width="11.5546875" customWidth="1" style="113" min="28" max="29"/>
    <col width="2.33203125" customWidth="1" style="113" min="30" max="30"/>
  </cols>
  <sheetData>
    <row r="1">
      <c r="D1" s="114" t="n"/>
      <c r="E1" s="115" t="n"/>
      <c r="F1" s="31" t="n"/>
      <c r="G1" s="36">
        <f>FAO!B1&amp;" max ="</f>
        <v/>
      </c>
      <c r="H1" s="116">
        <f>+FAO!B10</f>
        <v/>
      </c>
      <c r="I1" s="32" t="n"/>
      <c r="J1" s="36">
        <f>FAO!E1&amp;" max ="</f>
        <v/>
      </c>
      <c r="K1" s="116">
        <f>+FAO!E10</f>
        <v/>
      </c>
      <c r="L1" s="32" t="n"/>
      <c r="M1" s="36">
        <f>FAO!H1&amp;" max ="</f>
        <v/>
      </c>
      <c r="N1" s="116">
        <f>+FAO!H10</f>
        <v/>
      </c>
      <c r="O1" s="32" t="n"/>
      <c r="P1" s="36">
        <f>FAO!K1&amp;" max ="</f>
        <v/>
      </c>
      <c r="Q1" s="116">
        <f>+FAO!K10</f>
        <v/>
      </c>
      <c r="R1" s="32" t="n"/>
      <c r="S1" s="36">
        <f>FAO!N1&amp;" max ="</f>
        <v/>
      </c>
      <c r="T1" s="116">
        <f>+FAO!N10</f>
        <v/>
      </c>
      <c r="U1" s="32" t="n"/>
      <c r="V1" s="36">
        <f>FAO!Q1&amp;" max ="</f>
        <v/>
      </c>
      <c r="W1" s="116">
        <f>+FAO!Q10</f>
        <v/>
      </c>
      <c r="X1" s="32" t="n"/>
      <c r="Y1" s="36">
        <f>FAO!T1&amp;" max ="</f>
        <v/>
      </c>
      <c r="Z1" s="116">
        <f>+FAO!T10</f>
        <v/>
      </c>
      <c r="AA1" s="32" t="n"/>
      <c r="AB1" s="36">
        <f>FAO!W1&amp;" max ="</f>
        <v/>
      </c>
      <c r="AC1" s="116">
        <f>+FAO!W10</f>
        <v/>
      </c>
      <c r="AD1" s="32" t="n"/>
      <c r="AE1">
        <f>COUNTA($C$15:$C$10001)</f>
        <v/>
      </c>
    </row>
    <row r="2">
      <c r="D2" s="114" t="n"/>
      <c r="E2" s="115" t="n"/>
      <c r="F2" s="31" t="n"/>
      <c r="G2" s="48" t="inlineStr">
        <is>
          <t>obs n =</t>
        </is>
      </c>
      <c r="H2">
        <f>COUNTIF($C$18:$C$1003,G13)</f>
        <v/>
      </c>
      <c r="I2" s="32" t="n"/>
      <c r="J2" s="48" t="inlineStr">
        <is>
          <t>obs n =</t>
        </is>
      </c>
      <c r="K2">
        <f>COUNTIF($C$18:$C$1003,J13)</f>
        <v/>
      </c>
      <c r="L2" s="32" t="n"/>
      <c r="M2" s="48" t="inlineStr">
        <is>
          <t>obs n =</t>
        </is>
      </c>
      <c r="N2">
        <f>COUNTIF($C$18:$C$1003,M13)</f>
        <v/>
      </c>
      <c r="O2" s="32" t="n"/>
      <c r="P2" s="48" t="inlineStr">
        <is>
          <t>obs n =</t>
        </is>
      </c>
      <c r="Q2">
        <f>COUNTIF($C$18:$C$1003,P13)</f>
        <v/>
      </c>
      <c r="R2" s="32" t="n"/>
      <c r="S2" s="48" t="inlineStr">
        <is>
          <t>obs n =</t>
        </is>
      </c>
      <c r="T2">
        <f>COUNTIF($C$18:$C$1003,S13)</f>
        <v/>
      </c>
      <c r="U2" s="32" t="n"/>
      <c r="V2" s="48" t="inlineStr">
        <is>
          <t>obs n =</t>
        </is>
      </c>
      <c r="W2">
        <f>COUNTIF($C$18:$C$1003,V13)</f>
        <v/>
      </c>
      <c r="X2" s="32" t="n"/>
      <c r="Y2" s="48" t="inlineStr">
        <is>
          <t>obs n =</t>
        </is>
      </c>
      <c r="Z2">
        <f>COUNTIF($C$18:$C$1003,Y13)</f>
        <v/>
      </c>
      <c r="AA2" s="32" t="n"/>
      <c r="AB2" s="48" t="inlineStr">
        <is>
          <t>obs n =</t>
        </is>
      </c>
      <c r="AC2">
        <f>COUNTIF($C$18:$C$1003,AB13)</f>
        <v/>
      </c>
      <c r="AD2" s="32" t="n"/>
    </row>
    <row r="3">
      <c r="D3" s="114" t="n"/>
      <c r="E3" s="115" t="n"/>
      <c r="F3" s="31" t="n"/>
      <c r="G3" s="48" t="inlineStr">
        <is>
          <t xml:space="preserve">freq n= </t>
        </is>
      </c>
      <c r="H3">
        <f>+SUM(H15:H1003)</f>
        <v/>
      </c>
      <c r="I3" s="32" t="n"/>
      <c r="J3" s="48" t="inlineStr">
        <is>
          <t xml:space="preserve">freq n= </t>
        </is>
      </c>
      <c r="K3">
        <f>+SUM(K15:K1003)</f>
        <v/>
      </c>
      <c r="L3" s="32" t="n"/>
      <c r="M3" s="48" t="inlineStr">
        <is>
          <t xml:space="preserve">freq n= </t>
        </is>
      </c>
      <c r="N3">
        <f>+SUM(N15:N1003)</f>
        <v/>
      </c>
      <c r="O3" s="32" t="n"/>
      <c r="P3" s="48" t="inlineStr">
        <is>
          <t xml:space="preserve">freq n= </t>
        </is>
      </c>
      <c r="Q3">
        <f>+SUM(Q15:Q1003)</f>
        <v/>
      </c>
      <c r="R3" s="32" t="n"/>
      <c r="S3" s="48" t="inlineStr">
        <is>
          <t xml:space="preserve">freq n= </t>
        </is>
      </c>
      <c r="T3">
        <f>+SUM(T15:T1003)</f>
        <v/>
      </c>
      <c r="U3" s="32" t="n"/>
      <c r="V3" s="48" t="inlineStr">
        <is>
          <t xml:space="preserve">freq n= </t>
        </is>
      </c>
      <c r="W3">
        <f>+SUM(W15:W1003)</f>
        <v/>
      </c>
      <c r="X3" s="32" t="n"/>
      <c r="Y3" s="48" t="inlineStr">
        <is>
          <t xml:space="preserve">freq n= </t>
        </is>
      </c>
      <c r="Z3">
        <f>+SUM(Z15:Z1003)</f>
        <v/>
      </c>
      <c r="AA3" s="32" t="n"/>
      <c r="AB3" s="48" t="inlineStr">
        <is>
          <t xml:space="preserve">freq n= </t>
        </is>
      </c>
      <c r="AC3">
        <f>+SUM(AC15:AC1003)</f>
        <v/>
      </c>
      <c r="AD3" s="32" t="n"/>
    </row>
    <row r="4">
      <c r="D4" s="114" t="n"/>
      <c r="E4" s="115" t="n"/>
      <c r="F4" s="31" t="n"/>
      <c r="G4" s="48" t="inlineStr">
        <is>
          <t>first bin =</t>
        </is>
      </c>
      <c r="H4" t="n">
        <v>10</v>
      </c>
      <c r="I4" s="32" t="n"/>
      <c r="J4" s="48" t="inlineStr">
        <is>
          <t>first bin =</t>
        </is>
      </c>
      <c r="K4" t="n">
        <v>10</v>
      </c>
      <c r="L4" s="32" t="n"/>
      <c r="M4" s="48" t="inlineStr">
        <is>
          <t>first bin =</t>
        </is>
      </c>
      <c r="N4" t="n">
        <v>10</v>
      </c>
      <c r="O4" s="32" t="n"/>
      <c r="P4" s="48" t="inlineStr">
        <is>
          <t>first bin =</t>
        </is>
      </c>
      <c r="Q4" t="n">
        <v>10</v>
      </c>
      <c r="R4" s="32" t="n"/>
      <c r="S4" s="48" t="inlineStr">
        <is>
          <t>first bin =</t>
        </is>
      </c>
      <c r="T4" t="n">
        <v>10</v>
      </c>
      <c r="U4" s="32" t="n"/>
      <c r="V4" s="48" t="inlineStr">
        <is>
          <t>first bin =</t>
        </is>
      </c>
      <c r="W4" t="n">
        <v>10</v>
      </c>
      <c r="X4" s="32" t="n"/>
      <c r="Y4" s="48" t="inlineStr">
        <is>
          <t>first bin =</t>
        </is>
      </c>
      <c r="Z4" t="n">
        <v>10</v>
      </c>
      <c r="AA4" s="32" t="n"/>
      <c r="AB4" s="48" t="inlineStr">
        <is>
          <t>first bin =</t>
        </is>
      </c>
      <c r="AC4" t="n">
        <v>10</v>
      </c>
      <c r="AD4" s="32" t="n"/>
    </row>
    <row r="5">
      <c r="D5" s="114" t="n"/>
      <c r="E5" s="115" t="n"/>
      <c r="F5" s="31" t="n"/>
      <c r="G5" s="48" t="inlineStr">
        <is>
          <t>increment =</t>
        </is>
      </c>
      <c r="H5">
        <f>+FAO!B14</f>
        <v/>
      </c>
      <c r="I5" s="32" t="n"/>
      <c r="J5" s="48" t="inlineStr">
        <is>
          <t>increment =</t>
        </is>
      </c>
      <c r="K5">
        <f>+FAO!E14</f>
        <v/>
      </c>
      <c r="L5" s="32" t="n"/>
      <c r="M5" s="48" t="inlineStr">
        <is>
          <t>increment =</t>
        </is>
      </c>
      <c r="N5">
        <f>+FAO!H14</f>
        <v/>
      </c>
      <c r="O5" s="32" t="n"/>
      <c r="P5" s="48" t="inlineStr">
        <is>
          <t>increment =</t>
        </is>
      </c>
      <c r="Q5">
        <f>+FAO!K14</f>
        <v/>
      </c>
      <c r="R5" s="32" t="n"/>
      <c r="S5" s="48" t="inlineStr">
        <is>
          <t>increment =</t>
        </is>
      </c>
      <c r="T5">
        <f>+FAO!N14</f>
        <v/>
      </c>
      <c r="U5" s="32" t="n"/>
      <c r="V5" s="48" t="inlineStr">
        <is>
          <t>increment =</t>
        </is>
      </c>
      <c r="W5">
        <f>+FAO!Q14</f>
        <v/>
      </c>
      <c r="X5" s="32" t="n"/>
      <c r="Y5" s="48" t="inlineStr">
        <is>
          <t>increment =</t>
        </is>
      </c>
      <c r="Z5">
        <f>+FAO!T14</f>
        <v/>
      </c>
      <c r="AA5" s="32" t="n"/>
      <c r="AB5" s="48" t="inlineStr">
        <is>
          <t>increment =</t>
        </is>
      </c>
      <c r="AC5">
        <f>+FAO!W14</f>
        <v/>
      </c>
      <c r="AD5" s="32" t="n"/>
    </row>
    <row r="6">
      <c r="D6" s="114" t="n"/>
      <c r="E6" s="115" t="n"/>
      <c r="F6" s="31" t="n"/>
      <c r="G6" s="48" t="inlineStr">
        <is>
          <t>Complete =</t>
        </is>
      </c>
      <c r="H6">
        <f>COUNTIFS($C$18:$C$2015,G$13,$D$18:$D$2015,"&gt;5")/COUNTIF($C$18:$C$2015,G$13)*100</f>
        <v/>
      </c>
      <c r="I6" s="32" t="n"/>
      <c r="J6" s="48" t="inlineStr">
        <is>
          <t>Complete =</t>
        </is>
      </c>
      <c r="K6">
        <f>COUNTIFS($C$18:$C$2015,J$13,$D$18:$D$2015,"&gt;5")/COUNTIF($C$18:$C$2015,J$13)*100</f>
        <v/>
      </c>
      <c r="L6" s="32" t="n"/>
      <c r="M6" s="48" t="inlineStr">
        <is>
          <t>Complete =</t>
        </is>
      </c>
      <c r="N6">
        <f>COUNTIFS($C$18:$C$2015,M$13,$D$18:$D$2015,"&gt;5")/COUNTIF($C$18:$C$2015,M$13)*100</f>
        <v/>
      </c>
      <c r="O6" s="32" t="n"/>
      <c r="P6" s="48" t="inlineStr">
        <is>
          <t>Complete =</t>
        </is>
      </c>
      <c r="Q6">
        <f>COUNTIFS($C$18:$C$2015,P$13,$D$18:$D$2015,"&gt;5")/COUNTIF($C$18:$C$2015,P$13)*100</f>
        <v/>
      </c>
      <c r="R6" s="32" t="n"/>
      <c r="S6" s="48" t="inlineStr">
        <is>
          <t>Complete =</t>
        </is>
      </c>
      <c r="T6">
        <f>COUNTIFS($C$18:$C$2015,S$13,$D$18:$D$2015,"&gt;5")/COUNTIF($C$18:$C$2015,S$13)*100</f>
        <v/>
      </c>
      <c r="U6" s="32" t="n"/>
      <c r="V6" s="48" t="inlineStr">
        <is>
          <t>Complete =</t>
        </is>
      </c>
      <c r="W6">
        <f>COUNTIFS($C$18:$C$2015,V$13,$D$18:$D$2015,"&gt;5")/COUNTIF($C$18:$C$2015,V$13)*100</f>
        <v/>
      </c>
      <c r="X6" s="32" t="n"/>
      <c r="Y6" s="48" t="inlineStr">
        <is>
          <t>Complete =</t>
        </is>
      </c>
      <c r="Z6">
        <f>COUNTIFS($C$18:$C$2015,Y$13,$D$18:$D$2015,"&gt;5")/COUNTIF($C$18:$C$2015,Y$13)*100</f>
        <v/>
      </c>
      <c r="AA6" s="32" t="n"/>
      <c r="AB6" s="48" t="inlineStr">
        <is>
          <t>Complete =</t>
        </is>
      </c>
      <c r="AC6">
        <f>COUNTIFS($C$18:$C$2015,AB$13,$D$18:$D$2015,"&gt;5")/COUNTIF($C$18:$C$2015,AB$13)*100</f>
        <v/>
      </c>
      <c r="AD6" s="32" t="n"/>
    </row>
    <row r="7">
      <c r="D7" s="114" t="n"/>
      <c r="E7" s="115" t="n"/>
      <c r="F7" s="31" t="n"/>
      <c r="G7" s="48" t="inlineStr">
        <is>
          <t>L50 (cm) =</t>
        </is>
      </c>
      <c r="H7">
        <f>+FAO!B11</f>
        <v/>
      </c>
      <c r="I7" s="32" t="n"/>
      <c r="J7" s="48" t="inlineStr">
        <is>
          <t>L50 (cm) =</t>
        </is>
      </c>
      <c r="K7">
        <f>+FAO!E11</f>
        <v/>
      </c>
      <c r="L7" s="32" t="n"/>
      <c r="M7" s="48" t="inlineStr">
        <is>
          <t>L50 (cm) =</t>
        </is>
      </c>
      <c r="N7">
        <f>+FAO!H11</f>
        <v/>
      </c>
      <c r="O7" s="32" t="n"/>
      <c r="P7" s="48" t="inlineStr">
        <is>
          <t>L50 (cm) =</t>
        </is>
      </c>
      <c r="Q7">
        <f>+FAO!K11</f>
        <v/>
      </c>
      <c r="R7" s="32" t="n"/>
      <c r="S7" s="48" t="inlineStr">
        <is>
          <t>L50 (cm) =</t>
        </is>
      </c>
      <c r="T7">
        <f>+FAO!N11</f>
        <v/>
      </c>
      <c r="U7" s="32" t="n"/>
      <c r="V7" s="48" t="inlineStr">
        <is>
          <t>L50 (cm) =</t>
        </is>
      </c>
      <c r="W7">
        <f>+FAO!Q11</f>
        <v/>
      </c>
      <c r="X7" s="32" t="n"/>
      <c r="Y7" s="48" t="inlineStr">
        <is>
          <t>L50 (cm) =</t>
        </is>
      </c>
      <c r="Z7">
        <f>+FAO!T11</f>
        <v/>
      </c>
      <c r="AA7" s="32" t="n"/>
      <c r="AB7" s="48" t="inlineStr">
        <is>
          <t>L50 (cm) =</t>
        </is>
      </c>
      <c r="AC7">
        <f>+FAO!W11</f>
        <v/>
      </c>
      <c r="AD7" s="32" t="n"/>
    </row>
    <row r="8">
      <c r="D8" s="114" t="n"/>
      <c r="E8" s="115" t="n"/>
      <c r="F8" s="31" t="n"/>
      <c r="G8" s="48" t="inlineStr">
        <is>
          <t>Juven. (%) =</t>
        </is>
      </c>
      <c r="H8">
        <f>+ROUND(COUNTIFS($C$18:$C$2015,G$13,$D$18:$D$2015,"&lt;"&amp;H7)/COUNTIF($C$18:$C$2015,G$13)*100,0)</f>
        <v/>
      </c>
      <c r="I8" s="32" t="n"/>
      <c r="J8" s="48" t="inlineStr">
        <is>
          <t>Juven. (%) =</t>
        </is>
      </c>
      <c r="K8">
        <f>+ROUND(COUNTIFS($C$18:$C$2015,J$13,$D$18:$D$2015,"&lt;"&amp;K7)/COUNTIF($C$18:$C$2015,J$13)*100,0)</f>
        <v/>
      </c>
      <c r="L8" s="32" t="n"/>
      <c r="M8" s="48" t="inlineStr">
        <is>
          <t>Juven. (%) =</t>
        </is>
      </c>
      <c r="N8">
        <f>+ROUND(COUNTIFS($C$18:$C$2015,M$13,$D$18:$D$2015,"&lt;"&amp;N7)/COUNTIF($C$18:$C$2015,M$13)*100,0)</f>
        <v/>
      </c>
      <c r="O8" s="32" t="n"/>
      <c r="P8" s="48" t="inlineStr">
        <is>
          <t>Juven. (%) =</t>
        </is>
      </c>
      <c r="Q8">
        <f>+ROUND(COUNTIFS($C$18:$C$2015,P$13,$D$18:$D$2015,"&lt;"&amp;Q7)/COUNTIF($C$18:$C$2015,P$13)*100,0)</f>
        <v/>
      </c>
      <c r="R8" s="32" t="n"/>
      <c r="S8" s="48" t="inlineStr">
        <is>
          <t>Juven. (%) =</t>
        </is>
      </c>
      <c r="T8">
        <f>+ROUND(COUNTIFS($C$18:$C$2015,S$13,$D$18:$D$2015,"&lt;"&amp;T7)/COUNTIF($C$18:$C$2015,S$13)*100,0)</f>
        <v/>
      </c>
      <c r="U8" s="32" t="n"/>
      <c r="V8" s="48" t="inlineStr">
        <is>
          <t>Juven. (%) =</t>
        </is>
      </c>
      <c r="W8">
        <f>+ROUND(COUNTIFS($C$18:$C$2015,V$13,$D$18:$D$2015,"&lt;"&amp;W7)/COUNTIF($C$18:$C$2015,V$13)*100,0)</f>
        <v/>
      </c>
      <c r="X8" s="32" t="n"/>
      <c r="Y8" s="48" t="inlineStr">
        <is>
          <t>Juven. (%) =</t>
        </is>
      </c>
      <c r="Z8">
        <f>+ROUND(COUNTIFS($C$18:$C$2015,Y$13,$D$18:$D$2015,"&lt;"&amp;Z7)/COUNTIF($C$18:$C$2015,Y$13)*100,0)</f>
        <v/>
      </c>
      <c r="AA8" s="32" t="n"/>
      <c r="AB8" s="48" t="inlineStr">
        <is>
          <t>Juven. (%) =</t>
        </is>
      </c>
      <c r="AC8">
        <f>+ROUND(COUNTIFS($C$18:$C$2015,AB$13,$D$18:$D$2015,"&lt;"&amp;AC7)/COUNTIF($C$18:$C$2015,AB$13)*100,0)</f>
        <v/>
      </c>
      <c r="AD8" s="32" t="n"/>
    </row>
    <row r="9" customFormat="1" s="17">
      <c r="D9" s="114" t="n"/>
      <c r="E9" s="18" t="n"/>
      <c r="F9" s="31" t="n"/>
      <c r="G9" s="20">
        <f>+FAO!B6</f>
        <v/>
      </c>
      <c r="H9" s="117" t="n"/>
      <c r="I9" s="32" t="n"/>
      <c r="J9" s="20">
        <f>+FAO!E6</f>
        <v/>
      </c>
      <c r="K9" s="117" t="n"/>
      <c r="L9" s="32" t="n"/>
      <c r="M9" s="20">
        <f>+FAO!H6</f>
        <v/>
      </c>
      <c r="N9" s="117" t="n"/>
      <c r="O9" s="32" t="n"/>
      <c r="P9" s="20">
        <f>+FAO!K6</f>
        <v/>
      </c>
      <c r="Q9" s="117" t="n"/>
      <c r="R9" s="32" t="n"/>
      <c r="S9" s="20">
        <f>+FAO!N6</f>
        <v/>
      </c>
      <c r="T9" s="117" t="n"/>
      <c r="U9" s="32" t="n"/>
      <c r="V9" s="20">
        <f>+FAO!Q6</f>
        <v/>
      </c>
      <c r="W9" s="117" t="n"/>
      <c r="X9" s="32" t="n"/>
      <c r="Y9" s="20">
        <f>+FAO!T6</f>
        <v/>
      </c>
      <c r="Z9" s="117" t="n"/>
      <c r="AA9" s="32" t="n"/>
      <c r="AB9" s="20">
        <f>+FAO!W6</f>
        <v/>
      </c>
      <c r="AC9" s="117" t="n"/>
      <c r="AD9" s="32" t="n"/>
    </row>
    <row r="10" customFormat="1" s="1">
      <c r="D10" s="114" t="n"/>
      <c r="E10" s="33" t="n"/>
      <c r="F10" s="31" t="n"/>
      <c r="G10" s="20">
        <f>+FAO!B7</f>
        <v/>
      </c>
      <c r="H10" s="118" t="n"/>
      <c r="I10" s="32" t="n"/>
      <c r="J10" s="20">
        <f>+FAO!E7</f>
        <v/>
      </c>
      <c r="K10" s="118" t="n"/>
      <c r="L10" s="32" t="n"/>
      <c r="M10" s="20">
        <f>+FAO!H7</f>
        <v/>
      </c>
      <c r="N10" s="118" t="n"/>
      <c r="O10" s="32" t="n"/>
      <c r="P10" s="20">
        <f>+FAO!K7</f>
        <v/>
      </c>
      <c r="Q10" s="118" t="n"/>
      <c r="R10" s="32" t="n"/>
      <c r="S10" s="20">
        <f>+FAO!N7</f>
        <v/>
      </c>
      <c r="T10" s="118" t="n"/>
      <c r="U10" s="32" t="n"/>
      <c r="V10" s="20">
        <f>+FAO!Q7</f>
        <v/>
      </c>
      <c r="W10" s="118" t="n"/>
      <c r="X10" s="32" t="n"/>
      <c r="Y10" s="20">
        <f>+FAO!T7</f>
        <v/>
      </c>
      <c r="Z10" s="118" t="n"/>
      <c r="AA10" s="32" t="n"/>
      <c r="AB10" s="20">
        <f>+FAO!W7</f>
        <v/>
      </c>
      <c r="AC10" s="118" t="n"/>
      <c r="AD10" s="32" t="n"/>
    </row>
    <row r="11" customFormat="1" s="1">
      <c r="D11" s="114" t="n"/>
      <c r="E11" s="19" t="n"/>
      <c r="F11" s="31" t="n"/>
      <c r="G11" s="34">
        <f>+FAO!B9</f>
        <v/>
      </c>
      <c r="H11" s="119" t="n"/>
      <c r="I11" s="32" t="n"/>
      <c r="J11" s="34">
        <f>+FAO!E9</f>
        <v/>
      </c>
      <c r="K11" s="119" t="n"/>
      <c r="L11" s="32" t="n"/>
      <c r="M11" s="34">
        <f>+FAO!H9</f>
        <v/>
      </c>
      <c r="N11" s="119" t="n"/>
      <c r="O11" s="32" t="n"/>
      <c r="P11" s="34">
        <f>+FAO!K9</f>
        <v/>
      </c>
      <c r="Q11" s="119" t="n"/>
      <c r="R11" s="32" t="n"/>
      <c r="S11" s="34">
        <f>+FAO!N9</f>
        <v/>
      </c>
      <c r="T11" s="119" t="n"/>
      <c r="U11" s="32" t="n"/>
      <c r="V11" s="34">
        <f>+FAO!Q9</f>
        <v/>
      </c>
      <c r="W11" s="119" t="n"/>
      <c r="X11" s="32" t="n"/>
      <c r="Y11" s="34">
        <f>+FAO!T9</f>
        <v/>
      </c>
      <c r="Z11" s="119" t="n"/>
      <c r="AA11" s="32" t="n"/>
      <c r="AB11" s="34">
        <f>+FAO!W9</f>
        <v/>
      </c>
      <c r="AC11" s="119" t="n"/>
      <c r="AD11" s="32" t="n"/>
    </row>
    <row r="12">
      <c r="D12" s="114" t="n"/>
      <c r="E12" s="115" t="n"/>
      <c r="F12" s="31" t="n"/>
      <c r="G12" s="34">
        <f>+FAO!B5</f>
        <v/>
      </c>
      <c r="H12" s="120" t="n"/>
      <c r="I12" s="32" t="n"/>
      <c r="J12" s="34">
        <f>+FAO!E5</f>
        <v/>
      </c>
      <c r="K12" s="120" t="n"/>
      <c r="L12" s="32" t="n"/>
      <c r="M12" s="34">
        <f>+FAO!H5</f>
        <v/>
      </c>
      <c r="N12" s="120" t="n"/>
      <c r="O12" s="32" t="n"/>
      <c r="P12" s="34">
        <f>+FAO!K5</f>
        <v/>
      </c>
      <c r="Q12" s="120" t="n"/>
      <c r="R12" s="32" t="n"/>
      <c r="S12" s="34">
        <f>+FAO!N5</f>
        <v/>
      </c>
      <c r="T12" s="120" t="n"/>
      <c r="U12" s="32" t="n"/>
      <c r="V12" s="34">
        <f>+FAO!Q5</f>
        <v/>
      </c>
      <c r="W12" s="120" t="n"/>
      <c r="X12" s="32" t="n"/>
      <c r="Y12" s="34">
        <f>+FAO!T5</f>
        <v/>
      </c>
      <c r="Z12" s="120" t="n"/>
      <c r="AA12" s="32" t="n"/>
      <c r="AB12" s="34">
        <f>+FAO!W5</f>
        <v/>
      </c>
      <c r="AC12" s="120" t="n"/>
      <c r="AD12" s="32" t="n"/>
    </row>
    <row r="13" ht="39" customHeight="1" s="113">
      <c r="B13" s="49" t="n"/>
      <c r="D13" t="e">
        <v>#VALUE!</v>
      </c>
      <c r="E13" s="51">
        <f>COUNTA(C15:C1003)</f>
        <v/>
      </c>
      <c r="F13" s="31" t="n"/>
      <c r="G13" s="35">
        <f>+FAO!B1</f>
        <v/>
      </c>
      <c r="H13" s="121">
        <f>+FAO!B3</f>
        <v/>
      </c>
      <c r="I13" s="32" t="n"/>
      <c r="J13" s="35">
        <f>+FAO!E1</f>
        <v/>
      </c>
      <c r="K13" s="121">
        <f>+FAO!E3</f>
        <v/>
      </c>
      <c r="L13" s="32" t="n"/>
      <c r="M13" s="35">
        <f>+FAO!H1</f>
        <v/>
      </c>
      <c r="N13" s="121">
        <f>+FAO!H3</f>
        <v/>
      </c>
      <c r="O13" s="32" t="n"/>
      <c r="P13" s="35">
        <f>+FAO!K1</f>
        <v/>
      </c>
      <c r="Q13" s="121">
        <f>+FAO!K3</f>
        <v/>
      </c>
      <c r="R13" s="32" t="n"/>
      <c r="S13" s="35">
        <f>+FAO!N1</f>
        <v/>
      </c>
      <c r="T13" s="121">
        <f>+FAO!N3</f>
        <v/>
      </c>
      <c r="U13" s="32" t="n"/>
      <c r="V13" s="35">
        <f>+FAO!Q1</f>
        <v/>
      </c>
      <c r="W13" s="121">
        <f>+FAO!Q3</f>
        <v/>
      </c>
      <c r="X13" s="32" t="n"/>
      <c r="Y13" s="35">
        <f>+FAO!T1</f>
        <v/>
      </c>
      <c r="Z13" s="121">
        <f>+FAO!T3</f>
        <v/>
      </c>
      <c r="AA13" s="32" t="n"/>
      <c r="AB13" s="35">
        <f>+FAO!W1</f>
        <v/>
      </c>
      <c r="AC13" s="121">
        <f>+FAO!W3</f>
        <v/>
      </c>
      <c r="AD13" s="32" t="n"/>
    </row>
    <row r="14" customFormat="1" s="54">
      <c r="A14" s="99" t="inlineStr">
        <is>
          <t>TRIP</t>
        </is>
      </c>
      <c r="B14" s="99" t="inlineStr">
        <is>
          <t>DATE</t>
        </is>
      </c>
      <c r="C14" s="99" t="inlineStr">
        <is>
          <t>FAO</t>
        </is>
      </c>
      <c r="D14" s="122" t="inlineStr">
        <is>
          <t>OBS</t>
        </is>
      </c>
      <c r="E14" s="99" t="inlineStr">
        <is>
          <t>ID</t>
        </is>
      </c>
      <c r="F14" s="52" t="n"/>
      <c r="G14" s="50">
        <f>"LC-"&amp;G13</f>
        <v/>
      </c>
      <c r="H14" s="123">
        <f>"FQ-"&amp;G13</f>
        <v/>
      </c>
      <c r="I14" s="53" t="n"/>
      <c r="J14" s="50">
        <f>"LC-"&amp;J13</f>
        <v/>
      </c>
      <c r="K14" s="123">
        <f>"FQ-"&amp;J13</f>
        <v/>
      </c>
      <c r="L14" s="53" t="n"/>
      <c r="M14" s="50">
        <f>"LC-"&amp;M13</f>
        <v/>
      </c>
      <c r="N14" s="123">
        <f>"FQ-"&amp;M13</f>
        <v/>
      </c>
      <c r="O14" s="53" t="n"/>
      <c r="P14" s="50">
        <f>"LC-"&amp;P13</f>
        <v/>
      </c>
      <c r="Q14" s="123">
        <f>"FQ-"&amp;P13</f>
        <v/>
      </c>
      <c r="R14" s="53" t="n"/>
      <c r="S14" s="50">
        <f>"LC-"&amp;S13</f>
        <v/>
      </c>
      <c r="T14" s="123">
        <f>"FQ-"&amp;S13</f>
        <v/>
      </c>
      <c r="U14" s="53" t="n"/>
      <c r="V14" s="50">
        <f>"LC-"&amp;V13</f>
        <v/>
      </c>
      <c r="W14" s="123">
        <f>"FQ-"&amp;V13</f>
        <v/>
      </c>
      <c r="X14" s="53" t="n"/>
      <c r="Y14" s="50">
        <f>"LC-"&amp;Y13</f>
        <v/>
      </c>
      <c r="Z14" s="123">
        <f>"FQ-"&amp;Y13</f>
        <v/>
      </c>
      <c r="AA14" s="53" t="n"/>
      <c r="AB14" s="50">
        <f>"LC-"&amp;AB13</f>
        <v/>
      </c>
      <c r="AC14" s="123">
        <f>"FQ-"&amp;AB13</f>
        <v/>
      </c>
      <c r="AD14" s="53" t="n"/>
    </row>
    <row r="15">
      <c r="A15" s="58" t="n"/>
      <c r="B15" s="59" t="n"/>
      <c r="C15" s="59" t="n"/>
      <c r="E15" s="16">
        <f t="array" ref="E15">+_xlfn.SEQUENCE(E13,1,1)</f>
        <v/>
      </c>
      <c r="F15" s="13" t="n"/>
      <c r="G15" s="16">
        <f t="array" ref="G15:G85">_xlfn.SEQUENCE(((H1-H4)/H5)+1, 1, H4, H5)</f>
        <v/>
      </c>
      <c r="H15" s="124">
        <f>IF(G15="","",COUNTIFS($C$18:$C$2015,G$13,$D$18:$D$2015,"&gt;="&amp;G15,$D$18:$D$2015,"&lt;"&amp;G16))</f>
        <v/>
      </c>
      <c r="I15" s="14" t="n"/>
      <c r="J15" s="16">
        <f t="array" ref="J15:J43">_xlfn.SEQUENCE(((K1-K4)/K5)+1, 1, K4, K5)</f>
        <v/>
      </c>
      <c r="K15" s="124">
        <f>IF(J15="","",COUNTIFS($C$18:$C$2015,J$13,$D$18:$D$2015,"&gt;="&amp;J15,$D$18:$D$2015,"&lt;"&amp;J16))</f>
        <v/>
      </c>
      <c r="L15" s="14" t="n"/>
      <c r="M15" s="16">
        <f t="array" ref="M15:M55">_xlfn.SEQUENCE(((N1-N4)/N5)+1, 1, N4, N5)</f>
        <v/>
      </c>
      <c r="N15" s="124">
        <f>IF(M15="","",COUNTIFS($C$18:$C$2015,M$13,$D$18:$D$2015,"&gt;="&amp;M15,$D$18:$D$2015,"&lt;"&amp;M16))</f>
        <v/>
      </c>
      <c r="O15" s="14" t="n"/>
      <c r="P15" s="16">
        <f t="array" ref="P15:P85">_xlfn.SEQUENCE(((Q1-Q4)/Q5)+1, 1, Q4, Q5)</f>
        <v/>
      </c>
      <c r="Q15" s="124">
        <f>IF(P15="","",COUNTIFS($C$18:$C$2015,P$13,$D$18:$D$2015,"&gt;="&amp;P15,$D$18:$D$2015,"&lt;"&amp;P16))</f>
        <v/>
      </c>
      <c r="R15" s="14" t="n"/>
      <c r="S15" s="16">
        <f t="array" ref="S15:S60">_xlfn.SEQUENCE(((T1-T4)/T5)+1, 1, T4, T5)</f>
        <v/>
      </c>
      <c r="T15" s="124">
        <f>IF(S15="","",COUNTIFS($C$18:$C$2015,S$13,$D$18:$D$2015,"&gt;="&amp;S15,$D$18:$D$2015,"&lt;"&amp;S16))</f>
        <v/>
      </c>
      <c r="U15" s="14" t="n"/>
      <c r="V15" s="16">
        <f t="array" ref="V15:V50">_xlfn.SEQUENCE(((W1-W4)/W5)+1, 1, W4, W5)</f>
        <v/>
      </c>
      <c r="W15" s="124">
        <f>IF(V15="","",COUNTIFS($C$18:$C$2015,V$13,$D$18:$D$2015,"&gt;="&amp;V15,$D$18:$D$2015,"&lt;"&amp;V16))</f>
        <v/>
      </c>
      <c r="X15" s="14" t="n"/>
      <c r="Y15" s="16">
        <f t="array" ref="Y15:Y50">_xlfn.SEQUENCE(((Z1-Z4)/Z5)+1, 1, Z4, Z5)</f>
        <v/>
      </c>
      <c r="Z15" s="124">
        <f>IF(Y15="","",COUNTIFS($C$18:$C$2015,Y$13,$D$18:$D$2015,"&gt;="&amp;Y15,$D$18:$D$2015,"&lt;"&amp;Y16))</f>
        <v/>
      </c>
      <c r="AA15" s="14" t="n"/>
      <c r="AB15" s="16">
        <f t="array" ref="AB15:AB67">_xlfn.SEQUENCE(((AC1-AC4)/AC5)+1, 1, AC4, AC5)</f>
        <v/>
      </c>
      <c r="AC15" s="124">
        <f>IF(AB15="","",COUNTIFS($C$18:$C$2015,AB$13,$D$18:$D$2015,"&gt;="&amp;AB15,$D$18:$D$2015,"&lt;"&amp;AB16))</f>
        <v/>
      </c>
      <c r="AD15" s="14" t="n"/>
    </row>
    <row r="16">
      <c r="A16" s="56" t="n"/>
      <c r="B16" s="59" t="n"/>
      <c r="C16" s="59" t="n"/>
      <c r="E16" s="16" t="n"/>
      <c r="F16" s="13" t="n"/>
      <c r="G16" s="16" t="n">
        <v>11</v>
      </c>
      <c r="H16" s="124">
        <f>IF(G16="","",COUNTIFS($C$18:$C$2015,G$13,$D$18:$D$2015,"&gt;="&amp;G16,$D$18:$D$2015,"&lt;"&amp;G17))</f>
        <v/>
      </c>
      <c r="I16" s="14" t="n"/>
      <c r="J16" s="16" t="n">
        <v>15</v>
      </c>
      <c r="K16" s="124">
        <f>IF(J16="","",COUNTIFS($C$18:$C$2015,J$13,$D$18:$D$2015,"&gt;="&amp;J16,$D$18:$D$2015,"&lt;"&amp;J17))</f>
        <v/>
      </c>
      <c r="L16" s="14" t="n"/>
      <c r="M16" s="16" t="n">
        <v>12</v>
      </c>
      <c r="N16" s="124">
        <f>IF(M16="","",COUNTIFS($C$18:$C$2015,M$13,$D$18:$D$2015,"&gt;="&amp;M16,$D$18:$D$2015,"&lt;"&amp;M17))</f>
        <v/>
      </c>
      <c r="O16" s="14" t="n"/>
      <c r="P16" s="16" t="n">
        <v>11</v>
      </c>
      <c r="Q16" s="124">
        <f>IF(P16="","",COUNTIFS($C$18:$C$2015,P$13,$D$18:$D$2015,"&gt;="&amp;P16,$D$18:$D$2015,"&lt;"&amp;P17))</f>
        <v/>
      </c>
      <c r="R16" s="14" t="n"/>
      <c r="S16" s="16" t="n">
        <v>12</v>
      </c>
      <c r="T16" s="124">
        <f>IF(S16="","",COUNTIFS($C$18:$C$2015,S$13,$D$18:$D$2015,"&gt;="&amp;S16,$D$18:$D$2015,"&lt;"&amp;S17))</f>
        <v/>
      </c>
      <c r="U16" s="14" t="n"/>
      <c r="V16" s="16" t="n">
        <v>12</v>
      </c>
      <c r="W16" s="124">
        <f>IF(V16="","",COUNTIFS($C$18:$C$2015,V$13,$D$18:$D$2015,"&gt;="&amp;V16,$D$18:$D$2015,"&lt;"&amp;V17))</f>
        <v/>
      </c>
      <c r="X16" s="14" t="n"/>
      <c r="Y16" s="16" t="n">
        <v>12</v>
      </c>
      <c r="Z16" s="124">
        <f>IF(Y16="","",COUNTIFS($C$18:$C$2015,Y$13,$D$18:$D$2015,"&gt;="&amp;Y16,$D$18:$D$2015,"&lt;"&amp;Y17))</f>
        <v/>
      </c>
      <c r="AA16" s="14" t="n"/>
      <c r="AB16" s="16" t="n">
        <v>11</v>
      </c>
      <c r="AC16" s="124">
        <f>IF(AB16="","",COUNTIFS($C$18:$C$2015,AB$13,$D$18:$D$2015,"&gt;="&amp;AB16,$D$18:$D$2015,"&lt;"&amp;AB17))</f>
        <v/>
      </c>
      <c r="AD16" s="14" t="n"/>
    </row>
    <row r="17">
      <c r="A17" s="58" t="n"/>
      <c r="B17" s="59" t="n"/>
      <c r="C17" s="59" t="n"/>
      <c r="E17" s="16" t="n"/>
      <c r="F17" s="13" t="n"/>
      <c r="G17" s="16" t="n">
        <v>12</v>
      </c>
      <c r="H17" s="124">
        <f>IF(G17="","",COUNTIFS($C$18:$C$2015,G$13,$D$18:$D$2015,"&gt;="&amp;G17,$D$18:$D$2015,"&lt;"&amp;G18))</f>
        <v/>
      </c>
      <c r="I17" s="14" t="n"/>
      <c r="J17" s="16" t="n">
        <v>20</v>
      </c>
      <c r="K17" s="124">
        <f>IF(J17="","",COUNTIFS($C$18:$C$2015,J$13,$D$18:$D$2015,"&gt;="&amp;J17,$D$18:$D$2015,"&lt;"&amp;J18))</f>
        <v/>
      </c>
      <c r="L17" s="14" t="n"/>
      <c r="M17" s="16" t="n">
        <v>14</v>
      </c>
      <c r="N17" s="124">
        <f>IF(M17="","",COUNTIFS($C$18:$C$2015,M$13,$D$18:$D$2015,"&gt;="&amp;M17,$D$18:$D$2015,"&lt;"&amp;M18))</f>
        <v/>
      </c>
      <c r="O17" s="14" t="n"/>
      <c r="P17" s="16" t="n">
        <v>12</v>
      </c>
      <c r="Q17" s="124">
        <f>IF(P17="","",COUNTIFS($C$18:$C$2015,P$13,$D$18:$D$2015,"&gt;="&amp;P17,$D$18:$D$2015,"&lt;"&amp;P18))</f>
        <v/>
      </c>
      <c r="R17" s="14" t="n"/>
      <c r="S17" s="16" t="n">
        <v>14</v>
      </c>
      <c r="T17" s="124">
        <f>IF(S17="","",COUNTIFS($C$18:$C$2015,S$13,$D$18:$D$2015,"&gt;="&amp;S17,$D$18:$D$2015,"&lt;"&amp;S18))</f>
        <v/>
      </c>
      <c r="U17" s="14" t="n"/>
      <c r="V17" s="16" t="n">
        <v>14</v>
      </c>
      <c r="W17" s="124">
        <f>IF(V17="","",COUNTIFS($C$18:$C$2015,V$13,$D$18:$D$2015,"&gt;="&amp;V17,$D$18:$D$2015,"&lt;"&amp;V18))</f>
        <v/>
      </c>
      <c r="X17" s="14" t="n"/>
      <c r="Y17" s="16" t="n">
        <v>14</v>
      </c>
      <c r="Z17" s="124">
        <f>IF(Y17="","",COUNTIFS($C$18:$C$2015,Y$13,$D$18:$D$2015,"&gt;="&amp;Y17,$D$18:$D$2015,"&lt;"&amp;Y18))</f>
        <v/>
      </c>
      <c r="AA17" s="14" t="n"/>
      <c r="AB17" s="16" t="n">
        <v>12</v>
      </c>
      <c r="AC17" s="124">
        <f>IF(AB17="","",COUNTIFS($C$18:$C$2015,AB$13,$D$18:$D$2015,"&gt;="&amp;AB17,$D$18:$D$2015,"&lt;"&amp;AB18))</f>
        <v/>
      </c>
      <c r="AD17" s="14" t="n"/>
    </row>
    <row r="18">
      <c r="A18" s="56" t="n"/>
      <c r="B18" s="59" t="n"/>
      <c r="C18" s="59" t="n"/>
      <c r="E18" s="16" t="n"/>
      <c r="F18" s="13" t="n"/>
      <c r="G18" s="16" t="n">
        <v>13</v>
      </c>
      <c r="H18" s="124">
        <f>IF(G18="","",COUNTIFS($C$18:$C$2015,G$13,$D$18:$D$2015,"&gt;="&amp;G18,$D$18:$D$2015,"&lt;"&amp;G19))</f>
        <v/>
      </c>
      <c r="I18" s="14" t="n"/>
      <c r="J18" s="16" t="n">
        <v>25</v>
      </c>
      <c r="K18" s="124">
        <f>IF(J18="","",COUNTIFS($C$18:$C$2015,J$13,$D$18:$D$2015,"&gt;="&amp;J18,$D$18:$D$2015,"&lt;"&amp;J19))</f>
        <v/>
      </c>
      <c r="L18" s="14" t="n"/>
      <c r="M18" s="16" t="n">
        <v>16</v>
      </c>
      <c r="N18" s="124">
        <f>IF(M18="","",COUNTIFS($C$18:$C$2015,M$13,$D$18:$D$2015,"&gt;="&amp;M18,$D$18:$D$2015,"&lt;"&amp;M19))</f>
        <v/>
      </c>
      <c r="O18" s="14" t="n"/>
      <c r="P18" s="16" t="n">
        <v>13</v>
      </c>
      <c r="Q18" s="124">
        <f>IF(P18="","",COUNTIFS($C$18:$C$2015,P$13,$D$18:$D$2015,"&gt;="&amp;P18,$D$18:$D$2015,"&lt;"&amp;P19))</f>
        <v/>
      </c>
      <c r="R18" s="14" t="n"/>
      <c r="S18" s="16" t="n">
        <v>16</v>
      </c>
      <c r="T18" s="124">
        <f>IF(S18="","",COUNTIFS($C$18:$C$2015,S$13,$D$18:$D$2015,"&gt;="&amp;S18,$D$18:$D$2015,"&lt;"&amp;S19))</f>
        <v/>
      </c>
      <c r="U18" s="14" t="n"/>
      <c r="V18" s="16" t="n">
        <v>16</v>
      </c>
      <c r="W18" s="124">
        <f>IF(V18="","",COUNTIFS($C$18:$C$2015,V$13,$D$18:$D$2015,"&gt;="&amp;V18,$D$18:$D$2015,"&lt;"&amp;V19))</f>
        <v/>
      </c>
      <c r="X18" s="14" t="n"/>
      <c r="Y18" s="16" t="n">
        <v>16</v>
      </c>
      <c r="Z18" s="124">
        <f>IF(Y18="","",COUNTIFS($C$18:$C$2015,Y$13,$D$18:$D$2015,"&gt;="&amp;Y18,$D$18:$D$2015,"&lt;"&amp;Y19))</f>
        <v/>
      </c>
      <c r="AA18" s="14" t="n"/>
      <c r="AB18" s="16" t="n">
        <v>13</v>
      </c>
      <c r="AC18" s="124">
        <f>IF(AB18="","",COUNTIFS($C$18:$C$2015,AB$13,$D$18:$D$2015,"&gt;="&amp;AB18,$D$18:$D$2015,"&lt;"&amp;AB19))</f>
        <v/>
      </c>
      <c r="AD18" s="14" t="n"/>
    </row>
    <row r="19">
      <c r="A19" s="58" t="n"/>
      <c r="B19" s="59" t="n"/>
      <c r="C19" s="59" t="n"/>
      <c r="E19" s="16" t="n"/>
      <c r="F19" s="13" t="n"/>
      <c r="G19" s="16" t="n">
        <v>14</v>
      </c>
      <c r="H19" s="124">
        <f>IF(G19="","",COUNTIFS($C$18:$C$2015,G$13,$D$18:$D$2015,"&gt;="&amp;G19,$D$18:$D$2015,"&lt;"&amp;G20))</f>
        <v/>
      </c>
      <c r="I19" s="14" t="n"/>
      <c r="J19" s="16" t="n">
        <v>30</v>
      </c>
      <c r="K19" s="124">
        <f>IF(J19="","",COUNTIFS($C$18:$C$2015,J$13,$D$18:$D$2015,"&gt;="&amp;J19,$D$18:$D$2015,"&lt;"&amp;J20))</f>
        <v/>
      </c>
      <c r="L19" s="14" t="n"/>
      <c r="M19" s="16" t="n">
        <v>18</v>
      </c>
      <c r="N19" s="124">
        <f>IF(M19="","",COUNTIFS($C$18:$C$2015,M$13,$D$18:$D$2015,"&gt;="&amp;M19,$D$18:$D$2015,"&lt;"&amp;M20))</f>
        <v/>
      </c>
      <c r="O19" s="14" t="n"/>
      <c r="P19" s="16" t="n">
        <v>14</v>
      </c>
      <c r="Q19" s="124">
        <f>IF(P19="","",COUNTIFS($C$18:$C$2015,P$13,$D$18:$D$2015,"&gt;="&amp;P19,$D$18:$D$2015,"&lt;"&amp;P20))</f>
        <v/>
      </c>
      <c r="R19" s="14" t="n"/>
      <c r="S19" s="16" t="n">
        <v>18</v>
      </c>
      <c r="T19" s="124">
        <f>IF(S19="","",COUNTIFS($C$18:$C$2015,S$13,$D$18:$D$2015,"&gt;="&amp;S19,$D$18:$D$2015,"&lt;"&amp;S20))</f>
        <v/>
      </c>
      <c r="U19" s="14" t="n"/>
      <c r="V19" s="16" t="n">
        <v>18</v>
      </c>
      <c r="W19" s="124">
        <f>IF(V19="","",COUNTIFS($C$18:$C$2015,V$13,$D$18:$D$2015,"&gt;="&amp;V19,$D$18:$D$2015,"&lt;"&amp;V20))</f>
        <v/>
      </c>
      <c r="X19" s="14" t="n"/>
      <c r="Y19" s="16" t="n">
        <v>18</v>
      </c>
      <c r="Z19" s="124">
        <f>IF(Y19="","",COUNTIFS($C$18:$C$2015,Y$13,$D$18:$D$2015,"&gt;="&amp;Y19,$D$18:$D$2015,"&lt;"&amp;Y20))</f>
        <v/>
      </c>
      <c r="AA19" s="14" t="n"/>
      <c r="AB19" s="16" t="n">
        <v>14</v>
      </c>
      <c r="AC19" s="124">
        <f>IF(AB19="","",COUNTIFS($C$18:$C$2015,AB$13,$D$18:$D$2015,"&gt;="&amp;AB19,$D$18:$D$2015,"&lt;"&amp;AB20))</f>
        <v/>
      </c>
      <c r="AD19" s="14" t="n"/>
    </row>
    <row r="20">
      <c r="A20" s="56" t="n"/>
      <c r="B20" s="59" t="n"/>
      <c r="C20" s="59" t="n"/>
      <c r="E20" s="16" t="n"/>
      <c r="F20" s="13" t="n"/>
      <c r="G20" s="16" t="n">
        <v>15</v>
      </c>
      <c r="H20" s="124">
        <f>IF(G20="","",COUNTIFS($C$18:$C$2015,G$13,$D$18:$D$2015,"&gt;="&amp;G20,$D$18:$D$2015,"&lt;"&amp;G21))</f>
        <v/>
      </c>
      <c r="I20" s="14" t="n"/>
      <c r="J20" s="16" t="n">
        <v>35</v>
      </c>
      <c r="K20" s="124">
        <f>IF(J20="","",COUNTIFS($C$18:$C$2015,J$13,$D$18:$D$2015,"&gt;="&amp;J20,$D$18:$D$2015,"&lt;"&amp;J21))</f>
        <v/>
      </c>
      <c r="L20" s="14" t="n"/>
      <c r="M20" s="16" t="n">
        <v>20</v>
      </c>
      <c r="N20" s="124">
        <f>IF(M20="","",COUNTIFS($C$18:$C$2015,M$13,$D$18:$D$2015,"&gt;="&amp;M20,$D$18:$D$2015,"&lt;"&amp;M21))</f>
        <v/>
      </c>
      <c r="O20" s="14" t="n"/>
      <c r="P20" s="16" t="n">
        <v>15</v>
      </c>
      <c r="Q20" s="124">
        <f>IF(P20="","",COUNTIFS($C$18:$C$2015,P$13,$D$18:$D$2015,"&gt;="&amp;P20,$D$18:$D$2015,"&lt;"&amp;P21))</f>
        <v/>
      </c>
      <c r="R20" s="14" t="n"/>
      <c r="S20" s="16" t="n">
        <v>20</v>
      </c>
      <c r="T20" s="124">
        <f>IF(S20="","",COUNTIFS($C$18:$C$2015,S$13,$D$18:$D$2015,"&gt;="&amp;S20,$D$18:$D$2015,"&lt;"&amp;S21))</f>
        <v/>
      </c>
      <c r="U20" s="14" t="n"/>
      <c r="V20" s="16" t="n">
        <v>20</v>
      </c>
      <c r="W20" s="124">
        <f>IF(V20="","",COUNTIFS($C$18:$C$2015,V$13,$D$18:$D$2015,"&gt;="&amp;V20,$D$18:$D$2015,"&lt;"&amp;V21))</f>
        <v/>
      </c>
      <c r="X20" s="14" t="n"/>
      <c r="Y20" s="16" t="n">
        <v>20</v>
      </c>
      <c r="Z20" s="124">
        <f>IF(Y20="","",COUNTIFS($C$18:$C$2015,Y$13,$D$18:$D$2015,"&gt;="&amp;Y20,$D$18:$D$2015,"&lt;"&amp;Y21))</f>
        <v/>
      </c>
      <c r="AA20" s="14" t="n"/>
      <c r="AB20" s="16" t="n">
        <v>15</v>
      </c>
      <c r="AC20" s="124">
        <f>IF(AB20="","",COUNTIFS($C$18:$C$2015,AB$13,$D$18:$D$2015,"&gt;="&amp;AB20,$D$18:$D$2015,"&lt;"&amp;AB21))</f>
        <v/>
      </c>
      <c r="AD20" s="14" t="n"/>
    </row>
    <row r="21">
      <c r="A21" s="58" t="n"/>
      <c r="B21" s="59" t="n"/>
      <c r="C21" s="59" t="n"/>
      <c r="E21" s="16" t="n"/>
      <c r="F21" s="13" t="n"/>
      <c r="G21" s="16" t="n">
        <v>16</v>
      </c>
      <c r="H21" s="124">
        <f>IF(G21="","",COUNTIFS($C$18:$C$2015,G$13,$D$18:$D$2015,"&gt;="&amp;G21,$D$18:$D$2015,"&lt;"&amp;G22))</f>
        <v/>
      </c>
      <c r="I21" s="14" t="n"/>
      <c r="J21" s="16" t="n">
        <v>40</v>
      </c>
      <c r="K21" s="124">
        <f>IF(J21="","",COUNTIFS($C$18:$C$2015,J$13,$D$18:$D$2015,"&gt;="&amp;J21,$D$18:$D$2015,"&lt;"&amp;J22))</f>
        <v/>
      </c>
      <c r="L21" s="14" t="n"/>
      <c r="M21" s="16" t="n">
        <v>22</v>
      </c>
      <c r="N21" s="124">
        <f>IF(M21="","",COUNTIFS($C$18:$C$2015,M$13,$D$18:$D$2015,"&gt;="&amp;M21,$D$18:$D$2015,"&lt;"&amp;M22))</f>
        <v/>
      </c>
      <c r="O21" s="14" t="n"/>
      <c r="P21" s="16" t="n">
        <v>16</v>
      </c>
      <c r="Q21" s="124">
        <f>IF(P21="","",COUNTIFS($C$18:$C$2015,P$13,$D$18:$D$2015,"&gt;="&amp;P21,$D$18:$D$2015,"&lt;"&amp;P22))</f>
        <v/>
      </c>
      <c r="R21" s="14" t="n"/>
      <c r="S21" s="16" t="n">
        <v>22</v>
      </c>
      <c r="T21" s="124">
        <f>IF(S21="","",COUNTIFS($C$18:$C$2015,S$13,$D$18:$D$2015,"&gt;="&amp;S21,$D$18:$D$2015,"&lt;"&amp;S22))</f>
        <v/>
      </c>
      <c r="U21" s="14" t="n"/>
      <c r="V21" s="16" t="n">
        <v>22</v>
      </c>
      <c r="W21" s="124">
        <f>IF(V21="","",COUNTIFS($C$18:$C$2015,V$13,$D$18:$D$2015,"&gt;="&amp;V21,$D$18:$D$2015,"&lt;"&amp;V22))</f>
        <v/>
      </c>
      <c r="X21" s="14" t="n"/>
      <c r="Y21" s="16" t="n">
        <v>22</v>
      </c>
      <c r="Z21" s="124">
        <f>IF(Y21="","",COUNTIFS($C$18:$C$2015,Y$13,$D$18:$D$2015,"&gt;="&amp;Y21,$D$18:$D$2015,"&lt;"&amp;Y22))</f>
        <v/>
      </c>
      <c r="AA21" s="14" t="n"/>
      <c r="AB21" s="16" t="n">
        <v>16</v>
      </c>
      <c r="AC21" s="124">
        <f>IF(AB21="","",COUNTIFS($C$18:$C$2015,AB$13,$D$18:$D$2015,"&gt;="&amp;AB21,$D$18:$D$2015,"&lt;"&amp;AB22))</f>
        <v/>
      </c>
      <c r="AD21" s="14" t="n"/>
    </row>
    <row r="22">
      <c r="A22" s="56" t="n"/>
      <c r="B22" s="59" t="n"/>
      <c r="C22" s="59" t="n"/>
      <c r="E22" s="16" t="n"/>
      <c r="F22" s="13" t="n"/>
      <c r="G22" s="16" t="n">
        <v>17</v>
      </c>
      <c r="H22" s="124">
        <f>IF(G22="","",COUNTIFS($C$18:$C$2015,G$13,$D$18:$D$2015,"&gt;="&amp;G22,$D$18:$D$2015,"&lt;"&amp;G23))</f>
        <v/>
      </c>
      <c r="I22" s="14" t="n"/>
      <c r="J22" s="16" t="n">
        <v>45</v>
      </c>
      <c r="K22" s="124">
        <f>IF(J22="","",COUNTIFS($C$18:$C$2015,J$13,$D$18:$D$2015,"&gt;="&amp;J22,$D$18:$D$2015,"&lt;"&amp;J23))</f>
        <v/>
      </c>
      <c r="L22" s="14" t="n"/>
      <c r="M22" s="16" t="n">
        <v>24</v>
      </c>
      <c r="N22" s="124">
        <f>IF(M22="","",COUNTIFS($C$18:$C$2015,M$13,$D$18:$D$2015,"&gt;="&amp;M22,$D$18:$D$2015,"&lt;"&amp;M23))</f>
        <v/>
      </c>
      <c r="O22" s="14" t="n"/>
      <c r="P22" s="16" t="n">
        <v>17</v>
      </c>
      <c r="Q22" s="124">
        <f>IF(P22="","",COUNTIFS($C$18:$C$2015,P$13,$D$18:$D$2015,"&gt;="&amp;P22,$D$18:$D$2015,"&lt;"&amp;P23))</f>
        <v/>
      </c>
      <c r="R22" s="14" t="n"/>
      <c r="S22" s="16" t="n">
        <v>24</v>
      </c>
      <c r="T22" s="124">
        <f>IF(S22="","",COUNTIFS($C$18:$C$2015,S$13,$D$18:$D$2015,"&gt;="&amp;S22,$D$18:$D$2015,"&lt;"&amp;S23))</f>
        <v/>
      </c>
      <c r="U22" s="14" t="n"/>
      <c r="V22" s="16" t="n">
        <v>24</v>
      </c>
      <c r="W22" s="124">
        <f>IF(V22="","",COUNTIFS($C$18:$C$2015,V$13,$D$18:$D$2015,"&gt;="&amp;V22,$D$18:$D$2015,"&lt;"&amp;V23))</f>
        <v/>
      </c>
      <c r="X22" s="14" t="n"/>
      <c r="Y22" s="16" t="n">
        <v>24</v>
      </c>
      <c r="Z22" s="124">
        <f>IF(Y22="","",COUNTIFS($C$18:$C$2015,Y$13,$D$18:$D$2015,"&gt;="&amp;Y22,$D$18:$D$2015,"&lt;"&amp;Y23))</f>
        <v/>
      </c>
      <c r="AA22" s="14" t="n"/>
      <c r="AB22" s="16" t="n">
        <v>17</v>
      </c>
      <c r="AC22" s="124">
        <f>IF(AB22="","",COUNTIFS($C$18:$C$2015,AB$13,$D$18:$D$2015,"&gt;="&amp;AB22,$D$18:$D$2015,"&lt;"&amp;AB23))</f>
        <v/>
      </c>
      <c r="AD22" s="14" t="n"/>
    </row>
    <row r="23">
      <c r="A23" s="58" t="n"/>
      <c r="B23" s="59" t="n"/>
      <c r="C23" s="59" t="n"/>
      <c r="E23" s="16" t="n"/>
      <c r="F23" s="13" t="n"/>
      <c r="G23" s="16" t="n">
        <v>18</v>
      </c>
      <c r="H23" s="124">
        <f>IF(G23="","",COUNTIFS($C$18:$C$2015,G$13,$D$18:$D$2015,"&gt;="&amp;G23,$D$18:$D$2015,"&lt;"&amp;G24))</f>
        <v/>
      </c>
      <c r="I23" s="14" t="n"/>
      <c r="J23" s="16" t="n">
        <v>50</v>
      </c>
      <c r="K23" s="124">
        <f>IF(J23="","",COUNTIFS($C$18:$C$2015,J$13,$D$18:$D$2015,"&gt;="&amp;J23,$D$18:$D$2015,"&lt;"&amp;J24))</f>
        <v/>
      </c>
      <c r="L23" s="14" t="n"/>
      <c r="M23" s="16" t="n">
        <v>26</v>
      </c>
      <c r="N23" s="124">
        <f>IF(M23="","",COUNTIFS($C$18:$C$2015,M$13,$D$18:$D$2015,"&gt;="&amp;M23,$D$18:$D$2015,"&lt;"&amp;M24))</f>
        <v/>
      </c>
      <c r="O23" s="14" t="n"/>
      <c r="P23" s="16" t="n">
        <v>18</v>
      </c>
      <c r="Q23" s="124">
        <f>IF(P23="","",COUNTIFS($C$18:$C$2015,P$13,$D$18:$D$2015,"&gt;="&amp;P23,$D$18:$D$2015,"&lt;"&amp;P24))</f>
        <v/>
      </c>
      <c r="R23" s="14" t="n"/>
      <c r="S23" s="16" t="n">
        <v>26</v>
      </c>
      <c r="T23" s="124">
        <f>IF(S23="","",COUNTIFS($C$18:$C$2015,S$13,$D$18:$D$2015,"&gt;="&amp;S23,$D$18:$D$2015,"&lt;"&amp;S24))</f>
        <v/>
      </c>
      <c r="U23" s="14" t="n"/>
      <c r="V23" s="16" t="n">
        <v>26</v>
      </c>
      <c r="W23" s="124">
        <f>IF(V23="","",COUNTIFS($C$18:$C$2015,V$13,$D$18:$D$2015,"&gt;="&amp;V23,$D$18:$D$2015,"&lt;"&amp;V24))</f>
        <v/>
      </c>
      <c r="X23" s="14" t="n"/>
      <c r="Y23" s="16" t="n">
        <v>26</v>
      </c>
      <c r="Z23" s="124">
        <f>IF(Y23="","",COUNTIFS($C$18:$C$2015,Y$13,$D$18:$D$2015,"&gt;="&amp;Y23,$D$18:$D$2015,"&lt;"&amp;Y24))</f>
        <v/>
      </c>
      <c r="AA23" s="14" t="n"/>
      <c r="AB23" s="16" t="n">
        <v>18</v>
      </c>
      <c r="AC23" s="124">
        <f>IF(AB23="","",COUNTIFS($C$18:$C$2015,AB$13,$D$18:$D$2015,"&gt;="&amp;AB23,$D$18:$D$2015,"&lt;"&amp;AB24))</f>
        <v/>
      </c>
      <c r="AD23" s="14" t="n"/>
    </row>
    <row r="24">
      <c r="A24" s="56" t="n"/>
      <c r="B24" s="59" t="n"/>
      <c r="C24" s="59" t="n"/>
      <c r="E24" s="16" t="n"/>
      <c r="F24" s="13" t="n"/>
      <c r="G24" s="16" t="n">
        <v>19</v>
      </c>
      <c r="H24" s="124">
        <f>IF(G24="","",COUNTIFS($C$18:$C$2015,G$13,$D$18:$D$2015,"&gt;="&amp;G24,$D$18:$D$2015,"&lt;"&amp;G25))</f>
        <v/>
      </c>
      <c r="I24" s="14" t="n"/>
      <c r="J24" s="16" t="n">
        <v>55</v>
      </c>
      <c r="K24" s="124">
        <f>IF(J24="","",COUNTIFS($C$18:$C$2015,J$13,$D$18:$D$2015,"&gt;="&amp;J24,$D$18:$D$2015,"&lt;"&amp;J25))</f>
        <v/>
      </c>
      <c r="L24" s="14" t="n"/>
      <c r="M24" s="16" t="n">
        <v>28</v>
      </c>
      <c r="N24" s="124">
        <f>IF(M24="","",COUNTIFS($C$18:$C$2015,M$13,$D$18:$D$2015,"&gt;="&amp;M24,$D$18:$D$2015,"&lt;"&amp;M25))</f>
        <v/>
      </c>
      <c r="O24" s="14" t="n"/>
      <c r="P24" s="16" t="n">
        <v>19</v>
      </c>
      <c r="Q24" s="124">
        <f>IF(P24="","",COUNTIFS($C$18:$C$2015,P$13,$D$18:$D$2015,"&gt;="&amp;P24,$D$18:$D$2015,"&lt;"&amp;P25))</f>
        <v/>
      </c>
      <c r="R24" s="14" t="n"/>
      <c r="S24" s="16" t="n">
        <v>28</v>
      </c>
      <c r="T24" s="124">
        <f>IF(S24="","",COUNTIFS($C$18:$C$2015,S$13,$D$18:$D$2015,"&gt;="&amp;S24,$D$18:$D$2015,"&lt;"&amp;S25))</f>
        <v/>
      </c>
      <c r="U24" s="14" t="n"/>
      <c r="V24" s="16" t="n">
        <v>28</v>
      </c>
      <c r="W24" s="124">
        <f>IF(V24="","",COUNTIFS($C$18:$C$2015,V$13,$D$18:$D$2015,"&gt;="&amp;V24,$D$18:$D$2015,"&lt;"&amp;V25))</f>
        <v/>
      </c>
      <c r="X24" s="14" t="n"/>
      <c r="Y24" s="16" t="n">
        <v>28</v>
      </c>
      <c r="Z24" s="124">
        <f>IF(Y24="","",COUNTIFS($C$18:$C$2015,Y$13,$D$18:$D$2015,"&gt;="&amp;Y24,$D$18:$D$2015,"&lt;"&amp;Y25))</f>
        <v/>
      </c>
      <c r="AA24" s="14" t="n"/>
      <c r="AB24" s="16" t="n">
        <v>19</v>
      </c>
      <c r="AC24" s="124">
        <f>IF(AB24="","",COUNTIFS($C$18:$C$2015,AB$13,$D$18:$D$2015,"&gt;="&amp;AB24,$D$18:$D$2015,"&lt;"&amp;AB25))</f>
        <v/>
      </c>
      <c r="AD24" s="14" t="n"/>
    </row>
    <row r="25">
      <c r="A25" s="58" t="n"/>
      <c r="B25" s="59" t="n"/>
      <c r="C25" s="59" t="n"/>
      <c r="E25" s="16" t="n"/>
      <c r="F25" s="13" t="n"/>
      <c r="G25" s="16" t="n">
        <v>20</v>
      </c>
      <c r="H25" s="124">
        <f>IF(G25="","",COUNTIFS($C$18:$C$2015,G$13,$D$18:$D$2015,"&gt;="&amp;G25,$D$18:$D$2015,"&lt;"&amp;G26))</f>
        <v/>
      </c>
      <c r="I25" s="14" t="n"/>
      <c r="J25" s="16" t="n">
        <v>60</v>
      </c>
      <c r="K25" s="124">
        <f>IF(J25="","",COUNTIFS($C$18:$C$2015,J$13,$D$18:$D$2015,"&gt;="&amp;J25,$D$18:$D$2015,"&lt;"&amp;J26))</f>
        <v/>
      </c>
      <c r="L25" s="14" t="n"/>
      <c r="M25" s="16" t="n">
        <v>30</v>
      </c>
      <c r="N25" s="124">
        <f>IF(M25="","",COUNTIFS($C$18:$C$2015,M$13,$D$18:$D$2015,"&gt;="&amp;M25,$D$18:$D$2015,"&lt;"&amp;M26))</f>
        <v/>
      </c>
      <c r="O25" s="14" t="n"/>
      <c r="P25" s="16" t="n">
        <v>20</v>
      </c>
      <c r="Q25" s="124">
        <f>IF(P25="","",COUNTIFS($C$18:$C$2015,P$13,$D$18:$D$2015,"&gt;="&amp;P25,$D$18:$D$2015,"&lt;"&amp;P26))</f>
        <v/>
      </c>
      <c r="R25" s="14" t="n"/>
      <c r="S25" s="16" t="n">
        <v>30</v>
      </c>
      <c r="T25" s="124">
        <f>IF(S25="","",COUNTIFS($C$18:$C$2015,S$13,$D$18:$D$2015,"&gt;="&amp;S25,$D$18:$D$2015,"&lt;"&amp;S26))</f>
        <v/>
      </c>
      <c r="U25" s="14" t="n"/>
      <c r="V25" s="16" t="n">
        <v>30</v>
      </c>
      <c r="W25" s="124">
        <f>IF(V25="","",COUNTIFS($C$18:$C$2015,V$13,$D$18:$D$2015,"&gt;="&amp;V25,$D$18:$D$2015,"&lt;"&amp;V26))</f>
        <v/>
      </c>
      <c r="X25" s="14" t="n"/>
      <c r="Y25" s="16" t="n">
        <v>30</v>
      </c>
      <c r="Z25" s="124">
        <f>IF(Y25="","",COUNTIFS($C$18:$C$2015,Y$13,$D$18:$D$2015,"&gt;="&amp;Y25,$D$18:$D$2015,"&lt;"&amp;Y26))</f>
        <v/>
      </c>
      <c r="AA25" s="14" t="n"/>
      <c r="AB25" s="16" t="n">
        <v>20</v>
      </c>
      <c r="AC25" s="124">
        <f>IF(AB25="","",COUNTIFS($C$18:$C$2015,AB$13,$D$18:$D$2015,"&gt;="&amp;AB25,$D$18:$D$2015,"&lt;"&amp;AB26))</f>
        <v/>
      </c>
      <c r="AD25" s="14" t="n"/>
    </row>
    <row r="26">
      <c r="A26" s="56" t="n"/>
      <c r="B26" s="59" t="n"/>
      <c r="C26" s="59" t="n"/>
      <c r="E26" s="16" t="n"/>
      <c r="F26" s="13" t="n"/>
      <c r="G26" s="16" t="n">
        <v>21</v>
      </c>
      <c r="H26" s="124">
        <f>IF(G26="","",COUNTIFS($C$18:$C$2015,G$13,$D$18:$D$2015,"&gt;="&amp;G26,$D$18:$D$2015,"&lt;"&amp;G27))</f>
        <v/>
      </c>
      <c r="I26" s="14" t="n"/>
      <c r="J26" s="16" t="n">
        <v>65</v>
      </c>
      <c r="K26" s="124">
        <f>IF(J26="","",COUNTIFS($C$18:$C$2015,J$13,$D$18:$D$2015,"&gt;="&amp;J26,$D$18:$D$2015,"&lt;"&amp;J27))</f>
        <v/>
      </c>
      <c r="L26" s="14" t="n"/>
      <c r="M26" s="16" t="n">
        <v>32</v>
      </c>
      <c r="N26" s="124">
        <f>IF(M26="","",COUNTIFS($C$18:$C$2015,M$13,$D$18:$D$2015,"&gt;="&amp;M26,$D$18:$D$2015,"&lt;"&amp;M27))</f>
        <v/>
      </c>
      <c r="O26" s="14" t="n"/>
      <c r="P26" s="16" t="n">
        <v>21</v>
      </c>
      <c r="Q26" s="124">
        <f>IF(P26="","",COUNTIFS($C$18:$C$2015,P$13,$D$18:$D$2015,"&gt;="&amp;P26,$D$18:$D$2015,"&lt;"&amp;P27))</f>
        <v/>
      </c>
      <c r="R26" s="14" t="n"/>
      <c r="S26" s="16" t="n">
        <v>32</v>
      </c>
      <c r="T26" s="124">
        <f>IF(S26="","",COUNTIFS($C$18:$C$2015,S$13,$D$18:$D$2015,"&gt;="&amp;S26,$D$18:$D$2015,"&lt;"&amp;S27))</f>
        <v/>
      </c>
      <c r="U26" s="14" t="n"/>
      <c r="V26" s="16" t="n">
        <v>32</v>
      </c>
      <c r="W26" s="124">
        <f>IF(V26="","",COUNTIFS($C$18:$C$2015,V$13,$D$18:$D$2015,"&gt;="&amp;V26,$D$18:$D$2015,"&lt;"&amp;V27))</f>
        <v/>
      </c>
      <c r="X26" s="14" t="n"/>
      <c r="Y26" s="16" t="n">
        <v>32</v>
      </c>
      <c r="Z26" s="124">
        <f>IF(Y26="","",COUNTIFS($C$18:$C$2015,Y$13,$D$18:$D$2015,"&gt;="&amp;Y26,$D$18:$D$2015,"&lt;"&amp;Y27))</f>
        <v/>
      </c>
      <c r="AA26" s="14" t="n"/>
      <c r="AB26" s="16" t="n">
        <v>21</v>
      </c>
      <c r="AC26" s="124">
        <f>IF(AB26="","",COUNTIFS($C$18:$C$2015,AB$13,$D$18:$D$2015,"&gt;="&amp;AB26,$D$18:$D$2015,"&lt;"&amp;AB27))</f>
        <v/>
      </c>
      <c r="AD26" s="14" t="n"/>
    </row>
    <row r="27">
      <c r="A27" s="58" t="n"/>
      <c r="B27" s="59" t="n"/>
      <c r="C27" s="59" t="n"/>
      <c r="E27" s="16" t="n"/>
      <c r="F27" s="13" t="n"/>
      <c r="G27" s="16" t="n">
        <v>22</v>
      </c>
      <c r="H27" s="124">
        <f>IF(G27="","",COUNTIFS($C$18:$C$2015,G$13,$D$18:$D$2015,"&gt;="&amp;G27,$D$18:$D$2015,"&lt;"&amp;G28))</f>
        <v/>
      </c>
      <c r="I27" s="14" t="n"/>
      <c r="J27" s="16" t="n">
        <v>70</v>
      </c>
      <c r="K27" s="124">
        <f>IF(J27="","",COUNTIFS($C$18:$C$2015,J$13,$D$18:$D$2015,"&gt;="&amp;J27,$D$18:$D$2015,"&lt;"&amp;J28))</f>
        <v/>
      </c>
      <c r="L27" s="14" t="n"/>
      <c r="M27" s="16" t="n">
        <v>34</v>
      </c>
      <c r="N27" s="124">
        <f>IF(M27="","",COUNTIFS($C$18:$C$2015,M$13,$D$18:$D$2015,"&gt;="&amp;M27,$D$18:$D$2015,"&lt;"&amp;M28))</f>
        <v/>
      </c>
      <c r="O27" s="14" t="n"/>
      <c r="P27" s="16" t="n">
        <v>22</v>
      </c>
      <c r="Q27" s="124">
        <f>IF(P27="","",COUNTIFS($C$18:$C$2015,P$13,$D$18:$D$2015,"&gt;="&amp;P27,$D$18:$D$2015,"&lt;"&amp;P28))</f>
        <v/>
      </c>
      <c r="R27" s="14" t="n"/>
      <c r="S27" s="16" t="n">
        <v>34</v>
      </c>
      <c r="T27" s="124">
        <f>IF(S27="","",COUNTIFS($C$18:$C$2015,S$13,$D$18:$D$2015,"&gt;="&amp;S27,$D$18:$D$2015,"&lt;"&amp;S28))</f>
        <v/>
      </c>
      <c r="U27" s="14" t="n"/>
      <c r="V27" s="16" t="n">
        <v>34</v>
      </c>
      <c r="W27" s="124">
        <f>IF(V27="","",COUNTIFS($C$18:$C$2015,V$13,$D$18:$D$2015,"&gt;="&amp;V27,$D$18:$D$2015,"&lt;"&amp;V28))</f>
        <v/>
      </c>
      <c r="X27" s="14" t="n"/>
      <c r="Y27" s="16" t="n">
        <v>34</v>
      </c>
      <c r="Z27" s="124">
        <f>IF(Y27="","",COUNTIFS($C$18:$C$2015,Y$13,$D$18:$D$2015,"&gt;="&amp;Y27,$D$18:$D$2015,"&lt;"&amp;Y28))</f>
        <v/>
      </c>
      <c r="AA27" s="14" t="n"/>
      <c r="AB27" s="16" t="n">
        <v>22</v>
      </c>
      <c r="AC27" s="124">
        <f>IF(AB27="","",COUNTIFS($C$18:$C$2015,AB$13,$D$18:$D$2015,"&gt;="&amp;AB27,$D$18:$D$2015,"&lt;"&amp;AB28))</f>
        <v/>
      </c>
      <c r="AD27" s="14" t="n"/>
    </row>
    <row r="28">
      <c r="A28" s="56" t="n"/>
      <c r="B28" s="59" t="n"/>
      <c r="C28" s="59" t="n"/>
      <c r="E28" s="16" t="n"/>
      <c r="F28" s="13" t="n"/>
      <c r="G28" s="16" t="n">
        <v>23</v>
      </c>
      <c r="H28" s="124">
        <f>IF(G28="","",COUNTIFS($C$18:$C$2015,G$13,$D$18:$D$2015,"&gt;="&amp;G28,$D$18:$D$2015,"&lt;"&amp;G29))</f>
        <v/>
      </c>
      <c r="I28" s="14" t="n"/>
      <c r="J28" s="16" t="n">
        <v>75</v>
      </c>
      <c r="K28" s="124">
        <f>IF(J28="","",COUNTIFS($C$18:$C$2015,J$13,$D$18:$D$2015,"&gt;="&amp;J28,$D$18:$D$2015,"&lt;"&amp;J29))</f>
        <v/>
      </c>
      <c r="L28" s="14" t="n"/>
      <c r="M28" s="16" t="n">
        <v>36</v>
      </c>
      <c r="N28" s="124">
        <f>IF(M28="","",COUNTIFS($C$18:$C$2015,M$13,$D$18:$D$2015,"&gt;="&amp;M28,$D$18:$D$2015,"&lt;"&amp;M29))</f>
        <v/>
      </c>
      <c r="O28" s="14" t="n"/>
      <c r="P28" s="16" t="n">
        <v>23</v>
      </c>
      <c r="Q28" s="124">
        <f>IF(P28="","",COUNTIFS($C$18:$C$2015,P$13,$D$18:$D$2015,"&gt;="&amp;P28,$D$18:$D$2015,"&lt;"&amp;P29))</f>
        <v/>
      </c>
      <c r="R28" s="14" t="n"/>
      <c r="S28" s="16" t="n">
        <v>36</v>
      </c>
      <c r="T28" s="124">
        <f>IF(S28="","",COUNTIFS($C$18:$C$2015,S$13,$D$18:$D$2015,"&gt;="&amp;S28,$D$18:$D$2015,"&lt;"&amp;S29))</f>
        <v/>
      </c>
      <c r="U28" s="14" t="n"/>
      <c r="V28" s="16" t="n">
        <v>36</v>
      </c>
      <c r="W28" s="124">
        <f>IF(V28="","",COUNTIFS($C$18:$C$2015,V$13,$D$18:$D$2015,"&gt;="&amp;V28,$D$18:$D$2015,"&lt;"&amp;V29))</f>
        <v/>
      </c>
      <c r="X28" s="14" t="n"/>
      <c r="Y28" s="16" t="n">
        <v>36</v>
      </c>
      <c r="Z28" s="124">
        <f>IF(Y28="","",COUNTIFS($C$18:$C$2015,Y$13,$D$18:$D$2015,"&gt;="&amp;Y28,$D$18:$D$2015,"&lt;"&amp;Y29))</f>
        <v/>
      </c>
      <c r="AA28" s="14" t="n"/>
      <c r="AB28" s="16" t="n">
        <v>23</v>
      </c>
      <c r="AC28" s="124">
        <f>IF(AB28="","",COUNTIFS($C$18:$C$2015,AB$13,$D$18:$D$2015,"&gt;="&amp;AB28,$D$18:$D$2015,"&lt;"&amp;AB29))</f>
        <v/>
      </c>
      <c r="AD28" s="14" t="n"/>
    </row>
    <row r="29">
      <c r="A29" s="58" t="n"/>
      <c r="B29" s="59" t="n"/>
      <c r="C29" s="59" t="n"/>
      <c r="E29" s="16" t="n"/>
      <c r="F29" s="13" t="n"/>
      <c r="G29" s="16" t="n">
        <v>24</v>
      </c>
      <c r="H29" s="124">
        <f>IF(G29="","",COUNTIFS($C$18:$C$2015,G$13,$D$18:$D$2015,"&gt;="&amp;G29,$D$18:$D$2015,"&lt;"&amp;G30))</f>
        <v/>
      </c>
      <c r="I29" s="14" t="n"/>
      <c r="J29" s="16" t="n">
        <v>80</v>
      </c>
      <c r="K29" s="124">
        <f>IF(J29="","",COUNTIFS($C$18:$C$2015,J$13,$D$18:$D$2015,"&gt;="&amp;J29,$D$18:$D$2015,"&lt;"&amp;J30))</f>
        <v/>
      </c>
      <c r="L29" s="14" t="n"/>
      <c r="M29" s="16" t="n">
        <v>38</v>
      </c>
      <c r="N29" s="124">
        <f>IF(M29="","",COUNTIFS($C$18:$C$2015,M$13,$D$18:$D$2015,"&gt;="&amp;M29,$D$18:$D$2015,"&lt;"&amp;M30))</f>
        <v/>
      </c>
      <c r="O29" s="14" t="n"/>
      <c r="P29" s="16" t="n">
        <v>24</v>
      </c>
      <c r="Q29" s="124">
        <f>IF(P29="","",COUNTIFS($C$18:$C$2015,P$13,$D$18:$D$2015,"&gt;="&amp;P29,$D$18:$D$2015,"&lt;"&amp;P30))</f>
        <v/>
      </c>
      <c r="R29" s="14" t="n"/>
      <c r="S29" s="16" t="n">
        <v>38</v>
      </c>
      <c r="T29" s="124">
        <f>IF(S29="","",COUNTIFS($C$18:$C$2015,S$13,$D$18:$D$2015,"&gt;="&amp;S29,$D$18:$D$2015,"&lt;"&amp;S30))</f>
        <v/>
      </c>
      <c r="U29" s="14" t="n"/>
      <c r="V29" s="16" t="n">
        <v>38</v>
      </c>
      <c r="W29" s="124">
        <f>IF(V29="","",COUNTIFS($C$18:$C$2015,V$13,$D$18:$D$2015,"&gt;="&amp;V29,$D$18:$D$2015,"&lt;"&amp;V30))</f>
        <v/>
      </c>
      <c r="X29" s="14" t="n"/>
      <c r="Y29" s="16" t="n">
        <v>38</v>
      </c>
      <c r="Z29" s="124">
        <f>IF(Y29="","",COUNTIFS($C$18:$C$2015,Y$13,$D$18:$D$2015,"&gt;="&amp;Y29,$D$18:$D$2015,"&lt;"&amp;Y30))</f>
        <v/>
      </c>
      <c r="AA29" s="14" t="n"/>
      <c r="AB29" s="16" t="n">
        <v>24</v>
      </c>
      <c r="AC29" s="124">
        <f>IF(AB29="","",COUNTIFS($C$18:$C$2015,AB$13,$D$18:$D$2015,"&gt;="&amp;AB29,$D$18:$D$2015,"&lt;"&amp;AB30))</f>
        <v/>
      </c>
      <c r="AD29" s="14" t="n"/>
    </row>
    <row r="30">
      <c r="A30" s="56" t="n"/>
      <c r="B30" s="59" t="n"/>
      <c r="C30" s="59" t="n"/>
      <c r="E30" s="16" t="n"/>
      <c r="F30" s="13" t="n"/>
      <c r="G30" s="16" t="n">
        <v>25</v>
      </c>
      <c r="H30" s="124">
        <f>IF(G30="","",COUNTIFS($C$18:$C$2015,G$13,$D$18:$D$2015,"&gt;="&amp;G30,$D$18:$D$2015,"&lt;"&amp;G31))</f>
        <v/>
      </c>
      <c r="I30" s="14" t="n"/>
      <c r="J30" s="16" t="n">
        <v>85</v>
      </c>
      <c r="K30" s="124">
        <f>IF(J30="","",COUNTIFS($C$18:$C$2015,J$13,$D$18:$D$2015,"&gt;="&amp;J30,$D$18:$D$2015,"&lt;"&amp;J31))</f>
        <v/>
      </c>
      <c r="L30" s="14" t="n"/>
      <c r="M30" s="16" t="n">
        <v>40</v>
      </c>
      <c r="N30" s="124">
        <f>IF(M30="","",COUNTIFS($C$18:$C$2015,M$13,$D$18:$D$2015,"&gt;="&amp;M30,$D$18:$D$2015,"&lt;"&amp;M31))</f>
        <v/>
      </c>
      <c r="O30" s="14" t="n"/>
      <c r="P30" s="16" t="n">
        <v>25</v>
      </c>
      <c r="Q30" s="124">
        <f>IF(P30="","",COUNTIFS($C$18:$C$2015,P$13,$D$18:$D$2015,"&gt;="&amp;P30,$D$18:$D$2015,"&lt;"&amp;P31))</f>
        <v/>
      </c>
      <c r="R30" s="14" t="n"/>
      <c r="S30" s="16" t="n">
        <v>40</v>
      </c>
      <c r="T30" s="124">
        <f>IF(S30="","",COUNTIFS($C$18:$C$2015,S$13,$D$18:$D$2015,"&gt;="&amp;S30,$D$18:$D$2015,"&lt;"&amp;S31))</f>
        <v/>
      </c>
      <c r="U30" s="14" t="n"/>
      <c r="V30" s="16" t="n">
        <v>40</v>
      </c>
      <c r="W30" s="124">
        <f>IF(V30="","",COUNTIFS($C$18:$C$2015,V$13,$D$18:$D$2015,"&gt;="&amp;V30,$D$18:$D$2015,"&lt;"&amp;V31))</f>
        <v/>
      </c>
      <c r="X30" s="14" t="n"/>
      <c r="Y30" s="16" t="n">
        <v>40</v>
      </c>
      <c r="Z30" s="124">
        <f>IF(Y30="","",COUNTIFS($C$18:$C$2015,Y$13,$D$18:$D$2015,"&gt;="&amp;Y30,$D$18:$D$2015,"&lt;"&amp;Y31))</f>
        <v/>
      </c>
      <c r="AA30" s="14" t="n"/>
      <c r="AB30" s="16" t="n">
        <v>25</v>
      </c>
      <c r="AC30" s="124">
        <f>IF(AB30="","",COUNTIFS($C$18:$C$2015,AB$13,$D$18:$D$2015,"&gt;="&amp;AB30,$D$18:$D$2015,"&lt;"&amp;AB31))</f>
        <v/>
      </c>
      <c r="AD30" s="14" t="n"/>
    </row>
    <row r="31">
      <c r="A31" s="58" t="n"/>
      <c r="B31" s="59" t="n"/>
      <c r="C31" s="59" t="n"/>
      <c r="E31" s="16" t="n"/>
      <c r="F31" s="13" t="n"/>
      <c r="G31" s="16" t="n">
        <v>26</v>
      </c>
      <c r="H31" s="124">
        <f>IF(G31="","",COUNTIFS($C$18:$C$2015,G$13,$D$18:$D$2015,"&gt;="&amp;G31,$D$18:$D$2015,"&lt;"&amp;G32))</f>
        <v/>
      </c>
      <c r="I31" s="14" t="n"/>
      <c r="J31" s="16" t="n">
        <v>90</v>
      </c>
      <c r="K31" s="124">
        <f>IF(J31="","",COUNTIFS($C$18:$C$2015,J$13,$D$18:$D$2015,"&gt;="&amp;J31,$D$18:$D$2015,"&lt;"&amp;J32))</f>
        <v/>
      </c>
      <c r="L31" s="14" t="n"/>
      <c r="M31" s="16" t="n">
        <v>42</v>
      </c>
      <c r="N31" s="124">
        <f>IF(M31="","",COUNTIFS($C$18:$C$2015,M$13,$D$18:$D$2015,"&gt;="&amp;M31,$D$18:$D$2015,"&lt;"&amp;M32))</f>
        <v/>
      </c>
      <c r="O31" s="14" t="n"/>
      <c r="P31" s="16" t="n">
        <v>26</v>
      </c>
      <c r="Q31" s="124">
        <f>IF(P31="","",COUNTIFS($C$18:$C$2015,P$13,$D$18:$D$2015,"&gt;="&amp;P31,$D$18:$D$2015,"&lt;"&amp;P32))</f>
        <v/>
      </c>
      <c r="R31" s="14" t="n"/>
      <c r="S31" s="16" t="n">
        <v>42</v>
      </c>
      <c r="T31" s="124">
        <f>IF(S31="","",COUNTIFS($C$18:$C$2015,S$13,$D$18:$D$2015,"&gt;="&amp;S31,$D$18:$D$2015,"&lt;"&amp;S32))</f>
        <v/>
      </c>
      <c r="U31" s="14" t="n"/>
      <c r="V31" s="16" t="n">
        <v>42</v>
      </c>
      <c r="W31" s="124">
        <f>IF(V31="","",COUNTIFS($C$18:$C$2015,V$13,$D$18:$D$2015,"&gt;="&amp;V31,$D$18:$D$2015,"&lt;"&amp;V32))</f>
        <v/>
      </c>
      <c r="X31" s="14" t="n"/>
      <c r="Y31" s="16" t="n">
        <v>42</v>
      </c>
      <c r="Z31" s="124">
        <f>IF(Y31="","",COUNTIFS($C$18:$C$2015,Y$13,$D$18:$D$2015,"&gt;="&amp;Y31,$D$18:$D$2015,"&lt;"&amp;Y32))</f>
        <v/>
      </c>
      <c r="AA31" s="14" t="n"/>
      <c r="AB31" s="16" t="n">
        <v>26</v>
      </c>
      <c r="AC31" s="124">
        <f>IF(AB31="","",COUNTIFS($C$18:$C$2015,AB$13,$D$18:$D$2015,"&gt;="&amp;AB31,$D$18:$D$2015,"&lt;"&amp;AB32))</f>
        <v/>
      </c>
      <c r="AD31" s="14" t="n"/>
    </row>
    <row r="32">
      <c r="A32" s="56" t="n"/>
      <c r="B32" s="59" t="n"/>
      <c r="C32" s="59" t="n"/>
      <c r="E32" s="16" t="n"/>
      <c r="F32" s="13" t="n"/>
      <c r="G32" s="16" t="n">
        <v>27</v>
      </c>
      <c r="H32" s="124">
        <f>IF(G32="","",COUNTIFS($C$18:$C$2015,G$13,$D$18:$D$2015,"&gt;="&amp;G32,$D$18:$D$2015,"&lt;"&amp;G33))</f>
        <v/>
      </c>
      <c r="I32" s="14" t="n"/>
      <c r="J32" s="16" t="n">
        <v>95</v>
      </c>
      <c r="K32" s="124">
        <f>IF(J32="","",COUNTIFS($C$18:$C$2015,J$13,$D$18:$D$2015,"&gt;="&amp;J32,$D$18:$D$2015,"&lt;"&amp;J33))</f>
        <v/>
      </c>
      <c r="L32" s="14" t="n"/>
      <c r="M32" s="16" t="n">
        <v>44</v>
      </c>
      <c r="N32" s="124">
        <f>IF(M32="","",COUNTIFS($C$18:$C$2015,M$13,$D$18:$D$2015,"&gt;="&amp;M32,$D$18:$D$2015,"&lt;"&amp;M33))</f>
        <v/>
      </c>
      <c r="O32" s="14" t="n"/>
      <c r="P32" s="16" t="n">
        <v>27</v>
      </c>
      <c r="Q32" s="124">
        <f>IF(P32="","",COUNTIFS($C$18:$C$2015,P$13,$D$18:$D$2015,"&gt;="&amp;P32,$D$18:$D$2015,"&lt;"&amp;P33))</f>
        <v/>
      </c>
      <c r="R32" s="14" t="n"/>
      <c r="S32" s="16" t="n">
        <v>44</v>
      </c>
      <c r="T32" s="124">
        <f>IF(S32="","",COUNTIFS($C$18:$C$2015,S$13,$D$18:$D$2015,"&gt;="&amp;S32,$D$18:$D$2015,"&lt;"&amp;S33))</f>
        <v/>
      </c>
      <c r="U32" s="14" t="n"/>
      <c r="V32" s="16" t="n">
        <v>44</v>
      </c>
      <c r="W32" s="124">
        <f>IF(V32="","",COUNTIFS($C$18:$C$2015,V$13,$D$18:$D$2015,"&gt;="&amp;V32,$D$18:$D$2015,"&lt;"&amp;V33))</f>
        <v/>
      </c>
      <c r="X32" s="14" t="n"/>
      <c r="Y32" s="16" t="n">
        <v>44</v>
      </c>
      <c r="Z32" s="124">
        <f>IF(Y32="","",COUNTIFS($C$18:$C$2015,Y$13,$D$18:$D$2015,"&gt;="&amp;Y32,$D$18:$D$2015,"&lt;"&amp;Y33))</f>
        <v/>
      </c>
      <c r="AA32" s="14" t="n"/>
      <c r="AB32" s="16" t="n">
        <v>27</v>
      </c>
      <c r="AC32" s="124">
        <f>IF(AB32="","",COUNTIFS($C$18:$C$2015,AB$13,$D$18:$D$2015,"&gt;="&amp;AB32,$D$18:$D$2015,"&lt;"&amp;AB33))</f>
        <v/>
      </c>
      <c r="AD32" s="14" t="n"/>
    </row>
    <row r="33">
      <c r="A33" s="58" t="n"/>
      <c r="B33" s="59" t="n"/>
      <c r="C33" s="59" t="n"/>
      <c r="E33" s="16" t="n"/>
      <c r="F33" s="13" t="n"/>
      <c r="G33" s="16" t="n">
        <v>28</v>
      </c>
      <c r="H33" s="124">
        <f>IF(G33="","",COUNTIFS($C$18:$C$2015,G$13,$D$18:$D$2015,"&gt;="&amp;G33,$D$18:$D$2015,"&lt;"&amp;G34))</f>
        <v/>
      </c>
      <c r="I33" s="14" t="n"/>
      <c r="J33" s="16" t="n">
        <v>100</v>
      </c>
      <c r="K33" s="124">
        <f>IF(J33="","",COUNTIFS($C$18:$C$2015,J$13,$D$18:$D$2015,"&gt;="&amp;J33,$D$18:$D$2015,"&lt;"&amp;J34))</f>
        <v/>
      </c>
      <c r="L33" s="14" t="n"/>
      <c r="M33" s="16" t="n">
        <v>46</v>
      </c>
      <c r="N33" s="124">
        <f>IF(M33="","",COUNTIFS($C$18:$C$2015,M$13,$D$18:$D$2015,"&gt;="&amp;M33,$D$18:$D$2015,"&lt;"&amp;M34))</f>
        <v/>
      </c>
      <c r="O33" s="14" t="n"/>
      <c r="P33" s="16" t="n">
        <v>28</v>
      </c>
      <c r="Q33" s="124">
        <f>IF(P33="","",COUNTIFS($C$18:$C$2015,P$13,$D$18:$D$2015,"&gt;="&amp;P33,$D$18:$D$2015,"&lt;"&amp;P34))</f>
        <v/>
      </c>
      <c r="R33" s="14" t="n"/>
      <c r="S33" s="16" t="n">
        <v>46</v>
      </c>
      <c r="T33" s="124">
        <f>IF(S33="","",COUNTIFS($C$18:$C$2015,S$13,$D$18:$D$2015,"&gt;="&amp;S33,$D$18:$D$2015,"&lt;"&amp;S34))</f>
        <v/>
      </c>
      <c r="U33" s="14" t="n"/>
      <c r="V33" s="16" t="n">
        <v>46</v>
      </c>
      <c r="W33" s="124">
        <f>IF(V33="","",COUNTIFS($C$18:$C$2015,V$13,$D$18:$D$2015,"&gt;="&amp;V33,$D$18:$D$2015,"&lt;"&amp;V34))</f>
        <v/>
      </c>
      <c r="X33" s="14" t="n"/>
      <c r="Y33" s="16" t="n">
        <v>46</v>
      </c>
      <c r="Z33" s="124">
        <f>IF(Y33="","",COUNTIFS($C$18:$C$2015,Y$13,$D$18:$D$2015,"&gt;="&amp;Y33,$D$18:$D$2015,"&lt;"&amp;Y34))</f>
        <v/>
      </c>
      <c r="AA33" s="14" t="n"/>
      <c r="AB33" s="16" t="n">
        <v>28</v>
      </c>
      <c r="AC33" s="124">
        <f>IF(AB33="","",COUNTIFS($C$18:$C$2015,AB$13,$D$18:$D$2015,"&gt;="&amp;AB33,$D$18:$D$2015,"&lt;"&amp;AB34))</f>
        <v/>
      </c>
      <c r="AD33" s="14" t="n"/>
    </row>
    <row r="34">
      <c r="A34" s="56" t="n"/>
      <c r="B34" s="59" t="n"/>
      <c r="C34" s="59" t="n"/>
      <c r="E34" s="16" t="n"/>
      <c r="F34" s="13" t="n"/>
      <c r="G34" s="16" t="n">
        <v>29</v>
      </c>
      <c r="H34" s="124">
        <f>IF(G34="","",COUNTIFS($C$18:$C$2015,G$13,$D$18:$D$2015,"&gt;="&amp;G34,$D$18:$D$2015,"&lt;"&amp;G35))</f>
        <v/>
      </c>
      <c r="I34" s="14" t="n"/>
      <c r="J34" s="16" t="n">
        <v>105</v>
      </c>
      <c r="K34" s="124">
        <f>IF(J34="","",COUNTIFS($C$18:$C$2015,J$13,$D$18:$D$2015,"&gt;="&amp;J34,$D$18:$D$2015,"&lt;"&amp;J35))</f>
        <v/>
      </c>
      <c r="L34" s="14" t="n"/>
      <c r="M34" s="16" t="n">
        <v>48</v>
      </c>
      <c r="N34" s="124">
        <f>IF(M34="","",COUNTIFS($C$18:$C$2015,M$13,$D$18:$D$2015,"&gt;="&amp;M34,$D$18:$D$2015,"&lt;"&amp;M35))</f>
        <v/>
      </c>
      <c r="O34" s="14" t="n"/>
      <c r="P34" s="16" t="n">
        <v>29</v>
      </c>
      <c r="Q34" s="124">
        <f>IF(P34="","",COUNTIFS($C$18:$C$2015,P$13,$D$18:$D$2015,"&gt;="&amp;P34,$D$18:$D$2015,"&lt;"&amp;P35))</f>
        <v/>
      </c>
      <c r="R34" s="14" t="n"/>
      <c r="S34" s="16" t="n">
        <v>48</v>
      </c>
      <c r="T34" s="124">
        <f>IF(S34="","",COUNTIFS($C$18:$C$2015,S$13,$D$18:$D$2015,"&gt;="&amp;S34,$D$18:$D$2015,"&lt;"&amp;S35))</f>
        <v/>
      </c>
      <c r="U34" s="14" t="n"/>
      <c r="V34" s="16" t="n">
        <v>48</v>
      </c>
      <c r="W34" s="124">
        <f>IF(V34="","",COUNTIFS($C$18:$C$2015,V$13,$D$18:$D$2015,"&gt;="&amp;V34,$D$18:$D$2015,"&lt;"&amp;V35))</f>
        <v/>
      </c>
      <c r="X34" s="14" t="n"/>
      <c r="Y34" s="16" t="n">
        <v>48</v>
      </c>
      <c r="Z34" s="124">
        <f>IF(Y34="","",COUNTIFS($C$18:$C$2015,Y$13,$D$18:$D$2015,"&gt;="&amp;Y34,$D$18:$D$2015,"&lt;"&amp;Y35))</f>
        <v/>
      </c>
      <c r="AA34" s="14" t="n"/>
      <c r="AB34" s="16" t="n">
        <v>29</v>
      </c>
      <c r="AC34" s="124">
        <f>IF(AB34="","",COUNTIFS($C$18:$C$2015,AB$13,$D$18:$D$2015,"&gt;="&amp;AB34,$D$18:$D$2015,"&lt;"&amp;AB35))</f>
        <v/>
      </c>
      <c r="AD34" s="14" t="n"/>
    </row>
    <row r="35">
      <c r="A35" s="58" t="n"/>
      <c r="B35" s="59" t="n"/>
      <c r="C35" s="59" t="n"/>
      <c r="E35" s="16" t="n"/>
      <c r="F35" s="13" t="n"/>
      <c r="G35" s="16" t="n">
        <v>30</v>
      </c>
      <c r="H35" s="124">
        <f>IF(G35="","",COUNTIFS($C$18:$C$2015,G$13,$D$18:$D$2015,"&gt;="&amp;G35,$D$18:$D$2015,"&lt;"&amp;G36))</f>
        <v/>
      </c>
      <c r="I35" s="14" t="n"/>
      <c r="J35" s="16" t="n">
        <v>110</v>
      </c>
      <c r="K35" s="124">
        <f>IF(J35="","",COUNTIFS($C$18:$C$2015,J$13,$D$18:$D$2015,"&gt;="&amp;J35,$D$18:$D$2015,"&lt;"&amp;J36))</f>
        <v/>
      </c>
      <c r="L35" s="14" t="n"/>
      <c r="M35" s="16" t="n">
        <v>50</v>
      </c>
      <c r="N35" s="124">
        <f>IF(M35="","",COUNTIFS($C$18:$C$2015,M$13,$D$18:$D$2015,"&gt;="&amp;M35,$D$18:$D$2015,"&lt;"&amp;M36))</f>
        <v/>
      </c>
      <c r="O35" s="14" t="n"/>
      <c r="P35" s="16" t="n">
        <v>30</v>
      </c>
      <c r="Q35" s="124">
        <f>IF(P35="","",COUNTIFS($C$18:$C$2015,P$13,$D$18:$D$2015,"&gt;="&amp;P35,$D$18:$D$2015,"&lt;"&amp;P36))</f>
        <v/>
      </c>
      <c r="R35" s="14" t="n"/>
      <c r="S35" s="16" t="n">
        <v>50</v>
      </c>
      <c r="T35" s="124">
        <f>IF(S35="","",COUNTIFS($C$18:$C$2015,S$13,$D$18:$D$2015,"&gt;="&amp;S35,$D$18:$D$2015,"&lt;"&amp;S36))</f>
        <v/>
      </c>
      <c r="U35" s="14" t="n"/>
      <c r="V35" s="16" t="n">
        <v>50</v>
      </c>
      <c r="W35" s="124">
        <f>IF(V35="","",COUNTIFS($C$18:$C$2015,V$13,$D$18:$D$2015,"&gt;="&amp;V35,$D$18:$D$2015,"&lt;"&amp;V36))</f>
        <v/>
      </c>
      <c r="X35" s="14" t="n"/>
      <c r="Y35" s="16" t="n">
        <v>50</v>
      </c>
      <c r="Z35" s="124">
        <f>IF(Y35="","",COUNTIFS($C$18:$C$2015,Y$13,$D$18:$D$2015,"&gt;="&amp;Y35,$D$18:$D$2015,"&lt;"&amp;Y36))</f>
        <v/>
      </c>
      <c r="AA35" s="14" t="n"/>
      <c r="AB35" s="16" t="n">
        <v>30</v>
      </c>
      <c r="AC35" s="124">
        <f>IF(AB35="","",COUNTIFS($C$18:$C$2015,AB$13,$D$18:$D$2015,"&gt;="&amp;AB35,$D$18:$D$2015,"&lt;"&amp;AB36))</f>
        <v/>
      </c>
      <c r="AD35" s="14" t="n"/>
    </row>
    <row r="36">
      <c r="A36" s="56" t="n"/>
      <c r="B36" s="59" t="n"/>
      <c r="C36" s="59" t="n"/>
      <c r="E36" s="16" t="n"/>
      <c r="F36" s="13" t="n"/>
      <c r="G36" s="16" t="n">
        <v>31</v>
      </c>
      <c r="H36" s="124">
        <f>IF(G36="","",COUNTIFS($C$18:$C$2015,G$13,$D$18:$D$2015,"&gt;="&amp;G36,$D$18:$D$2015,"&lt;"&amp;G37))</f>
        <v/>
      </c>
      <c r="I36" s="14" t="n"/>
      <c r="J36" s="16" t="n">
        <v>115</v>
      </c>
      <c r="K36" s="124">
        <f>IF(J36="","",COUNTIFS($C$18:$C$2015,J$13,$D$18:$D$2015,"&gt;="&amp;J36,$D$18:$D$2015,"&lt;"&amp;J37))</f>
        <v/>
      </c>
      <c r="L36" s="14" t="n"/>
      <c r="M36" s="16" t="n">
        <v>52</v>
      </c>
      <c r="N36" s="124">
        <f>IF(M36="","",COUNTIFS($C$18:$C$2015,M$13,$D$18:$D$2015,"&gt;="&amp;M36,$D$18:$D$2015,"&lt;"&amp;M37))</f>
        <v/>
      </c>
      <c r="O36" s="14" t="n"/>
      <c r="P36" s="16" t="n">
        <v>31</v>
      </c>
      <c r="Q36" s="124">
        <f>IF(P36="","",COUNTIFS($C$18:$C$2015,P$13,$D$18:$D$2015,"&gt;="&amp;P36,$D$18:$D$2015,"&lt;"&amp;P37))</f>
        <v/>
      </c>
      <c r="R36" s="14" t="n"/>
      <c r="S36" s="16" t="n">
        <v>52</v>
      </c>
      <c r="T36" s="124">
        <f>IF(S36="","",COUNTIFS($C$18:$C$2015,S$13,$D$18:$D$2015,"&gt;="&amp;S36,$D$18:$D$2015,"&lt;"&amp;S37))</f>
        <v/>
      </c>
      <c r="U36" s="14" t="n"/>
      <c r="V36" s="16" t="n">
        <v>52</v>
      </c>
      <c r="W36" s="124">
        <f>IF(V36="","",COUNTIFS($C$18:$C$2015,V$13,$D$18:$D$2015,"&gt;="&amp;V36,$D$18:$D$2015,"&lt;"&amp;V37))</f>
        <v/>
      </c>
      <c r="X36" s="14" t="n"/>
      <c r="Y36" s="16" t="n">
        <v>52</v>
      </c>
      <c r="Z36" s="124">
        <f>IF(Y36="","",COUNTIFS($C$18:$C$2015,Y$13,$D$18:$D$2015,"&gt;="&amp;Y36,$D$18:$D$2015,"&lt;"&amp;Y37))</f>
        <v/>
      </c>
      <c r="AA36" s="14" t="n"/>
      <c r="AB36" s="16" t="n">
        <v>31</v>
      </c>
      <c r="AC36" s="124">
        <f>IF(AB36="","",COUNTIFS($C$18:$C$2015,AB$13,$D$18:$D$2015,"&gt;="&amp;AB36,$D$18:$D$2015,"&lt;"&amp;AB37))</f>
        <v/>
      </c>
      <c r="AD36" s="14" t="n"/>
    </row>
    <row r="37">
      <c r="A37" s="58" t="n"/>
      <c r="B37" s="59" t="n"/>
      <c r="C37" s="59" t="n"/>
      <c r="E37" s="16" t="n"/>
      <c r="F37" s="13" t="n"/>
      <c r="G37" s="16" t="n">
        <v>32</v>
      </c>
      <c r="H37" s="124">
        <f>IF(G37="","",COUNTIFS($C$18:$C$2015,G$13,$D$18:$D$2015,"&gt;="&amp;G37,$D$18:$D$2015,"&lt;"&amp;G38))</f>
        <v/>
      </c>
      <c r="I37" s="14" t="n"/>
      <c r="J37" s="16" t="n">
        <v>120</v>
      </c>
      <c r="K37" s="124">
        <f>IF(J37="","",COUNTIFS($C$18:$C$2015,J$13,$D$18:$D$2015,"&gt;="&amp;J37,$D$18:$D$2015,"&lt;"&amp;J38))</f>
        <v/>
      </c>
      <c r="L37" s="14" t="n"/>
      <c r="M37" s="16" t="n">
        <v>54</v>
      </c>
      <c r="N37" s="124">
        <f>IF(M37="","",COUNTIFS($C$18:$C$2015,M$13,$D$18:$D$2015,"&gt;="&amp;M37,$D$18:$D$2015,"&lt;"&amp;M38))</f>
        <v/>
      </c>
      <c r="O37" s="14" t="n"/>
      <c r="P37" s="16" t="n">
        <v>32</v>
      </c>
      <c r="Q37" s="124">
        <f>IF(P37="","",COUNTIFS($C$18:$C$2015,P$13,$D$18:$D$2015,"&gt;="&amp;P37,$D$18:$D$2015,"&lt;"&amp;P38))</f>
        <v/>
      </c>
      <c r="R37" s="14" t="n"/>
      <c r="S37" s="16" t="n">
        <v>54</v>
      </c>
      <c r="T37" s="124">
        <f>IF(S37="","",COUNTIFS($C$18:$C$2015,S$13,$D$18:$D$2015,"&gt;="&amp;S37,$D$18:$D$2015,"&lt;"&amp;S38))</f>
        <v/>
      </c>
      <c r="U37" s="14" t="n"/>
      <c r="V37" s="16" t="n">
        <v>54</v>
      </c>
      <c r="W37" s="124">
        <f>IF(V37="","",COUNTIFS($C$18:$C$2015,V$13,$D$18:$D$2015,"&gt;="&amp;V37,$D$18:$D$2015,"&lt;"&amp;V38))</f>
        <v/>
      </c>
      <c r="X37" s="14" t="n"/>
      <c r="Y37" s="16" t="n">
        <v>54</v>
      </c>
      <c r="Z37" s="124">
        <f>IF(Y37="","",COUNTIFS($C$18:$C$2015,Y$13,$D$18:$D$2015,"&gt;="&amp;Y37,$D$18:$D$2015,"&lt;"&amp;Y38))</f>
        <v/>
      </c>
      <c r="AA37" s="14" t="n"/>
      <c r="AB37" s="16" t="n">
        <v>32</v>
      </c>
      <c r="AC37" s="124">
        <f>IF(AB37="","",COUNTIFS($C$18:$C$2015,AB$13,$D$18:$D$2015,"&gt;="&amp;AB37,$D$18:$D$2015,"&lt;"&amp;AB38))</f>
        <v/>
      </c>
      <c r="AD37" s="14" t="n"/>
    </row>
    <row r="38">
      <c r="A38" s="56" t="n"/>
      <c r="B38" s="59" t="n"/>
      <c r="C38" s="59" t="n"/>
      <c r="E38" s="16" t="n"/>
      <c r="F38" s="13" t="n"/>
      <c r="G38" s="16" t="n">
        <v>33</v>
      </c>
      <c r="H38" s="124">
        <f>IF(G38="","",COUNTIFS($C$18:$C$2015,G$13,$D$18:$D$2015,"&gt;="&amp;G38,$D$18:$D$2015,"&lt;"&amp;G39))</f>
        <v/>
      </c>
      <c r="I38" s="14" t="n"/>
      <c r="J38" s="16" t="n">
        <v>125</v>
      </c>
      <c r="K38" s="124">
        <f>IF(J38="","",COUNTIFS($C$18:$C$2015,J$13,$D$18:$D$2015,"&gt;="&amp;J38,$D$18:$D$2015,"&lt;"&amp;J39))</f>
        <v/>
      </c>
      <c r="L38" s="14" t="n"/>
      <c r="M38" s="16" t="n">
        <v>56</v>
      </c>
      <c r="N38" s="124">
        <f>IF(M38="","",COUNTIFS($C$18:$C$2015,M$13,$D$18:$D$2015,"&gt;="&amp;M38,$D$18:$D$2015,"&lt;"&amp;M39))</f>
        <v/>
      </c>
      <c r="O38" s="14" t="n"/>
      <c r="P38" s="16" t="n">
        <v>33</v>
      </c>
      <c r="Q38" s="124">
        <f>IF(P38="","",COUNTIFS($C$18:$C$2015,P$13,$D$18:$D$2015,"&gt;="&amp;P38,$D$18:$D$2015,"&lt;"&amp;P39))</f>
        <v/>
      </c>
      <c r="R38" s="14" t="n"/>
      <c r="S38" s="16" t="n">
        <v>56</v>
      </c>
      <c r="T38" s="124">
        <f>IF(S38="","",COUNTIFS($C$18:$C$2015,S$13,$D$18:$D$2015,"&gt;="&amp;S38,$D$18:$D$2015,"&lt;"&amp;S39))</f>
        <v/>
      </c>
      <c r="U38" s="14" t="n"/>
      <c r="V38" s="16" t="n">
        <v>56</v>
      </c>
      <c r="W38" s="124">
        <f>IF(V38="","",COUNTIFS($C$18:$C$2015,V$13,$D$18:$D$2015,"&gt;="&amp;V38,$D$18:$D$2015,"&lt;"&amp;V39))</f>
        <v/>
      </c>
      <c r="X38" s="14" t="n"/>
      <c r="Y38" s="16" t="n">
        <v>56</v>
      </c>
      <c r="Z38" s="124">
        <f>IF(Y38="","",COUNTIFS($C$18:$C$2015,Y$13,$D$18:$D$2015,"&gt;="&amp;Y38,$D$18:$D$2015,"&lt;"&amp;Y39))</f>
        <v/>
      </c>
      <c r="AA38" s="14" t="n"/>
      <c r="AB38" s="16" t="n">
        <v>33</v>
      </c>
      <c r="AC38" s="124">
        <f>IF(AB38="","",COUNTIFS($C$18:$C$2015,AB$13,$D$18:$D$2015,"&gt;="&amp;AB38,$D$18:$D$2015,"&lt;"&amp;AB39))</f>
        <v/>
      </c>
      <c r="AD38" s="14" t="n"/>
    </row>
    <row r="39">
      <c r="A39" s="58" t="n"/>
      <c r="B39" s="59" t="n"/>
      <c r="C39" s="59" t="n"/>
      <c r="E39" s="16" t="n"/>
      <c r="F39" s="13" t="n"/>
      <c r="G39" s="16" t="n">
        <v>34</v>
      </c>
      <c r="H39" s="124">
        <f>IF(G39="","",COUNTIFS($C$18:$C$2015,G$13,$D$18:$D$2015,"&gt;="&amp;G39,$D$18:$D$2015,"&lt;"&amp;G40))</f>
        <v/>
      </c>
      <c r="I39" s="14" t="n"/>
      <c r="J39" s="16" t="n">
        <v>130</v>
      </c>
      <c r="K39" s="124">
        <f>IF(J39="","",COUNTIFS($C$18:$C$2015,J$13,$D$18:$D$2015,"&gt;="&amp;J39,$D$18:$D$2015,"&lt;"&amp;J40))</f>
        <v/>
      </c>
      <c r="L39" s="14" t="n"/>
      <c r="M39" s="16" t="n">
        <v>58</v>
      </c>
      <c r="N39" s="124">
        <f>IF(M39="","",COUNTIFS($C$18:$C$2015,M$13,$D$18:$D$2015,"&gt;="&amp;M39,$D$18:$D$2015,"&lt;"&amp;M40))</f>
        <v/>
      </c>
      <c r="O39" s="14" t="n"/>
      <c r="P39" s="16" t="n">
        <v>34</v>
      </c>
      <c r="Q39" s="124">
        <f>IF(P39="","",COUNTIFS($C$18:$C$2015,P$13,$D$18:$D$2015,"&gt;="&amp;P39,$D$18:$D$2015,"&lt;"&amp;P40))</f>
        <v/>
      </c>
      <c r="R39" s="14" t="n"/>
      <c r="S39" s="16" t="n">
        <v>58</v>
      </c>
      <c r="T39" s="124">
        <f>IF(S39="","",COUNTIFS($C$18:$C$2015,S$13,$D$18:$D$2015,"&gt;="&amp;S39,$D$18:$D$2015,"&lt;"&amp;S40))</f>
        <v/>
      </c>
      <c r="U39" s="14" t="n"/>
      <c r="V39" s="16" t="n">
        <v>58</v>
      </c>
      <c r="W39" s="124">
        <f>IF(V39="","",COUNTIFS($C$18:$C$2015,V$13,$D$18:$D$2015,"&gt;="&amp;V39,$D$18:$D$2015,"&lt;"&amp;V40))</f>
        <v/>
      </c>
      <c r="X39" s="14" t="n"/>
      <c r="Y39" s="16" t="n">
        <v>58</v>
      </c>
      <c r="Z39" s="124">
        <f>IF(Y39="","",COUNTIFS($C$18:$C$2015,Y$13,$D$18:$D$2015,"&gt;="&amp;Y39,$D$18:$D$2015,"&lt;"&amp;Y40))</f>
        <v/>
      </c>
      <c r="AA39" s="14" t="n"/>
      <c r="AB39" s="16" t="n">
        <v>34</v>
      </c>
      <c r="AC39" s="124">
        <f>IF(AB39="","",COUNTIFS($C$18:$C$2015,AB$13,$D$18:$D$2015,"&gt;="&amp;AB39,$D$18:$D$2015,"&lt;"&amp;AB40))</f>
        <v/>
      </c>
      <c r="AD39" s="14" t="n"/>
    </row>
    <row r="40">
      <c r="A40" s="56" t="n"/>
      <c r="B40" s="59" t="n"/>
      <c r="C40" s="59" t="n"/>
      <c r="E40" s="16" t="n"/>
      <c r="F40" s="13" t="n"/>
      <c r="G40" s="16" t="n">
        <v>35</v>
      </c>
      <c r="H40" s="124">
        <f>IF(G40="","",COUNTIFS($C$18:$C$2015,G$13,$D$18:$D$2015,"&gt;="&amp;G40,$D$18:$D$2015,"&lt;"&amp;G41))</f>
        <v/>
      </c>
      <c r="I40" s="14" t="n"/>
      <c r="J40" s="16" t="n">
        <v>135</v>
      </c>
      <c r="K40" s="124">
        <f>IF(J40="","",COUNTIFS($C$18:$C$2015,J$13,$D$18:$D$2015,"&gt;="&amp;J40,$D$18:$D$2015,"&lt;"&amp;J41))</f>
        <v/>
      </c>
      <c r="L40" s="14" t="n"/>
      <c r="M40" s="16" t="n">
        <v>60</v>
      </c>
      <c r="N40" s="124">
        <f>IF(M40="","",COUNTIFS($C$18:$C$2015,M$13,$D$18:$D$2015,"&gt;="&amp;M40,$D$18:$D$2015,"&lt;"&amp;M41))</f>
        <v/>
      </c>
      <c r="O40" s="14" t="n"/>
      <c r="P40" s="16" t="n">
        <v>35</v>
      </c>
      <c r="Q40" s="124">
        <f>IF(P40="","",COUNTIFS($C$18:$C$2015,P$13,$D$18:$D$2015,"&gt;="&amp;P40,$D$18:$D$2015,"&lt;"&amp;P41))</f>
        <v/>
      </c>
      <c r="R40" s="14" t="n"/>
      <c r="S40" s="16" t="n">
        <v>60</v>
      </c>
      <c r="T40" s="124">
        <f>IF(S40="","",COUNTIFS($C$18:$C$2015,S$13,$D$18:$D$2015,"&gt;="&amp;S40,$D$18:$D$2015,"&lt;"&amp;S41))</f>
        <v/>
      </c>
      <c r="U40" s="14" t="n"/>
      <c r="V40" s="16" t="n">
        <v>60</v>
      </c>
      <c r="W40" s="124">
        <f>IF(V40="","",COUNTIFS($C$18:$C$2015,V$13,$D$18:$D$2015,"&gt;="&amp;V40,$D$18:$D$2015,"&lt;"&amp;V41))</f>
        <v/>
      </c>
      <c r="X40" s="14" t="n"/>
      <c r="Y40" s="16" t="n">
        <v>60</v>
      </c>
      <c r="Z40" s="124">
        <f>IF(Y40="","",COUNTIFS($C$18:$C$2015,Y$13,$D$18:$D$2015,"&gt;="&amp;Y40,$D$18:$D$2015,"&lt;"&amp;Y41))</f>
        <v/>
      </c>
      <c r="AA40" s="14" t="n"/>
      <c r="AB40" s="16" t="n">
        <v>35</v>
      </c>
      <c r="AC40" s="124">
        <f>IF(AB40="","",COUNTIFS($C$18:$C$2015,AB$13,$D$18:$D$2015,"&gt;="&amp;AB40,$D$18:$D$2015,"&lt;"&amp;AB41))</f>
        <v/>
      </c>
      <c r="AD40" s="14" t="n"/>
    </row>
    <row r="41">
      <c r="A41" s="58" t="n"/>
      <c r="B41" s="59" t="n"/>
      <c r="C41" s="59" t="n"/>
      <c r="E41" s="16" t="n"/>
      <c r="F41" s="13" t="n"/>
      <c r="G41" s="16" t="n">
        <v>36</v>
      </c>
      <c r="H41" s="124">
        <f>IF(G41="","",COUNTIFS($C$18:$C$2015,G$13,$D$18:$D$2015,"&gt;="&amp;G41,$D$18:$D$2015,"&lt;"&amp;G42))</f>
        <v/>
      </c>
      <c r="I41" s="14" t="n"/>
      <c r="J41" s="16" t="n">
        <v>140</v>
      </c>
      <c r="K41" s="124">
        <f>IF(J41="","",COUNTIFS($C$18:$C$2015,J$13,$D$18:$D$2015,"&gt;="&amp;J41,$D$18:$D$2015,"&lt;"&amp;J42))</f>
        <v/>
      </c>
      <c r="L41" s="14" t="n"/>
      <c r="M41" s="16" t="n">
        <v>62</v>
      </c>
      <c r="N41" s="124">
        <f>IF(M41="","",COUNTIFS($C$18:$C$2015,M$13,$D$18:$D$2015,"&gt;="&amp;M41,$D$18:$D$2015,"&lt;"&amp;M42))</f>
        <v/>
      </c>
      <c r="O41" s="14" t="n"/>
      <c r="P41" s="16" t="n">
        <v>36</v>
      </c>
      <c r="Q41" s="124">
        <f>IF(P41="","",COUNTIFS($C$18:$C$2015,P$13,$D$18:$D$2015,"&gt;="&amp;P41,$D$18:$D$2015,"&lt;"&amp;P42))</f>
        <v/>
      </c>
      <c r="R41" s="14" t="n"/>
      <c r="S41" s="16" t="n">
        <v>62</v>
      </c>
      <c r="T41" s="124">
        <f>IF(S41="","",COUNTIFS($C$18:$C$2015,S$13,$D$18:$D$2015,"&gt;="&amp;S41,$D$18:$D$2015,"&lt;"&amp;S42))</f>
        <v/>
      </c>
      <c r="U41" s="14" t="n"/>
      <c r="V41" s="16" t="n">
        <v>62</v>
      </c>
      <c r="W41" s="124">
        <f>IF(V41="","",COUNTIFS($C$18:$C$2015,V$13,$D$18:$D$2015,"&gt;="&amp;V41,$D$18:$D$2015,"&lt;"&amp;V42))</f>
        <v/>
      </c>
      <c r="X41" s="14" t="n"/>
      <c r="Y41" s="16" t="n">
        <v>62</v>
      </c>
      <c r="Z41" s="124">
        <f>IF(Y41="","",COUNTIFS($C$18:$C$2015,Y$13,$D$18:$D$2015,"&gt;="&amp;Y41,$D$18:$D$2015,"&lt;"&amp;Y42))</f>
        <v/>
      </c>
      <c r="AA41" s="14" t="n"/>
      <c r="AB41" s="16" t="n">
        <v>36</v>
      </c>
      <c r="AC41" s="124">
        <f>IF(AB41="","",COUNTIFS($C$18:$C$2015,AB$13,$D$18:$D$2015,"&gt;="&amp;AB41,$D$18:$D$2015,"&lt;"&amp;AB42))</f>
        <v/>
      </c>
      <c r="AD41" s="14" t="n"/>
    </row>
    <row r="42">
      <c r="A42" s="56" t="n"/>
      <c r="B42" s="59" t="n"/>
      <c r="C42" s="59" t="n"/>
      <c r="E42" s="16" t="n"/>
      <c r="F42" s="13" t="n"/>
      <c r="G42" s="16" t="n">
        <v>37</v>
      </c>
      <c r="H42" s="124">
        <f>IF(G42="","",COUNTIFS($C$18:$C$2015,G$13,$D$18:$D$2015,"&gt;="&amp;G42,$D$18:$D$2015,"&lt;"&amp;G43))</f>
        <v/>
      </c>
      <c r="I42" s="14" t="n"/>
      <c r="J42" s="16" t="n">
        <v>145</v>
      </c>
      <c r="K42" s="124">
        <f>IF(J42="","",COUNTIFS($C$18:$C$2015,J$13,$D$18:$D$2015,"&gt;="&amp;J42,$D$18:$D$2015,"&lt;"&amp;J43))</f>
        <v/>
      </c>
      <c r="L42" s="14" t="n"/>
      <c r="M42" s="16" t="n">
        <v>64</v>
      </c>
      <c r="N42" s="124">
        <f>IF(M42="","",COUNTIFS($C$18:$C$2015,M$13,$D$18:$D$2015,"&gt;="&amp;M42,$D$18:$D$2015,"&lt;"&amp;M43))</f>
        <v/>
      </c>
      <c r="O42" s="14" t="n"/>
      <c r="P42" s="16" t="n">
        <v>37</v>
      </c>
      <c r="Q42" s="124">
        <f>IF(P42="","",COUNTIFS($C$18:$C$2015,P$13,$D$18:$D$2015,"&gt;="&amp;P42,$D$18:$D$2015,"&lt;"&amp;P43))</f>
        <v/>
      </c>
      <c r="R42" s="14" t="n"/>
      <c r="S42" s="16" t="n">
        <v>64</v>
      </c>
      <c r="T42" s="124">
        <f>IF(S42="","",COUNTIFS($C$18:$C$2015,S$13,$D$18:$D$2015,"&gt;="&amp;S42,$D$18:$D$2015,"&lt;"&amp;S43))</f>
        <v/>
      </c>
      <c r="U42" s="14" t="n"/>
      <c r="V42" s="16" t="n">
        <v>64</v>
      </c>
      <c r="W42" s="124">
        <f>IF(V42="","",COUNTIFS($C$18:$C$2015,V$13,$D$18:$D$2015,"&gt;="&amp;V42,$D$18:$D$2015,"&lt;"&amp;V43))</f>
        <v/>
      </c>
      <c r="X42" s="14" t="n"/>
      <c r="Y42" s="16" t="n">
        <v>64</v>
      </c>
      <c r="Z42" s="124">
        <f>IF(Y42="","",COUNTIFS($C$18:$C$2015,Y$13,$D$18:$D$2015,"&gt;="&amp;Y42,$D$18:$D$2015,"&lt;"&amp;Y43))</f>
        <v/>
      </c>
      <c r="AA42" s="14" t="n"/>
      <c r="AB42" s="16" t="n">
        <v>37</v>
      </c>
      <c r="AC42" s="124">
        <f>IF(AB42="","",COUNTIFS($C$18:$C$2015,AB$13,$D$18:$D$2015,"&gt;="&amp;AB42,$D$18:$D$2015,"&lt;"&amp;AB43))</f>
        <v/>
      </c>
      <c r="AD42" s="14" t="n"/>
    </row>
    <row r="43">
      <c r="A43" s="58" t="n"/>
      <c r="B43" s="59" t="n"/>
      <c r="C43" s="59" t="n"/>
      <c r="E43" s="16" t="n"/>
      <c r="F43" s="13" t="n"/>
      <c r="G43" s="16" t="n">
        <v>38</v>
      </c>
      <c r="H43" s="124">
        <f>IF(G43="","",COUNTIFS($C$18:$C$2015,G$13,$D$18:$D$2015,"&gt;="&amp;G43,$D$18:$D$2015,"&lt;"&amp;G44))</f>
        <v/>
      </c>
      <c r="I43" s="14" t="n"/>
      <c r="J43" s="16" t="n">
        <v>150</v>
      </c>
      <c r="K43" s="124">
        <f>IF(J43="","",COUNTIFS($C$18:$C$2015,J$13,$D$18:$D$2015,"&gt;="&amp;J43,$D$18:$D$2015,"&lt;"&amp;J44))</f>
        <v/>
      </c>
      <c r="L43" s="14" t="n"/>
      <c r="M43" s="16" t="n">
        <v>66</v>
      </c>
      <c r="N43" s="124">
        <f>IF(M43="","",COUNTIFS($C$18:$C$2015,M$13,$D$18:$D$2015,"&gt;="&amp;M43,$D$18:$D$2015,"&lt;"&amp;M44))</f>
        <v/>
      </c>
      <c r="O43" s="14" t="n"/>
      <c r="P43" s="16" t="n">
        <v>38</v>
      </c>
      <c r="Q43" s="124">
        <f>IF(P43="","",COUNTIFS($C$18:$C$2015,P$13,$D$18:$D$2015,"&gt;="&amp;P43,$D$18:$D$2015,"&lt;"&amp;P44))</f>
        <v/>
      </c>
      <c r="R43" s="14" t="n"/>
      <c r="S43" s="16" t="n">
        <v>66</v>
      </c>
      <c r="T43" s="124">
        <f>IF(S43="","",COUNTIFS($C$18:$C$2015,S$13,$D$18:$D$2015,"&gt;="&amp;S43,$D$18:$D$2015,"&lt;"&amp;S44))</f>
        <v/>
      </c>
      <c r="U43" s="14" t="n"/>
      <c r="V43" s="16" t="n">
        <v>66</v>
      </c>
      <c r="W43" s="124">
        <f>IF(V43="","",COUNTIFS($C$18:$C$2015,V$13,$D$18:$D$2015,"&gt;="&amp;V43,$D$18:$D$2015,"&lt;"&amp;V44))</f>
        <v/>
      </c>
      <c r="X43" s="14" t="n"/>
      <c r="Y43" s="16" t="n">
        <v>66</v>
      </c>
      <c r="Z43" s="124">
        <f>IF(Y43="","",COUNTIFS($C$18:$C$2015,Y$13,$D$18:$D$2015,"&gt;="&amp;Y43,$D$18:$D$2015,"&lt;"&amp;Y44))</f>
        <v/>
      </c>
      <c r="AA43" s="14" t="n"/>
      <c r="AB43" s="16" t="n">
        <v>38</v>
      </c>
      <c r="AC43" s="124">
        <f>IF(AB43="","",COUNTIFS($C$18:$C$2015,AB$13,$D$18:$D$2015,"&gt;="&amp;AB43,$D$18:$D$2015,"&lt;"&amp;AB44))</f>
        <v/>
      </c>
      <c r="AD43" s="14" t="n"/>
    </row>
    <row r="44">
      <c r="A44" s="56" t="n"/>
      <c r="B44" s="59" t="n"/>
      <c r="C44" s="59" t="n"/>
      <c r="E44" s="16" t="n"/>
      <c r="F44" s="13" t="n"/>
      <c r="G44" s="16" t="n">
        <v>39</v>
      </c>
      <c r="H44" s="124">
        <f>IF(G44="","",COUNTIFS($C$18:$C$2015,G$13,$D$18:$D$2015,"&gt;="&amp;G44,$D$18:$D$2015,"&lt;"&amp;G45))</f>
        <v/>
      </c>
      <c r="I44" s="14" t="n"/>
      <c r="J44" s="16" t="n"/>
      <c r="K44" s="124">
        <f>IF(J44="","",COUNTIFS($C$18:$C$2015,J$13,$D$18:$D$2015,"&gt;="&amp;J44,$D$18:$D$2015,"&lt;"&amp;J45))</f>
        <v/>
      </c>
      <c r="L44" s="14" t="n"/>
      <c r="M44" s="16" t="n">
        <v>68</v>
      </c>
      <c r="N44" s="124">
        <f>IF(M44="","",COUNTIFS($C$18:$C$2015,M$13,$D$18:$D$2015,"&gt;="&amp;M44,$D$18:$D$2015,"&lt;"&amp;M45))</f>
        <v/>
      </c>
      <c r="O44" s="14" t="n"/>
      <c r="P44" s="16" t="n">
        <v>39</v>
      </c>
      <c r="Q44" s="124">
        <f>IF(P44="","",COUNTIFS($C$18:$C$2015,P$13,$D$18:$D$2015,"&gt;="&amp;P44,$D$18:$D$2015,"&lt;"&amp;P45))</f>
        <v/>
      </c>
      <c r="R44" s="14" t="n"/>
      <c r="S44" s="16" t="n">
        <v>68</v>
      </c>
      <c r="T44" s="124">
        <f>IF(S44="","",COUNTIFS($C$18:$C$2015,S$13,$D$18:$D$2015,"&gt;="&amp;S44,$D$18:$D$2015,"&lt;"&amp;S45))</f>
        <v/>
      </c>
      <c r="U44" s="14" t="n"/>
      <c r="V44" s="16" t="n">
        <v>68</v>
      </c>
      <c r="W44" s="124">
        <f>IF(V44="","",COUNTIFS($C$18:$C$2015,V$13,$D$18:$D$2015,"&gt;="&amp;V44,$D$18:$D$2015,"&lt;"&amp;V45))</f>
        <v/>
      </c>
      <c r="X44" s="14" t="n"/>
      <c r="Y44" s="16" t="n">
        <v>68</v>
      </c>
      <c r="Z44" s="124">
        <f>IF(Y44="","",COUNTIFS($C$18:$C$2015,Y$13,$D$18:$D$2015,"&gt;="&amp;Y44,$D$18:$D$2015,"&lt;"&amp;Y45))</f>
        <v/>
      </c>
      <c r="AA44" s="14" t="n"/>
      <c r="AB44" s="16" t="n">
        <v>39</v>
      </c>
      <c r="AC44" s="124">
        <f>IF(AB44="","",COUNTIFS($C$18:$C$2015,AB$13,$D$18:$D$2015,"&gt;="&amp;AB44,$D$18:$D$2015,"&lt;"&amp;AB45))</f>
        <v/>
      </c>
      <c r="AD44" s="14" t="n"/>
    </row>
    <row r="45">
      <c r="A45" s="58" t="n"/>
      <c r="B45" s="59" t="n"/>
      <c r="C45" s="59" t="n"/>
      <c r="E45" s="16" t="n"/>
      <c r="F45" s="13" t="n"/>
      <c r="G45" s="16" t="n">
        <v>40</v>
      </c>
      <c r="H45" s="124">
        <f>IF(G45="","",COUNTIFS($C$18:$C$2015,G$13,$D$18:$D$2015,"&gt;="&amp;G45,$D$18:$D$2015,"&lt;"&amp;G46))</f>
        <v/>
      </c>
      <c r="I45" s="14" t="n"/>
      <c r="J45" s="16" t="n"/>
      <c r="K45" s="124">
        <f>IF(J45="","",COUNTIFS($C$18:$C$2015,J$13,$D$18:$D$2015,"&gt;="&amp;J45,$D$18:$D$2015,"&lt;"&amp;J46))</f>
        <v/>
      </c>
      <c r="L45" s="14" t="n"/>
      <c r="M45" s="16" t="n">
        <v>70</v>
      </c>
      <c r="N45" s="124">
        <f>IF(M45="","",COUNTIFS($C$18:$C$2015,M$13,$D$18:$D$2015,"&gt;="&amp;M45,$D$18:$D$2015,"&lt;"&amp;M46))</f>
        <v/>
      </c>
      <c r="O45" s="14" t="n"/>
      <c r="P45" s="16" t="n">
        <v>40</v>
      </c>
      <c r="Q45" s="124">
        <f>IF(P45="","",COUNTIFS($C$18:$C$2015,P$13,$D$18:$D$2015,"&gt;="&amp;P45,$D$18:$D$2015,"&lt;"&amp;P46))</f>
        <v/>
      </c>
      <c r="R45" s="14" t="n"/>
      <c r="S45" s="16" t="n">
        <v>70</v>
      </c>
      <c r="T45" s="124">
        <f>IF(S45="","",COUNTIFS($C$18:$C$2015,S$13,$D$18:$D$2015,"&gt;="&amp;S45,$D$18:$D$2015,"&lt;"&amp;S46))</f>
        <v/>
      </c>
      <c r="U45" s="14" t="n"/>
      <c r="V45" s="16" t="n">
        <v>70</v>
      </c>
      <c r="W45" s="124">
        <f>IF(V45="","",COUNTIFS($C$18:$C$2015,V$13,$D$18:$D$2015,"&gt;="&amp;V45,$D$18:$D$2015,"&lt;"&amp;V46))</f>
        <v/>
      </c>
      <c r="X45" s="14" t="n"/>
      <c r="Y45" s="16" t="n">
        <v>70</v>
      </c>
      <c r="Z45" s="124">
        <f>IF(Y45="","",COUNTIFS($C$18:$C$2015,Y$13,$D$18:$D$2015,"&gt;="&amp;Y45,$D$18:$D$2015,"&lt;"&amp;Y46))</f>
        <v/>
      </c>
      <c r="AA45" s="14" t="n"/>
      <c r="AB45" s="16" t="n">
        <v>40</v>
      </c>
      <c r="AC45" s="124">
        <f>IF(AB45="","",COUNTIFS($C$18:$C$2015,AB$13,$D$18:$D$2015,"&gt;="&amp;AB45,$D$18:$D$2015,"&lt;"&amp;AB46))</f>
        <v/>
      </c>
      <c r="AD45" s="14" t="n"/>
    </row>
    <row r="46">
      <c r="A46" s="56" t="n"/>
      <c r="B46" s="59" t="n"/>
      <c r="C46" s="59" t="n"/>
      <c r="E46" s="16" t="n"/>
      <c r="F46" s="13" t="n"/>
      <c r="G46" s="16" t="n">
        <v>41</v>
      </c>
      <c r="H46" s="124">
        <f>IF(G46="","",COUNTIFS($C$18:$C$2015,G$13,$D$18:$D$2015,"&gt;="&amp;G46,$D$18:$D$2015,"&lt;"&amp;G47))</f>
        <v/>
      </c>
      <c r="I46" s="14" t="n"/>
      <c r="J46" s="16" t="n"/>
      <c r="K46" s="124">
        <f>IF(J46="","",COUNTIFS($C$18:$C$2015,J$13,$D$18:$D$2015,"&gt;="&amp;J46,$D$18:$D$2015,"&lt;"&amp;J47))</f>
        <v/>
      </c>
      <c r="L46" s="14" t="n"/>
      <c r="M46" s="16" t="n">
        <v>72</v>
      </c>
      <c r="N46" s="124">
        <f>IF(M46="","",COUNTIFS($C$18:$C$2015,M$13,$D$18:$D$2015,"&gt;="&amp;M46,$D$18:$D$2015,"&lt;"&amp;M47))</f>
        <v/>
      </c>
      <c r="O46" s="14" t="n"/>
      <c r="P46" s="16" t="n">
        <v>41</v>
      </c>
      <c r="Q46" s="124">
        <f>IF(P46="","",COUNTIFS($C$18:$C$2015,P$13,$D$18:$D$2015,"&gt;="&amp;P46,$D$18:$D$2015,"&lt;"&amp;P47))</f>
        <v/>
      </c>
      <c r="R46" s="14" t="n"/>
      <c r="S46" s="16" t="n">
        <v>72</v>
      </c>
      <c r="T46" s="124">
        <f>IF(S46="","",COUNTIFS($C$18:$C$2015,S$13,$D$18:$D$2015,"&gt;="&amp;S46,$D$18:$D$2015,"&lt;"&amp;S47))</f>
        <v/>
      </c>
      <c r="U46" s="14" t="n"/>
      <c r="V46" s="16" t="n">
        <v>72</v>
      </c>
      <c r="W46" s="124">
        <f>IF(V46="","",COUNTIFS($C$18:$C$2015,V$13,$D$18:$D$2015,"&gt;="&amp;V46,$D$18:$D$2015,"&lt;"&amp;V47))</f>
        <v/>
      </c>
      <c r="X46" s="14" t="n"/>
      <c r="Y46" s="16" t="n">
        <v>72</v>
      </c>
      <c r="Z46" s="124">
        <f>IF(Y46="","",COUNTIFS($C$18:$C$2015,Y$13,$D$18:$D$2015,"&gt;="&amp;Y46,$D$18:$D$2015,"&lt;"&amp;Y47))</f>
        <v/>
      </c>
      <c r="AA46" s="14" t="n"/>
      <c r="AB46" s="16" t="n">
        <v>41</v>
      </c>
      <c r="AC46" s="124">
        <f>IF(AB46="","",COUNTIFS($C$18:$C$2015,AB$13,$D$18:$D$2015,"&gt;="&amp;AB46,$D$18:$D$2015,"&lt;"&amp;AB47))</f>
        <v/>
      </c>
      <c r="AD46" s="14" t="n"/>
    </row>
    <row r="47">
      <c r="A47" s="58" t="n"/>
      <c r="B47" s="59" t="n"/>
      <c r="C47" s="59" t="n"/>
      <c r="E47" s="16" t="n"/>
      <c r="F47" s="13" t="n"/>
      <c r="G47" s="16" t="n">
        <v>42</v>
      </c>
      <c r="H47" s="124">
        <f>IF(G47="","",COUNTIFS($C$18:$C$2015,G$13,$D$18:$D$2015,"&gt;="&amp;G47,$D$18:$D$2015,"&lt;"&amp;G48))</f>
        <v/>
      </c>
      <c r="I47" s="14" t="n"/>
      <c r="J47" s="16" t="n"/>
      <c r="K47" s="124">
        <f>IF(J47="","",COUNTIFS($C$18:$C$2015,J$13,$D$18:$D$2015,"&gt;="&amp;J47,$D$18:$D$2015,"&lt;"&amp;J48))</f>
        <v/>
      </c>
      <c r="L47" s="14" t="n"/>
      <c r="M47" s="16" t="n">
        <v>74</v>
      </c>
      <c r="N47" s="124">
        <f>IF(M47="","",COUNTIFS($C$18:$C$2015,M$13,$D$18:$D$2015,"&gt;="&amp;M47,$D$18:$D$2015,"&lt;"&amp;M48))</f>
        <v/>
      </c>
      <c r="O47" s="14" t="n"/>
      <c r="P47" s="16" t="n">
        <v>42</v>
      </c>
      <c r="Q47" s="124">
        <f>IF(P47="","",COUNTIFS($C$18:$C$2015,P$13,$D$18:$D$2015,"&gt;="&amp;P47,$D$18:$D$2015,"&lt;"&amp;P48))</f>
        <v/>
      </c>
      <c r="R47" s="14" t="n"/>
      <c r="S47" s="16" t="n">
        <v>74</v>
      </c>
      <c r="T47" s="124">
        <f>IF(S47="","",COUNTIFS($C$18:$C$2015,S$13,$D$18:$D$2015,"&gt;="&amp;S47,$D$18:$D$2015,"&lt;"&amp;S48))</f>
        <v/>
      </c>
      <c r="U47" s="14" t="n"/>
      <c r="V47" s="16" t="n">
        <v>74</v>
      </c>
      <c r="W47" s="124">
        <f>IF(V47="","",COUNTIFS($C$18:$C$2015,V$13,$D$18:$D$2015,"&gt;="&amp;V47,$D$18:$D$2015,"&lt;"&amp;V48))</f>
        <v/>
      </c>
      <c r="X47" s="14" t="n"/>
      <c r="Y47" s="16" t="n">
        <v>74</v>
      </c>
      <c r="Z47" s="124">
        <f>IF(Y47="","",COUNTIFS($C$18:$C$2015,Y$13,$D$18:$D$2015,"&gt;="&amp;Y47,$D$18:$D$2015,"&lt;"&amp;Y48))</f>
        <v/>
      </c>
      <c r="AA47" s="14" t="n"/>
      <c r="AB47" s="16" t="n">
        <v>42</v>
      </c>
      <c r="AC47" s="124">
        <f>IF(AB47="","",COUNTIFS($C$18:$C$2015,AB$13,$D$18:$D$2015,"&gt;="&amp;AB47,$D$18:$D$2015,"&lt;"&amp;AB48))</f>
        <v/>
      </c>
      <c r="AD47" s="14" t="n"/>
    </row>
    <row r="48">
      <c r="A48" s="56" t="n"/>
      <c r="B48" s="59" t="n"/>
      <c r="C48" s="59" t="n"/>
      <c r="E48" s="16" t="n"/>
      <c r="F48" s="13" t="n"/>
      <c r="G48" s="16" t="n">
        <v>43</v>
      </c>
      <c r="H48" s="124">
        <f>IF(G48="","",COUNTIFS($C$18:$C$2015,G$13,$D$18:$D$2015,"&gt;="&amp;G48,$D$18:$D$2015,"&lt;"&amp;G49))</f>
        <v/>
      </c>
      <c r="I48" s="14" t="n"/>
      <c r="J48" s="16" t="n"/>
      <c r="K48" s="124">
        <f>IF(J48="","",COUNTIFS($C$18:$C$2015,J$13,$D$18:$D$2015,"&gt;="&amp;J48,$D$18:$D$2015,"&lt;"&amp;J49))</f>
        <v/>
      </c>
      <c r="L48" s="14" t="n"/>
      <c r="M48" s="16" t="n">
        <v>76</v>
      </c>
      <c r="N48" s="124">
        <f>IF(M48="","",COUNTIFS($C$18:$C$2015,M$13,$D$18:$D$2015,"&gt;="&amp;M48,$D$18:$D$2015,"&lt;"&amp;M49))</f>
        <v/>
      </c>
      <c r="O48" s="14" t="n"/>
      <c r="P48" s="16" t="n">
        <v>43</v>
      </c>
      <c r="Q48" s="124">
        <f>IF(P48="","",COUNTIFS($C$18:$C$2015,P$13,$D$18:$D$2015,"&gt;="&amp;P48,$D$18:$D$2015,"&lt;"&amp;P49))</f>
        <v/>
      </c>
      <c r="R48" s="14" t="n"/>
      <c r="S48" s="16" t="n">
        <v>76</v>
      </c>
      <c r="T48" s="124">
        <f>IF(S48="","",COUNTIFS($C$18:$C$2015,S$13,$D$18:$D$2015,"&gt;="&amp;S48,$D$18:$D$2015,"&lt;"&amp;S49))</f>
        <v/>
      </c>
      <c r="U48" s="14" t="n"/>
      <c r="V48" s="16" t="n">
        <v>76</v>
      </c>
      <c r="W48" s="124">
        <f>IF(V48="","",COUNTIFS($C$18:$C$2015,V$13,$D$18:$D$2015,"&gt;="&amp;V48,$D$18:$D$2015,"&lt;"&amp;V49))</f>
        <v/>
      </c>
      <c r="X48" s="14" t="n"/>
      <c r="Y48" s="16" t="n">
        <v>76</v>
      </c>
      <c r="Z48" s="124">
        <f>IF(Y48="","",COUNTIFS($C$18:$C$2015,Y$13,$D$18:$D$2015,"&gt;="&amp;Y48,$D$18:$D$2015,"&lt;"&amp;Y49))</f>
        <v/>
      </c>
      <c r="AA48" s="14" t="n"/>
      <c r="AB48" s="16" t="n">
        <v>43</v>
      </c>
      <c r="AC48" s="124">
        <f>IF(AB48="","",COUNTIFS($C$18:$C$2015,AB$13,$D$18:$D$2015,"&gt;="&amp;AB48,$D$18:$D$2015,"&lt;"&amp;AB49))</f>
        <v/>
      </c>
      <c r="AD48" s="14" t="n"/>
    </row>
    <row r="49">
      <c r="A49" s="58" t="n"/>
      <c r="B49" s="59" t="n"/>
      <c r="C49" s="59" t="n"/>
      <c r="E49" s="16" t="n"/>
      <c r="F49" s="13" t="n"/>
      <c r="G49" s="16" t="n">
        <v>44</v>
      </c>
      <c r="H49" s="124">
        <f>IF(G49="","",COUNTIFS($C$18:$C$2015,G$13,$D$18:$D$2015,"&gt;="&amp;G49,$D$18:$D$2015,"&lt;"&amp;G50))</f>
        <v/>
      </c>
      <c r="I49" s="14" t="n"/>
      <c r="J49" s="16" t="n"/>
      <c r="K49" s="124">
        <f>IF(J49="","",COUNTIFS($C$18:$C$2015,J$13,$D$18:$D$2015,"&gt;="&amp;J49,$D$18:$D$2015,"&lt;"&amp;J50))</f>
        <v/>
      </c>
      <c r="L49" s="14" t="n"/>
      <c r="M49" s="16" t="n">
        <v>78</v>
      </c>
      <c r="N49" s="124">
        <f>IF(M49="","",COUNTIFS($C$18:$C$2015,M$13,$D$18:$D$2015,"&gt;="&amp;M49,$D$18:$D$2015,"&lt;"&amp;M50))</f>
        <v/>
      </c>
      <c r="O49" s="14" t="n"/>
      <c r="P49" s="16" t="n">
        <v>44</v>
      </c>
      <c r="Q49" s="124">
        <f>IF(P49="","",COUNTIFS($C$18:$C$2015,P$13,$D$18:$D$2015,"&gt;="&amp;P49,$D$18:$D$2015,"&lt;"&amp;P50))</f>
        <v/>
      </c>
      <c r="R49" s="14" t="n"/>
      <c r="S49" s="16" t="n">
        <v>78</v>
      </c>
      <c r="T49" s="124">
        <f>IF(S49="","",COUNTIFS($C$18:$C$2015,S$13,$D$18:$D$2015,"&gt;="&amp;S49,$D$18:$D$2015,"&lt;"&amp;S50))</f>
        <v/>
      </c>
      <c r="U49" s="14" t="n"/>
      <c r="V49" s="16" t="n">
        <v>78</v>
      </c>
      <c r="W49" s="124">
        <f>IF(V49="","",COUNTIFS($C$18:$C$2015,V$13,$D$18:$D$2015,"&gt;="&amp;V49,$D$18:$D$2015,"&lt;"&amp;V50))</f>
        <v/>
      </c>
      <c r="X49" s="14" t="n"/>
      <c r="Y49" s="16" t="n">
        <v>78</v>
      </c>
      <c r="Z49" s="124">
        <f>IF(Y49="","",COUNTIFS($C$18:$C$2015,Y$13,$D$18:$D$2015,"&gt;="&amp;Y49,$D$18:$D$2015,"&lt;"&amp;Y50))</f>
        <v/>
      </c>
      <c r="AA49" s="14" t="n"/>
      <c r="AB49" s="16" t="n">
        <v>44</v>
      </c>
      <c r="AC49" s="124">
        <f>IF(AB49="","",COUNTIFS($C$18:$C$2015,AB$13,$D$18:$D$2015,"&gt;="&amp;AB49,$D$18:$D$2015,"&lt;"&amp;AB50))</f>
        <v/>
      </c>
      <c r="AD49" s="14" t="n"/>
    </row>
    <row r="50">
      <c r="A50" s="56" t="n"/>
      <c r="B50" s="59" t="n"/>
      <c r="C50" s="59" t="n"/>
      <c r="E50" s="16" t="n"/>
      <c r="F50" s="13" t="n"/>
      <c r="G50" s="16" t="n">
        <v>45</v>
      </c>
      <c r="H50" s="124">
        <f>IF(G50="","",COUNTIFS($C$18:$C$2015,G$13,$D$18:$D$2015,"&gt;="&amp;G50,$D$18:$D$2015,"&lt;"&amp;G51))</f>
        <v/>
      </c>
      <c r="I50" s="14" t="n"/>
      <c r="J50" s="16" t="n"/>
      <c r="K50" s="124">
        <f>IF(J50="","",COUNTIFS($C$18:$C$2015,J$13,$D$18:$D$2015,"&gt;="&amp;J50,$D$18:$D$2015,"&lt;"&amp;J51))</f>
        <v/>
      </c>
      <c r="L50" s="14" t="n"/>
      <c r="M50" s="16" t="n">
        <v>80</v>
      </c>
      <c r="N50" s="124">
        <f>IF(M50="","",COUNTIFS($C$18:$C$2015,M$13,$D$18:$D$2015,"&gt;="&amp;M50,$D$18:$D$2015,"&lt;"&amp;M51))</f>
        <v/>
      </c>
      <c r="O50" s="14" t="n"/>
      <c r="P50" s="16" t="n">
        <v>45</v>
      </c>
      <c r="Q50" s="124">
        <f>IF(P50="","",COUNTIFS($C$18:$C$2015,P$13,$D$18:$D$2015,"&gt;="&amp;P50,$D$18:$D$2015,"&lt;"&amp;P51))</f>
        <v/>
      </c>
      <c r="R50" s="14" t="n"/>
      <c r="S50" s="16" t="n">
        <v>80</v>
      </c>
      <c r="T50" s="124">
        <f>IF(S50="","",COUNTIFS($C$18:$C$2015,S$13,$D$18:$D$2015,"&gt;="&amp;S50,$D$18:$D$2015,"&lt;"&amp;S51))</f>
        <v/>
      </c>
      <c r="U50" s="14" t="n"/>
      <c r="V50" s="16" t="n">
        <v>80</v>
      </c>
      <c r="W50" s="124">
        <f>IF(V50="","",COUNTIFS($C$18:$C$2015,V$13,$D$18:$D$2015,"&gt;="&amp;V50,$D$18:$D$2015,"&lt;"&amp;V51))</f>
        <v/>
      </c>
      <c r="X50" s="14" t="n"/>
      <c r="Y50" s="16" t="n">
        <v>80</v>
      </c>
      <c r="Z50" s="124">
        <f>IF(Y50="","",COUNTIFS($C$18:$C$2015,Y$13,$D$18:$D$2015,"&gt;="&amp;Y50,$D$18:$D$2015,"&lt;"&amp;Y51))</f>
        <v/>
      </c>
      <c r="AA50" s="14" t="n"/>
      <c r="AB50" s="16" t="n">
        <v>45</v>
      </c>
      <c r="AC50" s="124">
        <f>IF(AB50="","",COUNTIFS($C$18:$C$2015,AB$13,$D$18:$D$2015,"&gt;="&amp;AB50,$D$18:$D$2015,"&lt;"&amp;AB51))</f>
        <v/>
      </c>
      <c r="AD50" s="14" t="n"/>
    </row>
    <row r="51">
      <c r="A51" s="58" t="n"/>
      <c r="B51" s="59" t="n"/>
      <c r="C51" s="59" t="n"/>
      <c r="E51" s="16" t="n"/>
      <c r="F51" s="13" t="n"/>
      <c r="G51" s="16" t="n">
        <v>46</v>
      </c>
      <c r="H51" s="124">
        <f>IF(G51="","",COUNTIFS($C$18:$C$2015,G$13,$D$18:$D$2015,"&gt;="&amp;G51,$D$18:$D$2015,"&lt;"&amp;G52))</f>
        <v/>
      </c>
      <c r="I51" s="14" t="n"/>
      <c r="J51" s="16" t="n"/>
      <c r="K51" s="124">
        <f>IF(J51="","",COUNTIFS($C$18:$C$2015,J$13,$D$18:$D$2015,"&gt;="&amp;J51,$D$18:$D$2015,"&lt;"&amp;J52))</f>
        <v/>
      </c>
      <c r="L51" s="14" t="n"/>
      <c r="M51" s="16" t="n">
        <v>82</v>
      </c>
      <c r="N51" s="124">
        <f>IF(M51="","",COUNTIFS($C$18:$C$2015,M$13,$D$18:$D$2015,"&gt;="&amp;M51,$D$18:$D$2015,"&lt;"&amp;M52))</f>
        <v/>
      </c>
      <c r="O51" s="14" t="n"/>
      <c r="P51" s="16" t="n">
        <v>46</v>
      </c>
      <c r="Q51" s="124">
        <f>IF(P51="","",COUNTIFS($C$18:$C$2015,P$13,$D$18:$D$2015,"&gt;="&amp;P51,$D$18:$D$2015,"&lt;"&amp;P52))</f>
        <v/>
      </c>
      <c r="R51" s="14" t="n"/>
      <c r="S51" s="16" t="n">
        <v>82</v>
      </c>
      <c r="T51" s="124">
        <f>IF(S51="","",COUNTIFS($C$18:$C$2015,S$13,$D$18:$D$2015,"&gt;="&amp;S51,$D$18:$D$2015,"&lt;"&amp;S52))</f>
        <v/>
      </c>
      <c r="U51" s="14" t="n"/>
      <c r="V51" s="16" t="n"/>
      <c r="W51" s="124">
        <f>IF(V51="","",COUNTIFS($C$18:$C$2015,V$13,$D$18:$D$2015,"&gt;="&amp;V51,$D$18:$D$2015,"&lt;"&amp;V52))</f>
        <v/>
      </c>
      <c r="X51" s="14" t="n"/>
      <c r="Y51" s="16" t="n"/>
      <c r="Z51" s="124">
        <f>IF(Y51="","",COUNTIFS($C$18:$C$2015,Y$13,$D$18:$D$2015,"&gt;="&amp;Y51,$D$18:$D$2015,"&lt;"&amp;Y52))</f>
        <v/>
      </c>
      <c r="AA51" s="14" t="n"/>
      <c r="AB51" s="16" t="n">
        <v>46</v>
      </c>
      <c r="AC51" s="124">
        <f>IF(AB51="","",COUNTIFS($C$18:$C$2015,AB$13,$D$18:$D$2015,"&gt;="&amp;AB51,$D$18:$D$2015,"&lt;"&amp;AB52))</f>
        <v/>
      </c>
      <c r="AD51" s="14" t="n"/>
    </row>
    <row r="52">
      <c r="A52" s="56" t="n"/>
      <c r="B52" s="59" t="n"/>
      <c r="C52" s="59" t="n"/>
      <c r="E52" s="16" t="n"/>
      <c r="F52" s="13" t="n"/>
      <c r="G52" s="16" t="n">
        <v>47</v>
      </c>
      <c r="H52" s="124">
        <f>IF(G52="","",COUNTIFS($C$18:$C$2015,G$13,$D$18:$D$2015,"&gt;="&amp;G52,$D$18:$D$2015,"&lt;"&amp;G53))</f>
        <v/>
      </c>
      <c r="I52" s="14" t="n"/>
      <c r="J52" s="16" t="n"/>
      <c r="K52" s="124">
        <f>IF(J52="","",COUNTIFS($C$18:$C$2015,J$13,$D$18:$D$2015,"&gt;="&amp;J52,$D$18:$D$2015,"&lt;"&amp;J53))</f>
        <v/>
      </c>
      <c r="L52" s="14" t="n"/>
      <c r="M52" s="16" t="n">
        <v>84</v>
      </c>
      <c r="N52" s="124">
        <f>IF(M52="","",COUNTIFS($C$18:$C$2015,M$13,$D$18:$D$2015,"&gt;="&amp;M52,$D$18:$D$2015,"&lt;"&amp;M53))</f>
        <v/>
      </c>
      <c r="O52" s="14" t="n"/>
      <c r="P52" s="16" t="n">
        <v>47</v>
      </c>
      <c r="Q52" s="124">
        <f>IF(P52="","",COUNTIFS($C$18:$C$2015,P$13,$D$18:$D$2015,"&gt;="&amp;P52,$D$18:$D$2015,"&lt;"&amp;P53))</f>
        <v/>
      </c>
      <c r="R52" s="14" t="n"/>
      <c r="S52" s="16" t="n">
        <v>84</v>
      </c>
      <c r="T52" s="124">
        <f>IF(S52="","",COUNTIFS($C$18:$C$2015,S$13,$D$18:$D$2015,"&gt;="&amp;S52,$D$18:$D$2015,"&lt;"&amp;S53))</f>
        <v/>
      </c>
      <c r="U52" s="14" t="n"/>
      <c r="V52" s="16" t="n"/>
      <c r="W52" s="124">
        <f>IF(V52="","",COUNTIFS($C$18:$C$2015,V$13,$D$18:$D$2015,"&gt;="&amp;V52,$D$18:$D$2015,"&lt;"&amp;V53))</f>
        <v/>
      </c>
      <c r="X52" s="14" t="n"/>
      <c r="Y52" s="16" t="n"/>
      <c r="Z52" s="124">
        <f>IF(Y52="","",COUNTIFS($C$18:$C$2015,Y$13,$D$18:$D$2015,"&gt;="&amp;Y52,$D$18:$D$2015,"&lt;"&amp;Y53))</f>
        <v/>
      </c>
      <c r="AA52" s="14" t="n"/>
      <c r="AB52" s="16" t="n">
        <v>47</v>
      </c>
      <c r="AC52" s="124">
        <f>IF(AB52="","",COUNTIFS($C$18:$C$2015,AB$13,$D$18:$D$2015,"&gt;="&amp;AB52,$D$18:$D$2015,"&lt;"&amp;AB53))</f>
        <v/>
      </c>
      <c r="AD52" s="14" t="n"/>
    </row>
    <row r="53">
      <c r="A53" s="58" t="n"/>
      <c r="B53" s="59" t="n"/>
      <c r="C53" s="59" t="n"/>
      <c r="E53" s="16" t="n"/>
      <c r="F53" s="13" t="n"/>
      <c r="G53" s="16" t="n">
        <v>48</v>
      </c>
      <c r="H53" s="124">
        <f>IF(G53="","",COUNTIFS($C$18:$C$2015,G$13,$D$18:$D$2015,"&gt;="&amp;G53,$D$18:$D$2015,"&lt;"&amp;G54))</f>
        <v/>
      </c>
      <c r="I53" s="14" t="n"/>
      <c r="J53" s="16" t="n"/>
      <c r="K53" s="124">
        <f>IF(J53="","",COUNTIFS($C$18:$C$2015,J$13,$D$18:$D$2015,"&gt;="&amp;J53,$D$18:$D$2015,"&lt;"&amp;J54))</f>
        <v/>
      </c>
      <c r="L53" s="14" t="n"/>
      <c r="M53" s="16" t="n">
        <v>86</v>
      </c>
      <c r="N53" s="124">
        <f>IF(M53="","",COUNTIFS($C$18:$C$2015,M$13,$D$18:$D$2015,"&gt;="&amp;M53,$D$18:$D$2015,"&lt;"&amp;M54))</f>
        <v/>
      </c>
      <c r="O53" s="14" t="n"/>
      <c r="P53" s="16" t="n">
        <v>48</v>
      </c>
      <c r="Q53" s="124">
        <f>IF(P53="","",COUNTIFS($C$18:$C$2015,P$13,$D$18:$D$2015,"&gt;="&amp;P53,$D$18:$D$2015,"&lt;"&amp;P54))</f>
        <v/>
      </c>
      <c r="R53" s="14" t="n"/>
      <c r="S53" s="16" t="n">
        <v>86</v>
      </c>
      <c r="T53" s="124">
        <f>IF(S53="","",COUNTIFS($C$18:$C$2015,S$13,$D$18:$D$2015,"&gt;="&amp;S53,$D$18:$D$2015,"&lt;"&amp;S54))</f>
        <v/>
      </c>
      <c r="U53" s="14" t="n"/>
      <c r="V53" s="16" t="n"/>
      <c r="W53" s="124">
        <f>IF(V53="","",COUNTIFS($C$18:$C$2015,V$13,$D$18:$D$2015,"&gt;="&amp;V53,$D$18:$D$2015,"&lt;"&amp;V54))</f>
        <v/>
      </c>
      <c r="X53" s="14" t="n"/>
      <c r="Y53" s="16" t="n"/>
      <c r="Z53" s="124">
        <f>IF(Y53="","",COUNTIFS($C$18:$C$2015,Y$13,$D$18:$D$2015,"&gt;="&amp;Y53,$D$18:$D$2015,"&lt;"&amp;Y54))</f>
        <v/>
      </c>
      <c r="AA53" s="14" t="n"/>
      <c r="AB53" s="16" t="n">
        <v>48</v>
      </c>
      <c r="AC53" s="124">
        <f>IF(AB53="","",COUNTIFS($C$18:$C$2015,AB$13,$D$18:$D$2015,"&gt;="&amp;AB53,$D$18:$D$2015,"&lt;"&amp;AB54))</f>
        <v/>
      </c>
      <c r="AD53" s="14" t="n"/>
    </row>
    <row r="54">
      <c r="A54" s="56" t="n"/>
      <c r="B54" s="59" t="n"/>
      <c r="C54" s="59" t="n"/>
      <c r="E54" s="16" t="n"/>
      <c r="F54" s="13" t="n"/>
      <c r="G54" s="16" t="n">
        <v>49</v>
      </c>
      <c r="H54" s="124">
        <f>IF(G54="","",COUNTIFS($C$18:$C$2015,G$13,$D$18:$D$2015,"&gt;="&amp;G54,$D$18:$D$2015,"&lt;"&amp;G55))</f>
        <v/>
      </c>
      <c r="I54" s="14" t="n"/>
      <c r="J54" s="16" t="n"/>
      <c r="K54" s="124">
        <f>IF(J54="","",COUNTIFS($C$18:$C$2015,J$13,$D$18:$D$2015,"&gt;="&amp;J54,$D$18:$D$2015,"&lt;"&amp;J55))</f>
        <v/>
      </c>
      <c r="L54" s="14" t="n"/>
      <c r="M54" s="16" t="n">
        <v>88</v>
      </c>
      <c r="N54" s="124">
        <f>IF(M54="","",COUNTIFS($C$18:$C$2015,M$13,$D$18:$D$2015,"&gt;="&amp;M54,$D$18:$D$2015,"&lt;"&amp;M55))</f>
        <v/>
      </c>
      <c r="O54" s="14" t="n"/>
      <c r="P54" s="16" t="n">
        <v>49</v>
      </c>
      <c r="Q54" s="124">
        <f>IF(P54="","",COUNTIFS($C$18:$C$2015,P$13,$D$18:$D$2015,"&gt;="&amp;P54,$D$18:$D$2015,"&lt;"&amp;P55))</f>
        <v/>
      </c>
      <c r="R54" s="14" t="n"/>
      <c r="S54" s="16" t="n">
        <v>88</v>
      </c>
      <c r="T54" s="124">
        <f>IF(S54="","",COUNTIFS($C$18:$C$2015,S$13,$D$18:$D$2015,"&gt;="&amp;S54,$D$18:$D$2015,"&lt;"&amp;S55))</f>
        <v/>
      </c>
      <c r="U54" s="14" t="n"/>
      <c r="V54" s="16" t="n"/>
      <c r="W54" s="124">
        <f>IF(V54="","",COUNTIFS($C$18:$C$2015,V$13,$D$18:$D$2015,"&gt;="&amp;V54,$D$18:$D$2015,"&lt;"&amp;V55))</f>
        <v/>
      </c>
      <c r="X54" s="14" t="n"/>
      <c r="Y54" s="16" t="n"/>
      <c r="Z54" s="124">
        <f>IF(Y54="","",COUNTIFS($C$18:$C$2015,Y$13,$D$18:$D$2015,"&gt;="&amp;Y54,$D$18:$D$2015,"&lt;"&amp;Y55))</f>
        <v/>
      </c>
      <c r="AA54" s="14" t="n"/>
      <c r="AB54" s="16" t="n">
        <v>49</v>
      </c>
      <c r="AC54" s="124">
        <f>IF(AB54="","",COUNTIFS($C$18:$C$2015,AB$13,$D$18:$D$2015,"&gt;="&amp;AB54,$D$18:$D$2015,"&lt;"&amp;AB55))</f>
        <v/>
      </c>
      <c r="AD54" s="14" t="n"/>
    </row>
    <row r="55">
      <c r="A55" s="58" t="n"/>
      <c r="B55" s="59" t="n"/>
      <c r="C55" s="59" t="n"/>
      <c r="E55" s="16" t="n"/>
      <c r="F55" s="13" t="n"/>
      <c r="G55" s="16" t="n">
        <v>50</v>
      </c>
      <c r="H55" s="124">
        <f>IF(G55="","",COUNTIFS($C$18:$C$2015,G$13,$D$18:$D$2015,"&gt;="&amp;G55,$D$18:$D$2015,"&lt;"&amp;G56))</f>
        <v/>
      </c>
      <c r="I55" s="14" t="n"/>
      <c r="J55" s="16" t="n"/>
      <c r="K55" s="124">
        <f>IF(J55="","",COUNTIFS($C$18:$C$2015,J$13,$D$18:$D$2015,"&gt;="&amp;J55,$D$18:$D$2015,"&lt;"&amp;J56))</f>
        <v/>
      </c>
      <c r="L55" s="14" t="n"/>
      <c r="M55" s="16" t="n">
        <v>90</v>
      </c>
      <c r="N55" s="124">
        <f>IF(M55="","",COUNTIFS($C$18:$C$2015,M$13,$D$18:$D$2015,"&gt;="&amp;M55,$D$18:$D$2015,"&lt;"&amp;M56))</f>
        <v/>
      </c>
      <c r="O55" s="14" t="n"/>
      <c r="P55" s="16" t="n">
        <v>50</v>
      </c>
      <c r="Q55" s="124">
        <f>IF(P55="","",COUNTIFS($C$18:$C$2015,P$13,$D$18:$D$2015,"&gt;="&amp;P55,$D$18:$D$2015,"&lt;"&amp;P56))</f>
        <v/>
      </c>
      <c r="R55" s="14" t="n"/>
      <c r="S55" s="16" t="n">
        <v>90</v>
      </c>
      <c r="T55" s="124">
        <f>IF(S55="","",COUNTIFS($C$18:$C$2015,S$13,$D$18:$D$2015,"&gt;="&amp;S55,$D$18:$D$2015,"&lt;"&amp;S56))</f>
        <v/>
      </c>
      <c r="U55" s="14" t="n"/>
      <c r="V55" s="16" t="n"/>
      <c r="W55" s="124">
        <f>IF(V55="","",COUNTIFS($C$18:$C$2015,V$13,$D$18:$D$2015,"&gt;="&amp;V55,$D$18:$D$2015,"&lt;"&amp;V56))</f>
        <v/>
      </c>
      <c r="X55" s="14" t="n"/>
      <c r="Y55" s="16" t="n"/>
      <c r="Z55" s="124">
        <f>IF(Y55="","",COUNTIFS($C$18:$C$2015,Y$13,$D$18:$D$2015,"&gt;="&amp;Y55,$D$18:$D$2015,"&lt;"&amp;Y56))</f>
        <v/>
      </c>
      <c r="AA55" s="14" t="n"/>
      <c r="AB55" s="16" t="n">
        <v>50</v>
      </c>
      <c r="AC55" s="124">
        <f>IF(AB55="","",COUNTIFS($C$18:$C$2015,AB$13,$D$18:$D$2015,"&gt;="&amp;AB55,$D$18:$D$2015,"&lt;"&amp;AB56))</f>
        <v/>
      </c>
      <c r="AD55" s="14" t="n"/>
    </row>
    <row r="56">
      <c r="A56" s="56" t="n"/>
      <c r="B56" s="59" t="n"/>
      <c r="C56" s="59" t="n"/>
      <c r="E56" s="16" t="n"/>
      <c r="F56" s="13" t="n"/>
      <c r="G56" s="16" t="n">
        <v>51</v>
      </c>
      <c r="H56" s="124">
        <f>IF(G56="","",COUNTIFS($C$18:$C$2015,G$13,$D$18:$D$2015,"&gt;="&amp;G56,$D$18:$D$2015,"&lt;"&amp;G57))</f>
        <v/>
      </c>
      <c r="I56" s="14" t="n"/>
      <c r="J56" s="16" t="n"/>
      <c r="K56" s="124">
        <f>IF(J56="","",COUNTIFS($C$18:$C$2015,J$13,$D$18:$D$2015,"&gt;="&amp;J56,$D$18:$D$2015,"&lt;"&amp;J57))</f>
        <v/>
      </c>
      <c r="L56" s="14" t="n"/>
      <c r="M56" s="16" t="n"/>
      <c r="N56" s="124">
        <f>IF(M56="","",COUNTIFS($C$18:$C$2015,M$13,$D$18:$D$2015,"&gt;="&amp;M56,$D$18:$D$2015,"&lt;"&amp;M57))</f>
        <v/>
      </c>
      <c r="O56" s="14" t="n"/>
      <c r="P56" s="16" t="n">
        <v>51</v>
      </c>
      <c r="Q56" s="124">
        <f>IF(P56="","",COUNTIFS($C$18:$C$2015,P$13,$D$18:$D$2015,"&gt;="&amp;P56,$D$18:$D$2015,"&lt;"&amp;P57))</f>
        <v/>
      </c>
      <c r="R56" s="14" t="n"/>
      <c r="S56" s="16" t="n">
        <v>92</v>
      </c>
      <c r="T56" s="124">
        <f>IF(S56="","",COUNTIFS($C$18:$C$2015,S$13,$D$18:$D$2015,"&gt;="&amp;S56,$D$18:$D$2015,"&lt;"&amp;S57))</f>
        <v/>
      </c>
      <c r="U56" s="14" t="n"/>
      <c r="V56" s="16" t="n"/>
      <c r="W56" s="124">
        <f>IF(V56="","",COUNTIFS($C$18:$C$2015,V$13,$D$18:$D$2015,"&gt;="&amp;V56,$D$18:$D$2015,"&lt;"&amp;V57))</f>
        <v/>
      </c>
      <c r="X56" s="14" t="n"/>
      <c r="Y56" s="16" t="n"/>
      <c r="Z56" s="124">
        <f>IF(Y56="","",COUNTIFS($C$18:$C$2015,Y$13,$D$18:$D$2015,"&gt;="&amp;Y56,$D$18:$D$2015,"&lt;"&amp;Y57))</f>
        <v/>
      </c>
      <c r="AA56" s="14" t="n"/>
      <c r="AB56" s="16" t="n">
        <v>51</v>
      </c>
      <c r="AC56" s="124">
        <f>IF(AB56="","",COUNTIFS($C$18:$C$2015,AB$13,$D$18:$D$2015,"&gt;="&amp;AB56,$D$18:$D$2015,"&lt;"&amp;AB57))</f>
        <v/>
      </c>
      <c r="AD56" s="14" t="n"/>
    </row>
    <row r="57">
      <c r="A57" s="58" t="n"/>
      <c r="B57" s="59" t="n"/>
      <c r="C57" s="59" t="n"/>
      <c r="E57" s="16" t="n"/>
      <c r="F57" s="13" t="n"/>
      <c r="G57" s="16" t="n">
        <v>52</v>
      </c>
      <c r="H57" s="124">
        <f>IF(G57="","",COUNTIFS($C$18:$C$2015,G$13,$D$18:$D$2015,"&gt;="&amp;G57,$D$18:$D$2015,"&lt;"&amp;G58))</f>
        <v/>
      </c>
      <c r="I57" s="14" t="n"/>
      <c r="J57" s="16" t="n"/>
      <c r="K57" s="124">
        <f>IF(J57="","",COUNTIFS($C$18:$C$2015,J$13,$D$18:$D$2015,"&gt;="&amp;J57,$D$18:$D$2015,"&lt;"&amp;J58))</f>
        <v/>
      </c>
      <c r="L57" s="14" t="n"/>
      <c r="M57" s="16" t="n"/>
      <c r="N57" s="124">
        <f>IF(M57="","",COUNTIFS($C$18:$C$2015,M$13,$D$18:$D$2015,"&gt;="&amp;M57,$D$18:$D$2015,"&lt;"&amp;M58))</f>
        <v/>
      </c>
      <c r="O57" s="14" t="n"/>
      <c r="P57" s="16" t="n">
        <v>52</v>
      </c>
      <c r="Q57" s="124">
        <f>IF(P57="","",COUNTIFS($C$18:$C$2015,P$13,$D$18:$D$2015,"&gt;="&amp;P57,$D$18:$D$2015,"&lt;"&amp;P58))</f>
        <v/>
      </c>
      <c r="R57" s="14" t="n"/>
      <c r="S57" s="16" t="n">
        <v>94</v>
      </c>
      <c r="T57" s="124">
        <f>IF(S57="","",COUNTIFS($C$18:$C$2015,S$13,$D$18:$D$2015,"&gt;="&amp;S57,$D$18:$D$2015,"&lt;"&amp;S58))</f>
        <v/>
      </c>
      <c r="U57" s="14" t="n"/>
      <c r="V57" s="16" t="n"/>
      <c r="W57" s="124">
        <f>IF(V57="","",COUNTIFS($C$18:$C$2015,V$13,$D$18:$D$2015,"&gt;="&amp;V57,$D$18:$D$2015,"&lt;"&amp;V58))</f>
        <v/>
      </c>
      <c r="X57" s="14" t="n"/>
      <c r="Y57" s="16" t="n"/>
      <c r="Z57" s="124">
        <f>IF(Y57="","",COUNTIFS($C$18:$C$2015,Y$13,$D$18:$D$2015,"&gt;="&amp;Y57,$D$18:$D$2015,"&lt;"&amp;Y58))</f>
        <v/>
      </c>
      <c r="AA57" s="14" t="n"/>
      <c r="AB57" s="16" t="n">
        <v>52</v>
      </c>
      <c r="AC57" s="124">
        <f>IF(AB57="","",COUNTIFS($C$18:$C$2015,AB$13,$D$18:$D$2015,"&gt;="&amp;AB57,$D$18:$D$2015,"&lt;"&amp;AB58))</f>
        <v/>
      </c>
      <c r="AD57" s="14" t="n"/>
    </row>
    <row r="58">
      <c r="A58" s="56" t="n"/>
      <c r="B58" s="59" t="n"/>
      <c r="C58" s="59" t="n"/>
      <c r="E58" s="16" t="n"/>
      <c r="F58" s="13" t="n"/>
      <c r="G58" s="16" t="n">
        <v>53</v>
      </c>
      <c r="H58" s="124">
        <f>IF(G58="","",COUNTIFS($C$18:$C$2015,G$13,$D$18:$D$2015,"&gt;="&amp;G58,$D$18:$D$2015,"&lt;"&amp;G59))</f>
        <v/>
      </c>
      <c r="I58" s="14" t="n"/>
      <c r="J58" s="16" t="n"/>
      <c r="K58" s="124">
        <f>IF(J58="","",COUNTIFS($C$18:$C$2015,J$13,$D$18:$D$2015,"&gt;="&amp;J58,$D$18:$D$2015,"&lt;"&amp;J59))</f>
        <v/>
      </c>
      <c r="L58" s="14" t="n"/>
      <c r="M58" s="16" t="n"/>
      <c r="N58" s="124">
        <f>IF(M58="","",COUNTIFS($C$18:$C$2015,M$13,$D$18:$D$2015,"&gt;="&amp;M58,$D$18:$D$2015,"&lt;"&amp;M59))</f>
        <v/>
      </c>
      <c r="O58" s="14" t="n"/>
      <c r="P58" s="16" t="n">
        <v>53</v>
      </c>
      <c r="Q58" s="124">
        <f>IF(P58="","",COUNTIFS($C$18:$C$2015,P$13,$D$18:$D$2015,"&gt;="&amp;P58,$D$18:$D$2015,"&lt;"&amp;P59))</f>
        <v/>
      </c>
      <c r="R58" s="14" t="n"/>
      <c r="S58" s="16" t="n">
        <v>96</v>
      </c>
      <c r="T58" s="124">
        <f>IF(S58="","",COUNTIFS($C$18:$C$2015,S$13,$D$18:$D$2015,"&gt;="&amp;S58,$D$18:$D$2015,"&lt;"&amp;S59))</f>
        <v/>
      </c>
      <c r="U58" s="14" t="n"/>
      <c r="V58" s="16" t="n"/>
      <c r="W58" s="124">
        <f>IF(V58="","",COUNTIFS($C$18:$C$2015,V$13,$D$18:$D$2015,"&gt;="&amp;V58,$D$18:$D$2015,"&lt;"&amp;V59))</f>
        <v/>
      </c>
      <c r="X58" s="14" t="n"/>
      <c r="Y58" s="16" t="n"/>
      <c r="Z58" s="124">
        <f>IF(Y58="","",COUNTIFS($C$18:$C$2015,Y$13,$D$18:$D$2015,"&gt;="&amp;Y58,$D$18:$D$2015,"&lt;"&amp;Y59))</f>
        <v/>
      </c>
      <c r="AA58" s="14" t="n"/>
      <c r="AB58" s="16" t="n">
        <v>53</v>
      </c>
      <c r="AC58" s="124">
        <f>IF(AB58="","",COUNTIFS($C$18:$C$2015,AB$13,$D$18:$D$2015,"&gt;="&amp;AB58,$D$18:$D$2015,"&lt;"&amp;AB59))</f>
        <v/>
      </c>
      <c r="AD58" s="14" t="n"/>
    </row>
    <row r="59">
      <c r="A59" s="58" t="n"/>
      <c r="B59" s="59" t="n"/>
      <c r="C59" s="59" t="n"/>
      <c r="E59" s="16" t="n"/>
      <c r="F59" s="13" t="n"/>
      <c r="G59" s="16" t="n">
        <v>54</v>
      </c>
      <c r="H59" s="124">
        <f>IF(G59="","",COUNTIFS($C$18:$C$2015,G$13,$D$18:$D$2015,"&gt;="&amp;G59,$D$18:$D$2015,"&lt;"&amp;G60))</f>
        <v/>
      </c>
      <c r="I59" s="14" t="n"/>
      <c r="J59" s="16" t="n"/>
      <c r="K59" s="124">
        <f>IF(J59="","",COUNTIFS($C$18:$C$2015,J$13,$D$18:$D$2015,"&gt;="&amp;J59,$D$18:$D$2015,"&lt;"&amp;J60))</f>
        <v/>
      </c>
      <c r="L59" s="14" t="n"/>
      <c r="M59" s="16" t="n"/>
      <c r="N59" s="124">
        <f>IF(M59="","",COUNTIFS($C$18:$C$2015,M$13,$D$18:$D$2015,"&gt;="&amp;M59,$D$18:$D$2015,"&lt;"&amp;M60))</f>
        <v/>
      </c>
      <c r="O59" s="14" t="n"/>
      <c r="P59" s="16" t="n">
        <v>54</v>
      </c>
      <c r="Q59" s="124">
        <f>IF(P59="","",COUNTIFS($C$18:$C$2015,P$13,$D$18:$D$2015,"&gt;="&amp;P59,$D$18:$D$2015,"&lt;"&amp;P60))</f>
        <v/>
      </c>
      <c r="R59" s="14" t="n"/>
      <c r="S59" s="16" t="n">
        <v>98</v>
      </c>
      <c r="T59" s="124">
        <f>IF(S59="","",COUNTIFS($C$18:$C$2015,S$13,$D$18:$D$2015,"&gt;="&amp;S59,$D$18:$D$2015,"&lt;"&amp;S60))</f>
        <v/>
      </c>
      <c r="U59" s="14" t="n"/>
      <c r="V59" s="16" t="n"/>
      <c r="W59" s="124">
        <f>IF(V59="","",COUNTIFS($C$18:$C$2015,V$13,$D$18:$D$2015,"&gt;="&amp;V59,$D$18:$D$2015,"&lt;"&amp;V60))</f>
        <v/>
      </c>
      <c r="X59" s="14" t="n"/>
      <c r="Y59" s="16" t="n"/>
      <c r="Z59" s="124">
        <f>IF(Y59="","",COUNTIFS($C$18:$C$2015,Y$13,$D$18:$D$2015,"&gt;="&amp;Y59,$D$18:$D$2015,"&lt;"&amp;Y60))</f>
        <v/>
      </c>
      <c r="AA59" s="14" t="n"/>
      <c r="AB59" s="16" t="n">
        <v>54</v>
      </c>
      <c r="AC59" s="124">
        <f>IF(AB59="","",COUNTIFS($C$18:$C$2015,AB$13,$D$18:$D$2015,"&gt;="&amp;AB59,$D$18:$D$2015,"&lt;"&amp;AB60))</f>
        <v/>
      </c>
      <c r="AD59" s="14" t="n"/>
    </row>
    <row r="60">
      <c r="A60" s="56" t="n"/>
      <c r="B60" s="59" t="n"/>
      <c r="C60" s="59" t="n"/>
      <c r="E60" s="16" t="n"/>
      <c r="F60" s="13" t="n"/>
      <c r="G60" s="16" t="n">
        <v>55</v>
      </c>
      <c r="H60" s="124">
        <f>IF(G60="","",COUNTIFS($C$18:$C$2015,G$13,$D$18:$D$2015,"&gt;="&amp;G60,$D$18:$D$2015,"&lt;"&amp;G61))</f>
        <v/>
      </c>
      <c r="I60" s="14" t="n"/>
      <c r="J60" s="16" t="n"/>
      <c r="K60" s="124">
        <f>IF(J60="","",COUNTIFS($C$18:$C$2015,J$13,$D$18:$D$2015,"&gt;="&amp;J60,$D$18:$D$2015,"&lt;"&amp;J61))</f>
        <v/>
      </c>
      <c r="L60" s="14" t="n"/>
      <c r="M60" s="16" t="n"/>
      <c r="N60" s="124">
        <f>IF(M60="","",COUNTIFS($C$18:$C$2015,M$13,$D$18:$D$2015,"&gt;="&amp;M60,$D$18:$D$2015,"&lt;"&amp;M61))</f>
        <v/>
      </c>
      <c r="O60" s="14" t="n"/>
      <c r="P60" s="16" t="n">
        <v>55</v>
      </c>
      <c r="Q60" s="124">
        <f>IF(P60="","",COUNTIFS($C$18:$C$2015,P$13,$D$18:$D$2015,"&gt;="&amp;P60,$D$18:$D$2015,"&lt;"&amp;P61))</f>
        <v/>
      </c>
      <c r="R60" s="14" t="n"/>
      <c r="S60" s="16" t="n">
        <v>100</v>
      </c>
      <c r="T60" s="124">
        <f>IF(S60="","",COUNTIFS($C$18:$C$2015,S$13,$D$18:$D$2015,"&gt;="&amp;S60,$D$18:$D$2015,"&lt;"&amp;S61))</f>
        <v/>
      </c>
      <c r="U60" s="14" t="n"/>
      <c r="V60" s="16" t="n"/>
      <c r="W60" s="124">
        <f>IF(V60="","",COUNTIFS($C$18:$C$2015,V$13,$D$18:$D$2015,"&gt;="&amp;V60,$D$18:$D$2015,"&lt;"&amp;V61))</f>
        <v/>
      </c>
      <c r="X60" s="14" t="n"/>
      <c r="Y60" s="16" t="n"/>
      <c r="Z60" s="124">
        <f>IF(Y60="","",COUNTIFS($C$18:$C$2015,Y$13,$D$18:$D$2015,"&gt;="&amp;Y60,$D$18:$D$2015,"&lt;"&amp;Y61))</f>
        <v/>
      </c>
      <c r="AA60" s="14" t="n"/>
      <c r="AB60" s="16" t="n">
        <v>55</v>
      </c>
      <c r="AC60" s="124">
        <f>IF(AB60="","",COUNTIFS($C$18:$C$2015,AB$13,$D$18:$D$2015,"&gt;="&amp;AB60,$D$18:$D$2015,"&lt;"&amp;AB61))</f>
        <v/>
      </c>
      <c r="AD60" s="14" t="n"/>
    </row>
    <row r="61">
      <c r="A61" s="58" t="n"/>
      <c r="B61" s="59" t="n"/>
      <c r="C61" s="59" t="n"/>
      <c r="E61" s="16" t="n"/>
      <c r="F61" s="13" t="n"/>
      <c r="G61" s="16" t="n">
        <v>56</v>
      </c>
      <c r="H61" s="124">
        <f>IF(G61="","",COUNTIFS($C$18:$C$2015,G$13,$D$18:$D$2015,"&gt;="&amp;G61,$D$18:$D$2015,"&lt;"&amp;G62))</f>
        <v/>
      </c>
      <c r="I61" s="14" t="n"/>
      <c r="J61" s="16" t="n"/>
      <c r="K61" s="124">
        <f>IF(J61="","",COUNTIFS($C$18:$C$2015,J$13,$D$18:$D$2015,"&gt;="&amp;J61,$D$18:$D$2015,"&lt;"&amp;J62))</f>
        <v/>
      </c>
      <c r="L61" s="14" t="n"/>
      <c r="M61" s="16" t="n"/>
      <c r="N61" s="124">
        <f>IF(M61="","",COUNTIFS($C$18:$C$2015,M$13,$D$18:$D$2015,"&gt;="&amp;M61,$D$18:$D$2015,"&lt;"&amp;M62))</f>
        <v/>
      </c>
      <c r="O61" s="14" t="n"/>
      <c r="P61" s="16" t="n">
        <v>56</v>
      </c>
      <c r="Q61" s="124">
        <f>IF(P61="","",COUNTIFS($C$18:$C$2015,P$13,$D$18:$D$2015,"&gt;="&amp;P61,$D$18:$D$2015,"&lt;"&amp;P62))</f>
        <v/>
      </c>
      <c r="R61" s="14" t="n"/>
      <c r="S61" s="16" t="n"/>
      <c r="T61" s="124">
        <f>IF(S61="","",COUNTIFS($C$18:$C$2015,S$13,$D$18:$D$2015,"&gt;="&amp;S61,$D$18:$D$2015,"&lt;"&amp;S62))</f>
        <v/>
      </c>
      <c r="U61" s="14" t="n"/>
      <c r="V61" s="16" t="n"/>
      <c r="W61" s="124">
        <f>IF(V61="","",COUNTIFS($C$18:$C$2015,V$13,$D$18:$D$2015,"&gt;="&amp;V61,$D$18:$D$2015,"&lt;"&amp;V62))</f>
        <v/>
      </c>
      <c r="X61" s="14" t="n"/>
      <c r="Y61" s="16" t="n"/>
      <c r="Z61" s="124">
        <f>IF(Y61="","",COUNTIFS($C$18:$C$2015,Y$13,$D$18:$D$2015,"&gt;="&amp;Y61,$D$18:$D$2015,"&lt;"&amp;Y62))</f>
        <v/>
      </c>
      <c r="AA61" s="14" t="n"/>
      <c r="AB61" s="16" t="n">
        <v>56</v>
      </c>
      <c r="AC61" s="124">
        <f>IF(AB61="","",COUNTIFS($C$18:$C$2015,AB$13,$D$18:$D$2015,"&gt;="&amp;AB61,$D$18:$D$2015,"&lt;"&amp;AB62))</f>
        <v/>
      </c>
      <c r="AD61" s="14" t="n"/>
    </row>
    <row r="62">
      <c r="A62" s="56" t="n"/>
      <c r="B62" s="59" t="n"/>
      <c r="C62" s="59" t="n"/>
      <c r="E62" s="16" t="n"/>
      <c r="F62" s="13" t="n"/>
      <c r="G62" s="16" t="n">
        <v>57</v>
      </c>
      <c r="H62" s="124">
        <f>IF(G62="","",COUNTIFS($C$18:$C$2015,G$13,$D$18:$D$2015,"&gt;="&amp;G62,$D$18:$D$2015,"&lt;"&amp;G63))</f>
        <v/>
      </c>
      <c r="I62" s="14" t="n"/>
      <c r="J62" s="16" t="n"/>
      <c r="K62" s="124">
        <f>IF(J62="","",COUNTIFS($C$18:$C$2015,J$13,$D$18:$D$2015,"&gt;="&amp;J62,$D$18:$D$2015,"&lt;"&amp;J63))</f>
        <v/>
      </c>
      <c r="L62" s="14" t="n"/>
      <c r="M62" s="16" t="n"/>
      <c r="N62" s="124">
        <f>IF(M62="","",COUNTIFS($C$18:$C$2015,M$13,$D$18:$D$2015,"&gt;="&amp;M62,$D$18:$D$2015,"&lt;"&amp;M63))</f>
        <v/>
      </c>
      <c r="O62" s="14" t="n"/>
      <c r="P62" s="16" t="n">
        <v>57</v>
      </c>
      <c r="Q62" s="124">
        <f>IF(P62="","",COUNTIFS($C$18:$C$2015,P$13,$D$18:$D$2015,"&gt;="&amp;P62,$D$18:$D$2015,"&lt;"&amp;P63))</f>
        <v/>
      </c>
      <c r="R62" s="14" t="n"/>
      <c r="S62" s="16" t="n"/>
      <c r="T62" s="124">
        <f>IF(S62="","",COUNTIFS($C$18:$C$2015,S$13,$D$18:$D$2015,"&gt;="&amp;S62,$D$18:$D$2015,"&lt;"&amp;S63))</f>
        <v/>
      </c>
      <c r="U62" s="14" t="n"/>
      <c r="V62" s="16" t="n"/>
      <c r="W62" s="124">
        <f>IF(V62="","",COUNTIFS($C$18:$C$2015,V$13,$D$18:$D$2015,"&gt;="&amp;V62,$D$18:$D$2015,"&lt;"&amp;V63))</f>
        <v/>
      </c>
      <c r="X62" s="14" t="n"/>
      <c r="Y62" s="16" t="n"/>
      <c r="Z62" s="124">
        <f>IF(Y62="","",COUNTIFS($C$18:$C$2015,Y$13,$D$18:$D$2015,"&gt;="&amp;Y62,$D$18:$D$2015,"&lt;"&amp;Y63))</f>
        <v/>
      </c>
      <c r="AA62" s="14" t="n"/>
      <c r="AB62" s="16" t="n">
        <v>57</v>
      </c>
      <c r="AC62" s="124">
        <f>IF(AB62="","",COUNTIFS($C$18:$C$2015,AB$13,$D$18:$D$2015,"&gt;="&amp;AB62,$D$18:$D$2015,"&lt;"&amp;AB63))</f>
        <v/>
      </c>
      <c r="AD62" s="14" t="n"/>
    </row>
    <row r="63">
      <c r="A63" s="58" t="n"/>
      <c r="B63" s="59" t="n"/>
      <c r="C63" s="59" t="n"/>
      <c r="E63" s="16" t="n"/>
      <c r="F63" s="13" t="n"/>
      <c r="G63" s="16" t="n">
        <v>58</v>
      </c>
      <c r="H63" s="124">
        <f>IF(G63="","",COUNTIFS($C$18:$C$2015,G$13,$D$18:$D$2015,"&gt;="&amp;G63,$D$18:$D$2015,"&lt;"&amp;G64))</f>
        <v/>
      </c>
      <c r="I63" s="14" t="n"/>
      <c r="J63" s="16" t="n"/>
      <c r="K63" s="124">
        <f>IF(J63="","",COUNTIFS($C$18:$C$2015,J$13,$D$18:$D$2015,"&gt;="&amp;J63,$D$18:$D$2015,"&lt;"&amp;J64))</f>
        <v/>
      </c>
      <c r="L63" s="14" t="n"/>
      <c r="M63" s="16" t="n"/>
      <c r="N63" s="124">
        <f>IF(M63="","",COUNTIFS($C$18:$C$2015,M$13,$D$18:$D$2015,"&gt;="&amp;M63,$D$18:$D$2015,"&lt;"&amp;M64))</f>
        <v/>
      </c>
      <c r="O63" s="14" t="n"/>
      <c r="P63" s="16" t="n">
        <v>58</v>
      </c>
      <c r="Q63" s="124">
        <f>IF(P63="","",COUNTIFS($C$18:$C$2015,P$13,$D$18:$D$2015,"&gt;="&amp;P63,$D$18:$D$2015,"&lt;"&amp;P64))</f>
        <v/>
      </c>
      <c r="R63" s="14" t="n"/>
      <c r="S63" s="16" t="n"/>
      <c r="T63" s="124">
        <f>IF(S63="","",COUNTIFS($C$18:$C$2015,S$13,$D$18:$D$2015,"&gt;="&amp;S63,$D$18:$D$2015,"&lt;"&amp;S64))</f>
        <v/>
      </c>
      <c r="U63" s="14" t="n"/>
      <c r="V63" s="16" t="n"/>
      <c r="W63" s="124">
        <f>IF(V63="","",COUNTIFS($C$18:$C$2015,V$13,$D$18:$D$2015,"&gt;="&amp;V63,$D$18:$D$2015,"&lt;"&amp;V64))</f>
        <v/>
      </c>
      <c r="X63" s="14" t="n"/>
      <c r="Y63" s="16" t="n"/>
      <c r="Z63" s="124">
        <f>IF(Y63="","",COUNTIFS($C$18:$C$2015,Y$13,$D$18:$D$2015,"&gt;="&amp;Y63,$D$18:$D$2015,"&lt;"&amp;Y64))</f>
        <v/>
      </c>
      <c r="AA63" s="14" t="n"/>
      <c r="AB63" s="16" t="n">
        <v>58</v>
      </c>
      <c r="AC63" s="124">
        <f>IF(AB63="","",COUNTIFS($C$18:$C$2015,AB$13,$D$18:$D$2015,"&gt;="&amp;AB63,$D$18:$D$2015,"&lt;"&amp;AB64))</f>
        <v/>
      </c>
      <c r="AD63" s="14" t="n"/>
    </row>
    <row r="64">
      <c r="A64" s="56" t="n"/>
      <c r="B64" s="59" t="n"/>
      <c r="C64" s="59" t="n"/>
      <c r="E64" s="16" t="n"/>
      <c r="F64" s="13" t="n"/>
      <c r="G64" s="16" t="n">
        <v>59</v>
      </c>
      <c r="H64" s="124">
        <f>IF(G64="","",COUNTIFS($C$18:$C$2015,G$13,$D$18:$D$2015,"&gt;="&amp;G64,$D$18:$D$2015,"&lt;"&amp;G65))</f>
        <v/>
      </c>
      <c r="I64" s="14" t="n"/>
      <c r="J64" s="16" t="n"/>
      <c r="K64" s="124">
        <f>IF(J64="","",COUNTIFS($C$18:$C$2015,J$13,$D$18:$D$2015,"&gt;="&amp;J64,$D$18:$D$2015,"&lt;"&amp;J65))</f>
        <v/>
      </c>
      <c r="L64" s="14" t="n"/>
      <c r="M64" s="16" t="n"/>
      <c r="N64" s="124">
        <f>IF(M64="","",COUNTIFS($C$18:$C$2015,M$13,$D$18:$D$2015,"&gt;="&amp;M64,$D$18:$D$2015,"&lt;"&amp;M65))</f>
        <v/>
      </c>
      <c r="O64" s="14" t="n"/>
      <c r="P64" s="16" t="n">
        <v>59</v>
      </c>
      <c r="Q64" s="124">
        <f>IF(P64="","",COUNTIFS($C$18:$C$2015,P$13,$D$18:$D$2015,"&gt;="&amp;P64,$D$18:$D$2015,"&lt;"&amp;P65))</f>
        <v/>
      </c>
      <c r="R64" s="14" t="n"/>
      <c r="S64" s="16" t="n"/>
      <c r="T64" s="124">
        <f>IF(S64="","",COUNTIFS($C$18:$C$2015,S$13,$D$18:$D$2015,"&gt;="&amp;S64,$D$18:$D$2015,"&lt;"&amp;S65))</f>
        <v/>
      </c>
      <c r="U64" s="14" t="n"/>
      <c r="V64" s="16" t="n"/>
      <c r="W64" s="124">
        <f>IF(V64="","",COUNTIFS($C$18:$C$2015,V$13,$D$18:$D$2015,"&gt;="&amp;V64,$D$18:$D$2015,"&lt;"&amp;V65))</f>
        <v/>
      </c>
      <c r="X64" s="14" t="n"/>
      <c r="Y64" s="16" t="n"/>
      <c r="Z64" s="124">
        <f>IF(Y64="","",COUNTIFS($C$18:$C$2015,Y$13,$D$18:$D$2015,"&gt;="&amp;Y64,$D$18:$D$2015,"&lt;"&amp;Y65))</f>
        <v/>
      </c>
      <c r="AA64" s="14" t="n"/>
      <c r="AB64" s="16" t="n">
        <v>59</v>
      </c>
      <c r="AC64" s="124">
        <f>IF(AB64="","",COUNTIFS($C$18:$C$2015,AB$13,$D$18:$D$2015,"&gt;="&amp;AB64,$D$18:$D$2015,"&lt;"&amp;AB65))</f>
        <v/>
      </c>
      <c r="AD64" s="14" t="n"/>
    </row>
    <row r="65">
      <c r="A65" s="58" t="n"/>
      <c r="B65" s="59" t="n"/>
      <c r="C65" s="59" t="n"/>
      <c r="E65" s="16" t="n"/>
      <c r="F65" s="13" t="n"/>
      <c r="G65" s="16" t="n">
        <v>60</v>
      </c>
      <c r="H65" s="124">
        <f>IF(G65="","",COUNTIFS($C$18:$C$2015,G$13,$D$18:$D$2015,"&gt;="&amp;G65,$D$18:$D$2015,"&lt;"&amp;G66))</f>
        <v/>
      </c>
      <c r="I65" s="14" t="n"/>
      <c r="J65" s="16" t="n"/>
      <c r="K65" s="124">
        <f>IF(J65="","",COUNTIFS($C$18:$C$2015,J$13,$D$18:$D$2015,"&gt;="&amp;J65,$D$18:$D$2015,"&lt;"&amp;J66))</f>
        <v/>
      </c>
      <c r="L65" s="14" t="n"/>
      <c r="M65" s="16" t="n"/>
      <c r="N65" s="124">
        <f>IF(M65="","",COUNTIFS($C$18:$C$2015,M$13,$D$18:$D$2015,"&gt;="&amp;M65,$D$18:$D$2015,"&lt;"&amp;M66))</f>
        <v/>
      </c>
      <c r="O65" s="14" t="n"/>
      <c r="P65" s="16" t="n">
        <v>60</v>
      </c>
      <c r="Q65" s="124">
        <f>IF(P65="","",COUNTIFS($C$18:$C$2015,P$13,$D$18:$D$2015,"&gt;="&amp;P65,$D$18:$D$2015,"&lt;"&amp;P66))</f>
        <v/>
      </c>
      <c r="R65" s="14" t="n"/>
      <c r="S65" s="16" t="n"/>
      <c r="T65" s="124">
        <f>IF(S65="","",COUNTIFS($C$18:$C$2015,S$13,$D$18:$D$2015,"&gt;="&amp;S65,$D$18:$D$2015,"&lt;"&amp;S66))</f>
        <v/>
      </c>
      <c r="U65" s="14" t="n"/>
      <c r="V65" s="16" t="n"/>
      <c r="W65" s="124">
        <f>IF(V65="","",COUNTIFS($C$18:$C$2015,V$13,$D$18:$D$2015,"&gt;="&amp;V65,$D$18:$D$2015,"&lt;"&amp;V66))</f>
        <v/>
      </c>
      <c r="X65" s="14" t="n"/>
      <c r="Y65" s="16" t="n"/>
      <c r="Z65" s="124">
        <f>IF(Y65="","",COUNTIFS($C$18:$C$2015,Y$13,$D$18:$D$2015,"&gt;="&amp;Y65,$D$18:$D$2015,"&lt;"&amp;Y66))</f>
        <v/>
      </c>
      <c r="AA65" s="14" t="n"/>
      <c r="AB65" s="16" t="n">
        <v>60</v>
      </c>
      <c r="AC65" s="124">
        <f>IF(AB65="","",COUNTIFS($C$18:$C$2015,AB$13,$D$18:$D$2015,"&gt;="&amp;AB65,$D$18:$D$2015,"&lt;"&amp;AB66))</f>
        <v/>
      </c>
      <c r="AD65" s="14" t="n"/>
    </row>
    <row r="66">
      <c r="A66" s="56" t="n"/>
      <c r="B66" s="59" t="n"/>
      <c r="C66" s="59" t="n"/>
      <c r="E66" s="16" t="n"/>
      <c r="F66" s="13" t="n"/>
      <c r="G66" s="16" t="n">
        <v>61</v>
      </c>
      <c r="H66" s="124">
        <f>IF(G66="","",COUNTIFS($C$18:$C$2015,G$13,$D$18:$D$2015,"&gt;="&amp;G66,$D$18:$D$2015,"&lt;"&amp;G67))</f>
        <v/>
      </c>
      <c r="I66" s="14" t="n"/>
      <c r="J66" s="16" t="n"/>
      <c r="K66" s="124">
        <f>IF(J66="","",COUNTIFS($C$18:$C$2015,J$13,$D$18:$D$2015,"&gt;="&amp;J66,$D$18:$D$2015,"&lt;"&amp;J67))</f>
        <v/>
      </c>
      <c r="L66" s="14" t="n"/>
      <c r="M66" s="16" t="n"/>
      <c r="N66" s="124">
        <f>IF(M66="","",COUNTIFS($C$18:$C$2015,M$13,$D$18:$D$2015,"&gt;="&amp;M66,$D$18:$D$2015,"&lt;"&amp;M67))</f>
        <v/>
      </c>
      <c r="O66" s="14" t="n"/>
      <c r="P66" s="16" t="n">
        <v>61</v>
      </c>
      <c r="Q66" s="124">
        <f>IF(P66="","",COUNTIFS($C$18:$C$2015,P$13,$D$18:$D$2015,"&gt;="&amp;P66,$D$18:$D$2015,"&lt;"&amp;P67))</f>
        <v/>
      </c>
      <c r="R66" s="14" t="n"/>
      <c r="S66" s="16" t="n"/>
      <c r="T66" s="124">
        <f>IF(S66="","",COUNTIFS($C$18:$C$2015,S$13,$D$18:$D$2015,"&gt;="&amp;S66,$D$18:$D$2015,"&lt;"&amp;S67))</f>
        <v/>
      </c>
      <c r="U66" s="14" t="n"/>
      <c r="V66" s="16" t="n"/>
      <c r="W66" s="124">
        <f>IF(V66="","",COUNTIFS($C$18:$C$2015,V$13,$D$18:$D$2015,"&gt;="&amp;V66,$D$18:$D$2015,"&lt;"&amp;V67))</f>
        <v/>
      </c>
      <c r="X66" s="14" t="n"/>
      <c r="Y66" s="16" t="n"/>
      <c r="Z66" s="124">
        <f>IF(Y66="","",COUNTIFS($C$18:$C$2015,Y$13,$D$18:$D$2015,"&gt;="&amp;Y66,$D$18:$D$2015,"&lt;"&amp;Y67))</f>
        <v/>
      </c>
      <c r="AA66" s="14" t="n"/>
      <c r="AB66" s="16" t="n">
        <v>61</v>
      </c>
      <c r="AC66" s="124">
        <f>IF(AB66="","",COUNTIFS($C$18:$C$2015,AB$13,$D$18:$D$2015,"&gt;="&amp;AB66,$D$18:$D$2015,"&lt;"&amp;AB67))</f>
        <v/>
      </c>
      <c r="AD66" s="14" t="n"/>
    </row>
    <row r="67">
      <c r="A67" s="58" t="n"/>
      <c r="B67" s="59" t="n"/>
      <c r="C67" s="59" t="n"/>
      <c r="E67" s="16" t="n"/>
      <c r="F67" s="13" t="n"/>
      <c r="G67" s="16" t="n">
        <v>62</v>
      </c>
      <c r="H67" s="124">
        <f>IF(G67="","",COUNTIFS($C$18:$C$2015,G$13,$D$18:$D$2015,"&gt;="&amp;G67,$D$18:$D$2015,"&lt;"&amp;G68))</f>
        <v/>
      </c>
      <c r="I67" s="14" t="n"/>
      <c r="J67" s="16" t="n"/>
      <c r="K67" s="124">
        <f>IF(J67="","",COUNTIFS($C$18:$C$2015,J$13,$D$18:$D$2015,"&gt;="&amp;J67,$D$18:$D$2015,"&lt;"&amp;J68))</f>
        <v/>
      </c>
      <c r="L67" s="14" t="n"/>
      <c r="M67" s="16" t="n"/>
      <c r="N67" s="124">
        <f>IF(M67="","",COUNTIFS($C$18:$C$2015,M$13,$D$18:$D$2015,"&gt;="&amp;M67,$D$18:$D$2015,"&lt;"&amp;M68))</f>
        <v/>
      </c>
      <c r="O67" s="14" t="n"/>
      <c r="P67" s="16" t="n">
        <v>62</v>
      </c>
      <c r="Q67" s="124">
        <f>IF(P67="","",COUNTIFS($C$18:$C$2015,P$13,$D$18:$D$2015,"&gt;="&amp;P67,$D$18:$D$2015,"&lt;"&amp;P68))</f>
        <v/>
      </c>
      <c r="R67" s="14" t="n"/>
      <c r="S67" s="16" t="n"/>
      <c r="T67" s="124">
        <f>IF(S67="","",COUNTIFS($C$18:$C$2015,S$13,$D$18:$D$2015,"&gt;="&amp;S67,$D$18:$D$2015,"&lt;"&amp;S68))</f>
        <v/>
      </c>
      <c r="U67" s="14" t="n"/>
      <c r="V67" s="16" t="n"/>
      <c r="W67" s="124">
        <f>IF(V67="","",COUNTIFS($C$18:$C$2015,V$13,$D$18:$D$2015,"&gt;="&amp;V67,$D$18:$D$2015,"&lt;"&amp;V68))</f>
        <v/>
      </c>
      <c r="X67" s="14" t="n"/>
      <c r="Y67" s="16" t="n"/>
      <c r="Z67" s="124">
        <f>IF(Y67="","",COUNTIFS($C$18:$C$2015,Y$13,$D$18:$D$2015,"&gt;="&amp;Y67,$D$18:$D$2015,"&lt;"&amp;Y68))</f>
        <v/>
      </c>
      <c r="AA67" s="14" t="n"/>
      <c r="AB67" s="16" t="n">
        <v>62</v>
      </c>
      <c r="AC67" s="124">
        <f>IF(AB67="","",COUNTIFS($C$18:$C$2015,AB$13,$D$18:$D$2015,"&gt;="&amp;AB67,$D$18:$D$2015,"&lt;"&amp;AB68))</f>
        <v/>
      </c>
      <c r="AD67" s="14" t="n"/>
    </row>
    <row r="68">
      <c r="A68" s="56" t="n"/>
      <c r="B68" s="59" t="n"/>
      <c r="C68" s="59" t="n"/>
      <c r="E68" s="16" t="n"/>
      <c r="F68" s="13" t="n"/>
      <c r="G68" s="16" t="n">
        <v>63</v>
      </c>
      <c r="H68" s="124">
        <f>IF(G68="","",COUNTIFS($C$18:$C$2015,G$13,$D$18:$D$2015,"&gt;="&amp;G68,$D$18:$D$2015,"&lt;"&amp;G69))</f>
        <v/>
      </c>
      <c r="I68" s="14" t="n"/>
      <c r="J68" s="16" t="n"/>
      <c r="K68" s="124">
        <f>IF(J68="","",COUNTIFS($C$18:$C$2015,J$13,$D$18:$D$2015,"&gt;="&amp;J68,$D$18:$D$2015,"&lt;"&amp;J69))</f>
        <v/>
      </c>
      <c r="L68" s="14" t="n"/>
      <c r="M68" s="16" t="n"/>
      <c r="N68" s="124">
        <f>IF(M68="","",COUNTIFS($C$18:$C$2015,M$13,$D$18:$D$2015,"&gt;="&amp;M68,$D$18:$D$2015,"&lt;"&amp;M69))</f>
        <v/>
      </c>
      <c r="O68" s="14" t="n"/>
      <c r="P68" s="16" t="n">
        <v>63</v>
      </c>
      <c r="Q68" s="124">
        <f>IF(P68="","",COUNTIFS($C$18:$C$2015,P$13,$D$18:$D$2015,"&gt;="&amp;P68,$D$18:$D$2015,"&lt;"&amp;P69))</f>
        <v/>
      </c>
      <c r="R68" s="14" t="n"/>
      <c r="S68" s="16" t="n"/>
      <c r="T68" s="124">
        <f>IF(S68="","",COUNTIFS($C$18:$C$2015,S$13,$D$18:$D$2015,"&gt;="&amp;S68,$D$18:$D$2015,"&lt;"&amp;S69))</f>
        <v/>
      </c>
      <c r="U68" s="14" t="n"/>
      <c r="V68" s="16" t="n"/>
      <c r="W68" s="124">
        <f>IF(V68="","",COUNTIFS($C$18:$C$2015,V$13,$D$18:$D$2015,"&gt;="&amp;V68,$D$18:$D$2015,"&lt;"&amp;V69))</f>
        <v/>
      </c>
      <c r="X68" s="14" t="n"/>
      <c r="Y68" s="16" t="n"/>
      <c r="Z68" s="124">
        <f>IF(Y68="","",COUNTIFS($C$18:$C$2015,Y$13,$D$18:$D$2015,"&gt;="&amp;Y68,$D$18:$D$2015,"&lt;"&amp;Y69))</f>
        <v/>
      </c>
      <c r="AA68" s="14" t="n"/>
      <c r="AB68" s="16" t="n"/>
      <c r="AC68" s="124">
        <f>IF(AB68="","",COUNTIFS($C$18:$C$2015,AB$13,$D$18:$D$2015,"&gt;="&amp;AB68,$D$18:$D$2015,"&lt;"&amp;AB69))</f>
        <v/>
      </c>
      <c r="AD68" s="14" t="n"/>
    </row>
    <row r="69">
      <c r="A69" s="58" t="n"/>
      <c r="B69" s="59" t="n"/>
      <c r="C69" s="59" t="n"/>
      <c r="E69" s="16" t="n"/>
      <c r="F69" s="13" t="n"/>
      <c r="G69" s="16" t="n">
        <v>64</v>
      </c>
      <c r="H69" s="124">
        <f>IF(G69="","",COUNTIFS($C$18:$C$2015,G$13,$D$18:$D$2015,"&gt;="&amp;G69,$D$18:$D$2015,"&lt;"&amp;G70))</f>
        <v/>
      </c>
      <c r="I69" s="14" t="n"/>
      <c r="J69" s="16" t="n"/>
      <c r="K69" s="124">
        <f>IF(J69="","",COUNTIFS($C$18:$C$2015,J$13,$D$18:$D$2015,"&gt;="&amp;J69,$D$18:$D$2015,"&lt;"&amp;J70))</f>
        <v/>
      </c>
      <c r="L69" s="14" t="n"/>
      <c r="M69" s="16" t="n"/>
      <c r="N69" s="124">
        <f>IF(M69="","",COUNTIFS($C$18:$C$2015,M$13,$D$18:$D$2015,"&gt;="&amp;M69,$D$18:$D$2015,"&lt;"&amp;M70))</f>
        <v/>
      </c>
      <c r="O69" s="14" t="n"/>
      <c r="P69" s="16" t="n">
        <v>64</v>
      </c>
      <c r="Q69" s="124">
        <f>IF(P69="","",COUNTIFS($C$18:$C$2015,P$13,$D$18:$D$2015,"&gt;="&amp;P69,$D$18:$D$2015,"&lt;"&amp;P70))</f>
        <v/>
      </c>
      <c r="R69" s="14" t="n"/>
      <c r="S69" s="16" t="n"/>
      <c r="T69" s="124">
        <f>IF(S69="","",COUNTIFS($C$18:$C$2015,S$13,$D$18:$D$2015,"&gt;="&amp;S69,$D$18:$D$2015,"&lt;"&amp;S70))</f>
        <v/>
      </c>
      <c r="U69" s="14" t="n"/>
      <c r="V69" s="16" t="n"/>
      <c r="W69" s="124">
        <f>IF(V69="","",COUNTIFS($C$18:$C$2015,V$13,$D$18:$D$2015,"&gt;="&amp;V69,$D$18:$D$2015,"&lt;"&amp;V70))</f>
        <v/>
      </c>
      <c r="X69" s="14" t="n"/>
      <c r="Y69" s="16" t="n"/>
      <c r="Z69" s="124">
        <f>IF(Y69="","",COUNTIFS($C$18:$C$2015,Y$13,$D$18:$D$2015,"&gt;="&amp;Y69,$D$18:$D$2015,"&lt;"&amp;Y70))</f>
        <v/>
      </c>
      <c r="AA69" s="14" t="n"/>
      <c r="AB69" s="16" t="n"/>
      <c r="AC69" s="124">
        <f>IF(AB69="","",COUNTIFS($C$18:$C$2015,AB$13,$D$18:$D$2015,"&gt;="&amp;AB69,$D$18:$D$2015,"&lt;"&amp;AB70))</f>
        <v/>
      </c>
      <c r="AD69" s="14" t="n"/>
    </row>
    <row r="70">
      <c r="A70" s="56" t="n"/>
      <c r="B70" s="59" t="n"/>
      <c r="C70" s="59" t="n"/>
      <c r="E70" s="16" t="n"/>
      <c r="F70" s="13" t="n"/>
      <c r="G70" s="16" t="n">
        <v>65</v>
      </c>
      <c r="H70" s="124">
        <f>IF(G70="","",COUNTIFS($C$18:$C$2015,G$13,$D$18:$D$2015,"&gt;="&amp;G70,$D$18:$D$2015,"&lt;"&amp;G71))</f>
        <v/>
      </c>
      <c r="I70" s="14" t="n"/>
      <c r="J70" s="16" t="n"/>
      <c r="K70" s="124">
        <f>IF(J70="","",COUNTIFS($C$18:$C$2015,J$13,$D$18:$D$2015,"&gt;="&amp;J70,$D$18:$D$2015,"&lt;"&amp;J71))</f>
        <v/>
      </c>
      <c r="L70" s="14" t="n"/>
      <c r="M70" s="16" t="n"/>
      <c r="N70" s="124">
        <f>IF(M70="","",COUNTIFS($C$18:$C$2015,M$13,$D$18:$D$2015,"&gt;="&amp;M70,$D$18:$D$2015,"&lt;"&amp;M71))</f>
        <v/>
      </c>
      <c r="O70" s="14" t="n"/>
      <c r="P70" s="16" t="n">
        <v>65</v>
      </c>
      <c r="Q70" s="124">
        <f>IF(P70="","",COUNTIFS($C$18:$C$2015,P$13,$D$18:$D$2015,"&gt;="&amp;P70,$D$18:$D$2015,"&lt;"&amp;P71))</f>
        <v/>
      </c>
      <c r="R70" s="14" t="n"/>
      <c r="S70" s="16" t="n"/>
      <c r="T70" s="124">
        <f>IF(S70="","",COUNTIFS($C$18:$C$2015,S$13,$D$18:$D$2015,"&gt;="&amp;S70,$D$18:$D$2015,"&lt;"&amp;S71))</f>
        <v/>
      </c>
      <c r="U70" s="14" t="n"/>
      <c r="V70" s="16" t="n"/>
      <c r="W70" s="124">
        <f>IF(V70="","",COUNTIFS($C$18:$C$2015,V$13,$D$18:$D$2015,"&gt;="&amp;V70,$D$18:$D$2015,"&lt;"&amp;V71))</f>
        <v/>
      </c>
      <c r="X70" s="14" t="n"/>
      <c r="Y70" s="16" t="n"/>
      <c r="Z70" s="124">
        <f>IF(Y70="","",COUNTIFS($C$18:$C$2015,Y$13,$D$18:$D$2015,"&gt;="&amp;Y70,$D$18:$D$2015,"&lt;"&amp;Y71))</f>
        <v/>
      </c>
      <c r="AA70" s="14" t="n"/>
      <c r="AB70" s="16" t="n"/>
      <c r="AC70" s="124">
        <f>IF(AB70="","",COUNTIFS($C$18:$C$2015,AB$13,$D$18:$D$2015,"&gt;="&amp;AB70,$D$18:$D$2015,"&lt;"&amp;AB71))</f>
        <v/>
      </c>
      <c r="AD70" s="14" t="n"/>
    </row>
    <row r="71">
      <c r="A71" s="58" t="n"/>
      <c r="B71" s="59" t="n"/>
      <c r="C71" s="59" t="n"/>
      <c r="E71" s="16" t="n"/>
      <c r="F71" s="13" t="n"/>
      <c r="G71" s="16" t="n">
        <v>66</v>
      </c>
      <c r="H71" s="124">
        <f>IF(G71="","",COUNTIFS($C$18:$C$2015,G$13,$D$18:$D$2015,"&gt;="&amp;G71,$D$18:$D$2015,"&lt;"&amp;G72))</f>
        <v/>
      </c>
      <c r="I71" s="14" t="n"/>
      <c r="J71" s="16" t="n"/>
      <c r="K71" s="124">
        <f>IF(J71="","",COUNTIFS($C$18:$C$2015,J$13,$D$18:$D$2015,"&gt;="&amp;J71,$D$18:$D$2015,"&lt;"&amp;J72))</f>
        <v/>
      </c>
      <c r="L71" s="14" t="n"/>
      <c r="M71" s="16" t="n"/>
      <c r="N71" s="124">
        <f>IF(M71="","",COUNTIFS($C$18:$C$2015,M$13,$D$18:$D$2015,"&gt;="&amp;M71,$D$18:$D$2015,"&lt;"&amp;M72))</f>
        <v/>
      </c>
      <c r="O71" s="14" t="n"/>
      <c r="P71" s="16" t="n">
        <v>66</v>
      </c>
      <c r="Q71" s="124">
        <f>IF(P71="","",COUNTIFS($C$18:$C$2015,P$13,$D$18:$D$2015,"&gt;="&amp;P71,$D$18:$D$2015,"&lt;"&amp;P72))</f>
        <v/>
      </c>
      <c r="R71" s="14" t="n"/>
      <c r="S71" s="16" t="n"/>
      <c r="T71" s="124">
        <f>IF(S71="","",COUNTIFS($C$18:$C$2015,S$13,$D$18:$D$2015,"&gt;="&amp;S71,$D$18:$D$2015,"&lt;"&amp;S72))</f>
        <v/>
      </c>
      <c r="U71" s="14" t="n"/>
      <c r="V71" s="16" t="n"/>
      <c r="W71" s="124">
        <f>IF(V71="","",COUNTIFS($C$18:$C$2015,V$13,$D$18:$D$2015,"&gt;="&amp;V71,$D$18:$D$2015,"&lt;"&amp;V72))</f>
        <v/>
      </c>
      <c r="X71" s="14" t="n"/>
      <c r="Y71" s="16" t="n"/>
      <c r="Z71" s="124">
        <f>IF(Y71="","",COUNTIFS($C$18:$C$2015,Y$13,$D$18:$D$2015,"&gt;="&amp;Y71,$D$18:$D$2015,"&lt;"&amp;Y72))</f>
        <v/>
      </c>
      <c r="AA71" s="14" t="n"/>
      <c r="AB71" s="16" t="n"/>
      <c r="AC71" s="124">
        <f>IF(AB71="","",COUNTIFS($C$18:$C$2015,AB$13,$D$18:$D$2015,"&gt;="&amp;AB71,$D$18:$D$2015,"&lt;"&amp;AB72))</f>
        <v/>
      </c>
      <c r="AD71" s="14" t="n"/>
    </row>
    <row r="72">
      <c r="A72" s="56" t="n"/>
      <c r="B72" s="59" t="n"/>
      <c r="C72" s="59" t="n"/>
      <c r="E72" s="16" t="n"/>
      <c r="F72" s="13" t="n"/>
      <c r="G72" s="16" t="n">
        <v>67</v>
      </c>
      <c r="H72" s="124">
        <f>IF(G72="","",COUNTIFS($C$18:$C$2015,G$13,$D$18:$D$2015,"&gt;="&amp;G72,$D$18:$D$2015,"&lt;"&amp;G73))</f>
        <v/>
      </c>
      <c r="I72" s="14" t="n"/>
      <c r="J72" s="16" t="n"/>
      <c r="K72" s="124">
        <f>IF(J72="","",COUNTIFS($C$18:$C$2015,J$13,$D$18:$D$2015,"&gt;="&amp;J72,$D$18:$D$2015,"&lt;"&amp;J73))</f>
        <v/>
      </c>
      <c r="L72" s="14" t="n"/>
      <c r="M72" s="16" t="n"/>
      <c r="N72" s="124">
        <f>IF(M72="","",COUNTIFS($C$18:$C$2015,M$13,$D$18:$D$2015,"&gt;="&amp;M72,$D$18:$D$2015,"&lt;"&amp;M73))</f>
        <v/>
      </c>
      <c r="O72" s="14" t="n"/>
      <c r="P72" s="16" t="n">
        <v>67</v>
      </c>
      <c r="Q72" s="124">
        <f>IF(P72="","",COUNTIFS($C$18:$C$2015,P$13,$D$18:$D$2015,"&gt;="&amp;P72,$D$18:$D$2015,"&lt;"&amp;P73))</f>
        <v/>
      </c>
      <c r="R72" s="14" t="n"/>
      <c r="S72" s="16" t="n"/>
      <c r="T72" s="124">
        <f>IF(S72="","",COUNTIFS($C$18:$C$2015,S$13,$D$18:$D$2015,"&gt;="&amp;S72,$D$18:$D$2015,"&lt;"&amp;S73))</f>
        <v/>
      </c>
      <c r="U72" s="14" t="n"/>
      <c r="V72" s="16" t="n"/>
      <c r="W72" s="124">
        <f>IF(V72="","",COUNTIFS($C$18:$C$2015,V$13,$D$18:$D$2015,"&gt;="&amp;V72,$D$18:$D$2015,"&lt;"&amp;V73))</f>
        <v/>
      </c>
      <c r="X72" s="14" t="n"/>
      <c r="Y72" s="16" t="n"/>
      <c r="Z72" s="124">
        <f>IF(Y72="","",COUNTIFS($C$18:$C$2015,Y$13,$D$18:$D$2015,"&gt;="&amp;Y72,$D$18:$D$2015,"&lt;"&amp;Y73))</f>
        <v/>
      </c>
      <c r="AA72" s="14" t="n"/>
      <c r="AB72" s="16" t="n"/>
      <c r="AC72" s="124">
        <f>IF(AB72="","",COUNTIFS($C$18:$C$2015,AB$13,$D$18:$D$2015,"&gt;="&amp;AB72,$D$18:$D$2015,"&lt;"&amp;AB73))</f>
        <v/>
      </c>
      <c r="AD72" s="14" t="n"/>
    </row>
    <row r="73">
      <c r="A73" s="58" t="n"/>
      <c r="B73" s="59" t="n"/>
      <c r="C73" s="59" t="n"/>
      <c r="E73" s="16" t="n"/>
      <c r="F73" s="13" t="n"/>
      <c r="G73" s="16" t="n">
        <v>68</v>
      </c>
      <c r="H73" s="124">
        <f>IF(G73="","",COUNTIFS($C$18:$C$2015,G$13,$D$18:$D$2015,"&gt;="&amp;G73,$D$18:$D$2015,"&lt;"&amp;G74))</f>
        <v/>
      </c>
      <c r="I73" s="14" t="n"/>
      <c r="J73" s="16" t="n"/>
      <c r="K73" s="124">
        <f>IF(J73="","",COUNTIFS($C$18:$C$2015,J$13,$D$18:$D$2015,"&gt;="&amp;J73,$D$18:$D$2015,"&lt;"&amp;J74))</f>
        <v/>
      </c>
      <c r="L73" s="14" t="n"/>
      <c r="M73" s="16" t="n"/>
      <c r="N73" s="124">
        <f>IF(M73="","",COUNTIFS($C$18:$C$2015,M$13,$D$18:$D$2015,"&gt;="&amp;M73,$D$18:$D$2015,"&lt;"&amp;M74))</f>
        <v/>
      </c>
      <c r="O73" s="14" t="n"/>
      <c r="P73" s="16" t="n">
        <v>68</v>
      </c>
      <c r="Q73" s="124">
        <f>IF(P73="","",COUNTIFS($C$18:$C$2015,P$13,$D$18:$D$2015,"&gt;="&amp;P73,$D$18:$D$2015,"&lt;"&amp;P74))</f>
        <v/>
      </c>
      <c r="R73" s="14" t="n"/>
      <c r="S73" s="16" t="n"/>
      <c r="T73" s="124">
        <f>IF(S73="","",COUNTIFS($C$18:$C$2015,S$13,$D$18:$D$2015,"&gt;="&amp;S73,$D$18:$D$2015,"&lt;"&amp;S74))</f>
        <v/>
      </c>
      <c r="U73" s="14" t="n"/>
      <c r="V73" s="16" t="n"/>
      <c r="W73" s="124">
        <f>IF(V73="","",COUNTIFS($C$18:$C$2015,V$13,$D$18:$D$2015,"&gt;="&amp;V73,$D$18:$D$2015,"&lt;"&amp;V74))</f>
        <v/>
      </c>
      <c r="X73" s="14" t="n"/>
      <c r="Y73" s="16" t="n"/>
      <c r="Z73" s="124">
        <f>IF(Y73="","",COUNTIFS($C$18:$C$2015,Y$13,$D$18:$D$2015,"&gt;="&amp;Y73,$D$18:$D$2015,"&lt;"&amp;Y74))</f>
        <v/>
      </c>
      <c r="AA73" s="14" t="n"/>
      <c r="AB73" s="16" t="n"/>
      <c r="AC73" s="124">
        <f>IF(AB73="","",COUNTIFS($C$18:$C$2015,AB$13,$D$18:$D$2015,"&gt;="&amp;AB73,$D$18:$D$2015,"&lt;"&amp;AB74))</f>
        <v/>
      </c>
      <c r="AD73" s="14" t="n"/>
    </row>
    <row r="74">
      <c r="A74" s="56" t="n"/>
      <c r="B74" s="59" t="n"/>
      <c r="C74" s="59" t="n"/>
      <c r="E74" s="16" t="n"/>
      <c r="F74" s="13" t="n"/>
      <c r="G74" s="16" t="n">
        <v>69</v>
      </c>
      <c r="H74" s="124">
        <f>IF(G74="","",COUNTIFS($C$18:$C$2015,G$13,$D$18:$D$2015,"&gt;="&amp;G74,$D$18:$D$2015,"&lt;"&amp;G75))</f>
        <v/>
      </c>
      <c r="I74" s="14" t="n"/>
      <c r="J74" s="16" t="n"/>
      <c r="K74" s="124">
        <f>IF(J74="","",COUNTIFS($C$18:$C$2015,J$13,$D$18:$D$2015,"&gt;="&amp;J74,$D$18:$D$2015,"&lt;"&amp;J75))</f>
        <v/>
      </c>
      <c r="L74" s="14" t="n"/>
      <c r="M74" s="16" t="n"/>
      <c r="N74" s="124">
        <f>IF(M74="","",COUNTIFS($C$18:$C$2015,M$13,$D$18:$D$2015,"&gt;="&amp;M74,$D$18:$D$2015,"&lt;"&amp;M75))</f>
        <v/>
      </c>
      <c r="O74" s="14" t="n"/>
      <c r="P74" s="16" t="n">
        <v>69</v>
      </c>
      <c r="Q74" s="124">
        <f>IF(P74="","",COUNTIFS($C$18:$C$2015,P$13,$D$18:$D$2015,"&gt;="&amp;P74,$D$18:$D$2015,"&lt;"&amp;P75))</f>
        <v/>
      </c>
      <c r="R74" s="14" t="n"/>
      <c r="S74" s="16" t="n"/>
      <c r="T74" s="124">
        <f>IF(S74="","",COUNTIFS($C$18:$C$2015,S$13,$D$18:$D$2015,"&gt;="&amp;S74,$D$18:$D$2015,"&lt;"&amp;S75))</f>
        <v/>
      </c>
      <c r="U74" s="14" t="n"/>
      <c r="V74" s="16" t="n"/>
      <c r="W74" s="124">
        <f>IF(V74="","",COUNTIFS($C$18:$C$2015,V$13,$D$18:$D$2015,"&gt;="&amp;V74,$D$18:$D$2015,"&lt;"&amp;V75))</f>
        <v/>
      </c>
      <c r="X74" s="14" t="n"/>
      <c r="Y74" s="16" t="n"/>
      <c r="Z74" s="124">
        <f>IF(Y74="","",COUNTIFS($C$18:$C$2015,Y$13,$D$18:$D$2015,"&gt;="&amp;Y74,$D$18:$D$2015,"&lt;"&amp;Y75))</f>
        <v/>
      </c>
      <c r="AA74" s="14" t="n"/>
      <c r="AB74" s="16" t="n"/>
      <c r="AC74" s="124">
        <f>IF(AB74="","",COUNTIFS($C$18:$C$2015,AB$13,$D$18:$D$2015,"&gt;="&amp;AB74,$D$18:$D$2015,"&lt;"&amp;AB75))</f>
        <v/>
      </c>
      <c r="AD74" s="14" t="n"/>
    </row>
    <row r="75">
      <c r="A75" s="58" t="n"/>
      <c r="B75" s="59" t="n"/>
      <c r="C75" s="59" t="n"/>
      <c r="E75" s="16" t="n"/>
      <c r="F75" s="13" t="n"/>
      <c r="G75" s="16" t="n">
        <v>70</v>
      </c>
      <c r="H75" s="124">
        <f>IF(G75="","",COUNTIFS($C$18:$C$2015,G$13,$D$18:$D$2015,"&gt;="&amp;G75,$D$18:$D$2015,"&lt;"&amp;G76))</f>
        <v/>
      </c>
      <c r="I75" s="14" t="n"/>
      <c r="J75" s="16" t="n"/>
      <c r="K75" s="124">
        <f>IF(J75="","",COUNTIFS($C$18:$C$2015,J$13,$D$18:$D$2015,"&gt;="&amp;J75,$D$18:$D$2015,"&lt;"&amp;J76))</f>
        <v/>
      </c>
      <c r="L75" s="14" t="n"/>
      <c r="M75" s="16" t="n"/>
      <c r="N75" s="124">
        <f>IF(M75="","",COUNTIFS($C$18:$C$2015,M$13,$D$18:$D$2015,"&gt;="&amp;M75,$D$18:$D$2015,"&lt;"&amp;M76))</f>
        <v/>
      </c>
      <c r="O75" s="14" t="n"/>
      <c r="P75" s="16" t="n">
        <v>70</v>
      </c>
      <c r="Q75" s="124">
        <f>IF(P75="","",COUNTIFS($C$18:$C$2015,P$13,$D$18:$D$2015,"&gt;="&amp;P75,$D$18:$D$2015,"&lt;"&amp;P76))</f>
        <v/>
      </c>
      <c r="R75" s="14" t="n"/>
      <c r="S75" s="16" t="n"/>
      <c r="T75" s="124">
        <f>IF(S75="","",COUNTIFS($C$18:$C$2015,S$13,$D$18:$D$2015,"&gt;="&amp;S75,$D$18:$D$2015,"&lt;"&amp;S76))</f>
        <v/>
      </c>
      <c r="U75" s="14" t="n"/>
      <c r="V75" s="16" t="n"/>
      <c r="W75" s="124">
        <f>IF(V75="","",COUNTIFS($C$18:$C$2015,V$13,$D$18:$D$2015,"&gt;="&amp;V75,$D$18:$D$2015,"&lt;"&amp;V76))</f>
        <v/>
      </c>
      <c r="X75" s="14" t="n"/>
      <c r="Y75" s="16" t="n"/>
      <c r="Z75" s="124">
        <f>IF(Y75="","",COUNTIFS($C$18:$C$2015,Y$13,$D$18:$D$2015,"&gt;="&amp;Y75,$D$18:$D$2015,"&lt;"&amp;Y76))</f>
        <v/>
      </c>
      <c r="AA75" s="14" t="n"/>
      <c r="AB75" s="16" t="n"/>
      <c r="AC75" s="124">
        <f>IF(AB75="","",COUNTIFS($C$18:$C$2015,AB$13,$D$18:$D$2015,"&gt;="&amp;AB75,$D$18:$D$2015,"&lt;"&amp;AB76))</f>
        <v/>
      </c>
      <c r="AD75" s="14" t="n"/>
    </row>
    <row r="76">
      <c r="A76" s="56" t="n"/>
      <c r="B76" s="59" t="n"/>
      <c r="C76" s="59" t="n"/>
      <c r="E76" s="16" t="n"/>
      <c r="F76" s="13" t="n"/>
      <c r="G76" s="16" t="n">
        <v>71</v>
      </c>
      <c r="H76" s="124">
        <f>IF(G76="","",COUNTIFS($C$18:$C$2015,G$13,$D$18:$D$2015,"&gt;="&amp;G76,$D$18:$D$2015,"&lt;"&amp;G77))</f>
        <v/>
      </c>
      <c r="I76" s="14" t="n"/>
      <c r="J76" s="16" t="n"/>
      <c r="K76" s="124">
        <f>IF(J76="","",COUNTIFS($C$18:$C$2015,J$13,$D$18:$D$2015,"&gt;="&amp;J76,$D$18:$D$2015,"&lt;"&amp;J77))</f>
        <v/>
      </c>
      <c r="L76" s="14" t="n"/>
      <c r="M76" s="16" t="n"/>
      <c r="N76" s="124">
        <f>IF(M76="","",COUNTIFS($C$18:$C$2015,M$13,$D$18:$D$2015,"&gt;="&amp;M76,$D$18:$D$2015,"&lt;"&amp;M77))</f>
        <v/>
      </c>
      <c r="O76" s="14" t="n"/>
      <c r="P76" s="16" t="n">
        <v>71</v>
      </c>
      <c r="Q76" s="124">
        <f>IF(P76="","",COUNTIFS($C$18:$C$2015,P$13,$D$18:$D$2015,"&gt;="&amp;P76,$D$18:$D$2015,"&lt;"&amp;P77))</f>
        <v/>
      </c>
      <c r="R76" s="14" t="n"/>
      <c r="S76" s="16" t="n"/>
      <c r="T76" s="124">
        <f>IF(S76="","",COUNTIFS($C$18:$C$2015,S$13,$D$18:$D$2015,"&gt;="&amp;S76,$D$18:$D$2015,"&lt;"&amp;S77))</f>
        <v/>
      </c>
      <c r="U76" s="14" t="n"/>
      <c r="V76" s="16" t="n"/>
      <c r="W76" s="124">
        <f>IF(V76="","",COUNTIFS($C$18:$C$2015,V$13,$D$18:$D$2015,"&gt;="&amp;V76,$D$18:$D$2015,"&lt;"&amp;V77))</f>
        <v/>
      </c>
      <c r="X76" s="14" t="n"/>
      <c r="Y76" s="16" t="n"/>
      <c r="Z76" s="124">
        <f>IF(Y76="","",COUNTIFS($C$18:$C$2015,Y$13,$D$18:$D$2015,"&gt;="&amp;Y76,$D$18:$D$2015,"&lt;"&amp;Y77))</f>
        <v/>
      </c>
      <c r="AA76" s="14" t="n"/>
      <c r="AB76" s="16" t="n"/>
      <c r="AC76" s="124">
        <f>IF(AB76="","",COUNTIFS($C$18:$C$2015,AB$13,$D$18:$D$2015,"&gt;="&amp;AB76,$D$18:$D$2015,"&lt;"&amp;AB77))</f>
        <v/>
      </c>
      <c r="AD76" s="14" t="n"/>
    </row>
    <row r="77">
      <c r="A77" s="58" t="n"/>
      <c r="B77" s="59" t="n"/>
      <c r="C77" s="59" t="n"/>
      <c r="E77" s="16" t="n"/>
      <c r="F77" s="13" t="n"/>
      <c r="G77" s="16" t="n">
        <v>72</v>
      </c>
      <c r="H77" s="124">
        <f>IF(G77="","",COUNTIFS($C$18:$C$2015,G$13,$D$18:$D$2015,"&gt;="&amp;G77,$D$18:$D$2015,"&lt;"&amp;G78))</f>
        <v/>
      </c>
      <c r="I77" s="14" t="n"/>
      <c r="J77" s="16" t="n"/>
      <c r="K77" s="124">
        <f>IF(J77="","",COUNTIFS($C$18:$C$2015,J$13,$D$18:$D$2015,"&gt;="&amp;J77,$D$18:$D$2015,"&lt;"&amp;J78))</f>
        <v/>
      </c>
      <c r="L77" s="14" t="n"/>
      <c r="M77" s="16" t="n"/>
      <c r="N77" s="124">
        <f>IF(M77="","",COUNTIFS($C$18:$C$2015,M$13,$D$18:$D$2015,"&gt;="&amp;M77,$D$18:$D$2015,"&lt;"&amp;M78))</f>
        <v/>
      </c>
      <c r="O77" s="14" t="n"/>
      <c r="P77" s="16" t="n">
        <v>72</v>
      </c>
      <c r="Q77" s="124">
        <f>IF(P77="","",COUNTIFS($C$18:$C$2015,P$13,$D$18:$D$2015,"&gt;="&amp;P77,$D$18:$D$2015,"&lt;"&amp;P78))</f>
        <v/>
      </c>
      <c r="R77" s="14" t="n"/>
      <c r="S77" s="16" t="n"/>
      <c r="T77" s="124">
        <f>IF(S77="","",COUNTIFS($C$18:$C$2015,S$13,$D$18:$D$2015,"&gt;="&amp;S77,$D$18:$D$2015,"&lt;"&amp;S78))</f>
        <v/>
      </c>
      <c r="U77" s="14" t="n"/>
      <c r="V77" s="16" t="n"/>
      <c r="W77" s="124">
        <f>IF(V77="","",COUNTIFS($C$18:$C$2015,V$13,$D$18:$D$2015,"&gt;="&amp;V77,$D$18:$D$2015,"&lt;"&amp;V78))</f>
        <v/>
      </c>
      <c r="X77" s="14" t="n"/>
      <c r="Y77" s="16" t="n"/>
      <c r="Z77" s="124">
        <f>IF(Y77="","",COUNTIFS($C$18:$C$2015,Y$13,$D$18:$D$2015,"&gt;="&amp;Y77,$D$18:$D$2015,"&lt;"&amp;Y78))</f>
        <v/>
      </c>
      <c r="AA77" s="14" t="n"/>
      <c r="AB77" s="16" t="n"/>
      <c r="AC77" s="124">
        <f>IF(AB77="","",COUNTIFS($C$18:$C$2015,AB$13,$D$18:$D$2015,"&gt;="&amp;AB77,$D$18:$D$2015,"&lt;"&amp;AB78))</f>
        <v/>
      </c>
      <c r="AD77" s="14" t="n"/>
    </row>
    <row r="78">
      <c r="A78" s="56" t="n"/>
      <c r="B78" s="59" t="n"/>
      <c r="C78" s="59" t="n"/>
      <c r="E78" s="16" t="n"/>
      <c r="F78" s="13" t="n"/>
      <c r="G78" s="16" t="n">
        <v>73</v>
      </c>
      <c r="H78" s="124">
        <f>IF(G78="","",COUNTIFS($C$18:$C$2015,G$13,$D$18:$D$2015,"&gt;="&amp;G78,$D$18:$D$2015,"&lt;"&amp;G79))</f>
        <v/>
      </c>
      <c r="I78" s="14" t="n"/>
      <c r="J78" s="16" t="n"/>
      <c r="K78" s="124">
        <f>IF(J78="","",COUNTIFS($C$18:$C$2015,J$13,$D$18:$D$2015,"&gt;="&amp;J78,$D$18:$D$2015,"&lt;"&amp;J79))</f>
        <v/>
      </c>
      <c r="L78" s="14" t="n"/>
      <c r="M78" s="16" t="n"/>
      <c r="N78" s="124">
        <f>IF(M78="","",COUNTIFS($C$18:$C$2015,M$13,$D$18:$D$2015,"&gt;="&amp;M78,$D$18:$D$2015,"&lt;"&amp;M79))</f>
        <v/>
      </c>
      <c r="O78" s="14" t="n"/>
      <c r="P78" s="16" t="n">
        <v>73</v>
      </c>
      <c r="Q78" s="124">
        <f>IF(P78="","",COUNTIFS($C$18:$C$2015,P$13,$D$18:$D$2015,"&gt;="&amp;P78,$D$18:$D$2015,"&lt;"&amp;P79))</f>
        <v/>
      </c>
      <c r="R78" s="14" t="n"/>
      <c r="S78" s="16" t="n"/>
      <c r="T78" s="124">
        <f>IF(S78="","",COUNTIFS($C$18:$C$2015,S$13,$D$18:$D$2015,"&gt;="&amp;S78,$D$18:$D$2015,"&lt;"&amp;S79))</f>
        <v/>
      </c>
      <c r="U78" s="14" t="n"/>
      <c r="V78" s="16" t="n"/>
      <c r="W78" s="124">
        <f>IF(V78="","",COUNTIFS($C$18:$C$2015,V$13,$D$18:$D$2015,"&gt;="&amp;V78,$D$18:$D$2015,"&lt;"&amp;V79))</f>
        <v/>
      </c>
      <c r="X78" s="14" t="n"/>
      <c r="Y78" s="16" t="n"/>
      <c r="Z78" s="124">
        <f>IF(Y78="","",COUNTIFS($C$18:$C$2015,Y$13,$D$18:$D$2015,"&gt;="&amp;Y78,$D$18:$D$2015,"&lt;"&amp;Y79))</f>
        <v/>
      </c>
      <c r="AA78" s="14" t="n"/>
      <c r="AB78" s="16" t="n"/>
      <c r="AC78" s="124">
        <f>IF(AB78="","",COUNTIFS($C$18:$C$2015,AB$13,$D$18:$D$2015,"&gt;="&amp;AB78,$D$18:$D$2015,"&lt;"&amp;AB79))</f>
        <v/>
      </c>
      <c r="AD78" s="14" t="n"/>
    </row>
    <row r="79">
      <c r="A79" s="58" t="n"/>
      <c r="B79" s="59" t="n"/>
      <c r="C79" s="59" t="n"/>
      <c r="E79" s="16" t="n"/>
      <c r="F79" s="13" t="n"/>
      <c r="G79" s="16" t="n">
        <v>74</v>
      </c>
      <c r="H79" s="124">
        <f>IF(G79="","",COUNTIFS($C$18:$C$2015,G$13,$D$18:$D$2015,"&gt;="&amp;G79,$D$18:$D$2015,"&lt;"&amp;G80))</f>
        <v/>
      </c>
      <c r="I79" s="14" t="n"/>
      <c r="J79" s="16" t="n"/>
      <c r="K79" s="124">
        <f>IF(J79="","",COUNTIFS($C$18:$C$2015,J$13,$D$18:$D$2015,"&gt;="&amp;J79,$D$18:$D$2015,"&lt;"&amp;J80))</f>
        <v/>
      </c>
      <c r="L79" s="14" t="n"/>
      <c r="M79" s="16" t="n"/>
      <c r="N79" s="124">
        <f>IF(M79="","",COUNTIFS($C$18:$C$2015,M$13,$D$18:$D$2015,"&gt;="&amp;M79,$D$18:$D$2015,"&lt;"&amp;M80))</f>
        <v/>
      </c>
      <c r="O79" s="14" t="n"/>
      <c r="P79" s="16" t="n">
        <v>74</v>
      </c>
      <c r="Q79" s="124">
        <f>IF(P79="","",COUNTIFS($C$18:$C$2015,P$13,$D$18:$D$2015,"&gt;="&amp;P79,$D$18:$D$2015,"&lt;"&amp;P80))</f>
        <v/>
      </c>
      <c r="R79" s="14" t="n"/>
      <c r="S79" s="16" t="n"/>
      <c r="T79" s="124">
        <f>IF(S79="","",COUNTIFS($C$18:$C$2015,S$13,$D$18:$D$2015,"&gt;="&amp;S79,$D$18:$D$2015,"&lt;"&amp;S80))</f>
        <v/>
      </c>
      <c r="U79" s="14" t="n"/>
      <c r="V79" s="16" t="n"/>
      <c r="W79" s="124">
        <f>IF(V79="","",COUNTIFS($C$18:$C$2015,V$13,$D$18:$D$2015,"&gt;="&amp;V79,$D$18:$D$2015,"&lt;"&amp;V80))</f>
        <v/>
      </c>
      <c r="X79" s="14" t="n"/>
      <c r="Y79" s="16" t="n"/>
      <c r="Z79" s="124">
        <f>IF(Y79="","",COUNTIFS($C$18:$C$2015,Y$13,$D$18:$D$2015,"&gt;="&amp;Y79,$D$18:$D$2015,"&lt;"&amp;Y80))</f>
        <v/>
      </c>
      <c r="AA79" s="14" t="n"/>
      <c r="AB79" s="16" t="n"/>
      <c r="AC79" s="124">
        <f>IF(AB79="","",COUNTIFS($C$18:$C$2015,AB$13,$D$18:$D$2015,"&gt;="&amp;AB79,$D$18:$D$2015,"&lt;"&amp;AB80))</f>
        <v/>
      </c>
      <c r="AD79" s="14" t="n"/>
    </row>
    <row r="80">
      <c r="A80" s="56" t="n"/>
      <c r="B80" s="59" t="n"/>
      <c r="C80" s="59" t="n"/>
      <c r="E80" s="16" t="n"/>
      <c r="F80" s="13" t="n"/>
      <c r="G80" s="16" t="n">
        <v>75</v>
      </c>
      <c r="H80" s="124">
        <f>IF(G80="","",COUNTIFS($C$18:$C$2015,G$13,$D$18:$D$2015,"&gt;="&amp;G80,$D$18:$D$2015,"&lt;"&amp;G81))</f>
        <v/>
      </c>
      <c r="I80" s="14" t="n"/>
      <c r="J80" s="16" t="n"/>
      <c r="K80" s="124">
        <f>IF(J80="","",COUNTIFS($C$18:$C$2015,J$13,$D$18:$D$2015,"&gt;="&amp;J80,$D$18:$D$2015,"&lt;"&amp;J81))</f>
        <v/>
      </c>
      <c r="L80" s="14" t="n"/>
      <c r="M80" s="16" t="n"/>
      <c r="N80" s="124">
        <f>IF(M80="","",COUNTIFS($C$18:$C$2015,M$13,$D$18:$D$2015,"&gt;="&amp;M80,$D$18:$D$2015,"&lt;"&amp;M81))</f>
        <v/>
      </c>
      <c r="O80" s="14" t="n"/>
      <c r="P80" s="16" t="n">
        <v>75</v>
      </c>
      <c r="Q80" s="124">
        <f>IF(P80="","",COUNTIFS($C$18:$C$2015,P$13,$D$18:$D$2015,"&gt;="&amp;P80,$D$18:$D$2015,"&lt;"&amp;P81))</f>
        <v/>
      </c>
      <c r="R80" s="14" t="n"/>
      <c r="S80" s="16" t="n"/>
      <c r="T80" s="124">
        <f>IF(S80="","",COUNTIFS($C$18:$C$2015,S$13,$D$18:$D$2015,"&gt;="&amp;S80,$D$18:$D$2015,"&lt;"&amp;S81))</f>
        <v/>
      </c>
      <c r="U80" s="14" t="n"/>
      <c r="V80" s="16" t="n"/>
      <c r="W80" s="124">
        <f>IF(V80="","",COUNTIFS($C$18:$C$2015,V$13,$D$18:$D$2015,"&gt;="&amp;V80,$D$18:$D$2015,"&lt;"&amp;V81))</f>
        <v/>
      </c>
      <c r="X80" s="14" t="n"/>
      <c r="Y80" s="16" t="n"/>
      <c r="Z80" s="124">
        <f>IF(Y80="","",COUNTIFS($C$18:$C$2015,Y$13,$D$18:$D$2015,"&gt;="&amp;Y80,$D$18:$D$2015,"&lt;"&amp;Y81))</f>
        <v/>
      </c>
      <c r="AA80" s="14" t="n"/>
      <c r="AB80" s="16" t="n"/>
      <c r="AC80" s="124">
        <f>IF(AB80="","",COUNTIFS($C$18:$C$2015,AB$13,$D$18:$D$2015,"&gt;="&amp;AB80,$D$18:$D$2015,"&lt;"&amp;AB81))</f>
        <v/>
      </c>
      <c r="AD80" s="14" t="n"/>
    </row>
    <row r="81">
      <c r="A81" s="58" t="n"/>
      <c r="B81" s="59" t="n"/>
      <c r="C81" s="59" t="n"/>
      <c r="E81" s="16" t="n"/>
      <c r="F81" s="13" t="n"/>
      <c r="G81" s="16" t="n">
        <v>76</v>
      </c>
      <c r="H81" s="124">
        <f>IF(G81="","",COUNTIFS($C$18:$C$2015,G$13,$D$18:$D$2015,"&gt;="&amp;G81,$D$18:$D$2015,"&lt;"&amp;G82))</f>
        <v/>
      </c>
      <c r="I81" s="14" t="n"/>
      <c r="J81" s="16" t="n"/>
      <c r="K81" s="124">
        <f>IF(J81="","",COUNTIFS($C$18:$C$2015,J$13,$D$18:$D$2015,"&gt;="&amp;J81,$D$18:$D$2015,"&lt;"&amp;J82))</f>
        <v/>
      </c>
      <c r="L81" s="14" t="n"/>
      <c r="M81" s="16" t="n"/>
      <c r="N81" s="124">
        <f>IF(M81="","",COUNTIFS($C$18:$C$2015,M$13,$D$18:$D$2015,"&gt;="&amp;M81,$D$18:$D$2015,"&lt;"&amp;M82))</f>
        <v/>
      </c>
      <c r="O81" s="14" t="n"/>
      <c r="P81" s="16" t="n">
        <v>76</v>
      </c>
      <c r="Q81" s="124">
        <f>IF(P81="","",COUNTIFS($C$18:$C$2015,P$13,$D$18:$D$2015,"&gt;="&amp;P81,$D$18:$D$2015,"&lt;"&amp;P82))</f>
        <v/>
      </c>
      <c r="R81" s="14" t="n"/>
      <c r="S81" s="16" t="n"/>
      <c r="T81" s="124">
        <f>IF(S81="","",COUNTIFS($C$18:$C$2015,S$13,$D$18:$D$2015,"&gt;="&amp;S81,$D$18:$D$2015,"&lt;"&amp;S82))</f>
        <v/>
      </c>
      <c r="U81" s="14" t="n"/>
      <c r="V81" s="16" t="n"/>
      <c r="W81" s="124">
        <f>IF(V81="","",COUNTIFS($C$18:$C$2015,V$13,$D$18:$D$2015,"&gt;="&amp;V81,$D$18:$D$2015,"&lt;"&amp;V82))</f>
        <v/>
      </c>
      <c r="X81" s="14" t="n"/>
      <c r="Y81" s="16" t="n"/>
      <c r="Z81" s="124">
        <f>IF(Y81="","",COUNTIFS($C$18:$C$2015,Y$13,$D$18:$D$2015,"&gt;="&amp;Y81,$D$18:$D$2015,"&lt;"&amp;Y82))</f>
        <v/>
      </c>
      <c r="AA81" s="14" t="n"/>
      <c r="AB81" s="16" t="n"/>
      <c r="AC81" s="124">
        <f>IF(AB81="","",COUNTIFS($C$18:$C$2015,AB$13,$D$18:$D$2015,"&gt;="&amp;AB81,$D$18:$D$2015,"&lt;"&amp;AB82))</f>
        <v/>
      </c>
      <c r="AD81" s="14" t="n"/>
    </row>
    <row r="82">
      <c r="A82" s="56" t="n"/>
      <c r="B82" s="59" t="n"/>
      <c r="C82" s="59" t="n"/>
      <c r="E82" s="16" t="n"/>
      <c r="F82" s="13" t="n"/>
      <c r="G82" s="16" t="n">
        <v>77</v>
      </c>
      <c r="H82" s="124">
        <f>IF(G82="","",COUNTIFS($C$18:$C$2015,G$13,$D$18:$D$2015,"&gt;="&amp;G82,$D$18:$D$2015,"&lt;"&amp;G83))</f>
        <v/>
      </c>
      <c r="I82" s="14" t="n"/>
      <c r="J82" s="16" t="n"/>
      <c r="K82" s="124">
        <f>IF(J82="","",COUNTIFS($C$18:$C$2015,J$13,$D$18:$D$2015,"&gt;="&amp;J82,$D$18:$D$2015,"&lt;"&amp;J83))</f>
        <v/>
      </c>
      <c r="L82" s="14" t="n"/>
      <c r="M82" s="16" t="n"/>
      <c r="N82" s="124">
        <f>IF(M82="","",COUNTIFS($C$18:$C$2015,M$13,$D$18:$D$2015,"&gt;="&amp;M82,$D$18:$D$2015,"&lt;"&amp;M83))</f>
        <v/>
      </c>
      <c r="O82" s="14" t="n"/>
      <c r="P82" s="16" t="n">
        <v>77</v>
      </c>
      <c r="Q82" s="124">
        <f>IF(P82="","",COUNTIFS($C$18:$C$2015,P$13,$D$18:$D$2015,"&gt;="&amp;P82,$D$18:$D$2015,"&lt;"&amp;P83))</f>
        <v/>
      </c>
      <c r="R82" s="14" t="n"/>
      <c r="S82" s="16" t="n"/>
      <c r="T82" s="124">
        <f>IF(S82="","",COUNTIFS($C$18:$C$2015,S$13,$D$18:$D$2015,"&gt;="&amp;S82,$D$18:$D$2015,"&lt;"&amp;S83))</f>
        <v/>
      </c>
      <c r="U82" s="14" t="n"/>
      <c r="V82" s="16" t="n"/>
      <c r="W82" s="124">
        <f>IF(V82="","",COUNTIFS($C$18:$C$2015,V$13,$D$18:$D$2015,"&gt;="&amp;V82,$D$18:$D$2015,"&lt;"&amp;V83))</f>
        <v/>
      </c>
      <c r="X82" s="14" t="n"/>
      <c r="Y82" s="16" t="n"/>
      <c r="Z82" s="124">
        <f>IF(Y82="","",COUNTIFS($C$18:$C$2015,Y$13,$D$18:$D$2015,"&gt;="&amp;Y82,$D$18:$D$2015,"&lt;"&amp;Y83))</f>
        <v/>
      </c>
      <c r="AA82" s="14" t="n"/>
      <c r="AB82" s="16" t="n"/>
      <c r="AC82" s="124">
        <f>IF(AB82="","",COUNTIFS($C$18:$C$2015,AB$13,$D$18:$D$2015,"&gt;="&amp;AB82,$D$18:$D$2015,"&lt;"&amp;AB83))</f>
        <v/>
      </c>
      <c r="AD82" s="14" t="n"/>
    </row>
    <row r="83">
      <c r="A83" s="58" t="n"/>
      <c r="B83" s="59" t="n"/>
      <c r="C83" s="59" t="n"/>
      <c r="E83" s="16" t="n"/>
      <c r="F83" s="13" t="n"/>
      <c r="G83" s="16" t="n">
        <v>78</v>
      </c>
      <c r="H83" s="124">
        <f>IF(G83="","",COUNTIFS($C$18:$C$2015,G$13,$D$18:$D$2015,"&gt;="&amp;G83,$D$18:$D$2015,"&lt;"&amp;G84))</f>
        <v/>
      </c>
      <c r="I83" s="14" t="n"/>
      <c r="J83" s="16" t="n"/>
      <c r="K83" s="124">
        <f>IF(J83="","",COUNTIFS($C$18:$C$2015,J$13,$D$18:$D$2015,"&gt;="&amp;J83,$D$18:$D$2015,"&lt;"&amp;J84))</f>
        <v/>
      </c>
      <c r="L83" s="14" t="n"/>
      <c r="M83" s="16" t="n"/>
      <c r="N83" s="124">
        <f>IF(M83="","",COUNTIFS($C$18:$C$2015,M$13,$D$18:$D$2015,"&gt;="&amp;M83,$D$18:$D$2015,"&lt;"&amp;M84))</f>
        <v/>
      </c>
      <c r="O83" s="14" t="n"/>
      <c r="P83" s="16" t="n">
        <v>78</v>
      </c>
      <c r="Q83" s="124">
        <f>IF(P83="","",COUNTIFS($C$18:$C$2015,P$13,$D$18:$D$2015,"&gt;="&amp;P83,$D$18:$D$2015,"&lt;"&amp;P84))</f>
        <v/>
      </c>
      <c r="R83" s="14" t="n"/>
      <c r="S83" s="16" t="n"/>
      <c r="T83" s="124">
        <f>IF(S83="","",COUNTIFS($C$18:$C$2015,S$13,$D$18:$D$2015,"&gt;="&amp;S83,$D$18:$D$2015,"&lt;"&amp;S84))</f>
        <v/>
      </c>
      <c r="U83" s="14" t="n"/>
      <c r="V83" s="16" t="n"/>
      <c r="W83" s="124">
        <f>IF(V83="","",COUNTIFS($C$18:$C$2015,V$13,$D$18:$D$2015,"&gt;="&amp;V83,$D$18:$D$2015,"&lt;"&amp;V84))</f>
        <v/>
      </c>
      <c r="X83" s="14" t="n"/>
      <c r="Y83" s="16" t="n"/>
      <c r="Z83" s="124">
        <f>IF(Y83="","",COUNTIFS($C$18:$C$2015,Y$13,$D$18:$D$2015,"&gt;="&amp;Y83,$D$18:$D$2015,"&lt;"&amp;Y84))</f>
        <v/>
      </c>
      <c r="AA83" s="14" t="n"/>
      <c r="AB83" s="16" t="n"/>
      <c r="AC83" s="124">
        <f>IF(AB83="","",COUNTIFS($C$18:$C$2015,AB$13,$D$18:$D$2015,"&gt;="&amp;AB83,$D$18:$D$2015,"&lt;"&amp;AB84))</f>
        <v/>
      </c>
      <c r="AD83" s="14" t="n"/>
    </row>
    <row r="84">
      <c r="A84" s="56" t="n"/>
      <c r="B84" s="59" t="n"/>
      <c r="C84" s="59" t="n"/>
      <c r="E84" s="16" t="n"/>
      <c r="F84" s="13" t="n"/>
      <c r="G84" s="16" t="n">
        <v>79</v>
      </c>
      <c r="H84" s="124">
        <f>IF(G84="","",COUNTIFS($C$18:$C$2015,G$13,$D$18:$D$2015,"&gt;="&amp;G84,$D$18:$D$2015,"&lt;"&amp;G85))</f>
        <v/>
      </c>
      <c r="I84" s="14" t="n"/>
      <c r="J84" s="16" t="n"/>
      <c r="K84" s="124">
        <f>IF(J84="","",COUNTIFS($C$18:$C$2015,J$13,$D$18:$D$2015,"&gt;="&amp;J84,$D$18:$D$2015,"&lt;"&amp;J85))</f>
        <v/>
      </c>
      <c r="L84" s="14" t="n"/>
      <c r="M84" s="16" t="n"/>
      <c r="N84" s="124">
        <f>IF(M84="","",COUNTIFS($C$18:$C$2015,M$13,$D$18:$D$2015,"&gt;="&amp;M84,$D$18:$D$2015,"&lt;"&amp;M85))</f>
        <v/>
      </c>
      <c r="O84" s="14" t="n"/>
      <c r="P84" s="16" t="n">
        <v>79</v>
      </c>
      <c r="Q84" s="124">
        <f>IF(P84="","",COUNTIFS($C$18:$C$2015,P$13,$D$18:$D$2015,"&gt;="&amp;P84,$D$18:$D$2015,"&lt;"&amp;P85))</f>
        <v/>
      </c>
      <c r="R84" s="14" t="n"/>
      <c r="S84" s="16" t="n"/>
      <c r="T84" s="124">
        <f>IF(S84="","",COUNTIFS($C$18:$C$2015,S$13,$D$18:$D$2015,"&gt;="&amp;S84,$D$18:$D$2015,"&lt;"&amp;S85))</f>
        <v/>
      </c>
      <c r="U84" s="14" t="n"/>
      <c r="V84" s="16" t="n"/>
      <c r="W84" s="124">
        <f>IF(V84="","",COUNTIFS($C$18:$C$2015,V$13,$D$18:$D$2015,"&gt;="&amp;V84,$D$18:$D$2015,"&lt;"&amp;V85))</f>
        <v/>
      </c>
      <c r="X84" s="14" t="n"/>
      <c r="Y84" s="16" t="n"/>
      <c r="Z84" s="124">
        <f>IF(Y84="","",COUNTIFS($C$18:$C$2015,Y$13,$D$18:$D$2015,"&gt;="&amp;Y84,$D$18:$D$2015,"&lt;"&amp;Y85))</f>
        <v/>
      </c>
      <c r="AA84" s="14" t="n"/>
      <c r="AB84" s="16" t="n"/>
      <c r="AC84" s="124">
        <f>IF(AB84="","",COUNTIFS($C$18:$C$2015,AB$13,$D$18:$D$2015,"&gt;="&amp;AB84,$D$18:$D$2015,"&lt;"&amp;AB85))</f>
        <v/>
      </c>
      <c r="AD84" s="14" t="n"/>
    </row>
    <row r="85">
      <c r="A85" s="58" t="n"/>
      <c r="B85" s="59" t="n"/>
      <c r="C85" s="59" t="n"/>
      <c r="E85" s="16" t="n"/>
      <c r="F85" s="13" t="n"/>
      <c r="G85" s="16" t="n">
        <v>80</v>
      </c>
      <c r="H85" s="124">
        <f>IF(G85="","",COUNTIFS($C$18:$C$2015,G$13,$D$18:$D$2015,"&gt;="&amp;G85,$D$18:$D$2015,"&lt;"&amp;G86))</f>
        <v/>
      </c>
      <c r="I85" s="14" t="n"/>
      <c r="J85" s="16" t="n"/>
      <c r="K85" s="124">
        <f>IF(J85="","",COUNTIFS($C$18:$C$2015,J$13,$D$18:$D$2015,"&gt;="&amp;J85,$D$18:$D$2015,"&lt;"&amp;J86))</f>
        <v/>
      </c>
      <c r="L85" s="14" t="n"/>
      <c r="M85" s="16" t="n"/>
      <c r="N85" s="124">
        <f>IF(M85="","",COUNTIFS($C$18:$C$2015,M$13,$D$18:$D$2015,"&gt;="&amp;M85,$D$18:$D$2015,"&lt;"&amp;M86))</f>
        <v/>
      </c>
      <c r="O85" s="14" t="n"/>
      <c r="P85" s="16" t="n">
        <v>80</v>
      </c>
      <c r="Q85" s="124">
        <f>IF(P85="","",COUNTIFS($C$18:$C$2015,P$13,$D$18:$D$2015,"&gt;="&amp;P85,$D$18:$D$2015,"&lt;"&amp;P86))</f>
        <v/>
      </c>
      <c r="R85" s="14" t="n"/>
      <c r="S85" s="16" t="n"/>
      <c r="T85" s="124">
        <f>IF(S85="","",COUNTIFS($C$18:$C$2015,S$13,$D$18:$D$2015,"&gt;="&amp;S85,$D$18:$D$2015,"&lt;"&amp;S86))</f>
        <v/>
      </c>
      <c r="U85" s="14" t="n"/>
      <c r="V85" s="16" t="n"/>
      <c r="W85" s="124">
        <f>IF(V85="","",COUNTIFS($C$18:$C$2015,V$13,$D$18:$D$2015,"&gt;="&amp;V85,$D$18:$D$2015,"&lt;"&amp;V86))</f>
        <v/>
      </c>
      <c r="X85" s="14" t="n"/>
      <c r="Y85" s="16" t="n"/>
      <c r="Z85" s="124">
        <f>IF(Y85="","",COUNTIFS($C$18:$C$2015,Y$13,$D$18:$D$2015,"&gt;="&amp;Y85,$D$18:$D$2015,"&lt;"&amp;Y86))</f>
        <v/>
      </c>
      <c r="AA85" s="14" t="n"/>
      <c r="AB85" s="16" t="n"/>
      <c r="AC85" s="124">
        <f>IF(AB85="","",COUNTIFS($C$18:$C$2015,AB$13,$D$18:$D$2015,"&gt;="&amp;AB85,$D$18:$D$2015,"&lt;"&amp;AB86))</f>
        <v/>
      </c>
      <c r="AD85" s="14" t="n"/>
    </row>
    <row r="86">
      <c r="A86" s="56" t="n"/>
      <c r="B86" s="59" t="n"/>
      <c r="C86" s="59" t="n"/>
      <c r="E86" s="16" t="n"/>
      <c r="F86" s="13" t="n"/>
      <c r="G86" s="16" t="n"/>
      <c r="H86" s="124">
        <f>IF(G86="","",COUNTIFS($C$18:$C$2015,G$13,$D$18:$D$2015,"&gt;="&amp;G86,$D$18:$D$2015,"&lt;"&amp;G87))</f>
        <v/>
      </c>
      <c r="I86" s="14" t="n"/>
      <c r="J86" s="16" t="n"/>
      <c r="K86" s="124">
        <f>IF(J86="","",COUNTIFS($C$18:$C$2015,J$13,$D$18:$D$2015,"&gt;="&amp;J86,$D$18:$D$2015,"&lt;"&amp;J87))</f>
        <v/>
      </c>
      <c r="L86" s="14" t="n"/>
      <c r="M86" s="16" t="n"/>
      <c r="N86" s="124">
        <f>IF(M86="","",COUNTIFS($C$18:$C$2015,M$13,$D$18:$D$2015,"&gt;="&amp;M86,$D$18:$D$2015,"&lt;"&amp;M87))</f>
        <v/>
      </c>
      <c r="O86" s="14" t="n"/>
      <c r="P86" s="16" t="n"/>
      <c r="Q86" s="124">
        <f>IF(P86="","",COUNTIFS($C$18:$C$2015,P$13,$D$18:$D$2015,"&gt;="&amp;P86,$D$18:$D$2015,"&lt;"&amp;P87))</f>
        <v/>
      </c>
      <c r="R86" s="14" t="n"/>
      <c r="S86" s="16" t="n"/>
      <c r="T86" s="124">
        <f>IF(S86="","",COUNTIFS($C$18:$C$2015,S$13,$D$18:$D$2015,"&gt;="&amp;S86,$D$18:$D$2015,"&lt;"&amp;S87))</f>
        <v/>
      </c>
      <c r="U86" s="14" t="n"/>
      <c r="V86" s="16" t="n"/>
      <c r="W86" s="124">
        <f>IF(V86="","",COUNTIFS($C$18:$C$2015,V$13,$D$18:$D$2015,"&gt;="&amp;V86,$D$18:$D$2015,"&lt;"&amp;V87))</f>
        <v/>
      </c>
      <c r="X86" s="14" t="n"/>
      <c r="Y86" s="16" t="n"/>
      <c r="Z86" s="124">
        <f>IF(Y86="","",COUNTIFS($C$18:$C$2015,Y$13,$D$18:$D$2015,"&gt;="&amp;Y86,$D$18:$D$2015,"&lt;"&amp;Y87))</f>
        <v/>
      </c>
      <c r="AA86" s="14" t="n"/>
      <c r="AB86" s="16" t="n"/>
      <c r="AC86" s="124">
        <f>IF(AB86="","",COUNTIFS($C$18:$C$2015,AB$13,$D$18:$D$2015,"&gt;="&amp;AB86,$D$18:$D$2015,"&lt;"&amp;AB87))</f>
        <v/>
      </c>
      <c r="AD86" s="14" t="n"/>
    </row>
    <row r="87">
      <c r="A87" s="58" t="n"/>
      <c r="B87" s="59" t="n"/>
      <c r="C87" s="59" t="n"/>
      <c r="E87" s="16" t="n"/>
      <c r="F87" s="13" t="n"/>
      <c r="G87" s="16" t="n"/>
      <c r="H87" s="124">
        <f>IF(G87="","",COUNTIFS($C$18:$C$2015,G$13,$D$18:$D$2015,"&gt;="&amp;G87,$D$18:$D$2015,"&lt;"&amp;G88))</f>
        <v/>
      </c>
      <c r="I87" s="14" t="n"/>
      <c r="J87" s="16" t="n"/>
      <c r="K87" s="124">
        <f>IF(J87="","",COUNTIFS($C$18:$C$2015,J$13,$D$18:$D$2015,"&gt;="&amp;J87,$D$18:$D$2015,"&lt;"&amp;J88))</f>
        <v/>
      </c>
      <c r="L87" s="14" t="n"/>
      <c r="M87" s="16" t="n"/>
      <c r="N87" s="124">
        <f>IF(M87="","",COUNTIFS($C$18:$C$2015,M$13,$D$18:$D$2015,"&gt;="&amp;M87,$D$18:$D$2015,"&lt;"&amp;M88))</f>
        <v/>
      </c>
      <c r="O87" s="14" t="n"/>
      <c r="P87" s="16" t="n"/>
      <c r="Q87" s="124">
        <f>IF(P87="","",COUNTIFS($C$18:$C$2015,P$13,$D$18:$D$2015,"&gt;="&amp;P87,$D$18:$D$2015,"&lt;"&amp;P88))</f>
        <v/>
      </c>
      <c r="R87" s="14" t="n"/>
      <c r="S87" s="16" t="n"/>
      <c r="T87" s="124">
        <f>IF(S87="","",COUNTIFS($C$18:$C$2015,S$13,$D$18:$D$2015,"&gt;="&amp;S87,$D$18:$D$2015,"&lt;"&amp;S88))</f>
        <v/>
      </c>
      <c r="U87" s="14" t="n"/>
      <c r="V87" s="16" t="n"/>
      <c r="W87" s="124">
        <f>IF(V87="","",COUNTIFS($C$18:$C$2015,V$13,$D$18:$D$2015,"&gt;="&amp;V87,$D$18:$D$2015,"&lt;"&amp;V88))</f>
        <v/>
      </c>
      <c r="X87" s="14" t="n"/>
      <c r="Y87" s="16" t="n"/>
      <c r="Z87" s="124">
        <f>IF(Y87="","",COUNTIFS($C$18:$C$2015,Y$13,$D$18:$D$2015,"&gt;="&amp;Y87,$D$18:$D$2015,"&lt;"&amp;Y88))</f>
        <v/>
      </c>
      <c r="AA87" s="14" t="n"/>
      <c r="AB87" s="16" t="n"/>
      <c r="AC87" s="124">
        <f>IF(AB87="","",COUNTIFS($C$18:$C$2015,AB$13,$D$18:$D$2015,"&gt;="&amp;AB87,$D$18:$D$2015,"&lt;"&amp;AB88))</f>
        <v/>
      </c>
      <c r="AD87" s="14" t="n"/>
    </row>
    <row r="88">
      <c r="A88" s="56" t="n"/>
      <c r="B88" s="59" t="n"/>
      <c r="C88" s="59" t="n"/>
      <c r="E88" s="16" t="n"/>
      <c r="F88" s="13" t="n"/>
      <c r="G88" s="16" t="n"/>
      <c r="H88" s="124">
        <f>IF(G88="","",COUNTIFS($C$18:$C$2015,G$13,$D$18:$D$2015,"&gt;="&amp;G88,$D$18:$D$2015,"&lt;"&amp;G89))</f>
        <v/>
      </c>
      <c r="I88" s="14" t="n"/>
      <c r="J88" s="16" t="n"/>
      <c r="K88" s="124">
        <f>IF(J88="","",COUNTIFS($C$18:$C$2015,J$13,$D$18:$D$2015,"&gt;="&amp;J88,$D$18:$D$2015,"&lt;"&amp;J89))</f>
        <v/>
      </c>
      <c r="L88" s="14" t="n"/>
      <c r="M88" s="16" t="n"/>
      <c r="N88" s="124">
        <f>IF(M88="","",COUNTIFS($C$18:$C$2015,M$13,$D$18:$D$2015,"&gt;="&amp;M88,$D$18:$D$2015,"&lt;"&amp;M89))</f>
        <v/>
      </c>
      <c r="O88" s="14" t="n"/>
      <c r="P88" s="16" t="n"/>
      <c r="Q88" s="124">
        <f>IF(P88="","",COUNTIFS($C$18:$C$2015,P$13,$D$18:$D$2015,"&gt;="&amp;P88,$D$18:$D$2015,"&lt;"&amp;P89))</f>
        <v/>
      </c>
      <c r="R88" s="14" t="n"/>
      <c r="S88" s="16" t="n"/>
      <c r="T88" s="124">
        <f>IF(S88="","",COUNTIFS($C$18:$C$2015,S$13,$D$18:$D$2015,"&gt;="&amp;S88,$D$18:$D$2015,"&lt;"&amp;S89))</f>
        <v/>
      </c>
      <c r="U88" s="14" t="n"/>
      <c r="V88" s="16" t="n"/>
      <c r="W88" s="124">
        <f>IF(V88="","",COUNTIFS($C$18:$C$2015,V$13,$D$18:$D$2015,"&gt;="&amp;V88,$D$18:$D$2015,"&lt;"&amp;V89))</f>
        <v/>
      </c>
      <c r="X88" s="14" t="n"/>
      <c r="Y88" s="16" t="n"/>
      <c r="Z88" s="124">
        <f>IF(Y88="","",COUNTIFS($C$18:$C$2015,Y$13,$D$18:$D$2015,"&gt;="&amp;Y88,$D$18:$D$2015,"&lt;"&amp;Y89))</f>
        <v/>
      </c>
      <c r="AA88" s="14" t="n"/>
      <c r="AB88" s="16" t="n"/>
      <c r="AC88" s="124">
        <f>IF(AB88="","",COUNTIFS($C$18:$C$2015,AB$13,$D$18:$D$2015,"&gt;="&amp;AB88,$D$18:$D$2015,"&lt;"&amp;AB89))</f>
        <v/>
      </c>
      <c r="AD88" s="14" t="n"/>
    </row>
    <row r="89">
      <c r="A89" s="58" t="n"/>
      <c r="B89" s="59" t="n"/>
      <c r="C89" s="59" t="n"/>
      <c r="E89" s="16" t="n"/>
      <c r="F89" s="13" t="n"/>
      <c r="G89" s="16" t="n"/>
      <c r="H89" s="124">
        <f>IF(G89="","",COUNTIFS($C$18:$C$2015,G$13,$D$18:$D$2015,"&gt;="&amp;G89,$D$18:$D$2015,"&lt;"&amp;G90))</f>
        <v/>
      </c>
      <c r="I89" s="14" t="n"/>
      <c r="J89" s="16" t="n"/>
      <c r="K89" s="124">
        <f>IF(J89="","",COUNTIFS($C$18:$C$2015,J$13,$D$18:$D$2015,"&gt;="&amp;J89,$D$18:$D$2015,"&lt;"&amp;J90))</f>
        <v/>
      </c>
      <c r="L89" s="14" t="n"/>
      <c r="M89" s="16" t="n"/>
      <c r="N89" s="124">
        <f>IF(M89="","",COUNTIFS($C$18:$C$2015,M$13,$D$18:$D$2015,"&gt;="&amp;M89,$D$18:$D$2015,"&lt;"&amp;M90))</f>
        <v/>
      </c>
      <c r="O89" s="14" t="n"/>
      <c r="P89" s="16" t="n"/>
      <c r="Q89" s="124">
        <f>IF(P89="","",COUNTIFS($C$18:$C$2015,P$13,$D$18:$D$2015,"&gt;="&amp;P89,$D$18:$D$2015,"&lt;"&amp;P90))</f>
        <v/>
      </c>
      <c r="R89" s="14" t="n"/>
      <c r="S89" s="16" t="n"/>
      <c r="T89" s="124">
        <f>IF(S89="","",COUNTIFS($C$18:$C$2015,S$13,$D$18:$D$2015,"&gt;="&amp;S89,$D$18:$D$2015,"&lt;"&amp;S90))</f>
        <v/>
      </c>
      <c r="U89" s="14" t="n"/>
      <c r="V89" s="16" t="n"/>
      <c r="W89" s="124">
        <f>IF(V89="","",COUNTIFS($C$18:$C$2015,V$13,$D$18:$D$2015,"&gt;="&amp;V89,$D$18:$D$2015,"&lt;"&amp;V90))</f>
        <v/>
      </c>
      <c r="X89" s="14" t="n"/>
      <c r="Y89" s="16" t="n"/>
      <c r="Z89" s="124">
        <f>IF(Y89="","",COUNTIFS($C$18:$C$2015,Y$13,$D$18:$D$2015,"&gt;="&amp;Y89,$D$18:$D$2015,"&lt;"&amp;Y90))</f>
        <v/>
      </c>
      <c r="AA89" s="14" t="n"/>
      <c r="AB89" s="16" t="n"/>
      <c r="AC89" s="124">
        <f>IF(AB89="","",COUNTIFS($C$18:$C$2015,AB$13,$D$18:$D$2015,"&gt;="&amp;AB89,$D$18:$D$2015,"&lt;"&amp;AB90))</f>
        <v/>
      </c>
      <c r="AD89" s="14" t="n"/>
    </row>
    <row r="90">
      <c r="A90" s="56" t="n"/>
      <c r="B90" s="59" t="n"/>
      <c r="C90" s="59" t="n"/>
      <c r="E90" s="16" t="n"/>
      <c r="F90" s="13" t="n"/>
      <c r="G90" s="16" t="n"/>
      <c r="H90" s="124">
        <f>IF(G90="","",COUNTIFS($C$18:$C$2015,G$13,$D$18:$D$2015,"&gt;="&amp;G90,$D$18:$D$2015,"&lt;"&amp;G91))</f>
        <v/>
      </c>
      <c r="I90" s="14" t="n"/>
      <c r="J90" s="16" t="n"/>
      <c r="K90" s="124">
        <f>IF(J90="","",COUNTIFS($C$18:$C$2015,J$13,$D$18:$D$2015,"&gt;="&amp;J90,$D$18:$D$2015,"&lt;"&amp;J91))</f>
        <v/>
      </c>
      <c r="L90" s="14" t="n"/>
      <c r="M90" s="16" t="n"/>
      <c r="N90" s="124">
        <f>IF(M90="","",COUNTIFS($C$18:$C$2015,M$13,$D$18:$D$2015,"&gt;="&amp;M90,$D$18:$D$2015,"&lt;"&amp;M91))</f>
        <v/>
      </c>
      <c r="O90" s="14" t="n"/>
      <c r="P90" s="16" t="n"/>
      <c r="Q90" s="124">
        <f>IF(P90="","",COUNTIFS($C$18:$C$2015,P$13,$D$18:$D$2015,"&gt;="&amp;P90,$D$18:$D$2015,"&lt;"&amp;P91))</f>
        <v/>
      </c>
      <c r="R90" s="14" t="n"/>
      <c r="S90" s="16" t="n"/>
      <c r="T90" s="124">
        <f>IF(S90="","",COUNTIFS($C$18:$C$2015,S$13,$D$18:$D$2015,"&gt;="&amp;S90,$D$18:$D$2015,"&lt;"&amp;S91))</f>
        <v/>
      </c>
      <c r="U90" s="14" t="n"/>
      <c r="V90" s="16" t="n"/>
      <c r="W90" s="124">
        <f>IF(V90="","",COUNTIFS($C$18:$C$2015,V$13,$D$18:$D$2015,"&gt;="&amp;V90,$D$18:$D$2015,"&lt;"&amp;V91))</f>
        <v/>
      </c>
      <c r="X90" s="14" t="n"/>
      <c r="Y90" s="16" t="n"/>
      <c r="Z90" s="124">
        <f>IF(Y90="","",COUNTIFS($C$18:$C$2015,Y$13,$D$18:$D$2015,"&gt;="&amp;Y90,$D$18:$D$2015,"&lt;"&amp;Y91))</f>
        <v/>
      </c>
      <c r="AA90" s="14" t="n"/>
      <c r="AB90" s="16" t="n"/>
      <c r="AC90" s="124">
        <f>IF(AB90="","",COUNTIFS($C$18:$C$2015,AB$13,$D$18:$D$2015,"&gt;="&amp;AB90,$D$18:$D$2015,"&lt;"&amp;AB91))</f>
        <v/>
      </c>
      <c r="AD90" s="14" t="n"/>
    </row>
    <row r="91">
      <c r="A91" s="58" t="n"/>
      <c r="B91" s="59" t="n"/>
      <c r="C91" s="59" t="n"/>
      <c r="E91" s="16" t="n"/>
      <c r="F91" s="13" t="n"/>
      <c r="G91" s="16" t="n"/>
      <c r="H91" s="124">
        <f>IF(G91="","",COUNTIFS($C$18:$C$2015,G$13,$D$18:$D$2015,"&gt;="&amp;G91,$D$18:$D$2015,"&lt;"&amp;G92))</f>
        <v/>
      </c>
      <c r="I91" s="14" t="n"/>
      <c r="J91" s="16" t="n"/>
      <c r="K91" s="124">
        <f>IF(J91="","",COUNTIFS($C$18:$C$2015,J$13,$D$18:$D$2015,"&gt;="&amp;J91,$D$18:$D$2015,"&lt;"&amp;J92))</f>
        <v/>
      </c>
      <c r="L91" s="14" t="n"/>
      <c r="M91" s="16" t="n"/>
      <c r="N91" s="124">
        <f>IF(M91="","",COUNTIFS($C$18:$C$2015,M$13,$D$18:$D$2015,"&gt;="&amp;M91,$D$18:$D$2015,"&lt;"&amp;M92))</f>
        <v/>
      </c>
      <c r="O91" s="14" t="n"/>
      <c r="P91" s="16" t="n"/>
      <c r="Q91" s="124">
        <f>IF(P91="","",COUNTIFS($C$18:$C$2015,P$13,$D$18:$D$2015,"&gt;="&amp;P91,$D$18:$D$2015,"&lt;"&amp;P92))</f>
        <v/>
      </c>
      <c r="R91" s="14" t="n"/>
      <c r="S91" s="16" t="n"/>
      <c r="T91" s="124">
        <f>IF(S91="","",COUNTIFS($C$18:$C$2015,S$13,$D$18:$D$2015,"&gt;="&amp;S91,$D$18:$D$2015,"&lt;"&amp;S92))</f>
        <v/>
      </c>
      <c r="U91" s="14" t="n"/>
      <c r="V91" s="16" t="n"/>
      <c r="W91" s="124">
        <f>IF(V91="","",COUNTIFS($C$18:$C$2015,V$13,$D$18:$D$2015,"&gt;="&amp;V91,$D$18:$D$2015,"&lt;"&amp;V92))</f>
        <v/>
      </c>
      <c r="X91" s="14" t="n"/>
      <c r="Y91" s="16" t="n"/>
      <c r="Z91" s="124">
        <f>IF(Y91="","",COUNTIFS($C$18:$C$2015,Y$13,$D$18:$D$2015,"&gt;="&amp;Y91,$D$18:$D$2015,"&lt;"&amp;Y92))</f>
        <v/>
      </c>
      <c r="AA91" s="14" t="n"/>
      <c r="AB91" s="16" t="n"/>
      <c r="AC91" s="124">
        <f>IF(AB91="","",COUNTIFS($C$18:$C$2015,AB$13,$D$18:$D$2015,"&gt;="&amp;AB91,$D$18:$D$2015,"&lt;"&amp;AB92))</f>
        <v/>
      </c>
      <c r="AD91" s="14" t="n"/>
    </row>
    <row r="92">
      <c r="A92" s="56" t="n"/>
      <c r="B92" s="59" t="n"/>
      <c r="C92" s="59" t="n"/>
      <c r="E92" s="16" t="n"/>
      <c r="F92" s="13" t="n"/>
      <c r="G92" s="16" t="n"/>
      <c r="H92" s="124">
        <f>IF(G92="","",COUNTIFS($C$18:$C$2015,G$13,$D$18:$D$2015,"&gt;="&amp;G92,$D$18:$D$2015,"&lt;"&amp;G93))</f>
        <v/>
      </c>
      <c r="I92" s="14" t="n"/>
      <c r="J92" s="16" t="n"/>
      <c r="K92" s="124">
        <f>IF(J92="","",COUNTIFS($C$18:$C$2015,J$13,$D$18:$D$2015,"&gt;="&amp;J92,$D$18:$D$2015,"&lt;"&amp;J93))</f>
        <v/>
      </c>
      <c r="L92" s="14" t="n"/>
      <c r="M92" s="16" t="n"/>
      <c r="N92" s="124">
        <f>IF(M92="","",COUNTIFS($C$18:$C$2015,M$13,$D$18:$D$2015,"&gt;="&amp;M92,$D$18:$D$2015,"&lt;"&amp;M93))</f>
        <v/>
      </c>
      <c r="O92" s="14" t="n"/>
      <c r="P92" s="16" t="n"/>
      <c r="Q92" s="124">
        <f>IF(P92="","",COUNTIFS($C$18:$C$2015,P$13,$D$18:$D$2015,"&gt;="&amp;P92,$D$18:$D$2015,"&lt;"&amp;P93))</f>
        <v/>
      </c>
      <c r="R92" s="14" t="n"/>
      <c r="S92" s="16" t="n"/>
      <c r="T92" s="124">
        <f>IF(S92="","",COUNTIFS($C$18:$C$2015,S$13,$D$18:$D$2015,"&gt;="&amp;S92,$D$18:$D$2015,"&lt;"&amp;S93))</f>
        <v/>
      </c>
      <c r="U92" s="14" t="n"/>
      <c r="V92" s="16" t="n"/>
      <c r="W92" s="124">
        <f>IF(V92="","",COUNTIFS($C$18:$C$2015,V$13,$D$18:$D$2015,"&gt;="&amp;V92,$D$18:$D$2015,"&lt;"&amp;V93))</f>
        <v/>
      </c>
      <c r="X92" s="14" t="n"/>
      <c r="Y92" s="16" t="n"/>
      <c r="Z92" s="124">
        <f>IF(Y92="","",COUNTIFS($C$18:$C$2015,Y$13,$D$18:$D$2015,"&gt;="&amp;Y92,$D$18:$D$2015,"&lt;"&amp;Y93))</f>
        <v/>
      </c>
      <c r="AA92" s="14" t="n"/>
      <c r="AB92" s="16" t="n"/>
      <c r="AC92" s="124">
        <f>IF(AB92="","",COUNTIFS($C$18:$C$2015,AB$13,$D$18:$D$2015,"&gt;="&amp;AB92,$D$18:$D$2015,"&lt;"&amp;AB93))</f>
        <v/>
      </c>
      <c r="AD92" s="14" t="n"/>
    </row>
    <row r="93">
      <c r="A93" s="58" t="n"/>
      <c r="B93" s="59" t="n"/>
      <c r="C93" s="59" t="n"/>
      <c r="E93" s="16" t="n"/>
      <c r="F93" s="13" t="n"/>
      <c r="G93" s="16" t="n"/>
      <c r="H93" s="124">
        <f>IF(G93="","",COUNTIFS($C$18:$C$2015,G$13,$D$18:$D$2015,"&gt;="&amp;G93,$D$18:$D$2015,"&lt;"&amp;G94))</f>
        <v/>
      </c>
      <c r="I93" s="14" t="n"/>
      <c r="J93" s="16" t="n"/>
      <c r="K93" s="124">
        <f>IF(J93="","",COUNTIFS($C$18:$C$2015,J$13,$D$18:$D$2015,"&gt;="&amp;J93,$D$18:$D$2015,"&lt;"&amp;J94))</f>
        <v/>
      </c>
      <c r="L93" s="14" t="n"/>
      <c r="M93" s="16" t="n"/>
      <c r="N93" s="124">
        <f>IF(M93="","",COUNTIFS($C$18:$C$2015,M$13,$D$18:$D$2015,"&gt;="&amp;M93,$D$18:$D$2015,"&lt;"&amp;M94))</f>
        <v/>
      </c>
      <c r="O93" s="14" t="n"/>
      <c r="P93" s="16" t="n"/>
      <c r="Q93" s="124">
        <f>IF(P93="","",COUNTIFS($C$18:$C$2015,P$13,$D$18:$D$2015,"&gt;="&amp;P93,$D$18:$D$2015,"&lt;"&amp;P94))</f>
        <v/>
      </c>
      <c r="R93" s="14" t="n"/>
      <c r="S93" s="16" t="n"/>
      <c r="T93" s="124">
        <f>IF(S93="","",COUNTIFS($C$18:$C$2015,S$13,$D$18:$D$2015,"&gt;="&amp;S93,$D$18:$D$2015,"&lt;"&amp;S94))</f>
        <v/>
      </c>
      <c r="U93" s="14" t="n"/>
      <c r="V93" s="16" t="n"/>
      <c r="W93" s="124">
        <f>IF(V93="","",COUNTIFS($C$18:$C$2015,V$13,$D$18:$D$2015,"&gt;="&amp;V93,$D$18:$D$2015,"&lt;"&amp;V94))</f>
        <v/>
      </c>
      <c r="X93" s="14" t="n"/>
      <c r="Y93" s="16" t="n"/>
      <c r="Z93" s="124">
        <f>IF(Y93="","",COUNTIFS($C$18:$C$2015,Y$13,$D$18:$D$2015,"&gt;="&amp;Y93,$D$18:$D$2015,"&lt;"&amp;Y94))</f>
        <v/>
      </c>
      <c r="AA93" s="14" t="n"/>
      <c r="AB93" s="16" t="n"/>
      <c r="AC93" s="124">
        <f>IF(AB93="","",COUNTIFS($C$18:$C$2015,AB$13,$D$18:$D$2015,"&gt;="&amp;AB93,$D$18:$D$2015,"&lt;"&amp;AB94))</f>
        <v/>
      </c>
      <c r="AD93" s="14" t="n"/>
    </row>
    <row r="94">
      <c r="A94" s="56" t="n"/>
      <c r="B94" s="59" t="n"/>
      <c r="C94" s="59" t="n"/>
      <c r="E94" s="16" t="n"/>
      <c r="F94" s="13" t="n"/>
      <c r="G94" s="16" t="n"/>
      <c r="H94" s="124">
        <f>IF(G94="","",COUNTIFS($C$18:$C$2015,G$13,$D$18:$D$2015,"&gt;="&amp;G94,$D$18:$D$2015,"&lt;"&amp;G95))</f>
        <v/>
      </c>
      <c r="I94" s="14" t="n"/>
      <c r="J94" s="16" t="n"/>
      <c r="K94" s="124">
        <f>IF(J94="","",COUNTIFS($C$18:$C$2015,J$13,$D$18:$D$2015,"&gt;="&amp;J94,$D$18:$D$2015,"&lt;"&amp;J95))</f>
        <v/>
      </c>
      <c r="L94" s="14" t="n"/>
      <c r="M94" s="16" t="n"/>
      <c r="N94" s="124">
        <f>IF(M94="","",COUNTIFS($C$18:$C$2015,M$13,$D$18:$D$2015,"&gt;="&amp;M94,$D$18:$D$2015,"&lt;"&amp;M95))</f>
        <v/>
      </c>
      <c r="O94" s="14" t="n"/>
      <c r="P94" s="16" t="n"/>
      <c r="Q94" s="124">
        <f>IF(P94="","",COUNTIFS($C$18:$C$2015,P$13,$D$18:$D$2015,"&gt;="&amp;P94,$D$18:$D$2015,"&lt;"&amp;P95))</f>
        <v/>
      </c>
      <c r="R94" s="14" t="n"/>
      <c r="S94" s="16" t="n"/>
      <c r="T94" s="124">
        <f>IF(S94="","",COUNTIFS($C$18:$C$2015,S$13,$D$18:$D$2015,"&gt;="&amp;S94,$D$18:$D$2015,"&lt;"&amp;S95))</f>
        <v/>
      </c>
      <c r="U94" s="14" t="n"/>
      <c r="V94" s="16" t="n"/>
      <c r="W94" s="124">
        <f>IF(V94="","",COUNTIFS($C$18:$C$2015,V$13,$D$18:$D$2015,"&gt;="&amp;V94,$D$18:$D$2015,"&lt;"&amp;V95))</f>
        <v/>
      </c>
      <c r="X94" s="14" t="n"/>
      <c r="Y94" s="16" t="n"/>
      <c r="Z94" s="124">
        <f>IF(Y94="","",COUNTIFS($C$18:$C$2015,Y$13,$D$18:$D$2015,"&gt;="&amp;Y94,$D$18:$D$2015,"&lt;"&amp;Y95))</f>
        <v/>
      </c>
      <c r="AA94" s="14" t="n"/>
      <c r="AB94" s="16" t="n"/>
      <c r="AC94" s="124">
        <f>IF(AB94="","",COUNTIFS($C$18:$C$2015,AB$13,$D$18:$D$2015,"&gt;="&amp;AB94,$D$18:$D$2015,"&lt;"&amp;AB95))</f>
        <v/>
      </c>
      <c r="AD94" s="14" t="n"/>
    </row>
    <row r="95">
      <c r="A95" s="58" t="n"/>
      <c r="B95" s="59" t="n"/>
      <c r="C95" s="59" t="n"/>
      <c r="E95" s="16" t="n"/>
      <c r="F95" s="13" t="n"/>
      <c r="G95" s="16" t="n"/>
      <c r="H95" s="124">
        <f>IF(G95="","",COUNTIFS($C$18:$C$2015,G$13,$D$18:$D$2015,"&gt;="&amp;G95,$D$18:$D$2015,"&lt;"&amp;G96))</f>
        <v/>
      </c>
      <c r="I95" s="14" t="n"/>
      <c r="J95" s="16" t="n"/>
      <c r="K95" s="124">
        <f>IF(J95="","",COUNTIFS($C$18:$C$2015,J$13,$D$18:$D$2015,"&gt;="&amp;J95,$D$18:$D$2015,"&lt;"&amp;J96))</f>
        <v/>
      </c>
      <c r="L95" s="14" t="n"/>
      <c r="M95" s="16" t="n"/>
      <c r="N95" s="124">
        <f>IF(M95="","",COUNTIFS($C$18:$C$2015,M$13,$D$18:$D$2015,"&gt;="&amp;M95,$D$18:$D$2015,"&lt;"&amp;M96))</f>
        <v/>
      </c>
      <c r="O95" s="14" t="n"/>
      <c r="P95" s="16" t="n"/>
      <c r="Q95" s="124">
        <f>IF(P95="","",COUNTIFS($C$18:$C$2015,P$13,$D$18:$D$2015,"&gt;="&amp;P95,$D$18:$D$2015,"&lt;"&amp;P96))</f>
        <v/>
      </c>
      <c r="R95" s="14" t="n"/>
      <c r="S95" s="16" t="n"/>
      <c r="T95" s="124">
        <f>IF(S95="","",COUNTIFS($C$18:$C$2015,S$13,$D$18:$D$2015,"&gt;="&amp;S95,$D$18:$D$2015,"&lt;"&amp;S96))</f>
        <v/>
      </c>
      <c r="U95" s="14" t="n"/>
      <c r="V95" s="16" t="n"/>
      <c r="W95" s="124">
        <f>IF(V95="","",COUNTIFS($C$18:$C$2015,V$13,$D$18:$D$2015,"&gt;="&amp;V95,$D$18:$D$2015,"&lt;"&amp;V96))</f>
        <v/>
      </c>
      <c r="X95" s="14" t="n"/>
      <c r="Y95" s="16" t="n"/>
      <c r="Z95" s="124">
        <f>IF(Y95="","",COUNTIFS($C$18:$C$2015,Y$13,$D$18:$D$2015,"&gt;="&amp;Y95,$D$18:$D$2015,"&lt;"&amp;Y96))</f>
        <v/>
      </c>
      <c r="AA95" s="14" t="n"/>
      <c r="AB95" s="16" t="n"/>
      <c r="AC95" s="124">
        <f>IF(AB95="","",COUNTIFS($C$18:$C$2015,AB$13,$D$18:$D$2015,"&gt;="&amp;AB95,$D$18:$D$2015,"&lt;"&amp;AB96))</f>
        <v/>
      </c>
      <c r="AD95" s="14" t="n"/>
    </row>
    <row r="96">
      <c r="A96" s="56" t="n"/>
      <c r="B96" s="59" t="n"/>
      <c r="C96" s="59" t="n"/>
      <c r="E96" s="16" t="n"/>
      <c r="F96" s="13" t="n"/>
      <c r="G96" s="16" t="n"/>
      <c r="H96" s="124">
        <f>IF(G96="","",COUNTIFS($C$18:$C$2015,G$13,$D$18:$D$2015,"&gt;="&amp;G96,$D$18:$D$2015,"&lt;"&amp;G97))</f>
        <v/>
      </c>
      <c r="I96" s="14" t="n"/>
      <c r="J96" s="16" t="n"/>
      <c r="K96" s="124">
        <f>IF(J96="","",COUNTIFS($C$18:$C$2015,J$13,$D$18:$D$2015,"&gt;="&amp;J96,$D$18:$D$2015,"&lt;"&amp;J97))</f>
        <v/>
      </c>
      <c r="L96" s="14" t="n"/>
      <c r="M96" s="16" t="n"/>
      <c r="N96" s="124">
        <f>IF(M96="","",COUNTIFS($C$18:$C$2015,M$13,$D$18:$D$2015,"&gt;="&amp;M96,$D$18:$D$2015,"&lt;"&amp;M97))</f>
        <v/>
      </c>
      <c r="O96" s="14" t="n"/>
      <c r="P96" s="16" t="n"/>
      <c r="Q96" s="124">
        <f>IF(P96="","",COUNTIFS($C$18:$C$2015,P$13,$D$18:$D$2015,"&gt;="&amp;P96,$D$18:$D$2015,"&lt;"&amp;P97))</f>
        <v/>
      </c>
      <c r="R96" s="14" t="n"/>
      <c r="S96" s="16" t="n"/>
      <c r="T96" s="124">
        <f>IF(S96="","",COUNTIFS($C$18:$C$2015,S$13,$D$18:$D$2015,"&gt;="&amp;S96,$D$18:$D$2015,"&lt;"&amp;S97))</f>
        <v/>
      </c>
      <c r="U96" s="14" t="n"/>
      <c r="V96" s="16" t="n"/>
      <c r="W96" s="124">
        <f>IF(V96="","",COUNTIFS($C$18:$C$2015,V$13,$D$18:$D$2015,"&gt;="&amp;V96,$D$18:$D$2015,"&lt;"&amp;V97))</f>
        <v/>
      </c>
      <c r="X96" s="14" t="n"/>
      <c r="Y96" s="16" t="n"/>
      <c r="Z96" s="124">
        <f>IF(Y96="","",COUNTIFS($C$18:$C$2015,Y$13,$D$18:$D$2015,"&gt;="&amp;Y96,$D$18:$D$2015,"&lt;"&amp;Y97))</f>
        <v/>
      </c>
      <c r="AA96" s="14" t="n"/>
      <c r="AB96" s="16" t="n"/>
      <c r="AC96" s="124">
        <f>IF(AB96="","",COUNTIFS($C$18:$C$2015,AB$13,$D$18:$D$2015,"&gt;="&amp;AB96,$D$18:$D$2015,"&lt;"&amp;AB97))</f>
        <v/>
      </c>
      <c r="AD96" s="14" t="n"/>
    </row>
    <row r="97">
      <c r="A97" s="58" t="n"/>
      <c r="B97" s="59" t="n"/>
      <c r="C97" s="59" t="n"/>
      <c r="E97" s="16" t="n"/>
      <c r="F97" s="13" t="n"/>
      <c r="G97" s="16" t="n"/>
      <c r="H97" s="124">
        <f>IF(G97="","",COUNTIFS($C$18:$C$2015,G$13,$D$18:$D$2015,"&gt;="&amp;G97,$D$18:$D$2015,"&lt;"&amp;G98))</f>
        <v/>
      </c>
      <c r="I97" s="14" t="n"/>
      <c r="J97" s="16" t="n"/>
      <c r="K97" s="124">
        <f>IF(J97="","",COUNTIFS($C$18:$C$2015,J$13,$D$18:$D$2015,"&gt;="&amp;J97,$D$18:$D$2015,"&lt;"&amp;J98))</f>
        <v/>
      </c>
      <c r="L97" s="14" t="n"/>
      <c r="M97" s="16" t="n"/>
      <c r="N97" s="124">
        <f>IF(M97="","",COUNTIFS($C$18:$C$2015,M$13,$D$18:$D$2015,"&gt;="&amp;M97,$D$18:$D$2015,"&lt;"&amp;M98))</f>
        <v/>
      </c>
      <c r="O97" s="14" t="n"/>
      <c r="P97" s="16" t="n"/>
      <c r="Q97" s="124">
        <f>IF(P97="","",COUNTIFS($C$18:$C$2015,P$13,$D$18:$D$2015,"&gt;="&amp;P97,$D$18:$D$2015,"&lt;"&amp;P98))</f>
        <v/>
      </c>
      <c r="R97" s="14" t="n"/>
      <c r="S97" s="16" t="n"/>
      <c r="T97" s="124">
        <f>IF(S97="","",COUNTIFS($C$18:$C$2015,S$13,$D$18:$D$2015,"&gt;="&amp;S97,$D$18:$D$2015,"&lt;"&amp;S98))</f>
        <v/>
      </c>
      <c r="U97" s="14" t="n"/>
      <c r="V97" s="16" t="n"/>
      <c r="W97" s="124">
        <f>IF(V97="","",COUNTIFS($C$18:$C$2015,V$13,$D$18:$D$2015,"&gt;="&amp;V97,$D$18:$D$2015,"&lt;"&amp;V98))</f>
        <v/>
      </c>
      <c r="X97" s="14" t="n"/>
      <c r="Y97" s="16" t="n"/>
      <c r="Z97" s="124">
        <f>IF(Y97="","",COUNTIFS($C$18:$C$2015,Y$13,$D$18:$D$2015,"&gt;="&amp;Y97,$D$18:$D$2015,"&lt;"&amp;Y98))</f>
        <v/>
      </c>
      <c r="AA97" s="14" t="n"/>
      <c r="AB97" s="16" t="n"/>
      <c r="AC97" s="124">
        <f>IF(AB97="","",COUNTIFS($C$18:$C$2015,AB$13,$D$18:$D$2015,"&gt;="&amp;AB97,$D$18:$D$2015,"&lt;"&amp;AB98))</f>
        <v/>
      </c>
      <c r="AD97" s="14" t="n"/>
    </row>
    <row r="98">
      <c r="A98" s="56" t="n"/>
      <c r="B98" s="59" t="n"/>
      <c r="C98" s="59" t="n"/>
      <c r="E98" s="16" t="n"/>
      <c r="F98" s="13" t="n"/>
      <c r="G98" s="16" t="n"/>
      <c r="H98" s="124">
        <f>IF(G98="","",COUNTIFS($C$18:$C$2015,G$13,$D$18:$D$2015,"&gt;="&amp;G98,$D$18:$D$2015,"&lt;"&amp;G99))</f>
        <v/>
      </c>
      <c r="I98" s="14" t="n"/>
      <c r="J98" s="16" t="n"/>
      <c r="K98" s="124">
        <f>IF(J98="","",COUNTIFS($C$18:$C$2015,J$13,$D$18:$D$2015,"&gt;="&amp;J98,$D$18:$D$2015,"&lt;"&amp;J99))</f>
        <v/>
      </c>
      <c r="L98" s="14" t="n"/>
      <c r="M98" s="16" t="n"/>
      <c r="N98" s="124">
        <f>IF(M98="","",COUNTIFS($C$18:$C$2015,M$13,$D$18:$D$2015,"&gt;="&amp;M98,$D$18:$D$2015,"&lt;"&amp;M99))</f>
        <v/>
      </c>
      <c r="O98" s="14" t="n"/>
      <c r="P98" s="16" t="n"/>
      <c r="Q98" s="124">
        <f>IF(P98="","",COUNTIFS($C$18:$C$2015,P$13,$D$18:$D$2015,"&gt;="&amp;P98,$D$18:$D$2015,"&lt;"&amp;P99))</f>
        <v/>
      </c>
      <c r="R98" s="14" t="n"/>
      <c r="S98" s="16" t="n"/>
      <c r="T98" s="124">
        <f>IF(S98="","",COUNTIFS($C$18:$C$2015,S$13,$D$18:$D$2015,"&gt;="&amp;S98,$D$18:$D$2015,"&lt;"&amp;S99))</f>
        <v/>
      </c>
      <c r="U98" s="14" t="n"/>
      <c r="V98" s="16" t="n"/>
      <c r="W98" s="124">
        <f>IF(V98="","",COUNTIFS($C$18:$C$2015,V$13,$D$18:$D$2015,"&gt;="&amp;V98,$D$18:$D$2015,"&lt;"&amp;V99))</f>
        <v/>
      </c>
      <c r="X98" s="14" t="n"/>
      <c r="Y98" s="16" t="n"/>
      <c r="Z98" s="124">
        <f>IF(Y98="","",COUNTIFS($C$18:$C$2015,Y$13,$D$18:$D$2015,"&gt;="&amp;Y98,$D$18:$D$2015,"&lt;"&amp;Y99))</f>
        <v/>
      </c>
      <c r="AA98" s="14" t="n"/>
      <c r="AB98" s="16" t="n"/>
      <c r="AC98" s="124">
        <f>IF(AB98="","",COUNTIFS($C$18:$C$2015,AB$13,$D$18:$D$2015,"&gt;="&amp;AB98,$D$18:$D$2015,"&lt;"&amp;AB99))</f>
        <v/>
      </c>
      <c r="AD98" s="14" t="n"/>
    </row>
    <row r="99">
      <c r="A99" s="58" t="n"/>
      <c r="B99" s="59" t="n"/>
      <c r="C99" s="59" t="n"/>
      <c r="E99" s="16" t="n"/>
      <c r="F99" s="13" t="n"/>
      <c r="G99" s="16" t="n"/>
      <c r="H99" s="124">
        <f>IF(G99="","",COUNTIFS($C$18:$C$2015,G$13,$D$18:$D$2015,"&gt;="&amp;G99,$D$18:$D$2015,"&lt;"&amp;G100))</f>
        <v/>
      </c>
      <c r="I99" s="14" t="n"/>
      <c r="J99" s="16" t="n"/>
      <c r="K99" s="124">
        <f>IF(J99="","",COUNTIFS($C$18:$C$2015,J$13,$D$18:$D$2015,"&gt;="&amp;J99,$D$18:$D$2015,"&lt;"&amp;J100))</f>
        <v/>
      </c>
      <c r="L99" s="14" t="n"/>
      <c r="M99" s="16" t="n"/>
      <c r="N99" s="124">
        <f>IF(M99="","",COUNTIFS($C$18:$C$2015,M$13,$D$18:$D$2015,"&gt;="&amp;M99,$D$18:$D$2015,"&lt;"&amp;M100))</f>
        <v/>
      </c>
      <c r="O99" s="14" t="n"/>
      <c r="P99" s="16" t="n"/>
      <c r="Q99" s="124">
        <f>IF(P99="","",COUNTIFS($C$18:$C$2015,P$13,$D$18:$D$2015,"&gt;="&amp;P99,$D$18:$D$2015,"&lt;"&amp;P100))</f>
        <v/>
      </c>
      <c r="R99" s="14" t="n"/>
      <c r="S99" s="16" t="n"/>
      <c r="T99" s="124">
        <f>IF(S99="","",COUNTIFS($C$18:$C$2015,S$13,$D$18:$D$2015,"&gt;="&amp;S99,$D$18:$D$2015,"&lt;"&amp;S100))</f>
        <v/>
      </c>
      <c r="U99" s="14" t="n"/>
      <c r="V99" s="16" t="n"/>
      <c r="W99" s="124">
        <f>IF(V99="","",COUNTIFS($C$18:$C$2015,V$13,$D$18:$D$2015,"&gt;="&amp;V99,$D$18:$D$2015,"&lt;"&amp;V100))</f>
        <v/>
      </c>
      <c r="X99" s="14" t="n"/>
      <c r="Y99" s="16" t="n"/>
      <c r="Z99" s="124">
        <f>IF(Y99="","",COUNTIFS($C$18:$C$2015,Y$13,$D$18:$D$2015,"&gt;="&amp;Y99,$D$18:$D$2015,"&lt;"&amp;Y100))</f>
        <v/>
      </c>
      <c r="AA99" s="14" t="n"/>
      <c r="AB99" s="16" t="n"/>
      <c r="AC99" s="124">
        <f>IF(AB99="","",COUNTIFS($C$18:$C$2015,AB$13,$D$18:$D$2015,"&gt;="&amp;AB99,$D$18:$D$2015,"&lt;"&amp;AB100))</f>
        <v/>
      </c>
      <c r="AD99" s="14" t="n"/>
    </row>
    <row r="100">
      <c r="A100" s="56" t="n"/>
      <c r="B100" s="59" t="n"/>
      <c r="C100" s="59" t="n"/>
      <c r="E100" s="16" t="n"/>
      <c r="F100" s="13" t="n"/>
      <c r="G100" s="16" t="n"/>
      <c r="H100" s="124">
        <f>IF(G100="","",COUNTIFS($C$18:$C$2015,G$13,$D$18:$D$2015,"&gt;="&amp;G100,$D$18:$D$2015,"&lt;"&amp;G101))</f>
        <v/>
      </c>
      <c r="I100" s="14" t="n"/>
      <c r="J100" s="16" t="n"/>
      <c r="K100" s="124">
        <f>IF(J100="","",COUNTIFS($C$18:$C$2015,J$13,$D$18:$D$2015,"&gt;="&amp;J100,$D$18:$D$2015,"&lt;"&amp;J101))</f>
        <v/>
      </c>
      <c r="L100" s="14" t="n"/>
      <c r="M100" s="16" t="n"/>
      <c r="N100" s="124">
        <f>IF(M100="","",COUNTIFS($C$18:$C$2015,M$13,$D$18:$D$2015,"&gt;="&amp;M100,$D$18:$D$2015,"&lt;"&amp;M101))</f>
        <v/>
      </c>
      <c r="O100" s="14" t="n"/>
      <c r="P100" s="16" t="n"/>
      <c r="Q100" s="124">
        <f>IF(P100="","",COUNTIFS($C$18:$C$2015,P$13,$D$18:$D$2015,"&gt;="&amp;P100,$D$18:$D$2015,"&lt;"&amp;P101))</f>
        <v/>
      </c>
      <c r="R100" s="14" t="n"/>
      <c r="S100" s="16" t="n"/>
      <c r="T100" s="124">
        <f>IF(S100="","",COUNTIFS($C$18:$C$2015,S$13,$D$18:$D$2015,"&gt;="&amp;S100,$D$18:$D$2015,"&lt;"&amp;S101))</f>
        <v/>
      </c>
      <c r="U100" s="14" t="n"/>
      <c r="V100" s="16" t="n"/>
      <c r="W100" s="124">
        <f>IF(V100="","",COUNTIFS($C$18:$C$2015,V$13,$D$18:$D$2015,"&gt;="&amp;V100,$D$18:$D$2015,"&lt;"&amp;V101))</f>
        <v/>
      </c>
      <c r="X100" s="14" t="n"/>
      <c r="Y100" s="16" t="n"/>
      <c r="Z100" s="124">
        <f>IF(Y100="","",COUNTIFS($C$18:$C$2015,Y$13,$D$18:$D$2015,"&gt;="&amp;Y100,$D$18:$D$2015,"&lt;"&amp;Y101))</f>
        <v/>
      </c>
      <c r="AA100" s="14" t="n"/>
      <c r="AB100" s="16" t="n"/>
      <c r="AC100" s="124">
        <f>IF(AB100="","",COUNTIFS($C$18:$C$2015,AB$13,$D$18:$D$2015,"&gt;="&amp;AB100,$D$18:$D$2015,"&lt;"&amp;AB101))</f>
        <v/>
      </c>
      <c r="AD100" s="14" t="n"/>
    </row>
    <row r="101">
      <c r="A101" s="58" t="n"/>
      <c r="B101" s="59" t="n"/>
      <c r="C101" s="59" t="n"/>
      <c r="E101" s="16" t="n"/>
      <c r="F101" s="13" t="n"/>
      <c r="G101" s="16" t="n"/>
      <c r="H101" s="124">
        <f>IF(G101="","",COUNTIFS($C$18:$C$2015,G$13,$D$18:$D$2015,"&gt;="&amp;G101,$D$18:$D$2015,"&lt;"&amp;G102))</f>
        <v/>
      </c>
      <c r="I101" s="14" t="n"/>
      <c r="J101" s="16" t="n"/>
      <c r="K101" s="124">
        <f>IF(J101="","",COUNTIFS($C$18:$C$2015,J$13,$D$18:$D$2015,"&gt;="&amp;J101,$D$18:$D$2015,"&lt;"&amp;J102))</f>
        <v/>
      </c>
      <c r="L101" s="14" t="n"/>
      <c r="M101" s="16" t="n"/>
      <c r="N101" s="124">
        <f>IF(M101="","",COUNTIFS($C$18:$C$2015,M$13,$D$18:$D$2015,"&gt;="&amp;M101,$D$18:$D$2015,"&lt;"&amp;M102))</f>
        <v/>
      </c>
      <c r="O101" s="14" t="n"/>
      <c r="P101" s="16" t="n"/>
      <c r="Q101" s="124">
        <f>IF(P101="","",COUNTIFS($C$18:$C$2015,P$13,$D$18:$D$2015,"&gt;="&amp;P101,$D$18:$D$2015,"&lt;"&amp;P102))</f>
        <v/>
      </c>
      <c r="R101" s="14" t="n"/>
      <c r="S101" s="16" t="n"/>
      <c r="T101" s="124">
        <f>IF(S101="","",COUNTIFS($C$18:$C$2015,S$13,$D$18:$D$2015,"&gt;="&amp;S101,$D$18:$D$2015,"&lt;"&amp;S102))</f>
        <v/>
      </c>
      <c r="U101" s="14" t="n"/>
      <c r="V101" s="16" t="n"/>
      <c r="W101" s="124">
        <f>IF(V101="","",COUNTIFS($C$18:$C$2015,V$13,$D$18:$D$2015,"&gt;="&amp;V101,$D$18:$D$2015,"&lt;"&amp;V102))</f>
        <v/>
      </c>
      <c r="X101" s="14" t="n"/>
      <c r="Y101" s="16" t="n"/>
      <c r="Z101" s="124">
        <f>IF(Y101="","",COUNTIFS($C$18:$C$2015,Y$13,$D$18:$D$2015,"&gt;="&amp;Y101,$D$18:$D$2015,"&lt;"&amp;Y102))</f>
        <v/>
      </c>
      <c r="AA101" s="14" t="n"/>
      <c r="AB101" s="16" t="n"/>
      <c r="AC101" s="124">
        <f>IF(AB101="","",COUNTIFS($C$18:$C$2015,AB$13,$D$18:$D$2015,"&gt;="&amp;AB101,$D$18:$D$2015,"&lt;"&amp;AB102))</f>
        <v/>
      </c>
      <c r="AD101" s="14" t="n"/>
    </row>
    <row r="102">
      <c r="A102" s="56" t="n"/>
      <c r="B102" s="59" t="n"/>
      <c r="C102" s="59" t="n"/>
      <c r="E102" s="16" t="n"/>
      <c r="F102" s="13" t="n"/>
      <c r="G102" s="16" t="n"/>
      <c r="H102" s="124">
        <f>IF(G102="","",COUNTIFS($C$18:$C$2015,G$13,$D$18:$D$2015,"&gt;="&amp;G102,$D$18:$D$2015,"&lt;"&amp;G103))</f>
        <v/>
      </c>
      <c r="I102" s="14" t="n"/>
      <c r="J102" s="16" t="n"/>
      <c r="K102" s="124">
        <f>IF(J102="","",COUNTIFS($C$18:$C$2015,J$13,$D$18:$D$2015,"&gt;="&amp;J102,$D$18:$D$2015,"&lt;"&amp;J103))</f>
        <v/>
      </c>
      <c r="L102" s="14" t="n"/>
      <c r="M102" s="16" t="n"/>
      <c r="N102" s="124">
        <f>IF(M102="","",COUNTIFS($C$18:$C$2015,M$13,$D$18:$D$2015,"&gt;="&amp;M102,$D$18:$D$2015,"&lt;"&amp;M103))</f>
        <v/>
      </c>
      <c r="O102" s="14" t="n"/>
      <c r="P102" s="16" t="n"/>
      <c r="Q102" s="124">
        <f>IF(P102="","",COUNTIFS($C$18:$C$2015,P$13,$D$18:$D$2015,"&gt;="&amp;P102,$D$18:$D$2015,"&lt;"&amp;P103))</f>
        <v/>
      </c>
      <c r="R102" s="14" t="n"/>
      <c r="S102" s="16" t="n"/>
      <c r="T102" s="124">
        <f>IF(S102="","",COUNTIFS($C$18:$C$2015,S$13,$D$18:$D$2015,"&gt;="&amp;S102,$D$18:$D$2015,"&lt;"&amp;S103))</f>
        <v/>
      </c>
      <c r="U102" s="14" t="n"/>
      <c r="V102" s="16" t="n"/>
      <c r="W102" s="124">
        <f>IF(V102="","",COUNTIFS($C$18:$C$2015,V$13,$D$18:$D$2015,"&gt;="&amp;V102,$D$18:$D$2015,"&lt;"&amp;V103))</f>
        <v/>
      </c>
      <c r="X102" s="14" t="n"/>
      <c r="Y102" s="16" t="n"/>
      <c r="Z102" s="124">
        <f>IF(Y102="","",COUNTIFS($C$18:$C$2015,Y$13,$D$18:$D$2015,"&gt;="&amp;Y102,$D$18:$D$2015,"&lt;"&amp;Y103))</f>
        <v/>
      </c>
      <c r="AA102" s="14" t="n"/>
      <c r="AB102" s="16" t="n"/>
      <c r="AC102" s="124">
        <f>IF(AB102="","",COUNTIFS($C$18:$C$2015,AB$13,$D$18:$D$2015,"&gt;="&amp;AB102,$D$18:$D$2015,"&lt;"&amp;AB103))</f>
        <v/>
      </c>
      <c r="AD102" s="14" t="n"/>
    </row>
    <row r="103">
      <c r="A103" s="58" t="n"/>
      <c r="B103" s="59" t="n"/>
      <c r="C103" s="59" t="n"/>
      <c r="E103" s="16" t="n"/>
      <c r="F103" s="13" t="n"/>
      <c r="G103" s="16" t="n"/>
      <c r="H103" s="124">
        <f>IF(G103="","",COUNTIFS($C$18:$C$2015,G$13,$D$18:$D$2015,"&gt;="&amp;G103,$D$18:$D$2015,"&lt;"&amp;G104))</f>
        <v/>
      </c>
      <c r="I103" s="14" t="n"/>
      <c r="J103" s="16" t="n"/>
      <c r="K103" s="124">
        <f>IF(J103="","",COUNTIFS($C$18:$C$2015,J$13,$D$18:$D$2015,"&gt;="&amp;J103,$D$18:$D$2015,"&lt;"&amp;J104))</f>
        <v/>
      </c>
      <c r="L103" s="14" t="n"/>
      <c r="M103" s="16" t="n"/>
      <c r="N103" s="124">
        <f>IF(M103="","",COUNTIFS($C$18:$C$2015,M$13,$D$18:$D$2015,"&gt;="&amp;M103,$D$18:$D$2015,"&lt;"&amp;M104))</f>
        <v/>
      </c>
      <c r="O103" s="14" t="n"/>
      <c r="P103" s="16" t="n"/>
      <c r="Q103" s="124">
        <f>IF(P103="","",COUNTIFS($C$18:$C$2015,P$13,$D$18:$D$2015,"&gt;="&amp;P103,$D$18:$D$2015,"&lt;"&amp;P104))</f>
        <v/>
      </c>
      <c r="R103" s="14" t="n"/>
      <c r="S103" s="16" t="n"/>
      <c r="T103" s="124">
        <f>IF(S103="","",COUNTIFS($C$18:$C$2015,S$13,$D$18:$D$2015,"&gt;="&amp;S103,$D$18:$D$2015,"&lt;"&amp;S104))</f>
        <v/>
      </c>
      <c r="U103" s="14" t="n"/>
      <c r="V103" s="16" t="n"/>
      <c r="W103" s="124">
        <f>IF(V103="","",COUNTIFS($C$18:$C$2015,V$13,$D$18:$D$2015,"&gt;="&amp;V103,$D$18:$D$2015,"&lt;"&amp;V104))</f>
        <v/>
      </c>
      <c r="X103" s="14" t="n"/>
      <c r="Y103" s="16" t="n"/>
      <c r="Z103" s="124">
        <f>IF(Y103="","",COUNTIFS($C$18:$C$2015,Y$13,$D$18:$D$2015,"&gt;="&amp;Y103,$D$18:$D$2015,"&lt;"&amp;Y104))</f>
        <v/>
      </c>
      <c r="AA103" s="14" t="n"/>
      <c r="AB103" s="16" t="n"/>
      <c r="AC103" s="124">
        <f>IF(AB103="","",COUNTIFS($C$18:$C$2015,AB$13,$D$18:$D$2015,"&gt;="&amp;AB103,$D$18:$D$2015,"&lt;"&amp;AB104))</f>
        <v/>
      </c>
      <c r="AD103" s="14" t="n"/>
    </row>
    <row r="104">
      <c r="A104" s="56" t="n"/>
      <c r="B104" s="59" t="n"/>
      <c r="C104" s="59" t="n"/>
      <c r="E104" s="16" t="n"/>
      <c r="F104" s="13" t="n"/>
      <c r="G104" s="16" t="n"/>
      <c r="H104" s="124">
        <f>IF(G104="","",COUNTIFS($C$18:$C$2015,G$13,$D$18:$D$2015,"&gt;="&amp;G104,$D$18:$D$2015,"&lt;"&amp;G105))</f>
        <v/>
      </c>
      <c r="I104" s="14" t="n"/>
      <c r="J104" s="16" t="n"/>
      <c r="K104" s="124">
        <f>IF(J104="","",COUNTIFS($C$18:$C$2015,J$13,$D$18:$D$2015,"&gt;="&amp;J104,$D$18:$D$2015,"&lt;"&amp;J105))</f>
        <v/>
      </c>
      <c r="L104" s="14" t="n"/>
      <c r="M104" s="16" t="n"/>
      <c r="N104" s="124">
        <f>IF(M104="","",COUNTIFS($C$18:$C$2015,M$13,$D$18:$D$2015,"&gt;="&amp;M104,$D$18:$D$2015,"&lt;"&amp;M105))</f>
        <v/>
      </c>
      <c r="O104" s="14" t="n"/>
      <c r="P104" s="16" t="n"/>
      <c r="Q104" s="124">
        <f>IF(P104="","",COUNTIFS($C$18:$C$2015,P$13,$D$18:$D$2015,"&gt;="&amp;P104,$D$18:$D$2015,"&lt;"&amp;P105))</f>
        <v/>
      </c>
      <c r="R104" s="14" t="n"/>
      <c r="S104" s="16" t="n"/>
      <c r="T104" s="124">
        <f>IF(S104="","",COUNTIFS($C$18:$C$2015,S$13,$D$18:$D$2015,"&gt;="&amp;S104,$D$18:$D$2015,"&lt;"&amp;S105))</f>
        <v/>
      </c>
      <c r="U104" s="14" t="n"/>
      <c r="V104" s="16" t="n"/>
      <c r="W104" s="124">
        <f>IF(V104="","",COUNTIFS($C$18:$C$2015,V$13,$D$18:$D$2015,"&gt;="&amp;V104,$D$18:$D$2015,"&lt;"&amp;V105))</f>
        <v/>
      </c>
      <c r="X104" s="14" t="n"/>
      <c r="Y104" s="16" t="n"/>
      <c r="Z104" s="124">
        <f>IF(Y104="","",COUNTIFS($C$18:$C$2015,Y$13,$D$18:$D$2015,"&gt;="&amp;Y104,$D$18:$D$2015,"&lt;"&amp;Y105))</f>
        <v/>
      </c>
      <c r="AA104" s="14" t="n"/>
      <c r="AB104" s="16" t="n"/>
      <c r="AC104" s="124">
        <f>IF(AB104="","",COUNTIFS($C$18:$C$2015,AB$13,$D$18:$D$2015,"&gt;="&amp;AB104,$D$18:$D$2015,"&lt;"&amp;AB105))</f>
        <v/>
      </c>
      <c r="AD104" s="14" t="n"/>
    </row>
    <row r="105">
      <c r="A105" s="58" t="n"/>
      <c r="B105" s="59" t="n"/>
      <c r="C105" s="59" t="n"/>
      <c r="E105" s="16" t="n"/>
      <c r="F105" s="13" t="n"/>
      <c r="G105" s="16" t="n"/>
      <c r="H105" s="124">
        <f>IF(G105="","",COUNTIFS($C$18:$C$2015,G$13,$D$18:$D$2015,"&gt;="&amp;G105,$D$18:$D$2015,"&lt;"&amp;G106))</f>
        <v/>
      </c>
      <c r="I105" s="14" t="n"/>
      <c r="J105" s="16" t="n"/>
      <c r="K105" s="124">
        <f>IF(J105="","",COUNTIFS($C$18:$C$2015,J$13,$D$18:$D$2015,"&gt;="&amp;J105,$D$18:$D$2015,"&lt;"&amp;J106))</f>
        <v/>
      </c>
      <c r="L105" s="14" t="n"/>
      <c r="M105" s="16" t="n"/>
      <c r="N105" s="124">
        <f>IF(M105="","",COUNTIFS($C$18:$C$2015,M$13,$D$18:$D$2015,"&gt;="&amp;M105,$D$18:$D$2015,"&lt;"&amp;M106))</f>
        <v/>
      </c>
      <c r="O105" s="14" t="n"/>
      <c r="P105" s="16" t="n"/>
      <c r="Q105" s="124">
        <f>IF(P105="","",COUNTIFS($C$18:$C$2015,P$13,$D$18:$D$2015,"&gt;="&amp;P105,$D$18:$D$2015,"&lt;"&amp;P106))</f>
        <v/>
      </c>
      <c r="R105" s="14" t="n"/>
      <c r="S105" s="16" t="n"/>
      <c r="T105" s="124">
        <f>IF(S105="","",COUNTIFS($C$18:$C$2015,S$13,$D$18:$D$2015,"&gt;="&amp;S105,$D$18:$D$2015,"&lt;"&amp;S106))</f>
        <v/>
      </c>
      <c r="U105" s="14" t="n"/>
      <c r="V105" s="16" t="n"/>
      <c r="W105" s="124">
        <f>IF(V105="","",COUNTIFS($C$18:$C$2015,V$13,$D$18:$D$2015,"&gt;="&amp;V105,$D$18:$D$2015,"&lt;"&amp;V106))</f>
        <v/>
      </c>
      <c r="X105" s="14" t="n"/>
      <c r="Y105" s="16" t="n"/>
      <c r="Z105" s="124">
        <f>IF(Y105="","",COUNTIFS($C$18:$C$2015,Y$13,$D$18:$D$2015,"&gt;="&amp;Y105,$D$18:$D$2015,"&lt;"&amp;Y106))</f>
        <v/>
      </c>
      <c r="AA105" s="14" t="n"/>
      <c r="AB105" s="16" t="n"/>
      <c r="AC105" s="124">
        <f>IF(AB105="","",COUNTIFS($C$18:$C$2015,AB$13,$D$18:$D$2015,"&gt;="&amp;AB105,$D$18:$D$2015,"&lt;"&amp;AB106))</f>
        <v/>
      </c>
      <c r="AD105" s="14" t="n"/>
    </row>
    <row r="106">
      <c r="A106" s="56" t="n"/>
      <c r="B106" s="59" t="n"/>
      <c r="C106" s="59" t="n"/>
      <c r="E106" s="16" t="n"/>
      <c r="F106" s="13" t="n"/>
      <c r="G106" s="16" t="n"/>
      <c r="H106" s="124">
        <f>IF(G106="","",COUNTIFS($C$18:$C$2015,G$13,$D$18:$D$2015,"&gt;="&amp;G106,$D$18:$D$2015,"&lt;"&amp;G107))</f>
        <v/>
      </c>
      <c r="I106" s="14" t="n"/>
      <c r="J106" s="16" t="n"/>
      <c r="K106" s="124">
        <f>IF(J106="","",COUNTIFS($C$18:$C$2015,J$13,$D$18:$D$2015,"&gt;="&amp;J106,$D$18:$D$2015,"&lt;"&amp;J107))</f>
        <v/>
      </c>
      <c r="L106" s="14" t="n"/>
      <c r="M106" s="16" t="n"/>
      <c r="N106" s="124">
        <f>IF(M106="","",COUNTIFS($C$18:$C$2015,M$13,$D$18:$D$2015,"&gt;="&amp;M106,$D$18:$D$2015,"&lt;"&amp;M107))</f>
        <v/>
      </c>
      <c r="O106" s="14" t="n"/>
      <c r="P106" s="16" t="n"/>
      <c r="Q106" s="124">
        <f>IF(P106="","",COUNTIFS($C$18:$C$2015,P$13,$D$18:$D$2015,"&gt;="&amp;P106,$D$18:$D$2015,"&lt;"&amp;P107))</f>
        <v/>
      </c>
      <c r="R106" s="14" t="n"/>
      <c r="S106" s="16" t="n"/>
      <c r="T106" s="124">
        <f>IF(S106="","",COUNTIFS($C$18:$C$2015,S$13,$D$18:$D$2015,"&gt;="&amp;S106,$D$18:$D$2015,"&lt;"&amp;S107))</f>
        <v/>
      </c>
      <c r="U106" s="14" t="n"/>
      <c r="V106" s="16" t="n"/>
      <c r="W106" s="124">
        <f>IF(V106="","",COUNTIFS($C$18:$C$2015,V$13,$D$18:$D$2015,"&gt;="&amp;V106,$D$18:$D$2015,"&lt;"&amp;V107))</f>
        <v/>
      </c>
      <c r="X106" s="14" t="n"/>
      <c r="Y106" s="16" t="n"/>
      <c r="Z106" s="124">
        <f>IF(Y106="","",COUNTIFS($C$18:$C$2015,Y$13,$D$18:$D$2015,"&gt;="&amp;Y106,$D$18:$D$2015,"&lt;"&amp;Y107))</f>
        <v/>
      </c>
      <c r="AA106" s="14" t="n"/>
      <c r="AB106" s="16" t="n"/>
      <c r="AC106" s="124">
        <f>IF(AB106="","",COUNTIFS($C$18:$C$2015,AB$13,$D$18:$D$2015,"&gt;="&amp;AB106,$D$18:$D$2015,"&lt;"&amp;AB107))</f>
        <v/>
      </c>
      <c r="AD106" s="14" t="n"/>
    </row>
    <row r="107">
      <c r="A107" s="58" t="n"/>
      <c r="B107" s="59" t="n"/>
      <c r="C107" s="59" t="n"/>
      <c r="E107" s="16" t="n"/>
      <c r="F107" s="13" t="n"/>
      <c r="G107" s="16" t="n"/>
      <c r="H107" s="124">
        <f>IF(G107="","",COUNTIFS($C$18:$C$2015,G$13,$D$18:$D$2015,"&gt;="&amp;G107,$D$18:$D$2015,"&lt;"&amp;G108))</f>
        <v/>
      </c>
      <c r="I107" s="14" t="n"/>
      <c r="J107" s="16" t="n"/>
      <c r="K107" s="124">
        <f>IF(J107="","",COUNTIFS($C$18:$C$2015,J$13,$D$18:$D$2015,"&gt;="&amp;J107,$D$18:$D$2015,"&lt;"&amp;J108))</f>
        <v/>
      </c>
      <c r="L107" s="14" t="n"/>
      <c r="M107" s="16" t="n"/>
      <c r="N107" s="124">
        <f>IF(M107="","",COUNTIFS($C$18:$C$2015,M$13,$D$18:$D$2015,"&gt;="&amp;M107,$D$18:$D$2015,"&lt;"&amp;M108))</f>
        <v/>
      </c>
      <c r="O107" s="14" t="n"/>
      <c r="P107" s="16" t="n"/>
      <c r="Q107" s="124">
        <f>IF(P107="","",COUNTIFS($C$18:$C$2015,P$13,$D$18:$D$2015,"&gt;="&amp;P107,$D$18:$D$2015,"&lt;"&amp;P108))</f>
        <v/>
      </c>
      <c r="R107" s="14" t="n"/>
      <c r="S107" s="16" t="n"/>
      <c r="T107" s="124">
        <f>IF(S107="","",COUNTIFS($C$18:$C$2015,S$13,$D$18:$D$2015,"&gt;="&amp;S107,$D$18:$D$2015,"&lt;"&amp;S108))</f>
        <v/>
      </c>
      <c r="U107" s="14" t="n"/>
      <c r="V107" s="16" t="n"/>
      <c r="W107" s="124">
        <f>IF(V107="","",COUNTIFS($C$18:$C$2015,V$13,$D$18:$D$2015,"&gt;="&amp;V107,$D$18:$D$2015,"&lt;"&amp;V108))</f>
        <v/>
      </c>
      <c r="X107" s="14" t="n"/>
      <c r="Y107" s="16" t="n"/>
      <c r="Z107" s="124">
        <f>IF(Y107="","",COUNTIFS($C$18:$C$2015,Y$13,$D$18:$D$2015,"&gt;="&amp;Y107,$D$18:$D$2015,"&lt;"&amp;Y108))</f>
        <v/>
      </c>
      <c r="AA107" s="14" t="n"/>
      <c r="AB107" s="16" t="n"/>
      <c r="AC107" s="124">
        <f>IF(AB107="","",COUNTIFS($C$18:$C$2015,AB$13,$D$18:$D$2015,"&gt;="&amp;AB107,$D$18:$D$2015,"&lt;"&amp;AB108))</f>
        <v/>
      </c>
      <c r="AD107" s="14" t="n"/>
    </row>
    <row r="108">
      <c r="A108" s="56" t="n"/>
      <c r="B108" s="59" t="n"/>
      <c r="C108" s="59" t="n"/>
      <c r="E108" s="16" t="n"/>
      <c r="F108" s="13" t="n"/>
      <c r="G108" s="16" t="n"/>
      <c r="H108" s="124">
        <f>IF(G108="","",COUNTIFS($C$18:$C$2015,G$13,$D$18:$D$2015,"&gt;="&amp;G108,$D$18:$D$2015,"&lt;"&amp;G109))</f>
        <v/>
      </c>
      <c r="I108" s="14" t="n"/>
      <c r="J108" s="16" t="n"/>
      <c r="K108" s="124">
        <f>IF(J108="","",COUNTIFS($C$18:$C$2015,J$13,$D$18:$D$2015,"&gt;="&amp;J108,$D$18:$D$2015,"&lt;"&amp;J109))</f>
        <v/>
      </c>
      <c r="L108" s="14" t="n"/>
      <c r="M108" s="16" t="n"/>
      <c r="N108" s="124">
        <f>IF(M108="","",COUNTIFS($C$18:$C$2015,M$13,$D$18:$D$2015,"&gt;="&amp;M108,$D$18:$D$2015,"&lt;"&amp;M109))</f>
        <v/>
      </c>
      <c r="O108" s="14" t="n"/>
      <c r="P108" s="16" t="n"/>
      <c r="Q108" s="124">
        <f>IF(P108="","",COUNTIFS($C$18:$C$2015,P$13,$D$18:$D$2015,"&gt;="&amp;P108,$D$18:$D$2015,"&lt;"&amp;P109))</f>
        <v/>
      </c>
      <c r="R108" s="14" t="n"/>
      <c r="S108" s="16" t="n"/>
      <c r="T108" s="124">
        <f>IF(S108="","",COUNTIFS($C$18:$C$2015,S$13,$D$18:$D$2015,"&gt;="&amp;S108,$D$18:$D$2015,"&lt;"&amp;S109))</f>
        <v/>
      </c>
      <c r="U108" s="14" t="n"/>
      <c r="V108" s="16" t="n"/>
      <c r="W108" s="124">
        <f>IF(V108="","",COUNTIFS($C$18:$C$2015,V$13,$D$18:$D$2015,"&gt;="&amp;V108,$D$18:$D$2015,"&lt;"&amp;V109))</f>
        <v/>
      </c>
      <c r="X108" s="14" t="n"/>
      <c r="Y108" s="16" t="n"/>
      <c r="Z108" s="124">
        <f>IF(Y108="","",COUNTIFS($C$18:$C$2015,Y$13,$D$18:$D$2015,"&gt;="&amp;Y108,$D$18:$D$2015,"&lt;"&amp;Y109))</f>
        <v/>
      </c>
      <c r="AA108" s="14" t="n"/>
      <c r="AB108" s="16" t="n"/>
      <c r="AC108" s="124">
        <f>IF(AB108="","",COUNTIFS($C$18:$C$2015,AB$13,$D$18:$D$2015,"&gt;="&amp;AB108,$D$18:$D$2015,"&lt;"&amp;AB109))</f>
        <v/>
      </c>
      <c r="AD108" s="14" t="n"/>
    </row>
    <row r="109">
      <c r="A109" s="58" t="n"/>
      <c r="B109" s="59" t="n"/>
      <c r="C109" s="59" t="n"/>
      <c r="E109" s="16" t="n"/>
      <c r="F109" s="13" t="n"/>
      <c r="G109" s="16" t="n"/>
      <c r="H109" s="124">
        <f>IF(G109="","",COUNTIFS($C$18:$C$2015,G$13,$D$18:$D$2015,"&gt;="&amp;G109,$D$18:$D$2015,"&lt;"&amp;G110))</f>
        <v/>
      </c>
      <c r="I109" s="14" t="n"/>
      <c r="J109" s="16" t="n"/>
      <c r="K109" s="124">
        <f>IF(J109="","",COUNTIFS($C$18:$C$2015,J$13,$D$18:$D$2015,"&gt;="&amp;J109,$D$18:$D$2015,"&lt;"&amp;J110))</f>
        <v/>
      </c>
      <c r="L109" s="14" t="n"/>
      <c r="M109" s="16" t="n"/>
      <c r="N109" s="124">
        <f>IF(M109="","",COUNTIFS($C$18:$C$2015,M$13,$D$18:$D$2015,"&gt;="&amp;M109,$D$18:$D$2015,"&lt;"&amp;M110))</f>
        <v/>
      </c>
      <c r="O109" s="14" t="n"/>
      <c r="P109" s="16" t="n"/>
      <c r="Q109" s="124">
        <f>IF(P109="","",COUNTIFS($C$18:$C$2015,P$13,$D$18:$D$2015,"&gt;="&amp;P109,$D$18:$D$2015,"&lt;"&amp;P110))</f>
        <v/>
      </c>
      <c r="R109" s="14" t="n"/>
      <c r="S109" s="16" t="n"/>
      <c r="T109" s="124">
        <f>IF(S109="","",COUNTIFS($C$18:$C$2015,S$13,$D$18:$D$2015,"&gt;="&amp;S109,$D$18:$D$2015,"&lt;"&amp;S110))</f>
        <v/>
      </c>
      <c r="U109" s="14" t="n"/>
      <c r="V109" s="16" t="n"/>
      <c r="W109" s="124">
        <f>IF(V109="","",COUNTIFS($C$18:$C$2015,V$13,$D$18:$D$2015,"&gt;="&amp;V109,$D$18:$D$2015,"&lt;"&amp;V110))</f>
        <v/>
      </c>
      <c r="X109" s="14" t="n"/>
      <c r="Y109" s="16" t="n"/>
      <c r="Z109" s="124">
        <f>IF(Y109="","",COUNTIFS($C$18:$C$2015,Y$13,$D$18:$D$2015,"&gt;="&amp;Y109,$D$18:$D$2015,"&lt;"&amp;Y110))</f>
        <v/>
      </c>
      <c r="AA109" s="14" t="n"/>
      <c r="AB109" s="16" t="n"/>
      <c r="AC109" s="124">
        <f>IF(AB109="","",COUNTIFS($C$18:$C$2015,AB$13,$D$18:$D$2015,"&gt;="&amp;AB109,$D$18:$D$2015,"&lt;"&amp;AB110))</f>
        <v/>
      </c>
      <c r="AD109" s="14" t="n"/>
    </row>
    <row r="110">
      <c r="A110" s="56" t="n"/>
      <c r="B110" s="59" t="n"/>
      <c r="C110" s="59" t="n"/>
      <c r="E110" s="16" t="n"/>
      <c r="F110" s="13" t="n"/>
      <c r="G110" s="16" t="n"/>
      <c r="H110" s="124">
        <f>IF(G110="","",COUNTIFS($C$18:$C$2015,G$13,$D$18:$D$2015,"&gt;="&amp;G110,$D$18:$D$2015,"&lt;"&amp;G111))</f>
        <v/>
      </c>
      <c r="I110" s="14" t="n"/>
      <c r="J110" s="16" t="n"/>
      <c r="K110" s="124">
        <f>IF(J110="","",COUNTIFS($C$18:$C$2015,J$13,$D$18:$D$2015,"&gt;="&amp;J110,$D$18:$D$2015,"&lt;"&amp;J111))</f>
        <v/>
      </c>
      <c r="L110" s="14" t="n"/>
      <c r="M110" s="16" t="n"/>
      <c r="N110" s="124">
        <f>IF(M110="","",COUNTIFS($C$18:$C$2015,M$13,$D$18:$D$2015,"&gt;="&amp;M110,$D$18:$D$2015,"&lt;"&amp;M111))</f>
        <v/>
      </c>
      <c r="O110" s="14" t="n"/>
      <c r="P110" s="16" t="n"/>
      <c r="Q110" s="124">
        <f>IF(P110="","",COUNTIFS($C$18:$C$2015,P$13,$D$18:$D$2015,"&gt;="&amp;P110,$D$18:$D$2015,"&lt;"&amp;P111))</f>
        <v/>
      </c>
      <c r="R110" s="14" t="n"/>
      <c r="S110" s="16" t="n"/>
      <c r="T110" s="124">
        <f>IF(S110="","",COUNTIFS($C$18:$C$2015,S$13,$D$18:$D$2015,"&gt;="&amp;S110,$D$18:$D$2015,"&lt;"&amp;S111))</f>
        <v/>
      </c>
      <c r="U110" s="14" t="n"/>
      <c r="V110" s="16" t="n"/>
      <c r="W110" s="124">
        <f>IF(V110="","",COUNTIFS($C$18:$C$2015,V$13,$D$18:$D$2015,"&gt;="&amp;V110,$D$18:$D$2015,"&lt;"&amp;V111))</f>
        <v/>
      </c>
      <c r="X110" s="14" t="n"/>
      <c r="Y110" s="16" t="n"/>
      <c r="Z110" s="124">
        <f>IF(Y110="","",COUNTIFS($C$18:$C$2015,Y$13,$D$18:$D$2015,"&gt;="&amp;Y110,$D$18:$D$2015,"&lt;"&amp;Y111))</f>
        <v/>
      </c>
      <c r="AA110" s="14" t="n"/>
      <c r="AB110" s="16" t="n"/>
      <c r="AC110" s="124">
        <f>IF(AB110="","",COUNTIFS($C$18:$C$2015,AB$13,$D$18:$D$2015,"&gt;="&amp;AB110,$D$18:$D$2015,"&lt;"&amp;AB111))</f>
        <v/>
      </c>
      <c r="AD110" s="14" t="n"/>
    </row>
    <row r="111">
      <c r="A111" s="58" t="n"/>
      <c r="B111" s="59" t="n"/>
      <c r="C111" s="59" t="n"/>
      <c r="E111" s="16" t="n"/>
      <c r="F111" s="13" t="n"/>
      <c r="G111" s="16" t="n"/>
      <c r="H111" s="124">
        <f>IF(G111="","",COUNTIFS($C$18:$C$2015,G$13,$D$18:$D$2015,"&gt;="&amp;G111,$D$18:$D$2015,"&lt;"&amp;G112))</f>
        <v/>
      </c>
      <c r="I111" s="14" t="n"/>
      <c r="J111" s="16" t="n"/>
      <c r="K111" s="124">
        <f>IF(J111="","",COUNTIFS($C$18:$C$2015,J$13,$D$18:$D$2015,"&gt;="&amp;J111,$D$18:$D$2015,"&lt;"&amp;J112))</f>
        <v/>
      </c>
      <c r="L111" s="14" t="n"/>
      <c r="M111" s="16" t="n"/>
      <c r="N111" s="124">
        <f>IF(M111="","",COUNTIFS($C$18:$C$2015,M$13,$D$18:$D$2015,"&gt;="&amp;M111,$D$18:$D$2015,"&lt;"&amp;M112))</f>
        <v/>
      </c>
      <c r="O111" s="14" t="n"/>
      <c r="P111" s="16" t="n"/>
      <c r="Q111" s="124">
        <f>IF(P111="","",COUNTIFS($C$18:$C$2015,P$13,$D$18:$D$2015,"&gt;="&amp;P111,$D$18:$D$2015,"&lt;"&amp;P112))</f>
        <v/>
      </c>
      <c r="R111" s="14" t="n"/>
      <c r="S111" s="16" t="n"/>
      <c r="T111" s="124">
        <f>IF(S111="","",COUNTIFS($C$18:$C$2015,S$13,$D$18:$D$2015,"&gt;="&amp;S111,$D$18:$D$2015,"&lt;"&amp;S112))</f>
        <v/>
      </c>
      <c r="U111" s="14" t="n"/>
      <c r="V111" s="16" t="n"/>
      <c r="W111" s="124">
        <f>IF(V111="","",COUNTIFS($C$18:$C$2015,V$13,$D$18:$D$2015,"&gt;="&amp;V111,$D$18:$D$2015,"&lt;"&amp;V112))</f>
        <v/>
      </c>
      <c r="X111" s="14" t="n"/>
      <c r="Y111" s="16" t="n"/>
      <c r="Z111" s="124">
        <f>IF(Y111="","",COUNTIFS($C$18:$C$2015,Y$13,$D$18:$D$2015,"&gt;="&amp;Y111,$D$18:$D$2015,"&lt;"&amp;Y112))</f>
        <v/>
      </c>
      <c r="AA111" s="14" t="n"/>
      <c r="AB111" s="16" t="n"/>
      <c r="AC111" s="124">
        <f>IF(AB111="","",COUNTIFS($C$18:$C$2015,AB$13,$D$18:$D$2015,"&gt;="&amp;AB111,$D$18:$D$2015,"&lt;"&amp;AB112))</f>
        <v/>
      </c>
      <c r="AD111" s="14" t="n"/>
    </row>
    <row r="112">
      <c r="A112" s="56" t="n"/>
      <c r="B112" s="59" t="n"/>
      <c r="C112" s="59" t="n"/>
      <c r="E112" s="16" t="n"/>
      <c r="F112" s="13" t="n"/>
      <c r="G112" s="16" t="n"/>
      <c r="H112" s="124">
        <f>IF(G112="","",COUNTIFS($C$18:$C$2015,G$13,$D$18:$D$2015,"&gt;="&amp;G112,$D$18:$D$2015,"&lt;"&amp;G113))</f>
        <v/>
      </c>
      <c r="I112" s="14" t="n"/>
      <c r="J112" s="16" t="n"/>
      <c r="K112" s="124">
        <f>IF(J112="","",COUNTIFS($C$18:$C$2015,J$13,$D$18:$D$2015,"&gt;="&amp;J112,$D$18:$D$2015,"&lt;"&amp;J113))</f>
        <v/>
      </c>
      <c r="L112" s="14" t="n"/>
      <c r="M112" s="16" t="n"/>
      <c r="N112" s="124">
        <f>IF(M112="","",COUNTIFS($C$18:$C$2015,M$13,$D$18:$D$2015,"&gt;="&amp;M112,$D$18:$D$2015,"&lt;"&amp;M113))</f>
        <v/>
      </c>
      <c r="O112" s="14" t="n"/>
      <c r="P112" s="16" t="n"/>
      <c r="Q112" s="124">
        <f>IF(P112="","",COUNTIFS($C$18:$C$2015,P$13,$D$18:$D$2015,"&gt;="&amp;P112,$D$18:$D$2015,"&lt;"&amp;P113))</f>
        <v/>
      </c>
      <c r="R112" s="14" t="n"/>
      <c r="S112" s="16" t="n"/>
      <c r="T112" s="124">
        <f>IF(S112="","",COUNTIFS($C$18:$C$2015,S$13,$D$18:$D$2015,"&gt;="&amp;S112,$D$18:$D$2015,"&lt;"&amp;S113))</f>
        <v/>
      </c>
      <c r="U112" s="14" t="n"/>
      <c r="V112" s="16" t="n"/>
      <c r="W112" s="124">
        <f>IF(V112="","",COUNTIFS($C$18:$C$2015,V$13,$D$18:$D$2015,"&gt;="&amp;V112,$D$18:$D$2015,"&lt;"&amp;V113))</f>
        <v/>
      </c>
      <c r="X112" s="14" t="n"/>
      <c r="Y112" s="16" t="n"/>
      <c r="Z112" s="124">
        <f>IF(Y112="","",COUNTIFS($C$18:$C$2015,Y$13,$D$18:$D$2015,"&gt;="&amp;Y112,$D$18:$D$2015,"&lt;"&amp;Y113))</f>
        <v/>
      </c>
      <c r="AA112" s="14" t="n"/>
      <c r="AB112" s="16" t="n"/>
      <c r="AC112" s="124">
        <f>IF(AB112="","",COUNTIFS($C$18:$C$2015,AB$13,$D$18:$D$2015,"&gt;="&amp;AB112,$D$18:$D$2015,"&lt;"&amp;AB113))</f>
        <v/>
      </c>
      <c r="AD112" s="14" t="n"/>
    </row>
    <row r="113">
      <c r="A113" s="58" t="n"/>
      <c r="B113" s="59" t="n"/>
      <c r="C113" s="59" t="n"/>
      <c r="E113" s="16" t="n"/>
      <c r="F113" s="13" t="n"/>
      <c r="G113" s="16" t="n"/>
      <c r="H113" s="124">
        <f>IF(G113="","",COUNTIFS($C$18:$C$2015,G$13,$D$18:$D$2015,"&gt;="&amp;G113,$D$18:$D$2015,"&lt;"&amp;G114))</f>
        <v/>
      </c>
      <c r="I113" s="14" t="n"/>
      <c r="J113" s="16" t="n"/>
      <c r="K113" s="124">
        <f>IF(J113="","",COUNTIFS($C$18:$C$2015,J$13,$D$18:$D$2015,"&gt;="&amp;J113,$D$18:$D$2015,"&lt;"&amp;J114))</f>
        <v/>
      </c>
      <c r="L113" s="14" t="n"/>
      <c r="M113" s="16" t="n"/>
      <c r="N113" s="124">
        <f>IF(M113="","",COUNTIFS($C$18:$C$2015,M$13,$D$18:$D$2015,"&gt;="&amp;M113,$D$18:$D$2015,"&lt;"&amp;M114))</f>
        <v/>
      </c>
      <c r="O113" s="14" t="n"/>
      <c r="P113" s="16" t="n"/>
      <c r="Q113" s="124">
        <f>IF(P113="","",COUNTIFS($C$18:$C$2015,P$13,$D$18:$D$2015,"&gt;="&amp;P113,$D$18:$D$2015,"&lt;"&amp;P114))</f>
        <v/>
      </c>
      <c r="R113" s="14" t="n"/>
      <c r="S113" s="16" t="n"/>
      <c r="T113" s="124">
        <f>IF(S113="","",COUNTIFS($C$18:$C$2015,S$13,$D$18:$D$2015,"&gt;="&amp;S113,$D$18:$D$2015,"&lt;"&amp;S114))</f>
        <v/>
      </c>
      <c r="U113" s="14" t="n"/>
      <c r="V113" s="16" t="n"/>
      <c r="W113" s="124">
        <f>IF(V113="","",COUNTIFS($C$18:$C$2015,V$13,$D$18:$D$2015,"&gt;="&amp;V113,$D$18:$D$2015,"&lt;"&amp;V114))</f>
        <v/>
      </c>
      <c r="X113" s="14" t="n"/>
      <c r="Y113" s="16" t="n"/>
      <c r="Z113" s="124">
        <f>IF(Y113="","",COUNTIFS($C$18:$C$2015,Y$13,$D$18:$D$2015,"&gt;="&amp;Y113,$D$18:$D$2015,"&lt;"&amp;Y114))</f>
        <v/>
      </c>
      <c r="AA113" s="14" t="n"/>
      <c r="AB113" s="16" t="n"/>
      <c r="AC113" s="124">
        <f>IF(AB113="","",COUNTIFS($C$18:$C$2015,AB$13,$D$18:$D$2015,"&gt;="&amp;AB113,$D$18:$D$2015,"&lt;"&amp;AB114))</f>
        <v/>
      </c>
      <c r="AD113" s="14" t="n"/>
    </row>
    <row r="114">
      <c r="A114" s="56" t="n"/>
      <c r="B114" s="59" t="n"/>
      <c r="C114" s="59" t="n"/>
      <c r="E114" s="16" t="n"/>
      <c r="F114" s="13" t="n"/>
      <c r="G114" s="16" t="n"/>
      <c r="H114" s="124">
        <f>IF(G114="","",COUNTIFS($C$18:$C$2015,G$13,$D$18:$D$2015,"&gt;="&amp;G114,$D$18:$D$2015,"&lt;"&amp;G115))</f>
        <v/>
      </c>
      <c r="I114" s="14" t="n"/>
      <c r="J114" s="16" t="n"/>
      <c r="K114" s="124">
        <f>IF(J114="","",COUNTIFS($C$18:$C$2015,J$13,$D$18:$D$2015,"&gt;="&amp;J114,$D$18:$D$2015,"&lt;"&amp;J115))</f>
        <v/>
      </c>
      <c r="L114" s="14" t="n"/>
      <c r="M114" s="16" t="n"/>
      <c r="N114" s="124">
        <f>IF(M114="","",COUNTIFS($C$18:$C$2015,M$13,$D$18:$D$2015,"&gt;="&amp;M114,$D$18:$D$2015,"&lt;"&amp;M115))</f>
        <v/>
      </c>
      <c r="O114" s="14" t="n"/>
      <c r="P114" s="16" t="n"/>
      <c r="Q114" s="124">
        <f>IF(P114="","",COUNTIFS($C$18:$C$2015,P$13,$D$18:$D$2015,"&gt;="&amp;P114,$D$18:$D$2015,"&lt;"&amp;P115))</f>
        <v/>
      </c>
      <c r="R114" s="14" t="n"/>
      <c r="S114" s="16" t="n"/>
      <c r="T114" s="124">
        <f>IF(S114="","",COUNTIFS($C$18:$C$2015,S$13,$D$18:$D$2015,"&gt;="&amp;S114,$D$18:$D$2015,"&lt;"&amp;S115))</f>
        <v/>
      </c>
      <c r="U114" s="14" t="n"/>
      <c r="V114" s="16" t="n"/>
      <c r="W114" s="124">
        <f>IF(V114="","",COUNTIFS($C$18:$C$2015,V$13,$D$18:$D$2015,"&gt;="&amp;V114,$D$18:$D$2015,"&lt;"&amp;V115))</f>
        <v/>
      </c>
      <c r="X114" s="14" t="n"/>
      <c r="Y114" s="16" t="n"/>
      <c r="Z114" s="124">
        <f>IF(Y114="","",COUNTIFS($C$18:$C$2015,Y$13,$D$18:$D$2015,"&gt;="&amp;Y114,$D$18:$D$2015,"&lt;"&amp;Y115))</f>
        <v/>
      </c>
      <c r="AA114" s="14" t="n"/>
      <c r="AB114" s="16" t="n"/>
      <c r="AC114" s="124">
        <f>IF(AB114="","",COUNTIFS($C$18:$C$2015,AB$13,$D$18:$D$2015,"&gt;="&amp;AB114,$D$18:$D$2015,"&lt;"&amp;AB115))</f>
        <v/>
      </c>
      <c r="AD114" s="14" t="n"/>
    </row>
    <row r="115">
      <c r="A115" s="58" t="n"/>
      <c r="B115" s="59" t="n"/>
      <c r="C115" s="59" t="n"/>
      <c r="E115" s="16" t="n"/>
      <c r="F115" s="13" t="n"/>
      <c r="G115" s="16" t="n"/>
      <c r="H115" s="124">
        <f>IF(G115="","",COUNTIFS($C$18:$C$2015,G$13,$D$18:$D$2015,"&gt;="&amp;G115,$D$18:$D$2015,"&lt;"&amp;G116))</f>
        <v/>
      </c>
      <c r="I115" s="14" t="n"/>
      <c r="J115" s="16" t="n"/>
      <c r="K115" s="124">
        <f>IF(J115="","",COUNTIFS($C$18:$C$2015,J$13,$D$18:$D$2015,"&gt;="&amp;J115,$D$18:$D$2015,"&lt;"&amp;J116))</f>
        <v/>
      </c>
      <c r="L115" s="14" t="n"/>
      <c r="M115" s="16" t="n"/>
      <c r="N115" s="124">
        <f>IF(M115="","",COUNTIFS($C$18:$C$2015,M$13,$D$18:$D$2015,"&gt;="&amp;M115,$D$18:$D$2015,"&lt;"&amp;M116))</f>
        <v/>
      </c>
      <c r="O115" s="14" t="n"/>
      <c r="P115" s="16" t="n"/>
      <c r="Q115" s="124">
        <f>IF(P115="","",COUNTIFS($C$18:$C$2015,P$13,$D$18:$D$2015,"&gt;="&amp;P115,$D$18:$D$2015,"&lt;"&amp;P116))</f>
        <v/>
      </c>
      <c r="R115" s="14" t="n"/>
      <c r="S115" s="16" t="n"/>
      <c r="T115" s="124">
        <f>IF(S115="","",COUNTIFS($C$18:$C$2015,S$13,$D$18:$D$2015,"&gt;="&amp;S115,$D$18:$D$2015,"&lt;"&amp;S116))</f>
        <v/>
      </c>
      <c r="U115" s="14" t="n"/>
      <c r="V115" s="16" t="n"/>
      <c r="W115" s="124">
        <f>IF(V115="","",COUNTIFS($C$18:$C$2015,V$13,$D$18:$D$2015,"&gt;="&amp;V115,$D$18:$D$2015,"&lt;"&amp;V116))</f>
        <v/>
      </c>
      <c r="X115" s="14" t="n"/>
      <c r="Y115" s="16" t="n"/>
      <c r="Z115" s="124">
        <f>IF(Y115="","",COUNTIFS($C$18:$C$2015,Y$13,$D$18:$D$2015,"&gt;="&amp;Y115,$D$18:$D$2015,"&lt;"&amp;Y116))</f>
        <v/>
      </c>
      <c r="AA115" s="14" t="n"/>
      <c r="AB115" s="16" t="n"/>
      <c r="AC115" s="124">
        <f>IF(AB115="","",COUNTIFS($C$18:$C$2015,AB$13,$D$18:$D$2015,"&gt;="&amp;AB115,$D$18:$D$2015,"&lt;"&amp;AB116))</f>
        <v/>
      </c>
      <c r="AD115" s="14" t="n"/>
    </row>
    <row r="116">
      <c r="A116" s="56" t="n"/>
      <c r="B116" s="59" t="n"/>
      <c r="C116" s="59" t="n"/>
      <c r="E116" s="16" t="n"/>
      <c r="F116" s="13" t="n"/>
      <c r="G116" s="16" t="n"/>
      <c r="H116" s="124">
        <f>IF(G116="","",COUNTIFS($C$18:$C$2015,G$13,$D$18:$D$2015,"&gt;="&amp;G116,$D$18:$D$2015,"&lt;"&amp;G117))</f>
        <v/>
      </c>
      <c r="I116" s="14" t="n"/>
      <c r="J116" s="16" t="n"/>
      <c r="K116" s="124">
        <f>IF(J116="","",COUNTIFS($C$18:$C$2015,J$13,$D$18:$D$2015,"&gt;="&amp;J116,$D$18:$D$2015,"&lt;"&amp;J117))</f>
        <v/>
      </c>
      <c r="L116" s="14" t="n"/>
      <c r="M116" s="16" t="n"/>
      <c r="N116" s="124">
        <f>IF(M116="","",COUNTIFS($C$18:$C$2015,M$13,$D$18:$D$2015,"&gt;="&amp;M116,$D$18:$D$2015,"&lt;"&amp;M117))</f>
        <v/>
      </c>
      <c r="O116" s="14" t="n"/>
      <c r="P116" s="16" t="n"/>
      <c r="Q116" s="124">
        <f>IF(P116="","",COUNTIFS($C$18:$C$2015,P$13,$D$18:$D$2015,"&gt;="&amp;P116,$D$18:$D$2015,"&lt;"&amp;P117))</f>
        <v/>
      </c>
      <c r="R116" s="14" t="n"/>
      <c r="S116" s="16" t="n"/>
      <c r="T116" s="124">
        <f>IF(S116="","",COUNTIFS($C$18:$C$2015,S$13,$D$18:$D$2015,"&gt;="&amp;S116,$D$18:$D$2015,"&lt;"&amp;S117))</f>
        <v/>
      </c>
      <c r="U116" s="14" t="n"/>
      <c r="V116" s="16" t="n"/>
      <c r="W116" s="124">
        <f>IF(V116="","",COUNTIFS($C$18:$C$2015,V$13,$D$18:$D$2015,"&gt;="&amp;V116,$D$18:$D$2015,"&lt;"&amp;V117))</f>
        <v/>
      </c>
      <c r="X116" s="14" t="n"/>
      <c r="Y116" s="16" t="n"/>
      <c r="Z116" s="124">
        <f>IF(Y116="","",COUNTIFS($C$18:$C$2015,Y$13,$D$18:$D$2015,"&gt;="&amp;Y116,$D$18:$D$2015,"&lt;"&amp;Y117))</f>
        <v/>
      </c>
      <c r="AA116" s="14" t="n"/>
      <c r="AB116" s="16" t="n"/>
      <c r="AC116" s="124">
        <f>IF(AB116="","",COUNTIFS($C$18:$C$2015,AB$13,$D$18:$D$2015,"&gt;="&amp;AB116,$D$18:$D$2015,"&lt;"&amp;AB117))</f>
        <v/>
      </c>
      <c r="AD116" s="14" t="n"/>
    </row>
    <row r="117">
      <c r="A117" s="58" t="n"/>
      <c r="B117" s="59" t="n"/>
      <c r="C117" s="59" t="n"/>
      <c r="E117" s="16" t="n"/>
      <c r="F117" s="13" t="n"/>
      <c r="G117" s="16" t="n"/>
      <c r="H117" s="124">
        <f>IF(G117="","",COUNTIFS($C$18:$C$2015,G$13,$D$18:$D$2015,"&gt;="&amp;G117,$D$18:$D$2015,"&lt;"&amp;G118))</f>
        <v/>
      </c>
      <c r="I117" s="14" t="n"/>
      <c r="J117" s="16" t="n"/>
      <c r="K117" s="124">
        <f>IF(J117="","",COUNTIFS($C$18:$C$2015,J$13,$D$18:$D$2015,"&gt;="&amp;J117,$D$18:$D$2015,"&lt;"&amp;J118))</f>
        <v/>
      </c>
      <c r="L117" s="14" t="n"/>
      <c r="M117" s="16" t="n"/>
      <c r="N117" s="124">
        <f>IF(M117="","",COUNTIFS($C$18:$C$2015,M$13,$D$18:$D$2015,"&gt;="&amp;M117,$D$18:$D$2015,"&lt;"&amp;M118))</f>
        <v/>
      </c>
      <c r="O117" s="14" t="n"/>
      <c r="P117" s="16" t="n"/>
      <c r="Q117" s="124">
        <f>IF(P117="","",COUNTIFS($C$18:$C$2015,P$13,$D$18:$D$2015,"&gt;="&amp;P117,$D$18:$D$2015,"&lt;"&amp;P118))</f>
        <v/>
      </c>
      <c r="R117" s="14" t="n"/>
      <c r="S117" s="16" t="n"/>
      <c r="T117" s="124">
        <f>IF(S117="","",COUNTIFS($C$18:$C$2015,S$13,$D$18:$D$2015,"&gt;="&amp;S117,$D$18:$D$2015,"&lt;"&amp;S118))</f>
        <v/>
      </c>
      <c r="U117" s="14" t="n"/>
      <c r="V117" s="16" t="n"/>
      <c r="W117" s="124">
        <f>IF(V117="","",COUNTIFS($C$18:$C$2015,V$13,$D$18:$D$2015,"&gt;="&amp;V117,$D$18:$D$2015,"&lt;"&amp;V118))</f>
        <v/>
      </c>
      <c r="X117" s="14" t="n"/>
      <c r="Y117" s="16" t="n"/>
      <c r="Z117" s="124">
        <f>IF(Y117="","",COUNTIFS($C$18:$C$2015,Y$13,$D$18:$D$2015,"&gt;="&amp;Y117,$D$18:$D$2015,"&lt;"&amp;Y118))</f>
        <v/>
      </c>
      <c r="AA117" s="14" t="n"/>
      <c r="AB117" s="16" t="n"/>
      <c r="AC117" s="124">
        <f>IF(AB117="","",COUNTIFS($C$18:$C$2015,AB$13,$D$18:$D$2015,"&gt;="&amp;AB117,$D$18:$D$2015,"&lt;"&amp;AB118))</f>
        <v/>
      </c>
      <c r="AD117" s="14" t="n"/>
    </row>
    <row r="118">
      <c r="A118" s="56" t="n"/>
      <c r="B118" s="59" t="n"/>
      <c r="C118" s="59" t="n"/>
      <c r="E118" s="16" t="n"/>
      <c r="F118" s="13" t="n"/>
      <c r="G118" s="16" t="n"/>
      <c r="H118" s="124">
        <f>IF(G118="","",COUNTIFS($C$18:$C$2015,G$13,$D$18:$D$2015,"&gt;="&amp;G118,$D$18:$D$2015,"&lt;"&amp;G119))</f>
        <v/>
      </c>
      <c r="I118" s="14" t="n"/>
      <c r="J118" s="16" t="n"/>
      <c r="K118" s="124">
        <f>IF(J118="","",COUNTIFS($C$18:$C$2015,J$13,$D$18:$D$2015,"&gt;="&amp;J118,$D$18:$D$2015,"&lt;"&amp;J119))</f>
        <v/>
      </c>
      <c r="L118" s="14" t="n"/>
      <c r="M118" s="16" t="n"/>
      <c r="N118" s="124">
        <f>IF(M118="","",COUNTIFS($C$18:$C$2015,M$13,$D$18:$D$2015,"&gt;="&amp;M118,$D$18:$D$2015,"&lt;"&amp;M119))</f>
        <v/>
      </c>
      <c r="O118" s="14" t="n"/>
      <c r="P118" s="16" t="n"/>
      <c r="Q118" s="124">
        <f>IF(P118="","",COUNTIFS($C$18:$C$2015,P$13,$D$18:$D$2015,"&gt;="&amp;P118,$D$18:$D$2015,"&lt;"&amp;P119))</f>
        <v/>
      </c>
      <c r="R118" s="14" t="n"/>
      <c r="S118" s="16" t="n"/>
      <c r="T118" s="124">
        <f>IF(S118="","",COUNTIFS($C$18:$C$2015,S$13,$D$18:$D$2015,"&gt;="&amp;S118,$D$18:$D$2015,"&lt;"&amp;S119))</f>
        <v/>
      </c>
      <c r="U118" s="14" t="n"/>
      <c r="V118" s="16" t="n"/>
      <c r="W118" s="124">
        <f>IF(V118="","",COUNTIFS($C$18:$C$2015,V$13,$D$18:$D$2015,"&gt;="&amp;V118,$D$18:$D$2015,"&lt;"&amp;V119))</f>
        <v/>
      </c>
      <c r="X118" s="14" t="n"/>
      <c r="Y118" s="16" t="n"/>
      <c r="Z118" s="124">
        <f>IF(Y118="","",COUNTIFS($C$18:$C$2015,Y$13,$D$18:$D$2015,"&gt;="&amp;Y118,$D$18:$D$2015,"&lt;"&amp;Y119))</f>
        <v/>
      </c>
      <c r="AA118" s="14" t="n"/>
      <c r="AB118" s="16" t="n"/>
      <c r="AC118" s="124">
        <f>IF(AB118="","",COUNTIFS($C$18:$C$2015,AB$13,$D$18:$D$2015,"&gt;="&amp;AB118,$D$18:$D$2015,"&lt;"&amp;AB119))</f>
        <v/>
      </c>
      <c r="AD118" s="14" t="n"/>
    </row>
    <row r="119">
      <c r="A119" s="58" t="n"/>
      <c r="B119" s="59" t="n"/>
      <c r="C119" s="59" t="n"/>
      <c r="E119" s="16" t="n"/>
      <c r="F119" s="13" t="n"/>
      <c r="G119" s="16" t="n"/>
      <c r="H119" s="124">
        <f>IF(G119="","",COUNTIFS($C$18:$C$2015,G$13,$D$18:$D$2015,"&gt;="&amp;G119,$D$18:$D$2015,"&lt;"&amp;G120))</f>
        <v/>
      </c>
      <c r="I119" s="14" t="n"/>
      <c r="J119" s="16" t="n"/>
      <c r="K119" s="124">
        <f>IF(J119="","",COUNTIFS($C$18:$C$2015,J$13,$D$18:$D$2015,"&gt;="&amp;J119,$D$18:$D$2015,"&lt;"&amp;J120))</f>
        <v/>
      </c>
      <c r="L119" s="14" t="n"/>
      <c r="M119" s="16" t="n"/>
      <c r="N119" s="124">
        <f>IF(M119="","",COUNTIFS($C$18:$C$2015,M$13,$D$18:$D$2015,"&gt;="&amp;M119,$D$18:$D$2015,"&lt;"&amp;M120))</f>
        <v/>
      </c>
      <c r="O119" s="14" t="n"/>
      <c r="P119" s="16" t="n"/>
      <c r="Q119" s="124">
        <f>IF(P119="","",COUNTIFS($C$18:$C$2015,P$13,$D$18:$D$2015,"&gt;="&amp;P119,$D$18:$D$2015,"&lt;"&amp;P120))</f>
        <v/>
      </c>
      <c r="R119" s="14" t="n"/>
      <c r="S119" s="16" t="n"/>
      <c r="T119" s="124">
        <f>IF(S119="","",COUNTIFS($C$18:$C$2015,S$13,$D$18:$D$2015,"&gt;="&amp;S119,$D$18:$D$2015,"&lt;"&amp;S120))</f>
        <v/>
      </c>
      <c r="U119" s="14" t="n"/>
      <c r="V119" s="16" t="n"/>
      <c r="W119" s="124">
        <f>IF(V119="","",COUNTIFS($C$18:$C$2015,V$13,$D$18:$D$2015,"&gt;="&amp;V119,$D$18:$D$2015,"&lt;"&amp;V120))</f>
        <v/>
      </c>
      <c r="X119" s="14" t="n"/>
      <c r="Y119" s="16" t="n"/>
      <c r="Z119" s="124">
        <f>IF(Y119="","",COUNTIFS($C$18:$C$2015,Y$13,$D$18:$D$2015,"&gt;="&amp;Y119,$D$18:$D$2015,"&lt;"&amp;Y120))</f>
        <v/>
      </c>
      <c r="AA119" s="14" t="n"/>
      <c r="AB119" s="16" t="n"/>
      <c r="AC119" s="124">
        <f>IF(AB119="","",COUNTIFS($C$18:$C$2015,AB$13,$D$18:$D$2015,"&gt;="&amp;AB119,$D$18:$D$2015,"&lt;"&amp;AB120))</f>
        <v/>
      </c>
      <c r="AD119" s="14" t="n"/>
    </row>
    <row r="120">
      <c r="A120" s="56" t="n"/>
      <c r="B120" s="59" t="n"/>
      <c r="C120" s="59" t="n"/>
      <c r="E120" s="16" t="n"/>
      <c r="F120" s="13" t="n"/>
      <c r="G120" s="16" t="n"/>
      <c r="H120" s="124">
        <f>IF(G120="","",COUNTIFS($C$18:$C$2015,G$13,$D$18:$D$2015,"&gt;="&amp;G120,$D$18:$D$2015,"&lt;"&amp;G121))</f>
        <v/>
      </c>
      <c r="I120" s="14" t="n"/>
      <c r="J120" s="16" t="n"/>
      <c r="K120" s="124">
        <f>IF(J120="","",COUNTIFS($C$18:$C$2015,J$13,$D$18:$D$2015,"&gt;="&amp;J120,$D$18:$D$2015,"&lt;"&amp;J121))</f>
        <v/>
      </c>
      <c r="L120" s="14" t="n"/>
      <c r="M120" s="16" t="n"/>
      <c r="N120" s="124">
        <f>IF(M120="","",COUNTIFS($C$18:$C$2015,M$13,$D$18:$D$2015,"&gt;="&amp;M120,$D$18:$D$2015,"&lt;"&amp;M121))</f>
        <v/>
      </c>
      <c r="O120" s="14" t="n"/>
      <c r="P120" s="16" t="n"/>
      <c r="Q120" s="124">
        <f>IF(P120="","",COUNTIFS($C$18:$C$2015,P$13,$D$18:$D$2015,"&gt;="&amp;P120,$D$18:$D$2015,"&lt;"&amp;P121))</f>
        <v/>
      </c>
      <c r="R120" s="14" t="n"/>
      <c r="S120" s="16" t="n"/>
      <c r="T120" s="124">
        <f>IF(S120="","",COUNTIFS($C$18:$C$2015,S$13,$D$18:$D$2015,"&gt;="&amp;S120,$D$18:$D$2015,"&lt;"&amp;S121))</f>
        <v/>
      </c>
      <c r="U120" s="14" t="n"/>
      <c r="V120" s="16" t="n"/>
      <c r="W120" s="124">
        <f>IF(V120="","",COUNTIFS($C$18:$C$2015,V$13,$D$18:$D$2015,"&gt;="&amp;V120,$D$18:$D$2015,"&lt;"&amp;V121))</f>
        <v/>
      </c>
      <c r="X120" s="14" t="n"/>
      <c r="Y120" s="16" t="n"/>
      <c r="Z120" s="124">
        <f>IF(Y120="","",COUNTIFS($C$18:$C$2015,Y$13,$D$18:$D$2015,"&gt;="&amp;Y120,$D$18:$D$2015,"&lt;"&amp;Y121))</f>
        <v/>
      </c>
      <c r="AA120" s="14" t="n"/>
      <c r="AB120" s="16" t="n"/>
      <c r="AC120" s="124">
        <f>IF(AB120="","",COUNTIFS($C$18:$C$2015,AB$13,$D$18:$D$2015,"&gt;="&amp;AB120,$D$18:$D$2015,"&lt;"&amp;AB121))</f>
        <v/>
      </c>
      <c r="AD120" s="14" t="n"/>
    </row>
    <row r="121">
      <c r="A121" s="58" t="n"/>
      <c r="B121" s="59" t="n"/>
      <c r="C121" s="59" t="n"/>
      <c r="E121" s="16" t="n"/>
      <c r="F121" s="13" t="n"/>
      <c r="G121" s="16" t="n"/>
      <c r="H121" s="124">
        <f>IF(G121="","",COUNTIFS($C$18:$C$2015,G$13,$D$18:$D$2015,"&gt;="&amp;G121,$D$18:$D$2015,"&lt;"&amp;G122))</f>
        <v/>
      </c>
      <c r="I121" s="14" t="n"/>
      <c r="J121" s="16" t="n"/>
      <c r="K121" s="124">
        <f>IF(J121="","",COUNTIFS($C$18:$C$2015,J$13,$D$18:$D$2015,"&gt;="&amp;J121,$D$18:$D$2015,"&lt;"&amp;J122))</f>
        <v/>
      </c>
      <c r="L121" s="14" t="n"/>
      <c r="M121" s="16" t="n"/>
      <c r="N121" s="124">
        <f>IF(M121="","",COUNTIFS($C$18:$C$2015,M$13,$D$18:$D$2015,"&gt;="&amp;M121,$D$18:$D$2015,"&lt;"&amp;M122))</f>
        <v/>
      </c>
      <c r="O121" s="14" t="n"/>
      <c r="P121" s="16" t="n"/>
      <c r="Q121" s="124">
        <f>IF(P121="","",COUNTIFS($C$18:$C$2015,P$13,$D$18:$D$2015,"&gt;="&amp;P121,$D$18:$D$2015,"&lt;"&amp;P122))</f>
        <v/>
      </c>
      <c r="R121" s="14" t="n"/>
      <c r="S121" s="16" t="n"/>
      <c r="T121" s="124">
        <f>IF(S121="","",COUNTIFS($C$18:$C$2015,S$13,$D$18:$D$2015,"&gt;="&amp;S121,$D$18:$D$2015,"&lt;"&amp;S122))</f>
        <v/>
      </c>
      <c r="U121" s="14" t="n"/>
      <c r="V121" s="16" t="n"/>
      <c r="W121" s="124">
        <f>IF(V121="","",COUNTIFS($C$18:$C$2015,V$13,$D$18:$D$2015,"&gt;="&amp;V121,$D$18:$D$2015,"&lt;"&amp;V122))</f>
        <v/>
      </c>
      <c r="X121" s="14" t="n"/>
      <c r="Y121" s="16" t="n"/>
      <c r="Z121" s="124">
        <f>IF(Y121="","",COUNTIFS($C$18:$C$2015,Y$13,$D$18:$D$2015,"&gt;="&amp;Y121,$D$18:$D$2015,"&lt;"&amp;Y122))</f>
        <v/>
      </c>
      <c r="AA121" s="14" t="n"/>
      <c r="AB121" s="16" t="n"/>
      <c r="AC121" s="124">
        <f>IF(AB121="","",COUNTIFS($C$18:$C$2015,AB$13,$D$18:$D$2015,"&gt;="&amp;AB121,$D$18:$D$2015,"&lt;"&amp;AB122))</f>
        <v/>
      </c>
      <c r="AD121" s="14" t="n"/>
    </row>
    <row r="122">
      <c r="A122" s="56" t="n"/>
      <c r="B122" s="59" t="n"/>
      <c r="C122" s="59" t="n"/>
      <c r="E122" s="16" t="n"/>
      <c r="F122" s="13" t="n"/>
      <c r="G122" s="16" t="n"/>
      <c r="H122" s="124">
        <f>IF(G122="","",COUNTIFS($C$18:$C$2015,G$13,$D$18:$D$2015,"&gt;="&amp;G122,$D$18:$D$2015,"&lt;"&amp;G123))</f>
        <v/>
      </c>
      <c r="I122" s="14" t="n"/>
      <c r="J122" s="16" t="n"/>
      <c r="K122" s="124">
        <f>IF(J122="","",COUNTIFS($C$18:$C$2015,J$13,$D$18:$D$2015,"&gt;="&amp;J122,$D$18:$D$2015,"&lt;"&amp;J123))</f>
        <v/>
      </c>
      <c r="L122" s="14" t="n"/>
      <c r="M122" s="16" t="n"/>
      <c r="N122" s="124">
        <f>IF(M122="","",COUNTIFS($C$18:$C$2015,M$13,$D$18:$D$2015,"&gt;="&amp;M122,$D$18:$D$2015,"&lt;"&amp;M123))</f>
        <v/>
      </c>
      <c r="O122" s="14" t="n"/>
      <c r="P122" s="16" t="n"/>
      <c r="Q122" s="124">
        <f>IF(P122="","",COUNTIFS($C$18:$C$2015,P$13,$D$18:$D$2015,"&gt;="&amp;P122,$D$18:$D$2015,"&lt;"&amp;P123))</f>
        <v/>
      </c>
      <c r="R122" s="14" t="n"/>
      <c r="S122" s="16" t="n"/>
      <c r="T122" s="124">
        <f>IF(S122="","",COUNTIFS($C$18:$C$2015,S$13,$D$18:$D$2015,"&gt;="&amp;S122,$D$18:$D$2015,"&lt;"&amp;S123))</f>
        <v/>
      </c>
      <c r="U122" s="14" t="n"/>
      <c r="V122" s="16" t="n"/>
      <c r="W122" s="124">
        <f>IF(V122="","",COUNTIFS($C$18:$C$2015,V$13,$D$18:$D$2015,"&gt;="&amp;V122,$D$18:$D$2015,"&lt;"&amp;V123))</f>
        <v/>
      </c>
      <c r="X122" s="14" t="n"/>
      <c r="Y122" s="16" t="n"/>
      <c r="Z122" s="124">
        <f>IF(Y122="","",COUNTIFS($C$18:$C$2015,Y$13,$D$18:$D$2015,"&gt;="&amp;Y122,$D$18:$D$2015,"&lt;"&amp;Y123))</f>
        <v/>
      </c>
      <c r="AA122" s="14" t="n"/>
      <c r="AB122" s="16" t="n"/>
      <c r="AC122" s="124">
        <f>IF(AB122="","",COUNTIFS($C$18:$C$2015,AB$13,$D$18:$D$2015,"&gt;="&amp;AB122,$D$18:$D$2015,"&lt;"&amp;AB123))</f>
        <v/>
      </c>
      <c r="AD122" s="14" t="n"/>
    </row>
    <row r="123">
      <c r="A123" s="58" t="n"/>
      <c r="B123" s="59" t="n"/>
      <c r="C123" s="59" t="n"/>
      <c r="E123" s="16" t="n"/>
      <c r="F123" s="13" t="n"/>
      <c r="G123" s="16" t="n"/>
      <c r="H123" s="124">
        <f>IF(G123="","",COUNTIFS($C$18:$C$2015,G$13,$D$18:$D$2015,"&gt;="&amp;G123,$D$18:$D$2015,"&lt;"&amp;G124))</f>
        <v/>
      </c>
      <c r="I123" s="14" t="n"/>
      <c r="J123" s="16" t="n"/>
      <c r="K123" s="124">
        <f>IF(J123="","",COUNTIFS($C$18:$C$2015,J$13,$D$18:$D$2015,"&gt;="&amp;J123,$D$18:$D$2015,"&lt;"&amp;J124))</f>
        <v/>
      </c>
      <c r="L123" s="14" t="n"/>
      <c r="M123" s="16" t="n"/>
      <c r="N123" s="124">
        <f>IF(M123="","",COUNTIFS($C$18:$C$2015,M$13,$D$18:$D$2015,"&gt;="&amp;M123,$D$18:$D$2015,"&lt;"&amp;M124))</f>
        <v/>
      </c>
      <c r="O123" s="14" t="n"/>
      <c r="P123" s="16" t="n"/>
      <c r="Q123" s="124">
        <f>IF(P123="","",COUNTIFS($C$18:$C$2015,P$13,$D$18:$D$2015,"&gt;="&amp;P123,$D$18:$D$2015,"&lt;"&amp;P124))</f>
        <v/>
      </c>
      <c r="R123" s="14" t="n"/>
      <c r="S123" s="16" t="n"/>
      <c r="T123" s="124">
        <f>IF(S123="","",COUNTIFS($C$18:$C$2015,S$13,$D$18:$D$2015,"&gt;="&amp;S123,$D$18:$D$2015,"&lt;"&amp;S124))</f>
        <v/>
      </c>
      <c r="U123" s="14" t="n"/>
      <c r="V123" s="16" t="n"/>
      <c r="W123" s="124">
        <f>IF(V123="","",COUNTIFS($C$18:$C$2015,V$13,$D$18:$D$2015,"&gt;="&amp;V123,$D$18:$D$2015,"&lt;"&amp;V124))</f>
        <v/>
      </c>
      <c r="X123" s="14" t="n"/>
      <c r="Y123" s="16" t="n"/>
      <c r="Z123" s="124">
        <f>IF(Y123="","",COUNTIFS($C$18:$C$2015,Y$13,$D$18:$D$2015,"&gt;="&amp;Y123,$D$18:$D$2015,"&lt;"&amp;Y124))</f>
        <v/>
      </c>
      <c r="AA123" s="14" t="n"/>
      <c r="AB123" s="16" t="n"/>
      <c r="AC123" s="124">
        <f>IF(AB123="","",COUNTIFS($C$18:$C$2015,AB$13,$D$18:$D$2015,"&gt;="&amp;AB123,$D$18:$D$2015,"&lt;"&amp;AB124))</f>
        <v/>
      </c>
      <c r="AD123" s="14" t="n"/>
    </row>
    <row r="124">
      <c r="A124" s="56" t="n"/>
      <c r="B124" s="59" t="n"/>
      <c r="C124" s="59" t="n"/>
      <c r="E124" s="16" t="n"/>
      <c r="F124" s="13" t="n"/>
      <c r="G124" s="16" t="n"/>
      <c r="H124" s="124">
        <f>IF(G124="","",COUNTIFS($C$18:$C$2015,G$13,$D$18:$D$2015,"&gt;="&amp;G124,$D$18:$D$2015,"&lt;"&amp;G125))</f>
        <v/>
      </c>
      <c r="I124" s="14" t="n"/>
      <c r="J124" s="16" t="n"/>
      <c r="K124" s="124">
        <f>IF(J124="","",COUNTIFS($C$18:$C$2015,J$13,$D$18:$D$2015,"&gt;="&amp;J124,$D$18:$D$2015,"&lt;"&amp;J125))</f>
        <v/>
      </c>
      <c r="L124" s="14" t="n"/>
      <c r="M124" s="16" t="n"/>
      <c r="N124" s="124">
        <f>IF(M124="","",COUNTIFS($C$18:$C$2015,M$13,$D$18:$D$2015,"&gt;="&amp;M124,$D$18:$D$2015,"&lt;"&amp;M125))</f>
        <v/>
      </c>
      <c r="O124" s="14" t="n"/>
      <c r="P124" s="16" t="n"/>
      <c r="Q124" s="124">
        <f>IF(P124="","",COUNTIFS($C$18:$C$2015,P$13,$D$18:$D$2015,"&gt;="&amp;P124,$D$18:$D$2015,"&lt;"&amp;P125))</f>
        <v/>
      </c>
      <c r="R124" s="14" t="n"/>
      <c r="S124" s="16" t="n"/>
      <c r="T124" s="124">
        <f>IF(S124="","",COUNTIFS($C$18:$C$2015,S$13,$D$18:$D$2015,"&gt;="&amp;S124,$D$18:$D$2015,"&lt;"&amp;S125))</f>
        <v/>
      </c>
      <c r="U124" s="14" t="n"/>
      <c r="V124" s="16" t="n"/>
      <c r="W124" s="124">
        <f>IF(V124="","",COUNTIFS($C$18:$C$2015,V$13,$D$18:$D$2015,"&gt;="&amp;V124,$D$18:$D$2015,"&lt;"&amp;V125))</f>
        <v/>
      </c>
      <c r="X124" s="14" t="n"/>
      <c r="Y124" s="16" t="n"/>
      <c r="Z124" s="124">
        <f>IF(Y124="","",COUNTIFS($C$18:$C$2015,Y$13,$D$18:$D$2015,"&gt;="&amp;Y124,$D$18:$D$2015,"&lt;"&amp;Y125))</f>
        <v/>
      </c>
      <c r="AA124" s="14" t="n"/>
      <c r="AB124" s="16" t="n"/>
      <c r="AC124" s="124">
        <f>IF(AB124="","",COUNTIFS($C$18:$C$2015,AB$13,$D$18:$D$2015,"&gt;="&amp;AB124,$D$18:$D$2015,"&lt;"&amp;AB125))</f>
        <v/>
      </c>
      <c r="AD124" s="14" t="n"/>
    </row>
    <row r="125">
      <c r="A125" s="58" t="n"/>
      <c r="B125" s="59" t="n"/>
      <c r="C125" s="59" t="n"/>
      <c r="E125" s="16" t="n"/>
      <c r="F125" s="13" t="n"/>
      <c r="G125" s="16" t="n"/>
      <c r="H125" s="124">
        <f>IF(G125="","",COUNTIFS($C$18:$C$2015,G$13,$D$18:$D$2015,"&gt;="&amp;G125,$D$18:$D$2015,"&lt;"&amp;G126))</f>
        <v/>
      </c>
      <c r="I125" s="14" t="n"/>
      <c r="J125" s="16" t="n"/>
      <c r="K125" s="124">
        <f>IF(J125="","",COUNTIFS($C$18:$C$2015,J$13,$D$18:$D$2015,"&gt;="&amp;J125,$D$18:$D$2015,"&lt;"&amp;J126))</f>
        <v/>
      </c>
      <c r="L125" s="14" t="n"/>
      <c r="M125" s="16" t="n"/>
      <c r="N125" s="124">
        <f>IF(M125="","",COUNTIFS($C$18:$C$2015,M$13,$D$18:$D$2015,"&gt;="&amp;M125,$D$18:$D$2015,"&lt;"&amp;M126))</f>
        <v/>
      </c>
      <c r="O125" s="14" t="n"/>
      <c r="P125" s="16" t="n"/>
      <c r="Q125" s="124">
        <f>IF(P125="","",COUNTIFS($C$18:$C$2015,P$13,$D$18:$D$2015,"&gt;="&amp;P125,$D$18:$D$2015,"&lt;"&amp;P126))</f>
        <v/>
      </c>
      <c r="R125" s="14" t="n"/>
      <c r="S125" s="16" t="n"/>
      <c r="T125" s="124">
        <f>IF(S125="","",COUNTIFS($C$18:$C$2015,S$13,$D$18:$D$2015,"&gt;="&amp;S125,$D$18:$D$2015,"&lt;"&amp;S126))</f>
        <v/>
      </c>
      <c r="U125" s="14" t="n"/>
      <c r="V125" s="16" t="n"/>
      <c r="W125" s="124">
        <f>IF(V125="","",COUNTIFS($C$18:$C$2015,V$13,$D$18:$D$2015,"&gt;="&amp;V125,$D$18:$D$2015,"&lt;"&amp;V126))</f>
        <v/>
      </c>
      <c r="X125" s="14" t="n"/>
      <c r="Y125" s="16" t="n"/>
      <c r="Z125" s="124">
        <f>IF(Y125="","",COUNTIFS($C$18:$C$2015,Y$13,$D$18:$D$2015,"&gt;="&amp;Y125,$D$18:$D$2015,"&lt;"&amp;Y126))</f>
        <v/>
      </c>
      <c r="AA125" s="14" t="n"/>
      <c r="AB125" s="16" t="n"/>
      <c r="AC125" s="124">
        <f>IF(AB125="","",COUNTIFS($C$18:$C$2015,AB$13,$D$18:$D$2015,"&gt;="&amp;AB125,$D$18:$D$2015,"&lt;"&amp;AB126))</f>
        <v/>
      </c>
      <c r="AD125" s="14" t="n"/>
    </row>
    <row r="126">
      <c r="A126" s="56" t="n"/>
      <c r="B126" s="59" t="n"/>
      <c r="C126" s="59" t="n"/>
      <c r="E126" s="16" t="n"/>
      <c r="F126" s="13" t="n"/>
      <c r="G126" s="16" t="n"/>
      <c r="H126" s="124">
        <f>IF(G126="","",COUNTIFS($C$18:$C$2015,G$13,$D$18:$D$2015,"&gt;="&amp;G126,$D$18:$D$2015,"&lt;"&amp;G127))</f>
        <v/>
      </c>
      <c r="I126" s="14" t="n"/>
      <c r="J126" s="16" t="n"/>
      <c r="K126" s="124">
        <f>IF(J126="","",COUNTIFS($C$18:$C$2015,J$13,$D$18:$D$2015,"&gt;="&amp;J126,$D$18:$D$2015,"&lt;"&amp;J127))</f>
        <v/>
      </c>
      <c r="L126" s="14" t="n"/>
      <c r="M126" s="16" t="n"/>
      <c r="N126" s="124">
        <f>IF(M126="","",COUNTIFS($C$18:$C$2015,M$13,$D$18:$D$2015,"&gt;="&amp;M126,$D$18:$D$2015,"&lt;"&amp;M127))</f>
        <v/>
      </c>
      <c r="O126" s="14" t="n"/>
      <c r="P126" s="16" t="n"/>
      <c r="Q126" s="124">
        <f>IF(P126="","",COUNTIFS($C$18:$C$2015,P$13,$D$18:$D$2015,"&gt;="&amp;P126,$D$18:$D$2015,"&lt;"&amp;P127))</f>
        <v/>
      </c>
      <c r="R126" s="14" t="n"/>
      <c r="S126" s="16" t="n"/>
      <c r="T126" s="124">
        <f>IF(S126="","",COUNTIFS($C$18:$C$2015,S$13,$D$18:$D$2015,"&gt;="&amp;S126,$D$18:$D$2015,"&lt;"&amp;S127))</f>
        <v/>
      </c>
      <c r="U126" s="14" t="n"/>
      <c r="V126" s="16" t="n"/>
      <c r="W126" s="124">
        <f>IF(V126="","",COUNTIFS($C$18:$C$2015,V$13,$D$18:$D$2015,"&gt;="&amp;V126,$D$18:$D$2015,"&lt;"&amp;V127))</f>
        <v/>
      </c>
      <c r="X126" s="14" t="n"/>
      <c r="Y126" s="16" t="n"/>
      <c r="Z126" s="124">
        <f>IF(Y126="","",COUNTIFS($C$18:$C$2015,Y$13,$D$18:$D$2015,"&gt;="&amp;Y126,$D$18:$D$2015,"&lt;"&amp;Y127))</f>
        <v/>
      </c>
      <c r="AA126" s="14" t="n"/>
      <c r="AB126" s="16" t="n"/>
      <c r="AC126" s="124">
        <f>IF(AB126="","",COUNTIFS($C$18:$C$2015,AB$13,$D$18:$D$2015,"&gt;="&amp;AB126,$D$18:$D$2015,"&lt;"&amp;AB127))</f>
        <v/>
      </c>
      <c r="AD126" s="14" t="n"/>
    </row>
    <row r="127">
      <c r="A127" s="58" t="n"/>
      <c r="B127" s="59" t="n"/>
      <c r="C127" s="59" t="n"/>
      <c r="E127" s="16" t="n"/>
      <c r="F127" s="13" t="n"/>
      <c r="G127" s="16" t="n"/>
      <c r="H127" s="124">
        <f>IF(G127="","",COUNTIFS($C$18:$C$2015,G$13,$D$18:$D$2015,"&gt;="&amp;G127,$D$18:$D$2015,"&lt;"&amp;G128))</f>
        <v/>
      </c>
      <c r="I127" s="14" t="n"/>
      <c r="J127" s="16" t="n"/>
      <c r="K127" s="124">
        <f>IF(J127="","",COUNTIFS($C$18:$C$2015,J$13,$D$18:$D$2015,"&gt;="&amp;J127,$D$18:$D$2015,"&lt;"&amp;J128))</f>
        <v/>
      </c>
      <c r="L127" s="14" t="n"/>
      <c r="M127" s="16" t="n"/>
      <c r="N127" s="124">
        <f>IF(M127="","",COUNTIFS($C$18:$C$2015,M$13,$D$18:$D$2015,"&gt;="&amp;M127,$D$18:$D$2015,"&lt;"&amp;M128))</f>
        <v/>
      </c>
      <c r="O127" s="14" t="n"/>
      <c r="P127" s="16" t="n"/>
      <c r="Q127" s="124">
        <f>IF(P127="","",COUNTIFS($C$18:$C$2015,P$13,$D$18:$D$2015,"&gt;="&amp;P127,$D$18:$D$2015,"&lt;"&amp;P128))</f>
        <v/>
      </c>
      <c r="R127" s="14" t="n"/>
      <c r="S127" s="16" t="n"/>
      <c r="T127" s="124">
        <f>IF(S127="","",COUNTIFS($C$18:$C$2015,S$13,$D$18:$D$2015,"&gt;="&amp;S127,$D$18:$D$2015,"&lt;"&amp;S128))</f>
        <v/>
      </c>
      <c r="U127" s="14" t="n"/>
      <c r="V127" s="16" t="n"/>
      <c r="W127" s="124">
        <f>IF(V127="","",COUNTIFS($C$18:$C$2015,V$13,$D$18:$D$2015,"&gt;="&amp;V127,$D$18:$D$2015,"&lt;"&amp;V128))</f>
        <v/>
      </c>
      <c r="X127" s="14" t="n"/>
      <c r="Y127" s="16" t="n"/>
      <c r="Z127" s="124">
        <f>IF(Y127="","",COUNTIFS($C$18:$C$2015,Y$13,$D$18:$D$2015,"&gt;="&amp;Y127,$D$18:$D$2015,"&lt;"&amp;Y128))</f>
        <v/>
      </c>
      <c r="AA127" s="14" t="n"/>
      <c r="AB127" s="16" t="n"/>
      <c r="AC127" s="124">
        <f>IF(AB127="","",COUNTIFS($C$18:$C$2015,AB$13,$D$18:$D$2015,"&gt;="&amp;AB127,$D$18:$D$2015,"&lt;"&amp;AB128))</f>
        <v/>
      </c>
      <c r="AD127" s="14" t="n"/>
    </row>
    <row r="128">
      <c r="A128" s="56" t="n"/>
      <c r="B128" s="59" t="n"/>
      <c r="C128" s="59" t="n"/>
      <c r="E128" s="16" t="n"/>
      <c r="F128" s="13" t="n"/>
      <c r="G128" s="16" t="n"/>
      <c r="H128" s="124">
        <f>IF(G128="","",COUNTIFS($C$18:$C$2015,G$13,$D$18:$D$2015,"&gt;="&amp;G128,$D$18:$D$2015,"&lt;"&amp;G129))</f>
        <v/>
      </c>
      <c r="I128" s="14" t="n"/>
      <c r="J128" s="16" t="n"/>
      <c r="K128" s="124">
        <f>IF(J128="","",COUNTIFS($C$18:$C$2015,J$13,$D$18:$D$2015,"&gt;="&amp;J128,$D$18:$D$2015,"&lt;"&amp;J129))</f>
        <v/>
      </c>
      <c r="L128" s="14" t="n"/>
      <c r="M128" s="16" t="n"/>
      <c r="N128" s="124">
        <f>IF(M128="","",COUNTIFS($C$18:$C$2015,M$13,$D$18:$D$2015,"&gt;="&amp;M128,$D$18:$D$2015,"&lt;"&amp;M129))</f>
        <v/>
      </c>
      <c r="O128" s="14" t="n"/>
      <c r="P128" s="16" t="n"/>
      <c r="Q128" s="124">
        <f>IF(P128="","",COUNTIFS($C$18:$C$2015,P$13,$D$18:$D$2015,"&gt;="&amp;P128,$D$18:$D$2015,"&lt;"&amp;P129))</f>
        <v/>
      </c>
      <c r="R128" s="14" t="n"/>
      <c r="S128" s="16" t="n"/>
      <c r="T128" s="124">
        <f>IF(S128="","",COUNTIFS($C$18:$C$2015,S$13,$D$18:$D$2015,"&gt;="&amp;S128,$D$18:$D$2015,"&lt;"&amp;S129))</f>
        <v/>
      </c>
      <c r="U128" s="14" t="n"/>
      <c r="V128" s="16" t="n"/>
      <c r="W128" s="124">
        <f>IF(V128="","",COUNTIFS($C$18:$C$2015,V$13,$D$18:$D$2015,"&gt;="&amp;V128,$D$18:$D$2015,"&lt;"&amp;V129))</f>
        <v/>
      </c>
      <c r="X128" s="14" t="n"/>
      <c r="Y128" s="16" t="n"/>
      <c r="Z128" s="124">
        <f>IF(Y128="","",COUNTIFS($C$18:$C$2015,Y$13,$D$18:$D$2015,"&gt;="&amp;Y128,$D$18:$D$2015,"&lt;"&amp;Y129))</f>
        <v/>
      </c>
      <c r="AA128" s="14" t="n"/>
      <c r="AB128" s="16" t="n"/>
      <c r="AC128" s="124">
        <f>IF(AB128="","",COUNTIFS($C$18:$C$2015,AB$13,$D$18:$D$2015,"&gt;="&amp;AB128,$D$18:$D$2015,"&lt;"&amp;AB129))</f>
        <v/>
      </c>
      <c r="AD128" s="14" t="n"/>
    </row>
    <row r="129">
      <c r="A129" s="58" t="n"/>
      <c r="B129" s="59" t="n"/>
      <c r="C129" s="59" t="n"/>
      <c r="E129" s="16" t="n"/>
      <c r="F129" s="13" t="n"/>
      <c r="G129" s="16" t="n"/>
      <c r="H129" s="124">
        <f>IF(G129="","",COUNTIFS($C$18:$C$2015,G$13,$D$18:$D$2015,"&gt;="&amp;G129,$D$18:$D$2015,"&lt;"&amp;G130))</f>
        <v/>
      </c>
      <c r="I129" s="14" t="n"/>
      <c r="J129" s="16" t="n"/>
      <c r="K129" s="124">
        <f>IF(J129="","",COUNTIFS($C$18:$C$2015,J$13,$D$18:$D$2015,"&gt;="&amp;J129,$D$18:$D$2015,"&lt;"&amp;J130))</f>
        <v/>
      </c>
      <c r="L129" s="14" t="n"/>
      <c r="M129" s="16" t="n"/>
      <c r="N129" s="124">
        <f>IF(M129="","",COUNTIFS($C$18:$C$2015,M$13,$D$18:$D$2015,"&gt;="&amp;M129,$D$18:$D$2015,"&lt;"&amp;M130))</f>
        <v/>
      </c>
      <c r="O129" s="14" t="n"/>
      <c r="P129" s="16" t="n"/>
      <c r="Q129" s="124">
        <f>IF(P129="","",COUNTIFS($C$18:$C$2015,P$13,$D$18:$D$2015,"&gt;="&amp;P129,$D$18:$D$2015,"&lt;"&amp;P130))</f>
        <v/>
      </c>
      <c r="R129" s="14" t="n"/>
      <c r="S129" s="16" t="n"/>
      <c r="T129" s="124">
        <f>IF(S129="","",COUNTIFS($C$18:$C$2015,S$13,$D$18:$D$2015,"&gt;="&amp;S129,$D$18:$D$2015,"&lt;"&amp;S130))</f>
        <v/>
      </c>
      <c r="U129" s="14" t="n"/>
      <c r="V129" s="16" t="n"/>
      <c r="W129" s="124">
        <f>IF(V129="","",COUNTIFS($C$18:$C$2015,V$13,$D$18:$D$2015,"&gt;="&amp;V129,$D$18:$D$2015,"&lt;"&amp;V130))</f>
        <v/>
      </c>
      <c r="X129" s="14" t="n"/>
      <c r="Y129" s="16" t="n"/>
      <c r="Z129" s="124">
        <f>IF(Y129="","",COUNTIFS($C$18:$C$2015,Y$13,$D$18:$D$2015,"&gt;="&amp;Y129,$D$18:$D$2015,"&lt;"&amp;Y130))</f>
        <v/>
      </c>
      <c r="AA129" s="14" t="n"/>
      <c r="AB129" s="16" t="n"/>
      <c r="AC129" s="124">
        <f>IF(AB129="","",COUNTIFS($C$18:$C$2015,AB$13,$D$18:$D$2015,"&gt;="&amp;AB129,$D$18:$D$2015,"&lt;"&amp;AB130))</f>
        <v/>
      </c>
      <c r="AD129" s="14" t="n"/>
    </row>
    <row r="130">
      <c r="A130" s="56" t="n"/>
      <c r="B130" s="59" t="n"/>
      <c r="C130" s="59" t="n"/>
      <c r="E130" s="16" t="n"/>
      <c r="F130" s="13" t="n"/>
      <c r="G130" s="16" t="n"/>
      <c r="H130" s="124">
        <f>IF(G130="","",COUNTIFS($C$18:$C$2015,G$13,$D$18:$D$2015,"&gt;="&amp;G130,$D$18:$D$2015,"&lt;"&amp;G131))</f>
        <v/>
      </c>
      <c r="I130" s="14" t="n"/>
      <c r="J130" s="16" t="n"/>
      <c r="K130" s="124">
        <f>IF(J130="","",COUNTIFS($C$18:$C$2015,J$13,$D$18:$D$2015,"&gt;="&amp;J130,$D$18:$D$2015,"&lt;"&amp;J131))</f>
        <v/>
      </c>
      <c r="L130" s="14" t="n"/>
      <c r="M130" s="16" t="n"/>
      <c r="N130" s="124">
        <f>IF(M130="","",COUNTIFS($C$18:$C$2015,M$13,$D$18:$D$2015,"&gt;="&amp;M130,$D$18:$D$2015,"&lt;"&amp;M131))</f>
        <v/>
      </c>
      <c r="O130" s="14" t="n"/>
      <c r="P130" s="16" t="n"/>
      <c r="Q130" s="124">
        <f>IF(P130="","",COUNTIFS($C$18:$C$2015,P$13,$D$18:$D$2015,"&gt;="&amp;P130,$D$18:$D$2015,"&lt;"&amp;P131))</f>
        <v/>
      </c>
      <c r="R130" s="14" t="n"/>
      <c r="S130" s="16" t="n"/>
      <c r="T130" s="124">
        <f>IF(S130="","",COUNTIFS($C$18:$C$2015,S$13,$D$18:$D$2015,"&gt;="&amp;S130,$D$18:$D$2015,"&lt;"&amp;S131))</f>
        <v/>
      </c>
      <c r="U130" s="14" t="n"/>
      <c r="V130" s="16" t="n"/>
      <c r="W130" s="124">
        <f>IF(V130="","",COUNTIFS($C$18:$C$2015,V$13,$D$18:$D$2015,"&gt;="&amp;V130,$D$18:$D$2015,"&lt;"&amp;V131))</f>
        <v/>
      </c>
      <c r="X130" s="14" t="n"/>
      <c r="Y130" s="16" t="n"/>
      <c r="Z130" s="124">
        <f>IF(Y130="","",COUNTIFS($C$18:$C$2015,Y$13,$D$18:$D$2015,"&gt;="&amp;Y130,$D$18:$D$2015,"&lt;"&amp;Y131))</f>
        <v/>
      </c>
      <c r="AA130" s="14" t="n"/>
      <c r="AB130" s="16" t="n"/>
      <c r="AC130" s="124">
        <f>IF(AB130="","",COUNTIFS($C$18:$C$2015,AB$13,$D$18:$D$2015,"&gt;="&amp;AB130,$D$18:$D$2015,"&lt;"&amp;AB131))</f>
        <v/>
      </c>
      <c r="AD130" s="14" t="n"/>
    </row>
    <row r="131">
      <c r="A131" s="58" t="n"/>
      <c r="B131" s="59" t="n"/>
      <c r="C131" s="59" t="n"/>
      <c r="E131" s="16" t="n"/>
      <c r="F131" s="13" t="n"/>
      <c r="G131" s="16" t="n"/>
      <c r="H131" s="124">
        <f>IF(G131="","",COUNTIFS($C$18:$C$2015,G$13,$D$18:$D$2015,"&gt;="&amp;G131,$D$18:$D$2015,"&lt;"&amp;G132))</f>
        <v/>
      </c>
      <c r="I131" s="14" t="n"/>
      <c r="J131" s="16" t="n"/>
      <c r="K131" s="124">
        <f>IF(J131="","",COUNTIFS($C$18:$C$2015,J$13,$D$18:$D$2015,"&gt;="&amp;J131,$D$18:$D$2015,"&lt;"&amp;J132))</f>
        <v/>
      </c>
      <c r="L131" s="14" t="n"/>
      <c r="M131" s="16" t="n"/>
      <c r="N131" s="124">
        <f>IF(M131="","",COUNTIFS($C$18:$C$2015,M$13,$D$18:$D$2015,"&gt;="&amp;M131,$D$18:$D$2015,"&lt;"&amp;M132))</f>
        <v/>
      </c>
      <c r="O131" s="14" t="n"/>
      <c r="P131" s="16" t="n"/>
      <c r="Q131" s="124">
        <f>IF(P131="","",COUNTIFS($C$18:$C$2015,P$13,$D$18:$D$2015,"&gt;="&amp;P131,$D$18:$D$2015,"&lt;"&amp;P132))</f>
        <v/>
      </c>
      <c r="R131" s="14" t="n"/>
      <c r="S131" s="16" t="n"/>
      <c r="T131" s="124">
        <f>IF(S131="","",COUNTIFS($C$18:$C$2015,S$13,$D$18:$D$2015,"&gt;="&amp;S131,$D$18:$D$2015,"&lt;"&amp;S132))</f>
        <v/>
      </c>
      <c r="U131" s="14" t="n"/>
      <c r="V131" s="16" t="n"/>
      <c r="W131" s="124">
        <f>IF(V131="","",COUNTIFS($C$18:$C$2015,V$13,$D$18:$D$2015,"&gt;="&amp;V131,$D$18:$D$2015,"&lt;"&amp;V132))</f>
        <v/>
      </c>
      <c r="X131" s="14" t="n"/>
      <c r="Y131" s="16" t="n"/>
      <c r="Z131" s="124">
        <f>IF(Y131="","",COUNTIFS($C$18:$C$2015,Y$13,$D$18:$D$2015,"&gt;="&amp;Y131,$D$18:$D$2015,"&lt;"&amp;Y132))</f>
        <v/>
      </c>
      <c r="AA131" s="14" t="n"/>
      <c r="AB131" s="16" t="n"/>
      <c r="AC131" s="124">
        <f>IF(AB131="","",COUNTIFS($C$18:$C$2015,AB$13,$D$18:$D$2015,"&gt;="&amp;AB131,$D$18:$D$2015,"&lt;"&amp;AB132))</f>
        <v/>
      </c>
      <c r="AD131" s="14" t="n"/>
    </row>
    <row r="132">
      <c r="A132" s="56" t="n"/>
      <c r="B132" s="59" t="n"/>
      <c r="C132" s="59" t="n"/>
      <c r="E132" s="16" t="n"/>
      <c r="F132" s="13" t="n"/>
      <c r="G132" s="16" t="n"/>
      <c r="H132" s="124">
        <f>IF(G132="","",COUNTIFS($C$18:$C$2015,G$13,$D$18:$D$2015,"&gt;="&amp;G132,$D$18:$D$2015,"&lt;"&amp;G133))</f>
        <v/>
      </c>
      <c r="I132" s="14" t="n"/>
      <c r="J132" s="16" t="n"/>
      <c r="K132" s="124">
        <f>IF(J132="","",COUNTIFS($C$18:$C$2015,J$13,$D$18:$D$2015,"&gt;="&amp;J132,$D$18:$D$2015,"&lt;"&amp;J133))</f>
        <v/>
      </c>
      <c r="L132" s="14" t="n"/>
      <c r="M132" s="16" t="n"/>
      <c r="N132" s="124">
        <f>IF(M132="","",COUNTIFS($C$18:$C$2015,M$13,$D$18:$D$2015,"&gt;="&amp;M132,$D$18:$D$2015,"&lt;"&amp;M133))</f>
        <v/>
      </c>
      <c r="O132" s="14" t="n"/>
      <c r="P132" s="16" t="n"/>
      <c r="Q132" s="124">
        <f>IF(P132="","",COUNTIFS($C$18:$C$2015,P$13,$D$18:$D$2015,"&gt;="&amp;P132,$D$18:$D$2015,"&lt;"&amp;P133))</f>
        <v/>
      </c>
      <c r="R132" s="14" t="n"/>
      <c r="S132" s="16" t="n"/>
      <c r="T132" s="124">
        <f>IF(S132="","",COUNTIFS($C$18:$C$2015,S$13,$D$18:$D$2015,"&gt;="&amp;S132,$D$18:$D$2015,"&lt;"&amp;S133))</f>
        <v/>
      </c>
      <c r="U132" s="14" t="n"/>
      <c r="V132" s="16" t="n"/>
      <c r="W132" s="124">
        <f>IF(V132="","",COUNTIFS($C$18:$C$2015,V$13,$D$18:$D$2015,"&gt;="&amp;V132,$D$18:$D$2015,"&lt;"&amp;V133))</f>
        <v/>
      </c>
      <c r="X132" s="14" t="n"/>
      <c r="Y132" s="16" t="n"/>
      <c r="Z132" s="124">
        <f>IF(Y132="","",COUNTIFS($C$18:$C$2015,Y$13,$D$18:$D$2015,"&gt;="&amp;Y132,$D$18:$D$2015,"&lt;"&amp;Y133))</f>
        <v/>
      </c>
      <c r="AA132" s="14" t="n"/>
      <c r="AB132" s="16" t="n"/>
      <c r="AC132" s="124">
        <f>IF(AB132="","",COUNTIFS($C$18:$C$2015,AB$13,$D$18:$D$2015,"&gt;="&amp;AB132,$D$18:$D$2015,"&lt;"&amp;AB133))</f>
        <v/>
      </c>
      <c r="AD132" s="14" t="n"/>
    </row>
    <row r="133">
      <c r="A133" s="58" t="n"/>
      <c r="B133" s="59" t="n"/>
      <c r="C133" s="59" t="n"/>
      <c r="E133" s="16" t="n"/>
      <c r="F133" s="13" t="n"/>
      <c r="G133" s="16" t="n"/>
      <c r="H133" s="124">
        <f>IF(G133="","",COUNTIFS($C$18:$C$2015,G$13,$D$18:$D$2015,"&gt;="&amp;G133,$D$18:$D$2015,"&lt;"&amp;G134))</f>
        <v/>
      </c>
      <c r="I133" s="14" t="n"/>
      <c r="J133" s="16" t="n"/>
      <c r="K133" s="124">
        <f>IF(J133="","",COUNTIFS($C$18:$C$2015,J$13,$D$18:$D$2015,"&gt;="&amp;J133,$D$18:$D$2015,"&lt;"&amp;J134))</f>
        <v/>
      </c>
      <c r="L133" s="14" t="n"/>
      <c r="M133" s="16" t="n"/>
      <c r="N133" s="124">
        <f>IF(M133="","",COUNTIFS($C$18:$C$2015,M$13,$D$18:$D$2015,"&gt;="&amp;M133,$D$18:$D$2015,"&lt;"&amp;M134))</f>
        <v/>
      </c>
      <c r="O133" s="14" t="n"/>
      <c r="P133" s="16" t="n"/>
      <c r="Q133" s="124">
        <f>IF(P133="","",COUNTIFS($C$18:$C$2015,P$13,$D$18:$D$2015,"&gt;="&amp;P133,$D$18:$D$2015,"&lt;"&amp;P134))</f>
        <v/>
      </c>
      <c r="R133" s="14" t="n"/>
      <c r="S133" s="16" t="n"/>
      <c r="T133" s="124">
        <f>IF(S133="","",COUNTIFS($C$18:$C$2015,S$13,$D$18:$D$2015,"&gt;="&amp;S133,$D$18:$D$2015,"&lt;"&amp;S134))</f>
        <v/>
      </c>
      <c r="U133" s="14" t="n"/>
      <c r="V133" s="16" t="n"/>
      <c r="W133" s="124">
        <f>IF(V133="","",COUNTIFS($C$18:$C$2015,V$13,$D$18:$D$2015,"&gt;="&amp;V133,$D$18:$D$2015,"&lt;"&amp;V134))</f>
        <v/>
      </c>
      <c r="X133" s="14" t="n"/>
      <c r="Y133" s="16" t="n"/>
      <c r="Z133" s="124">
        <f>IF(Y133="","",COUNTIFS($C$18:$C$2015,Y$13,$D$18:$D$2015,"&gt;="&amp;Y133,$D$18:$D$2015,"&lt;"&amp;Y134))</f>
        <v/>
      </c>
      <c r="AA133" s="14" t="n"/>
      <c r="AB133" s="16" t="n"/>
      <c r="AC133" s="124">
        <f>IF(AB133="","",COUNTIFS($C$18:$C$2015,AB$13,$D$18:$D$2015,"&gt;="&amp;AB133,$D$18:$D$2015,"&lt;"&amp;AB134))</f>
        <v/>
      </c>
      <c r="AD133" s="14" t="n"/>
    </row>
    <row r="134">
      <c r="A134" s="56" t="n"/>
      <c r="B134" s="59" t="n"/>
      <c r="C134" s="59" t="n"/>
      <c r="E134" s="16" t="n"/>
      <c r="F134" s="13" t="n"/>
      <c r="G134" s="16" t="n"/>
      <c r="H134" s="124">
        <f>IF(G134="","",COUNTIFS($C$18:$C$2015,G$13,$D$18:$D$2015,"&gt;="&amp;G134,$D$18:$D$2015,"&lt;"&amp;G135))</f>
        <v/>
      </c>
      <c r="I134" s="14" t="n"/>
      <c r="J134" s="16" t="n"/>
      <c r="K134" s="124">
        <f>IF(J134="","",COUNTIFS($C$18:$C$2015,J$13,$D$18:$D$2015,"&gt;="&amp;J134,$D$18:$D$2015,"&lt;"&amp;J135))</f>
        <v/>
      </c>
      <c r="L134" s="14" t="n"/>
      <c r="M134" s="16" t="n"/>
      <c r="N134" s="124">
        <f>IF(M134="","",COUNTIFS($C$18:$C$2015,M$13,$D$18:$D$2015,"&gt;="&amp;M134,$D$18:$D$2015,"&lt;"&amp;M135))</f>
        <v/>
      </c>
      <c r="O134" s="14" t="n"/>
      <c r="P134" s="16" t="n"/>
      <c r="Q134" s="124">
        <f>IF(P134="","",COUNTIFS($C$18:$C$2015,P$13,$D$18:$D$2015,"&gt;="&amp;P134,$D$18:$D$2015,"&lt;"&amp;P135))</f>
        <v/>
      </c>
      <c r="R134" s="14" t="n"/>
      <c r="S134" s="16" t="n"/>
      <c r="T134" s="124">
        <f>IF(S134="","",COUNTIFS($C$18:$C$2015,S$13,$D$18:$D$2015,"&gt;="&amp;S134,$D$18:$D$2015,"&lt;"&amp;S135))</f>
        <v/>
      </c>
      <c r="U134" s="14" t="n"/>
      <c r="V134" s="16" t="n"/>
      <c r="W134" s="124">
        <f>IF(V134="","",COUNTIFS($C$18:$C$2015,V$13,$D$18:$D$2015,"&gt;="&amp;V134,$D$18:$D$2015,"&lt;"&amp;V135))</f>
        <v/>
      </c>
      <c r="X134" s="14" t="n"/>
      <c r="Y134" s="16" t="n"/>
      <c r="Z134" s="124">
        <f>IF(Y134="","",COUNTIFS($C$18:$C$2015,Y$13,$D$18:$D$2015,"&gt;="&amp;Y134,$D$18:$D$2015,"&lt;"&amp;Y135))</f>
        <v/>
      </c>
      <c r="AA134" s="14" t="n"/>
      <c r="AB134" s="16" t="n"/>
      <c r="AC134" s="124">
        <f>IF(AB134="","",COUNTIFS($C$18:$C$2015,AB$13,$D$18:$D$2015,"&gt;="&amp;AB134,$D$18:$D$2015,"&lt;"&amp;AB135))</f>
        <v/>
      </c>
      <c r="AD134" s="14" t="n"/>
    </row>
    <row r="135">
      <c r="A135" s="58" t="n"/>
      <c r="B135" s="59" t="n"/>
      <c r="C135" s="59" t="n"/>
      <c r="E135" s="16" t="n"/>
      <c r="F135" s="13" t="n"/>
      <c r="G135" s="16" t="n"/>
      <c r="H135" s="124">
        <f>IF(G135="","",COUNTIFS($C$18:$C$2015,G$13,$D$18:$D$2015,"&gt;="&amp;G135,$D$18:$D$2015,"&lt;"&amp;G136))</f>
        <v/>
      </c>
      <c r="I135" s="14" t="n"/>
      <c r="J135" s="16" t="n"/>
      <c r="K135" s="124">
        <f>IF(J135="","",COUNTIFS($C$18:$C$2015,J$13,$D$18:$D$2015,"&gt;="&amp;J135,$D$18:$D$2015,"&lt;"&amp;J136))</f>
        <v/>
      </c>
      <c r="L135" s="14" t="n"/>
      <c r="M135" s="16" t="n"/>
      <c r="N135" s="124">
        <f>IF(M135="","",COUNTIFS($C$18:$C$2015,M$13,$D$18:$D$2015,"&gt;="&amp;M135,$D$18:$D$2015,"&lt;"&amp;M136))</f>
        <v/>
      </c>
      <c r="O135" s="14" t="n"/>
      <c r="P135" s="16" t="n"/>
      <c r="Q135" s="124">
        <f>IF(P135="","",COUNTIFS($C$18:$C$2015,P$13,$D$18:$D$2015,"&gt;="&amp;P135,$D$18:$D$2015,"&lt;"&amp;P136))</f>
        <v/>
      </c>
      <c r="R135" s="14" t="n"/>
      <c r="S135" s="16" t="n"/>
      <c r="T135" s="124">
        <f>IF(S135="","",COUNTIFS($C$18:$C$2015,S$13,$D$18:$D$2015,"&gt;="&amp;S135,$D$18:$D$2015,"&lt;"&amp;S136))</f>
        <v/>
      </c>
      <c r="U135" s="14" t="n"/>
      <c r="V135" s="16" t="n"/>
      <c r="W135" s="124">
        <f>IF(V135="","",COUNTIFS($C$18:$C$2015,V$13,$D$18:$D$2015,"&gt;="&amp;V135,$D$18:$D$2015,"&lt;"&amp;V136))</f>
        <v/>
      </c>
      <c r="X135" s="14" t="n"/>
      <c r="Y135" s="16" t="n"/>
      <c r="Z135" s="124">
        <f>IF(Y135="","",COUNTIFS($C$18:$C$2015,Y$13,$D$18:$D$2015,"&gt;="&amp;Y135,$D$18:$D$2015,"&lt;"&amp;Y136))</f>
        <v/>
      </c>
      <c r="AA135" s="14" t="n"/>
      <c r="AB135" s="16" t="n"/>
      <c r="AC135" s="124">
        <f>IF(AB135="","",COUNTIFS($C$18:$C$2015,AB$13,$D$18:$D$2015,"&gt;="&amp;AB135,$D$18:$D$2015,"&lt;"&amp;AB136))</f>
        <v/>
      </c>
      <c r="AD135" s="14" t="n"/>
    </row>
    <row r="136">
      <c r="A136" s="56" t="n"/>
      <c r="B136" s="59" t="n"/>
      <c r="C136" s="59" t="n"/>
      <c r="E136" s="16" t="n"/>
      <c r="F136" s="13" t="n"/>
      <c r="G136" s="16" t="n"/>
      <c r="H136" s="124">
        <f>IF(G136="","",COUNTIFS($C$18:$C$2015,G$13,$D$18:$D$2015,"&gt;="&amp;G136,$D$18:$D$2015,"&lt;"&amp;G137))</f>
        <v/>
      </c>
      <c r="I136" s="14" t="n"/>
      <c r="J136" s="16" t="n"/>
      <c r="K136" s="124">
        <f>IF(J136="","",COUNTIFS($C$18:$C$2015,J$13,$D$18:$D$2015,"&gt;="&amp;J136,$D$18:$D$2015,"&lt;"&amp;J137))</f>
        <v/>
      </c>
      <c r="L136" s="14" t="n"/>
      <c r="M136" s="16" t="n"/>
      <c r="N136" s="124">
        <f>IF(M136="","",COUNTIFS($C$18:$C$2015,M$13,$D$18:$D$2015,"&gt;="&amp;M136,$D$18:$D$2015,"&lt;"&amp;M137))</f>
        <v/>
      </c>
      <c r="O136" s="14" t="n"/>
      <c r="P136" s="16" t="n"/>
      <c r="Q136" s="124">
        <f>IF(P136="","",COUNTIFS($C$18:$C$2015,P$13,$D$18:$D$2015,"&gt;="&amp;P136,$D$18:$D$2015,"&lt;"&amp;P137))</f>
        <v/>
      </c>
      <c r="R136" s="14" t="n"/>
      <c r="S136" s="16" t="n"/>
      <c r="T136" s="124">
        <f>IF(S136="","",COUNTIFS($C$18:$C$2015,S$13,$D$18:$D$2015,"&gt;="&amp;S136,$D$18:$D$2015,"&lt;"&amp;S137))</f>
        <v/>
      </c>
      <c r="U136" s="14" t="n"/>
      <c r="V136" s="16" t="n"/>
      <c r="W136" s="124">
        <f>IF(V136="","",COUNTIFS($C$18:$C$2015,V$13,$D$18:$D$2015,"&gt;="&amp;V136,$D$18:$D$2015,"&lt;"&amp;V137))</f>
        <v/>
      </c>
      <c r="X136" s="14" t="n"/>
      <c r="Y136" s="16" t="n"/>
      <c r="Z136" s="124">
        <f>IF(Y136="","",COUNTIFS($C$18:$C$2015,Y$13,$D$18:$D$2015,"&gt;="&amp;Y136,$D$18:$D$2015,"&lt;"&amp;Y137))</f>
        <v/>
      </c>
      <c r="AA136" s="14" t="n"/>
      <c r="AB136" s="16" t="n"/>
      <c r="AC136" s="124">
        <f>IF(AB136="","",COUNTIFS($C$18:$C$2015,AB$13,$D$18:$D$2015,"&gt;="&amp;AB136,$D$18:$D$2015,"&lt;"&amp;AB137))</f>
        <v/>
      </c>
      <c r="AD136" s="14" t="n"/>
    </row>
    <row r="137">
      <c r="A137" s="58" t="n"/>
      <c r="B137" s="59" t="n"/>
      <c r="C137" s="59" t="n"/>
      <c r="E137" s="16" t="n"/>
      <c r="F137" s="13" t="n"/>
      <c r="G137" s="16" t="n"/>
      <c r="H137" s="124">
        <f>IF(G137="","",COUNTIFS($C$18:$C$2015,G$13,$D$18:$D$2015,"&gt;="&amp;G137,$D$18:$D$2015,"&lt;"&amp;G138))</f>
        <v/>
      </c>
      <c r="I137" s="14" t="n"/>
      <c r="J137" s="16" t="n"/>
      <c r="K137" s="124">
        <f>IF(J137="","",COUNTIFS($C$18:$C$2015,J$13,$D$18:$D$2015,"&gt;="&amp;J137,$D$18:$D$2015,"&lt;"&amp;J138))</f>
        <v/>
      </c>
      <c r="L137" s="14" t="n"/>
      <c r="M137" s="16" t="n"/>
      <c r="N137" s="124">
        <f>IF(M137="","",COUNTIFS($C$18:$C$2015,M$13,$D$18:$D$2015,"&gt;="&amp;M137,$D$18:$D$2015,"&lt;"&amp;M138))</f>
        <v/>
      </c>
      <c r="O137" s="14" t="n"/>
      <c r="P137" s="16" t="n"/>
      <c r="Q137" s="124">
        <f>IF(P137="","",COUNTIFS($C$18:$C$2015,P$13,$D$18:$D$2015,"&gt;="&amp;P137,$D$18:$D$2015,"&lt;"&amp;P138))</f>
        <v/>
      </c>
      <c r="R137" s="14" t="n"/>
      <c r="S137" s="16" t="n"/>
      <c r="T137" s="124">
        <f>IF(S137="","",COUNTIFS($C$18:$C$2015,S$13,$D$18:$D$2015,"&gt;="&amp;S137,$D$18:$D$2015,"&lt;"&amp;S138))</f>
        <v/>
      </c>
      <c r="U137" s="14" t="n"/>
      <c r="V137" s="16" t="n"/>
      <c r="W137" s="124">
        <f>IF(V137="","",COUNTIFS($C$18:$C$2015,V$13,$D$18:$D$2015,"&gt;="&amp;V137,$D$18:$D$2015,"&lt;"&amp;V138))</f>
        <v/>
      </c>
      <c r="X137" s="14" t="n"/>
      <c r="Y137" s="16" t="n"/>
      <c r="Z137" s="124">
        <f>IF(Y137="","",COUNTIFS($C$18:$C$2015,Y$13,$D$18:$D$2015,"&gt;="&amp;Y137,$D$18:$D$2015,"&lt;"&amp;Y138))</f>
        <v/>
      </c>
      <c r="AA137" s="14" t="n"/>
      <c r="AB137" s="16" t="n"/>
      <c r="AC137" s="124">
        <f>IF(AB137="","",COUNTIFS($C$18:$C$2015,AB$13,$D$18:$D$2015,"&gt;="&amp;AB137,$D$18:$D$2015,"&lt;"&amp;AB138))</f>
        <v/>
      </c>
      <c r="AD137" s="14" t="n"/>
    </row>
    <row r="138">
      <c r="A138" s="56" t="n"/>
      <c r="B138" s="59" t="n"/>
      <c r="C138" s="59" t="n"/>
      <c r="E138" s="16" t="n"/>
      <c r="F138" s="13" t="n"/>
      <c r="G138" s="16" t="n"/>
      <c r="H138" s="124">
        <f>IF(G138="","",COUNTIFS($C$18:$C$2015,G$13,$D$18:$D$2015,"&gt;="&amp;G138,$D$18:$D$2015,"&lt;"&amp;G139))</f>
        <v/>
      </c>
      <c r="I138" s="14" t="n"/>
      <c r="J138" s="16" t="n"/>
      <c r="K138" s="124">
        <f>IF(J138="","",COUNTIFS($C$18:$C$2015,J$13,$D$18:$D$2015,"&gt;="&amp;J138,$D$18:$D$2015,"&lt;"&amp;J139))</f>
        <v/>
      </c>
      <c r="L138" s="14" t="n"/>
      <c r="M138" s="16" t="n"/>
      <c r="N138" s="124">
        <f>IF(M138="","",COUNTIFS($C$18:$C$2015,M$13,$D$18:$D$2015,"&gt;="&amp;M138,$D$18:$D$2015,"&lt;"&amp;M139))</f>
        <v/>
      </c>
      <c r="O138" s="14" t="n"/>
      <c r="P138" s="16" t="n"/>
      <c r="Q138" s="124">
        <f>IF(P138="","",COUNTIFS($C$18:$C$2015,P$13,$D$18:$D$2015,"&gt;="&amp;P138,$D$18:$D$2015,"&lt;"&amp;P139))</f>
        <v/>
      </c>
      <c r="R138" s="14" t="n"/>
      <c r="S138" s="16" t="n"/>
      <c r="T138" s="124">
        <f>IF(S138="","",COUNTIFS($C$18:$C$2015,S$13,$D$18:$D$2015,"&gt;="&amp;S138,$D$18:$D$2015,"&lt;"&amp;S139))</f>
        <v/>
      </c>
      <c r="U138" s="14" t="n"/>
      <c r="V138" s="16" t="n"/>
      <c r="W138" s="124">
        <f>IF(V138="","",COUNTIFS($C$18:$C$2015,V$13,$D$18:$D$2015,"&gt;="&amp;V138,$D$18:$D$2015,"&lt;"&amp;V139))</f>
        <v/>
      </c>
      <c r="X138" s="14" t="n"/>
      <c r="Y138" s="16" t="n"/>
      <c r="Z138" s="124">
        <f>IF(Y138="","",COUNTIFS($C$18:$C$2015,Y$13,$D$18:$D$2015,"&gt;="&amp;Y138,$D$18:$D$2015,"&lt;"&amp;Y139))</f>
        <v/>
      </c>
      <c r="AA138" s="14" t="n"/>
      <c r="AB138" s="16" t="n"/>
      <c r="AC138" s="124">
        <f>IF(AB138="","",COUNTIFS($C$18:$C$2015,AB$13,$D$18:$D$2015,"&gt;="&amp;AB138,$D$18:$D$2015,"&lt;"&amp;AB139))</f>
        <v/>
      </c>
      <c r="AD138" s="14" t="n"/>
    </row>
    <row r="139">
      <c r="A139" s="58" t="n"/>
      <c r="B139" s="59" t="n"/>
      <c r="C139" s="59" t="n"/>
      <c r="E139" s="16" t="n"/>
      <c r="F139" s="13" t="n"/>
      <c r="G139" s="16" t="n"/>
      <c r="H139" s="124">
        <f>IF(G139="","",COUNTIFS($C$18:$C$2015,G$13,$D$18:$D$2015,"&gt;="&amp;G139,$D$18:$D$2015,"&lt;"&amp;G140))</f>
        <v/>
      </c>
      <c r="I139" s="14" t="n"/>
      <c r="J139" s="16" t="n"/>
      <c r="K139" s="124">
        <f>IF(J139="","",COUNTIFS($C$18:$C$2015,J$13,$D$18:$D$2015,"&gt;="&amp;J139,$D$18:$D$2015,"&lt;"&amp;J140))</f>
        <v/>
      </c>
      <c r="L139" s="14" t="n"/>
      <c r="M139" s="16" t="n"/>
      <c r="N139" s="124">
        <f>IF(M139="","",COUNTIFS($C$18:$C$2015,M$13,$D$18:$D$2015,"&gt;="&amp;M139,$D$18:$D$2015,"&lt;"&amp;M140))</f>
        <v/>
      </c>
      <c r="O139" s="14" t="n"/>
      <c r="P139" s="16" t="n"/>
      <c r="Q139" s="124">
        <f>IF(P139="","",COUNTIFS($C$18:$C$2015,P$13,$D$18:$D$2015,"&gt;="&amp;P139,$D$18:$D$2015,"&lt;"&amp;P140))</f>
        <v/>
      </c>
      <c r="R139" s="14" t="n"/>
      <c r="S139" s="16" t="n"/>
      <c r="T139" s="124">
        <f>IF(S139="","",COUNTIFS($C$18:$C$2015,S$13,$D$18:$D$2015,"&gt;="&amp;S139,$D$18:$D$2015,"&lt;"&amp;S140))</f>
        <v/>
      </c>
      <c r="U139" s="14" t="n"/>
      <c r="V139" s="16" t="n"/>
      <c r="W139" s="124">
        <f>IF(V139="","",COUNTIFS($C$18:$C$2015,V$13,$D$18:$D$2015,"&gt;="&amp;V139,$D$18:$D$2015,"&lt;"&amp;V140))</f>
        <v/>
      </c>
      <c r="X139" s="14" t="n"/>
      <c r="Y139" s="16" t="n"/>
      <c r="Z139" s="124">
        <f>IF(Y139="","",COUNTIFS($C$18:$C$2015,Y$13,$D$18:$D$2015,"&gt;="&amp;Y139,$D$18:$D$2015,"&lt;"&amp;Y140))</f>
        <v/>
      </c>
      <c r="AA139" s="14" t="n"/>
      <c r="AB139" s="16" t="n"/>
      <c r="AC139" s="124">
        <f>IF(AB139="","",COUNTIFS($C$18:$C$2015,AB$13,$D$18:$D$2015,"&gt;="&amp;AB139,$D$18:$D$2015,"&lt;"&amp;AB140))</f>
        <v/>
      </c>
      <c r="AD139" s="14" t="n"/>
    </row>
    <row r="140">
      <c r="A140" s="56" t="n"/>
      <c r="B140" s="59" t="n"/>
      <c r="C140" s="59" t="n"/>
      <c r="E140" s="16" t="n"/>
      <c r="F140" s="13" t="n"/>
      <c r="G140" s="16" t="n"/>
      <c r="H140" s="124">
        <f>IF(G140="","",COUNTIFS($C$18:$C$2015,G$13,$D$18:$D$2015,"&gt;="&amp;G140,$D$18:$D$2015,"&lt;"&amp;G141))</f>
        <v/>
      </c>
      <c r="I140" s="14" t="n"/>
      <c r="J140" s="16" t="n"/>
      <c r="K140" s="124">
        <f>IF(J140="","",COUNTIFS($C$18:$C$2015,J$13,$D$18:$D$2015,"&gt;="&amp;J140,$D$18:$D$2015,"&lt;"&amp;J141))</f>
        <v/>
      </c>
      <c r="L140" s="14" t="n"/>
      <c r="M140" s="16" t="n"/>
      <c r="N140" s="124">
        <f>IF(M140="","",COUNTIFS($C$18:$C$2015,M$13,$D$18:$D$2015,"&gt;="&amp;M140,$D$18:$D$2015,"&lt;"&amp;M141))</f>
        <v/>
      </c>
      <c r="O140" s="14" t="n"/>
      <c r="P140" s="16" t="n"/>
      <c r="Q140" s="124">
        <f>IF(P140="","",COUNTIFS($C$18:$C$2015,P$13,$D$18:$D$2015,"&gt;="&amp;P140,$D$18:$D$2015,"&lt;"&amp;P141))</f>
        <v/>
      </c>
      <c r="R140" s="14" t="n"/>
      <c r="S140" s="16" t="n"/>
      <c r="T140" s="124">
        <f>IF(S140="","",COUNTIFS($C$18:$C$2015,S$13,$D$18:$D$2015,"&gt;="&amp;S140,$D$18:$D$2015,"&lt;"&amp;S141))</f>
        <v/>
      </c>
      <c r="U140" s="14" t="n"/>
      <c r="V140" s="16" t="n"/>
      <c r="W140" s="124">
        <f>IF(V140="","",COUNTIFS($C$18:$C$2015,V$13,$D$18:$D$2015,"&gt;="&amp;V140,$D$18:$D$2015,"&lt;"&amp;V141))</f>
        <v/>
      </c>
      <c r="X140" s="14" t="n"/>
      <c r="Y140" s="16" t="n"/>
      <c r="Z140" s="124">
        <f>IF(Y140="","",COUNTIFS($C$18:$C$2015,Y$13,$D$18:$D$2015,"&gt;="&amp;Y140,$D$18:$D$2015,"&lt;"&amp;Y141))</f>
        <v/>
      </c>
      <c r="AA140" s="14" t="n"/>
      <c r="AB140" s="16" t="n"/>
      <c r="AC140" s="124">
        <f>IF(AB140="","",COUNTIFS($C$18:$C$2015,AB$13,$D$18:$D$2015,"&gt;="&amp;AB140,$D$18:$D$2015,"&lt;"&amp;AB141))</f>
        <v/>
      </c>
      <c r="AD140" s="14" t="n"/>
    </row>
    <row r="141">
      <c r="A141" s="58" t="n"/>
      <c r="B141" s="59" t="n"/>
      <c r="C141" s="59" t="n"/>
      <c r="E141" s="16" t="n"/>
      <c r="F141" s="13" t="n"/>
      <c r="G141" s="16" t="n"/>
      <c r="H141" s="124">
        <f>IF(G141="","",COUNTIFS($C$18:$C$2015,G$13,$D$18:$D$2015,"&gt;="&amp;G141,$D$18:$D$2015,"&lt;"&amp;G142))</f>
        <v/>
      </c>
      <c r="I141" s="14" t="n"/>
      <c r="J141" s="16" t="n"/>
      <c r="K141" s="124">
        <f>IF(J141="","",COUNTIFS($C$18:$C$2015,J$13,$D$18:$D$2015,"&gt;="&amp;J141,$D$18:$D$2015,"&lt;"&amp;J142))</f>
        <v/>
      </c>
      <c r="L141" s="14" t="n"/>
      <c r="M141" s="16" t="n"/>
      <c r="N141" s="124">
        <f>IF(M141="","",COUNTIFS($C$18:$C$2015,M$13,$D$18:$D$2015,"&gt;="&amp;M141,$D$18:$D$2015,"&lt;"&amp;M142))</f>
        <v/>
      </c>
      <c r="O141" s="14" t="n"/>
      <c r="P141" s="16" t="n"/>
      <c r="Q141" s="124">
        <f>IF(P141="","",COUNTIFS($C$18:$C$2015,P$13,$D$18:$D$2015,"&gt;="&amp;P141,$D$18:$D$2015,"&lt;"&amp;P142))</f>
        <v/>
      </c>
      <c r="R141" s="14" t="n"/>
      <c r="S141" s="16" t="n"/>
      <c r="T141" s="124">
        <f>IF(S141="","",COUNTIFS($C$18:$C$2015,S$13,$D$18:$D$2015,"&gt;="&amp;S141,$D$18:$D$2015,"&lt;"&amp;S142))</f>
        <v/>
      </c>
      <c r="U141" s="14" t="n"/>
      <c r="V141" s="16" t="n"/>
      <c r="W141" s="124">
        <f>IF(V141="","",COUNTIFS($C$18:$C$2015,V$13,$D$18:$D$2015,"&gt;="&amp;V141,$D$18:$D$2015,"&lt;"&amp;V142))</f>
        <v/>
      </c>
      <c r="X141" s="14" t="n"/>
      <c r="Y141" s="16" t="n"/>
      <c r="Z141" s="124">
        <f>IF(Y141="","",COUNTIFS($C$18:$C$2015,Y$13,$D$18:$D$2015,"&gt;="&amp;Y141,$D$18:$D$2015,"&lt;"&amp;Y142))</f>
        <v/>
      </c>
      <c r="AA141" s="14" t="n"/>
      <c r="AB141" s="16" t="n"/>
      <c r="AC141" s="124">
        <f>IF(AB141="","",COUNTIFS($C$18:$C$2015,AB$13,$D$18:$D$2015,"&gt;="&amp;AB141,$D$18:$D$2015,"&lt;"&amp;AB142))</f>
        <v/>
      </c>
      <c r="AD141" s="14" t="n"/>
    </row>
    <row r="142">
      <c r="A142" s="56" t="n"/>
      <c r="B142" s="59" t="n"/>
      <c r="C142" s="59" t="n"/>
      <c r="E142" s="16" t="n"/>
      <c r="F142" s="13" t="n"/>
      <c r="G142" s="16" t="n"/>
      <c r="H142" s="124">
        <f>IF(G142="","",COUNTIFS($C$18:$C$2015,G$13,$D$18:$D$2015,"&gt;="&amp;G142,$D$18:$D$2015,"&lt;"&amp;G143))</f>
        <v/>
      </c>
      <c r="I142" s="14" t="n"/>
      <c r="J142" s="16" t="n"/>
      <c r="K142" s="124">
        <f>IF(J142="","",COUNTIFS($C$18:$C$2015,J$13,$D$18:$D$2015,"&gt;="&amp;J142,$D$18:$D$2015,"&lt;"&amp;J143))</f>
        <v/>
      </c>
      <c r="L142" s="14" t="n"/>
      <c r="M142" s="16" t="n"/>
      <c r="N142" s="124">
        <f>IF(M142="","",COUNTIFS($C$18:$C$2015,M$13,$D$18:$D$2015,"&gt;="&amp;M142,$D$18:$D$2015,"&lt;"&amp;M143))</f>
        <v/>
      </c>
      <c r="O142" s="14" t="n"/>
      <c r="P142" s="16" t="n"/>
      <c r="Q142" s="124">
        <f>IF(P142="","",COUNTIFS($C$18:$C$2015,P$13,$D$18:$D$2015,"&gt;="&amp;P142,$D$18:$D$2015,"&lt;"&amp;P143))</f>
        <v/>
      </c>
      <c r="R142" s="14" t="n"/>
      <c r="S142" s="16" t="n"/>
      <c r="T142" s="124">
        <f>IF(S142="","",COUNTIFS($C$18:$C$2015,S$13,$D$18:$D$2015,"&gt;="&amp;S142,$D$18:$D$2015,"&lt;"&amp;S143))</f>
        <v/>
      </c>
      <c r="U142" s="14" t="n"/>
      <c r="V142" s="16" t="n"/>
      <c r="W142" s="124">
        <f>IF(V142="","",COUNTIFS($C$18:$C$2015,V$13,$D$18:$D$2015,"&gt;="&amp;V142,$D$18:$D$2015,"&lt;"&amp;V143))</f>
        <v/>
      </c>
      <c r="X142" s="14" t="n"/>
      <c r="Y142" s="16" t="n"/>
      <c r="Z142" s="124">
        <f>IF(Y142="","",COUNTIFS($C$18:$C$2015,Y$13,$D$18:$D$2015,"&gt;="&amp;Y142,$D$18:$D$2015,"&lt;"&amp;Y143))</f>
        <v/>
      </c>
      <c r="AA142" s="14" t="n"/>
      <c r="AB142" s="16" t="n"/>
      <c r="AC142" s="124">
        <f>IF(AB142="","",COUNTIFS($C$18:$C$2015,AB$13,$D$18:$D$2015,"&gt;="&amp;AB142,$D$18:$D$2015,"&lt;"&amp;AB143))</f>
        <v/>
      </c>
      <c r="AD142" s="14" t="n"/>
    </row>
    <row r="143">
      <c r="A143" s="58" t="n"/>
      <c r="B143" s="59" t="n"/>
      <c r="C143" s="59" t="n"/>
      <c r="E143" s="16" t="n"/>
      <c r="F143" s="13" t="n"/>
      <c r="G143" s="16" t="n"/>
      <c r="H143" s="124">
        <f>IF(G143="","",COUNTIFS($C$18:$C$2015,G$13,$D$18:$D$2015,"&gt;="&amp;G143,$D$18:$D$2015,"&lt;"&amp;G144))</f>
        <v/>
      </c>
      <c r="I143" s="14" t="n"/>
      <c r="J143" s="16" t="n"/>
      <c r="K143" s="124">
        <f>IF(J143="","",COUNTIFS($C$18:$C$2015,J$13,$D$18:$D$2015,"&gt;="&amp;J143,$D$18:$D$2015,"&lt;"&amp;J144))</f>
        <v/>
      </c>
      <c r="L143" s="14" t="n"/>
      <c r="M143" s="16" t="n"/>
      <c r="N143" s="124">
        <f>IF(M143="","",COUNTIFS($C$18:$C$2015,M$13,$D$18:$D$2015,"&gt;="&amp;M143,$D$18:$D$2015,"&lt;"&amp;M144))</f>
        <v/>
      </c>
      <c r="O143" s="14" t="n"/>
      <c r="P143" s="16" t="n"/>
      <c r="Q143" s="124">
        <f>IF(P143="","",COUNTIFS($C$18:$C$2015,P$13,$D$18:$D$2015,"&gt;="&amp;P143,$D$18:$D$2015,"&lt;"&amp;P144))</f>
        <v/>
      </c>
      <c r="R143" s="14" t="n"/>
      <c r="S143" s="16" t="n"/>
      <c r="T143" s="124">
        <f>IF(S143="","",COUNTIFS($C$18:$C$2015,S$13,$D$18:$D$2015,"&gt;="&amp;S143,$D$18:$D$2015,"&lt;"&amp;S144))</f>
        <v/>
      </c>
      <c r="U143" s="14" t="n"/>
      <c r="V143" s="16" t="n"/>
      <c r="W143" s="124">
        <f>IF(V143="","",COUNTIFS($C$18:$C$2015,V$13,$D$18:$D$2015,"&gt;="&amp;V143,$D$18:$D$2015,"&lt;"&amp;V144))</f>
        <v/>
      </c>
      <c r="X143" s="14" t="n"/>
      <c r="Y143" s="16" t="n"/>
      <c r="Z143" s="124">
        <f>IF(Y143="","",COUNTIFS($C$18:$C$2015,Y$13,$D$18:$D$2015,"&gt;="&amp;Y143,$D$18:$D$2015,"&lt;"&amp;Y144))</f>
        <v/>
      </c>
      <c r="AA143" s="14" t="n"/>
      <c r="AB143" s="16" t="n"/>
      <c r="AC143" s="124">
        <f>IF(AB143="","",COUNTIFS($C$18:$C$2015,AB$13,$D$18:$D$2015,"&gt;="&amp;AB143,$D$18:$D$2015,"&lt;"&amp;AB144))</f>
        <v/>
      </c>
      <c r="AD143" s="14" t="n"/>
    </row>
    <row r="144">
      <c r="A144" s="56" t="n"/>
      <c r="B144" s="59" t="n"/>
      <c r="C144" s="59" t="n"/>
      <c r="E144" s="16" t="n"/>
      <c r="F144" s="13" t="n"/>
      <c r="G144" s="16" t="n"/>
      <c r="H144" s="124">
        <f>IF(G144="","",COUNTIFS($C$18:$C$2015,G$13,$D$18:$D$2015,"&gt;="&amp;G144,$D$18:$D$2015,"&lt;"&amp;G145))</f>
        <v/>
      </c>
      <c r="I144" s="14" t="n"/>
      <c r="J144" s="16" t="n"/>
      <c r="K144" s="124">
        <f>IF(J144="","",COUNTIFS($C$18:$C$2015,J$13,$D$18:$D$2015,"&gt;="&amp;J144,$D$18:$D$2015,"&lt;"&amp;J145))</f>
        <v/>
      </c>
      <c r="L144" s="14" t="n"/>
      <c r="M144" s="16" t="n"/>
      <c r="N144" s="124">
        <f>IF(M144="","",COUNTIFS($C$18:$C$2015,M$13,$D$18:$D$2015,"&gt;="&amp;M144,$D$18:$D$2015,"&lt;"&amp;M145))</f>
        <v/>
      </c>
      <c r="O144" s="14" t="n"/>
      <c r="P144" s="16" t="n"/>
      <c r="Q144" s="124">
        <f>IF(P144="","",COUNTIFS($C$18:$C$2015,P$13,$D$18:$D$2015,"&gt;="&amp;P144,$D$18:$D$2015,"&lt;"&amp;P145))</f>
        <v/>
      </c>
      <c r="R144" s="14" t="n"/>
      <c r="S144" s="16" t="n"/>
      <c r="T144" s="124">
        <f>IF(S144="","",COUNTIFS($C$18:$C$2015,S$13,$D$18:$D$2015,"&gt;="&amp;S144,$D$18:$D$2015,"&lt;"&amp;S145))</f>
        <v/>
      </c>
      <c r="U144" s="14" t="n"/>
      <c r="V144" s="16" t="n"/>
      <c r="W144" s="124">
        <f>IF(V144="","",COUNTIFS($C$18:$C$2015,V$13,$D$18:$D$2015,"&gt;="&amp;V144,$D$18:$D$2015,"&lt;"&amp;V145))</f>
        <v/>
      </c>
      <c r="X144" s="14" t="n"/>
      <c r="Y144" s="16" t="n"/>
      <c r="Z144" s="124">
        <f>IF(Y144="","",COUNTIFS($C$18:$C$2015,Y$13,$D$18:$D$2015,"&gt;="&amp;Y144,$D$18:$D$2015,"&lt;"&amp;Y145))</f>
        <v/>
      </c>
      <c r="AA144" s="14" t="n"/>
      <c r="AB144" s="16" t="n"/>
      <c r="AC144" s="124">
        <f>IF(AB144="","",COUNTIFS($C$18:$C$2015,AB$13,$D$18:$D$2015,"&gt;="&amp;AB144,$D$18:$D$2015,"&lt;"&amp;AB145))</f>
        <v/>
      </c>
      <c r="AD144" s="14" t="n"/>
    </row>
    <row r="145">
      <c r="A145" s="58" t="n"/>
      <c r="B145" s="59" t="n"/>
      <c r="C145" s="59" t="n"/>
      <c r="E145" s="16" t="n"/>
      <c r="F145" s="13" t="n"/>
      <c r="G145" s="16" t="n"/>
      <c r="H145" s="124">
        <f>IF(G145="","",COUNTIFS($C$18:$C$2015,G$13,$D$18:$D$2015,"&gt;="&amp;G145,$D$18:$D$2015,"&lt;"&amp;G146))</f>
        <v/>
      </c>
      <c r="I145" s="14" t="n"/>
      <c r="J145" s="16" t="n"/>
      <c r="K145" s="124">
        <f>IF(J145="","",COUNTIFS($C$18:$C$2015,J$13,$D$18:$D$2015,"&gt;="&amp;J145,$D$18:$D$2015,"&lt;"&amp;J146))</f>
        <v/>
      </c>
      <c r="L145" s="14" t="n"/>
      <c r="M145" s="16" t="n"/>
      <c r="N145" s="124">
        <f>IF(M145="","",COUNTIFS($C$18:$C$2015,M$13,$D$18:$D$2015,"&gt;="&amp;M145,$D$18:$D$2015,"&lt;"&amp;M146))</f>
        <v/>
      </c>
      <c r="O145" s="14" t="n"/>
      <c r="P145" s="16" t="n"/>
      <c r="Q145" s="124">
        <f>IF(P145="","",COUNTIFS($C$18:$C$2015,P$13,$D$18:$D$2015,"&gt;="&amp;P145,$D$18:$D$2015,"&lt;"&amp;P146))</f>
        <v/>
      </c>
      <c r="R145" s="14" t="n"/>
      <c r="S145" s="16" t="n"/>
      <c r="T145" s="124">
        <f>IF(S145="","",COUNTIFS($C$18:$C$2015,S$13,$D$18:$D$2015,"&gt;="&amp;S145,$D$18:$D$2015,"&lt;"&amp;S146))</f>
        <v/>
      </c>
      <c r="U145" s="14" t="n"/>
      <c r="V145" s="16" t="n"/>
      <c r="W145" s="124">
        <f>IF(V145="","",COUNTIFS($C$18:$C$2015,V$13,$D$18:$D$2015,"&gt;="&amp;V145,$D$18:$D$2015,"&lt;"&amp;V146))</f>
        <v/>
      </c>
      <c r="X145" s="14" t="n"/>
      <c r="Y145" s="16" t="n"/>
      <c r="Z145" s="124">
        <f>IF(Y145="","",COUNTIFS($C$18:$C$2015,Y$13,$D$18:$D$2015,"&gt;="&amp;Y145,$D$18:$D$2015,"&lt;"&amp;Y146))</f>
        <v/>
      </c>
      <c r="AA145" s="14" t="n"/>
      <c r="AB145" s="16" t="n"/>
      <c r="AC145" s="124">
        <f>IF(AB145="","",COUNTIFS($C$18:$C$2015,AB$13,$D$18:$D$2015,"&gt;="&amp;AB145,$D$18:$D$2015,"&lt;"&amp;AB146))</f>
        <v/>
      </c>
      <c r="AD145" s="14" t="n"/>
    </row>
    <row r="146">
      <c r="A146" s="56" t="n"/>
      <c r="B146" s="59" t="n"/>
      <c r="C146" s="59" t="n"/>
      <c r="E146" s="16" t="n"/>
      <c r="F146" s="13" t="n"/>
      <c r="G146" s="16" t="n"/>
      <c r="H146" s="124">
        <f>IF(G146="","",COUNTIFS($C$18:$C$2015,G$13,$D$18:$D$2015,"&gt;="&amp;G146,$D$18:$D$2015,"&lt;"&amp;G147))</f>
        <v/>
      </c>
      <c r="I146" s="14" t="n"/>
      <c r="J146" s="16" t="n"/>
      <c r="K146" s="124">
        <f>IF(J146="","",COUNTIFS($C$18:$C$2015,J$13,$D$18:$D$2015,"&gt;="&amp;J146,$D$18:$D$2015,"&lt;"&amp;J147))</f>
        <v/>
      </c>
      <c r="L146" s="14" t="n"/>
      <c r="M146" s="16" t="n"/>
      <c r="N146" s="124">
        <f>IF(M146="","",COUNTIFS($C$18:$C$2015,M$13,$D$18:$D$2015,"&gt;="&amp;M146,$D$18:$D$2015,"&lt;"&amp;M147))</f>
        <v/>
      </c>
      <c r="O146" s="14" t="n"/>
      <c r="P146" s="16" t="n"/>
      <c r="Q146" s="124">
        <f>IF(P146="","",COUNTIFS($C$18:$C$2015,P$13,$D$18:$D$2015,"&gt;="&amp;P146,$D$18:$D$2015,"&lt;"&amp;P147))</f>
        <v/>
      </c>
      <c r="R146" s="14" t="n"/>
      <c r="S146" s="16" t="n"/>
      <c r="T146" s="124">
        <f>IF(S146="","",COUNTIFS($C$18:$C$2015,S$13,$D$18:$D$2015,"&gt;="&amp;S146,$D$18:$D$2015,"&lt;"&amp;S147))</f>
        <v/>
      </c>
      <c r="U146" s="14" t="n"/>
      <c r="V146" s="16" t="n"/>
      <c r="W146" s="124">
        <f>IF(V146="","",COUNTIFS($C$18:$C$2015,V$13,$D$18:$D$2015,"&gt;="&amp;V146,$D$18:$D$2015,"&lt;"&amp;V147))</f>
        <v/>
      </c>
      <c r="X146" s="14" t="n"/>
      <c r="Y146" s="16" t="n"/>
      <c r="Z146" s="124">
        <f>IF(Y146="","",COUNTIFS($C$18:$C$2015,Y$13,$D$18:$D$2015,"&gt;="&amp;Y146,$D$18:$D$2015,"&lt;"&amp;Y147))</f>
        <v/>
      </c>
      <c r="AA146" s="14" t="n"/>
      <c r="AB146" s="16" t="n"/>
      <c r="AC146" s="124">
        <f>IF(AB146="","",COUNTIFS($C$18:$C$2015,AB$13,$D$18:$D$2015,"&gt;="&amp;AB146,$D$18:$D$2015,"&lt;"&amp;AB147))</f>
        <v/>
      </c>
      <c r="AD146" s="14" t="n"/>
    </row>
    <row r="147">
      <c r="A147" s="58" t="n"/>
      <c r="B147" s="59" t="n"/>
      <c r="C147" s="59" t="n"/>
      <c r="E147" s="16" t="n"/>
      <c r="F147" s="13" t="n"/>
      <c r="G147" s="16" t="n"/>
      <c r="H147" s="124">
        <f>IF(G147="","",COUNTIFS($C$18:$C$2015,G$13,$D$18:$D$2015,"&gt;="&amp;G147,$D$18:$D$2015,"&lt;"&amp;G148))</f>
        <v/>
      </c>
      <c r="I147" s="14" t="n"/>
      <c r="J147" s="16" t="n"/>
      <c r="K147" s="124">
        <f>IF(J147="","",COUNTIFS($C$18:$C$2015,J$13,$D$18:$D$2015,"&gt;="&amp;J147,$D$18:$D$2015,"&lt;"&amp;J148))</f>
        <v/>
      </c>
      <c r="L147" s="14" t="n"/>
      <c r="M147" s="16" t="n"/>
      <c r="N147" s="124">
        <f>IF(M147="","",COUNTIFS($C$18:$C$2015,M$13,$D$18:$D$2015,"&gt;="&amp;M147,$D$18:$D$2015,"&lt;"&amp;M148))</f>
        <v/>
      </c>
      <c r="O147" s="14" t="n"/>
      <c r="P147" s="16" t="n"/>
      <c r="Q147" s="124">
        <f>IF(P147="","",COUNTIFS($C$18:$C$2015,P$13,$D$18:$D$2015,"&gt;="&amp;P147,$D$18:$D$2015,"&lt;"&amp;P148))</f>
        <v/>
      </c>
      <c r="R147" s="14" t="n"/>
      <c r="S147" s="16" t="n"/>
      <c r="T147" s="124">
        <f>IF(S147="","",COUNTIFS($C$18:$C$2015,S$13,$D$18:$D$2015,"&gt;="&amp;S147,$D$18:$D$2015,"&lt;"&amp;S148))</f>
        <v/>
      </c>
      <c r="U147" s="14" t="n"/>
      <c r="V147" s="16" t="n"/>
      <c r="W147" s="124">
        <f>IF(V147="","",COUNTIFS($C$18:$C$2015,V$13,$D$18:$D$2015,"&gt;="&amp;V147,$D$18:$D$2015,"&lt;"&amp;V148))</f>
        <v/>
      </c>
      <c r="X147" s="14" t="n"/>
      <c r="Y147" s="16" t="n"/>
      <c r="Z147" s="124">
        <f>IF(Y147="","",COUNTIFS($C$18:$C$2015,Y$13,$D$18:$D$2015,"&gt;="&amp;Y147,$D$18:$D$2015,"&lt;"&amp;Y148))</f>
        <v/>
      </c>
      <c r="AA147" s="14" t="n"/>
      <c r="AB147" s="16" t="n"/>
      <c r="AC147" s="124">
        <f>IF(AB147="","",COUNTIFS($C$18:$C$2015,AB$13,$D$18:$D$2015,"&gt;="&amp;AB147,$D$18:$D$2015,"&lt;"&amp;AB148))</f>
        <v/>
      </c>
      <c r="AD147" s="14" t="n"/>
    </row>
    <row r="148">
      <c r="A148" s="56" t="n"/>
      <c r="B148" s="59" t="n"/>
      <c r="C148" s="59" t="n"/>
      <c r="E148" s="16" t="n"/>
      <c r="F148" s="13" t="n"/>
      <c r="G148" s="16" t="n"/>
      <c r="H148" s="124">
        <f>IF(G148="","",COUNTIFS($C$18:$C$2015,G$13,$D$18:$D$2015,"&gt;="&amp;G148,$D$18:$D$2015,"&lt;"&amp;G149))</f>
        <v/>
      </c>
      <c r="I148" s="14" t="n"/>
      <c r="J148" s="16" t="n"/>
      <c r="K148" s="124">
        <f>IF(J148="","",COUNTIFS($C$18:$C$2015,J$13,$D$18:$D$2015,"&gt;="&amp;J148,$D$18:$D$2015,"&lt;"&amp;J149))</f>
        <v/>
      </c>
      <c r="L148" s="14" t="n"/>
      <c r="M148" s="16" t="n"/>
      <c r="N148" s="124">
        <f>IF(M148="","",COUNTIFS($C$18:$C$2015,M$13,$D$18:$D$2015,"&gt;="&amp;M148,$D$18:$D$2015,"&lt;"&amp;M149))</f>
        <v/>
      </c>
      <c r="O148" s="14" t="n"/>
      <c r="P148" s="16" t="n"/>
      <c r="Q148" s="124">
        <f>IF(P148="","",COUNTIFS($C$18:$C$2015,P$13,$D$18:$D$2015,"&gt;="&amp;P148,$D$18:$D$2015,"&lt;"&amp;P149))</f>
        <v/>
      </c>
      <c r="R148" s="14" t="n"/>
      <c r="S148" s="16" t="n"/>
      <c r="T148" s="124">
        <f>IF(S148="","",COUNTIFS($C$18:$C$2015,S$13,$D$18:$D$2015,"&gt;="&amp;S148,$D$18:$D$2015,"&lt;"&amp;S149))</f>
        <v/>
      </c>
      <c r="U148" s="14" t="n"/>
      <c r="V148" s="16" t="n"/>
      <c r="W148" s="124">
        <f>IF(V148="","",COUNTIFS($C$18:$C$2015,V$13,$D$18:$D$2015,"&gt;="&amp;V148,$D$18:$D$2015,"&lt;"&amp;V149))</f>
        <v/>
      </c>
      <c r="X148" s="14" t="n"/>
      <c r="Y148" s="16" t="n"/>
      <c r="Z148" s="124">
        <f>IF(Y148="","",COUNTIFS($C$18:$C$2015,Y$13,$D$18:$D$2015,"&gt;="&amp;Y148,$D$18:$D$2015,"&lt;"&amp;Y149))</f>
        <v/>
      </c>
      <c r="AA148" s="14" t="n"/>
      <c r="AB148" s="16" t="n"/>
      <c r="AC148" s="124">
        <f>IF(AB148="","",COUNTIFS($C$18:$C$2015,AB$13,$D$18:$D$2015,"&gt;="&amp;AB148,$D$18:$D$2015,"&lt;"&amp;AB149))</f>
        <v/>
      </c>
      <c r="AD148" s="14" t="n"/>
    </row>
    <row r="149">
      <c r="A149" s="58" t="n"/>
      <c r="B149" s="59" t="n"/>
      <c r="C149" s="59" t="n"/>
      <c r="E149" s="16" t="n"/>
      <c r="F149" s="13" t="n"/>
      <c r="G149" s="16" t="n"/>
      <c r="H149" s="124">
        <f>IF(G149="","",COUNTIFS($C$18:$C$2015,G$13,$D$18:$D$2015,"&gt;="&amp;G149,$D$18:$D$2015,"&lt;"&amp;G150))</f>
        <v/>
      </c>
      <c r="I149" s="14" t="n"/>
      <c r="J149" s="16" t="n"/>
      <c r="K149" s="124">
        <f>IF(J149="","",COUNTIFS($C$18:$C$2015,J$13,$D$18:$D$2015,"&gt;="&amp;J149,$D$18:$D$2015,"&lt;"&amp;J150))</f>
        <v/>
      </c>
      <c r="L149" s="14" t="n"/>
      <c r="M149" s="16" t="n"/>
      <c r="N149" s="124">
        <f>IF(M149="","",COUNTIFS($C$18:$C$2015,M$13,$D$18:$D$2015,"&gt;="&amp;M149,$D$18:$D$2015,"&lt;"&amp;M150))</f>
        <v/>
      </c>
      <c r="O149" s="14" t="n"/>
      <c r="P149" s="16" t="n"/>
      <c r="Q149" s="124">
        <f>IF(P149="","",COUNTIFS($C$18:$C$2015,P$13,$D$18:$D$2015,"&gt;="&amp;P149,$D$18:$D$2015,"&lt;"&amp;P150))</f>
        <v/>
      </c>
      <c r="R149" s="14" t="n"/>
      <c r="S149" s="16" t="n"/>
      <c r="T149" s="124">
        <f>IF(S149="","",COUNTIFS($C$18:$C$2015,S$13,$D$18:$D$2015,"&gt;="&amp;S149,$D$18:$D$2015,"&lt;"&amp;S150))</f>
        <v/>
      </c>
      <c r="U149" s="14" t="n"/>
      <c r="V149" s="16" t="n"/>
      <c r="W149" s="124">
        <f>IF(V149="","",COUNTIFS($C$18:$C$2015,V$13,$D$18:$D$2015,"&gt;="&amp;V149,$D$18:$D$2015,"&lt;"&amp;V150))</f>
        <v/>
      </c>
      <c r="X149" s="14" t="n"/>
      <c r="Y149" s="16" t="n"/>
      <c r="Z149" s="124">
        <f>IF(Y149="","",COUNTIFS($C$18:$C$2015,Y$13,$D$18:$D$2015,"&gt;="&amp;Y149,$D$18:$D$2015,"&lt;"&amp;Y150))</f>
        <v/>
      </c>
      <c r="AA149" s="14" t="n"/>
      <c r="AB149" s="16" t="n"/>
      <c r="AC149" s="124">
        <f>IF(AB149="","",COUNTIFS($C$18:$C$2015,AB$13,$D$18:$D$2015,"&gt;="&amp;AB149,$D$18:$D$2015,"&lt;"&amp;AB150))</f>
        <v/>
      </c>
      <c r="AD149" s="14" t="n"/>
    </row>
    <row r="150">
      <c r="A150" s="56" t="n"/>
      <c r="B150" s="59" t="n"/>
      <c r="C150" s="59" t="n"/>
      <c r="E150" s="16" t="n"/>
      <c r="F150" s="13" t="n"/>
      <c r="G150" s="16" t="n"/>
      <c r="H150" s="124">
        <f>IF(G150="","",COUNTIFS($C$18:$C$2015,G$13,$D$18:$D$2015,"&gt;="&amp;G150,$D$18:$D$2015,"&lt;"&amp;G151))</f>
        <v/>
      </c>
      <c r="I150" s="14" t="n"/>
      <c r="J150" s="16" t="n"/>
      <c r="K150" s="124">
        <f>IF(J150="","",COUNTIFS($C$18:$C$2015,J$13,$D$18:$D$2015,"&gt;="&amp;J150,$D$18:$D$2015,"&lt;"&amp;J151))</f>
        <v/>
      </c>
      <c r="L150" s="14" t="n"/>
      <c r="M150" s="16" t="n"/>
      <c r="N150" s="124">
        <f>IF(M150="","",COUNTIFS($C$18:$C$2015,M$13,$D$18:$D$2015,"&gt;="&amp;M150,$D$18:$D$2015,"&lt;"&amp;M151))</f>
        <v/>
      </c>
      <c r="O150" s="14" t="n"/>
      <c r="P150" s="16" t="n"/>
      <c r="Q150" s="124">
        <f>IF(P150="","",COUNTIFS($C$18:$C$2015,P$13,$D$18:$D$2015,"&gt;="&amp;P150,$D$18:$D$2015,"&lt;"&amp;P151))</f>
        <v/>
      </c>
      <c r="R150" s="14" t="n"/>
      <c r="S150" s="16" t="n"/>
      <c r="T150" s="124">
        <f>IF(S150="","",COUNTIFS($C$18:$C$2015,S$13,$D$18:$D$2015,"&gt;="&amp;S150,$D$18:$D$2015,"&lt;"&amp;S151))</f>
        <v/>
      </c>
      <c r="U150" s="14" t="n"/>
      <c r="V150" s="16" t="n"/>
      <c r="W150" s="124">
        <f>IF(V150="","",COUNTIFS($C$18:$C$2015,V$13,$D$18:$D$2015,"&gt;="&amp;V150,$D$18:$D$2015,"&lt;"&amp;V151))</f>
        <v/>
      </c>
      <c r="X150" s="14" t="n"/>
      <c r="Y150" s="16" t="n"/>
      <c r="Z150" s="124">
        <f>IF(Y150="","",COUNTIFS($C$18:$C$2015,Y$13,$D$18:$D$2015,"&gt;="&amp;Y150,$D$18:$D$2015,"&lt;"&amp;Y151))</f>
        <v/>
      </c>
      <c r="AA150" s="14" t="n"/>
      <c r="AB150" s="16" t="n"/>
      <c r="AC150" s="124">
        <f>IF(AB150="","",COUNTIFS($C$18:$C$2015,AB$13,$D$18:$D$2015,"&gt;="&amp;AB150,$D$18:$D$2015,"&lt;"&amp;AB151))</f>
        <v/>
      </c>
      <c r="AD150" s="14" t="n"/>
    </row>
    <row r="151">
      <c r="A151" s="58" t="n"/>
      <c r="B151" s="59" t="n"/>
      <c r="C151" s="59" t="n"/>
      <c r="E151" s="16" t="n"/>
      <c r="F151" s="13" t="n"/>
      <c r="G151" s="16" t="n"/>
      <c r="H151" s="124">
        <f>IF(G151="","",COUNTIFS($C$18:$C$2015,G$13,$D$18:$D$2015,"&gt;="&amp;G151,$D$18:$D$2015,"&lt;"&amp;G152))</f>
        <v/>
      </c>
      <c r="I151" s="14" t="n"/>
      <c r="J151" s="16" t="n"/>
      <c r="K151" s="124">
        <f>IF(J151="","",COUNTIFS($C$18:$C$2015,J$13,$D$18:$D$2015,"&gt;="&amp;J151,$D$18:$D$2015,"&lt;"&amp;J152))</f>
        <v/>
      </c>
      <c r="L151" s="14" t="n"/>
      <c r="M151" s="16" t="n"/>
      <c r="N151" s="124">
        <f>IF(M151="","",COUNTIFS($C$18:$C$2015,M$13,$D$18:$D$2015,"&gt;="&amp;M151,$D$18:$D$2015,"&lt;"&amp;M152))</f>
        <v/>
      </c>
      <c r="O151" s="14" t="n"/>
      <c r="P151" s="16" t="n"/>
      <c r="Q151" s="124">
        <f>IF(P151="","",COUNTIFS($C$18:$C$2015,P$13,$D$18:$D$2015,"&gt;="&amp;P151,$D$18:$D$2015,"&lt;"&amp;P152))</f>
        <v/>
      </c>
      <c r="R151" s="14" t="n"/>
      <c r="S151" s="16" t="n"/>
      <c r="T151" s="124">
        <f>IF(S151="","",COUNTIFS($C$18:$C$2015,S$13,$D$18:$D$2015,"&gt;="&amp;S151,$D$18:$D$2015,"&lt;"&amp;S152))</f>
        <v/>
      </c>
      <c r="U151" s="14" t="n"/>
      <c r="V151" s="16" t="n"/>
      <c r="W151" s="124">
        <f>IF(V151="","",COUNTIFS($C$18:$C$2015,V$13,$D$18:$D$2015,"&gt;="&amp;V151,$D$18:$D$2015,"&lt;"&amp;V152))</f>
        <v/>
      </c>
      <c r="X151" s="14" t="n"/>
      <c r="Y151" s="16" t="n"/>
      <c r="Z151" s="124">
        <f>IF(Y151="","",COUNTIFS($C$18:$C$2015,Y$13,$D$18:$D$2015,"&gt;="&amp;Y151,$D$18:$D$2015,"&lt;"&amp;Y152))</f>
        <v/>
      </c>
      <c r="AA151" s="14" t="n"/>
      <c r="AB151" s="16" t="n"/>
      <c r="AC151" s="124">
        <f>IF(AB151="","",COUNTIFS($C$18:$C$2015,AB$13,$D$18:$D$2015,"&gt;="&amp;AB151,$D$18:$D$2015,"&lt;"&amp;AB152))</f>
        <v/>
      </c>
      <c r="AD151" s="14" t="n"/>
    </row>
    <row r="152">
      <c r="A152" s="56" t="n"/>
      <c r="B152" s="59" t="n"/>
      <c r="C152" s="59" t="n"/>
      <c r="E152" s="16" t="n"/>
      <c r="F152" s="13" t="n"/>
      <c r="G152" s="16" t="n"/>
      <c r="H152" s="124">
        <f>IF(G152="","",COUNTIFS($C$18:$C$2015,G$13,$D$18:$D$2015,"&gt;="&amp;G152,$D$18:$D$2015,"&lt;"&amp;G153))</f>
        <v/>
      </c>
      <c r="I152" s="14" t="n"/>
      <c r="J152" s="16" t="n"/>
      <c r="K152" s="124">
        <f>IF(J152="","",COUNTIFS($C$18:$C$2015,J$13,$D$18:$D$2015,"&gt;="&amp;J152,$D$18:$D$2015,"&lt;"&amp;J153))</f>
        <v/>
      </c>
      <c r="L152" s="14" t="n"/>
      <c r="M152" s="16" t="n"/>
      <c r="N152" s="124">
        <f>IF(M152="","",COUNTIFS($C$18:$C$2015,M$13,$D$18:$D$2015,"&gt;="&amp;M152,$D$18:$D$2015,"&lt;"&amp;M153))</f>
        <v/>
      </c>
      <c r="O152" s="14" t="n"/>
      <c r="P152" s="16" t="n"/>
      <c r="Q152" s="124">
        <f>IF(P152="","",COUNTIFS($C$18:$C$2015,P$13,$D$18:$D$2015,"&gt;="&amp;P152,$D$18:$D$2015,"&lt;"&amp;P153))</f>
        <v/>
      </c>
      <c r="R152" s="14" t="n"/>
      <c r="S152" s="16" t="n"/>
      <c r="T152" s="124">
        <f>IF(S152="","",COUNTIFS($C$18:$C$2015,S$13,$D$18:$D$2015,"&gt;="&amp;S152,$D$18:$D$2015,"&lt;"&amp;S153))</f>
        <v/>
      </c>
      <c r="U152" s="14" t="n"/>
      <c r="V152" s="16" t="n"/>
      <c r="W152" s="124">
        <f>IF(V152="","",COUNTIFS($C$18:$C$2015,V$13,$D$18:$D$2015,"&gt;="&amp;V152,$D$18:$D$2015,"&lt;"&amp;V153))</f>
        <v/>
      </c>
      <c r="X152" s="14" t="n"/>
      <c r="Y152" s="16" t="n"/>
      <c r="Z152" s="124">
        <f>IF(Y152="","",COUNTIFS($C$18:$C$2015,Y$13,$D$18:$D$2015,"&gt;="&amp;Y152,$D$18:$D$2015,"&lt;"&amp;Y153))</f>
        <v/>
      </c>
      <c r="AA152" s="14" t="n"/>
      <c r="AB152" s="16" t="n"/>
      <c r="AC152" s="124">
        <f>IF(AB152="","",COUNTIFS($C$18:$C$2015,AB$13,$D$18:$D$2015,"&gt;="&amp;AB152,$D$18:$D$2015,"&lt;"&amp;AB153))</f>
        <v/>
      </c>
      <c r="AD152" s="14" t="n"/>
    </row>
    <row r="153">
      <c r="A153" s="58" t="n"/>
      <c r="B153" s="59" t="n"/>
      <c r="C153" s="59" t="n"/>
      <c r="E153" s="16" t="n"/>
      <c r="F153" s="13" t="n"/>
      <c r="G153" s="16" t="n"/>
      <c r="H153" s="124">
        <f>IF(G153="","",COUNTIFS($C$18:$C$2015,G$13,$D$18:$D$2015,"&gt;="&amp;G153,$D$18:$D$2015,"&lt;"&amp;G154))</f>
        <v/>
      </c>
      <c r="I153" s="14" t="n"/>
      <c r="J153" s="16" t="n"/>
      <c r="K153" s="124">
        <f>IF(J153="","",COUNTIFS($C$18:$C$2015,J$13,$D$18:$D$2015,"&gt;="&amp;J153,$D$18:$D$2015,"&lt;"&amp;J154))</f>
        <v/>
      </c>
      <c r="L153" s="14" t="n"/>
      <c r="M153" s="16" t="n"/>
      <c r="N153" s="124">
        <f>IF(M153="","",COUNTIFS($C$18:$C$2015,M$13,$D$18:$D$2015,"&gt;="&amp;M153,$D$18:$D$2015,"&lt;"&amp;M154))</f>
        <v/>
      </c>
      <c r="O153" s="14" t="n"/>
      <c r="P153" s="16" t="n"/>
      <c r="Q153" s="124">
        <f>IF(P153="","",COUNTIFS($C$18:$C$2015,P$13,$D$18:$D$2015,"&gt;="&amp;P153,$D$18:$D$2015,"&lt;"&amp;P154))</f>
        <v/>
      </c>
      <c r="R153" s="14" t="n"/>
      <c r="S153" s="16" t="n"/>
      <c r="T153" s="124">
        <f>IF(S153="","",COUNTIFS($C$18:$C$2015,S$13,$D$18:$D$2015,"&gt;="&amp;S153,$D$18:$D$2015,"&lt;"&amp;S154))</f>
        <v/>
      </c>
      <c r="U153" s="14" t="n"/>
      <c r="V153" s="16" t="n"/>
      <c r="W153" s="124">
        <f>IF(V153="","",COUNTIFS($C$18:$C$2015,V$13,$D$18:$D$2015,"&gt;="&amp;V153,$D$18:$D$2015,"&lt;"&amp;V154))</f>
        <v/>
      </c>
      <c r="X153" s="14" t="n"/>
      <c r="Y153" s="16" t="n"/>
      <c r="Z153" s="124">
        <f>IF(Y153="","",COUNTIFS($C$18:$C$2015,Y$13,$D$18:$D$2015,"&gt;="&amp;Y153,$D$18:$D$2015,"&lt;"&amp;Y154))</f>
        <v/>
      </c>
      <c r="AA153" s="14" t="n"/>
      <c r="AB153" s="16" t="n"/>
      <c r="AC153" s="124">
        <f>IF(AB153="","",COUNTIFS($C$18:$C$2015,AB$13,$D$18:$D$2015,"&gt;="&amp;AB153,$D$18:$D$2015,"&lt;"&amp;AB154))</f>
        <v/>
      </c>
      <c r="AD153" s="14" t="n"/>
    </row>
    <row r="154">
      <c r="A154" s="56" t="n"/>
      <c r="B154" s="59" t="n"/>
      <c r="C154" s="59" t="n"/>
      <c r="E154" s="16" t="n"/>
      <c r="F154" s="13" t="n"/>
      <c r="G154" s="16" t="n"/>
      <c r="H154" s="124">
        <f>IF(G154="","",COUNTIFS($C$18:$C$2015,G$13,$D$18:$D$2015,"&gt;="&amp;G154,$D$18:$D$2015,"&lt;"&amp;G155))</f>
        <v/>
      </c>
      <c r="I154" s="14" t="n"/>
      <c r="J154" s="16" t="n"/>
      <c r="K154" s="124">
        <f>IF(J154="","",COUNTIFS($C$18:$C$2015,J$13,$D$18:$D$2015,"&gt;="&amp;J154,$D$18:$D$2015,"&lt;"&amp;J155))</f>
        <v/>
      </c>
      <c r="L154" s="14" t="n"/>
      <c r="M154" s="16" t="n"/>
      <c r="N154" s="124">
        <f>IF(M154="","",COUNTIFS($C$18:$C$2015,M$13,$D$18:$D$2015,"&gt;="&amp;M154,$D$18:$D$2015,"&lt;"&amp;M155))</f>
        <v/>
      </c>
      <c r="O154" s="14" t="n"/>
      <c r="P154" s="16" t="n"/>
      <c r="Q154" s="124">
        <f>IF(P154="","",COUNTIFS($C$18:$C$2015,P$13,$D$18:$D$2015,"&gt;="&amp;P154,$D$18:$D$2015,"&lt;"&amp;P155))</f>
        <v/>
      </c>
      <c r="R154" s="14" t="n"/>
      <c r="S154" s="16" t="n"/>
      <c r="T154" s="124">
        <f>IF(S154="","",COUNTIFS($C$18:$C$2015,S$13,$D$18:$D$2015,"&gt;="&amp;S154,$D$18:$D$2015,"&lt;"&amp;S155))</f>
        <v/>
      </c>
      <c r="U154" s="14" t="n"/>
      <c r="V154" s="16" t="n"/>
      <c r="W154" s="124">
        <f>IF(V154="","",COUNTIFS($C$18:$C$2015,V$13,$D$18:$D$2015,"&gt;="&amp;V154,$D$18:$D$2015,"&lt;"&amp;V155))</f>
        <v/>
      </c>
      <c r="X154" s="14" t="n"/>
      <c r="Y154" s="16" t="n"/>
      <c r="Z154" s="124">
        <f>IF(Y154="","",COUNTIFS($C$18:$C$2015,Y$13,$D$18:$D$2015,"&gt;="&amp;Y154,$D$18:$D$2015,"&lt;"&amp;Y155))</f>
        <v/>
      </c>
      <c r="AA154" s="14" t="n"/>
      <c r="AB154" s="16" t="n"/>
      <c r="AC154" s="124">
        <f>IF(AB154="","",COUNTIFS($C$18:$C$2015,AB$13,$D$18:$D$2015,"&gt;="&amp;AB154,$D$18:$D$2015,"&lt;"&amp;AB155))</f>
        <v/>
      </c>
      <c r="AD154" s="14" t="n"/>
    </row>
    <row r="155">
      <c r="A155" s="58" t="n"/>
      <c r="B155" s="59" t="n"/>
      <c r="C155" s="59" t="n"/>
      <c r="E155" s="16" t="n"/>
      <c r="F155" s="13" t="n"/>
      <c r="G155" s="16" t="n"/>
      <c r="H155" s="124">
        <f>IF(G155="","",COUNTIFS($C$18:$C$2015,G$13,$D$18:$D$2015,"&gt;="&amp;G155,$D$18:$D$2015,"&lt;"&amp;G156))</f>
        <v/>
      </c>
      <c r="I155" s="14" t="n"/>
      <c r="J155" s="16" t="n"/>
      <c r="K155" s="124">
        <f>IF(J155="","",COUNTIFS($C$18:$C$2015,J$13,$D$18:$D$2015,"&gt;="&amp;J155,$D$18:$D$2015,"&lt;"&amp;J156))</f>
        <v/>
      </c>
      <c r="L155" s="14" t="n"/>
      <c r="M155" s="16" t="n"/>
      <c r="N155" s="124">
        <f>IF(M155="","",COUNTIFS($C$18:$C$2015,M$13,$D$18:$D$2015,"&gt;="&amp;M155,$D$18:$D$2015,"&lt;"&amp;M156))</f>
        <v/>
      </c>
      <c r="O155" s="14" t="n"/>
      <c r="P155" s="16" t="n"/>
      <c r="Q155" s="124">
        <f>IF(P155="","",COUNTIFS($C$18:$C$2015,P$13,$D$18:$D$2015,"&gt;="&amp;P155,$D$18:$D$2015,"&lt;"&amp;P156))</f>
        <v/>
      </c>
      <c r="R155" s="14" t="n"/>
      <c r="S155" s="16" t="n"/>
      <c r="T155" s="124">
        <f>IF(S155="","",COUNTIFS($C$18:$C$2015,S$13,$D$18:$D$2015,"&gt;="&amp;S155,$D$18:$D$2015,"&lt;"&amp;S156))</f>
        <v/>
      </c>
      <c r="U155" s="14" t="n"/>
      <c r="V155" s="16" t="n"/>
      <c r="W155" s="124">
        <f>IF(V155="","",COUNTIFS($C$18:$C$2015,V$13,$D$18:$D$2015,"&gt;="&amp;V155,$D$18:$D$2015,"&lt;"&amp;V156))</f>
        <v/>
      </c>
      <c r="X155" s="14" t="n"/>
      <c r="Y155" s="16" t="n"/>
      <c r="Z155" s="124">
        <f>IF(Y155="","",COUNTIFS($C$18:$C$2015,Y$13,$D$18:$D$2015,"&gt;="&amp;Y155,$D$18:$D$2015,"&lt;"&amp;Y156))</f>
        <v/>
      </c>
      <c r="AA155" s="14" t="n"/>
      <c r="AB155" s="16" t="n"/>
      <c r="AC155" s="124">
        <f>IF(AB155="","",COUNTIFS($C$18:$C$2015,AB$13,$D$18:$D$2015,"&gt;="&amp;AB155,$D$18:$D$2015,"&lt;"&amp;AB156))</f>
        <v/>
      </c>
      <c r="AD155" s="14" t="n"/>
    </row>
    <row r="156">
      <c r="A156" s="56" t="n"/>
      <c r="B156" s="59" t="n"/>
      <c r="C156" s="59" t="n"/>
      <c r="E156" s="16" t="n"/>
      <c r="F156" s="13" t="n"/>
      <c r="G156" s="16" t="n"/>
      <c r="H156" s="124">
        <f>IF(G156="","",COUNTIFS($C$18:$C$2015,G$13,$D$18:$D$2015,"&gt;="&amp;G156,$D$18:$D$2015,"&lt;"&amp;G157))</f>
        <v/>
      </c>
      <c r="I156" s="14" t="n"/>
      <c r="J156" s="16" t="n"/>
      <c r="K156" s="124">
        <f>IF(J156="","",COUNTIFS($C$18:$C$2015,J$13,$D$18:$D$2015,"&gt;="&amp;J156,$D$18:$D$2015,"&lt;"&amp;J157))</f>
        <v/>
      </c>
      <c r="L156" s="14" t="n"/>
      <c r="M156" s="16" t="n"/>
      <c r="N156" s="124">
        <f>IF(M156="","",COUNTIFS($C$18:$C$2015,M$13,$D$18:$D$2015,"&gt;="&amp;M156,$D$18:$D$2015,"&lt;"&amp;M157))</f>
        <v/>
      </c>
      <c r="O156" s="14" t="n"/>
      <c r="P156" s="16" t="n"/>
      <c r="Q156" s="124">
        <f>IF(P156="","",COUNTIFS($C$18:$C$2015,P$13,$D$18:$D$2015,"&gt;="&amp;P156,$D$18:$D$2015,"&lt;"&amp;P157))</f>
        <v/>
      </c>
      <c r="R156" s="14" t="n"/>
      <c r="S156" s="16" t="n"/>
      <c r="T156" s="124">
        <f>IF(S156="","",COUNTIFS($C$18:$C$2015,S$13,$D$18:$D$2015,"&gt;="&amp;S156,$D$18:$D$2015,"&lt;"&amp;S157))</f>
        <v/>
      </c>
      <c r="U156" s="14" t="n"/>
      <c r="V156" s="16" t="n"/>
      <c r="W156" s="124">
        <f>IF(V156="","",COUNTIFS($C$18:$C$2015,V$13,$D$18:$D$2015,"&gt;="&amp;V156,$D$18:$D$2015,"&lt;"&amp;V157))</f>
        <v/>
      </c>
      <c r="X156" s="14" t="n"/>
      <c r="Y156" s="16" t="n"/>
      <c r="Z156" s="124">
        <f>IF(Y156="","",COUNTIFS($C$18:$C$2015,Y$13,$D$18:$D$2015,"&gt;="&amp;Y156,$D$18:$D$2015,"&lt;"&amp;Y157))</f>
        <v/>
      </c>
      <c r="AA156" s="14" t="n"/>
      <c r="AB156" s="16" t="n"/>
      <c r="AC156" s="124">
        <f>IF(AB156="","",COUNTIFS($C$18:$C$2015,AB$13,$D$18:$D$2015,"&gt;="&amp;AB156,$D$18:$D$2015,"&lt;"&amp;AB157))</f>
        <v/>
      </c>
      <c r="AD156" s="14" t="n"/>
    </row>
    <row r="157">
      <c r="A157" s="58" t="n"/>
      <c r="B157" s="59" t="n"/>
      <c r="C157" s="59" t="n"/>
      <c r="E157" s="16" t="n"/>
      <c r="F157" s="13" t="n"/>
      <c r="G157" s="16" t="n"/>
      <c r="H157" s="124">
        <f>IF(G157="","",COUNTIFS($C$18:$C$2015,G$13,$D$18:$D$2015,"&gt;="&amp;G157,$D$18:$D$2015,"&lt;"&amp;G158))</f>
        <v/>
      </c>
      <c r="I157" s="14" t="n"/>
      <c r="J157" s="16" t="n"/>
      <c r="K157" s="124">
        <f>IF(J157="","",COUNTIFS($C$18:$C$2015,J$13,$D$18:$D$2015,"&gt;="&amp;J157,$D$18:$D$2015,"&lt;"&amp;J158))</f>
        <v/>
      </c>
      <c r="L157" s="14" t="n"/>
      <c r="M157" s="16" t="n"/>
      <c r="N157" s="124">
        <f>IF(M157="","",COUNTIFS($C$18:$C$2015,M$13,$D$18:$D$2015,"&gt;="&amp;M157,$D$18:$D$2015,"&lt;"&amp;M158))</f>
        <v/>
      </c>
      <c r="O157" s="14" t="n"/>
      <c r="P157" s="16" t="n"/>
      <c r="Q157" s="124">
        <f>IF(P157="","",COUNTIFS($C$18:$C$2015,P$13,$D$18:$D$2015,"&gt;="&amp;P157,$D$18:$D$2015,"&lt;"&amp;P158))</f>
        <v/>
      </c>
      <c r="R157" s="14" t="n"/>
      <c r="S157" s="16" t="n"/>
      <c r="T157" s="124">
        <f>IF(S157="","",COUNTIFS($C$18:$C$2015,S$13,$D$18:$D$2015,"&gt;="&amp;S157,$D$18:$D$2015,"&lt;"&amp;S158))</f>
        <v/>
      </c>
      <c r="U157" s="14" t="n"/>
      <c r="V157" s="16" t="n"/>
      <c r="W157" s="124">
        <f>IF(V157="","",COUNTIFS($C$18:$C$2015,V$13,$D$18:$D$2015,"&gt;="&amp;V157,$D$18:$D$2015,"&lt;"&amp;V158))</f>
        <v/>
      </c>
      <c r="X157" s="14" t="n"/>
      <c r="Y157" s="16" t="n"/>
      <c r="Z157" s="124">
        <f>IF(Y157="","",COUNTIFS($C$18:$C$2015,Y$13,$D$18:$D$2015,"&gt;="&amp;Y157,$D$18:$D$2015,"&lt;"&amp;Y158))</f>
        <v/>
      </c>
      <c r="AA157" s="14" t="n"/>
      <c r="AB157" s="16" t="n"/>
      <c r="AC157" s="124">
        <f>IF(AB157="","",COUNTIFS($C$18:$C$2015,AB$13,$D$18:$D$2015,"&gt;="&amp;AB157,$D$18:$D$2015,"&lt;"&amp;AB158))</f>
        <v/>
      </c>
      <c r="AD157" s="14" t="n"/>
    </row>
    <row r="158">
      <c r="A158" s="56" t="n"/>
      <c r="B158" s="59" t="n"/>
      <c r="C158" s="59" t="n"/>
      <c r="E158" s="16" t="n"/>
      <c r="F158" s="13" t="n"/>
      <c r="G158" s="16" t="n"/>
      <c r="H158" s="124">
        <f>IF(G158="","",COUNTIFS($C$18:$C$2015,G$13,$D$18:$D$2015,"&gt;="&amp;G158,$D$18:$D$2015,"&lt;"&amp;G159))</f>
        <v/>
      </c>
      <c r="I158" s="14" t="n"/>
      <c r="J158" s="16" t="n"/>
      <c r="K158" s="124">
        <f>IF(J158="","",COUNTIFS($C$18:$C$2015,J$13,$D$18:$D$2015,"&gt;="&amp;J158,$D$18:$D$2015,"&lt;"&amp;J159))</f>
        <v/>
      </c>
      <c r="L158" s="14" t="n"/>
      <c r="M158" s="16" t="n"/>
      <c r="N158" s="124">
        <f>IF(M158="","",COUNTIFS($C$18:$C$2015,M$13,$D$18:$D$2015,"&gt;="&amp;M158,$D$18:$D$2015,"&lt;"&amp;M159))</f>
        <v/>
      </c>
      <c r="O158" s="14" t="n"/>
      <c r="P158" s="16" t="n"/>
      <c r="Q158" s="124">
        <f>IF(P158="","",COUNTIFS($C$18:$C$2015,P$13,$D$18:$D$2015,"&gt;="&amp;P158,$D$18:$D$2015,"&lt;"&amp;P159))</f>
        <v/>
      </c>
      <c r="R158" s="14" t="n"/>
      <c r="S158" s="16" t="n"/>
      <c r="T158" s="124">
        <f>IF(S158="","",COUNTIFS($C$18:$C$2015,S$13,$D$18:$D$2015,"&gt;="&amp;S158,$D$18:$D$2015,"&lt;"&amp;S159))</f>
        <v/>
      </c>
      <c r="U158" s="14" t="n"/>
      <c r="V158" s="16" t="n"/>
      <c r="W158" s="124">
        <f>IF(V158="","",COUNTIFS($C$18:$C$2015,V$13,$D$18:$D$2015,"&gt;="&amp;V158,$D$18:$D$2015,"&lt;"&amp;V159))</f>
        <v/>
      </c>
      <c r="X158" s="14" t="n"/>
      <c r="Y158" s="16" t="n"/>
      <c r="Z158" s="124">
        <f>IF(Y158="","",COUNTIFS($C$18:$C$2015,Y$13,$D$18:$D$2015,"&gt;="&amp;Y158,$D$18:$D$2015,"&lt;"&amp;Y159))</f>
        <v/>
      </c>
      <c r="AA158" s="14" t="n"/>
      <c r="AB158" s="16" t="n"/>
      <c r="AC158" s="124">
        <f>IF(AB158="","",COUNTIFS($C$18:$C$2015,AB$13,$D$18:$D$2015,"&gt;="&amp;AB158,$D$18:$D$2015,"&lt;"&amp;AB159))</f>
        <v/>
      </c>
      <c r="AD158" s="14" t="n"/>
    </row>
    <row r="159">
      <c r="A159" s="58" t="n"/>
      <c r="B159" s="59" t="n"/>
      <c r="C159" s="59" t="n"/>
      <c r="E159" s="16" t="n"/>
      <c r="F159" s="13" t="n"/>
      <c r="G159" s="16" t="n"/>
      <c r="H159" s="124">
        <f>IF(G159="","",COUNTIFS($C$18:$C$2015,G$13,$D$18:$D$2015,"&gt;="&amp;G159,$D$18:$D$2015,"&lt;"&amp;G160))</f>
        <v/>
      </c>
      <c r="I159" s="14" t="n"/>
      <c r="J159" s="16" t="n"/>
      <c r="K159" s="124">
        <f>IF(J159="","",COUNTIFS($C$18:$C$2015,J$13,$D$18:$D$2015,"&gt;="&amp;J159,$D$18:$D$2015,"&lt;"&amp;J160))</f>
        <v/>
      </c>
      <c r="L159" s="14" t="n"/>
      <c r="M159" s="16" t="n"/>
      <c r="N159" s="124">
        <f>IF(M159="","",COUNTIFS($C$18:$C$2015,M$13,$D$18:$D$2015,"&gt;="&amp;M159,$D$18:$D$2015,"&lt;"&amp;M160))</f>
        <v/>
      </c>
      <c r="O159" s="14" t="n"/>
      <c r="P159" s="16" t="n"/>
      <c r="Q159" s="124">
        <f>IF(P159="","",COUNTIFS($C$18:$C$2015,P$13,$D$18:$D$2015,"&gt;="&amp;P159,$D$18:$D$2015,"&lt;"&amp;P160))</f>
        <v/>
      </c>
      <c r="R159" s="14" t="n"/>
      <c r="S159" s="16" t="n"/>
      <c r="T159" s="124">
        <f>IF(S159="","",COUNTIFS($C$18:$C$2015,S$13,$D$18:$D$2015,"&gt;="&amp;S159,$D$18:$D$2015,"&lt;"&amp;S160))</f>
        <v/>
      </c>
      <c r="U159" s="14" t="n"/>
      <c r="V159" s="16" t="n"/>
      <c r="W159" s="124">
        <f>IF(V159="","",COUNTIFS($C$18:$C$2015,V$13,$D$18:$D$2015,"&gt;="&amp;V159,$D$18:$D$2015,"&lt;"&amp;V160))</f>
        <v/>
      </c>
      <c r="X159" s="14" t="n"/>
      <c r="Y159" s="16" t="n"/>
      <c r="Z159" s="124">
        <f>IF(Y159="","",COUNTIFS($C$18:$C$2015,Y$13,$D$18:$D$2015,"&gt;="&amp;Y159,$D$18:$D$2015,"&lt;"&amp;Y160))</f>
        <v/>
      </c>
      <c r="AA159" s="14" t="n"/>
      <c r="AB159" s="16" t="n"/>
      <c r="AC159" s="124">
        <f>IF(AB159="","",COUNTIFS($C$18:$C$2015,AB$13,$D$18:$D$2015,"&gt;="&amp;AB159,$D$18:$D$2015,"&lt;"&amp;AB160))</f>
        <v/>
      </c>
      <c r="AD159" s="14" t="n"/>
    </row>
    <row r="160">
      <c r="A160" s="56" t="n"/>
      <c r="B160" s="59" t="n"/>
      <c r="C160" s="59" t="n"/>
      <c r="E160" s="16" t="n"/>
      <c r="F160" s="13" t="n"/>
      <c r="G160" s="16" t="n"/>
      <c r="H160" s="124">
        <f>IF(G160="","",COUNTIFS($C$18:$C$2015,G$13,$D$18:$D$2015,"&gt;="&amp;G160,$D$18:$D$2015,"&lt;"&amp;G161))</f>
        <v/>
      </c>
      <c r="I160" s="14" t="n"/>
      <c r="J160" s="16" t="n"/>
      <c r="K160" s="124">
        <f>IF(J160="","",COUNTIFS($C$18:$C$2015,J$13,$D$18:$D$2015,"&gt;="&amp;J160,$D$18:$D$2015,"&lt;"&amp;J161))</f>
        <v/>
      </c>
      <c r="L160" s="14" t="n"/>
      <c r="M160" s="16" t="n"/>
      <c r="N160" s="124">
        <f>IF(M160="","",COUNTIFS($C$18:$C$2015,M$13,$D$18:$D$2015,"&gt;="&amp;M160,$D$18:$D$2015,"&lt;"&amp;M161))</f>
        <v/>
      </c>
      <c r="O160" s="14" t="n"/>
      <c r="P160" s="16" t="n"/>
      <c r="Q160" s="124">
        <f>IF(P160="","",COUNTIFS($C$18:$C$2015,P$13,$D$18:$D$2015,"&gt;="&amp;P160,$D$18:$D$2015,"&lt;"&amp;P161))</f>
        <v/>
      </c>
      <c r="R160" s="14" t="n"/>
      <c r="S160" s="16" t="n"/>
      <c r="T160" s="124">
        <f>IF(S160="","",COUNTIFS($C$18:$C$2015,S$13,$D$18:$D$2015,"&gt;="&amp;S160,$D$18:$D$2015,"&lt;"&amp;S161))</f>
        <v/>
      </c>
      <c r="U160" s="14" t="n"/>
      <c r="V160" s="16" t="n"/>
      <c r="W160" s="124">
        <f>IF(V160="","",COUNTIFS($C$18:$C$2015,V$13,$D$18:$D$2015,"&gt;="&amp;V160,$D$18:$D$2015,"&lt;"&amp;V161))</f>
        <v/>
      </c>
      <c r="X160" s="14" t="n"/>
      <c r="Y160" s="16" t="n"/>
      <c r="Z160" s="124">
        <f>IF(Y160="","",COUNTIFS($C$18:$C$2015,Y$13,$D$18:$D$2015,"&gt;="&amp;Y160,$D$18:$D$2015,"&lt;"&amp;Y161))</f>
        <v/>
      </c>
      <c r="AA160" s="14" t="n"/>
      <c r="AB160" s="16" t="n"/>
      <c r="AC160" s="124">
        <f>IF(AB160="","",COUNTIFS($C$18:$C$2015,AB$13,$D$18:$D$2015,"&gt;="&amp;AB160,$D$18:$D$2015,"&lt;"&amp;AB161))</f>
        <v/>
      </c>
      <c r="AD160" s="14" t="n"/>
    </row>
    <row r="161">
      <c r="A161" s="58" t="n"/>
      <c r="B161" s="59" t="n"/>
      <c r="C161" s="59" t="n"/>
      <c r="E161" s="16" t="n"/>
      <c r="F161" s="13" t="n"/>
      <c r="G161" s="16" t="n"/>
      <c r="H161" s="124">
        <f>IF(G161="","",COUNTIFS($C$18:$C$2015,G$13,$D$18:$D$2015,"&gt;="&amp;G161,$D$18:$D$2015,"&lt;"&amp;G162))</f>
        <v/>
      </c>
      <c r="I161" s="14" t="n"/>
      <c r="J161" s="16" t="n"/>
      <c r="K161" s="124">
        <f>IF(J161="","",COUNTIFS($C$18:$C$2015,J$13,$D$18:$D$2015,"&gt;="&amp;J161,$D$18:$D$2015,"&lt;"&amp;J162))</f>
        <v/>
      </c>
      <c r="L161" s="14" t="n"/>
      <c r="M161" s="16" t="n"/>
      <c r="N161" s="124">
        <f>IF(M161="","",COUNTIFS($C$18:$C$2015,M$13,$D$18:$D$2015,"&gt;="&amp;M161,$D$18:$D$2015,"&lt;"&amp;M162))</f>
        <v/>
      </c>
      <c r="O161" s="14" t="n"/>
      <c r="P161" s="16" t="n"/>
      <c r="Q161" s="124">
        <f>IF(P161="","",COUNTIFS($C$18:$C$2015,P$13,$D$18:$D$2015,"&gt;="&amp;P161,$D$18:$D$2015,"&lt;"&amp;P162))</f>
        <v/>
      </c>
      <c r="R161" s="14" t="n"/>
      <c r="S161" s="16" t="n"/>
      <c r="T161" s="124">
        <f>IF(S161="","",COUNTIFS($C$18:$C$2015,S$13,$D$18:$D$2015,"&gt;="&amp;S161,$D$18:$D$2015,"&lt;"&amp;S162))</f>
        <v/>
      </c>
      <c r="U161" s="14" t="n"/>
      <c r="V161" s="16" t="n"/>
      <c r="W161" s="124">
        <f>IF(V161="","",COUNTIFS($C$18:$C$2015,V$13,$D$18:$D$2015,"&gt;="&amp;V161,$D$18:$D$2015,"&lt;"&amp;V162))</f>
        <v/>
      </c>
      <c r="X161" s="14" t="n"/>
      <c r="Y161" s="16" t="n"/>
      <c r="Z161" s="124">
        <f>IF(Y161="","",COUNTIFS($C$18:$C$2015,Y$13,$D$18:$D$2015,"&gt;="&amp;Y161,$D$18:$D$2015,"&lt;"&amp;Y162))</f>
        <v/>
      </c>
      <c r="AA161" s="14" t="n"/>
      <c r="AB161" s="16" t="n"/>
      <c r="AC161" s="124">
        <f>IF(AB161="","",COUNTIFS($C$18:$C$2015,AB$13,$D$18:$D$2015,"&gt;="&amp;AB161,$D$18:$D$2015,"&lt;"&amp;AB162))</f>
        <v/>
      </c>
      <c r="AD161" s="14" t="n"/>
    </row>
    <row r="162">
      <c r="A162" s="56" t="n"/>
      <c r="B162" s="59" t="n"/>
      <c r="C162" s="59" t="n"/>
      <c r="E162" s="16" t="n"/>
      <c r="F162" s="13" t="n"/>
      <c r="G162" s="16" t="n"/>
      <c r="H162" s="124">
        <f>IF(G162="","",COUNTIFS($C$18:$C$2015,G$13,$D$18:$D$2015,"&gt;="&amp;G162,$D$18:$D$2015,"&lt;"&amp;G163))</f>
        <v/>
      </c>
      <c r="I162" s="14" t="n"/>
      <c r="J162" s="16" t="n"/>
      <c r="K162" s="124">
        <f>IF(J162="","",COUNTIFS($C$18:$C$2015,J$13,$D$18:$D$2015,"&gt;="&amp;J162,$D$18:$D$2015,"&lt;"&amp;J163))</f>
        <v/>
      </c>
      <c r="L162" s="14" t="n"/>
      <c r="M162" s="16" t="n"/>
      <c r="N162" s="124">
        <f>IF(M162="","",COUNTIFS($C$18:$C$2015,M$13,$D$18:$D$2015,"&gt;="&amp;M162,$D$18:$D$2015,"&lt;"&amp;M163))</f>
        <v/>
      </c>
      <c r="O162" s="14" t="n"/>
      <c r="P162" s="16" t="n"/>
      <c r="Q162" s="124">
        <f>IF(P162="","",COUNTIFS($C$18:$C$2015,P$13,$D$18:$D$2015,"&gt;="&amp;P162,$D$18:$D$2015,"&lt;"&amp;P163))</f>
        <v/>
      </c>
      <c r="R162" s="14" t="n"/>
      <c r="S162" s="16" t="n"/>
      <c r="T162" s="124">
        <f>IF(S162="","",COUNTIFS($C$18:$C$2015,S$13,$D$18:$D$2015,"&gt;="&amp;S162,$D$18:$D$2015,"&lt;"&amp;S163))</f>
        <v/>
      </c>
      <c r="U162" s="14" t="n"/>
      <c r="V162" s="16" t="n"/>
      <c r="W162" s="124">
        <f>IF(V162="","",COUNTIFS($C$18:$C$2015,V$13,$D$18:$D$2015,"&gt;="&amp;V162,$D$18:$D$2015,"&lt;"&amp;V163))</f>
        <v/>
      </c>
      <c r="X162" s="14" t="n"/>
      <c r="Y162" s="16" t="n"/>
      <c r="Z162" s="124">
        <f>IF(Y162="","",COUNTIFS($C$18:$C$2015,Y$13,$D$18:$D$2015,"&gt;="&amp;Y162,$D$18:$D$2015,"&lt;"&amp;Y163))</f>
        <v/>
      </c>
      <c r="AA162" s="14" t="n"/>
      <c r="AB162" s="16" t="n"/>
      <c r="AC162" s="124">
        <f>IF(AB162="","",COUNTIFS($C$18:$C$2015,AB$13,$D$18:$D$2015,"&gt;="&amp;AB162,$D$18:$D$2015,"&lt;"&amp;AB163))</f>
        <v/>
      </c>
      <c r="AD162" s="14" t="n"/>
    </row>
    <row r="163">
      <c r="A163" s="58" t="n"/>
      <c r="B163" s="59" t="n"/>
      <c r="C163" s="59" t="n"/>
      <c r="E163" s="16" t="n"/>
      <c r="F163" s="13" t="n"/>
      <c r="G163" s="16" t="n"/>
      <c r="H163" s="124">
        <f>IF(G163="","",COUNTIFS($C$18:$C$2015,G$13,$D$18:$D$2015,"&gt;="&amp;G163,$D$18:$D$2015,"&lt;"&amp;G164))</f>
        <v/>
      </c>
      <c r="I163" s="14" t="n"/>
      <c r="J163" s="16" t="n"/>
      <c r="K163" s="124">
        <f>IF(J163="","",COUNTIFS($C$18:$C$2015,J$13,$D$18:$D$2015,"&gt;="&amp;J163,$D$18:$D$2015,"&lt;"&amp;J164))</f>
        <v/>
      </c>
      <c r="L163" s="14" t="n"/>
      <c r="M163" s="16" t="n"/>
      <c r="N163" s="124">
        <f>IF(M163="","",COUNTIFS($C$18:$C$2015,M$13,$D$18:$D$2015,"&gt;="&amp;M163,$D$18:$D$2015,"&lt;"&amp;M164))</f>
        <v/>
      </c>
      <c r="O163" s="14" t="n"/>
      <c r="P163" s="16" t="n"/>
      <c r="Q163" s="124">
        <f>IF(P163="","",COUNTIFS($C$18:$C$2015,P$13,$D$18:$D$2015,"&gt;="&amp;P163,$D$18:$D$2015,"&lt;"&amp;P164))</f>
        <v/>
      </c>
      <c r="R163" s="14" t="n"/>
      <c r="S163" s="16" t="n"/>
      <c r="T163" s="124">
        <f>IF(S163="","",COUNTIFS($C$18:$C$2015,S$13,$D$18:$D$2015,"&gt;="&amp;S163,$D$18:$D$2015,"&lt;"&amp;S164))</f>
        <v/>
      </c>
      <c r="U163" s="14" t="n"/>
      <c r="V163" s="16" t="n"/>
      <c r="W163" s="124">
        <f>IF(V163="","",COUNTIFS($C$18:$C$2015,V$13,$D$18:$D$2015,"&gt;="&amp;V163,$D$18:$D$2015,"&lt;"&amp;V164))</f>
        <v/>
      </c>
      <c r="X163" s="14" t="n"/>
      <c r="Y163" s="16" t="n"/>
      <c r="Z163" s="124">
        <f>IF(Y163="","",COUNTIFS($C$18:$C$2015,Y$13,$D$18:$D$2015,"&gt;="&amp;Y163,$D$18:$D$2015,"&lt;"&amp;Y164))</f>
        <v/>
      </c>
      <c r="AA163" s="14" t="n"/>
      <c r="AB163" s="16" t="n"/>
      <c r="AC163" s="124">
        <f>IF(AB163="","",COUNTIFS($C$18:$C$2015,AB$13,$D$18:$D$2015,"&gt;="&amp;AB163,$D$18:$D$2015,"&lt;"&amp;AB164))</f>
        <v/>
      </c>
      <c r="AD163" s="14" t="n"/>
    </row>
    <row r="164">
      <c r="A164" s="56" t="n"/>
      <c r="B164" s="59" t="n"/>
      <c r="C164" s="59" t="n"/>
      <c r="E164" s="16" t="n"/>
      <c r="F164" s="13" t="n"/>
      <c r="G164" s="16" t="n"/>
      <c r="H164" s="124">
        <f>IF(G164="","",COUNTIFS($C$18:$C$2015,G$13,$D$18:$D$2015,"&gt;="&amp;G164,$D$18:$D$2015,"&lt;"&amp;G165))</f>
        <v/>
      </c>
      <c r="I164" s="14" t="n"/>
      <c r="J164" s="16" t="n"/>
      <c r="K164" s="124">
        <f>IF(J164="","",COUNTIFS($C$18:$C$2015,J$13,$D$18:$D$2015,"&gt;="&amp;J164,$D$18:$D$2015,"&lt;"&amp;J165))</f>
        <v/>
      </c>
      <c r="L164" s="14" t="n"/>
      <c r="M164" s="16" t="n"/>
      <c r="N164" s="124">
        <f>IF(M164="","",COUNTIFS($C$18:$C$2015,M$13,$D$18:$D$2015,"&gt;="&amp;M164,$D$18:$D$2015,"&lt;"&amp;M165))</f>
        <v/>
      </c>
      <c r="O164" s="14" t="n"/>
      <c r="P164" s="16" t="n"/>
      <c r="Q164" s="124">
        <f>IF(P164="","",COUNTIFS($C$18:$C$2015,P$13,$D$18:$D$2015,"&gt;="&amp;P164,$D$18:$D$2015,"&lt;"&amp;P165))</f>
        <v/>
      </c>
      <c r="R164" s="14" t="n"/>
      <c r="S164" s="16" t="n"/>
      <c r="T164" s="124">
        <f>IF(S164="","",COUNTIFS($C$18:$C$2015,S$13,$D$18:$D$2015,"&gt;="&amp;S164,$D$18:$D$2015,"&lt;"&amp;S165))</f>
        <v/>
      </c>
      <c r="U164" s="14" t="n"/>
      <c r="V164" s="16" t="n"/>
      <c r="W164" s="124">
        <f>IF(V164="","",COUNTIFS($C$18:$C$2015,V$13,$D$18:$D$2015,"&gt;="&amp;V164,$D$18:$D$2015,"&lt;"&amp;V165))</f>
        <v/>
      </c>
      <c r="X164" s="14" t="n"/>
      <c r="Y164" s="16" t="n"/>
      <c r="Z164" s="124">
        <f>IF(Y164="","",COUNTIFS($C$18:$C$2015,Y$13,$D$18:$D$2015,"&gt;="&amp;Y164,$D$18:$D$2015,"&lt;"&amp;Y165))</f>
        <v/>
      </c>
      <c r="AA164" s="14" t="n"/>
      <c r="AB164" s="16" t="n"/>
      <c r="AC164" s="124">
        <f>IF(AB164="","",COUNTIFS($C$18:$C$2015,AB$13,$D$18:$D$2015,"&gt;="&amp;AB164,$D$18:$D$2015,"&lt;"&amp;AB165))</f>
        <v/>
      </c>
      <c r="AD164" s="14" t="n"/>
    </row>
    <row r="165">
      <c r="A165" s="58" t="n"/>
      <c r="B165" s="59" t="n"/>
      <c r="C165" s="59" t="n"/>
      <c r="E165" s="16" t="n"/>
      <c r="F165" s="13" t="n"/>
      <c r="G165" s="16" t="n"/>
      <c r="H165" s="124">
        <f>IF(G165="","",COUNTIFS($C$18:$C$2015,G$13,$D$18:$D$2015,"&gt;="&amp;G165,$D$18:$D$2015,"&lt;"&amp;G166))</f>
        <v/>
      </c>
      <c r="I165" s="14" t="n"/>
      <c r="J165" s="16" t="n"/>
      <c r="K165" s="124">
        <f>IF(J165="","",COUNTIFS($C$18:$C$2015,J$13,$D$18:$D$2015,"&gt;="&amp;J165,$D$18:$D$2015,"&lt;"&amp;J166))</f>
        <v/>
      </c>
      <c r="L165" s="14" t="n"/>
      <c r="M165" s="16" t="n"/>
      <c r="N165" s="124">
        <f>IF(M165="","",COUNTIFS($C$18:$C$2015,M$13,$D$18:$D$2015,"&gt;="&amp;M165,$D$18:$D$2015,"&lt;"&amp;M166))</f>
        <v/>
      </c>
      <c r="O165" s="14" t="n"/>
      <c r="P165" s="16" t="n"/>
      <c r="Q165" s="124">
        <f>IF(P165="","",COUNTIFS($C$18:$C$2015,P$13,$D$18:$D$2015,"&gt;="&amp;P165,$D$18:$D$2015,"&lt;"&amp;P166))</f>
        <v/>
      </c>
      <c r="R165" s="14" t="n"/>
      <c r="S165" s="16" t="n"/>
      <c r="T165" s="124">
        <f>IF(S165="","",COUNTIFS($C$18:$C$2015,S$13,$D$18:$D$2015,"&gt;="&amp;S165,$D$18:$D$2015,"&lt;"&amp;S166))</f>
        <v/>
      </c>
      <c r="U165" s="14" t="n"/>
      <c r="V165" s="16" t="n"/>
      <c r="W165" s="124">
        <f>IF(V165="","",COUNTIFS($C$18:$C$2015,V$13,$D$18:$D$2015,"&gt;="&amp;V165,$D$18:$D$2015,"&lt;"&amp;V166))</f>
        <v/>
      </c>
      <c r="X165" s="14" t="n"/>
      <c r="Y165" s="16" t="n"/>
      <c r="Z165" s="124">
        <f>IF(Y165="","",COUNTIFS($C$18:$C$2015,Y$13,$D$18:$D$2015,"&gt;="&amp;Y165,$D$18:$D$2015,"&lt;"&amp;Y166))</f>
        <v/>
      </c>
      <c r="AA165" s="14" t="n"/>
      <c r="AB165" s="16" t="n"/>
      <c r="AC165" s="124">
        <f>IF(AB165="","",COUNTIFS($C$18:$C$2015,AB$13,$D$18:$D$2015,"&gt;="&amp;AB165,$D$18:$D$2015,"&lt;"&amp;AB166))</f>
        <v/>
      </c>
      <c r="AD165" s="14" t="n"/>
    </row>
    <row r="166">
      <c r="A166" s="56" t="n"/>
      <c r="B166" s="59" t="n"/>
      <c r="C166" s="59" t="n"/>
      <c r="E166" s="16" t="n"/>
      <c r="F166" s="13" t="n"/>
      <c r="G166" s="16" t="n"/>
      <c r="H166" s="124">
        <f>IF(G166="","",COUNTIFS($C$18:$C$2015,G$13,$D$18:$D$2015,"&gt;="&amp;G166,$D$18:$D$2015,"&lt;"&amp;G167))</f>
        <v/>
      </c>
      <c r="I166" s="14" t="n"/>
      <c r="J166" s="16" t="n"/>
      <c r="K166" s="124">
        <f>IF(J166="","",COUNTIFS($C$18:$C$2015,J$13,$D$18:$D$2015,"&gt;="&amp;J166,$D$18:$D$2015,"&lt;"&amp;J167))</f>
        <v/>
      </c>
      <c r="L166" s="14" t="n"/>
      <c r="M166" s="16" t="n"/>
      <c r="N166" s="124">
        <f>IF(M166="","",COUNTIFS($C$18:$C$2015,M$13,$D$18:$D$2015,"&gt;="&amp;M166,$D$18:$D$2015,"&lt;"&amp;M167))</f>
        <v/>
      </c>
      <c r="O166" s="14" t="n"/>
      <c r="P166" s="16" t="n"/>
      <c r="Q166" s="124">
        <f>IF(P166="","",COUNTIFS($C$18:$C$2015,P$13,$D$18:$D$2015,"&gt;="&amp;P166,$D$18:$D$2015,"&lt;"&amp;P167))</f>
        <v/>
      </c>
      <c r="R166" s="14" t="n"/>
      <c r="S166" s="16" t="n"/>
      <c r="T166" s="124">
        <f>IF(S166="","",COUNTIFS($C$18:$C$2015,S$13,$D$18:$D$2015,"&gt;="&amp;S166,$D$18:$D$2015,"&lt;"&amp;S167))</f>
        <v/>
      </c>
      <c r="U166" s="14" t="n"/>
      <c r="V166" s="16" t="n"/>
      <c r="W166" s="124">
        <f>IF(V166="","",COUNTIFS($C$18:$C$2015,V$13,$D$18:$D$2015,"&gt;="&amp;V166,$D$18:$D$2015,"&lt;"&amp;V167))</f>
        <v/>
      </c>
      <c r="X166" s="14" t="n"/>
      <c r="Y166" s="16" t="n"/>
      <c r="Z166" s="124">
        <f>IF(Y166="","",COUNTIFS($C$18:$C$2015,Y$13,$D$18:$D$2015,"&gt;="&amp;Y166,$D$18:$D$2015,"&lt;"&amp;Y167))</f>
        <v/>
      </c>
      <c r="AA166" s="14" t="n"/>
      <c r="AB166" s="16" t="n"/>
      <c r="AC166" s="124">
        <f>IF(AB166="","",COUNTIFS($C$18:$C$2015,AB$13,$D$18:$D$2015,"&gt;="&amp;AB166,$D$18:$D$2015,"&lt;"&amp;AB167))</f>
        <v/>
      </c>
      <c r="AD166" s="14" t="n"/>
    </row>
    <row r="167">
      <c r="A167" s="58" t="n"/>
      <c r="B167" s="59" t="n"/>
      <c r="C167" s="59" t="n"/>
      <c r="E167" s="16" t="n"/>
      <c r="F167" s="13" t="n"/>
      <c r="G167" s="16" t="n"/>
      <c r="H167" s="124">
        <f>IF(G167="","",COUNTIFS($C$18:$C$2015,G$13,$D$18:$D$2015,"&gt;="&amp;G167,$D$18:$D$2015,"&lt;"&amp;G168))</f>
        <v/>
      </c>
      <c r="I167" s="14" t="n"/>
      <c r="J167" s="16" t="n"/>
      <c r="K167" s="124">
        <f>IF(J167="","",COUNTIFS($C$18:$C$2015,J$13,$D$18:$D$2015,"&gt;="&amp;J167,$D$18:$D$2015,"&lt;"&amp;J168))</f>
        <v/>
      </c>
      <c r="L167" s="14" t="n"/>
      <c r="M167" s="16" t="n"/>
      <c r="N167" s="124">
        <f>IF(M167="","",COUNTIFS($C$18:$C$2015,M$13,$D$18:$D$2015,"&gt;="&amp;M167,$D$18:$D$2015,"&lt;"&amp;M168))</f>
        <v/>
      </c>
      <c r="O167" s="14" t="n"/>
      <c r="P167" s="16" t="n"/>
      <c r="Q167" s="124">
        <f>IF(P167="","",COUNTIFS($C$18:$C$2015,P$13,$D$18:$D$2015,"&gt;="&amp;P167,$D$18:$D$2015,"&lt;"&amp;P168))</f>
        <v/>
      </c>
      <c r="R167" s="14" t="n"/>
      <c r="S167" s="16" t="n"/>
      <c r="T167" s="124">
        <f>IF(S167="","",COUNTIFS($C$18:$C$2015,S$13,$D$18:$D$2015,"&gt;="&amp;S167,$D$18:$D$2015,"&lt;"&amp;S168))</f>
        <v/>
      </c>
      <c r="U167" s="14" t="n"/>
      <c r="V167" s="16" t="n"/>
      <c r="W167" s="124">
        <f>IF(V167="","",COUNTIFS($C$18:$C$2015,V$13,$D$18:$D$2015,"&gt;="&amp;V167,$D$18:$D$2015,"&lt;"&amp;V168))</f>
        <v/>
      </c>
      <c r="X167" s="14" t="n"/>
      <c r="Y167" s="16" t="n"/>
      <c r="Z167" s="124">
        <f>IF(Y167="","",COUNTIFS($C$18:$C$2015,Y$13,$D$18:$D$2015,"&gt;="&amp;Y167,$D$18:$D$2015,"&lt;"&amp;Y168))</f>
        <v/>
      </c>
      <c r="AA167" s="14" t="n"/>
      <c r="AB167" s="16" t="n"/>
      <c r="AC167" s="124">
        <f>IF(AB167="","",COUNTIFS($C$18:$C$2015,AB$13,$D$18:$D$2015,"&gt;="&amp;AB167,$D$18:$D$2015,"&lt;"&amp;AB168))</f>
        <v/>
      </c>
      <c r="AD167" s="14" t="n"/>
    </row>
    <row r="168">
      <c r="A168" s="56" t="n"/>
      <c r="B168" s="59" t="n"/>
      <c r="C168" s="59" t="n"/>
      <c r="E168" s="16" t="n"/>
      <c r="F168" s="13" t="n"/>
      <c r="G168" s="16" t="n"/>
      <c r="H168" s="124">
        <f>IF(G168="","",COUNTIFS($C$18:$C$2015,G$13,$D$18:$D$2015,"&gt;="&amp;G168,$D$18:$D$2015,"&lt;"&amp;G169))</f>
        <v/>
      </c>
      <c r="I168" s="14" t="n"/>
      <c r="J168" s="16" t="n"/>
      <c r="K168" s="124">
        <f>IF(J168="","",COUNTIFS($C$18:$C$2015,J$13,$D$18:$D$2015,"&gt;="&amp;J168,$D$18:$D$2015,"&lt;"&amp;J169))</f>
        <v/>
      </c>
      <c r="L168" s="14" t="n"/>
      <c r="M168" s="16" t="n"/>
      <c r="N168" s="124">
        <f>IF(M168="","",COUNTIFS($C$18:$C$2015,M$13,$D$18:$D$2015,"&gt;="&amp;M168,$D$18:$D$2015,"&lt;"&amp;M169))</f>
        <v/>
      </c>
      <c r="O168" s="14" t="n"/>
      <c r="P168" s="16" t="n"/>
      <c r="Q168" s="124">
        <f>IF(P168="","",COUNTIFS($C$18:$C$2015,P$13,$D$18:$D$2015,"&gt;="&amp;P168,$D$18:$D$2015,"&lt;"&amp;P169))</f>
        <v/>
      </c>
      <c r="R168" s="14" t="n"/>
      <c r="S168" s="16" t="n"/>
      <c r="T168" s="124">
        <f>IF(S168="","",COUNTIFS($C$18:$C$2015,S$13,$D$18:$D$2015,"&gt;="&amp;S168,$D$18:$D$2015,"&lt;"&amp;S169))</f>
        <v/>
      </c>
      <c r="U168" s="14" t="n"/>
      <c r="V168" s="16" t="n"/>
      <c r="W168" s="124">
        <f>IF(V168="","",COUNTIFS($C$18:$C$2015,V$13,$D$18:$D$2015,"&gt;="&amp;V168,$D$18:$D$2015,"&lt;"&amp;V169))</f>
        <v/>
      </c>
      <c r="X168" s="14" t="n"/>
      <c r="Y168" s="16" t="n"/>
      <c r="Z168" s="124">
        <f>IF(Y168="","",COUNTIFS($C$18:$C$2015,Y$13,$D$18:$D$2015,"&gt;="&amp;Y168,$D$18:$D$2015,"&lt;"&amp;Y169))</f>
        <v/>
      </c>
      <c r="AA168" s="14" t="n"/>
      <c r="AB168" s="16" t="n"/>
      <c r="AC168" s="124">
        <f>IF(AB168="","",COUNTIFS($C$18:$C$2015,AB$13,$D$18:$D$2015,"&gt;="&amp;AB168,$D$18:$D$2015,"&lt;"&amp;AB169))</f>
        <v/>
      </c>
      <c r="AD168" s="14" t="n"/>
    </row>
    <row r="169">
      <c r="A169" s="58" t="n"/>
      <c r="B169" s="59" t="n"/>
      <c r="C169" s="59" t="n"/>
      <c r="E169" s="16" t="n"/>
      <c r="F169" s="13" t="n"/>
      <c r="G169" s="16" t="n"/>
      <c r="H169" s="124">
        <f>IF(G169="","",COUNTIFS($C$18:$C$2015,G$13,$D$18:$D$2015,"&gt;="&amp;G169,$D$18:$D$2015,"&lt;"&amp;G170))</f>
        <v/>
      </c>
      <c r="I169" s="14" t="n"/>
      <c r="J169" s="16" t="n"/>
      <c r="K169" s="124">
        <f>IF(J169="","",COUNTIFS($C$18:$C$2015,J$13,$D$18:$D$2015,"&gt;="&amp;J169,$D$18:$D$2015,"&lt;"&amp;J170))</f>
        <v/>
      </c>
      <c r="L169" s="14" t="n"/>
      <c r="M169" s="16" t="n"/>
      <c r="N169" s="124">
        <f>IF(M169="","",COUNTIFS($C$18:$C$2015,M$13,$D$18:$D$2015,"&gt;="&amp;M169,$D$18:$D$2015,"&lt;"&amp;M170))</f>
        <v/>
      </c>
      <c r="O169" s="14" t="n"/>
      <c r="P169" s="16" t="n"/>
      <c r="Q169" s="124">
        <f>IF(P169="","",COUNTIFS($C$18:$C$2015,P$13,$D$18:$D$2015,"&gt;="&amp;P169,$D$18:$D$2015,"&lt;"&amp;P170))</f>
        <v/>
      </c>
      <c r="R169" s="14" t="n"/>
      <c r="S169" s="16" t="n"/>
      <c r="T169" s="124">
        <f>IF(S169="","",COUNTIFS($C$18:$C$2015,S$13,$D$18:$D$2015,"&gt;="&amp;S169,$D$18:$D$2015,"&lt;"&amp;S170))</f>
        <v/>
      </c>
      <c r="U169" s="14" t="n"/>
      <c r="V169" s="16" t="n"/>
      <c r="W169" s="124">
        <f>IF(V169="","",COUNTIFS($C$18:$C$2015,V$13,$D$18:$D$2015,"&gt;="&amp;V169,$D$18:$D$2015,"&lt;"&amp;V170))</f>
        <v/>
      </c>
      <c r="X169" s="14" t="n"/>
      <c r="Y169" s="16" t="n"/>
      <c r="Z169" s="124">
        <f>IF(Y169="","",COUNTIFS($C$18:$C$2015,Y$13,$D$18:$D$2015,"&gt;="&amp;Y169,$D$18:$D$2015,"&lt;"&amp;Y170))</f>
        <v/>
      </c>
      <c r="AA169" s="14" t="n"/>
      <c r="AB169" s="16" t="n"/>
      <c r="AC169" s="124">
        <f>IF(AB169="","",COUNTIFS($C$18:$C$2015,AB$13,$D$18:$D$2015,"&gt;="&amp;AB169,$D$18:$D$2015,"&lt;"&amp;AB170))</f>
        <v/>
      </c>
      <c r="AD169" s="14" t="n"/>
    </row>
    <row r="170">
      <c r="A170" s="56" t="n"/>
      <c r="B170" s="59" t="n"/>
      <c r="C170" s="59" t="n"/>
      <c r="E170" s="16" t="n"/>
      <c r="F170" s="13" t="n"/>
      <c r="G170" s="16" t="n"/>
      <c r="H170" s="124">
        <f>IF(G170="","",COUNTIFS($C$18:$C$2015,G$13,$D$18:$D$2015,"&gt;="&amp;G170,$D$18:$D$2015,"&lt;"&amp;G171))</f>
        <v/>
      </c>
      <c r="I170" s="14" t="n"/>
      <c r="J170" s="16" t="n"/>
      <c r="K170" s="124">
        <f>IF(J170="","",COUNTIFS($C$18:$C$2015,J$13,$D$18:$D$2015,"&gt;="&amp;J170,$D$18:$D$2015,"&lt;"&amp;J171))</f>
        <v/>
      </c>
      <c r="L170" s="14" t="n"/>
      <c r="M170" s="16" t="n"/>
      <c r="N170" s="124">
        <f>IF(M170="","",COUNTIFS($C$18:$C$2015,M$13,$D$18:$D$2015,"&gt;="&amp;M170,$D$18:$D$2015,"&lt;"&amp;M171))</f>
        <v/>
      </c>
      <c r="O170" s="14" t="n"/>
      <c r="P170" s="16" t="n"/>
      <c r="Q170" s="124">
        <f>IF(P170="","",COUNTIFS($C$18:$C$2015,P$13,$D$18:$D$2015,"&gt;="&amp;P170,$D$18:$D$2015,"&lt;"&amp;P171))</f>
        <v/>
      </c>
      <c r="R170" s="14" t="n"/>
      <c r="S170" s="16" t="n"/>
      <c r="T170" s="124">
        <f>IF(S170="","",COUNTIFS($C$18:$C$2015,S$13,$D$18:$D$2015,"&gt;="&amp;S170,$D$18:$D$2015,"&lt;"&amp;S171))</f>
        <v/>
      </c>
      <c r="U170" s="14" t="n"/>
      <c r="V170" s="16" t="n"/>
      <c r="W170" s="124">
        <f>IF(V170="","",COUNTIFS($C$18:$C$2015,V$13,$D$18:$D$2015,"&gt;="&amp;V170,$D$18:$D$2015,"&lt;"&amp;V171))</f>
        <v/>
      </c>
      <c r="X170" s="14" t="n"/>
      <c r="Y170" s="16" t="n"/>
      <c r="Z170" s="124">
        <f>IF(Y170="","",COUNTIFS($C$18:$C$2015,Y$13,$D$18:$D$2015,"&gt;="&amp;Y170,$D$18:$D$2015,"&lt;"&amp;Y171))</f>
        <v/>
      </c>
      <c r="AA170" s="14" t="n"/>
      <c r="AB170" s="16" t="n"/>
      <c r="AC170" s="124">
        <f>IF(AB170="","",COUNTIFS($C$18:$C$2015,AB$13,$D$18:$D$2015,"&gt;="&amp;AB170,$D$18:$D$2015,"&lt;"&amp;AB171))</f>
        <v/>
      </c>
      <c r="AD170" s="14" t="n"/>
    </row>
    <row r="171">
      <c r="A171" s="58" t="n"/>
      <c r="B171" s="59" t="n"/>
      <c r="C171" s="59" t="n"/>
      <c r="E171" s="16" t="n"/>
      <c r="F171" s="13" t="n"/>
      <c r="G171" s="16" t="n"/>
      <c r="H171" s="124">
        <f>IF(G171="","",COUNTIFS($C$18:$C$2015,G$13,$D$18:$D$2015,"&gt;="&amp;G171,$D$18:$D$2015,"&lt;"&amp;G172))</f>
        <v/>
      </c>
      <c r="I171" s="14" t="n"/>
      <c r="J171" s="16" t="n"/>
      <c r="K171" s="124">
        <f>IF(J171="","",COUNTIFS($C$18:$C$2015,J$13,$D$18:$D$2015,"&gt;="&amp;J171,$D$18:$D$2015,"&lt;"&amp;J172))</f>
        <v/>
      </c>
      <c r="L171" s="14" t="n"/>
      <c r="M171" s="16" t="n"/>
      <c r="N171" s="124">
        <f>IF(M171="","",COUNTIFS($C$18:$C$2015,M$13,$D$18:$D$2015,"&gt;="&amp;M171,$D$18:$D$2015,"&lt;"&amp;M172))</f>
        <v/>
      </c>
      <c r="O171" s="14" t="n"/>
      <c r="P171" s="16" t="n"/>
      <c r="Q171" s="124">
        <f>IF(P171="","",COUNTIFS($C$18:$C$2015,P$13,$D$18:$D$2015,"&gt;="&amp;P171,$D$18:$D$2015,"&lt;"&amp;P172))</f>
        <v/>
      </c>
      <c r="R171" s="14" t="n"/>
      <c r="S171" s="16" t="n"/>
      <c r="T171" s="124">
        <f>IF(S171="","",COUNTIFS($C$18:$C$2015,S$13,$D$18:$D$2015,"&gt;="&amp;S171,$D$18:$D$2015,"&lt;"&amp;S172))</f>
        <v/>
      </c>
      <c r="U171" s="14" t="n"/>
      <c r="V171" s="16" t="n"/>
      <c r="W171" s="124">
        <f>IF(V171="","",COUNTIFS($C$18:$C$2015,V$13,$D$18:$D$2015,"&gt;="&amp;V171,$D$18:$D$2015,"&lt;"&amp;V172))</f>
        <v/>
      </c>
      <c r="X171" s="14" t="n"/>
      <c r="Y171" s="16" t="n"/>
      <c r="Z171" s="124">
        <f>IF(Y171="","",COUNTIFS($C$18:$C$2015,Y$13,$D$18:$D$2015,"&gt;="&amp;Y171,$D$18:$D$2015,"&lt;"&amp;Y172))</f>
        <v/>
      </c>
      <c r="AA171" s="14" t="n"/>
      <c r="AB171" s="16" t="n"/>
      <c r="AC171" s="124">
        <f>IF(AB171="","",COUNTIFS($C$18:$C$2015,AB$13,$D$18:$D$2015,"&gt;="&amp;AB171,$D$18:$D$2015,"&lt;"&amp;AB172))</f>
        <v/>
      </c>
      <c r="AD171" s="14" t="n"/>
    </row>
    <row r="172">
      <c r="A172" s="56" t="n"/>
      <c r="B172" s="59" t="n"/>
      <c r="C172" s="59" t="n"/>
      <c r="E172" s="16" t="n"/>
      <c r="F172" s="13" t="n"/>
      <c r="G172" s="16" t="n"/>
      <c r="H172" s="124">
        <f>IF(G172="","",COUNTIFS($C$18:$C$2015,G$13,$D$18:$D$2015,"&gt;="&amp;G172,$D$18:$D$2015,"&lt;"&amp;G173))</f>
        <v/>
      </c>
      <c r="I172" s="14" t="n"/>
      <c r="J172" s="16" t="n"/>
      <c r="K172" s="124">
        <f>IF(J172="","",COUNTIFS($C$18:$C$2015,J$13,$D$18:$D$2015,"&gt;="&amp;J172,$D$18:$D$2015,"&lt;"&amp;J173))</f>
        <v/>
      </c>
      <c r="L172" s="14" t="n"/>
      <c r="M172" s="16" t="n"/>
      <c r="N172" s="124">
        <f>IF(M172="","",COUNTIFS($C$18:$C$2015,M$13,$D$18:$D$2015,"&gt;="&amp;M172,$D$18:$D$2015,"&lt;"&amp;M173))</f>
        <v/>
      </c>
      <c r="O172" s="14" t="n"/>
      <c r="P172" s="16" t="n"/>
      <c r="Q172" s="124">
        <f>IF(P172="","",COUNTIFS($C$18:$C$2015,P$13,$D$18:$D$2015,"&gt;="&amp;P172,$D$18:$D$2015,"&lt;"&amp;P173))</f>
        <v/>
      </c>
      <c r="R172" s="14" t="n"/>
      <c r="S172" s="16" t="n"/>
      <c r="T172" s="124">
        <f>IF(S172="","",COUNTIFS($C$18:$C$2015,S$13,$D$18:$D$2015,"&gt;="&amp;S172,$D$18:$D$2015,"&lt;"&amp;S173))</f>
        <v/>
      </c>
      <c r="U172" s="14" t="n"/>
      <c r="V172" s="16" t="n"/>
      <c r="W172" s="124">
        <f>IF(V172="","",COUNTIFS($C$18:$C$2015,V$13,$D$18:$D$2015,"&gt;="&amp;V172,$D$18:$D$2015,"&lt;"&amp;V173))</f>
        <v/>
      </c>
      <c r="X172" s="14" t="n"/>
      <c r="Y172" s="16" t="n"/>
      <c r="Z172" s="124">
        <f>IF(Y172="","",COUNTIFS($C$18:$C$2015,Y$13,$D$18:$D$2015,"&gt;="&amp;Y172,$D$18:$D$2015,"&lt;"&amp;Y173))</f>
        <v/>
      </c>
      <c r="AA172" s="14" t="n"/>
      <c r="AB172" s="16" t="n"/>
      <c r="AC172" s="124">
        <f>IF(AB172="","",COUNTIFS($C$18:$C$2015,AB$13,$D$18:$D$2015,"&gt;="&amp;AB172,$D$18:$D$2015,"&lt;"&amp;AB173))</f>
        <v/>
      </c>
      <c r="AD172" s="14" t="n"/>
    </row>
    <row r="173">
      <c r="A173" s="58" t="n"/>
      <c r="B173" s="59" t="n"/>
      <c r="C173" s="59" t="n"/>
      <c r="E173" s="16" t="n"/>
      <c r="F173" s="13" t="n"/>
      <c r="G173" s="16" t="n"/>
      <c r="H173" s="124">
        <f>IF(G173="","",COUNTIFS($C$18:$C$2015,G$13,$D$18:$D$2015,"&gt;="&amp;G173,$D$18:$D$2015,"&lt;"&amp;G174))</f>
        <v/>
      </c>
      <c r="I173" s="14" t="n"/>
      <c r="J173" s="16" t="n"/>
      <c r="K173" s="124">
        <f>IF(J173="","",COUNTIFS($C$18:$C$2015,J$13,$D$18:$D$2015,"&gt;="&amp;J173,$D$18:$D$2015,"&lt;"&amp;J174))</f>
        <v/>
      </c>
      <c r="L173" s="14" t="n"/>
      <c r="M173" s="16" t="n"/>
      <c r="N173" s="124">
        <f>IF(M173="","",COUNTIFS($C$18:$C$2015,M$13,$D$18:$D$2015,"&gt;="&amp;M173,$D$18:$D$2015,"&lt;"&amp;M174))</f>
        <v/>
      </c>
      <c r="O173" s="14" t="n"/>
      <c r="P173" s="16" t="n"/>
      <c r="Q173" s="124">
        <f>IF(P173="","",COUNTIFS($C$18:$C$2015,P$13,$D$18:$D$2015,"&gt;="&amp;P173,$D$18:$D$2015,"&lt;"&amp;P174))</f>
        <v/>
      </c>
      <c r="R173" s="14" t="n"/>
      <c r="S173" s="16" t="n"/>
      <c r="T173" s="124">
        <f>IF(S173="","",COUNTIFS($C$18:$C$2015,S$13,$D$18:$D$2015,"&gt;="&amp;S173,$D$18:$D$2015,"&lt;"&amp;S174))</f>
        <v/>
      </c>
      <c r="U173" s="14" t="n"/>
      <c r="V173" s="16" t="n"/>
      <c r="W173" s="124">
        <f>IF(V173="","",COUNTIFS($C$18:$C$2015,V$13,$D$18:$D$2015,"&gt;="&amp;V173,$D$18:$D$2015,"&lt;"&amp;V174))</f>
        <v/>
      </c>
      <c r="X173" s="14" t="n"/>
      <c r="Y173" s="16" t="n"/>
      <c r="Z173" s="124">
        <f>IF(Y173="","",COUNTIFS($C$18:$C$2015,Y$13,$D$18:$D$2015,"&gt;="&amp;Y173,$D$18:$D$2015,"&lt;"&amp;Y174))</f>
        <v/>
      </c>
      <c r="AA173" s="14" t="n"/>
      <c r="AB173" s="16" t="n"/>
      <c r="AC173" s="124">
        <f>IF(AB173="","",COUNTIFS($C$18:$C$2015,AB$13,$D$18:$D$2015,"&gt;="&amp;AB173,$D$18:$D$2015,"&lt;"&amp;AB174))</f>
        <v/>
      </c>
      <c r="AD173" s="14" t="n"/>
    </row>
    <row r="174">
      <c r="A174" s="56" t="n"/>
      <c r="B174" s="59" t="n"/>
      <c r="C174" s="59" t="n"/>
      <c r="E174" s="16" t="n"/>
      <c r="F174" s="13" t="n"/>
      <c r="G174" s="16" t="n"/>
      <c r="H174" s="124">
        <f>IF(G174="","",COUNTIFS($C$18:$C$2015,G$13,$D$18:$D$2015,"&gt;="&amp;G174,$D$18:$D$2015,"&lt;"&amp;G175))</f>
        <v/>
      </c>
      <c r="I174" s="14" t="n"/>
      <c r="J174" s="16" t="n"/>
      <c r="K174" s="124">
        <f>IF(J174="","",COUNTIFS($C$18:$C$2015,J$13,$D$18:$D$2015,"&gt;="&amp;J174,$D$18:$D$2015,"&lt;"&amp;J175))</f>
        <v/>
      </c>
      <c r="L174" s="14" t="n"/>
      <c r="M174" s="16" t="n"/>
      <c r="N174" s="124">
        <f>IF(M174="","",COUNTIFS($C$18:$C$2015,M$13,$D$18:$D$2015,"&gt;="&amp;M174,$D$18:$D$2015,"&lt;"&amp;M175))</f>
        <v/>
      </c>
      <c r="O174" s="14" t="n"/>
      <c r="P174" s="16" t="n"/>
      <c r="Q174" s="124">
        <f>IF(P174="","",COUNTIFS($C$18:$C$2015,P$13,$D$18:$D$2015,"&gt;="&amp;P174,$D$18:$D$2015,"&lt;"&amp;P175))</f>
        <v/>
      </c>
      <c r="R174" s="14" t="n"/>
      <c r="S174" s="16" t="n"/>
      <c r="T174" s="124">
        <f>IF(S174="","",COUNTIFS($C$18:$C$2015,S$13,$D$18:$D$2015,"&gt;="&amp;S174,$D$18:$D$2015,"&lt;"&amp;S175))</f>
        <v/>
      </c>
      <c r="U174" s="14" t="n"/>
      <c r="V174" s="16" t="n"/>
      <c r="W174" s="124">
        <f>IF(V174="","",COUNTIFS($C$18:$C$2015,V$13,$D$18:$D$2015,"&gt;="&amp;V174,$D$18:$D$2015,"&lt;"&amp;V175))</f>
        <v/>
      </c>
      <c r="X174" s="14" t="n"/>
      <c r="Y174" s="16" t="n"/>
      <c r="Z174" s="124">
        <f>IF(Y174="","",COUNTIFS($C$18:$C$2015,Y$13,$D$18:$D$2015,"&gt;="&amp;Y174,$D$18:$D$2015,"&lt;"&amp;Y175))</f>
        <v/>
      </c>
      <c r="AA174" s="14" t="n"/>
      <c r="AB174" s="16" t="n"/>
      <c r="AC174" s="124">
        <f>IF(AB174="","",COUNTIFS($C$18:$C$2015,AB$13,$D$18:$D$2015,"&gt;="&amp;AB174,$D$18:$D$2015,"&lt;"&amp;AB175))</f>
        <v/>
      </c>
      <c r="AD174" s="14" t="n"/>
    </row>
    <row r="175">
      <c r="A175" s="58" t="n"/>
      <c r="B175" s="59" t="n"/>
      <c r="C175" s="59" t="n"/>
      <c r="E175" s="16" t="n"/>
      <c r="F175" s="13" t="n"/>
      <c r="G175" s="16" t="n"/>
      <c r="H175" s="124">
        <f>IF(G175="","",COUNTIFS($C$18:$C$2015,G$13,$D$18:$D$2015,"&gt;="&amp;G175,$D$18:$D$2015,"&lt;"&amp;G176))</f>
        <v/>
      </c>
      <c r="I175" s="14" t="n"/>
      <c r="J175" s="16" t="n"/>
      <c r="K175" s="124">
        <f>IF(J175="","",COUNTIFS($C$18:$C$2015,J$13,$D$18:$D$2015,"&gt;="&amp;J175,$D$18:$D$2015,"&lt;"&amp;J176))</f>
        <v/>
      </c>
      <c r="L175" s="14" t="n"/>
      <c r="M175" s="16" t="n"/>
      <c r="N175" s="124">
        <f>IF(M175="","",COUNTIFS($C$18:$C$2015,M$13,$D$18:$D$2015,"&gt;="&amp;M175,$D$18:$D$2015,"&lt;"&amp;M176))</f>
        <v/>
      </c>
      <c r="O175" s="14" t="n"/>
      <c r="P175" s="16" t="n"/>
      <c r="Q175" s="124">
        <f>IF(P175="","",COUNTIFS($C$18:$C$2015,P$13,$D$18:$D$2015,"&gt;="&amp;P175,$D$18:$D$2015,"&lt;"&amp;P176))</f>
        <v/>
      </c>
      <c r="R175" s="14" t="n"/>
      <c r="S175" s="16" t="n"/>
      <c r="T175" s="124">
        <f>IF(S175="","",COUNTIFS($C$18:$C$2015,S$13,$D$18:$D$2015,"&gt;="&amp;S175,$D$18:$D$2015,"&lt;"&amp;S176))</f>
        <v/>
      </c>
      <c r="U175" s="14" t="n"/>
      <c r="V175" s="16" t="n"/>
      <c r="W175" s="124">
        <f>IF(V175="","",COUNTIFS($C$18:$C$2015,V$13,$D$18:$D$2015,"&gt;="&amp;V175,$D$18:$D$2015,"&lt;"&amp;V176))</f>
        <v/>
      </c>
      <c r="X175" s="14" t="n"/>
      <c r="Y175" s="16" t="n"/>
      <c r="Z175" s="124">
        <f>IF(Y175="","",COUNTIFS($C$18:$C$2015,Y$13,$D$18:$D$2015,"&gt;="&amp;Y175,$D$18:$D$2015,"&lt;"&amp;Y176))</f>
        <v/>
      </c>
      <c r="AA175" s="14" t="n"/>
      <c r="AB175" s="16" t="n"/>
      <c r="AC175" s="124">
        <f>IF(AB175="","",COUNTIFS($C$18:$C$2015,AB$13,$D$18:$D$2015,"&gt;="&amp;AB175,$D$18:$D$2015,"&lt;"&amp;AB176))</f>
        <v/>
      </c>
      <c r="AD175" s="14" t="n"/>
    </row>
    <row r="176">
      <c r="A176" s="56" t="n"/>
      <c r="B176" s="59" t="n"/>
      <c r="C176" s="59" t="n"/>
      <c r="E176" s="16" t="n"/>
      <c r="F176" s="13" t="n"/>
      <c r="G176" s="16" t="n"/>
      <c r="H176" s="124">
        <f>IF(G176="","",COUNTIFS($C$18:$C$2015,G$13,$D$18:$D$2015,"&gt;="&amp;G176,$D$18:$D$2015,"&lt;"&amp;G177))</f>
        <v/>
      </c>
      <c r="I176" s="14" t="n"/>
      <c r="J176" s="16" t="n"/>
      <c r="K176" s="124">
        <f>IF(J176="","",COUNTIFS($C$18:$C$2015,J$13,$D$18:$D$2015,"&gt;="&amp;J176,$D$18:$D$2015,"&lt;"&amp;J177))</f>
        <v/>
      </c>
      <c r="L176" s="14" t="n"/>
      <c r="M176" s="16" t="n"/>
      <c r="N176" s="124">
        <f>IF(M176="","",COUNTIFS($C$18:$C$2015,M$13,$D$18:$D$2015,"&gt;="&amp;M176,$D$18:$D$2015,"&lt;"&amp;M177))</f>
        <v/>
      </c>
      <c r="O176" s="14" t="n"/>
      <c r="P176" s="16" t="n"/>
      <c r="Q176" s="124">
        <f>IF(P176="","",COUNTIFS($C$18:$C$2015,P$13,$D$18:$D$2015,"&gt;="&amp;P176,$D$18:$D$2015,"&lt;"&amp;P177))</f>
        <v/>
      </c>
      <c r="R176" s="14" t="n"/>
      <c r="S176" s="16" t="n"/>
      <c r="T176" s="124">
        <f>IF(S176="","",COUNTIFS($C$18:$C$2015,S$13,$D$18:$D$2015,"&gt;="&amp;S176,$D$18:$D$2015,"&lt;"&amp;S177))</f>
        <v/>
      </c>
      <c r="U176" s="14" t="n"/>
      <c r="V176" s="16" t="n"/>
      <c r="W176" s="124">
        <f>IF(V176="","",COUNTIFS($C$18:$C$2015,V$13,$D$18:$D$2015,"&gt;="&amp;V176,$D$18:$D$2015,"&lt;"&amp;V177))</f>
        <v/>
      </c>
      <c r="X176" s="14" t="n"/>
      <c r="Y176" s="16" t="n"/>
      <c r="Z176" s="124">
        <f>IF(Y176="","",COUNTIFS($C$18:$C$2015,Y$13,$D$18:$D$2015,"&gt;="&amp;Y176,$D$18:$D$2015,"&lt;"&amp;Y177))</f>
        <v/>
      </c>
      <c r="AA176" s="14" t="n"/>
      <c r="AB176" s="16" t="n"/>
      <c r="AC176" s="124">
        <f>IF(AB176="","",COUNTIFS($C$18:$C$2015,AB$13,$D$18:$D$2015,"&gt;="&amp;AB176,$D$18:$D$2015,"&lt;"&amp;AB177))</f>
        <v/>
      </c>
      <c r="AD176" s="14" t="n"/>
    </row>
    <row r="177">
      <c r="A177" s="58" t="n"/>
      <c r="B177" s="59" t="n"/>
      <c r="C177" s="59" t="n"/>
      <c r="E177" s="16" t="n"/>
      <c r="F177" s="13" t="n"/>
      <c r="G177" s="16" t="n"/>
      <c r="H177" s="124">
        <f>IF(G177="","",COUNTIFS($C$18:$C$2015,G$13,$D$18:$D$2015,"&gt;="&amp;G177,$D$18:$D$2015,"&lt;"&amp;G178))</f>
        <v/>
      </c>
      <c r="I177" s="14" t="n"/>
      <c r="J177" s="16" t="n"/>
      <c r="K177" s="124">
        <f>IF(J177="","",COUNTIFS($C$18:$C$2015,J$13,$D$18:$D$2015,"&gt;="&amp;J177,$D$18:$D$2015,"&lt;"&amp;J178))</f>
        <v/>
      </c>
      <c r="L177" s="14" t="n"/>
      <c r="M177" s="16" t="n"/>
      <c r="N177" s="124">
        <f>IF(M177="","",COUNTIFS($C$18:$C$2015,M$13,$D$18:$D$2015,"&gt;="&amp;M177,$D$18:$D$2015,"&lt;"&amp;M178))</f>
        <v/>
      </c>
      <c r="O177" s="14" t="n"/>
      <c r="P177" s="16" t="n"/>
      <c r="Q177" s="124">
        <f>IF(P177="","",COUNTIFS($C$18:$C$2015,P$13,$D$18:$D$2015,"&gt;="&amp;P177,$D$18:$D$2015,"&lt;"&amp;P178))</f>
        <v/>
      </c>
      <c r="R177" s="14" t="n"/>
      <c r="S177" s="16" t="n"/>
      <c r="T177" s="124">
        <f>IF(S177="","",COUNTIFS($C$18:$C$2015,S$13,$D$18:$D$2015,"&gt;="&amp;S177,$D$18:$D$2015,"&lt;"&amp;S178))</f>
        <v/>
      </c>
      <c r="U177" s="14" t="n"/>
      <c r="V177" s="16" t="n"/>
      <c r="W177" s="124">
        <f>IF(V177="","",COUNTIFS($C$18:$C$2015,V$13,$D$18:$D$2015,"&gt;="&amp;V177,$D$18:$D$2015,"&lt;"&amp;V178))</f>
        <v/>
      </c>
      <c r="X177" s="14" t="n"/>
      <c r="Y177" s="16" t="n"/>
      <c r="Z177" s="124">
        <f>IF(Y177="","",COUNTIFS($C$18:$C$2015,Y$13,$D$18:$D$2015,"&gt;="&amp;Y177,$D$18:$D$2015,"&lt;"&amp;Y178))</f>
        <v/>
      </c>
      <c r="AA177" s="14" t="n"/>
      <c r="AB177" s="16" t="n"/>
      <c r="AC177" s="124">
        <f>IF(AB177="","",COUNTIFS($C$18:$C$2015,AB$13,$D$18:$D$2015,"&gt;="&amp;AB177,$D$18:$D$2015,"&lt;"&amp;AB178))</f>
        <v/>
      </c>
      <c r="AD177" s="14" t="n"/>
    </row>
    <row r="178">
      <c r="A178" s="56" t="n"/>
      <c r="B178" s="59" t="n"/>
      <c r="C178" s="59" t="n"/>
      <c r="E178" s="16" t="n"/>
      <c r="F178" s="13" t="n"/>
      <c r="G178" s="16" t="n"/>
      <c r="H178" s="124">
        <f>IF(G178="","",COUNTIFS($C$18:$C$2015,G$13,$D$18:$D$2015,"&gt;="&amp;G178,$D$18:$D$2015,"&lt;"&amp;G179))</f>
        <v/>
      </c>
      <c r="I178" s="14" t="n"/>
      <c r="J178" s="16" t="n"/>
      <c r="K178" s="124">
        <f>IF(J178="","",COUNTIFS($C$18:$C$2015,J$13,$D$18:$D$2015,"&gt;="&amp;J178,$D$18:$D$2015,"&lt;"&amp;J179))</f>
        <v/>
      </c>
      <c r="L178" s="14" t="n"/>
      <c r="M178" s="16" t="n"/>
      <c r="N178" s="124">
        <f>IF(M178="","",COUNTIFS($C$18:$C$2015,M$13,$D$18:$D$2015,"&gt;="&amp;M178,$D$18:$D$2015,"&lt;"&amp;M179))</f>
        <v/>
      </c>
      <c r="O178" s="14" t="n"/>
      <c r="P178" s="16" t="n"/>
      <c r="Q178" s="124">
        <f>IF(P178="","",COUNTIFS($C$18:$C$2015,P$13,$D$18:$D$2015,"&gt;="&amp;P178,$D$18:$D$2015,"&lt;"&amp;P179))</f>
        <v/>
      </c>
      <c r="R178" s="14" t="n"/>
      <c r="S178" s="16" t="n"/>
      <c r="T178" s="124">
        <f>IF(S178="","",COUNTIFS($C$18:$C$2015,S$13,$D$18:$D$2015,"&gt;="&amp;S178,$D$18:$D$2015,"&lt;"&amp;S179))</f>
        <v/>
      </c>
      <c r="U178" s="14" t="n"/>
      <c r="V178" s="16" t="n"/>
      <c r="W178" s="124">
        <f>IF(V178="","",COUNTIFS($C$18:$C$2015,V$13,$D$18:$D$2015,"&gt;="&amp;V178,$D$18:$D$2015,"&lt;"&amp;V179))</f>
        <v/>
      </c>
      <c r="X178" s="14" t="n"/>
      <c r="Y178" s="16" t="n"/>
      <c r="Z178" s="124">
        <f>IF(Y178="","",COUNTIFS($C$18:$C$2015,Y$13,$D$18:$D$2015,"&gt;="&amp;Y178,$D$18:$D$2015,"&lt;"&amp;Y179))</f>
        <v/>
      </c>
      <c r="AA178" s="14" t="n"/>
      <c r="AB178" s="16" t="n"/>
      <c r="AC178" s="124">
        <f>IF(AB178="","",COUNTIFS($C$18:$C$2015,AB$13,$D$18:$D$2015,"&gt;="&amp;AB178,$D$18:$D$2015,"&lt;"&amp;AB179))</f>
        <v/>
      </c>
      <c r="AD178" s="14" t="n"/>
    </row>
    <row r="179">
      <c r="A179" s="58" t="n"/>
      <c r="B179" s="59" t="n"/>
      <c r="C179" s="59" t="n"/>
      <c r="E179" s="16" t="n"/>
      <c r="F179" s="13" t="n"/>
      <c r="G179" s="16" t="n"/>
      <c r="H179" s="124">
        <f>IF(G179="","",COUNTIFS($C$18:$C$2015,G$13,$D$18:$D$2015,"&gt;="&amp;G179,$D$18:$D$2015,"&lt;"&amp;G180))</f>
        <v/>
      </c>
      <c r="I179" s="14" t="n"/>
      <c r="J179" s="16" t="n"/>
      <c r="K179" s="124">
        <f>IF(J179="","",COUNTIFS($C$18:$C$2015,J$13,$D$18:$D$2015,"&gt;="&amp;J179,$D$18:$D$2015,"&lt;"&amp;J180))</f>
        <v/>
      </c>
      <c r="L179" s="14" t="n"/>
      <c r="M179" s="16" t="n"/>
      <c r="N179" s="124">
        <f>IF(M179="","",COUNTIFS($C$18:$C$2015,M$13,$D$18:$D$2015,"&gt;="&amp;M179,$D$18:$D$2015,"&lt;"&amp;M180))</f>
        <v/>
      </c>
      <c r="O179" s="14" t="n"/>
      <c r="P179" s="16" t="n"/>
      <c r="Q179" s="124">
        <f>IF(P179="","",COUNTIFS($C$18:$C$2015,P$13,$D$18:$D$2015,"&gt;="&amp;P179,$D$18:$D$2015,"&lt;"&amp;P180))</f>
        <v/>
      </c>
      <c r="R179" s="14" t="n"/>
      <c r="S179" s="16" t="n"/>
      <c r="T179" s="124">
        <f>IF(S179="","",COUNTIFS($C$18:$C$2015,S$13,$D$18:$D$2015,"&gt;="&amp;S179,$D$18:$D$2015,"&lt;"&amp;S180))</f>
        <v/>
      </c>
      <c r="U179" s="14" t="n"/>
      <c r="V179" s="16" t="n"/>
      <c r="W179" s="124">
        <f>IF(V179="","",COUNTIFS($C$18:$C$2015,V$13,$D$18:$D$2015,"&gt;="&amp;V179,$D$18:$D$2015,"&lt;"&amp;V180))</f>
        <v/>
      </c>
      <c r="X179" s="14" t="n"/>
      <c r="Y179" s="16" t="n"/>
      <c r="Z179" s="124">
        <f>IF(Y179="","",COUNTIFS($C$18:$C$2015,Y$13,$D$18:$D$2015,"&gt;="&amp;Y179,$D$18:$D$2015,"&lt;"&amp;Y180))</f>
        <v/>
      </c>
      <c r="AA179" s="14" t="n"/>
      <c r="AB179" s="16" t="n"/>
      <c r="AC179" s="124">
        <f>IF(AB179="","",COUNTIFS($C$18:$C$2015,AB$13,$D$18:$D$2015,"&gt;="&amp;AB179,$D$18:$D$2015,"&lt;"&amp;AB180))</f>
        <v/>
      </c>
      <c r="AD179" s="14" t="n"/>
    </row>
    <row r="180">
      <c r="A180" s="56" t="n"/>
      <c r="B180" s="59" t="n"/>
      <c r="C180" s="59" t="n"/>
      <c r="E180" s="16" t="n"/>
      <c r="F180" s="13" t="n"/>
      <c r="G180" s="16" t="n"/>
      <c r="H180" s="124">
        <f>IF(G180="","",COUNTIFS($C$18:$C$2015,G$13,$D$18:$D$2015,"&gt;="&amp;G180,$D$18:$D$2015,"&lt;"&amp;G181))</f>
        <v/>
      </c>
      <c r="I180" s="14" t="n"/>
      <c r="J180" s="16" t="n"/>
      <c r="K180" s="124">
        <f>IF(J180="","",COUNTIFS($C$18:$C$2015,J$13,$D$18:$D$2015,"&gt;="&amp;J180,$D$18:$D$2015,"&lt;"&amp;J181))</f>
        <v/>
      </c>
      <c r="L180" s="14" t="n"/>
      <c r="M180" s="16" t="n"/>
      <c r="N180" s="124">
        <f>IF(M180="","",COUNTIFS($C$18:$C$2015,M$13,$D$18:$D$2015,"&gt;="&amp;M180,$D$18:$D$2015,"&lt;"&amp;M181))</f>
        <v/>
      </c>
      <c r="O180" s="14" t="n"/>
      <c r="P180" s="16" t="n"/>
      <c r="Q180" s="124">
        <f>IF(P180="","",COUNTIFS($C$18:$C$2015,P$13,$D$18:$D$2015,"&gt;="&amp;P180,$D$18:$D$2015,"&lt;"&amp;P181))</f>
        <v/>
      </c>
      <c r="R180" s="14" t="n"/>
      <c r="S180" s="16" t="n"/>
      <c r="T180" s="124">
        <f>IF(S180="","",COUNTIFS($C$18:$C$2015,S$13,$D$18:$D$2015,"&gt;="&amp;S180,$D$18:$D$2015,"&lt;"&amp;S181))</f>
        <v/>
      </c>
      <c r="U180" s="14" t="n"/>
      <c r="V180" s="16" t="n"/>
      <c r="W180" s="124">
        <f>IF(V180="","",COUNTIFS($C$18:$C$2015,V$13,$D$18:$D$2015,"&gt;="&amp;V180,$D$18:$D$2015,"&lt;"&amp;V181))</f>
        <v/>
      </c>
      <c r="X180" s="14" t="n"/>
      <c r="Y180" s="16" t="n"/>
      <c r="Z180" s="124">
        <f>IF(Y180="","",COUNTIFS($C$18:$C$2015,Y$13,$D$18:$D$2015,"&gt;="&amp;Y180,$D$18:$D$2015,"&lt;"&amp;Y181))</f>
        <v/>
      </c>
      <c r="AA180" s="14" t="n"/>
      <c r="AB180" s="16" t="n"/>
      <c r="AC180" s="124">
        <f>IF(AB180="","",COUNTIFS($C$18:$C$2015,AB$13,$D$18:$D$2015,"&gt;="&amp;AB180,$D$18:$D$2015,"&lt;"&amp;AB181))</f>
        <v/>
      </c>
      <c r="AD180" s="14" t="n"/>
    </row>
    <row r="181">
      <c r="A181" s="58" t="n"/>
      <c r="B181" s="59" t="n"/>
      <c r="C181" s="59" t="n"/>
      <c r="E181" s="16" t="n"/>
      <c r="F181" s="13" t="n"/>
      <c r="G181" s="16" t="n"/>
      <c r="H181" s="124">
        <f>IF(G181="","",COUNTIFS($C$18:$C$2015,G$13,$D$18:$D$2015,"&gt;="&amp;G181,$D$18:$D$2015,"&lt;"&amp;G182))</f>
        <v/>
      </c>
      <c r="I181" s="14" t="n"/>
      <c r="J181" s="16" t="n"/>
      <c r="K181" s="124">
        <f>IF(J181="","",COUNTIFS($C$18:$C$2015,J$13,$D$18:$D$2015,"&gt;="&amp;J181,$D$18:$D$2015,"&lt;"&amp;J182))</f>
        <v/>
      </c>
      <c r="L181" s="14" t="n"/>
      <c r="M181" s="16" t="n"/>
      <c r="N181" s="124">
        <f>IF(M181="","",COUNTIFS($C$18:$C$2015,M$13,$D$18:$D$2015,"&gt;="&amp;M181,$D$18:$D$2015,"&lt;"&amp;M182))</f>
        <v/>
      </c>
      <c r="O181" s="14" t="n"/>
      <c r="P181" s="16" t="n"/>
      <c r="Q181" s="124">
        <f>IF(P181="","",COUNTIFS($C$18:$C$2015,P$13,$D$18:$D$2015,"&gt;="&amp;P181,$D$18:$D$2015,"&lt;"&amp;P182))</f>
        <v/>
      </c>
      <c r="R181" s="14" t="n"/>
      <c r="S181" s="16" t="n"/>
      <c r="T181" s="124">
        <f>IF(S181="","",COUNTIFS($C$18:$C$2015,S$13,$D$18:$D$2015,"&gt;="&amp;S181,$D$18:$D$2015,"&lt;"&amp;S182))</f>
        <v/>
      </c>
      <c r="U181" s="14" t="n"/>
      <c r="V181" s="16" t="n"/>
      <c r="W181" s="124">
        <f>IF(V181="","",COUNTIFS($C$18:$C$2015,V$13,$D$18:$D$2015,"&gt;="&amp;V181,$D$18:$D$2015,"&lt;"&amp;V182))</f>
        <v/>
      </c>
      <c r="X181" s="14" t="n"/>
      <c r="Y181" s="16" t="n"/>
      <c r="Z181" s="124">
        <f>IF(Y181="","",COUNTIFS($C$18:$C$2015,Y$13,$D$18:$D$2015,"&gt;="&amp;Y181,$D$18:$D$2015,"&lt;"&amp;Y182))</f>
        <v/>
      </c>
      <c r="AA181" s="14" t="n"/>
      <c r="AB181" s="16" t="n"/>
      <c r="AC181" s="124">
        <f>IF(AB181="","",COUNTIFS($C$18:$C$2015,AB$13,$D$18:$D$2015,"&gt;="&amp;AB181,$D$18:$D$2015,"&lt;"&amp;AB182))</f>
        <v/>
      </c>
      <c r="AD181" s="14" t="n"/>
    </row>
    <row r="182">
      <c r="A182" s="56" t="n"/>
      <c r="B182" s="59" t="n"/>
      <c r="C182" s="59" t="n"/>
      <c r="E182" s="16" t="n"/>
      <c r="F182" s="13" t="n"/>
      <c r="G182" s="16" t="n"/>
      <c r="H182" s="124">
        <f>IF(G182="","",COUNTIFS($C$18:$C$2015,G$13,$D$18:$D$2015,"&gt;="&amp;G182,$D$18:$D$2015,"&lt;"&amp;G183))</f>
        <v/>
      </c>
      <c r="I182" s="14" t="n"/>
      <c r="J182" s="16" t="n"/>
      <c r="K182" s="124">
        <f>IF(J182="","",COUNTIFS($C$18:$C$2015,J$13,$D$18:$D$2015,"&gt;="&amp;J182,$D$18:$D$2015,"&lt;"&amp;J183))</f>
        <v/>
      </c>
      <c r="L182" s="14" t="n"/>
      <c r="M182" s="16" t="n"/>
      <c r="N182" s="124">
        <f>IF(M182="","",COUNTIFS($C$18:$C$2015,M$13,$D$18:$D$2015,"&gt;="&amp;M182,$D$18:$D$2015,"&lt;"&amp;M183))</f>
        <v/>
      </c>
      <c r="O182" s="14" t="n"/>
      <c r="P182" s="16" t="n"/>
      <c r="Q182" s="124">
        <f>IF(P182="","",COUNTIFS($C$18:$C$2015,P$13,$D$18:$D$2015,"&gt;="&amp;P182,$D$18:$D$2015,"&lt;"&amp;P183))</f>
        <v/>
      </c>
      <c r="R182" s="14" t="n"/>
      <c r="S182" s="16" t="n"/>
      <c r="T182" s="124">
        <f>IF(S182="","",COUNTIFS($C$18:$C$2015,S$13,$D$18:$D$2015,"&gt;="&amp;S182,$D$18:$D$2015,"&lt;"&amp;S183))</f>
        <v/>
      </c>
      <c r="U182" s="14" t="n"/>
      <c r="V182" s="16" t="n"/>
      <c r="W182" s="124">
        <f>IF(V182="","",COUNTIFS($C$18:$C$2015,V$13,$D$18:$D$2015,"&gt;="&amp;V182,$D$18:$D$2015,"&lt;"&amp;V183))</f>
        <v/>
      </c>
      <c r="X182" s="14" t="n"/>
      <c r="Y182" s="16" t="n"/>
      <c r="Z182" s="124">
        <f>IF(Y182="","",COUNTIFS($C$18:$C$2015,Y$13,$D$18:$D$2015,"&gt;="&amp;Y182,$D$18:$D$2015,"&lt;"&amp;Y183))</f>
        <v/>
      </c>
      <c r="AA182" s="14" t="n"/>
      <c r="AB182" s="16" t="n"/>
      <c r="AC182" s="124">
        <f>IF(AB182="","",COUNTIFS($C$18:$C$2015,AB$13,$D$18:$D$2015,"&gt;="&amp;AB182,$D$18:$D$2015,"&lt;"&amp;AB183))</f>
        <v/>
      </c>
      <c r="AD182" s="14" t="n"/>
    </row>
    <row r="183">
      <c r="A183" s="58" t="n"/>
      <c r="B183" s="59" t="n"/>
      <c r="C183" s="59" t="n"/>
      <c r="E183" s="16" t="n"/>
      <c r="F183" s="13" t="n"/>
      <c r="G183" s="16" t="n"/>
      <c r="H183" s="124">
        <f>IF(G183="","",COUNTIFS($C$18:$C$2015,G$13,$D$18:$D$2015,"&gt;="&amp;G183,$D$18:$D$2015,"&lt;"&amp;G184))</f>
        <v/>
      </c>
      <c r="I183" s="14" t="n"/>
      <c r="J183" s="16" t="n"/>
      <c r="K183" s="124">
        <f>IF(J183="","",COUNTIFS($C$18:$C$2015,J$13,$D$18:$D$2015,"&gt;="&amp;J183,$D$18:$D$2015,"&lt;"&amp;J184))</f>
        <v/>
      </c>
      <c r="L183" s="14" t="n"/>
      <c r="M183" s="16" t="n"/>
      <c r="N183" s="124">
        <f>IF(M183="","",COUNTIFS($C$18:$C$2015,M$13,$D$18:$D$2015,"&gt;="&amp;M183,$D$18:$D$2015,"&lt;"&amp;M184))</f>
        <v/>
      </c>
      <c r="O183" s="14" t="n"/>
      <c r="P183" s="16" t="n"/>
      <c r="Q183" s="124">
        <f>IF(P183="","",COUNTIFS($C$18:$C$2015,P$13,$D$18:$D$2015,"&gt;="&amp;P183,$D$18:$D$2015,"&lt;"&amp;P184))</f>
        <v/>
      </c>
      <c r="R183" s="14" t="n"/>
      <c r="S183" s="16" t="n"/>
      <c r="T183" s="124">
        <f>IF(S183="","",COUNTIFS($C$18:$C$2015,S$13,$D$18:$D$2015,"&gt;="&amp;S183,$D$18:$D$2015,"&lt;"&amp;S184))</f>
        <v/>
      </c>
      <c r="U183" s="14" t="n"/>
      <c r="V183" s="16" t="n"/>
      <c r="W183" s="124">
        <f>IF(V183="","",COUNTIFS($C$18:$C$2015,V$13,$D$18:$D$2015,"&gt;="&amp;V183,$D$18:$D$2015,"&lt;"&amp;V184))</f>
        <v/>
      </c>
      <c r="X183" s="14" t="n"/>
      <c r="Y183" s="16" t="n"/>
      <c r="Z183" s="124">
        <f>IF(Y183="","",COUNTIFS($C$18:$C$2015,Y$13,$D$18:$D$2015,"&gt;="&amp;Y183,$D$18:$D$2015,"&lt;"&amp;Y184))</f>
        <v/>
      </c>
      <c r="AA183" s="14" t="n"/>
      <c r="AB183" s="16" t="n"/>
      <c r="AC183" s="124">
        <f>IF(AB183="","",COUNTIFS($C$18:$C$2015,AB$13,$D$18:$D$2015,"&gt;="&amp;AB183,$D$18:$D$2015,"&lt;"&amp;AB184))</f>
        <v/>
      </c>
      <c r="AD183" s="14" t="n"/>
    </row>
    <row r="184">
      <c r="A184" s="56" t="n"/>
      <c r="B184" s="59" t="n"/>
      <c r="C184" s="59" t="n"/>
      <c r="E184" s="16" t="n"/>
      <c r="F184" s="13" t="n"/>
      <c r="G184" s="16" t="n"/>
      <c r="H184" s="124">
        <f>IF(G184="","",COUNTIFS($C$18:$C$2015,G$13,$D$18:$D$2015,"&gt;="&amp;G184,$D$18:$D$2015,"&lt;"&amp;G185))</f>
        <v/>
      </c>
      <c r="I184" s="14" t="n"/>
      <c r="J184" s="16" t="n"/>
      <c r="K184" s="124">
        <f>IF(J184="","",COUNTIFS($C$18:$C$2015,J$13,$D$18:$D$2015,"&gt;="&amp;J184,$D$18:$D$2015,"&lt;"&amp;J185))</f>
        <v/>
      </c>
      <c r="L184" s="14" t="n"/>
      <c r="M184" s="16" t="n"/>
      <c r="N184" s="124">
        <f>IF(M184="","",COUNTIFS($C$18:$C$2015,M$13,$D$18:$D$2015,"&gt;="&amp;M184,$D$18:$D$2015,"&lt;"&amp;M185))</f>
        <v/>
      </c>
      <c r="O184" s="14" t="n"/>
      <c r="P184" s="16" t="n"/>
      <c r="Q184" s="124">
        <f>IF(P184="","",COUNTIFS($C$18:$C$2015,P$13,$D$18:$D$2015,"&gt;="&amp;P184,$D$18:$D$2015,"&lt;"&amp;P185))</f>
        <v/>
      </c>
      <c r="R184" s="14" t="n"/>
      <c r="S184" s="16" t="n"/>
      <c r="T184" s="124">
        <f>IF(S184="","",COUNTIFS($C$18:$C$2015,S$13,$D$18:$D$2015,"&gt;="&amp;S184,$D$18:$D$2015,"&lt;"&amp;S185))</f>
        <v/>
      </c>
      <c r="U184" s="14" t="n"/>
      <c r="V184" s="16" t="n"/>
      <c r="W184" s="124">
        <f>IF(V184="","",COUNTIFS($C$18:$C$2015,V$13,$D$18:$D$2015,"&gt;="&amp;V184,$D$18:$D$2015,"&lt;"&amp;V185))</f>
        <v/>
      </c>
      <c r="X184" s="14" t="n"/>
      <c r="Y184" s="16" t="n"/>
      <c r="Z184" s="124">
        <f>IF(Y184="","",COUNTIFS($C$18:$C$2015,Y$13,$D$18:$D$2015,"&gt;="&amp;Y184,$D$18:$D$2015,"&lt;"&amp;Y185))</f>
        <v/>
      </c>
      <c r="AA184" s="14" t="n"/>
      <c r="AB184" s="16" t="n"/>
      <c r="AC184" s="124">
        <f>IF(AB184="","",COUNTIFS($C$18:$C$2015,AB$13,$D$18:$D$2015,"&gt;="&amp;AB184,$D$18:$D$2015,"&lt;"&amp;AB185))</f>
        <v/>
      </c>
      <c r="AD184" s="14" t="n"/>
    </row>
    <row r="185">
      <c r="A185" s="58" t="n"/>
      <c r="B185" s="59" t="n"/>
      <c r="C185" s="59" t="n"/>
      <c r="E185" s="16" t="n"/>
      <c r="F185" s="13" t="n"/>
      <c r="G185" s="16" t="n"/>
      <c r="H185" s="124">
        <f>IF(G185="","",COUNTIFS($C$18:$C$2015,G$13,$D$18:$D$2015,"&gt;="&amp;G185,$D$18:$D$2015,"&lt;"&amp;G186))</f>
        <v/>
      </c>
      <c r="I185" s="14" t="n"/>
      <c r="J185" s="16" t="n"/>
      <c r="K185" s="124">
        <f>IF(J185="","",COUNTIFS($C$18:$C$2015,J$13,$D$18:$D$2015,"&gt;="&amp;J185,$D$18:$D$2015,"&lt;"&amp;J186))</f>
        <v/>
      </c>
      <c r="L185" s="14" t="n"/>
      <c r="M185" s="16" t="n"/>
      <c r="N185" s="124">
        <f>IF(M185="","",COUNTIFS($C$18:$C$2015,M$13,$D$18:$D$2015,"&gt;="&amp;M185,$D$18:$D$2015,"&lt;"&amp;M186))</f>
        <v/>
      </c>
      <c r="O185" s="14" t="n"/>
      <c r="P185" s="16" t="n"/>
      <c r="Q185" s="124">
        <f>IF(P185="","",COUNTIFS($C$18:$C$2015,P$13,$D$18:$D$2015,"&gt;="&amp;P185,$D$18:$D$2015,"&lt;"&amp;P186))</f>
        <v/>
      </c>
      <c r="R185" s="14" t="n"/>
      <c r="S185" s="16" t="n"/>
      <c r="T185" s="124">
        <f>IF(S185="","",COUNTIFS($C$18:$C$2015,S$13,$D$18:$D$2015,"&gt;="&amp;S185,$D$18:$D$2015,"&lt;"&amp;S186))</f>
        <v/>
      </c>
      <c r="U185" s="14" t="n"/>
      <c r="V185" s="16" t="n"/>
      <c r="W185" s="124">
        <f>IF(V185="","",COUNTIFS($C$18:$C$2015,V$13,$D$18:$D$2015,"&gt;="&amp;V185,$D$18:$D$2015,"&lt;"&amp;V186))</f>
        <v/>
      </c>
      <c r="X185" s="14" t="n"/>
      <c r="Y185" s="16" t="n"/>
      <c r="Z185" s="124">
        <f>IF(Y185="","",COUNTIFS($C$18:$C$2015,Y$13,$D$18:$D$2015,"&gt;="&amp;Y185,$D$18:$D$2015,"&lt;"&amp;Y186))</f>
        <v/>
      </c>
      <c r="AA185" s="14" t="n"/>
      <c r="AB185" s="16" t="n"/>
      <c r="AC185" s="124">
        <f>IF(AB185="","",COUNTIFS($C$18:$C$2015,AB$13,$D$18:$D$2015,"&gt;="&amp;AB185,$D$18:$D$2015,"&lt;"&amp;AB186))</f>
        <v/>
      </c>
      <c r="AD185" s="14" t="n"/>
    </row>
    <row r="186">
      <c r="A186" s="56" t="n"/>
      <c r="B186" s="59" t="n"/>
      <c r="C186" s="59" t="n"/>
      <c r="E186" s="16" t="n"/>
      <c r="F186" s="13" t="n"/>
      <c r="G186" s="16" t="n"/>
      <c r="H186" s="124">
        <f>IF(G186="","",COUNTIFS($C$18:$C$2015,G$13,$D$18:$D$2015,"&gt;="&amp;G186,$D$18:$D$2015,"&lt;"&amp;G187))</f>
        <v/>
      </c>
      <c r="I186" s="14" t="n"/>
      <c r="J186" s="16" t="n"/>
      <c r="K186" s="124">
        <f>IF(J186="","",COUNTIFS($C$18:$C$2015,J$13,$D$18:$D$2015,"&gt;="&amp;J186,$D$18:$D$2015,"&lt;"&amp;J187))</f>
        <v/>
      </c>
      <c r="L186" s="14" t="n"/>
      <c r="M186" s="16" t="n"/>
      <c r="N186" s="124">
        <f>IF(M186="","",COUNTIFS($C$18:$C$2015,M$13,$D$18:$D$2015,"&gt;="&amp;M186,$D$18:$D$2015,"&lt;"&amp;M187))</f>
        <v/>
      </c>
      <c r="O186" s="14" t="n"/>
      <c r="P186" s="16" t="n"/>
      <c r="Q186" s="124">
        <f>IF(P186="","",COUNTIFS($C$18:$C$2015,P$13,$D$18:$D$2015,"&gt;="&amp;P186,$D$18:$D$2015,"&lt;"&amp;P187))</f>
        <v/>
      </c>
      <c r="R186" s="14" t="n"/>
      <c r="S186" s="16" t="n"/>
      <c r="T186" s="124">
        <f>IF(S186="","",COUNTIFS($C$18:$C$2015,S$13,$D$18:$D$2015,"&gt;="&amp;S186,$D$18:$D$2015,"&lt;"&amp;S187))</f>
        <v/>
      </c>
      <c r="U186" s="14" t="n"/>
      <c r="V186" s="16" t="n"/>
      <c r="W186" s="124">
        <f>IF(V186="","",COUNTIFS($C$18:$C$2015,V$13,$D$18:$D$2015,"&gt;="&amp;V186,$D$18:$D$2015,"&lt;"&amp;V187))</f>
        <v/>
      </c>
      <c r="X186" s="14" t="n"/>
      <c r="Y186" s="16" t="n"/>
      <c r="Z186" s="124">
        <f>IF(Y186="","",COUNTIFS($C$18:$C$2015,Y$13,$D$18:$D$2015,"&gt;="&amp;Y186,$D$18:$D$2015,"&lt;"&amp;Y187))</f>
        <v/>
      </c>
      <c r="AA186" s="14" t="n"/>
      <c r="AB186" s="16" t="n"/>
      <c r="AC186" s="124">
        <f>IF(AB186="","",COUNTIFS($C$18:$C$2015,AB$13,$D$18:$D$2015,"&gt;="&amp;AB186,$D$18:$D$2015,"&lt;"&amp;AB187))</f>
        <v/>
      </c>
      <c r="AD186" s="14" t="n"/>
    </row>
    <row r="187">
      <c r="A187" s="58" t="n"/>
      <c r="B187" s="59" t="n"/>
      <c r="C187" s="59" t="n"/>
      <c r="E187" s="16" t="n"/>
      <c r="F187" s="13" t="n"/>
      <c r="G187" s="16" t="n"/>
      <c r="H187" s="124">
        <f>IF(G187="","",COUNTIFS($C$18:$C$2015,G$13,$D$18:$D$2015,"&gt;="&amp;G187,$D$18:$D$2015,"&lt;"&amp;G188))</f>
        <v/>
      </c>
      <c r="I187" s="14" t="n"/>
      <c r="J187" s="16" t="n"/>
      <c r="K187" s="124">
        <f>IF(J187="","",COUNTIFS($C$18:$C$2015,J$13,$D$18:$D$2015,"&gt;="&amp;J187,$D$18:$D$2015,"&lt;"&amp;J188))</f>
        <v/>
      </c>
      <c r="L187" s="14" t="n"/>
      <c r="M187" s="16" t="n"/>
      <c r="N187" s="124">
        <f>IF(M187="","",COUNTIFS($C$18:$C$2015,M$13,$D$18:$D$2015,"&gt;="&amp;M187,$D$18:$D$2015,"&lt;"&amp;M188))</f>
        <v/>
      </c>
      <c r="O187" s="14" t="n"/>
      <c r="P187" s="16" t="n"/>
      <c r="Q187" s="124">
        <f>IF(P187="","",COUNTIFS($C$18:$C$2015,P$13,$D$18:$D$2015,"&gt;="&amp;P187,$D$18:$D$2015,"&lt;"&amp;P188))</f>
        <v/>
      </c>
      <c r="R187" s="14" t="n"/>
      <c r="S187" s="16" t="n"/>
      <c r="T187" s="124">
        <f>IF(S187="","",COUNTIFS($C$18:$C$2015,S$13,$D$18:$D$2015,"&gt;="&amp;S187,$D$18:$D$2015,"&lt;"&amp;S188))</f>
        <v/>
      </c>
      <c r="U187" s="14" t="n"/>
      <c r="V187" s="16" t="n"/>
      <c r="W187" s="124">
        <f>IF(V187="","",COUNTIFS($C$18:$C$2015,V$13,$D$18:$D$2015,"&gt;="&amp;V187,$D$18:$D$2015,"&lt;"&amp;V188))</f>
        <v/>
      </c>
      <c r="X187" s="14" t="n"/>
      <c r="Y187" s="16" t="n"/>
      <c r="Z187" s="124">
        <f>IF(Y187="","",COUNTIFS($C$18:$C$2015,Y$13,$D$18:$D$2015,"&gt;="&amp;Y187,$D$18:$D$2015,"&lt;"&amp;Y188))</f>
        <v/>
      </c>
      <c r="AA187" s="14" t="n"/>
      <c r="AB187" s="16" t="n"/>
      <c r="AC187" s="124">
        <f>IF(AB187="","",COUNTIFS($C$18:$C$2015,AB$13,$D$18:$D$2015,"&gt;="&amp;AB187,$D$18:$D$2015,"&lt;"&amp;AB188))</f>
        <v/>
      </c>
      <c r="AD187" s="14" t="n"/>
    </row>
    <row r="188">
      <c r="A188" s="56" t="n"/>
      <c r="B188" s="59" t="n"/>
      <c r="C188" s="59" t="n"/>
      <c r="E188" s="16" t="n"/>
      <c r="F188" s="13" t="n"/>
      <c r="G188" s="16" t="n"/>
      <c r="H188" s="124">
        <f>IF(G188="","",COUNTIFS($C$18:$C$2015,G$13,$D$18:$D$2015,"&gt;="&amp;G188,$D$18:$D$2015,"&lt;"&amp;G189))</f>
        <v/>
      </c>
      <c r="I188" s="14" t="n"/>
      <c r="J188" s="16" t="n"/>
      <c r="K188" s="124">
        <f>IF(J188="","",COUNTIFS($C$18:$C$2015,J$13,$D$18:$D$2015,"&gt;="&amp;J188,$D$18:$D$2015,"&lt;"&amp;J189))</f>
        <v/>
      </c>
      <c r="L188" s="14" t="n"/>
      <c r="M188" s="16" t="n"/>
      <c r="N188" s="124">
        <f>IF(M188="","",COUNTIFS($C$18:$C$2015,M$13,$D$18:$D$2015,"&gt;="&amp;M188,$D$18:$D$2015,"&lt;"&amp;M189))</f>
        <v/>
      </c>
      <c r="O188" s="14" t="n"/>
      <c r="P188" s="16" t="n"/>
      <c r="Q188" s="124">
        <f>IF(P188="","",COUNTIFS($C$18:$C$2015,P$13,$D$18:$D$2015,"&gt;="&amp;P188,$D$18:$D$2015,"&lt;"&amp;P189))</f>
        <v/>
      </c>
      <c r="R188" s="14" t="n"/>
      <c r="S188" s="16" t="n"/>
      <c r="T188" s="124">
        <f>IF(S188="","",COUNTIFS($C$18:$C$2015,S$13,$D$18:$D$2015,"&gt;="&amp;S188,$D$18:$D$2015,"&lt;"&amp;S189))</f>
        <v/>
      </c>
      <c r="U188" s="14" t="n"/>
      <c r="V188" s="16" t="n"/>
      <c r="W188" s="124">
        <f>IF(V188="","",COUNTIFS($C$18:$C$2015,V$13,$D$18:$D$2015,"&gt;="&amp;V188,$D$18:$D$2015,"&lt;"&amp;V189))</f>
        <v/>
      </c>
      <c r="X188" s="14" t="n"/>
      <c r="Y188" s="16" t="n"/>
      <c r="Z188" s="124">
        <f>IF(Y188="","",COUNTIFS($C$18:$C$2015,Y$13,$D$18:$D$2015,"&gt;="&amp;Y188,$D$18:$D$2015,"&lt;"&amp;Y189))</f>
        <v/>
      </c>
      <c r="AA188" s="14" t="n"/>
      <c r="AB188" s="16" t="n"/>
      <c r="AC188" s="124">
        <f>IF(AB188="","",COUNTIFS($C$18:$C$2015,AB$13,$D$18:$D$2015,"&gt;="&amp;AB188,$D$18:$D$2015,"&lt;"&amp;AB189))</f>
        <v/>
      </c>
      <c r="AD188" s="14" t="n"/>
    </row>
    <row r="189">
      <c r="A189" s="58" t="n"/>
      <c r="B189" s="59" t="n"/>
      <c r="C189" s="59" t="n"/>
      <c r="E189" s="16" t="n"/>
      <c r="F189" s="13" t="n"/>
      <c r="G189" s="16" t="n"/>
      <c r="H189" s="124">
        <f>IF(G189="","",COUNTIFS($C$18:$C$2015,G$13,$D$18:$D$2015,"&gt;="&amp;G189,$D$18:$D$2015,"&lt;"&amp;G190))</f>
        <v/>
      </c>
      <c r="I189" s="14" t="n"/>
      <c r="J189" s="16" t="n"/>
      <c r="K189" s="124">
        <f>IF(J189="","",COUNTIFS($C$18:$C$2015,J$13,$D$18:$D$2015,"&gt;="&amp;J189,$D$18:$D$2015,"&lt;"&amp;J190))</f>
        <v/>
      </c>
      <c r="L189" s="14" t="n"/>
      <c r="M189" s="16" t="n"/>
      <c r="N189" s="124">
        <f>IF(M189="","",COUNTIFS($C$18:$C$2015,M$13,$D$18:$D$2015,"&gt;="&amp;M189,$D$18:$D$2015,"&lt;"&amp;M190))</f>
        <v/>
      </c>
      <c r="O189" s="14" t="n"/>
      <c r="P189" s="16" t="n"/>
      <c r="Q189" s="124">
        <f>IF(P189="","",COUNTIFS($C$18:$C$2015,P$13,$D$18:$D$2015,"&gt;="&amp;P189,$D$18:$D$2015,"&lt;"&amp;P190))</f>
        <v/>
      </c>
      <c r="R189" s="14" t="n"/>
      <c r="S189" s="16" t="n"/>
      <c r="T189" s="124">
        <f>IF(S189="","",COUNTIFS($C$18:$C$2015,S$13,$D$18:$D$2015,"&gt;="&amp;S189,$D$18:$D$2015,"&lt;"&amp;S190))</f>
        <v/>
      </c>
      <c r="U189" s="14" t="n"/>
      <c r="V189" s="16" t="n"/>
      <c r="W189" s="124">
        <f>IF(V189="","",COUNTIFS($C$18:$C$2015,V$13,$D$18:$D$2015,"&gt;="&amp;V189,$D$18:$D$2015,"&lt;"&amp;V190))</f>
        <v/>
      </c>
      <c r="X189" s="14" t="n"/>
      <c r="Y189" s="16" t="n"/>
      <c r="Z189" s="124">
        <f>IF(Y189="","",COUNTIFS($C$18:$C$2015,Y$13,$D$18:$D$2015,"&gt;="&amp;Y189,$D$18:$D$2015,"&lt;"&amp;Y190))</f>
        <v/>
      </c>
      <c r="AA189" s="14" t="n"/>
      <c r="AB189" s="16" t="n"/>
      <c r="AC189" s="124">
        <f>IF(AB189="","",COUNTIFS($C$18:$C$2015,AB$13,$D$18:$D$2015,"&gt;="&amp;AB189,$D$18:$D$2015,"&lt;"&amp;AB190))</f>
        <v/>
      </c>
      <c r="AD189" s="14" t="n"/>
    </row>
    <row r="190">
      <c r="A190" s="56" t="n"/>
      <c r="B190" s="59" t="n"/>
      <c r="C190" s="59" t="n"/>
      <c r="E190" s="16" t="n"/>
      <c r="F190" s="13" t="n"/>
      <c r="G190" s="16" t="n"/>
      <c r="H190" s="124">
        <f>IF(G190="","",COUNTIFS($C$18:$C$2015,G$13,$D$18:$D$2015,"&gt;="&amp;G190,$D$18:$D$2015,"&lt;"&amp;G191))</f>
        <v/>
      </c>
      <c r="I190" s="14" t="n"/>
      <c r="J190" s="16" t="n"/>
      <c r="K190" s="124">
        <f>IF(J190="","",COUNTIFS($C$18:$C$2015,J$13,$D$18:$D$2015,"&gt;="&amp;J190,$D$18:$D$2015,"&lt;"&amp;J191))</f>
        <v/>
      </c>
      <c r="L190" s="14" t="n"/>
      <c r="M190" s="16" t="n"/>
      <c r="N190" s="124">
        <f>IF(M190="","",COUNTIFS($C$18:$C$2015,M$13,$D$18:$D$2015,"&gt;="&amp;M190,$D$18:$D$2015,"&lt;"&amp;M191))</f>
        <v/>
      </c>
      <c r="O190" s="14" t="n"/>
      <c r="P190" s="16" t="n"/>
      <c r="Q190" s="124">
        <f>IF(P190="","",COUNTIFS($C$18:$C$2015,P$13,$D$18:$D$2015,"&gt;="&amp;P190,$D$18:$D$2015,"&lt;"&amp;P191))</f>
        <v/>
      </c>
      <c r="R190" s="14" t="n"/>
      <c r="S190" s="16" t="n"/>
      <c r="T190" s="124">
        <f>IF(S190="","",COUNTIFS($C$18:$C$2015,S$13,$D$18:$D$2015,"&gt;="&amp;S190,$D$18:$D$2015,"&lt;"&amp;S191))</f>
        <v/>
      </c>
      <c r="U190" s="14" t="n"/>
      <c r="V190" s="16" t="n"/>
      <c r="W190" s="124">
        <f>IF(V190="","",COUNTIFS($C$18:$C$2015,V$13,$D$18:$D$2015,"&gt;="&amp;V190,$D$18:$D$2015,"&lt;"&amp;V191))</f>
        <v/>
      </c>
      <c r="X190" s="14" t="n"/>
      <c r="Y190" s="16" t="n"/>
      <c r="Z190" s="124">
        <f>IF(Y190="","",COUNTIFS($C$18:$C$2015,Y$13,$D$18:$D$2015,"&gt;="&amp;Y190,$D$18:$D$2015,"&lt;"&amp;Y191))</f>
        <v/>
      </c>
      <c r="AA190" s="14" t="n"/>
      <c r="AB190" s="16" t="n"/>
      <c r="AC190" s="124">
        <f>IF(AB190="","",COUNTIFS($C$18:$C$2015,AB$13,$D$18:$D$2015,"&gt;="&amp;AB190,$D$18:$D$2015,"&lt;"&amp;AB191))</f>
        <v/>
      </c>
      <c r="AD190" s="14" t="n"/>
    </row>
    <row r="191">
      <c r="A191" s="58" t="n"/>
      <c r="B191" s="59" t="n"/>
      <c r="C191" s="59" t="n"/>
      <c r="E191" s="16" t="n"/>
      <c r="F191" s="13" t="n"/>
      <c r="G191" s="16" t="n"/>
      <c r="H191" s="124">
        <f>IF(G191="","",COUNTIFS($C$18:$C$2015,G$13,$D$18:$D$2015,"&gt;="&amp;G191,$D$18:$D$2015,"&lt;"&amp;G192))</f>
        <v/>
      </c>
      <c r="I191" s="14" t="n"/>
      <c r="J191" s="16" t="n"/>
      <c r="K191" s="124">
        <f>IF(J191="","",COUNTIFS($C$18:$C$2015,J$13,$D$18:$D$2015,"&gt;="&amp;J191,$D$18:$D$2015,"&lt;"&amp;J192))</f>
        <v/>
      </c>
      <c r="L191" s="14" t="n"/>
      <c r="M191" s="16" t="n"/>
      <c r="N191" s="124">
        <f>IF(M191="","",COUNTIFS($C$18:$C$2015,M$13,$D$18:$D$2015,"&gt;="&amp;M191,$D$18:$D$2015,"&lt;"&amp;M192))</f>
        <v/>
      </c>
      <c r="O191" s="14" t="n"/>
      <c r="P191" s="16" t="n"/>
      <c r="Q191" s="124">
        <f>IF(P191="","",COUNTIFS($C$18:$C$2015,P$13,$D$18:$D$2015,"&gt;="&amp;P191,$D$18:$D$2015,"&lt;"&amp;P192))</f>
        <v/>
      </c>
      <c r="R191" s="14" t="n"/>
      <c r="S191" s="16" t="n"/>
      <c r="T191" s="124">
        <f>IF(S191="","",COUNTIFS($C$18:$C$2015,S$13,$D$18:$D$2015,"&gt;="&amp;S191,$D$18:$D$2015,"&lt;"&amp;S192))</f>
        <v/>
      </c>
      <c r="U191" s="14" t="n"/>
      <c r="V191" s="16" t="n"/>
      <c r="W191" s="124">
        <f>IF(V191="","",COUNTIFS($C$18:$C$2015,V$13,$D$18:$D$2015,"&gt;="&amp;V191,$D$18:$D$2015,"&lt;"&amp;V192))</f>
        <v/>
      </c>
      <c r="X191" s="14" t="n"/>
      <c r="Y191" s="16" t="n"/>
      <c r="Z191" s="124">
        <f>IF(Y191="","",COUNTIFS($C$18:$C$2015,Y$13,$D$18:$D$2015,"&gt;="&amp;Y191,$D$18:$D$2015,"&lt;"&amp;Y192))</f>
        <v/>
      </c>
      <c r="AA191" s="14" t="n"/>
      <c r="AB191" s="16" t="n"/>
      <c r="AC191" s="124">
        <f>IF(AB191="","",COUNTIFS($C$18:$C$2015,AB$13,$D$18:$D$2015,"&gt;="&amp;AB191,$D$18:$D$2015,"&lt;"&amp;AB192))</f>
        <v/>
      </c>
      <c r="AD191" s="14" t="n"/>
    </row>
    <row r="192">
      <c r="A192" s="56" t="n"/>
      <c r="B192" s="59" t="n"/>
      <c r="C192" s="59" t="n"/>
      <c r="E192" s="16" t="n"/>
      <c r="F192" s="13" t="n"/>
      <c r="G192" s="16" t="n"/>
      <c r="H192" s="124">
        <f>IF(G192="","",COUNTIFS($C$18:$C$2015,G$13,$D$18:$D$2015,"&gt;="&amp;G192,$D$18:$D$2015,"&lt;"&amp;G193))</f>
        <v/>
      </c>
      <c r="I192" s="14" t="n"/>
      <c r="J192" s="16" t="n"/>
      <c r="K192" s="124">
        <f>IF(J192="","",COUNTIFS($C$18:$C$2015,J$13,$D$18:$D$2015,"&gt;="&amp;J192,$D$18:$D$2015,"&lt;"&amp;J193))</f>
        <v/>
      </c>
      <c r="L192" s="14" t="n"/>
      <c r="M192" s="16" t="n"/>
      <c r="N192" s="124">
        <f>IF(M192="","",COUNTIFS($C$18:$C$2015,M$13,$D$18:$D$2015,"&gt;="&amp;M192,$D$18:$D$2015,"&lt;"&amp;M193))</f>
        <v/>
      </c>
      <c r="O192" s="14" t="n"/>
      <c r="P192" s="16" t="n"/>
      <c r="Q192" s="124">
        <f>IF(P192="","",COUNTIFS($C$18:$C$2015,P$13,$D$18:$D$2015,"&gt;="&amp;P192,$D$18:$D$2015,"&lt;"&amp;P193))</f>
        <v/>
      </c>
      <c r="R192" s="14" t="n"/>
      <c r="S192" s="16" t="n"/>
      <c r="T192" s="124">
        <f>IF(S192="","",COUNTIFS($C$18:$C$2015,S$13,$D$18:$D$2015,"&gt;="&amp;S192,$D$18:$D$2015,"&lt;"&amp;S193))</f>
        <v/>
      </c>
      <c r="U192" s="14" t="n"/>
      <c r="V192" s="16" t="n"/>
      <c r="W192" s="124">
        <f>IF(V192="","",COUNTIFS($C$18:$C$2015,V$13,$D$18:$D$2015,"&gt;="&amp;V192,$D$18:$D$2015,"&lt;"&amp;V193))</f>
        <v/>
      </c>
      <c r="X192" s="14" t="n"/>
      <c r="Y192" s="16" t="n"/>
      <c r="Z192" s="124">
        <f>IF(Y192="","",COUNTIFS($C$18:$C$2015,Y$13,$D$18:$D$2015,"&gt;="&amp;Y192,$D$18:$D$2015,"&lt;"&amp;Y193))</f>
        <v/>
      </c>
      <c r="AA192" s="14" t="n"/>
      <c r="AB192" s="16" t="n"/>
      <c r="AC192" s="124">
        <f>IF(AB192="","",COUNTIFS($C$18:$C$2015,AB$13,$D$18:$D$2015,"&gt;="&amp;AB192,$D$18:$D$2015,"&lt;"&amp;AB193))</f>
        <v/>
      </c>
      <c r="AD192" s="14" t="n"/>
    </row>
    <row r="193">
      <c r="A193" s="58" t="n"/>
      <c r="B193" s="59" t="n"/>
      <c r="C193" s="59" t="n"/>
      <c r="E193" s="16" t="n"/>
      <c r="F193" s="13" t="n"/>
      <c r="G193" s="16" t="n"/>
      <c r="H193" s="124">
        <f>IF(G193="","",COUNTIFS($C$18:$C$2015,G$13,$D$18:$D$2015,"&gt;="&amp;G193,$D$18:$D$2015,"&lt;"&amp;G194))</f>
        <v/>
      </c>
      <c r="I193" s="14" t="n"/>
      <c r="J193" s="16" t="n"/>
      <c r="K193" s="124">
        <f>IF(J193="","",COUNTIFS($C$18:$C$2015,J$13,$D$18:$D$2015,"&gt;="&amp;J193,$D$18:$D$2015,"&lt;"&amp;J194))</f>
        <v/>
      </c>
      <c r="L193" s="14" t="n"/>
      <c r="M193" s="16" t="n"/>
      <c r="N193" s="124">
        <f>IF(M193="","",COUNTIFS($C$18:$C$2015,M$13,$D$18:$D$2015,"&gt;="&amp;M193,$D$18:$D$2015,"&lt;"&amp;M194))</f>
        <v/>
      </c>
      <c r="O193" s="14" t="n"/>
      <c r="P193" s="16" t="n"/>
      <c r="Q193" s="124">
        <f>IF(P193="","",COUNTIFS($C$18:$C$2015,P$13,$D$18:$D$2015,"&gt;="&amp;P193,$D$18:$D$2015,"&lt;"&amp;P194))</f>
        <v/>
      </c>
      <c r="R193" s="14" t="n"/>
      <c r="S193" s="16" t="n"/>
      <c r="T193" s="124">
        <f>IF(S193="","",COUNTIFS($C$18:$C$2015,S$13,$D$18:$D$2015,"&gt;="&amp;S193,$D$18:$D$2015,"&lt;"&amp;S194))</f>
        <v/>
      </c>
      <c r="U193" s="14" t="n"/>
      <c r="V193" s="16" t="n"/>
      <c r="W193" s="124">
        <f>IF(V193="","",COUNTIFS($C$18:$C$2015,V$13,$D$18:$D$2015,"&gt;="&amp;V193,$D$18:$D$2015,"&lt;"&amp;V194))</f>
        <v/>
      </c>
      <c r="X193" s="14" t="n"/>
      <c r="Y193" s="16" t="n"/>
      <c r="Z193" s="124">
        <f>IF(Y193="","",COUNTIFS($C$18:$C$2015,Y$13,$D$18:$D$2015,"&gt;="&amp;Y193,$D$18:$D$2015,"&lt;"&amp;Y194))</f>
        <v/>
      </c>
      <c r="AA193" s="14" t="n"/>
      <c r="AB193" s="16" t="n"/>
      <c r="AC193" s="124">
        <f>IF(AB193="","",COUNTIFS($C$18:$C$2015,AB$13,$D$18:$D$2015,"&gt;="&amp;AB193,$D$18:$D$2015,"&lt;"&amp;AB194))</f>
        <v/>
      </c>
      <c r="AD193" s="14" t="n"/>
    </row>
    <row r="194">
      <c r="A194" s="56" t="n"/>
      <c r="B194" s="59" t="n"/>
      <c r="C194" s="59" t="n"/>
      <c r="E194" s="16" t="n"/>
      <c r="F194" s="13" t="n"/>
      <c r="G194" s="16" t="n"/>
      <c r="H194" s="124">
        <f>IF(G194="","",COUNTIFS($C$18:$C$2015,G$13,$D$18:$D$2015,"&gt;="&amp;G194,$D$18:$D$2015,"&lt;"&amp;G195))</f>
        <v/>
      </c>
      <c r="I194" s="14" t="n"/>
      <c r="J194" s="16" t="n"/>
      <c r="K194" s="124">
        <f>IF(J194="","",COUNTIFS($C$18:$C$2015,J$13,$D$18:$D$2015,"&gt;="&amp;J194,$D$18:$D$2015,"&lt;"&amp;J195))</f>
        <v/>
      </c>
      <c r="L194" s="14" t="n"/>
      <c r="M194" s="16" t="n"/>
      <c r="N194" s="124">
        <f>IF(M194="","",COUNTIFS($C$18:$C$2015,M$13,$D$18:$D$2015,"&gt;="&amp;M194,$D$18:$D$2015,"&lt;"&amp;M195))</f>
        <v/>
      </c>
      <c r="O194" s="14" t="n"/>
      <c r="P194" s="16" t="n"/>
      <c r="Q194" s="124">
        <f>IF(P194="","",COUNTIFS($C$18:$C$2015,P$13,$D$18:$D$2015,"&gt;="&amp;P194,$D$18:$D$2015,"&lt;"&amp;P195))</f>
        <v/>
      </c>
      <c r="R194" s="14" t="n"/>
      <c r="S194" s="16" t="n"/>
      <c r="T194" s="124">
        <f>IF(S194="","",COUNTIFS($C$18:$C$2015,S$13,$D$18:$D$2015,"&gt;="&amp;S194,$D$18:$D$2015,"&lt;"&amp;S195))</f>
        <v/>
      </c>
      <c r="U194" s="14" t="n"/>
      <c r="V194" s="16" t="n"/>
      <c r="W194" s="124">
        <f>IF(V194="","",COUNTIFS($C$18:$C$2015,V$13,$D$18:$D$2015,"&gt;="&amp;V194,$D$18:$D$2015,"&lt;"&amp;V195))</f>
        <v/>
      </c>
      <c r="X194" s="14" t="n"/>
      <c r="Y194" s="16" t="n"/>
      <c r="Z194" s="124">
        <f>IF(Y194="","",COUNTIFS($C$18:$C$2015,Y$13,$D$18:$D$2015,"&gt;="&amp;Y194,$D$18:$D$2015,"&lt;"&amp;Y195))</f>
        <v/>
      </c>
      <c r="AA194" s="14" t="n"/>
      <c r="AB194" s="16" t="n"/>
      <c r="AC194" s="124">
        <f>IF(AB194="","",COUNTIFS($C$18:$C$2015,AB$13,$D$18:$D$2015,"&gt;="&amp;AB194,$D$18:$D$2015,"&lt;"&amp;AB195))</f>
        <v/>
      </c>
      <c r="AD194" s="14" t="n"/>
    </row>
    <row r="195">
      <c r="A195" s="58" t="n"/>
      <c r="B195" s="59" t="n"/>
      <c r="C195" s="59" t="n"/>
      <c r="E195" s="16" t="n"/>
      <c r="F195" s="13" t="n"/>
      <c r="G195" s="16" t="n"/>
      <c r="H195" s="124">
        <f>IF(G195="","",COUNTIFS($C$18:$C$2015,G$13,$D$18:$D$2015,"&gt;="&amp;G195,$D$18:$D$2015,"&lt;"&amp;G196))</f>
        <v/>
      </c>
      <c r="I195" s="14" t="n"/>
      <c r="J195" s="16" t="n"/>
      <c r="K195" s="124">
        <f>IF(J195="","",COUNTIFS($C$18:$C$2015,J$13,$D$18:$D$2015,"&gt;="&amp;J195,$D$18:$D$2015,"&lt;"&amp;J196))</f>
        <v/>
      </c>
      <c r="L195" s="14" t="n"/>
      <c r="M195" s="16" t="n"/>
      <c r="N195" s="124">
        <f>IF(M195="","",COUNTIFS($C$18:$C$2015,M$13,$D$18:$D$2015,"&gt;="&amp;M195,$D$18:$D$2015,"&lt;"&amp;M196))</f>
        <v/>
      </c>
      <c r="O195" s="14" t="n"/>
      <c r="P195" s="16" t="n"/>
      <c r="Q195" s="124">
        <f>IF(P195="","",COUNTIFS($C$18:$C$2015,P$13,$D$18:$D$2015,"&gt;="&amp;P195,$D$18:$D$2015,"&lt;"&amp;P196))</f>
        <v/>
      </c>
      <c r="R195" s="14" t="n"/>
      <c r="S195" s="16" t="n"/>
      <c r="T195" s="124">
        <f>IF(S195="","",COUNTIFS($C$18:$C$2015,S$13,$D$18:$D$2015,"&gt;="&amp;S195,$D$18:$D$2015,"&lt;"&amp;S196))</f>
        <v/>
      </c>
      <c r="U195" s="14" t="n"/>
      <c r="V195" s="16" t="n"/>
      <c r="W195" s="124">
        <f>IF(V195="","",COUNTIFS($C$18:$C$2015,V$13,$D$18:$D$2015,"&gt;="&amp;V195,$D$18:$D$2015,"&lt;"&amp;V196))</f>
        <v/>
      </c>
      <c r="X195" s="14" t="n"/>
      <c r="Y195" s="16" t="n"/>
      <c r="Z195" s="124">
        <f>IF(Y195="","",COUNTIFS($C$18:$C$2015,Y$13,$D$18:$D$2015,"&gt;="&amp;Y195,$D$18:$D$2015,"&lt;"&amp;Y196))</f>
        <v/>
      </c>
      <c r="AA195" s="14" t="n"/>
      <c r="AB195" s="16" t="n"/>
      <c r="AC195" s="124">
        <f>IF(AB195="","",COUNTIFS($C$18:$C$2015,AB$13,$D$18:$D$2015,"&gt;="&amp;AB195,$D$18:$D$2015,"&lt;"&amp;AB196))</f>
        <v/>
      </c>
      <c r="AD195" s="14" t="n"/>
    </row>
    <row r="196">
      <c r="A196" s="56" t="n"/>
      <c r="B196" s="59" t="n"/>
      <c r="C196" s="59" t="n"/>
      <c r="E196" s="16" t="n"/>
      <c r="F196" s="13" t="n"/>
      <c r="G196" s="16" t="n"/>
      <c r="H196" s="124">
        <f>IF(G196="","",COUNTIFS($C$18:$C$2015,G$13,$D$18:$D$2015,"&gt;="&amp;G196,$D$18:$D$2015,"&lt;"&amp;G197))</f>
        <v/>
      </c>
      <c r="I196" s="14" t="n"/>
      <c r="J196" s="16" t="n"/>
      <c r="K196" s="124">
        <f>IF(J196="","",COUNTIFS($C$18:$C$2015,J$13,$D$18:$D$2015,"&gt;="&amp;J196,$D$18:$D$2015,"&lt;"&amp;J197))</f>
        <v/>
      </c>
      <c r="L196" s="14" t="n"/>
      <c r="M196" s="16" t="n"/>
      <c r="N196" s="124">
        <f>IF(M196="","",COUNTIFS($C$18:$C$2015,M$13,$D$18:$D$2015,"&gt;="&amp;M196,$D$18:$D$2015,"&lt;"&amp;M197))</f>
        <v/>
      </c>
      <c r="O196" s="14" t="n"/>
      <c r="P196" s="16" t="n"/>
      <c r="Q196" s="124">
        <f>IF(P196="","",COUNTIFS($C$18:$C$2015,P$13,$D$18:$D$2015,"&gt;="&amp;P196,$D$18:$D$2015,"&lt;"&amp;P197))</f>
        <v/>
      </c>
      <c r="R196" s="14" t="n"/>
      <c r="S196" s="16" t="n"/>
      <c r="T196" s="124">
        <f>IF(S196="","",COUNTIFS($C$18:$C$2015,S$13,$D$18:$D$2015,"&gt;="&amp;S196,$D$18:$D$2015,"&lt;"&amp;S197))</f>
        <v/>
      </c>
      <c r="U196" s="14" t="n"/>
      <c r="V196" s="16" t="n"/>
      <c r="W196" s="124">
        <f>IF(V196="","",COUNTIFS($C$18:$C$2015,V$13,$D$18:$D$2015,"&gt;="&amp;V196,$D$18:$D$2015,"&lt;"&amp;V197))</f>
        <v/>
      </c>
      <c r="X196" s="14" t="n"/>
      <c r="Y196" s="16" t="n"/>
      <c r="Z196" s="124">
        <f>IF(Y196="","",COUNTIFS($C$18:$C$2015,Y$13,$D$18:$D$2015,"&gt;="&amp;Y196,$D$18:$D$2015,"&lt;"&amp;Y197))</f>
        <v/>
      </c>
      <c r="AA196" s="14" t="n"/>
      <c r="AB196" s="16" t="n"/>
      <c r="AC196" s="124">
        <f>IF(AB196="","",COUNTIFS($C$18:$C$2015,AB$13,$D$18:$D$2015,"&gt;="&amp;AB196,$D$18:$D$2015,"&lt;"&amp;AB197))</f>
        <v/>
      </c>
      <c r="AD196" s="14" t="n"/>
    </row>
    <row r="197">
      <c r="A197" s="58" t="n"/>
      <c r="B197" s="59" t="n"/>
      <c r="C197" s="59" t="n"/>
      <c r="E197" s="16" t="n"/>
      <c r="F197" s="13" t="n"/>
      <c r="G197" s="16" t="n"/>
      <c r="H197" s="124">
        <f>IF(G197="","",COUNTIFS($C$18:$C$2015,G$13,$D$18:$D$2015,"&gt;="&amp;G197,$D$18:$D$2015,"&lt;"&amp;G198))</f>
        <v/>
      </c>
      <c r="I197" s="14" t="n"/>
      <c r="J197" s="16" t="n"/>
      <c r="K197" s="124">
        <f>IF(J197="","",COUNTIFS($C$18:$C$2015,J$13,$D$18:$D$2015,"&gt;="&amp;J197,$D$18:$D$2015,"&lt;"&amp;J198))</f>
        <v/>
      </c>
      <c r="L197" s="14" t="n"/>
      <c r="M197" s="16" t="n"/>
      <c r="N197" s="124">
        <f>IF(M197="","",COUNTIFS($C$18:$C$2015,M$13,$D$18:$D$2015,"&gt;="&amp;M197,$D$18:$D$2015,"&lt;"&amp;M198))</f>
        <v/>
      </c>
      <c r="O197" s="14" t="n"/>
      <c r="P197" s="16" t="n"/>
      <c r="Q197" s="124">
        <f>IF(P197="","",COUNTIFS($C$18:$C$2015,P$13,$D$18:$D$2015,"&gt;="&amp;P197,$D$18:$D$2015,"&lt;"&amp;P198))</f>
        <v/>
      </c>
      <c r="R197" s="14" t="n"/>
      <c r="S197" s="16" t="n"/>
      <c r="T197" s="124">
        <f>IF(S197="","",COUNTIFS($C$18:$C$2015,S$13,$D$18:$D$2015,"&gt;="&amp;S197,$D$18:$D$2015,"&lt;"&amp;S198))</f>
        <v/>
      </c>
      <c r="U197" s="14" t="n"/>
      <c r="V197" s="16" t="n"/>
      <c r="W197" s="124">
        <f>IF(V197="","",COUNTIFS($C$18:$C$2015,V$13,$D$18:$D$2015,"&gt;="&amp;V197,$D$18:$D$2015,"&lt;"&amp;V198))</f>
        <v/>
      </c>
      <c r="X197" s="14" t="n"/>
      <c r="Y197" s="16" t="n"/>
      <c r="Z197" s="124">
        <f>IF(Y197="","",COUNTIFS($C$18:$C$2015,Y$13,$D$18:$D$2015,"&gt;="&amp;Y197,$D$18:$D$2015,"&lt;"&amp;Y198))</f>
        <v/>
      </c>
      <c r="AA197" s="14" t="n"/>
      <c r="AB197" s="16" t="n"/>
      <c r="AC197" s="124">
        <f>IF(AB197="","",COUNTIFS($C$18:$C$2015,AB$13,$D$18:$D$2015,"&gt;="&amp;AB197,$D$18:$D$2015,"&lt;"&amp;AB198))</f>
        <v/>
      </c>
      <c r="AD197" s="14" t="n"/>
    </row>
    <row r="198">
      <c r="A198" s="56" t="n"/>
      <c r="B198" s="59" t="n"/>
      <c r="C198" s="59" t="n"/>
      <c r="E198" s="16" t="n"/>
      <c r="F198" s="13" t="n"/>
      <c r="G198" s="16" t="n"/>
      <c r="H198" s="124">
        <f>IF(G198="","",COUNTIFS($C$18:$C$2015,G$13,$D$18:$D$2015,"&gt;="&amp;G198,$D$18:$D$2015,"&lt;"&amp;G199))</f>
        <v/>
      </c>
      <c r="I198" s="14" t="n"/>
      <c r="J198" s="16" t="n"/>
      <c r="K198" s="124">
        <f>IF(J198="","",COUNTIFS($C$18:$C$2015,J$13,$D$18:$D$2015,"&gt;="&amp;J198,$D$18:$D$2015,"&lt;"&amp;J199))</f>
        <v/>
      </c>
      <c r="L198" s="14" t="n"/>
      <c r="M198" s="16" t="n"/>
      <c r="N198" s="124">
        <f>IF(M198="","",COUNTIFS($C$18:$C$2015,M$13,$D$18:$D$2015,"&gt;="&amp;M198,$D$18:$D$2015,"&lt;"&amp;M199))</f>
        <v/>
      </c>
      <c r="O198" s="14" t="n"/>
      <c r="P198" s="16" t="n"/>
      <c r="Q198" s="124">
        <f>IF(P198="","",COUNTIFS($C$18:$C$2015,P$13,$D$18:$D$2015,"&gt;="&amp;P198,$D$18:$D$2015,"&lt;"&amp;P199))</f>
        <v/>
      </c>
      <c r="R198" s="14" t="n"/>
      <c r="S198" s="16" t="n"/>
      <c r="T198" s="124">
        <f>IF(S198="","",COUNTIFS($C$18:$C$2015,S$13,$D$18:$D$2015,"&gt;="&amp;S198,$D$18:$D$2015,"&lt;"&amp;S199))</f>
        <v/>
      </c>
      <c r="U198" s="14" t="n"/>
      <c r="V198" s="16" t="n"/>
      <c r="W198" s="124">
        <f>IF(V198="","",COUNTIFS($C$18:$C$2015,V$13,$D$18:$D$2015,"&gt;="&amp;V198,$D$18:$D$2015,"&lt;"&amp;V199))</f>
        <v/>
      </c>
      <c r="X198" s="14" t="n"/>
      <c r="Y198" s="16" t="n"/>
      <c r="Z198" s="124">
        <f>IF(Y198="","",COUNTIFS($C$18:$C$2015,Y$13,$D$18:$D$2015,"&gt;="&amp;Y198,$D$18:$D$2015,"&lt;"&amp;Y199))</f>
        <v/>
      </c>
      <c r="AA198" s="14" t="n"/>
      <c r="AB198" s="16" t="n"/>
      <c r="AC198" s="124">
        <f>IF(AB198="","",COUNTIFS($C$18:$C$2015,AB$13,$D$18:$D$2015,"&gt;="&amp;AB198,$D$18:$D$2015,"&lt;"&amp;AB199))</f>
        <v/>
      </c>
      <c r="AD198" s="14" t="n"/>
    </row>
    <row r="199">
      <c r="A199" s="58" t="n"/>
      <c r="B199" s="59" t="n"/>
      <c r="C199" s="59" t="n"/>
      <c r="E199" s="16" t="n"/>
      <c r="F199" s="13" t="n"/>
      <c r="G199" s="16" t="n"/>
      <c r="H199" s="124">
        <f>IF(G199="","",COUNTIFS($C$18:$C$2015,G$13,$D$18:$D$2015,"&gt;="&amp;G199,$D$18:$D$2015,"&lt;"&amp;G200))</f>
        <v/>
      </c>
      <c r="I199" s="14" t="n"/>
      <c r="J199" s="16" t="n"/>
      <c r="K199" s="124">
        <f>IF(J199="","",COUNTIFS($C$18:$C$2015,J$13,$D$18:$D$2015,"&gt;="&amp;J199,$D$18:$D$2015,"&lt;"&amp;J200))</f>
        <v/>
      </c>
      <c r="L199" s="14" t="n"/>
      <c r="M199" s="16" t="n"/>
      <c r="N199" s="124">
        <f>IF(M199="","",COUNTIFS($C$18:$C$2015,M$13,$D$18:$D$2015,"&gt;="&amp;M199,$D$18:$D$2015,"&lt;"&amp;M200))</f>
        <v/>
      </c>
      <c r="O199" s="14" t="n"/>
      <c r="P199" s="16" t="n"/>
      <c r="Q199" s="124">
        <f>IF(P199="","",COUNTIFS($C$18:$C$2015,P$13,$D$18:$D$2015,"&gt;="&amp;P199,$D$18:$D$2015,"&lt;"&amp;P200))</f>
        <v/>
      </c>
      <c r="R199" s="14" t="n"/>
      <c r="S199" s="16" t="n"/>
      <c r="T199" s="124">
        <f>IF(S199="","",COUNTIFS($C$18:$C$2015,S$13,$D$18:$D$2015,"&gt;="&amp;S199,$D$18:$D$2015,"&lt;"&amp;S200))</f>
        <v/>
      </c>
      <c r="U199" s="14" t="n"/>
      <c r="V199" s="16" t="n"/>
      <c r="W199" s="124">
        <f>IF(V199="","",COUNTIFS($C$18:$C$2015,V$13,$D$18:$D$2015,"&gt;="&amp;V199,$D$18:$D$2015,"&lt;"&amp;V200))</f>
        <v/>
      </c>
      <c r="X199" s="14" t="n"/>
      <c r="Y199" s="16" t="n"/>
      <c r="Z199" s="124">
        <f>IF(Y199="","",COUNTIFS($C$18:$C$2015,Y$13,$D$18:$D$2015,"&gt;="&amp;Y199,$D$18:$D$2015,"&lt;"&amp;Y200))</f>
        <v/>
      </c>
      <c r="AA199" s="14" t="n"/>
      <c r="AB199" s="16" t="n"/>
      <c r="AC199" s="124">
        <f>IF(AB199="","",COUNTIFS($C$18:$C$2015,AB$13,$D$18:$D$2015,"&gt;="&amp;AB199,$D$18:$D$2015,"&lt;"&amp;AB200))</f>
        <v/>
      </c>
      <c r="AD199" s="14" t="n"/>
    </row>
    <row r="200">
      <c r="A200" s="56" t="n"/>
      <c r="B200" s="59" t="n"/>
      <c r="C200" s="59" t="n"/>
      <c r="E200" s="16" t="n"/>
      <c r="F200" s="13" t="n"/>
      <c r="G200" s="16" t="n"/>
      <c r="H200" s="124">
        <f>IF(G200="","",COUNTIFS($C$18:$C$2015,G$13,$D$18:$D$2015,"&gt;="&amp;G200,$D$18:$D$2015,"&lt;"&amp;G201))</f>
        <v/>
      </c>
      <c r="I200" s="14" t="n"/>
      <c r="J200" s="16" t="n"/>
      <c r="K200" s="124">
        <f>IF(J200="","",COUNTIFS($C$18:$C$2015,J$13,$D$18:$D$2015,"&gt;="&amp;J200,$D$18:$D$2015,"&lt;"&amp;J201))</f>
        <v/>
      </c>
      <c r="L200" s="14" t="n"/>
      <c r="M200" s="16" t="n"/>
      <c r="N200" s="124">
        <f>IF(M200="","",COUNTIFS($C$18:$C$2015,M$13,$D$18:$D$2015,"&gt;="&amp;M200,$D$18:$D$2015,"&lt;"&amp;M201))</f>
        <v/>
      </c>
      <c r="O200" s="14" t="n"/>
      <c r="P200" s="16" t="n"/>
      <c r="Q200" s="124">
        <f>IF(P200="","",COUNTIFS($C$18:$C$2015,P$13,$D$18:$D$2015,"&gt;="&amp;P200,$D$18:$D$2015,"&lt;"&amp;P201))</f>
        <v/>
      </c>
      <c r="R200" s="14" t="n"/>
      <c r="S200" s="16" t="n"/>
      <c r="T200" s="124">
        <f>IF(S200="","",COUNTIFS($C$18:$C$2015,S$13,$D$18:$D$2015,"&gt;="&amp;S200,$D$18:$D$2015,"&lt;"&amp;S201))</f>
        <v/>
      </c>
      <c r="U200" s="14" t="n"/>
      <c r="V200" s="16" t="n"/>
      <c r="W200" s="124">
        <f>IF(V200="","",COUNTIFS($C$18:$C$2015,V$13,$D$18:$D$2015,"&gt;="&amp;V200,$D$18:$D$2015,"&lt;"&amp;V201))</f>
        <v/>
      </c>
      <c r="X200" s="14" t="n"/>
      <c r="Y200" s="16" t="n"/>
      <c r="Z200" s="124">
        <f>IF(Y200="","",COUNTIFS($C$18:$C$2015,Y$13,$D$18:$D$2015,"&gt;="&amp;Y200,$D$18:$D$2015,"&lt;"&amp;Y201))</f>
        <v/>
      </c>
      <c r="AA200" s="14" t="n"/>
      <c r="AB200" s="16" t="n"/>
      <c r="AC200" s="124">
        <f>IF(AB200="","",COUNTIFS($C$18:$C$2015,AB$13,$D$18:$D$2015,"&gt;="&amp;AB200,$D$18:$D$2015,"&lt;"&amp;AB201))</f>
        <v/>
      </c>
      <c r="AD200" s="14" t="n"/>
    </row>
    <row r="201">
      <c r="A201" s="58" t="n"/>
      <c r="B201" s="59" t="n"/>
      <c r="C201" s="59" t="n"/>
      <c r="E201" s="16" t="n"/>
      <c r="F201" s="13" t="n"/>
      <c r="G201" s="16" t="n"/>
      <c r="H201" s="124">
        <f>IF(G201="","",COUNTIFS($C$18:$C$2015,G$13,$D$18:$D$2015,"&gt;="&amp;G201,$D$18:$D$2015,"&lt;"&amp;G202))</f>
        <v/>
      </c>
      <c r="I201" s="14" t="n"/>
      <c r="J201" s="16" t="n"/>
      <c r="K201" s="124">
        <f>IF(J201="","",COUNTIFS($C$18:$C$2015,J$13,$D$18:$D$2015,"&gt;="&amp;J201,$D$18:$D$2015,"&lt;"&amp;J202))</f>
        <v/>
      </c>
      <c r="L201" s="14" t="n"/>
      <c r="M201" s="16" t="n"/>
      <c r="N201" s="124">
        <f>IF(M201="","",COUNTIFS($C$18:$C$2015,M$13,$D$18:$D$2015,"&gt;="&amp;M201,$D$18:$D$2015,"&lt;"&amp;M202))</f>
        <v/>
      </c>
      <c r="O201" s="14" t="n"/>
      <c r="P201" s="16" t="n"/>
      <c r="Q201" s="124">
        <f>IF(P201="","",COUNTIFS($C$18:$C$2015,P$13,$D$18:$D$2015,"&gt;="&amp;P201,$D$18:$D$2015,"&lt;"&amp;P202))</f>
        <v/>
      </c>
      <c r="R201" s="14" t="n"/>
      <c r="S201" s="16" t="n"/>
      <c r="T201" s="124">
        <f>IF(S201="","",COUNTIFS($C$18:$C$2015,S$13,$D$18:$D$2015,"&gt;="&amp;S201,$D$18:$D$2015,"&lt;"&amp;S202))</f>
        <v/>
      </c>
      <c r="U201" s="14" t="n"/>
      <c r="V201" s="16" t="n"/>
      <c r="W201" s="124">
        <f>IF(V201="","",COUNTIFS($C$18:$C$2015,V$13,$D$18:$D$2015,"&gt;="&amp;V201,$D$18:$D$2015,"&lt;"&amp;V202))</f>
        <v/>
      </c>
      <c r="X201" s="14" t="n"/>
      <c r="Y201" s="16" t="n"/>
      <c r="Z201" s="124">
        <f>IF(Y201="","",COUNTIFS($C$18:$C$2015,Y$13,$D$18:$D$2015,"&gt;="&amp;Y201,$D$18:$D$2015,"&lt;"&amp;Y202))</f>
        <v/>
      </c>
      <c r="AA201" s="14" t="n"/>
      <c r="AB201" s="16" t="n"/>
      <c r="AC201" s="124">
        <f>IF(AB201="","",COUNTIFS($C$18:$C$2015,AB$13,$D$18:$D$2015,"&gt;="&amp;AB201,$D$18:$D$2015,"&lt;"&amp;AB202))</f>
        <v/>
      </c>
      <c r="AD201" s="14" t="n"/>
    </row>
    <row r="202">
      <c r="A202" s="56" t="n"/>
      <c r="B202" s="59" t="n"/>
      <c r="C202" s="59" t="n"/>
      <c r="E202" s="16" t="n"/>
      <c r="F202" s="13" t="n"/>
      <c r="G202" s="16" t="n"/>
      <c r="H202" s="124">
        <f>IF(G202="","",COUNTIFS($C$18:$C$2015,G$13,$D$18:$D$2015,"&gt;="&amp;G202,$D$18:$D$2015,"&lt;"&amp;G203))</f>
        <v/>
      </c>
      <c r="I202" s="14" t="n"/>
      <c r="J202" s="16" t="n"/>
      <c r="K202" s="124">
        <f>IF(J202="","",COUNTIFS($C$18:$C$2015,J$13,$D$18:$D$2015,"&gt;="&amp;J202,$D$18:$D$2015,"&lt;"&amp;J203))</f>
        <v/>
      </c>
      <c r="L202" s="14" t="n"/>
      <c r="M202" s="16" t="n"/>
      <c r="N202" s="124">
        <f>IF(M202="","",COUNTIFS($C$18:$C$2015,M$13,$D$18:$D$2015,"&gt;="&amp;M202,$D$18:$D$2015,"&lt;"&amp;M203))</f>
        <v/>
      </c>
      <c r="O202" s="14" t="n"/>
      <c r="P202" s="16" t="n"/>
      <c r="Q202" s="124">
        <f>IF(P202="","",COUNTIFS($C$18:$C$2015,P$13,$D$18:$D$2015,"&gt;="&amp;P202,$D$18:$D$2015,"&lt;"&amp;P203))</f>
        <v/>
      </c>
      <c r="R202" s="14" t="n"/>
      <c r="S202" s="16" t="n"/>
      <c r="T202" s="124">
        <f>IF(S202="","",COUNTIFS($C$18:$C$2015,S$13,$D$18:$D$2015,"&gt;="&amp;S202,$D$18:$D$2015,"&lt;"&amp;S203))</f>
        <v/>
      </c>
      <c r="U202" s="14" t="n"/>
      <c r="V202" s="16" t="n"/>
      <c r="W202" s="124">
        <f>IF(V202="","",COUNTIFS($C$18:$C$2015,V$13,$D$18:$D$2015,"&gt;="&amp;V202,$D$18:$D$2015,"&lt;"&amp;V203))</f>
        <v/>
      </c>
      <c r="X202" s="14" t="n"/>
      <c r="Y202" s="16" t="n"/>
      <c r="Z202" s="124">
        <f>IF(Y202="","",COUNTIFS($C$18:$C$2015,Y$13,$D$18:$D$2015,"&gt;="&amp;Y202,$D$18:$D$2015,"&lt;"&amp;Y203))</f>
        <v/>
      </c>
      <c r="AA202" s="14" t="n"/>
      <c r="AB202" s="16" t="n"/>
      <c r="AC202" s="124">
        <f>IF(AB202="","",COUNTIFS($C$18:$C$2015,AB$13,$D$18:$D$2015,"&gt;="&amp;AB202,$D$18:$D$2015,"&lt;"&amp;AB203))</f>
        <v/>
      </c>
      <c r="AD202" s="14" t="n"/>
    </row>
    <row r="203">
      <c r="A203" s="58" t="n"/>
      <c r="B203" s="59" t="n"/>
      <c r="C203" s="59" t="n"/>
      <c r="E203" s="16" t="n"/>
      <c r="F203" s="13" t="n"/>
      <c r="G203" s="16" t="n"/>
      <c r="H203" s="124">
        <f>IF(G203="","",COUNTIFS($C$18:$C$2015,G$13,$D$18:$D$2015,"&gt;="&amp;G203,$D$18:$D$2015,"&lt;"&amp;G204))</f>
        <v/>
      </c>
      <c r="I203" s="14" t="n"/>
      <c r="J203" s="16" t="n"/>
      <c r="K203" s="124">
        <f>IF(J203="","",COUNTIFS($C$18:$C$2015,J$13,$D$18:$D$2015,"&gt;="&amp;J203,$D$18:$D$2015,"&lt;"&amp;J204))</f>
        <v/>
      </c>
      <c r="L203" s="14" t="n"/>
      <c r="M203" s="16" t="n"/>
      <c r="N203" s="124">
        <f>IF(M203="","",COUNTIFS($C$18:$C$2015,M$13,$D$18:$D$2015,"&gt;="&amp;M203,$D$18:$D$2015,"&lt;"&amp;M204))</f>
        <v/>
      </c>
      <c r="O203" s="14" t="n"/>
      <c r="P203" s="16" t="n"/>
      <c r="Q203" s="124">
        <f>IF(P203="","",COUNTIFS($C$18:$C$2015,P$13,$D$18:$D$2015,"&gt;="&amp;P203,$D$18:$D$2015,"&lt;"&amp;P204))</f>
        <v/>
      </c>
      <c r="R203" s="14" t="n"/>
      <c r="S203" s="16" t="n"/>
      <c r="T203" s="124">
        <f>IF(S203="","",COUNTIFS($C$18:$C$2015,S$13,$D$18:$D$2015,"&gt;="&amp;S203,$D$18:$D$2015,"&lt;"&amp;S204))</f>
        <v/>
      </c>
      <c r="U203" s="14" t="n"/>
      <c r="V203" s="16" t="n"/>
      <c r="W203" s="124">
        <f>IF(V203="","",COUNTIFS($C$18:$C$2015,V$13,$D$18:$D$2015,"&gt;="&amp;V203,$D$18:$D$2015,"&lt;"&amp;V204))</f>
        <v/>
      </c>
      <c r="X203" s="14" t="n"/>
      <c r="Y203" s="16" t="n"/>
      <c r="Z203" s="124">
        <f>IF(Y203="","",COUNTIFS($C$18:$C$2015,Y$13,$D$18:$D$2015,"&gt;="&amp;Y203,$D$18:$D$2015,"&lt;"&amp;Y204))</f>
        <v/>
      </c>
      <c r="AA203" s="14" t="n"/>
      <c r="AB203" s="16" t="n"/>
      <c r="AC203" s="124">
        <f>IF(AB203="","",COUNTIFS($C$18:$C$2015,AB$13,$D$18:$D$2015,"&gt;="&amp;AB203,$D$18:$D$2015,"&lt;"&amp;AB204))</f>
        <v/>
      </c>
      <c r="AD203" s="14" t="n"/>
    </row>
    <row r="204">
      <c r="A204" s="56" t="n"/>
      <c r="B204" s="59" t="n"/>
      <c r="C204" s="59" t="n"/>
      <c r="E204" s="16" t="n"/>
      <c r="F204" s="13" t="n"/>
      <c r="G204" s="16" t="n"/>
      <c r="H204" s="124">
        <f>IF(G204="","",COUNTIFS($C$18:$C$2015,G$13,$D$18:$D$2015,"&gt;="&amp;G204,$D$18:$D$2015,"&lt;"&amp;G205))</f>
        <v/>
      </c>
      <c r="I204" s="14" t="n"/>
      <c r="J204" s="16" t="n"/>
      <c r="K204" s="124">
        <f>IF(J204="","",COUNTIFS($C$18:$C$2015,J$13,$D$18:$D$2015,"&gt;="&amp;J204,$D$18:$D$2015,"&lt;"&amp;J205))</f>
        <v/>
      </c>
      <c r="L204" s="14" t="n"/>
      <c r="M204" s="16" t="n"/>
      <c r="N204" s="124">
        <f>IF(M204="","",COUNTIFS($C$18:$C$2015,M$13,$D$18:$D$2015,"&gt;="&amp;M204,$D$18:$D$2015,"&lt;"&amp;M205))</f>
        <v/>
      </c>
      <c r="O204" s="14" t="n"/>
      <c r="P204" s="16" t="n"/>
      <c r="Q204" s="124">
        <f>IF(P204="","",COUNTIFS($C$18:$C$2015,P$13,$D$18:$D$2015,"&gt;="&amp;P204,$D$18:$D$2015,"&lt;"&amp;P205))</f>
        <v/>
      </c>
      <c r="R204" s="14" t="n"/>
      <c r="S204" s="16" t="n"/>
      <c r="T204" s="124">
        <f>IF(S204="","",COUNTIFS($C$18:$C$2015,S$13,$D$18:$D$2015,"&gt;="&amp;S204,$D$18:$D$2015,"&lt;"&amp;S205))</f>
        <v/>
      </c>
      <c r="U204" s="14" t="n"/>
      <c r="V204" s="16" t="n"/>
      <c r="W204" s="124">
        <f>IF(V204="","",COUNTIFS($C$18:$C$2015,V$13,$D$18:$D$2015,"&gt;="&amp;V204,$D$18:$D$2015,"&lt;"&amp;V205))</f>
        <v/>
      </c>
      <c r="X204" s="14" t="n"/>
      <c r="Y204" s="16" t="n"/>
      <c r="Z204" s="124">
        <f>IF(Y204="","",COUNTIFS($C$18:$C$2015,Y$13,$D$18:$D$2015,"&gt;="&amp;Y204,$D$18:$D$2015,"&lt;"&amp;Y205))</f>
        <v/>
      </c>
      <c r="AA204" s="14" t="n"/>
      <c r="AB204" s="16" t="n"/>
      <c r="AC204" s="124">
        <f>IF(AB204="","",COUNTIFS($C$18:$C$2015,AB$13,$D$18:$D$2015,"&gt;="&amp;AB204,$D$18:$D$2015,"&lt;"&amp;AB205))</f>
        <v/>
      </c>
      <c r="AD204" s="14" t="n"/>
    </row>
    <row r="205">
      <c r="A205" s="58" t="n"/>
      <c r="B205" s="59" t="n"/>
      <c r="C205" s="59" t="n"/>
      <c r="E205" s="16" t="n"/>
      <c r="F205" s="13" t="n"/>
      <c r="G205" s="16" t="n"/>
      <c r="H205" s="124">
        <f>IF(G205="","",COUNTIFS($C$18:$C$2015,G$13,$D$18:$D$2015,"&gt;="&amp;G205,$D$18:$D$2015,"&lt;"&amp;G206))</f>
        <v/>
      </c>
      <c r="I205" s="14" t="n"/>
      <c r="J205" s="16" t="n"/>
      <c r="K205" s="124">
        <f>IF(J205="","",COUNTIFS($C$18:$C$2015,J$13,$D$18:$D$2015,"&gt;="&amp;J205,$D$18:$D$2015,"&lt;"&amp;J206))</f>
        <v/>
      </c>
      <c r="L205" s="14" t="n"/>
      <c r="M205" s="16" t="n"/>
      <c r="N205" s="124">
        <f>IF(M205="","",COUNTIFS($C$18:$C$2015,M$13,$D$18:$D$2015,"&gt;="&amp;M205,$D$18:$D$2015,"&lt;"&amp;M206))</f>
        <v/>
      </c>
      <c r="O205" s="14" t="n"/>
      <c r="P205" s="16" t="n"/>
      <c r="Q205" s="124">
        <f>IF(P205="","",COUNTIFS($C$18:$C$2015,P$13,$D$18:$D$2015,"&gt;="&amp;P205,$D$18:$D$2015,"&lt;"&amp;P206))</f>
        <v/>
      </c>
      <c r="R205" s="14" t="n"/>
      <c r="S205" s="16" t="n"/>
      <c r="T205" s="124">
        <f>IF(S205="","",COUNTIFS($C$18:$C$2015,S$13,$D$18:$D$2015,"&gt;="&amp;S205,$D$18:$D$2015,"&lt;"&amp;S206))</f>
        <v/>
      </c>
      <c r="U205" s="14" t="n"/>
      <c r="V205" s="16" t="n"/>
      <c r="W205" s="124">
        <f>IF(V205="","",COUNTIFS($C$18:$C$2015,V$13,$D$18:$D$2015,"&gt;="&amp;V205,$D$18:$D$2015,"&lt;"&amp;V206))</f>
        <v/>
      </c>
      <c r="X205" s="14" t="n"/>
      <c r="Y205" s="16" t="n"/>
      <c r="Z205" s="124">
        <f>IF(Y205="","",COUNTIFS($C$18:$C$2015,Y$13,$D$18:$D$2015,"&gt;="&amp;Y205,$D$18:$D$2015,"&lt;"&amp;Y206))</f>
        <v/>
      </c>
      <c r="AA205" s="14" t="n"/>
      <c r="AB205" s="16" t="n"/>
      <c r="AC205" s="124">
        <f>IF(AB205="","",COUNTIFS($C$18:$C$2015,AB$13,$D$18:$D$2015,"&gt;="&amp;AB205,$D$18:$D$2015,"&lt;"&amp;AB206))</f>
        <v/>
      </c>
      <c r="AD205" s="14" t="n"/>
    </row>
    <row r="206">
      <c r="A206" s="56" t="n"/>
      <c r="B206" s="59" t="n"/>
      <c r="C206" s="59" t="n"/>
      <c r="E206" s="16" t="n"/>
      <c r="F206" s="13" t="n"/>
      <c r="G206" s="16" t="n"/>
      <c r="H206" s="124">
        <f>IF(G206="","",COUNTIFS($C$18:$C$2015,G$13,$D$18:$D$2015,"&gt;="&amp;G206,$D$18:$D$2015,"&lt;"&amp;G207))</f>
        <v/>
      </c>
      <c r="I206" s="14" t="n"/>
      <c r="J206" s="16" t="n"/>
      <c r="K206" s="124">
        <f>IF(J206="","",COUNTIFS($C$18:$C$2015,J$13,$D$18:$D$2015,"&gt;="&amp;J206,$D$18:$D$2015,"&lt;"&amp;J207))</f>
        <v/>
      </c>
      <c r="L206" s="14" t="n"/>
      <c r="M206" s="16" t="n"/>
      <c r="N206" s="124">
        <f>IF(M206="","",COUNTIFS($C$18:$C$2015,M$13,$D$18:$D$2015,"&gt;="&amp;M206,$D$18:$D$2015,"&lt;"&amp;M207))</f>
        <v/>
      </c>
      <c r="O206" s="14" t="n"/>
      <c r="P206" s="16" t="n"/>
      <c r="Q206" s="124">
        <f>IF(P206="","",COUNTIFS($C$18:$C$2015,P$13,$D$18:$D$2015,"&gt;="&amp;P206,$D$18:$D$2015,"&lt;"&amp;P207))</f>
        <v/>
      </c>
      <c r="R206" s="14" t="n"/>
      <c r="S206" s="16" t="n"/>
      <c r="T206" s="124">
        <f>IF(S206="","",COUNTIFS($C$18:$C$2015,S$13,$D$18:$D$2015,"&gt;="&amp;S206,$D$18:$D$2015,"&lt;"&amp;S207))</f>
        <v/>
      </c>
      <c r="U206" s="14" t="n"/>
      <c r="V206" s="16" t="n"/>
      <c r="W206" s="124">
        <f>IF(V206="","",COUNTIFS($C$18:$C$2015,V$13,$D$18:$D$2015,"&gt;="&amp;V206,$D$18:$D$2015,"&lt;"&amp;V207))</f>
        <v/>
      </c>
      <c r="X206" s="14" t="n"/>
      <c r="Y206" s="16" t="n"/>
      <c r="Z206" s="124">
        <f>IF(Y206="","",COUNTIFS($C$18:$C$2015,Y$13,$D$18:$D$2015,"&gt;="&amp;Y206,$D$18:$D$2015,"&lt;"&amp;Y207))</f>
        <v/>
      </c>
      <c r="AA206" s="14" t="n"/>
      <c r="AB206" s="16" t="n"/>
      <c r="AC206" s="124">
        <f>IF(AB206="","",COUNTIFS($C$18:$C$2015,AB$13,$D$18:$D$2015,"&gt;="&amp;AB206,$D$18:$D$2015,"&lt;"&amp;AB207))</f>
        <v/>
      </c>
      <c r="AD206" s="14" t="n"/>
    </row>
    <row r="207">
      <c r="A207" s="58" t="n"/>
      <c r="B207" s="59" t="n"/>
      <c r="C207" s="59" t="n"/>
      <c r="E207" s="16" t="n"/>
      <c r="F207" s="13" t="n"/>
      <c r="G207" s="16" t="n"/>
      <c r="H207" s="124">
        <f>IF(G207="","",COUNTIFS($C$18:$C$2015,G$13,$D$18:$D$2015,"&gt;="&amp;G207,$D$18:$D$2015,"&lt;"&amp;G208))</f>
        <v/>
      </c>
      <c r="I207" s="14" t="n"/>
      <c r="J207" s="16" t="n"/>
      <c r="K207" s="124">
        <f>IF(J207="","",COUNTIFS($C$18:$C$2015,J$13,$D$18:$D$2015,"&gt;="&amp;J207,$D$18:$D$2015,"&lt;"&amp;J208))</f>
        <v/>
      </c>
      <c r="L207" s="14" t="n"/>
      <c r="M207" s="16" t="n"/>
      <c r="N207" s="124">
        <f>IF(M207="","",COUNTIFS($C$18:$C$2015,M$13,$D$18:$D$2015,"&gt;="&amp;M207,$D$18:$D$2015,"&lt;"&amp;M208))</f>
        <v/>
      </c>
      <c r="O207" s="14" t="n"/>
      <c r="P207" s="16" t="n"/>
      <c r="Q207" s="124">
        <f>IF(P207="","",COUNTIFS($C$18:$C$2015,P$13,$D$18:$D$2015,"&gt;="&amp;P207,$D$18:$D$2015,"&lt;"&amp;P208))</f>
        <v/>
      </c>
      <c r="R207" s="14" t="n"/>
      <c r="S207" s="16" t="n"/>
      <c r="T207" s="124">
        <f>IF(S207="","",COUNTIFS($C$18:$C$2015,S$13,$D$18:$D$2015,"&gt;="&amp;S207,$D$18:$D$2015,"&lt;"&amp;S208))</f>
        <v/>
      </c>
      <c r="U207" s="14" t="n"/>
      <c r="V207" s="16" t="n"/>
      <c r="W207" s="124">
        <f>IF(V207="","",COUNTIFS($C$18:$C$2015,V$13,$D$18:$D$2015,"&gt;="&amp;V207,$D$18:$D$2015,"&lt;"&amp;V208))</f>
        <v/>
      </c>
      <c r="X207" s="14" t="n"/>
      <c r="Y207" s="16" t="n"/>
      <c r="Z207" s="124">
        <f>IF(Y207="","",COUNTIFS($C$18:$C$2015,Y$13,$D$18:$D$2015,"&gt;="&amp;Y207,$D$18:$D$2015,"&lt;"&amp;Y208))</f>
        <v/>
      </c>
      <c r="AA207" s="14" t="n"/>
      <c r="AB207" s="16" t="n"/>
      <c r="AC207" s="124">
        <f>IF(AB207="","",COUNTIFS($C$18:$C$2015,AB$13,$D$18:$D$2015,"&gt;="&amp;AB207,$D$18:$D$2015,"&lt;"&amp;AB208))</f>
        <v/>
      </c>
      <c r="AD207" s="14" t="n"/>
    </row>
    <row r="208">
      <c r="A208" s="56" t="n"/>
      <c r="B208" s="59" t="n"/>
      <c r="C208" s="59" t="n"/>
      <c r="E208" s="16" t="n"/>
      <c r="F208" s="13" t="n"/>
      <c r="G208" s="16" t="n"/>
      <c r="H208" s="124">
        <f>IF(G208="","",COUNTIFS($C$18:$C$2015,G$13,$D$18:$D$2015,"&gt;="&amp;G208,$D$18:$D$2015,"&lt;"&amp;G209))</f>
        <v/>
      </c>
      <c r="I208" s="14" t="n"/>
      <c r="J208" s="16" t="n"/>
      <c r="K208" s="124">
        <f>IF(J208="","",COUNTIFS($C$18:$C$2015,J$13,$D$18:$D$2015,"&gt;="&amp;J208,$D$18:$D$2015,"&lt;"&amp;J209))</f>
        <v/>
      </c>
      <c r="L208" s="14" t="n"/>
      <c r="M208" s="16" t="n"/>
      <c r="N208" s="124">
        <f>IF(M208="","",COUNTIFS($C$18:$C$2015,M$13,$D$18:$D$2015,"&gt;="&amp;M208,$D$18:$D$2015,"&lt;"&amp;M209))</f>
        <v/>
      </c>
      <c r="O208" s="14" t="n"/>
      <c r="P208" s="16" t="n"/>
      <c r="Q208" s="124">
        <f>IF(P208="","",COUNTIFS($C$18:$C$2015,P$13,$D$18:$D$2015,"&gt;="&amp;P208,$D$18:$D$2015,"&lt;"&amp;P209))</f>
        <v/>
      </c>
      <c r="R208" s="14" t="n"/>
      <c r="S208" s="16" t="n"/>
      <c r="T208" s="124">
        <f>IF(S208="","",COUNTIFS($C$18:$C$2015,S$13,$D$18:$D$2015,"&gt;="&amp;S208,$D$18:$D$2015,"&lt;"&amp;S209))</f>
        <v/>
      </c>
      <c r="U208" s="14" t="n"/>
      <c r="V208" s="16" t="n"/>
      <c r="W208" s="124">
        <f>IF(V208="","",COUNTIFS($C$18:$C$2015,V$13,$D$18:$D$2015,"&gt;="&amp;V208,$D$18:$D$2015,"&lt;"&amp;V209))</f>
        <v/>
      </c>
      <c r="X208" s="14" t="n"/>
      <c r="Y208" s="16" t="n"/>
      <c r="Z208" s="124">
        <f>IF(Y208="","",COUNTIFS($C$18:$C$2015,Y$13,$D$18:$D$2015,"&gt;="&amp;Y208,$D$18:$D$2015,"&lt;"&amp;Y209))</f>
        <v/>
      </c>
      <c r="AA208" s="14" t="n"/>
      <c r="AB208" s="16" t="n"/>
      <c r="AC208" s="124">
        <f>IF(AB208="","",COUNTIFS($C$18:$C$2015,AB$13,$D$18:$D$2015,"&gt;="&amp;AB208,$D$18:$D$2015,"&lt;"&amp;AB209))</f>
        <v/>
      </c>
      <c r="AD208" s="14" t="n"/>
    </row>
    <row r="209">
      <c r="A209" s="58" t="n"/>
      <c r="B209" s="59" t="n"/>
      <c r="C209" s="59" t="n"/>
      <c r="E209" s="16" t="n"/>
      <c r="F209" s="13" t="n"/>
      <c r="G209" s="16" t="n"/>
      <c r="H209" s="124">
        <f>IF(G209="","",COUNTIFS($C$18:$C$2015,G$13,$D$18:$D$2015,"&gt;="&amp;G209,$D$18:$D$2015,"&lt;"&amp;G210))</f>
        <v/>
      </c>
      <c r="I209" s="14" t="n"/>
      <c r="J209" s="16" t="n"/>
      <c r="K209" s="124">
        <f>IF(J209="","",COUNTIFS($C$18:$C$2015,J$13,$D$18:$D$2015,"&gt;="&amp;J209,$D$18:$D$2015,"&lt;"&amp;J210))</f>
        <v/>
      </c>
      <c r="L209" s="14" t="n"/>
      <c r="M209" s="16" t="n"/>
      <c r="N209" s="124">
        <f>IF(M209="","",COUNTIFS($C$18:$C$2015,M$13,$D$18:$D$2015,"&gt;="&amp;M209,$D$18:$D$2015,"&lt;"&amp;M210))</f>
        <v/>
      </c>
      <c r="O209" s="14" t="n"/>
      <c r="P209" s="16" t="n"/>
      <c r="Q209" s="124">
        <f>IF(P209="","",COUNTIFS($C$18:$C$2015,P$13,$D$18:$D$2015,"&gt;="&amp;P209,$D$18:$D$2015,"&lt;"&amp;P210))</f>
        <v/>
      </c>
      <c r="R209" s="14" t="n"/>
      <c r="S209" s="16" t="n"/>
      <c r="T209" s="124">
        <f>IF(S209="","",COUNTIFS($C$18:$C$2015,S$13,$D$18:$D$2015,"&gt;="&amp;S209,$D$18:$D$2015,"&lt;"&amp;S210))</f>
        <v/>
      </c>
      <c r="U209" s="14" t="n"/>
      <c r="V209" s="16" t="n"/>
      <c r="W209" s="124">
        <f>IF(V209="","",COUNTIFS($C$18:$C$2015,V$13,$D$18:$D$2015,"&gt;="&amp;V209,$D$18:$D$2015,"&lt;"&amp;V210))</f>
        <v/>
      </c>
      <c r="X209" s="14" t="n"/>
      <c r="Y209" s="16" t="n"/>
      <c r="Z209" s="124">
        <f>IF(Y209="","",COUNTIFS($C$18:$C$2015,Y$13,$D$18:$D$2015,"&gt;="&amp;Y209,$D$18:$D$2015,"&lt;"&amp;Y210))</f>
        <v/>
      </c>
      <c r="AA209" s="14" t="n"/>
      <c r="AB209" s="16" t="n"/>
      <c r="AC209" s="124">
        <f>IF(AB209="","",COUNTIFS($C$18:$C$2015,AB$13,$D$18:$D$2015,"&gt;="&amp;AB209,$D$18:$D$2015,"&lt;"&amp;AB210))</f>
        <v/>
      </c>
      <c r="AD209" s="14" t="n"/>
    </row>
    <row r="210">
      <c r="A210" s="56" t="n"/>
      <c r="B210" s="59" t="n"/>
      <c r="C210" s="59" t="n"/>
      <c r="E210" s="16" t="n"/>
      <c r="F210" s="13" t="n"/>
      <c r="G210" s="16" t="n"/>
      <c r="H210" s="124">
        <f>IF(G210="","",COUNTIFS($C$18:$C$2015,G$13,$D$18:$D$2015,"&gt;="&amp;G210,$D$18:$D$2015,"&lt;"&amp;G211))</f>
        <v/>
      </c>
      <c r="I210" s="14" t="n"/>
      <c r="J210" s="16" t="n"/>
      <c r="K210" s="124">
        <f>IF(J210="","",COUNTIFS($C$18:$C$2015,J$13,$D$18:$D$2015,"&gt;="&amp;J210,$D$18:$D$2015,"&lt;"&amp;J211))</f>
        <v/>
      </c>
      <c r="L210" s="14" t="n"/>
      <c r="M210" s="16" t="n"/>
      <c r="N210" s="124">
        <f>IF(M210="","",COUNTIFS($C$18:$C$2015,M$13,$D$18:$D$2015,"&gt;="&amp;M210,$D$18:$D$2015,"&lt;"&amp;M211))</f>
        <v/>
      </c>
      <c r="O210" s="14" t="n"/>
      <c r="P210" s="16" t="n"/>
      <c r="Q210" s="124">
        <f>IF(P210="","",COUNTIFS($C$18:$C$2015,P$13,$D$18:$D$2015,"&gt;="&amp;P210,$D$18:$D$2015,"&lt;"&amp;P211))</f>
        <v/>
      </c>
      <c r="R210" s="14" t="n"/>
      <c r="S210" s="16" t="n"/>
      <c r="T210" s="124">
        <f>IF(S210="","",COUNTIFS($C$18:$C$2015,S$13,$D$18:$D$2015,"&gt;="&amp;S210,$D$18:$D$2015,"&lt;"&amp;S211))</f>
        <v/>
      </c>
      <c r="U210" s="14" t="n"/>
      <c r="V210" s="16" t="n"/>
      <c r="W210" s="124">
        <f>IF(V210="","",COUNTIFS($C$18:$C$2015,V$13,$D$18:$D$2015,"&gt;="&amp;V210,$D$18:$D$2015,"&lt;"&amp;V211))</f>
        <v/>
      </c>
      <c r="X210" s="14" t="n"/>
      <c r="Y210" s="16" t="n"/>
      <c r="Z210" s="124">
        <f>IF(Y210="","",COUNTIFS($C$18:$C$2015,Y$13,$D$18:$D$2015,"&gt;="&amp;Y210,$D$18:$D$2015,"&lt;"&amp;Y211))</f>
        <v/>
      </c>
      <c r="AA210" s="14" t="n"/>
      <c r="AB210" s="16" t="n"/>
      <c r="AC210" s="124">
        <f>IF(AB210="","",COUNTIFS($C$18:$C$2015,AB$13,$D$18:$D$2015,"&gt;="&amp;AB210,$D$18:$D$2015,"&lt;"&amp;AB211))</f>
        <v/>
      </c>
      <c r="AD210" s="14" t="n"/>
    </row>
    <row r="211">
      <c r="A211" s="58" t="n"/>
      <c r="B211" s="59" t="n"/>
      <c r="C211" s="59" t="n"/>
      <c r="E211" s="16" t="n"/>
      <c r="F211" s="13" t="n"/>
      <c r="G211" s="16" t="n"/>
      <c r="H211" s="124">
        <f>IF(G211="","",COUNTIFS($C$18:$C$2015,G$13,$D$18:$D$2015,"&gt;="&amp;G211,$D$18:$D$2015,"&lt;"&amp;G212))</f>
        <v/>
      </c>
      <c r="I211" s="14" t="n"/>
      <c r="J211" s="16" t="n"/>
      <c r="K211" s="124">
        <f>IF(J211="","",COUNTIFS($C$18:$C$2015,J$13,$D$18:$D$2015,"&gt;="&amp;J211,$D$18:$D$2015,"&lt;"&amp;J212))</f>
        <v/>
      </c>
      <c r="L211" s="14" t="n"/>
      <c r="M211" s="16" t="n"/>
      <c r="N211" s="124">
        <f>IF(M211="","",COUNTIFS($C$18:$C$2015,M$13,$D$18:$D$2015,"&gt;="&amp;M211,$D$18:$D$2015,"&lt;"&amp;M212))</f>
        <v/>
      </c>
      <c r="O211" s="14" t="n"/>
      <c r="P211" s="16" t="n"/>
      <c r="Q211" s="124">
        <f>IF(P211="","",COUNTIFS($C$18:$C$2015,P$13,$D$18:$D$2015,"&gt;="&amp;P211,$D$18:$D$2015,"&lt;"&amp;P212))</f>
        <v/>
      </c>
      <c r="R211" s="14" t="n"/>
      <c r="S211" s="16" t="n"/>
      <c r="T211" s="124">
        <f>IF(S211="","",COUNTIFS($C$18:$C$2015,S$13,$D$18:$D$2015,"&gt;="&amp;S211,$D$18:$D$2015,"&lt;"&amp;S212))</f>
        <v/>
      </c>
      <c r="U211" s="14" t="n"/>
      <c r="V211" s="16" t="n"/>
      <c r="W211" s="124">
        <f>IF(V211="","",COUNTIFS($C$18:$C$2015,V$13,$D$18:$D$2015,"&gt;="&amp;V211,$D$18:$D$2015,"&lt;"&amp;V212))</f>
        <v/>
      </c>
      <c r="X211" s="14" t="n"/>
      <c r="Y211" s="16" t="n"/>
      <c r="Z211" s="124">
        <f>IF(Y211="","",COUNTIFS($C$18:$C$2015,Y$13,$D$18:$D$2015,"&gt;="&amp;Y211,$D$18:$D$2015,"&lt;"&amp;Y212))</f>
        <v/>
      </c>
      <c r="AA211" s="14" t="n"/>
      <c r="AB211" s="16" t="n"/>
      <c r="AC211" s="124">
        <f>IF(AB211="","",COUNTIFS($C$18:$C$2015,AB$13,$D$18:$D$2015,"&gt;="&amp;AB211,$D$18:$D$2015,"&lt;"&amp;AB212))</f>
        <v/>
      </c>
      <c r="AD211" s="14" t="n"/>
    </row>
    <row r="212">
      <c r="A212" s="56" t="n"/>
      <c r="B212" s="59" t="n"/>
      <c r="C212" s="59" t="n"/>
      <c r="E212" s="16" t="n"/>
      <c r="F212" s="13" t="n"/>
      <c r="G212" s="16" t="n"/>
      <c r="H212" s="124">
        <f>IF(G212="","",COUNTIFS($C$18:$C$2015,G$13,$D$18:$D$2015,"&gt;="&amp;G212,$D$18:$D$2015,"&lt;"&amp;G213))</f>
        <v/>
      </c>
      <c r="I212" s="14" t="n"/>
      <c r="J212" s="16" t="n"/>
      <c r="K212" s="124">
        <f>IF(J212="","",COUNTIFS($C$18:$C$2015,J$13,$D$18:$D$2015,"&gt;="&amp;J212,$D$18:$D$2015,"&lt;"&amp;J213))</f>
        <v/>
      </c>
      <c r="L212" s="14" t="n"/>
      <c r="M212" s="16" t="n"/>
      <c r="N212" s="124">
        <f>IF(M212="","",COUNTIFS($C$18:$C$2015,M$13,$D$18:$D$2015,"&gt;="&amp;M212,$D$18:$D$2015,"&lt;"&amp;M213))</f>
        <v/>
      </c>
      <c r="O212" s="14" t="n"/>
      <c r="P212" s="16" t="n"/>
      <c r="Q212" s="124">
        <f>IF(P212="","",COUNTIFS($C$18:$C$2015,P$13,$D$18:$D$2015,"&gt;="&amp;P212,$D$18:$D$2015,"&lt;"&amp;P213))</f>
        <v/>
      </c>
      <c r="R212" s="14" t="n"/>
      <c r="S212" s="16" t="n"/>
      <c r="T212" s="124">
        <f>IF(S212="","",COUNTIFS($C$18:$C$2015,S$13,$D$18:$D$2015,"&gt;="&amp;S212,$D$18:$D$2015,"&lt;"&amp;S213))</f>
        <v/>
      </c>
      <c r="U212" s="14" t="n"/>
      <c r="V212" s="16" t="n"/>
      <c r="W212" s="124">
        <f>IF(V212="","",COUNTIFS($C$18:$C$2015,V$13,$D$18:$D$2015,"&gt;="&amp;V212,$D$18:$D$2015,"&lt;"&amp;V213))</f>
        <v/>
      </c>
      <c r="X212" s="14" t="n"/>
      <c r="Y212" s="16" t="n"/>
      <c r="Z212" s="124">
        <f>IF(Y212="","",COUNTIFS($C$18:$C$2015,Y$13,$D$18:$D$2015,"&gt;="&amp;Y212,$D$18:$D$2015,"&lt;"&amp;Y213))</f>
        <v/>
      </c>
      <c r="AA212" s="14" t="n"/>
      <c r="AB212" s="16" t="n"/>
      <c r="AC212" s="124">
        <f>IF(AB212="","",COUNTIFS($C$18:$C$2015,AB$13,$D$18:$D$2015,"&gt;="&amp;AB212,$D$18:$D$2015,"&lt;"&amp;AB213))</f>
        <v/>
      </c>
      <c r="AD212" s="14" t="n"/>
    </row>
    <row r="213">
      <c r="A213" s="58" t="n"/>
      <c r="B213" s="59" t="n"/>
      <c r="C213" s="59" t="n"/>
      <c r="E213" s="16" t="n"/>
      <c r="F213" s="13" t="n"/>
      <c r="G213" s="16" t="n"/>
      <c r="H213" s="124">
        <f>IF(G213="","",COUNTIFS($C$18:$C$2015,G$13,$D$18:$D$2015,"&gt;="&amp;G213,$D$18:$D$2015,"&lt;"&amp;G214))</f>
        <v/>
      </c>
      <c r="I213" s="14" t="n"/>
      <c r="J213" s="16" t="n"/>
      <c r="K213" s="124">
        <f>IF(J213="","",COUNTIFS($C$18:$C$2015,J$13,$D$18:$D$2015,"&gt;="&amp;J213,$D$18:$D$2015,"&lt;"&amp;J214))</f>
        <v/>
      </c>
      <c r="L213" s="14" t="n"/>
      <c r="M213" s="16" t="n"/>
      <c r="N213" s="124">
        <f>IF(M213="","",COUNTIFS($C$18:$C$2015,M$13,$D$18:$D$2015,"&gt;="&amp;M213,$D$18:$D$2015,"&lt;"&amp;M214))</f>
        <v/>
      </c>
      <c r="O213" s="14" t="n"/>
      <c r="P213" s="16" t="n"/>
      <c r="Q213" s="124">
        <f>IF(P213="","",COUNTIFS($C$18:$C$2015,P$13,$D$18:$D$2015,"&gt;="&amp;P213,$D$18:$D$2015,"&lt;"&amp;P214))</f>
        <v/>
      </c>
      <c r="R213" s="14" t="n"/>
      <c r="S213" s="16" t="n"/>
      <c r="T213" s="124">
        <f>IF(S213="","",COUNTIFS($C$18:$C$2015,S$13,$D$18:$D$2015,"&gt;="&amp;S213,$D$18:$D$2015,"&lt;"&amp;S214))</f>
        <v/>
      </c>
      <c r="U213" s="14" t="n"/>
      <c r="V213" s="16" t="n"/>
      <c r="W213" s="124">
        <f>IF(V213="","",COUNTIFS($C$18:$C$2015,V$13,$D$18:$D$2015,"&gt;="&amp;V213,$D$18:$D$2015,"&lt;"&amp;V214))</f>
        <v/>
      </c>
      <c r="X213" s="14" t="n"/>
      <c r="Y213" s="16" t="n"/>
      <c r="Z213" s="124">
        <f>IF(Y213="","",COUNTIFS($C$18:$C$2015,Y$13,$D$18:$D$2015,"&gt;="&amp;Y213,$D$18:$D$2015,"&lt;"&amp;Y214))</f>
        <v/>
      </c>
      <c r="AA213" s="14" t="n"/>
      <c r="AB213" s="16" t="n"/>
      <c r="AC213" s="124">
        <f>IF(AB213="","",COUNTIFS($C$18:$C$2015,AB$13,$D$18:$D$2015,"&gt;="&amp;AB213,$D$18:$D$2015,"&lt;"&amp;AB214))</f>
        <v/>
      </c>
      <c r="AD213" s="14" t="n"/>
    </row>
    <row r="214">
      <c r="A214" s="56" t="n"/>
      <c r="B214" s="59" t="n"/>
      <c r="C214" s="59" t="n"/>
      <c r="E214" s="16" t="n"/>
      <c r="F214" s="13" t="n"/>
      <c r="G214" s="16" t="n"/>
      <c r="H214" s="124">
        <f>IF(G214="","",COUNTIFS($C$18:$C$2015,G$13,$D$18:$D$2015,"&gt;="&amp;G214,$D$18:$D$2015,"&lt;"&amp;G215))</f>
        <v/>
      </c>
      <c r="I214" s="14" t="n"/>
      <c r="J214" s="16" t="n"/>
      <c r="K214" s="124">
        <f>IF(J214="","",COUNTIFS($C$18:$C$2015,J$13,$D$18:$D$2015,"&gt;="&amp;J214,$D$18:$D$2015,"&lt;"&amp;J215))</f>
        <v/>
      </c>
      <c r="L214" s="14" t="n"/>
      <c r="M214" s="16" t="n"/>
      <c r="N214" s="124">
        <f>IF(M214="","",COUNTIFS($C$18:$C$2015,M$13,$D$18:$D$2015,"&gt;="&amp;M214,$D$18:$D$2015,"&lt;"&amp;M215))</f>
        <v/>
      </c>
      <c r="O214" s="14" t="n"/>
      <c r="P214" s="16" t="n"/>
      <c r="Q214" s="124">
        <f>IF(P214="","",COUNTIFS($C$18:$C$2015,P$13,$D$18:$D$2015,"&gt;="&amp;P214,$D$18:$D$2015,"&lt;"&amp;P215))</f>
        <v/>
      </c>
      <c r="R214" s="14" t="n"/>
      <c r="S214" s="16" t="n"/>
      <c r="T214" s="124">
        <f>IF(S214="","",COUNTIFS($C$18:$C$2015,S$13,$D$18:$D$2015,"&gt;="&amp;S214,$D$18:$D$2015,"&lt;"&amp;S215))</f>
        <v/>
      </c>
      <c r="U214" s="14" t="n"/>
      <c r="V214" s="16" t="n"/>
      <c r="W214" s="124">
        <f>IF(V214="","",COUNTIFS($C$18:$C$2015,V$13,$D$18:$D$2015,"&gt;="&amp;V214,$D$18:$D$2015,"&lt;"&amp;V215))</f>
        <v/>
      </c>
      <c r="X214" s="14" t="n"/>
      <c r="Y214" s="16" t="n"/>
      <c r="Z214" s="124">
        <f>IF(Y214="","",COUNTIFS($C$18:$C$2015,Y$13,$D$18:$D$2015,"&gt;="&amp;Y214,$D$18:$D$2015,"&lt;"&amp;Y215))</f>
        <v/>
      </c>
      <c r="AA214" s="14" t="n"/>
      <c r="AB214" s="16" t="n"/>
      <c r="AC214" s="124">
        <f>IF(AB214="","",COUNTIFS($C$18:$C$2015,AB$13,$D$18:$D$2015,"&gt;="&amp;AB214,$D$18:$D$2015,"&lt;"&amp;AB215))</f>
        <v/>
      </c>
      <c r="AD214" s="14" t="n"/>
    </row>
    <row r="215">
      <c r="A215" s="58" t="n"/>
      <c r="B215" s="59" t="n"/>
      <c r="C215" s="59" t="n"/>
      <c r="E215" s="16" t="n"/>
      <c r="F215" s="13" t="n"/>
      <c r="G215" s="16" t="n"/>
      <c r="H215" s="124">
        <f>IF(G215="","",COUNTIFS($C$18:$C$2015,G$13,$D$18:$D$2015,"&gt;="&amp;G215,$D$18:$D$2015,"&lt;"&amp;G216))</f>
        <v/>
      </c>
      <c r="I215" s="14" t="n"/>
      <c r="J215" s="16" t="n"/>
      <c r="K215" s="124">
        <f>IF(J215="","",COUNTIFS($C$18:$C$2015,J$13,$D$18:$D$2015,"&gt;="&amp;J215,$D$18:$D$2015,"&lt;"&amp;J216))</f>
        <v/>
      </c>
      <c r="L215" s="14" t="n"/>
      <c r="M215" s="16" t="n"/>
      <c r="N215" s="124">
        <f>IF(M215="","",COUNTIFS($C$18:$C$2015,M$13,$D$18:$D$2015,"&gt;="&amp;M215,$D$18:$D$2015,"&lt;"&amp;M216))</f>
        <v/>
      </c>
      <c r="O215" s="14" t="n"/>
      <c r="P215" s="16" t="n"/>
      <c r="Q215" s="124">
        <f>IF(P215="","",COUNTIFS($C$18:$C$2015,P$13,$D$18:$D$2015,"&gt;="&amp;P215,$D$18:$D$2015,"&lt;"&amp;P216))</f>
        <v/>
      </c>
      <c r="R215" s="14" t="n"/>
      <c r="S215" s="16" t="n"/>
      <c r="T215" s="124">
        <f>IF(S215="","",COUNTIFS($C$18:$C$2015,S$13,$D$18:$D$2015,"&gt;="&amp;S215,$D$18:$D$2015,"&lt;"&amp;S216))</f>
        <v/>
      </c>
      <c r="U215" s="14" t="n"/>
      <c r="V215" s="16" t="n"/>
      <c r="W215" s="124">
        <f>IF(V215="","",COUNTIFS($C$18:$C$2015,V$13,$D$18:$D$2015,"&gt;="&amp;V215,$D$18:$D$2015,"&lt;"&amp;V216))</f>
        <v/>
      </c>
      <c r="X215" s="14" t="n"/>
      <c r="Y215" s="16" t="n"/>
      <c r="Z215" s="124">
        <f>IF(Y215="","",COUNTIFS($C$18:$C$2015,Y$13,$D$18:$D$2015,"&gt;="&amp;Y215,$D$18:$D$2015,"&lt;"&amp;Y216))</f>
        <v/>
      </c>
      <c r="AA215" s="14" t="n"/>
      <c r="AB215" s="16" t="n"/>
      <c r="AC215" s="124">
        <f>IF(AB215="","",COUNTIFS($C$18:$C$2015,AB$13,$D$18:$D$2015,"&gt;="&amp;AB215,$D$18:$D$2015,"&lt;"&amp;AB216))</f>
        <v/>
      </c>
      <c r="AD215" s="14" t="n"/>
    </row>
    <row r="216">
      <c r="A216" s="56" t="n"/>
      <c r="B216" s="59" t="n"/>
      <c r="C216" s="59" t="n"/>
      <c r="E216" s="16" t="n"/>
      <c r="F216" s="13" t="n"/>
      <c r="G216" s="16" t="n"/>
      <c r="H216" s="124">
        <f>IF(G216="","",COUNTIFS($C$18:$C$2015,G$13,$D$18:$D$2015,"&gt;="&amp;G216,$D$18:$D$2015,"&lt;"&amp;G217))</f>
        <v/>
      </c>
      <c r="I216" s="14" t="n"/>
      <c r="J216" s="16" t="n"/>
      <c r="K216" s="124">
        <f>IF(J216="","",COUNTIFS($C$18:$C$2015,J$13,$D$18:$D$2015,"&gt;="&amp;J216,$D$18:$D$2015,"&lt;"&amp;J217))</f>
        <v/>
      </c>
      <c r="L216" s="14" t="n"/>
      <c r="M216" s="16" t="n"/>
      <c r="N216" s="124">
        <f>IF(M216="","",COUNTIFS($C$18:$C$2015,M$13,$D$18:$D$2015,"&gt;="&amp;M216,$D$18:$D$2015,"&lt;"&amp;M217))</f>
        <v/>
      </c>
      <c r="O216" s="14" t="n"/>
      <c r="P216" s="16" t="n"/>
      <c r="Q216" s="124">
        <f>IF(P216="","",COUNTIFS($C$18:$C$2015,P$13,$D$18:$D$2015,"&gt;="&amp;P216,$D$18:$D$2015,"&lt;"&amp;P217))</f>
        <v/>
      </c>
      <c r="R216" s="14" t="n"/>
      <c r="S216" s="16" t="n"/>
      <c r="T216" s="124">
        <f>IF(S216="","",COUNTIFS($C$18:$C$2015,S$13,$D$18:$D$2015,"&gt;="&amp;S216,$D$18:$D$2015,"&lt;"&amp;S217))</f>
        <v/>
      </c>
      <c r="U216" s="14" t="n"/>
      <c r="V216" s="16" t="n"/>
      <c r="W216" s="124">
        <f>IF(V216="","",COUNTIFS($C$18:$C$2015,V$13,$D$18:$D$2015,"&gt;="&amp;V216,$D$18:$D$2015,"&lt;"&amp;V217))</f>
        <v/>
      </c>
      <c r="X216" s="14" t="n"/>
      <c r="Y216" s="16" t="n"/>
      <c r="Z216" s="124">
        <f>IF(Y216="","",COUNTIFS($C$18:$C$2015,Y$13,$D$18:$D$2015,"&gt;="&amp;Y216,$D$18:$D$2015,"&lt;"&amp;Y217))</f>
        <v/>
      </c>
      <c r="AA216" s="14" t="n"/>
      <c r="AB216" s="16" t="n"/>
      <c r="AC216" s="124">
        <f>IF(AB216="","",COUNTIFS($C$18:$C$2015,AB$13,$D$18:$D$2015,"&gt;="&amp;AB216,$D$18:$D$2015,"&lt;"&amp;AB217))</f>
        <v/>
      </c>
      <c r="AD216" s="14" t="n"/>
    </row>
    <row r="217">
      <c r="A217" s="58" t="n"/>
      <c r="B217" s="59" t="n"/>
      <c r="C217" s="59" t="n"/>
      <c r="E217" s="16" t="n"/>
      <c r="F217" s="13" t="n"/>
      <c r="G217" s="16" t="n"/>
      <c r="H217" s="124">
        <f>IF(G217="","",COUNTIFS($C$18:$C$2015,G$13,$D$18:$D$2015,"&gt;="&amp;G217,$D$18:$D$2015,"&lt;"&amp;G218))</f>
        <v/>
      </c>
      <c r="I217" s="14" t="n"/>
      <c r="J217" s="16" t="n"/>
      <c r="K217" s="124">
        <f>IF(J217="","",COUNTIFS($C$18:$C$2015,J$13,$D$18:$D$2015,"&gt;="&amp;J217,$D$18:$D$2015,"&lt;"&amp;J218))</f>
        <v/>
      </c>
      <c r="L217" s="14" t="n"/>
      <c r="M217" s="16" t="n"/>
      <c r="N217" s="124">
        <f>IF(M217="","",COUNTIFS($C$18:$C$2015,M$13,$D$18:$D$2015,"&gt;="&amp;M217,$D$18:$D$2015,"&lt;"&amp;M218))</f>
        <v/>
      </c>
      <c r="O217" s="14" t="n"/>
      <c r="P217" s="16" t="n"/>
      <c r="Q217" s="124">
        <f>IF(P217="","",COUNTIFS($C$18:$C$2015,P$13,$D$18:$D$2015,"&gt;="&amp;P217,$D$18:$D$2015,"&lt;"&amp;P218))</f>
        <v/>
      </c>
      <c r="R217" s="14" t="n"/>
      <c r="S217" s="16" t="n"/>
      <c r="T217" s="124">
        <f>IF(S217="","",COUNTIFS($C$18:$C$2015,S$13,$D$18:$D$2015,"&gt;="&amp;S217,$D$18:$D$2015,"&lt;"&amp;S218))</f>
        <v/>
      </c>
      <c r="U217" s="14" t="n"/>
      <c r="V217" s="16" t="n"/>
      <c r="W217" s="124">
        <f>IF(V217="","",COUNTIFS($C$18:$C$2015,V$13,$D$18:$D$2015,"&gt;="&amp;V217,$D$18:$D$2015,"&lt;"&amp;V218))</f>
        <v/>
      </c>
      <c r="X217" s="14" t="n"/>
      <c r="Y217" s="16" t="n"/>
      <c r="Z217" s="124">
        <f>IF(Y217="","",COUNTIFS($C$18:$C$2015,Y$13,$D$18:$D$2015,"&gt;="&amp;Y217,$D$18:$D$2015,"&lt;"&amp;Y218))</f>
        <v/>
      </c>
      <c r="AA217" s="14" t="n"/>
      <c r="AB217" s="16" t="n"/>
      <c r="AC217" s="124">
        <f>IF(AB217="","",COUNTIFS($C$18:$C$2015,AB$13,$D$18:$D$2015,"&gt;="&amp;AB217,$D$18:$D$2015,"&lt;"&amp;AB218))</f>
        <v/>
      </c>
      <c r="AD217" s="14" t="n"/>
    </row>
    <row r="218">
      <c r="A218" s="56" t="n"/>
      <c r="B218" s="59" t="n"/>
      <c r="C218" s="59" t="n"/>
      <c r="E218" s="16" t="n"/>
      <c r="F218" s="13" t="n"/>
      <c r="G218" s="16" t="n"/>
      <c r="H218" s="124">
        <f>IF(G218="","",COUNTIFS($C$18:$C$2015,G$13,$D$18:$D$2015,"&gt;="&amp;G218,$D$18:$D$2015,"&lt;"&amp;G219))</f>
        <v/>
      </c>
      <c r="I218" s="14" t="n"/>
      <c r="J218" s="16" t="n"/>
      <c r="K218" s="124">
        <f>IF(J218="","",COUNTIFS($C$18:$C$2015,J$13,$D$18:$D$2015,"&gt;="&amp;J218,$D$18:$D$2015,"&lt;"&amp;J219))</f>
        <v/>
      </c>
      <c r="L218" s="14" t="n"/>
      <c r="M218" s="16" t="n"/>
      <c r="N218" s="124">
        <f>IF(M218="","",COUNTIFS($C$18:$C$2015,M$13,$D$18:$D$2015,"&gt;="&amp;M218,$D$18:$D$2015,"&lt;"&amp;M219))</f>
        <v/>
      </c>
      <c r="O218" s="14" t="n"/>
      <c r="P218" s="16" t="n"/>
      <c r="Q218" s="124">
        <f>IF(P218="","",COUNTIFS($C$18:$C$2015,P$13,$D$18:$D$2015,"&gt;="&amp;P218,$D$18:$D$2015,"&lt;"&amp;P219))</f>
        <v/>
      </c>
      <c r="R218" s="14" t="n"/>
      <c r="S218" s="16" t="n"/>
      <c r="T218" s="124">
        <f>IF(S218="","",COUNTIFS($C$18:$C$2015,S$13,$D$18:$D$2015,"&gt;="&amp;S218,$D$18:$D$2015,"&lt;"&amp;S219))</f>
        <v/>
      </c>
      <c r="U218" s="14" t="n"/>
      <c r="V218" s="16" t="n"/>
      <c r="W218" s="124">
        <f>IF(V218="","",COUNTIFS($C$18:$C$2015,V$13,$D$18:$D$2015,"&gt;="&amp;V218,$D$18:$D$2015,"&lt;"&amp;V219))</f>
        <v/>
      </c>
      <c r="X218" s="14" t="n"/>
      <c r="Y218" s="16" t="n"/>
      <c r="Z218" s="124">
        <f>IF(Y218="","",COUNTIFS($C$18:$C$2015,Y$13,$D$18:$D$2015,"&gt;="&amp;Y218,$D$18:$D$2015,"&lt;"&amp;Y219))</f>
        <v/>
      </c>
      <c r="AA218" s="14" t="n"/>
      <c r="AB218" s="16" t="n"/>
      <c r="AC218" s="124">
        <f>IF(AB218="","",COUNTIFS($C$18:$C$2015,AB$13,$D$18:$D$2015,"&gt;="&amp;AB218,$D$18:$D$2015,"&lt;"&amp;AB219))</f>
        <v/>
      </c>
      <c r="AD218" s="14" t="n"/>
    </row>
    <row r="219">
      <c r="A219" s="58" t="n"/>
      <c r="B219" s="59" t="n"/>
      <c r="C219" s="59" t="n"/>
      <c r="E219" s="16" t="n"/>
      <c r="F219" s="13" t="n"/>
      <c r="G219" s="16" t="n"/>
      <c r="H219" s="124">
        <f>IF(G219="","",COUNTIFS($C$18:$C$2015,G$13,$D$18:$D$2015,"&gt;="&amp;G219,$D$18:$D$2015,"&lt;"&amp;G220))</f>
        <v/>
      </c>
      <c r="I219" s="14" t="n"/>
      <c r="J219" s="16" t="n"/>
      <c r="K219" s="124">
        <f>IF(J219="","",COUNTIFS($C$18:$C$2015,J$13,$D$18:$D$2015,"&gt;="&amp;J219,$D$18:$D$2015,"&lt;"&amp;J220))</f>
        <v/>
      </c>
      <c r="L219" s="14" t="n"/>
      <c r="M219" s="16" t="n"/>
      <c r="N219" s="124">
        <f>IF(M219="","",COUNTIFS($C$18:$C$2015,M$13,$D$18:$D$2015,"&gt;="&amp;M219,$D$18:$D$2015,"&lt;"&amp;M220))</f>
        <v/>
      </c>
      <c r="O219" s="14" t="n"/>
      <c r="P219" s="16" t="n"/>
      <c r="Q219" s="124">
        <f>IF(P219="","",COUNTIFS($C$18:$C$2015,P$13,$D$18:$D$2015,"&gt;="&amp;P219,$D$18:$D$2015,"&lt;"&amp;P220))</f>
        <v/>
      </c>
      <c r="R219" s="14" t="n"/>
      <c r="S219" s="16" t="n"/>
      <c r="T219" s="124">
        <f>IF(S219="","",COUNTIFS($C$18:$C$2015,S$13,$D$18:$D$2015,"&gt;="&amp;S219,$D$18:$D$2015,"&lt;"&amp;S220))</f>
        <v/>
      </c>
      <c r="U219" s="14" t="n"/>
      <c r="V219" s="16" t="n"/>
      <c r="W219" s="124">
        <f>IF(V219="","",COUNTIFS($C$18:$C$2015,V$13,$D$18:$D$2015,"&gt;="&amp;V219,$D$18:$D$2015,"&lt;"&amp;V220))</f>
        <v/>
      </c>
      <c r="X219" s="14" t="n"/>
      <c r="Y219" s="16" t="n"/>
      <c r="Z219" s="124">
        <f>IF(Y219="","",COUNTIFS($C$18:$C$2015,Y$13,$D$18:$D$2015,"&gt;="&amp;Y219,$D$18:$D$2015,"&lt;"&amp;Y220))</f>
        <v/>
      </c>
      <c r="AA219" s="14" t="n"/>
      <c r="AB219" s="16" t="n"/>
      <c r="AC219" s="124">
        <f>IF(AB219="","",COUNTIFS($C$18:$C$2015,AB$13,$D$18:$D$2015,"&gt;="&amp;AB219,$D$18:$D$2015,"&lt;"&amp;AB220))</f>
        <v/>
      </c>
      <c r="AD219" s="14" t="n"/>
    </row>
    <row r="220">
      <c r="A220" s="56" t="n"/>
      <c r="B220" s="59" t="n"/>
      <c r="C220" s="59" t="n"/>
      <c r="E220" s="16" t="n"/>
      <c r="F220" s="13" t="n"/>
      <c r="G220" s="16" t="n"/>
      <c r="H220" s="124">
        <f>IF(G220="","",COUNTIFS($C$18:$C$2015,G$13,$D$18:$D$2015,"&gt;="&amp;G220,$D$18:$D$2015,"&lt;"&amp;G221))</f>
        <v/>
      </c>
      <c r="I220" s="14" t="n"/>
      <c r="J220" s="16" t="n"/>
      <c r="K220" s="124">
        <f>IF(J220="","",COUNTIFS($C$18:$C$2015,J$13,$D$18:$D$2015,"&gt;="&amp;J220,$D$18:$D$2015,"&lt;"&amp;J221))</f>
        <v/>
      </c>
      <c r="L220" s="14" t="n"/>
      <c r="M220" s="16" t="n"/>
      <c r="N220" s="124">
        <f>IF(M220="","",COUNTIFS($C$18:$C$2015,M$13,$D$18:$D$2015,"&gt;="&amp;M220,$D$18:$D$2015,"&lt;"&amp;M221))</f>
        <v/>
      </c>
      <c r="O220" s="14" t="n"/>
      <c r="P220" s="16" t="n"/>
      <c r="Q220" s="124">
        <f>IF(P220="","",COUNTIFS($C$18:$C$2015,P$13,$D$18:$D$2015,"&gt;="&amp;P220,$D$18:$D$2015,"&lt;"&amp;P221))</f>
        <v/>
      </c>
      <c r="R220" s="14" t="n"/>
      <c r="S220" s="16" t="n"/>
      <c r="T220" s="124">
        <f>IF(S220="","",COUNTIFS($C$18:$C$2015,S$13,$D$18:$D$2015,"&gt;="&amp;S220,$D$18:$D$2015,"&lt;"&amp;S221))</f>
        <v/>
      </c>
      <c r="U220" s="14" t="n"/>
      <c r="V220" s="16" t="n"/>
      <c r="W220" s="124">
        <f>IF(V220="","",COUNTIFS($C$18:$C$2015,V$13,$D$18:$D$2015,"&gt;="&amp;V220,$D$18:$D$2015,"&lt;"&amp;V221))</f>
        <v/>
      </c>
      <c r="X220" s="14" t="n"/>
      <c r="Y220" s="16" t="n"/>
      <c r="Z220" s="124">
        <f>IF(Y220="","",COUNTIFS($C$18:$C$2015,Y$13,$D$18:$D$2015,"&gt;="&amp;Y220,$D$18:$D$2015,"&lt;"&amp;Y221))</f>
        <v/>
      </c>
      <c r="AA220" s="14" t="n"/>
      <c r="AB220" s="16" t="n"/>
      <c r="AC220" s="124">
        <f>IF(AB220="","",COUNTIFS($C$18:$C$2015,AB$13,$D$18:$D$2015,"&gt;="&amp;AB220,$D$18:$D$2015,"&lt;"&amp;AB221))</f>
        <v/>
      </c>
      <c r="AD220" s="14" t="n"/>
    </row>
    <row r="221">
      <c r="A221" s="58" t="n"/>
      <c r="B221" s="59" t="n"/>
      <c r="C221" s="59" t="n"/>
      <c r="E221" s="16" t="n"/>
      <c r="F221" s="13" t="n"/>
      <c r="G221" s="16" t="n"/>
      <c r="H221" s="124">
        <f>IF(G221="","",COUNTIFS($C$18:$C$2015,G$13,$D$18:$D$2015,"&gt;="&amp;G221,$D$18:$D$2015,"&lt;"&amp;G222))</f>
        <v/>
      </c>
      <c r="I221" s="14" t="n"/>
      <c r="J221" s="16" t="n"/>
      <c r="K221" s="124">
        <f>IF(J221="","",COUNTIFS($C$18:$C$2015,J$13,$D$18:$D$2015,"&gt;="&amp;J221,$D$18:$D$2015,"&lt;"&amp;J222))</f>
        <v/>
      </c>
      <c r="L221" s="14" t="n"/>
      <c r="M221" s="16" t="n"/>
      <c r="N221" s="124">
        <f>IF(M221="","",COUNTIFS($C$18:$C$2015,M$13,$D$18:$D$2015,"&gt;="&amp;M221,$D$18:$D$2015,"&lt;"&amp;M222))</f>
        <v/>
      </c>
      <c r="O221" s="14" t="n"/>
      <c r="P221" s="16" t="n"/>
      <c r="Q221" s="124">
        <f>IF(P221="","",COUNTIFS($C$18:$C$2015,P$13,$D$18:$D$2015,"&gt;="&amp;P221,$D$18:$D$2015,"&lt;"&amp;P222))</f>
        <v/>
      </c>
      <c r="R221" s="14" t="n"/>
      <c r="S221" s="16" t="n"/>
      <c r="T221" s="124">
        <f>IF(S221="","",COUNTIFS($C$18:$C$2015,S$13,$D$18:$D$2015,"&gt;="&amp;S221,$D$18:$D$2015,"&lt;"&amp;S222))</f>
        <v/>
      </c>
      <c r="U221" s="14" t="n"/>
      <c r="V221" s="16" t="n"/>
      <c r="W221" s="124">
        <f>IF(V221="","",COUNTIFS($C$18:$C$2015,V$13,$D$18:$D$2015,"&gt;="&amp;V221,$D$18:$D$2015,"&lt;"&amp;V222))</f>
        <v/>
      </c>
      <c r="X221" s="14" t="n"/>
      <c r="Y221" s="16" t="n"/>
      <c r="Z221" s="124">
        <f>IF(Y221="","",COUNTIFS($C$18:$C$2015,Y$13,$D$18:$D$2015,"&gt;="&amp;Y221,$D$18:$D$2015,"&lt;"&amp;Y222))</f>
        <v/>
      </c>
      <c r="AA221" s="14" t="n"/>
      <c r="AB221" s="16" t="n"/>
      <c r="AC221" s="124">
        <f>IF(AB221="","",COUNTIFS($C$18:$C$2015,AB$13,$D$18:$D$2015,"&gt;="&amp;AB221,$D$18:$D$2015,"&lt;"&amp;AB222))</f>
        <v/>
      </c>
      <c r="AD221" s="14" t="n"/>
    </row>
    <row r="222">
      <c r="A222" s="56" t="n"/>
      <c r="B222" s="59" t="n"/>
      <c r="C222" s="59" t="n"/>
      <c r="E222" s="16" t="n"/>
      <c r="F222" s="13" t="n"/>
      <c r="G222" s="16" t="n"/>
      <c r="H222" s="124">
        <f>IF(G222="","",COUNTIFS($C$18:$C$2015,G$13,$D$18:$D$2015,"&gt;="&amp;G222,$D$18:$D$2015,"&lt;"&amp;G223))</f>
        <v/>
      </c>
      <c r="I222" s="14" t="n"/>
      <c r="J222" s="16" t="n"/>
      <c r="K222" s="124">
        <f>IF(J222="","",COUNTIFS($C$18:$C$2015,J$13,$D$18:$D$2015,"&gt;="&amp;J222,$D$18:$D$2015,"&lt;"&amp;J223))</f>
        <v/>
      </c>
      <c r="L222" s="14" t="n"/>
      <c r="M222" s="16" t="n"/>
      <c r="N222" s="124">
        <f>IF(M222="","",COUNTIFS($C$18:$C$2015,M$13,$D$18:$D$2015,"&gt;="&amp;M222,$D$18:$D$2015,"&lt;"&amp;M223))</f>
        <v/>
      </c>
      <c r="O222" s="14" t="n"/>
      <c r="P222" s="16" t="n"/>
      <c r="Q222" s="124">
        <f>IF(P222="","",COUNTIFS($C$18:$C$2015,P$13,$D$18:$D$2015,"&gt;="&amp;P222,$D$18:$D$2015,"&lt;"&amp;P223))</f>
        <v/>
      </c>
      <c r="R222" s="14" t="n"/>
      <c r="S222" s="16" t="n"/>
      <c r="T222" s="124">
        <f>IF(S222="","",COUNTIFS($C$18:$C$2015,S$13,$D$18:$D$2015,"&gt;="&amp;S222,$D$18:$D$2015,"&lt;"&amp;S223))</f>
        <v/>
      </c>
      <c r="U222" s="14" t="n"/>
      <c r="V222" s="16" t="n"/>
      <c r="W222" s="124">
        <f>IF(V222="","",COUNTIFS($C$18:$C$2015,V$13,$D$18:$D$2015,"&gt;="&amp;V222,$D$18:$D$2015,"&lt;"&amp;V223))</f>
        <v/>
      </c>
      <c r="X222" s="14" t="n"/>
      <c r="Y222" s="16" t="n"/>
      <c r="Z222" s="124">
        <f>IF(Y222="","",COUNTIFS($C$18:$C$2015,Y$13,$D$18:$D$2015,"&gt;="&amp;Y222,$D$18:$D$2015,"&lt;"&amp;Y223))</f>
        <v/>
      </c>
      <c r="AA222" s="14" t="n"/>
      <c r="AB222" s="16" t="n"/>
      <c r="AC222" s="124">
        <f>IF(AB222="","",COUNTIFS($C$18:$C$2015,AB$13,$D$18:$D$2015,"&gt;="&amp;AB222,$D$18:$D$2015,"&lt;"&amp;AB223))</f>
        <v/>
      </c>
      <c r="AD222" s="14" t="n"/>
    </row>
    <row r="223">
      <c r="A223" s="58" t="n"/>
      <c r="B223" s="59" t="n"/>
      <c r="C223" s="59" t="n"/>
      <c r="E223" s="16" t="n"/>
      <c r="F223" s="13" t="n"/>
      <c r="G223" s="16" t="n"/>
      <c r="H223" s="124">
        <f>IF(G223="","",COUNTIFS($C$18:$C$2015,G$13,$D$18:$D$2015,"&gt;="&amp;G223,$D$18:$D$2015,"&lt;"&amp;G224))</f>
        <v/>
      </c>
      <c r="I223" s="14" t="n"/>
      <c r="J223" s="16" t="n"/>
      <c r="K223" s="124">
        <f>IF(J223="","",COUNTIFS($C$18:$C$2015,J$13,$D$18:$D$2015,"&gt;="&amp;J223,$D$18:$D$2015,"&lt;"&amp;J224))</f>
        <v/>
      </c>
      <c r="L223" s="14" t="n"/>
      <c r="M223" s="16" t="n"/>
      <c r="N223" s="124">
        <f>IF(M223="","",COUNTIFS($C$18:$C$2015,M$13,$D$18:$D$2015,"&gt;="&amp;M223,$D$18:$D$2015,"&lt;"&amp;M224))</f>
        <v/>
      </c>
      <c r="O223" s="14" t="n"/>
      <c r="P223" s="16" t="n"/>
      <c r="Q223" s="124">
        <f>IF(P223="","",COUNTIFS($C$18:$C$2015,P$13,$D$18:$D$2015,"&gt;="&amp;P223,$D$18:$D$2015,"&lt;"&amp;P224))</f>
        <v/>
      </c>
      <c r="R223" s="14" t="n"/>
      <c r="S223" s="16" t="n"/>
      <c r="T223" s="124">
        <f>IF(S223="","",COUNTIFS($C$18:$C$2015,S$13,$D$18:$D$2015,"&gt;="&amp;S223,$D$18:$D$2015,"&lt;"&amp;S224))</f>
        <v/>
      </c>
      <c r="U223" s="14" t="n"/>
      <c r="V223" s="16" t="n"/>
      <c r="W223" s="124">
        <f>IF(V223="","",COUNTIFS($C$18:$C$2015,V$13,$D$18:$D$2015,"&gt;="&amp;V223,$D$18:$D$2015,"&lt;"&amp;V224))</f>
        <v/>
      </c>
      <c r="X223" s="14" t="n"/>
      <c r="Y223" s="16" t="n"/>
      <c r="Z223" s="124">
        <f>IF(Y223="","",COUNTIFS($C$18:$C$2015,Y$13,$D$18:$D$2015,"&gt;="&amp;Y223,$D$18:$D$2015,"&lt;"&amp;Y224))</f>
        <v/>
      </c>
      <c r="AA223" s="14" t="n"/>
      <c r="AB223" s="16" t="n"/>
      <c r="AC223" s="124">
        <f>IF(AB223="","",COUNTIFS($C$18:$C$2015,AB$13,$D$18:$D$2015,"&gt;="&amp;AB223,$D$18:$D$2015,"&lt;"&amp;AB224))</f>
        <v/>
      </c>
      <c r="AD223" s="14" t="n"/>
    </row>
    <row r="224">
      <c r="A224" s="56" t="n"/>
      <c r="B224" s="59" t="n"/>
      <c r="C224" s="59" t="n"/>
      <c r="E224" s="16" t="n"/>
      <c r="F224" s="13" t="n"/>
      <c r="G224" s="16" t="n"/>
      <c r="H224" s="124">
        <f>IF(G224="","",COUNTIFS($C$18:$C$2015,G$13,$D$18:$D$2015,"&gt;="&amp;G224,$D$18:$D$2015,"&lt;"&amp;G225))</f>
        <v/>
      </c>
      <c r="I224" s="14" t="n"/>
      <c r="J224" s="16" t="n"/>
      <c r="K224" s="124">
        <f>IF(J224="","",COUNTIFS($C$18:$C$2015,J$13,$D$18:$D$2015,"&gt;="&amp;J224,$D$18:$D$2015,"&lt;"&amp;J225))</f>
        <v/>
      </c>
      <c r="L224" s="14" t="n"/>
      <c r="M224" s="16" t="n"/>
      <c r="N224" s="124">
        <f>IF(M224="","",COUNTIFS($C$18:$C$2015,M$13,$D$18:$D$2015,"&gt;="&amp;M224,$D$18:$D$2015,"&lt;"&amp;M225))</f>
        <v/>
      </c>
      <c r="O224" s="14" t="n"/>
      <c r="P224" s="16" t="n"/>
      <c r="Q224" s="124">
        <f>IF(P224="","",COUNTIFS($C$18:$C$2015,P$13,$D$18:$D$2015,"&gt;="&amp;P224,$D$18:$D$2015,"&lt;"&amp;P225))</f>
        <v/>
      </c>
      <c r="R224" s="14" t="n"/>
      <c r="S224" s="16" t="n"/>
      <c r="T224" s="124">
        <f>IF(S224="","",COUNTIFS($C$18:$C$2015,S$13,$D$18:$D$2015,"&gt;="&amp;S224,$D$18:$D$2015,"&lt;"&amp;S225))</f>
        <v/>
      </c>
      <c r="U224" s="14" t="n"/>
      <c r="V224" s="16" t="n"/>
      <c r="W224" s="124">
        <f>IF(V224="","",COUNTIFS($C$18:$C$2015,V$13,$D$18:$D$2015,"&gt;="&amp;V224,$D$18:$D$2015,"&lt;"&amp;V225))</f>
        <v/>
      </c>
      <c r="X224" s="14" t="n"/>
      <c r="Y224" s="16" t="n"/>
      <c r="Z224" s="124">
        <f>IF(Y224="","",COUNTIFS($C$18:$C$2015,Y$13,$D$18:$D$2015,"&gt;="&amp;Y224,$D$18:$D$2015,"&lt;"&amp;Y225))</f>
        <v/>
      </c>
      <c r="AA224" s="14" t="n"/>
      <c r="AB224" s="16" t="n"/>
      <c r="AC224" s="124">
        <f>IF(AB224="","",COUNTIFS($C$18:$C$2015,AB$13,$D$18:$D$2015,"&gt;="&amp;AB224,$D$18:$D$2015,"&lt;"&amp;AB225))</f>
        <v/>
      </c>
      <c r="AD224" s="14" t="n"/>
    </row>
    <row r="225">
      <c r="A225" s="58" t="n"/>
      <c r="B225" s="59" t="n"/>
      <c r="C225" s="59" t="n"/>
      <c r="E225" s="16" t="n"/>
      <c r="F225" s="13" t="n"/>
      <c r="G225" s="16" t="n"/>
      <c r="H225" s="124">
        <f>IF(G225="","",COUNTIFS($C$18:$C$2015,G$13,$D$18:$D$2015,"&gt;="&amp;G225,$D$18:$D$2015,"&lt;"&amp;G226))</f>
        <v/>
      </c>
      <c r="I225" s="14" t="n"/>
      <c r="J225" s="16" t="n"/>
      <c r="K225" s="124">
        <f>IF(J225="","",COUNTIFS($C$18:$C$2015,J$13,$D$18:$D$2015,"&gt;="&amp;J225,$D$18:$D$2015,"&lt;"&amp;J226))</f>
        <v/>
      </c>
      <c r="L225" s="14" t="n"/>
      <c r="M225" s="16" t="n"/>
      <c r="N225" s="124">
        <f>IF(M225="","",COUNTIFS($C$18:$C$2015,M$13,$D$18:$D$2015,"&gt;="&amp;M225,$D$18:$D$2015,"&lt;"&amp;M226))</f>
        <v/>
      </c>
      <c r="O225" s="14" t="n"/>
      <c r="P225" s="16" t="n"/>
      <c r="Q225" s="124">
        <f>IF(P225="","",COUNTIFS($C$18:$C$2015,P$13,$D$18:$D$2015,"&gt;="&amp;P225,$D$18:$D$2015,"&lt;"&amp;P226))</f>
        <v/>
      </c>
      <c r="R225" s="14" t="n"/>
      <c r="S225" s="16" t="n"/>
      <c r="T225" s="124">
        <f>IF(S225="","",COUNTIFS($C$18:$C$2015,S$13,$D$18:$D$2015,"&gt;="&amp;S225,$D$18:$D$2015,"&lt;"&amp;S226))</f>
        <v/>
      </c>
      <c r="U225" s="14" t="n"/>
      <c r="V225" s="16" t="n"/>
      <c r="W225" s="124">
        <f>IF(V225="","",COUNTIFS($C$18:$C$2015,V$13,$D$18:$D$2015,"&gt;="&amp;V225,$D$18:$D$2015,"&lt;"&amp;V226))</f>
        <v/>
      </c>
      <c r="X225" s="14" t="n"/>
      <c r="Y225" s="16" t="n"/>
      <c r="Z225" s="124">
        <f>IF(Y225="","",COUNTIFS($C$18:$C$2015,Y$13,$D$18:$D$2015,"&gt;="&amp;Y225,$D$18:$D$2015,"&lt;"&amp;Y226))</f>
        <v/>
      </c>
      <c r="AA225" s="14" t="n"/>
      <c r="AB225" s="16" t="n"/>
      <c r="AC225" s="124">
        <f>IF(AB225="","",COUNTIFS($C$18:$C$2015,AB$13,$D$18:$D$2015,"&gt;="&amp;AB225,$D$18:$D$2015,"&lt;"&amp;AB226))</f>
        <v/>
      </c>
      <c r="AD225" s="14" t="n"/>
    </row>
    <row r="226">
      <c r="A226" s="56" t="n"/>
      <c r="B226" s="59" t="n"/>
      <c r="C226" s="59" t="n"/>
      <c r="E226" s="16" t="n"/>
      <c r="F226" s="13" t="n"/>
      <c r="G226" s="16" t="n"/>
      <c r="H226" s="124">
        <f>IF(G226="","",COUNTIFS($C$18:$C$2015,G$13,$D$18:$D$2015,"&gt;="&amp;G226,$D$18:$D$2015,"&lt;"&amp;G227))</f>
        <v/>
      </c>
      <c r="I226" s="14" t="n"/>
      <c r="J226" s="16" t="n"/>
      <c r="K226" s="124">
        <f>IF(J226="","",COUNTIFS($C$18:$C$2015,J$13,$D$18:$D$2015,"&gt;="&amp;J226,$D$18:$D$2015,"&lt;"&amp;J227))</f>
        <v/>
      </c>
      <c r="L226" s="14" t="n"/>
      <c r="M226" s="16" t="n"/>
      <c r="N226" s="124">
        <f>IF(M226="","",COUNTIFS($C$18:$C$2015,M$13,$D$18:$D$2015,"&gt;="&amp;M226,$D$18:$D$2015,"&lt;"&amp;M227))</f>
        <v/>
      </c>
      <c r="O226" s="14" t="n"/>
      <c r="P226" s="16" t="n"/>
      <c r="Q226" s="124">
        <f>IF(P226="","",COUNTIFS($C$18:$C$2015,P$13,$D$18:$D$2015,"&gt;="&amp;P226,$D$18:$D$2015,"&lt;"&amp;P227))</f>
        <v/>
      </c>
      <c r="R226" s="14" t="n"/>
      <c r="S226" s="16" t="n"/>
      <c r="T226" s="124">
        <f>IF(S226="","",COUNTIFS($C$18:$C$2015,S$13,$D$18:$D$2015,"&gt;="&amp;S226,$D$18:$D$2015,"&lt;"&amp;S227))</f>
        <v/>
      </c>
      <c r="U226" s="14" t="n"/>
      <c r="V226" s="16" t="n"/>
      <c r="W226" s="124">
        <f>IF(V226="","",COUNTIFS($C$18:$C$2015,V$13,$D$18:$D$2015,"&gt;="&amp;V226,$D$18:$D$2015,"&lt;"&amp;V227))</f>
        <v/>
      </c>
      <c r="X226" s="14" t="n"/>
      <c r="Y226" s="16" t="n"/>
      <c r="Z226" s="124">
        <f>IF(Y226="","",COUNTIFS($C$18:$C$2015,Y$13,$D$18:$D$2015,"&gt;="&amp;Y226,$D$18:$D$2015,"&lt;"&amp;Y227))</f>
        <v/>
      </c>
      <c r="AA226" s="14" t="n"/>
      <c r="AB226" s="16" t="n"/>
      <c r="AC226" s="124">
        <f>IF(AB226="","",COUNTIFS($C$18:$C$2015,AB$13,$D$18:$D$2015,"&gt;="&amp;AB226,$D$18:$D$2015,"&lt;"&amp;AB227))</f>
        <v/>
      </c>
      <c r="AD226" s="14" t="n"/>
    </row>
    <row r="227">
      <c r="A227" s="58" t="n"/>
      <c r="B227" s="59" t="n"/>
      <c r="C227" s="59" t="n"/>
      <c r="E227" s="16" t="n"/>
      <c r="F227" s="13" t="n"/>
      <c r="G227" s="16" t="n"/>
      <c r="H227" s="124">
        <f>IF(G227="","",COUNTIFS($C$18:$C$2015,G$13,$D$18:$D$2015,"&gt;="&amp;G227,$D$18:$D$2015,"&lt;"&amp;G228))</f>
        <v/>
      </c>
      <c r="I227" s="14" t="n"/>
      <c r="J227" s="16" t="n"/>
      <c r="K227" s="124">
        <f>IF(J227="","",COUNTIFS($C$18:$C$2015,J$13,$D$18:$D$2015,"&gt;="&amp;J227,$D$18:$D$2015,"&lt;"&amp;J228))</f>
        <v/>
      </c>
      <c r="L227" s="14" t="n"/>
      <c r="M227" s="16" t="n"/>
      <c r="N227" s="124">
        <f>IF(M227="","",COUNTIFS($C$18:$C$2015,M$13,$D$18:$D$2015,"&gt;="&amp;M227,$D$18:$D$2015,"&lt;"&amp;M228))</f>
        <v/>
      </c>
      <c r="O227" s="14" t="n"/>
      <c r="P227" s="16" t="n"/>
      <c r="Q227" s="124">
        <f>IF(P227="","",COUNTIFS($C$18:$C$2015,P$13,$D$18:$D$2015,"&gt;="&amp;P227,$D$18:$D$2015,"&lt;"&amp;P228))</f>
        <v/>
      </c>
      <c r="R227" s="14" t="n"/>
      <c r="S227" s="16" t="n"/>
      <c r="T227" s="124">
        <f>IF(S227="","",COUNTIFS($C$18:$C$2015,S$13,$D$18:$D$2015,"&gt;="&amp;S227,$D$18:$D$2015,"&lt;"&amp;S228))</f>
        <v/>
      </c>
      <c r="U227" s="14" t="n"/>
      <c r="V227" s="16" t="n"/>
      <c r="W227" s="124">
        <f>IF(V227="","",COUNTIFS($C$18:$C$2015,V$13,$D$18:$D$2015,"&gt;="&amp;V227,$D$18:$D$2015,"&lt;"&amp;V228))</f>
        <v/>
      </c>
      <c r="X227" s="14" t="n"/>
      <c r="Y227" s="16" t="n"/>
      <c r="Z227" s="124">
        <f>IF(Y227="","",COUNTIFS($C$18:$C$2015,Y$13,$D$18:$D$2015,"&gt;="&amp;Y227,$D$18:$D$2015,"&lt;"&amp;Y228))</f>
        <v/>
      </c>
      <c r="AA227" s="14" t="n"/>
      <c r="AB227" s="16" t="n"/>
      <c r="AC227" s="124">
        <f>IF(AB227="","",COUNTIFS($C$18:$C$2015,AB$13,$D$18:$D$2015,"&gt;="&amp;AB227,$D$18:$D$2015,"&lt;"&amp;AB228))</f>
        <v/>
      </c>
      <c r="AD227" s="14" t="n"/>
    </row>
    <row r="228">
      <c r="A228" s="56" t="n"/>
      <c r="B228" s="59" t="n"/>
      <c r="C228" s="59" t="n"/>
      <c r="E228" s="16" t="n"/>
      <c r="F228" s="13" t="n"/>
      <c r="G228" s="16" t="n"/>
      <c r="H228" s="124">
        <f>IF(G228="","",COUNTIFS($C$18:$C$2015,G$13,$D$18:$D$2015,"&gt;="&amp;G228,$D$18:$D$2015,"&lt;"&amp;G229))</f>
        <v/>
      </c>
      <c r="I228" s="14" t="n"/>
      <c r="J228" s="16" t="n"/>
      <c r="K228" s="124">
        <f>IF(J228="","",COUNTIFS($C$18:$C$2015,J$13,$D$18:$D$2015,"&gt;="&amp;J228,$D$18:$D$2015,"&lt;"&amp;J229))</f>
        <v/>
      </c>
      <c r="L228" s="14" t="n"/>
      <c r="M228" s="16" t="n"/>
      <c r="N228" s="124">
        <f>IF(M228="","",COUNTIFS($C$18:$C$2015,M$13,$D$18:$D$2015,"&gt;="&amp;M228,$D$18:$D$2015,"&lt;"&amp;M229))</f>
        <v/>
      </c>
      <c r="O228" s="14" t="n"/>
      <c r="P228" s="16" t="n"/>
      <c r="Q228" s="124">
        <f>IF(P228="","",COUNTIFS($C$18:$C$2015,P$13,$D$18:$D$2015,"&gt;="&amp;P228,$D$18:$D$2015,"&lt;"&amp;P229))</f>
        <v/>
      </c>
      <c r="R228" s="14" t="n"/>
      <c r="S228" s="16" t="n"/>
      <c r="T228" s="124">
        <f>IF(S228="","",COUNTIFS($C$18:$C$2015,S$13,$D$18:$D$2015,"&gt;="&amp;S228,$D$18:$D$2015,"&lt;"&amp;S229))</f>
        <v/>
      </c>
      <c r="U228" s="14" t="n"/>
      <c r="V228" s="16" t="n"/>
      <c r="W228" s="124">
        <f>IF(V228="","",COUNTIFS($C$18:$C$2015,V$13,$D$18:$D$2015,"&gt;="&amp;V228,$D$18:$D$2015,"&lt;"&amp;V229))</f>
        <v/>
      </c>
      <c r="X228" s="14" t="n"/>
      <c r="Y228" s="16" t="n"/>
      <c r="Z228" s="124">
        <f>IF(Y228="","",COUNTIFS($C$18:$C$2015,Y$13,$D$18:$D$2015,"&gt;="&amp;Y228,$D$18:$D$2015,"&lt;"&amp;Y229))</f>
        <v/>
      </c>
      <c r="AA228" s="14" t="n"/>
      <c r="AB228" s="16" t="n"/>
      <c r="AC228" s="124">
        <f>IF(AB228="","",COUNTIFS($C$18:$C$2015,AB$13,$D$18:$D$2015,"&gt;="&amp;AB228,$D$18:$D$2015,"&lt;"&amp;AB229))</f>
        <v/>
      </c>
      <c r="AD228" s="14" t="n"/>
    </row>
    <row r="229">
      <c r="A229" s="58" t="n"/>
      <c r="B229" s="59" t="n"/>
      <c r="C229" s="59" t="n"/>
      <c r="E229" s="16" t="n"/>
      <c r="F229" s="13" t="n"/>
      <c r="G229" s="16" t="n"/>
      <c r="H229" s="124">
        <f>IF(G229="","",COUNTIFS($C$18:$C$2015,G$13,$D$18:$D$2015,"&gt;="&amp;G229,$D$18:$D$2015,"&lt;"&amp;G230))</f>
        <v/>
      </c>
      <c r="I229" s="14" t="n"/>
      <c r="J229" s="16" t="n"/>
      <c r="K229" s="124">
        <f>IF(J229="","",COUNTIFS($C$18:$C$2015,J$13,$D$18:$D$2015,"&gt;="&amp;J229,$D$18:$D$2015,"&lt;"&amp;J230))</f>
        <v/>
      </c>
      <c r="L229" s="14" t="n"/>
      <c r="M229" s="16" t="n"/>
      <c r="N229" s="124">
        <f>IF(M229="","",COUNTIFS($C$18:$C$2015,M$13,$D$18:$D$2015,"&gt;="&amp;M229,$D$18:$D$2015,"&lt;"&amp;M230))</f>
        <v/>
      </c>
      <c r="O229" s="14" t="n"/>
      <c r="P229" s="16" t="n"/>
      <c r="Q229" s="124">
        <f>IF(P229="","",COUNTIFS($C$18:$C$2015,P$13,$D$18:$D$2015,"&gt;="&amp;P229,$D$18:$D$2015,"&lt;"&amp;P230))</f>
        <v/>
      </c>
      <c r="R229" s="14" t="n"/>
      <c r="S229" s="16" t="n"/>
      <c r="T229" s="124">
        <f>IF(S229="","",COUNTIFS($C$18:$C$2015,S$13,$D$18:$D$2015,"&gt;="&amp;S229,$D$18:$D$2015,"&lt;"&amp;S230))</f>
        <v/>
      </c>
      <c r="U229" s="14" t="n"/>
      <c r="V229" s="16" t="n"/>
      <c r="W229" s="124">
        <f>IF(V229="","",COUNTIFS($C$18:$C$2015,V$13,$D$18:$D$2015,"&gt;="&amp;V229,$D$18:$D$2015,"&lt;"&amp;V230))</f>
        <v/>
      </c>
      <c r="X229" s="14" t="n"/>
      <c r="Y229" s="16" t="n"/>
      <c r="Z229" s="124">
        <f>IF(Y229="","",COUNTIFS($C$18:$C$2015,Y$13,$D$18:$D$2015,"&gt;="&amp;Y229,$D$18:$D$2015,"&lt;"&amp;Y230))</f>
        <v/>
      </c>
      <c r="AA229" s="14" t="n"/>
      <c r="AB229" s="16" t="n"/>
      <c r="AC229" s="124">
        <f>IF(AB229="","",COUNTIFS($C$18:$C$2015,AB$13,$D$18:$D$2015,"&gt;="&amp;AB229,$D$18:$D$2015,"&lt;"&amp;AB230))</f>
        <v/>
      </c>
      <c r="AD229" s="14" t="n"/>
    </row>
    <row r="230">
      <c r="A230" s="56" t="n"/>
      <c r="B230" s="59" t="n"/>
      <c r="C230" s="59" t="n"/>
      <c r="E230" s="16" t="n"/>
      <c r="F230" s="13" t="n"/>
      <c r="G230" s="16" t="n"/>
      <c r="H230" s="124">
        <f>IF(G230="","",COUNTIFS($C$18:$C$2015,G$13,$D$18:$D$2015,"&gt;="&amp;G230,$D$18:$D$2015,"&lt;"&amp;G231))</f>
        <v/>
      </c>
      <c r="I230" s="14" t="n"/>
      <c r="J230" s="16" t="n"/>
      <c r="K230" s="124">
        <f>IF(J230="","",COUNTIFS($C$18:$C$2015,J$13,$D$18:$D$2015,"&gt;="&amp;J230,$D$18:$D$2015,"&lt;"&amp;J231))</f>
        <v/>
      </c>
      <c r="L230" s="14" t="n"/>
      <c r="M230" s="16" t="n"/>
      <c r="N230" s="124">
        <f>IF(M230="","",COUNTIFS($C$18:$C$2015,M$13,$D$18:$D$2015,"&gt;="&amp;M230,$D$18:$D$2015,"&lt;"&amp;M231))</f>
        <v/>
      </c>
      <c r="O230" s="14" t="n"/>
      <c r="P230" s="16" t="n"/>
      <c r="Q230" s="124">
        <f>IF(P230="","",COUNTIFS($C$18:$C$2015,P$13,$D$18:$D$2015,"&gt;="&amp;P230,$D$18:$D$2015,"&lt;"&amp;P231))</f>
        <v/>
      </c>
      <c r="R230" s="14" t="n"/>
      <c r="S230" s="16" t="n"/>
      <c r="T230" s="124">
        <f>IF(S230="","",COUNTIFS($C$18:$C$2015,S$13,$D$18:$D$2015,"&gt;="&amp;S230,$D$18:$D$2015,"&lt;"&amp;S231))</f>
        <v/>
      </c>
      <c r="U230" s="14" t="n"/>
      <c r="V230" s="16" t="n"/>
      <c r="W230" s="124">
        <f>IF(V230="","",COUNTIFS($C$18:$C$2015,V$13,$D$18:$D$2015,"&gt;="&amp;V230,$D$18:$D$2015,"&lt;"&amp;V231))</f>
        <v/>
      </c>
      <c r="X230" s="14" t="n"/>
      <c r="Y230" s="16" t="n"/>
      <c r="Z230" s="124">
        <f>IF(Y230="","",COUNTIFS($C$18:$C$2015,Y$13,$D$18:$D$2015,"&gt;="&amp;Y230,$D$18:$D$2015,"&lt;"&amp;Y231))</f>
        <v/>
      </c>
      <c r="AA230" s="14" t="n"/>
      <c r="AB230" s="16" t="n"/>
      <c r="AC230" s="124">
        <f>IF(AB230="","",COUNTIFS($C$18:$C$2015,AB$13,$D$18:$D$2015,"&gt;="&amp;AB230,$D$18:$D$2015,"&lt;"&amp;AB231))</f>
        <v/>
      </c>
      <c r="AD230" s="14" t="n"/>
    </row>
    <row r="231">
      <c r="A231" s="58" t="n"/>
      <c r="B231" s="59" t="n"/>
      <c r="C231" s="59" t="n"/>
      <c r="E231" s="16" t="n"/>
      <c r="F231" s="13" t="n"/>
      <c r="G231" s="16" t="n"/>
      <c r="H231" s="124">
        <f>IF(G231="","",COUNTIFS($C$18:$C$2015,G$13,$D$18:$D$2015,"&gt;="&amp;G231,$D$18:$D$2015,"&lt;"&amp;G232))</f>
        <v/>
      </c>
      <c r="I231" s="14" t="n"/>
      <c r="J231" s="16" t="n"/>
      <c r="K231" s="124">
        <f>IF(J231="","",COUNTIFS($C$18:$C$2015,J$13,$D$18:$D$2015,"&gt;="&amp;J231,$D$18:$D$2015,"&lt;"&amp;J232))</f>
        <v/>
      </c>
      <c r="L231" s="14" t="n"/>
      <c r="M231" s="16" t="n"/>
      <c r="N231" s="124">
        <f>IF(M231="","",COUNTIFS($C$18:$C$2015,M$13,$D$18:$D$2015,"&gt;="&amp;M231,$D$18:$D$2015,"&lt;"&amp;M232))</f>
        <v/>
      </c>
      <c r="O231" s="14" t="n"/>
      <c r="P231" s="16" t="n"/>
      <c r="Q231" s="124">
        <f>IF(P231="","",COUNTIFS($C$18:$C$2015,P$13,$D$18:$D$2015,"&gt;="&amp;P231,$D$18:$D$2015,"&lt;"&amp;P232))</f>
        <v/>
      </c>
      <c r="R231" s="14" t="n"/>
      <c r="S231" s="16" t="n"/>
      <c r="T231" s="124">
        <f>IF(S231="","",COUNTIFS($C$18:$C$2015,S$13,$D$18:$D$2015,"&gt;="&amp;S231,$D$18:$D$2015,"&lt;"&amp;S232))</f>
        <v/>
      </c>
      <c r="U231" s="14" t="n"/>
      <c r="V231" s="16" t="n"/>
      <c r="W231" s="124">
        <f>IF(V231="","",COUNTIFS($C$18:$C$2015,V$13,$D$18:$D$2015,"&gt;="&amp;V231,$D$18:$D$2015,"&lt;"&amp;V232))</f>
        <v/>
      </c>
      <c r="X231" s="14" t="n"/>
      <c r="Y231" s="16" t="n"/>
      <c r="Z231" s="124">
        <f>IF(Y231="","",COUNTIFS($C$18:$C$2015,Y$13,$D$18:$D$2015,"&gt;="&amp;Y231,$D$18:$D$2015,"&lt;"&amp;Y232))</f>
        <v/>
      </c>
      <c r="AA231" s="14" t="n"/>
      <c r="AB231" s="16" t="n"/>
      <c r="AC231" s="124">
        <f>IF(AB231="","",COUNTIFS($C$18:$C$2015,AB$13,$D$18:$D$2015,"&gt;="&amp;AB231,$D$18:$D$2015,"&lt;"&amp;AB232))</f>
        <v/>
      </c>
      <c r="AD231" s="14" t="n"/>
    </row>
    <row r="232">
      <c r="A232" s="56" t="n"/>
      <c r="B232" s="59" t="n"/>
      <c r="C232" s="59" t="n"/>
      <c r="E232" s="16" t="n"/>
      <c r="F232" s="13" t="n"/>
      <c r="G232" s="16" t="n"/>
      <c r="H232" s="124">
        <f>IF(G232="","",COUNTIFS($C$18:$C$2015,G$13,$D$18:$D$2015,"&gt;="&amp;G232,$D$18:$D$2015,"&lt;"&amp;G233))</f>
        <v/>
      </c>
      <c r="I232" s="14" t="n"/>
      <c r="J232" s="16" t="n"/>
      <c r="K232" s="124">
        <f>IF(J232="","",COUNTIFS($C$18:$C$2015,J$13,$D$18:$D$2015,"&gt;="&amp;J232,$D$18:$D$2015,"&lt;"&amp;J233))</f>
        <v/>
      </c>
      <c r="L232" s="14" t="n"/>
      <c r="M232" s="16" t="n"/>
      <c r="N232" s="124">
        <f>IF(M232="","",COUNTIFS($C$18:$C$2015,M$13,$D$18:$D$2015,"&gt;="&amp;M232,$D$18:$D$2015,"&lt;"&amp;M233))</f>
        <v/>
      </c>
      <c r="O232" s="14" t="n"/>
      <c r="P232" s="16" t="n"/>
      <c r="Q232" s="124">
        <f>IF(P232="","",COUNTIFS($C$18:$C$2015,P$13,$D$18:$D$2015,"&gt;="&amp;P232,$D$18:$D$2015,"&lt;"&amp;P233))</f>
        <v/>
      </c>
      <c r="R232" s="14" t="n"/>
      <c r="S232" s="16" t="n"/>
      <c r="T232" s="124">
        <f>IF(S232="","",COUNTIFS($C$18:$C$2015,S$13,$D$18:$D$2015,"&gt;="&amp;S232,$D$18:$D$2015,"&lt;"&amp;S233))</f>
        <v/>
      </c>
      <c r="U232" s="14" t="n"/>
      <c r="V232" s="16" t="n"/>
      <c r="W232" s="124">
        <f>IF(V232="","",COUNTIFS($C$18:$C$2015,V$13,$D$18:$D$2015,"&gt;="&amp;V232,$D$18:$D$2015,"&lt;"&amp;V233))</f>
        <v/>
      </c>
      <c r="X232" s="14" t="n"/>
      <c r="Y232" s="16" t="n"/>
      <c r="Z232" s="124">
        <f>IF(Y232="","",COUNTIFS($C$18:$C$2015,Y$13,$D$18:$D$2015,"&gt;="&amp;Y232,$D$18:$D$2015,"&lt;"&amp;Y233))</f>
        <v/>
      </c>
      <c r="AA232" s="14" t="n"/>
      <c r="AB232" s="16" t="n"/>
      <c r="AC232" s="124">
        <f>IF(AB232="","",COUNTIFS($C$18:$C$2015,AB$13,$D$18:$D$2015,"&gt;="&amp;AB232,$D$18:$D$2015,"&lt;"&amp;AB233))</f>
        <v/>
      </c>
      <c r="AD232" s="14" t="n"/>
    </row>
    <row r="233">
      <c r="A233" s="58" t="n"/>
      <c r="B233" s="59" t="n"/>
      <c r="C233" s="59" t="n"/>
      <c r="E233" s="16" t="n"/>
      <c r="F233" s="13" t="n"/>
      <c r="G233" s="16" t="n"/>
      <c r="H233" s="124">
        <f>IF(G233="","",COUNTIFS($C$18:$C$2015,G$13,$D$18:$D$2015,"&gt;="&amp;G233,$D$18:$D$2015,"&lt;"&amp;G234))</f>
        <v/>
      </c>
      <c r="I233" s="14" t="n"/>
      <c r="J233" s="16" t="n"/>
      <c r="K233" s="124">
        <f>IF(J233="","",COUNTIFS($C$18:$C$2015,J$13,$D$18:$D$2015,"&gt;="&amp;J233,$D$18:$D$2015,"&lt;"&amp;J234))</f>
        <v/>
      </c>
      <c r="L233" s="14" t="n"/>
      <c r="M233" s="16" t="n"/>
      <c r="N233" s="124">
        <f>IF(M233="","",COUNTIFS($C$18:$C$2015,M$13,$D$18:$D$2015,"&gt;="&amp;M233,$D$18:$D$2015,"&lt;"&amp;M234))</f>
        <v/>
      </c>
      <c r="O233" s="14" t="n"/>
      <c r="P233" s="16" t="n"/>
      <c r="Q233" s="124">
        <f>IF(P233="","",COUNTIFS($C$18:$C$2015,P$13,$D$18:$D$2015,"&gt;="&amp;P233,$D$18:$D$2015,"&lt;"&amp;P234))</f>
        <v/>
      </c>
      <c r="R233" s="14" t="n"/>
      <c r="S233" s="16" t="n"/>
      <c r="T233" s="124">
        <f>IF(S233="","",COUNTIFS($C$18:$C$2015,S$13,$D$18:$D$2015,"&gt;="&amp;S233,$D$18:$D$2015,"&lt;"&amp;S234))</f>
        <v/>
      </c>
      <c r="U233" s="14" t="n"/>
      <c r="V233" s="16" t="n"/>
      <c r="W233" s="124">
        <f>IF(V233="","",COUNTIFS($C$18:$C$2015,V$13,$D$18:$D$2015,"&gt;="&amp;V233,$D$18:$D$2015,"&lt;"&amp;V234))</f>
        <v/>
      </c>
      <c r="X233" s="14" t="n"/>
      <c r="Y233" s="16" t="n"/>
      <c r="Z233" s="124">
        <f>IF(Y233="","",COUNTIFS($C$18:$C$2015,Y$13,$D$18:$D$2015,"&gt;="&amp;Y233,$D$18:$D$2015,"&lt;"&amp;Y234))</f>
        <v/>
      </c>
      <c r="AA233" s="14" t="n"/>
      <c r="AB233" s="16" t="n"/>
      <c r="AC233" s="124">
        <f>IF(AB233="","",COUNTIFS($C$18:$C$2015,AB$13,$D$18:$D$2015,"&gt;="&amp;AB233,$D$18:$D$2015,"&lt;"&amp;AB234))</f>
        <v/>
      </c>
      <c r="AD233" s="14" t="n"/>
    </row>
    <row r="234">
      <c r="A234" s="56" t="n"/>
      <c r="B234" s="59" t="n"/>
      <c r="C234" s="59" t="n"/>
      <c r="E234" s="16" t="n"/>
      <c r="F234" s="13" t="n"/>
      <c r="G234" s="16" t="n"/>
      <c r="H234" s="124">
        <f>IF(G234="","",COUNTIFS($C$18:$C$2015,G$13,$D$18:$D$2015,"&gt;="&amp;G234,$D$18:$D$2015,"&lt;"&amp;G235))</f>
        <v/>
      </c>
      <c r="I234" s="14" t="n"/>
      <c r="J234" s="16" t="n"/>
      <c r="K234" s="124">
        <f>IF(J234="","",COUNTIFS($C$18:$C$2015,J$13,$D$18:$D$2015,"&gt;="&amp;J234,$D$18:$D$2015,"&lt;"&amp;J235))</f>
        <v/>
      </c>
      <c r="L234" s="14" t="n"/>
      <c r="M234" s="16" t="n"/>
      <c r="N234" s="124">
        <f>IF(M234="","",COUNTIFS($C$18:$C$2015,M$13,$D$18:$D$2015,"&gt;="&amp;M234,$D$18:$D$2015,"&lt;"&amp;M235))</f>
        <v/>
      </c>
      <c r="O234" s="14" t="n"/>
      <c r="P234" s="16" t="n"/>
      <c r="Q234" s="124">
        <f>IF(P234="","",COUNTIFS($C$18:$C$2015,P$13,$D$18:$D$2015,"&gt;="&amp;P234,$D$18:$D$2015,"&lt;"&amp;P235))</f>
        <v/>
      </c>
      <c r="R234" s="14" t="n"/>
      <c r="S234" s="16" t="n"/>
      <c r="T234" s="124">
        <f>IF(S234="","",COUNTIFS($C$18:$C$2015,S$13,$D$18:$D$2015,"&gt;="&amp;S234,$D$18:$D$2015,"&lt;"&amp;S235))</f>
        <v/>
      </c>
      <c r="U234" s="14" t="n"/>
      <c r="V234" s="16" t="n"/>
      <c r="W234" s="124">
        <f>IF(V234="","",COUNTIFS($C$18:$C$2015,V$13,$D$18:$D$2015,"&gt;="&amp;V234,$D$18:$D$2015,"&lt;"&amp;V235))</f>
        <v/>
      </c>
      <c r="X234" s="14" t="n"/>
      <c r="Y234" s="16" t="n"/>
      <c r="Z234" s="124">
        <f>IF(Y234="","",COUNTIFS($C$18:$C$2015,Y$13,$D$18:$D$2015,"&gt;="&amp;Y234,$D$18:$D$2015,"&lt;"&amp;Y235))</f>
        <v/>
      </c>
      <c r="AA234" s="14" t="n"/>
      <c r="AB234" s="16" t="n"/>
      <c r="AC234" s="124">
        <f>IF(AB234="","",COUNTIFS($C$18:$C$2015,AB$13,$D$18:$D$2015,"&gt;="&amp;AB234,$D$18:$D$2015,"&lt;"&amp;AB235))</f>
        <v/>
      </c>
      <c r="AD234" s="14" t="n"/>
    </row>
    <row r="235">
      <c r="A235" s="58" t="n"/>
      <c r="B235" s="59" t="n"/>
      <c r="C235" s="59" t="n"/>
      <c r="E235" s="16" t="n"/>
      <c r="F235" s="13" t="n"/>
      <c r="G235" s="16" t="n"/>
      <c r="H235" s="124">
        <f>IF(G235="","",COUNTIFS($C$18:$C$2015,G$13,$D$18:$D$2015,"&gt;="&amp;G235,$D$18:$D$2015,"&lt;"&amp;G236))</f>
        <v/>
      </c>
      <c r="I235" s="14" t="n"/>
      <c r="J235" s="16" t="n"/>
      <c r="K235" s="124">
        <f>IF(J235="","",COUNTIFS($C$18:$C$2015,J$13,$D$18:$D$2015,"&gt;="&amp;J235,$D$18:$D$2015,"&lt;"&amp;J236))</f>
        <v/>
      </c>
      <c r="L235" s="14" t="n"/>
      <c r="M235" s="16" t="n"/>
      <c r="N235" s="124">
        <f>IF(M235="","",COUNTIFS($C$18:$C$2015,M$13,$D$18:$D$2015,"&gt;="&amp;M235,$D$18:$D$2015,"&lt;"&amp;M236))</f>
        <v/>
      </c>
      <c r="O235" s="14" t="n"/>
      <c r="P235" s="16" t="n"/>
      <c r="Q235" s="124">
        <f>IF(P235="","",COUNTIFS($C$18:$C$2015,P$13,$D$18:$D$2015,"&gt;="&amp;P235,$D$18:$D$2015,"&lt;"&amp;P236))</f>
        <v/>
      </c>
      <c r="R235" s="14" t="n"/>
      <c r="S235" s="16" t="n"/>
      <c r="T235" s="124">
        <f>IF(S235="","",COUNTIFS($C$18:$C$2015,S$13,$D$18:$D$2015,"&gt;="&amp;S235,$D$18:$D$2015,"&lt;"&amp;S236))</f>
        <v/>
      </c>
      <c r="U235" s="14" t="n"/>
      <c r="V235" s="16" t="n"/>
      <c r="W235" s="124">
        <f>IF(V235="","",COUNTIFS($C$18:$C$2015,V$13,$D$18:$D$2015,"&gt;="&amp;V235,$D$18:$D$2015,"&lt;"&amp;V236))</f>
        <v/>
      </c>
      <c r="X235" s="14" t="n"/>
      <c r="Y235" s="16" t="n"/>
      <c r="Z235" s="124">
        <f>IF(Y235="","",COUNTIFS($C$18:$C$2015,Y$13,$D$18:$D$2015,"&gt;="&amp;Y235,$D$18:$D$2015,"&lt;"&amp;Y236))</f>
        <v/>
      </c>
      <c r="AA235" s="14" t="n"/>
      <c r="AB235" s="16" t="n"/>
      <c r="AC235" s="124">
        <f>IF(AB235="","",COUNTIFS($C$18:$C$2015,AB$13,$D$18:$D$2015,"&gt;="&amp;AB235,$D$18:$D$2015,"&lt;"&amp;AB236))</f>
        <v/>
      </c>
      <c r="AD235" s="14" t="n"/>
    </row>
    <row r="236">
      <c r="A236" s="56" t="n"/>
      <c r="B236" s="59" t="n"/>
      <c r="C236" s="59" t="n"/>
      <c r="E236" s="16" t="n"/>
      <c r="F236" s="13" t="n"/>
      <c r="G236" s="16" t="n"/>
      <c r="H236" s="124">
        <f>IF(G236="","",COUNTIFS($C$18:$C$2015,G$13,$D$18:$D$2015,"&gt;="&amp;G236,$D$18:$D$2015,"&lt;"&amp;G237))</f>
        <v/>
      </c>
      <c r="I236" s="14" t="n"/>
      <c r="J236" s="16" t="n"/>
      <c r="K236" s="124">
        <f>IF(J236="","",COUNTIFS($C$18:$C$2015,J$13,$D$18:$D$2015,"&gt;="&amp;J236,$D$18:$D$2015,"&lt;"&amp;J237))</f>
        <v/>
      </c>
      <c r="L236" s="14" t="n"/>
      <c r="M236" s="16" t="n"/>
      <c r="N236" s="124">
        <f>IF(M236="","",COUNTIFS($C$18:$C$2015,M$13,$D$18:$D$2015,"&gt;="&amp;M236,$D$18:$D$2015,"&lt;"&amp;M237))</f>
        <v/>
      </c>
      <c r="O236" s="14" t="n"/>
      <c r="P236" s="16" t="n"/>
      <c r="Q236" s="124">
        <f>IF(P236="","",COUNTIFS($C$18:$C$2015,P$13,$D$18:$D$2015,"&gt;="&amp;P236,$D$18:$D$2015,"&lt;"&amp;P237))</f>
        <v/>
      </c>
      <c r="R236" s="14" t="n"/>
      <c r="S236" s="16" t="n"/>
      <c r="T236" s="124">
        <f>IF(S236="","",COUNTIFS($C$18:$C$2015,S$13,$D$18:$D$2015,"&gt;="&amp;S236,$D$18:$D$2015,"&lt;"&amp;S237))</f>
        <v/>
      </c>
      <c r="U236" s="14" t="n"/>
      <c r="V236" s="16" t="n"/>
      <c r="W236" s="124">
        <f>IF(V236="","",COUNTIFS($C$18:$C$2015,V$13,$D$18:$D$2015,"&gt;="&amp;V236,$D$18:$D$2015,"&lt;"&amp;V237))</f>
        <v/>
      </c>
      <c r="X236" s="14" t="n"/>
      <c r="Y236" s="16" t="n"/>
      <c r="Z236" s="124">
        <f>IF(Y236="","",COUNTIFS($C$18:$C$2015,Y$13,$D$18:$D$2015,"&gt;="&amp;Y236,$D$18:$D$2015,"&lt;"&amp;Y237))</f>
        <v/>
      </c>
      <c r="AA236" s="14" t="n"/>
      <c r="AB236" s="16" t="n"/>
      <c r="AC236" s="124">
        <f>IF(AB236="","",COUNTIFS($C$18:$C$2015,AB$13,$D$18:$D$2015,"&gt;="&amp;AB236,$D$18:$D$2015,"&lt;"&amp;AB237))</f>
        <v/>
      </c>
      <c r="AD236" s="14" t="n"/>
    </row>
    <row r="237">
      <c r="A237" s="58" t="n"/>
      <c r="B237" s="59" t="n"/>
      <c r="C237" s="59" t="n"/>
      <c r="E237" s="16" t="n"/>
      <c r="F237" s="13" t="n"/>
      <c r="G237" s="16" t="n"/>
      <c r="H237" s="124">
        <f>IF(G237="","",COUNTIFS($C$18:$C$2015,G$13,$D$18:$D$2015,"&gt;="&amp;G237,$D$18:$D$2015,"&lt;"&amp;G238))</f>
        <v/>
      </c>
      <c r="I237" s="14" t="n"/>
      <c r="J237" s="16" t="n"/>
      <c r="K237" s="124">
        <f>IF(J237="","",COUNTIFS($C$18:$C$2015,J$13,$D$18:$D$2015,"&gt;="&amp;J237,$D$18:$D$2015,"&lt;"&amp;J238))</f>
        <v/>
      </c>
      <c r="L237" s="14" t="n"/>
      <c r="M237" s="16" t="n"/>
      <c r="N237" s="124">
        <f>IF(M237="","",COUNTIFS($C$18:$C$2015,M$13,$D$18:$D$2015,"&gt;="&amp;M237,$D$18:$D$2015,"&lt;"&amp;M238))</f>
        <v/>
      </c>
      <c r="O237" s="14" t="n"/>
      <c r="P237" s="16" t="n"/>
      <c r="Q237" s="124">
        <f>IF(P237="","",COUNTIFS($C$18:$C$2015,P$13,$D$18:$D$2015,"&gt;="&amp;P237,$D$18:$D$2015,"&lt;"&amp;P238))</f>
        <v/>
      </c>
      <c r="R237" s="14" t="n"/>
      <c r="S237" s="16" t="n"/>
      <c r="T237" s="124">
        <f>IF(S237="","",COUNTIFS($C$18:$C$2015,S$13,$D$18:$D$2015,"&gt;="&amp;S237,$D$18:$D$2015,"&lt;"&amp;S238))</f>
        <v/>
      </c>
      <c r="U237" s="14" t="n"/>
      <c r="V237" s="16" t="n"/>
      <c r="W237" s="124">
        <f>IF(V237="","",COUNTIFS($C$18:$C$2015,V$13,$D$18:$D$2015,"&gt;="&amp;V237,$D$18:$D$2015,"&lt;"&amp;V238))</f>
        <v/>
      </c>
      <c r="X237" s="14" t="n"/>
      <c r="Y237" s="16" t="n"/>
      <c r="Z237" s="124">
        <f>IF(Y237="","",COUNTIFS($C$18:$C$2015,Y$13,$D$18:$D$2015,"&gt;="&amp;Y237,$D$18:$D$2015,"&lt;"&amp;Y238))</f>
        <v/>
      </c>
      <c r="AA237" s="14" t="n"/>
      <c r="AB237" s="16" t="n"/>
      <c r="AC237" s="124">
        <f>IF(AB237="","",COUNTIFS($C$18:$C$2015,AB$13,$D$18:$D$2015,"&gt;="&amp;AB237,$D$18:$D$2015,"&lt;"&amp;AB238))</f>
        <v/>
      </c>
      <c r="AD237" s="14" t="n"/>
    </row>
    <row r="238">
      <c r="A238" s="56" t="n"/>
      <c r="B238" s="59" t="n"/>
      <c r="C238" s="59" t="n"/>
      <c r="E238" s="16" t="n"/>
      <c r="F238" s="13" t="n"/>
      <c r="G238" s="16" t="n"/>
      <c r="H238" s="124">
        <f>IF(G238="","",COUNTIFS($C$18:$C$2015,G$13,$D$18:$D$2015,"&gt;="&amp;G238,$D$18:$D$2015,"&lt;"&amp;G239))</f>
        <v/>
      </c>
      <c r="I238" s="14" t="n"/>
      <c r="J238" s="16" t="n"/>
      <c r="K238" s="124">
        <f>IF(J238="","",COUNTIFS($C$18:$C$2015,J$13,$D$18:$D$2015,"&gt;="&amp;J238,$D$18:$D$2015,"&lt;"&amp;J239))</f>
        <v/>
      </c>
      <c r="L238" s="14" t="n"/>
      <c r="M238" s="16" t="n"/>
      <c r="N238" s="124">
        <f>IF(M238="","",COUNTIFS($C$18:$C$2015,M$13,$D$18:$D$2015,"&gt;="&amp;M238,$D$18:$D$2015,"&lt;"&amp;M239))</f>
        <v/>
      </c>
      <c r="O238" s="14" t="n"/>
      <c r="P238" s="16" t="n"/>
      <c r="Q238" s="124">
        <f>IF(P238="","",COUNTIFS($C$18:$C$2015,P$13,$D$18:$D$2015,"&gt;="&amp;P238,$D$18:$D$2015,"&lt;"&amp;P239))</f>
        <v/>
      </c>
      <c r="R238" s="14" t="n"/>
      <c r="S238" s="16" t="n"/>
      <c r="T238" s="124">
        <f>IF(S238="","",COUNTIFS($C$18:$C$2015,S$13,$D$18:$D$2015,"&gt;="&amp;S238,$D$18:$D$2015,"&lt;"&amp;S239))</f>
        <v/>
      </c>
      <c r="U238" s="14" t="n"/>
      <c r="V238" s="16" t="n"/>
      <c r="W238" s="124">
        <f>IF(V238="","",COUNTIFS($C$18:$C$2015,V$13,$D$18:$D$2015,"&gt;="&amp;V238,$D$18:$D$2015,"&lt;"&amp;V239))</f>
        <v/>
      </c>
      <c r="X238" s="14" t="n"/>
      <c r="Y238" s="16" t="n"/>
      <c r="Z238" s="124">
        <f>IF(Y238="","",COUNTIFS($C$18:$C$2015,Y$13,$D$18:$D$2015,"&gt;="&amp;Y238,$D$18:$D$2015,"&lt;"&amp;Y239))</f>
        <v/>
      </c>
      <c r="AA238" s="14" t="n"/>
      <c r="AB238" s="16" t="n"/>
      <c r="AC238" s="124">
        <f>IF(AB238="","",COUNTIFS($C$18:$C$2015,AB$13,$D$18:$D$2015,"&gt;="&amp;AB238,$D$18:$D$2015,"&lt;"&amp;AB239))</f>
        <v/>
      </c>
      <c r="AD238" s="14" t="n"/>
    </row>
    <row r="239">
      <c r="A239" s="58" t="n"/>
      <c r="B239" s="59" t="n"/>
      <c r="C239" s="59" t="n"/>
      <c r="E239" s="16" t="n"/>
      <c r="F239" s="13" t="n"/>
      <c r="G239" s="16" t="n"/>
      <c r="H239" s="124">
        <f>IF(G239="","",COUNTIFS($C$18:$C$2015,G$13,$D$18:$D$2015,"&gt;="&amp;G239,$D$18:$D$2015,"&lt;"&amp;G240))</f>
        <v/>
      </c>
      <c r="I239" s="14" t="n"/>
      <c r="J239" s="16" t="n"/>
      <c r="K239" s="124">
        <f>IF(J239="","",COUNTIFS($C$18:$C$2015,J$13,$D$18:$D$2015,"&gt;="&amp;J239,$D$18:$D$2015,"&lt;"&amp;J240))</f>
        <v/>
      </c>
      <c r="L239" s="14" t="n"/>
      <c r="M239" s="16" t="n"/>
      <c r="N239" s="124">
        <f>IF(M239="","",COUNTIFS($C$18:$C$2015,M$13,$D$18:$D$2015,"&gt;="&amp;M239,$D$18:$D$2015,"&lt;"&amp;M240))</f>
        <v/>
      </c>
      <c r="O239" s="14" t="n"/>
      <c r="P239" s="16" t="n"/>
      <c r="Q239" s="124">
        <f>IF(P239="","",COUNTIFS($C$18:$C$2015,P$13,$D$18:$D$2015,"&gt;="&amp;P239,$D$18:$D$2015,"&lt;"&amp;P240))</f>
        <v/>
      </c>
      <c r="R239" s="14" t="n"/>
      <c r="S239" s="16" t="n"/>
      <c r="T239" s="124">
        <f>IF(S239="","",COUNTIFS($C$18:$C$2015,S$13,$D$18:$D$2015,"&gt;="&amp;S239,$D$18:$D$2015,"&lt;"&amp;S240))</f>
        <v/>
      </c>
      <c r="U239" s="14" t="n"/>
      <c r="V239" s="16" t="n"/>
      <c r="W239" s="124">
        <f>IF(V239="","",COUNTIFS($C$18:$C$2015,V$13,$D$18:$D$2015,"&gt;="&amp;V239,$D$18:$D$2015,"&lt;"&amp;V240))</f>
        <v/>
      </c>
      <c r="X239" s="14" t="n"/>
      <c r="Y239" s="16" t="n"/>
      <c r="Z239" s="124">
        <f>IF(Y239="","",COUNTIFS($C$18:$C$2015,Y$13,$D$18:$D$2015,"&gt;="&amp;Y239,$D$18:$D$2015,"&lt;"&amp;Y240))</f>
        <v/>
      </c>
      <c r="AA239" s="14" t="n"/>
      <c r="AB239" s="16" t="n"/>
      <c r="AC239" s="124">
        <f>IF(AB239="","",COUNTIFS($C$18:$C$2015,AB$13,$D$18:$D$2015,"&gt;="&amp;AB239,$D$18:$D$2015,"&lt;"&amp;AB240))</f>
        <v/>
      </c>
      <c r="AD239" s="14" t="n"/>
    </row>
    <row r="240">
      <c r="A240" s="56" t="n"/>
      <c r="B240" s="59" t="n"/>
      <c r="C240" s="59" t="n"/>
      <c r="E240" s="16" t="n"/>
      <c r="F240" s="13" t="n"/>
      <c r="G240" s="16" t="n"/>
      <c r="H240" s="124">
        <f>IF(G240="","",COUNTIFS($C$18:$C$2015,G$13,$D$18:$D$2015,"&gt;="&amp;G240,$D$18:$D$2015,"&lt;"&amp;G241))</f>
        <v/>
      </c>
      <c r="I240" s="14" t="n"/>
      <c r="J240" s="16" t="n"/>
      <c r="K240" s="124">
        <f>IF(J240="","",COUNTIFS($C$18:$C$2015,J$13,$D$18:$D$2015,"&gt;="&amp;J240,$D$18:$D$2015,"&lt;"&amp;J241))</f>
        <v/>
      </c>
      <c r="L240" s="14" t="n"/>
      <c r="M240" s="16" t="n"/>
      <c r="N240" s="124">
        <f>IF(M240="","",COUNTIFS($C$18:$C$2015,M$13,$D$18:$D$2015,"&gt;="&amp;M240,$D$18:$D$2015,"&lt;"&amp;M241))</f>
        <v/>
      </c>
      <c r="O240" s="14" t="n"/>
      <c r="P240" s="16" t="n"/>
      <c r="Q240" s="124">
        <f>IF(P240="","",COUNTIFS($C$18:$C$2015,P$13,$D$18:$D$2015,"&gt;="&amp;P240,$D$18:$D$2015,"&lt;"&amp;P241))</f>
        <v/>
      </c>
      <c r="R240" s="14" t="n"/>
      <c r="S240" s="16" t="n"/>
      <c r="T240" s="124">
        <f>IF(S240="","",COUNTIFS($C$18:$C$2015,S$13,$D$18:$D$2015,"&gt;="&amp;S240,$D$18:$D$2015,"&lt;"&amp;S241))</f>
        <v/>
      </c>
      <c r="U240" s="14" t="n"/>
      <c r="V240" s="16" t="n"/>
      <c r="W240" s="124">
        <f>IF(V240="","",COUNTIFS($C$18:$C$2015,V$13,$D$18:$D$2015,"&gt;="&amp;V240,$D$18:$D$2015,"&lt;"&amp;V241))</f>
        <v/>
      </c>
      <c r="X240" s="14" t="n"/>
      <c r="Y240" s="16" t="n"/>
      <c r="Z240" s="124">
        <f>IF(Y240="","",COUNTIFS($C$18:$C$2015,Y$13,$D$18:$D$2015,"&gt;="&amp;Y240,$D$18:$D$2015,"&lt;"&amp;Y241))</f>
        <v/>
      </c>
      <c r="AA240" s="14" t="n"/>
      <c r="AB240" s="16" t="n"/>
      <c r="AC240" s="124">
        <f>IF(AB240="","",COUNTIFS($C$18:$C$2015,AB$13,$D$18:$D$2015,"&gt;="&amp;AB240,$D$18:$D$2015,"&lt;"&amp;AB241))</f>
        <v/>
      </c>
      <c r="AD240" s="14" t="n"/>
    </row>
    <row r="241">
      <c r="A241" s="58" t="n"/>
      <c r="B241" s="59" t="n"/>
      <c r="C241" s="59" t="n"/>
      <c r="E241" s="16" t="n"/>
      <c r="F241" s="13" t="n"/>
      <c r="G241" s="16" t="n"/>
      <c r="H241" s="124">
        <f>IF(G241="","",COUNTIFS($C$18:$C$2015,G$13,$D$18:$D$2015,"&gt;="&amp;G241,$D$18:$D$2015,"&lt;"&amp;G242))</f>
        <v/>
      </c>
      <c r="I241" s="14" t="n"/>
      <c r="J241" s="16" t="n"/>
      <c r="K241" s="124">
        <f>IF(J241="","",COUNTIFS($C$18:$C$2015,J$13,$D$18:$D$2015,"&gt;="&amp;J241,$D$18:$D$2015,"&lt;"&amp;J242))</f>
        <v/>
      </c>
      <c r="L241" s="14" t="n"/>
      <c r="M241" s="16" t="n"/>
      <c r="N241" s="124">
        <f>IF(M241="","",COUNTIFS($C$18:$C$2015,M$13,$D$18:$D$2015,"&gt;="&amp;M241,$D$18:$D$2015,"&lt;"&amp;M242))</f>
        <v/>
      </c>
      <c r="O241" s="14" t="n"/>
      <c r="P241" s="16" t="n"/>
      <c r="Q241" s="124">
        <f>IF(P241="","",COUNTIFS($C$18:$C$2015,P$13,$D$18:$D$2015,"&gt;="&amp;P241,$D$18:$D$2015,"&lt;"&amp;P242))</f>
        <v/>
      </c>
      <c r="R241" s="14" t="n"/>
      <c r="S241" s="16" t="n"/>
      <c r="T241" s="124">
        <f>IF(S241="","",COUNTIFS($C$18:$C$2015,S$13,$D$18:$D$2015,"&gt;="&amp;S241,$D$18:$D$2015,"&lt;"&amp;S242))</f>
        <v/>
      </c>
      <c r="U241" s="14" t="n"/>
      <c r="V241" s="16" t="n"/>
      <c r="W241" s="124">
        <f>IF(V241="","",COUNTIFS($C$18:$C$2015,V$13,$D$18:$D$2015,"&gt;="&amp;V241,$D$18:$D$2015,"&lt;"&amp;V242))</f>
        <v/>
      </c>
      <c r="X241" s="14" t="n"/>
      <c r="Y241" s="16" t="n"/>
      <c r="Z241" s="124">
        <f>IF(Y241="","",COUNTIFS($C$18:$C$2015,Y$13,$D$18:$D$2015,"&gt;="&amp;Y241,$D$18:$D$2015,"&lt;"&amp;Y242))</f>
        <v/>
      </c>
      <c r="AA241" s="14" t="n"/>
      <c r="AB241" s="16" t="n"/>
      <c r="AC241" s="124">
        <f>IF(AB241="","",COUNTIFS($C$18:$C$2015,AB$13,$D$18:$D$2015,"&gt;="&amp;AB241,$D$18:$D$2015,"&lt;"&amp;AB242))</f>
        <v/>
      </c>
      <c r="AD241" s="14" t="n"/>
    </row>
    <row r="242">
      <c r="A242" s="56" t="n"/>
      <c r="B242" s="59" t="n"/>
      <c r="C242" s="59" t="n"/>
      <c r="E242" s="16" t="n"/>
      <c r="F242" s="13" t="n"/>
      <c r="G242" s="16" t="n"/>
      <c r="H242" s="124">
        <f>IF(G242="","",COUNTIFS($C$18:$C$2015,G$13,$D$18:$D$2015,"&gt;="&amp;G242,$D$18:$D$2015,"&lt;"&amp;G243))</f>
        <v/>
      </c>
      <c r="I242" s="14" t="n"/>
      <c r="J242" s="16" t="n"/>
      <c r="K242" s="124">
        <f>IF(J242="","",COUNTIFS($C$18:$C$2015,J$13,$D$18:$D$2015,"&gt;="&amp;J242,$D$18:$D$2015,"&lt;"&amp;J243))</f>
        <v/>
      </c>
      <c r="L242" s="14" t="n"/>
      <c r="M242" s="16" t="n"/>
      <c r="N242" s="124">
        <f>IF(M242="","",COUNTIFS($C$18:$C$2015,M$13,$D$18:$D$2015,"&gt;="&amp;M242,$D$18:$D$2015,"&lt;"&amp;M243))</f>
        <v/>
      </c>
      <c r="O242" s="14" t="n"/>
      <c r="P242" s="16" t="n"/>
      <c r="Q242" s="124">
        <f>IF(P242="","",COUNTIFS($C$18:$C$2015,P$13,$D$18:$D$2015,"&gt;="&amp;P242,$D$18:$D$2015,"&lt;"&amp;P243))</f>
        <v/>
      </c>
      <c r="R242" s="14" t="n"/>
      <c r="S242" s="16" t="n"/>
      <c r="T242" s="124">
        <f>IF(S242="","",COUNTIFS($C$18:$C$2015,S$13,$D$18:$D$2015,"&gt;="&amp;S242,$D$18:$D$2015,"&lt;"&amp;S243))</f>
        <v/>
      </c>
      <c r="U242" s="14" t="n"/>
      <c r="V242" s="16" t="n"/>
      <c r="W242" s="124">
        <f>IF(V242="","",COUNTIFS($C$18:$C$2015,V$13,$D$18:$D$2015,"&gt;="&amp;V242,$D$18:$D$2015,"&lt;"&amp;V243))</f>
        <v/>
      </c>
      <c r="X242" s="14" t="n"/>
      <c r="Y242" s="16" t="n"/>
      <c r="Z242" s="124">
        <f>IF(Y242="","",COUNTIFS($C$18:$C$2015,Y$13,$D$18:$D$2015,"&gt;="&amp;Y242,$D$18:$D$2015,"&lt;"&amp;Y243))</f>
        <v/>
      </c>
      <c r="AA242" s="14" t="n"/>
      <c r="AB242" s="16" t="n"/>
      <c r="AC242" s="124">
        <f>IF(AB242="","",COUNTIFS($C$18:$C$2015,AB$13,$D$18:$D$2015,"&gt;="&amp;AB242,$D$18:$D$2015,"&lt;"&amp;AB243))</f>
        <v/>
      </c>
      <c r="AD242" s="14" t="n"/>
    </row>
    <row r="243">
      <c r="A243" s="58" t="n"/>
      <c r="B243" s="59" t="n"/>
      <c r="C243" s="59" t="n"/>
      <c r="E243" s="16" t="n"/>
      <c r="F243" s="13" t="n"/>
      <c r="G243" s="16" t="n"/>
      <c r="H243" s="124">
        <f>IF(G243="","",COUNTIFS($C$18:$C$2015,G$13,$D$18:$D$2015,"&gt;="&amp;G243,$D$18:$D$2015,"&lt;"&amp;G244))</f>
        <v/>
      </c>
      <c r="I243" s="14" t="n"/>
      <c r="J243" s="16" t="n"/>
      <c r="K243" s="124">
        <f>IF(J243="","",COUNTIFS($C$18:$C$2015,J$13,$D$18:$D$2015,"&gt;="&amp;J243,$D$18:$D$2015,"&lt;"&amp;J244))</f>
        <v/>
      </c>
      <c r="L243" s="14" t="n"/>
      <c r="M243" s="16" t="n"/>
      <c r="N243" s="124">
        <f>IF(M243="","",COUNTIFS($C$18:$C$2015,M$13,$D$18:$D$2015,"&gt;="&amp;M243,$D$18:$D$2015,"&lt;"&amp;M244))</f>
        <v/>
      </c>
      <c r="O243" s="14" t="n"/>
      <c r="P243" s="16" t="n"/>
      <c r="Q243" s="124">
        <f>IF(P243="","",COUNTIFS($C$18:$C$2015,P$13,$D$18:$D$2015,"&gt;="&amp;P243,$D$18:$D$2015,"&lt;"&amp;P244))</f>
        <v/>
      </c>
      <c r="R243" s="14" t="n"/>
      <c r="S243" s="16" t="n"/>
      <c r="T243" s="124">
        <f>IF(S243="","",COUNTIFS($C$18:$C$2015,S$13,$D$18:$D$2015,"&gt;="&amp;S243,$D$18:$D$2015,"&lt;"&amp;S244))</f>
        <v/>
      </c>
      <c r="U243" s="14" t="n"/>
      <c r="V243" s="16" t="n"/>
      <c r="W243" s="124">
        <f>IF(V243="","",COUNTIFS($C$18:$C$2015,V$13,$D$18:$D$2015,"&gt;="&amp;V243,$D$18:$D$2015,"&lt;"&amp;V244))</f>
        <v/>
      </c>
      <c r="X243" s="14" t="n"/>
      <c r="Y243" s="16" t="n"/>
      <c r="Z243" s="124">
        <f>IF(Y243="","",COUNTIFS($C$18:$C$2015,Y$13,$D$18:$D$2015,"&gt;="&amp;Y243,$D$18:$D$2015,"&lt;"&amp;Y244))</f>
        <v/>
      </c>
      <c r="AA243" s="14" t="n"/>
      <c r="AB243" s="16" t="n"/>
      <c r="AC243" s="124">
        <f>IF(AB243="","",COUNTIFS($C$18:$C$2015,AB$13,$D$18:$D$2015,"&gt;="&amp;AB243,$D$18:$D$2015,"&lt;"&amp;AB244))</f>
        <v/>
      </c>
      <c r="AD243" s="14" t="n"/>
    </row>
    <row r="244">
      <c r="A244" s="56" t="n"/>
      <c r="B244" s="59" t="n"/>
      <c r="C244" s="59" t="n"/>
      <c r="E244" s="16" t="n"/>
      <c r="F244" s="13" t="n"/>
      <c r="G244" s="16" t="n"/>
      <c r="H244" s="124">
        <f>IF(G244="","",COUNTIFS($C$18:$C$2015,G$13,$D$18:$D$2015,"&gt;="&amp;G244,$D$18:$D$2015,"&lt;"&amp;G245))</f>
        <v/>
      </c>
      <c r="I244" s="14" t="n"/>
      <c r="J244" s="16" t="n"/>
      <c r="K244" s="124">
        <f>IF(J244="","",COUNTIFS($C$18:$C$2015,J$13,$D$18:$D$2015,"&gt;="&amp;J244,$D$18:$D$2015,"&lt;"&amp;J245))</f>
        <v/>
      </c>
      <c r="L244" s="14" t="n"/>
      <c r="M244" s="16" t="n"/>
      <c r="N244" s="124">
        <f>IF(M244="","",COUNTIFS($C$18:$C$2015,M$13,$D$18:$D$2015,"&gt;="&amp;M244,$D$18:$D$2015,"&lt;"&amp;M245))</f>
        <v/>
      </c>
      <c r="O244" s="14" t="n"/>
      <c r="P244" s="16" t="n"/>
      <c r="Q244" s="124">
        <f>IF(P244="","",COUNTIFS($C$18:$C$2015,P$13,$D$18:$D$2015,"&gt;="&amp;P244,$D$18:$D$2015,"&lt;"&amp;P245))</f>
        <v/>
      </c>
      <c r="R244" s="14" t="n"/>
      <c r="S244" s="16" t="n"/>
      <c r="T244" s="124">
        <f>IF(S244="","",COUNTIFS($C$18:$C$2015,S$13,$D$18:$D$2015,"&gt;="&amp;S244,$D$18:$D$2015,"&lt;"&amp;S245))</f>
        <v/>
      </c>
      <c r="U244" s="14" t="n"/>
      <c r="V244" s="16" t="n"/>
      <c r="W244" s="124">
        <f>IF(V244="","",COUNTIFS($C$18:$C$2015,V$13,$D$18:$D$2015,"&gt;="&amp;V244,$D$18:$D$2015,"&lt;"&amp;V245))</f>
        <v/>
      </c>
      <c r="X244" s="14" t="n"/>
      <c r="Y244" s="16" t="n"/>
      <c r="Z244" s="124">
        <f>IF(Y244="","",COUNTIFS($C$18:$C$2015,Y$13,$D$18:$D$2015,"&gt;="&amp;Y244,$D$18:$D$2015,"&lt;"&amp;Y245))</f>
        <v/>
      </c>
      <c r="AA244" s="14" t="n"/>
      <c r="AB244" s="16" t="n"/>
      <c r="AC244" s="124">
        <f>IF(AB244="","",COUNTIFS($C$18:$C$2015,AB$13,$D$18:$D$2015,"&gt;="&amp;AB244,$D$18:$D$2015,"&lt;"&amp;AB245))</f>
        <v/>
      </c>
      <c r="AD244" s="14" t="n"/>
    </row>
    <row r="245">
      <c r="A245" s="58" t="n"/>
      <c r="B245" s="59" t="n"/>
      <c r="C245" s="59" t="n"/>
      <c r="E245" s="16" t="n"/>
      <c r="F245" s="13" t="n"/>
      <c r="G245" s="16" t="n"/>
      <c r="H245" s="124">
        <f>IF(G245="","",COUNTIFS($C$18:$C$2015,G$13,$D$18:$D$2015,"&gt;="&amp;G245,$D$18:$D$2015,"&lt;"&amp;G246))</f>
        <v/>
      </c>
      <c r="I245" s="14" t="n"/>
      <c r="J245" s="16" t="n"/>
      <c r="K245" s="124">
        <f>IF(J245="","",COUNTIFS($C$18:$C$2015,J$13,$D$18:$D$2015,"&gt;="&amp;J245,$D$18:$D$2015,"&lt;"&amp;J246))</f>
        <v/>
      </c>
      <c r="L245" s="14" t="n"/>
      <c r="M245" s="16" t="n"/>
      <c r="N245" s="124">
        <f>IF(M245="","",COUNTIFS($C$18:$C$2015,M$13,$D$18:$D$2015,"&gt;="&amp;M245,$D$18:$D$2015,"&lt;"&amp;M246))</f>
        <v/>
      </c>
      <c r="O245" s="14" t="n"/>
      <c r="P245" s="16" t="n"/>
      <c r="Q245" s="124">
        <f>IF(P245="","",COUNTIFS($C$18:$C$2015,P$13,$D$18:$D$2015,"&gt;="&amp;P245,$D$18:$D$2015,"&lt;"&amp;P246))</f>
        <v/>
      </c>
      <c r="R245" s="14" t="n"/>
      <c r="S245" s="16" t="n"/>
      <c r="T245" s="124">
        <f>IF(S245="","",COUNTIFS($C$18:$C$2015,S$13,$D$18:$D$2015,"&gt;="&amp;S245,$D$18:$D$2015,"&lt;"&amp;S246))</f>
        <v/>
      </c>
      <c r="U245" s="14" t="n"/>
      <c r="V245" s="16" t="n"/>
      <c r="W245" s="124">
        <f>IF(V245="","",COUNTIFS($C$18:$C$2015,V$13,$D$18:$D$2015,"&gt;="&amp;V245,$D$18:$D$2015,"&lt;"&amp;V246))</f>
        <v/>
      </c>
      <c r="X245" s="14" t="n"/>
      <c r="Y245" s="16" t="n"/>
      <c r="Z245" s="124">
        <f>IF(Y245="","",COUNTIFS($C$18:$C$2015,Y$13,$D$18:$D$2015,"&gt;="&amp;Y245,$D$18:$D$2015,"&lt;"&amp;Y246))</f>
        <v/>
      </c>
      <c r="AA245" s="14" t="n"/>
      <c r="AB245" s="16" t="n"/>
      <c r="AC245" s="124">
        <f>IF(AB245="","",COUNTIFS($C$18:$C$2015,AB$13,$D$18:$D$2015,"&gt;="&amp;AB245,$D$18:$D$2015,"&lt;"&amp;AB246))</f>
        <v/>
      </c>
      <c r="AD245" s="14" t="n"/>
    </row>
    <row r="246">
      <c r="A246" s="56" t="n"/>
      <c r="B246" s="59" t="n"/>
      <c r="C246" s="59" t="n"/>
      <c r="E246" s="16" t="n"/>
      <c r="F246" s="13" t="n"/>
      <c r="G246" s="16" t="n"/>
      <c r="H246" s="124">
        <f>IF(G246="","",COUNTIFS($C$18:$C$2015,G$13,$D$18:$D$2015,"&gt;="&amp;G246,$D$18:$D$2015,"&lt;"&amp;G247))</f>
        <v/>
      </c>
      <c r="I246" s="14" t="n"/>
      <c r="J246" s="16" t="n"/>
      <c r="K246" s="124">
        <f>IF(J246="","",COUNTIFS($C$18:$C$2015,J$13,$D$18:$D$2015,"&gt;="&amp;J246,$D$18:$D$2015,"&lt;"&amp;J247))</f>
        <v/>
      </c>
      <c r="L246" s="14" t="n"/>
      <c r="M246" s="16" t="n"/>
      <c r="N246" s="124">
        <f>IF(M246="","",COUNTIFS($C$18:$C$2015,M$13,$D$18:$D$2015,"&gt;="&amp;M246,$D$18:$D$2015,"&lt;"&amp;M247))</f>
        <v/>
      </c>
      <c r="O246" s="14" t="n"/>
      <c r="P246" s="16" t="n"/>
      <c r="Q246" s="124">
        <f>IF(P246="","",COUNTIFS($C$18:$C$2015,P$13,$D$18:$D$2015,"&gt;="&amp;P246,$D$18:$D$2015,"&lt;"&amp;P247))</f>
        <v/>
      </c>
      <c r="R246" s="14" t="n"/>
      <c r="S246" s="16" t="n"/>
      <c r="T246" s="124">
        <f>IF(S246="","",COUNTIFS($C$18:$C$2015,S$13,$D$18:$D$2015,"&gt;="&amp;S246,$D$18:$D$2015,"&lt;"&amp;S247))</f>
        <v/>
      </c>
      <c r="U246" s="14" t="n"/>
      <c r="V246" s="16" t="n"/>
      <c r="W246" s="124">
        <f>IF(V246="","",COUNTIFS($C$18:$C$2015,V$13,$D$18:$D$2015,"&gt;="&amp;V246,$D$18:$D$2015,"&lt;"&amp;V247))</f>
        <v/>
      </c>
      <c r="X246" s="14" t="n"/>
      <c r="Y246" s="16" t="n"/>
      <c r="Z246" s="124">
        <f>IF(Y246="","",COUNTIFS($C$18:$C$2015,Y$13,$D$18:$D$2015,"&gt;="&amp;Y246,$D$18:$D$2015,"&lt;"&amp;Y247))</f>
        <v/>
      </c>
      <c r="AA246" s="14" t="n"/>
      <c r="AB246" s="16" t="n"/>
      <c r="AC246" s="124">
        <f>IF(AB246="","",COUNTIFS($C$18:$C$2015,AB$13,$D$18:$D$2015,"&gt;="&amp;AB246,$D$18:$D$2015,"&lt;"&amp;AB247))</f>
        <v/>
      </c>
      <c r="AD246" s="14" t="n"/>
    </row>
    <row r="247">
      <c r="A247" s="58" t="n"/>
      <c r="B247" s="59" t="n"/>
      <c r="C247" s="59" t="n"/>
      <c r="E247" s="16" t="n"/>
      <c r="F247" s="13" t="n"/>
      <c r="G247" s="16" t="n"/>
      <c r="H247" s="124">
        <f>IF(G247="","",COUNTIFS($C$18:$C$2015,G$13,$D$18:$D$2015,"&gt;="&amp;G247,$D$18:$D$2015,"&lt;"&amp;G248))</f>
        <v/>
      </c>
      <c r="I247" s="14" t="n"/>
      <c r="J247" s="16" t="n"/>
      <c r="K247" s="124">
        <f>IF(J247="","",COUNTIFS($C$18:$C$2015,J$13,$D$18:$D$2015,"&gt;="&amp;J247,$D$18:$D$2015,"&lt;"&amp;J248))</f>
        <v/>
      </c>
      <c r="L247" s="14" t="n"/>
      <c r="M247" s="16" t="n"/>
      <c r="N247" s="124">
        <f>IF(M247="","",COUNTIFS($C$18:$C$2015,M$13,$D$18:$D$2015,"&gt;="&amp;M247,$D$18:$D$2015,"&lt;"&amp;M248))</f>
        <v/>
      </c>
      <c r="O247" s="14" t="n"/>
      <c r="P247" s="16" t="n"/>
      <c r="Q247" s="124">
        <f>IF(P247="","",COUNTIFS($C$18:$C$2015,P$13,$D$18:$D$2015,"&gt;="&amp;P247,$D$18:$D$2015,"&lt;"&amp;P248))</f>
        <v/>
      </c>
      <c r="R247" s="14" t="n"/>
      <c r="S247" s="16" t="n"/>
      <c r="T247" s="124">
        <f>IF(S247="","",COUNTIFS($C$18:$C$2015,S$13,$D$18:$D$2015,"&gt;="&amp;S247,$D$18:$D$2015,"&lt;"&amp;S248))</f>
        <v/>
      </c>
      <c r="U247" s="14" t="n"/>
      <c r="V247" s="16" t="n"/>
      <c r="W247" s="124">
        <f>IF(V247="","",COUNTIFS($C$18:$C$2015,V$13,$D$18:$D$2015,"&gt;="&amp;V247,$D$18:$D$2015,"&lt;"&amp;V248))</f>
        <v/>
      </c>
      <c r="X247" s="14" t="n"/>
      <c r="Y247" s="16" t="n"/>
      <c r="Z247" s="124">
        <f>IF(Y247="","",COUNTIFS($C$18:$C$2015,Y$13,$D$18:$D$2015,"&gt;="&amp;Y247,$D$18:$D$2015,"&lt;"&amp;Y248))</f>
        <v/>
      </c>
      <c r="AA247" s="14" t="n"/>
      <c r="AB247" s="16" t="n"/>
      <c r="AC247" s="124">
        <f>IF(AB247="","",COUNTIFS($C$18:$C$2015,AB$13,$D$18:$D$2015,"&gt;="&amp;AB247,$D$18:$D$2015,"&lt;"&amp;AB248))</f>
        <v/>
      </c>
      <c r="AD247" s="14" t="n"/>
    </row>
    <row r="248">
      <c r="A248" s="56" t="n"/>
      <c r="B248" s="59" t="n"/>
      <c r="C248" s="59" t="n"/>
      <c r="E248" s="16" t="n"/>
      <c r="F248" s="13" t="n"/>
      <c r="G248" s="16" t="n"/>
      <c r="H248" s="124">
        <f>IF(G248="","",COUNTIFS($C$18:$C$2015,G$13,$D$18:$D$2015,"&gt;="&amp;G248,$D$18:$D$2015,"&lt;"&amp;G249))</f>
        <v/>
      </c>
      <c r="I248" s="14" t="n"/>
      <c r="J248" s="16" t="n"/>
      <c r="K248" s="124">
        <f>IF(J248="","",COUNTIFS($C$18:$C$2015,J$13,$D$18:$D$2015,"&gt;="&amp;J248,$D$18:$D$2015,"&lt;"&amp;J249))</f>
        <v/>
      </c>
      <c r="L248" s="14" t="n"/>
      <c r="M248" s="16" t="n"/>
      <c r="N248" s="124">
        <f>IF(M248="","",COUNTIFS($C$18:$C$2015,M$13,$D$18:$D$2015,"&gt;="&amp;M248,$D$18:$D$2015,"&lt;"&amp;M249))</f>
        <v/>
      </c>
      <c r="O248" s="14" t="n"/>
      <c r="P248" s="16" t="n"/>
      <c r="Q248" s="124">
        <f>IF(P248="","",COUNTIFS($C$18:$C$2015,P$13,$D$18:$D$2015,"&gt;="&amp;P248,$D$18:$D$2015,"&lt;"&amp;P249))</f>
        <v/>
      </c>
      <c r="R248" s="14" t="n"/>
      <c r="S248" s="16" t="n"/>
      <c r="T248" s="124">
        <f>IF(S248="","",COUNTIFS($C$18:$C$2015,S$13,$D$18:$D$2015,"&gt;="&amp;S248,$D$18:$D$2015,"&lt;"&amp;S249))</f>
        <v/>
      </c>
      <c r="U248" s="14" t="n"/>
      <c r="V248" s="16" t="n"/>
      <c r="W248" s="124">
        <f>IF(V248="","",COUNTIFS($C$18:$C$2015,V$13,$D$18:$D$2015,"&gt;="&amp;V248,$D$18:$D$2015,"&lt;"&amp;V249))</f>
        <v/>
      </c>
      <c r="X248" s="14" t="n"/>
      <c r="Y248" s="16" t="n"/>
      <c r="Z248" s="124">
        <f>IF(Y248="","",COUNTIFS($C$18:$C$2015,Y$13,$D$18:$D$2015,"&gt;="&amp;Y248,$D$18:$D$2015,"&lt;"&amp;Y249))</f>
        <v/>
      </c>
      <c r="AA248" s="14" t="n"/>
      <c r="AB248" s="16" t="n"/>
      <c r="AC248" s="124">
        <f>IF(AB248="","",COUNTIFS($C$18:$C$2015,AB$13,$D$18:$D$2015,"&gt;="&amp;AB248,$D$18:$D$2015,"&lt;"&amp;AB249))</f>
        <v/>
      </c>
      <c r="AD248" s="14" t="n"/>
    </row>
    <row r="249">
      <c r="A249" s="58" t="n"/>
      <c r="B249" s="59" t="n"/>
      <c r="C249" s="59" t="n"/>
      <c r="E249" s="16" t="n"/>
      <c r="F249" s="13" t="n"/>
      <c r="G249" s="16" t="n"/>
      <c r="H249" s="124">
        <f>IF(G249="","",COUNTIFS($C$18:$C$2015,G$13,$D$18:$D$2015,"&gt;="&amp;G249,$D$18:$D$2015,"&lt;"&amp;G250))</f>
        <v/>
      </c>
      <c r="I249" s="14" t="n"/>
      <c r="J249" s="16" t="n"/>
      <c r="K249" s="124">
        <f>IF(J249="","",COUNTIFS($C$18:$C$2015,J$13,$D$18:$D$2015,"&gt;="&amp;J249,$D$18:$D$2015,"&lt;"&amp;J250))</f>
        <v/>
      </c>
      <c r="L249" s="14" t="n"/>
      <c r="M249" s="16" t="n"/>
      <c r="N249" s="124">
        <f>IF(M249="","",COUNTIFS($C$18:$C$2015,M$13,$D$18:$D$2015,"&gt;="&amp;M249,$D$18:$D$2015,"&lt;"&amp;M250))</f>
        <v/>
      </c>
      <c r="O249" s="14" t="n"/>
      <c r="P249" s="16" t="n"/>
      <c r="Q249" s="124">
        <f>IF(P249="","",COUNTIFS($C$18:$C$2015,P$13,$D$18:$D$2015,"&gt;="&amp;P249,$D$18:$D$2015,"&lt;"&amp;P250))</f>
        <v/>
      </c>
      <c r="R249" s="14" t="n"/>
      <c r="S249" s="16" t="n"/>
      <c r="T249" s="124">
        <f>IF(S249="","",COUNTIFS($C$18:$C$2015,S$13,$D$18:$D$2015,"&gt;="&amp;S249,$D$18:$D$2015,"&lt;"&amp;S250))</f>
        <v/>
      </c>
      <c r="U249" s="14" t="n"/>
      <c r="V249" s="16" t="n"/>
      <c r="W249" s="124">
        <f>IF(V249="","",COUNTIFS($C$18:$C$2015,V$13,$D$18:$D$2015,"&gt;="&amp;V249,$D$18:$D$2015,"&lt;"&amp;V250))</f>
        <v/>
      </c>
      <c r="X249" s="14" t="n"/>
      <c r="Y249" s="16" t="n"/>
      <c r="Z249" s="124">
        <f>IF(Y249="","",COUNTIFS($C$18:$C$2015,Y$13,$D$18:$D$2015,"&gt;="&amp;Y249,$D$18:$D$2015,"&lt;"&amp;Y250))</f>
        <v/>
      </c>
      <c r="AA249" s="14" t="n"/>
      <c r="AB249" s="16" t="n"/>
      <c r="AC249" s="124">
        <f>IF(AB249="","",COUNTIFS($C$18:$C$2015,AB$13,$D$18:$D$2015,"&gt;="&amp;AB249,$D$18:$D$2015,"&lt;"&amp;AB250))</f>
        <v/>
      </c>
      <c r="AD249" s="14" t="n"/>
    </row>
    <row r="250">
      <c r="A250" s="56" t="n"/>
      <c r="B250" s="59" t="n"/>
      <c r="C250" s="59" t="n"/>
      <c r="E250" s="16" t="n"/>
      <c r="F250" s="13" t="n"/>
      <c r="G250" s="16" t="n"/>
      <c r="H250" s="124">
        <f>IF(G250="","",COUNTIFS($C$18:$C$2015,G$13,$D$18:$D$2015,"&gt;="&amp;G250,$D$18:$D$2015,"&lt;"&amp;G251))</f>
        <v/>
      </c>
      <c r="I250" s="14" t="n"/>
      <c r="J250" s="16" t="n"/>
      <c r="K250" s="124">
        <f>IF(J250="","",COUNTIFS($C$18:$C$2015,J$13,$D$18:$D$2015,"&gt;="&amp;J250,$D$18:$D$2015,"&lt;"&amp;J251))</f>
        <v/>
      </c>
      <c r="L250" s="14" t="n"/>
      <c r="M250" s="16" t="n"/>
      <c r="N250" s="124">
        <f>IF(M250="","",COUNTIFS($C$18:$C$2015,M$13,$D$18:$D$2015,"&gt;="&amp;M250,$D$18:$D$2015,"&lt;"&amp;M251))</f>
        <v/>
      </c>
      <c r="O250" s="14" t="n"/>
      <c r="P250" s="16" t="n"/>
      <c r="Q250" s="124">
        <f>IF(P250="","",COUNTIFS($C$18:$C$2015,P$13,$D$18:$D$2015,"&gt;="&amp;P250,$D$18:$D$2015,"&lt;"&amp;P251))</f>
        <v/>
      </c>
      <c r="R250" s="14" t="n"/>
      <c r="S250" s="16" t="n"/>
      <c r="T250" s="124">
        <f>IF(S250="","",COUNTIFS($C$18:$C$2015,S$13,$D$18:$D$2015,"&gt;="&amp;S250,$D$18:$D$2015,"&lt;"&amp;S251))</f>
        <v/>
      </c>
      <c r="U250" s="14" t="n"/>
      <c r="V250" s="16" t="n"/>
      <c r="W250" s="124">
        <f>IF(V250="","",COUNTIFS($C$18:$C$2015,V$13,$D$18:$D$2015,"&gt;="&amp;V250,$D$18:$D$2015,"&lt;"&amp;V251))</f>
        <v/>
      </c>
      <c r="X250" s="14" t="n"/>
      <c r="Y250" s="16" t="n"/>
      <c r="Z250" s="124">
        <f>IF(Y250="","",COUNTIFS($C$18:$C$2015,Y$13,$D$18:$D$2015,"&gt;="&amp;Y250,$D$18:$D$2015,"&lt;"&amp;Y251))</f>
        <v/>
      </c>
      <c r="AA250" s="14" t="n"/>
      <c r="AB250" s="16" t="n"/>
      <c r="AC250" s="124">
        <f>IF(AB250="","",COUNTIFS($C$18:$C$2015,AB$13,$D$18:$D$2015,"&gt;="&amp;AB250,$D$18:$D$2015,"&lt;"&amp;AB251))</f>
        <v/>
      </c>
      <c r="AD250" s="14" t="n"/>
    </row>
    <row r="251">
      <c r="A251" s="58" t="n"/>
      <c r="B251" s="59" t="n"/>
      <c r="C251" s="59" t="n"/>
      <c r="E251" s="16" t="n"/>
      <c r="F251" s="13" t="n"/>
      <c r="G251" s="16" t="n"/>
      <c r="H251" s="124">
        <f>IF(G251="","",COUNTIFS($C$18:$C$2015,G$13,$D$18:$D$2015,"&gt;="&amp;G251,$D$18:$D$2015,"&lt;"&amp;G252))</f>
        <v/>
      </c>
      <c r="I251" s="14" t="n"/>
      <c r="J251" s="16" t="n"/>
      <c r="K251" s="124">
        <f>IF(J251="","",COUNTIFS($C$18:$C$2015,J$13,$D$18:$D$2015,"&gt;="&amp;J251,$D$18:$D$2015,"&lt;"&amp;J252))</f>
        <v/>
      </c>
      <c r="L251" s="14" t="n"/>
      <c r="M251" s="16" t="n"/>
      <c r="N251" s="124">
        <f>IF(M251="","",COUNTIFS($C$18:$C$2015,M$13,$D$18:$D$2015,"&gt;="&amp;M251,$D$18:$D$2015,"&lt;"&amp;M252))</f>
        <v/>
      </c>
      <c r="O251" s="14" t="n"/>
      <c r="P251" s="16" t="n"/>
      <c r="Q251" s="124">
        <f>IF(P251="","",COUNTIFS($C$18:$C$2015,P$13,$D$18:$D$2015,"&gt;="&amp;P251,$D$18:$D$2015,"&lt;"&amp;P252))</f>
        <v/>
      </c>
      <c r="R251" s="14" t="n"/>
      <c r="S251" s="16" t="n"/>
      <c r="T251" s="124">
        <f>IF(S251="","",COUNTIFS($C$18:$C$2015,S$13,$D$18:$D$2015,"&gt;="&amp;S251,$D$18:$D$2015,"&lt;"&amp;S252))</f>
        <v/>
      </c>
      <c r="U251" s="14" t="n"/>
      <c r="V251" s="16" t="n"/>
      <c r="W251" s="124">
        <f>IF(V251="","",COUNTIFS($C$18:$C$2015,V$13,$D$18:$D$2015,"&gt;="&amp;V251,$D$18:$D$2015,"&lt;"&amp;V252))</f>
        <v/>
      </c>
      <c r="X251" s="14" t="n"/>
      <c r="Y251" s="16" t="n"/>
      <c r="Z251" s="124">
        <f>IF(Y251="","",COUNTIFS($C$18:$C$2015,Y$13,$D$18:$D$2015,"&gt;="&amp;Y251,$D$18:$D$2015,"&lt;"&amp;Y252))</f>
        <v/>
      </c>
      <c r="AA251" s="14" t="n"/>
      <c r="AB251" s="16" t="n"/>
      <c r="AC251" s="124">
        <f>IF(AB251="","",COUNTIFS($C$18:$C$2015,AB$13,$D$18:$D$2015,"&gt;="&amp;AB251,$D$18:$D$2015,"&lt;"&amp;AB252))</f>
        <v/>
      </c>
      <c r="AD251" s="14" t="n"/>
    </row>
    <row r="252">
      <c r="A252" s="56" t="n"/>
      <c r="B252" s="59" t="n"/>
      <c r="C252" s="59" t="n"/>
      <c r="E252" s="16" t="n"/>
      <c r="F252" s="13" t="n"/>
      <c r="G252" s="16" t="n"/>
      <c r="H252" s="124">
        <f>IF(G252="","",COUNTIFS($C$18:$C$2015,G$13,$D$18:$D$2015,"&gt;="&amp;G252,$D$18:$D$2015,"&lt;"&amp;G253))</f>
        <v/>
      </c>
      <c r="I252" s="14" t="n"/>
      <c r="J252" s="16" t="n"/>
      <c r="K252" s="124">
        <f>IF(J252="","",COUNTIFS($C$18:$C$2015,J$13,$D$18:$D$2015,"&gt;="&amp;J252,$D$18:$D$2015,"&lt;"&amp;J253))</f>
        <v/>
      </c>
      <c r="L252" s="14" t="n"/>
      <c r="M252" s="16" t="n"/>
      <c r="N252" s="124">
        <f>IF(M252="","",COUNTIFS($C$18:$C$2015,M$13,$D$18:$D$2015,"&gt;="&amp;M252,$D$18:$D$2015,"&lt;"&amp;M253))</f>
        <v/>
      </c>
      <c r="O252" s="14" t="n"/>
      <c r="P252" s="16" t="n"/>
      <c r="Q252" s="124">
        <f>IF(P252="","",COUNTIFS($C$18:$C$2015,P$13,$D$18:$D$2015,"&gt;="&amp;P252,$D$18:$D$2015,"&lt;"&amp;P253))</f>
        <v/>
      </c>
      <c r="R252" s="14" t="n"/>
      <c r="S252" s="16" t="n"/>
      <c r="T252" s="124">
        <f>IF(S252="","",COUNTIFS($C$18:$C$2015,S$13,$D$18:$D$2015,"&gt;="&amp;S252,$D$18:$D$2015,"&lt;"&amp;S253))</f>
        <v/>
      </c>
      <c r="U252" s="14" t="n"/>
      <c r="V252" s="16" t="n"/>
      <c r="W252" s="124">
        <f>IF(V252="","",COUNTIFS($C$18:$C$2015,V$13,$D$18:$D$2015,"&gt;="&amp;V252,$D$18:$D$2015,"&lt;"&amp;V253))</f>
        <v/>
      </c>
      <c r="X252" s="14" t="n"/>
      <c r="Y252" s="16" t="n"/>
      <c r="Z252" s="124">
        <f>IF(Y252="","",COUNTIFS($C$18:$C$2015,Y$13,$D$18:$D$2015,"&gt;="&amp;Y252,$D$18:$D$2015,"&lt;"&amp;Y253))</f>
        <v/>
      </c>
      <c r="AA252" s="14" t="n"/>
      <c r="AB252" s="16" t="n"/>
      <c r="AC252" s="124">
        <f>IF(AB252="","",COUNTIFS($C$18:$C$2015,AB$13,$D$18:$D$2015,"&gt;="&amp;AB252,$D$18:$D$2015,"&lt;"&amp;AB253))</f>
        <v/>
      </c>
      <c r="AD252" s="14" t="n"/>
    </row>
    <row r="253">
      <c r="A253" s="58" t="n"/>
      <c r="B253" s="59" t="n"/>
      <c r="C253" s="59" t="n"/>
      <c r="E253" s="16" t="n"/>
      <c r="F253" s="13" t="n"/>
      <c r="G253" s="16" t="n"/>
      <c r="H253" s="124">
        <f>IF(G253="","",COUNTIFS($C$18:$C$2015,G$13,$D$18:$D$2015,"&gt;="&amp;G253,$D$18:$D$2015,"&lt;"&amp;G254))</f>
        <v/>
      </c>
      <c r="I253" s="14" t="n"/>
      <c r="J253" s="16" t="n"/>
      <c r="K253" s="124">
        <f>IF(J253="","",COUNTIFS($C$18:$C$2015,J$13,$D$18:$D$2015,"&gt;="&amp;J253,$D$18:$D$2015,"&lt;"&amp;J254))</f>
        <v/>
      </c>
      <c r="L253" s="14" t="n"/>
      <c r="M253" s="16" t="n"/>
      <c r="N253" s="124">
        <f>IF(M253="","",COUNTIFS($C$18:$C$2015,M$13,$D$18:$D$2015,"&gt;="&amp;M253,$D$18:$D$2015,"&lt;"&amp;M254))</f>
        <v/>
      </c>
      <c r="O253" s="14" t="n"/>
      <c r="P253" s="16" t="n"/>
      <c r="Q253" s="124">
        <f>IF(P253="","",COUNTIFS($C$18:$C$2015,P$13,$D$18:$D$2015,"&gt;="&amp;P253,$D$18:$D$2015,"&lt;"&amp;P254))</f>
        <v/>
      </c>
      <c r="R253" s="14" t="n"/>
      <c r="S253" s="16" t="n"/>
      <c r="T253" s="124">
        <f>IF(S253="","",COUNTIFS($C$18:$C$2015,S$13,$D$18:$D$2015,"&gt;="&amp;S253,$D$18:$D$2015,"&lt;"&amp;S254))</f>
        <v/>
      </c>
      <c r="U253" s="14" t="n"/>
      <c r="V253" s="16" t="n"/>
      <c r="W253" s="124">
        <f>IF(V253="","",COUNTIFS($C$18:$C$2015,V$13,$D$18:$D$2015,"&gt;="&amp;V253,$D$18:$D$2015,"&lt;"&amp;V254))</f>
        <v/>
      </c>
      <c r="X253" s="14" t="n"/>
      <c r="Y253" s="16" t="n"/>
      <c r="Z253" s="124">
        <f>IF(Y253="","",COUNTIFS($C$18:$C$2015,Y$13,$D$18:$D$2015,"&gt;="&amp;Y253,$D$18:$D$2015,"&lt;"&amp;Y254))</f>
        <v/>
      </c>
      <c r="AA253" s="14" t="n"/>
      <c r="AB253" s="16" t="n"/>
      <c r="AC253" s="124">
        <f>IF(AB253="","",COUNTIFS($C$18:$C$2015,AB$13,$D$18:$D$2015,"&gt;="&amp;AB253,$D$18:$D$2015,"&lt;"&amp;AB254))</f>
        <v/>
      </c>
      <c r="AD253" s="14" t="n"/>
    </row>
    <row r="254">
      <c r="A254" s="56" t="n"/>
      <c r="B254" s="59" t="n"/>
      <c r="C254" s="59" t="n"/>
      <c r="E254" s="16" t="n"/>
      <c r="F254" s="13" t="n"/>
      <c r="G254" s="16" t="n"/>
      <c r="H254" s="124">
        <f>IF(G254="","",COUNTIFS($C$18:$C$2015,G$13,$D$18:$D$2015,"&gt;="&amp;G254,$D$18:$D$2015,"&lt;"&amp;G255))</f>
        <v/>
      </c>
      <c r="I254" s="14" t="n"/>
      <c r="J254" s="16" t="n"/>
      <c r="K254" s="124">
        <f>IF(J254="","",COUNTIFS($C$18:$C$2015,J$13,$D$18:$D$2015,"&gt;="&amp;J254,$D$18:$D$2015,"&lt;"&amp;J255))</f>
        <v/>
      </c>
      <c r="L254" s="14" t="n"/>
      <c r="M254" s="16" t="n"/>
      <c r="N254" s="124">
        <f>IF(M254="","",COUNTIFS($C$18:$C$2015,M$13,$D$18:$D$2015,"&gt;="&amp;M254,$D$18:$D$2015,"&lt;"&amp;M255))</f>
        <v/>
      </c>
      <c r="O254" s="14" t="n"/>
      <c r="P254" s="16" t="n"/>
      <c r="Q254" s="124">
        <f>IF(P254="","",COUNTIFS($C$18:$C$2015,P$13,$D$18:$D$2015,"&gt;="&amp;P254,$D$18:$D$2015,"&lt;"&amp;P255))</f>
        <v/>
      </c>
      <c r="R254" s="14" t="n"/>
      <c r="S254" s="16" t="n"/>
      <c r="T254" s="124">
        <f>IF(S254="","",COUNTIFS($C$18:$C$2015,S$13,$D$18:$D$2015,"&gt;="&amp;S254,$D$18:$D$2015,"&lt;"&amp;S255))</f>
        <v/>
      </c>
      <c r="U254" s="14" t="n"/>
      <c r="V254" s="16" t="n"/>
      <c r="W254" s="124">
        <f>IF(V254="","",COUNTIFS($C$18:$C$2015,V$13,$D$18:$D$2015,"&gt;="&amp;V254,$D$18:$D$2015,"&lt;"&amp;V255))</f>
        <v/>
      </c>
      <c r="X254" s="14" t="n"/>
      <c r="Y254" s="16" t="n"/>
      <c r="Z254" s="124">
        <f>IF(Y254="","",COUNTIFS($C$18:$C$2015,Y$13,$D$18:$D$2015,"&gt;="&amp;Y254,$D$18:$D$2015,"&lt;"&amp;Y255))</f>
        <v/>
      </c>
      <c r="AA254" s="14" t="n"/>
      <c r="AB254" s="16" t="n"/>
      <c r="AC254" s="124">
        <f>IF(AB254="","",COUNTIFS($C$18:$C$2015,AB$13,$D$18:$D$2015,"&gt;="&amp;AB254,$D$18:$D$2015,"&lt;"&amp;AB255))</f>
        <v/>
      </c>
      <c r="AD254" s="14" t="n"/>
    </row>
    <row r="255">
      <c r="A255" s="58" t="n"/>
      <c r="B255" s="59" t="n"/>
      <c r="C255" s="59" t="n"/>
      <c r="E255" s="16" t="n"/>
      <c r="F255" s="13" t="n"/>
      <c r="G255" s="16" t="n"/>
      <c r="H255" s="124">
        <f>IF(G255="","",COUNTIFS($C$18:$C$2015,G$13,$D$18:$D$2015,"&gt;="&amp;G255,$D$18:$D$2015,"&lt;"&amp;G256))</f>
        <v/>
      </c>
      <c r="I255" s="14" t="n"/>
      <c r="J255" s="16" t="n"/>
      <c r="K255" s="124">
        <f>IF(J255="","",COUNTIFS($C$18:$C$2015,J$13,$D$18:$D$2015,"&gt;="&amp;J255,$D$18:$D$2015,"&lt;"&amp;J256))</f>
        <v/>
      </c>
      <c r="L255" s="14" t="n"/>
      <c r="M255" s="16" t="n"/>
      <c r="N255" s="124">
        <f>IF(M255="","",COUNTIFS($C$18:$C$2015,M$13,$D$18:$D$2015,"&gt;="&amp;M255,$D$18:$D$2015,"&lt;"&amp;M256))</f>
        <v/>
      </c>
      <c r="O255" s="14" t="n"/>
      <c r="P255" s="16" t="n"/>
      <c r="Q255" s="124">
        <f>IF(P255="","",COUNTIFS($C$18:$C$2015,P$13,$D$18:$D$2015,"&gt;="&amp;P255,$D$18:$D$2015,"&lt;"&amp;P256))</f>
        <v/>
      </c>
      <c r="R255" s="14" t="n"/>
      <c r="S255" s="16" t="n"/>
      <c r="T255" s="124">
        <f>IF(S255="","",COUNTIFS($C$18:$C$2015,S$13,$D$18:$D$2015,"&gt;="&amp;S255,$D$18:$D$2015,"&lt;"&amp;S256))</f>
        <v/>
      </c>
      <c r="U255" s="14" t="n"/>
      <c r="V255" s="16" t="n"/>
      <c r="W255" s="124">
        <f>IF(V255="","",COUNTIFS($C$18:$C$2015,V$13,$D$18:$D$2015,"&gt;="&amp;V255,$D$18:$D$2015,"&lt;"&amp;V256))</f>
        <v/>
      </c>
      <c r="X255" s="14" t="n"/>
      <c r="Y255" s="16" t="n"/>
      <c r="Z255" s="124">
        <f>IF(Y255="","",COUNTIFS($C$18:$C$2015,Y$13,$D$18:$D$2015,"&gt;="&amp;Y255,$D$18:$D$2015,"&lt;"&amp;Y256))</f>
        <v/>
      </c>
      <c r="AA255" s="14" t="n"/>
      <c r="AB255" s="16" t="n"/>
      <c r="AC255" s="124">
        <f>IF(AB255="","",COUNTIFS($C$18:$C$2015,AB$13,$D$18:$D$2015,"&gt;="&amp;AB255,$D$18:$D$2015,"&lt;"&amp;AB256))</f>
        <v/>
      </c>
      <c r="AD255" s="14" t="n"/>
    </row>
    <row r="256">
      <c r="A256" s="56" t="n"/>
      <c r="B256" s="59" t="n"/>
      <c r="C256" s="59" t="n"/>
      <c r="E256" s="16" t="n"/>
      <c r="F256" s="13" t="n"/>
      <c r="G256" s="16" t="n"/>
      <c r="H256" s="124">
        <f>IF(G256="","",COUNTIFS($C$18:$C$2015,G$13,$D$18:$D$2015,"&gt;="&amp;G256,$D$18:$D$2015,"&lt;"&amp;G257))</f>
        <v/>
      </c>
      <c r="I256" s="14" t="n"/>
      <c r="J256" s="16" t="n"/>
      <c r="K256" s="124">
        <f>IF(J256="","",COUNTIFS($C$18:$C$2015,J$13,$D$18:$D$2015,"&gt;="&amp;J256,$D$18:$D$2015,"&lt;"&amp;J257))</f>
        <v/>
      </c>
      <c r="L256" s="14" t="n"/>
      <c r="M256" s="16" t="n"/>
      <c r="N256" s="124">
        <f>IF(M256="","",COUNTIFS($C$18:$C$2015,M$13,$D$18:$D$2015,"&gt;="&amp;M256,$D$18:$D$2015,"&lt;"&amp;M257))</f>
        <v/>
      </c>
      <c r="O256" s="14" t="n"/>
      <c r="P256" s="16" t="n"/>
      <c r="Q256" s="124">
        <f>IF(P256="","",COUNTIFS($C$18:$C$2015,P$13,$D$18:$D$2015,"&gt;="&amp;P256,$D$18:$D$2015,"&lt;"&amp;P257))</f>
        <v/>
      </c>
      <c r="R256" s="14" t="n"/>
      <c r="S256" s="16" t="n"/>
      <c r="T256" s="124">
        <f>IF(S256="","",COUNTIFS($C$18:$C$2015,S$13,$D$18:$D$2015,"&gt;="&amp;S256,$D$18:$D$2015,"&lt;"&amp;S257))</f>
        <v/>
      </c>
      <c r="U256" s="14" t="n"/>
      <c r="V256" s="16" t="n"/>
      <c r="W256" s="124">
        <f>IF(V256="","",COUNTIFS($C$18:$C$2015,V$13,$D$18:$D$2015,"&gt;="&amp;V256,$D$18:$D$2015,"&lt;"&amp;V257))</f>
        <v/>
      </c>
      <c r="X256" s="14" t="n"/>
      <c r="Y256" s="16" t="n"/>
      <c r="Z256" s="124">
        <f>IF(Y256="","",COUNTIFS($C$18:$C$2015,Y$13,$D$18:$D$2015,"&gt;="&amp;Y256,$D$18:$D$2015,"&lt;"&amp;Y257))</f>
        <v/>
      </c>
      <c r="AA256" s="14" t="n"/>
      <c r="AB256" s="16" t="n"/>
      <c r="AC256" s="124">
        <f>IF(AB256="","",COUNTIFS($C$18:$C$2015,AB$13,$D$18:$D$2015,"&gt;="&amp;AB256,$D$18:$D$2015,"&lt;"&amp;AB257))</f>
        <v/>
      </c>
      <c r="AD256" s="14" t="n"/>
    </row>
    <row r="257">
      <c r="A257" s="58" t="n"/>
      <c r="B257" s="59" t="n"/>
      <c r="C257" s="59" t="n"/>
      <c r="E257" s="16" t="n"/>
      <c r="F257" s="13" t="n"/>
      <c r="G257" s="16" t="n"/>
      <c r="H257" s="124">
        <f>IF(G257="","",COUNTIFS($C$18:$C$2015,G$13,$D$18:$D$2015,"&gt;="&amp;G257,$D$18:$D$2015,"&lt;"&amp;G258))</f>
        <v/>
      </c>
      <c r="I257" s="14" t="n"/>
      <c r="J257" s="16" t="n"/>
      <c r="K257" s="124">
        <f>IF(J257="","",COUNTIFS($C$18:$C$2015,J$13,$D$18:$D$2015,"&gt;="&amp;J257,$D$18:$D$2015,"&lt;"&amp;J258))</f>
        <v/>
      </c>
      <c r="L257" s="14" t="n"/>
      <c r="M257" s="16" t="n"/>
      <c r="N257" s="124">
        <f>IF(M257="","",COUNTIFS($C$18:$C$2015,M$13,$D$18:$D$2015,"&gt;="&amp;M257,$D$18:$D$2015,"&lt;"&amp;M258))</f>
        <v/>
      </c>
      <c r="O257" s="14" t="n"/>
      <c r="P257" s="16" t="n"/>
      <c r="Q257" s="124">
        <f>IF(P257="","",COUNTIFS($C$18:$C$2015,P$13,$D$18:$D$2015,"&gt;="&amp;P257,$D$18:$D$2015,"&lt;"&amp;P258))</f>
        <v/>
      </c>
      <c r="R257" s="14" t="n"/>
      <c r="S257" s="16" t="n"/>
      <c r="T257" s="124">
        <f>IF(S257="","",COUNTIFS($C$18:$C$2015,S$13,$D$18:$D$2015,"&gt;="&amp;S257,$D$18:$D$2015,"&lt;"&amp;S258))</f>
        <v/>
      </c>
      <c r="U257" s="14" t="n"/>
      <c r="V257" s="16" t="n"/>
      <c r="W257" s="124">
        <f>IF(V257="","",COUNTIFS($C$18:$C$2015,V$13,$D$18:$D$2015,"&gt;="&amp;V257,$D$18:$D$2015,"&lt;"&amp;V258))</f>
        <v/>
      </c>
      <c r="X257" s="14" t="n"/>
      <c r="Y257" s="16" t="n"/>
      <c r="Z257" s="124">
        <f>IF(Y257="","",COUNTIFS($C$18:$C$2015,Y$13,$D$18:$D$2015,"&gt;="&amp;Y257,$D$18:$D$2015,"&lt;"&amp;Y258))</f>
        <v/>
      </c>
      <c r="AA257" s="14" t="n"/>
      <c r="AB257" s="16" t="n"/>
      <c r="AC257" s="124">
        <f>IF(AB257="","",COUNTIFS($C$18:$C$2015,AB$13,$D$18:$D$2015,"&gt;="&amp;AB257,$D$18:$D$2015,"&lt;"&amp;AB258))</f>
        <v/>
      </c>
      <c r="AD257" s="14" t="n"/>
    </row>
    <row r="258">
      <c r="A258" s="56" t="n"/>
      <c r="B258" s="59" t="n"/>
      <c r="C258" s="59" t="n"/>
      <c r="E258" s="16" t="n"/>
      <c r="F258" s="13" t="n"/>
      <c r="G258" s="16" t="n"/>
      <c r="H258" s="124">
        <f>IF(G258="","",COUNTIFS($C$18:$C$2015,G$13,$D$18:$D$2015,"&gt;="&amp;G258,$D$18:$D$2015,"&lt;"&amp;G259))</f>
        <v/>
      </c>
      <c r="I258" s="14" t="n"/>
      <c r="J258" s="16" t="n"/>
      <c r="K258" s="124">
        <f>IF(J258="","",COUNTIFS($C$18:$C$2015,J$13,$D$18:$D$2015,"&gt;="&amp;J258,$D$18:$D$2015,"&lt;"&amp;J259))</f>
        <v/>
      </c>
      <c r="L258" s="14" t="n"/>
      <c r="M258" s="16" t="n"/>
      <c r="N258" s="124">
        <f>IF(M258="","",COUNTIFS($C$18:$C$2015,M$13,$D$18:$D$2015,"&gt;="&amp;M258,$D$18:$D$2015,"&lt;"&amp;M259))</f>
        <v/>
      </c>
      <c r="O258" s="14" t="n"/>
      <c r="P258" s="16" t="n"/>
      <c r="Q258" s="124">
        <f>IF(P258="","",COUNTIFS($C$18:$C$2015,P$13,$D$18:$D$2015,"&gt;="&amp;P258,$D$18:$D$2015,"&lt;"&amp;P259))</f>
        <v/>
      </c>
      <c r="R258" s="14" t="n"/>
      <c r="S258" s="16" t="n"/>
      <c r="T258" s="124">
        <f>IF(S258="","",COUNTIFS($C$18:$C$2015,S$13,$D$18:$D$2015,"&gt;="&amp;S258,$D$18:$D$2015,"&lt;"&amp;S259))</f>
        <v/>
      </c>
      <c r="U258" s="14" t="n"/>
      <c r="V258" s="16" t="n"/>
      <c r="W258" s="124">
        <f>IF(V258="","",COUNTIFS($C$18:$C$2015,V$13,$D$18:$D$2015,"&gt;="&amp;V258,$D$18:$D$2015,"&lt;"&amp;V259))</f>
        <v/>
      </c>
      <c r="X258" s="14" t="n"/>
      <c r="Y258" s="16" t="n"/>
      <c r="Z258" s="124">
        <f>IF(Y258="","",COUNTIFS($C$18:$C$2015,Y$13,$D$18:$D$2015,"&gt;="&amp;Y258,$D$18:$D$2015,"&lt;"&amp;Y259))</f>
        <v/>
      </c>
      <c r="AA258" s="14" t="n"/>
      <c r="AB258" s="16" t="n"/>
      <c r="AC258" s="124">
        <f>IF(AB258="","",COUNTIFS($C$18:$C$2015,AB$13,$D$18:$D$2015,"&gt;="&amp;AB258,$D$18:$D$2015,"&lt;"&amp;AB259))</f>
        <v/>
      </c>
      <c r="AD258" s="14" t="n"/>
    </row>
    <row r="259">
      <c r="A259" s="58" t="n"/>
      <c r="B259" s="59" t="n"/>
      <c r="C259" s="59" t="n"/>
      <c r="E259" s="16" t="n"/>
      <c r="F259" s="13" t="n"/>
      <c r="G259" s="16" t="n"/>
      <c r="H259" s="124">
        <f>IF(G259="","",COUNTIFS($C$18:$C$2015,G$13,$D$18:$D$2015,"&gt;="&amp;G259,$D$18:$D$2015,"&lt;"&amp;G260))</f>
        <v/>
      </c>
      <c r="I259" s="14" t="n"/>
      <c r="J259" s="16" t="n"/>
      <c r="K259" s="124">
        <f>IF(J259="","",COUNTIFS($C$18:$C$2015,J$13,$D$18:$D$2015,"&gt;="&amp;J259,$D$18:$D$2015,"&lt;"&amp;J260))</f>
        <v/>
      </c>
      <c r="L259" s="14" t="n"/>
      <c r="M259" s="16" t="n"/>
      <c r="N259" s="124">
        <f>IF(M259="","",COUNTIFS($C$18:$C$2015,M$13,$D$18:$D$2015,"&gt;="&amp;M259,$D$18:$D$2015,"&lt;"&amp;M260))</f>
        <v/>
      </c>
      <c r="O259" s="14" t="n"/>
      <c r="P259" s="16" t="n"/>
      <c r="Q259" s="124">
        <f>IF(P259="","",COUNTIFS($C$18:$C$2015,P$13,$D$18:$D$2015,"&gt;="&amp;P259,$D$18:$D$2015,"&lt;"&amp;P260))</f>
        <v/>
      </c>
      <c r="R259" s="14" t="n"/>
      <c r="S259" s="16" t="n"/>
      <c r="T259" s="124">
        <f>IF(S259="","",COUNTIFS($C$18:$C$2015,S$13,$D$18:$D$2015,"&gt;="&amp;S259,$D$18:$D$2015,"&lt;"&amp;S260))</f>
        <v/>
      </c>
      <c r="U259" s="14" t="n"/>
      <c r="V259" s="16" t="n"/>
      <c r="W259" s="124">
        <f>IF(V259="","",COUNTIFS($C$18:$C$2015,V$13,$D$18:$D$2015,"&gt;="&amp;V259,$D$18:$D$2015,"&lt;"&amp;V260))</f>
        <v/>
      </c>
      <c r="X259" s="14" t="n"/>
      <c r="Y259" s="16" t="n"/>
      <c r="Z259" s="124">
        <f>IF(Y259="","",COUNTIFS($C$18:$C$2015,Y$13,$D$18:$D$2015,"&gt;="&amp;Y259,$D$18:$D$2015,"&lt;"&amp;Y260))</f>
        <v/>
      </c>
      <c r="AA259" s="14" t="n"/>
      <c r="AB259" s="16" t="n"/>
      <c r="AC259" s="124">
        <f>IF(AB259="","",COUNTIFS($C$18:$C$2015,AB$13,$D$18:$D$2015,"&gt;="&amp;AB259,$D$18:$D$2015,"&lt;"&amp;AB260))</f>
        <v/>
      </c>
      <c r="AD259" s="14" t="n"/>
    </row>
    <row r="260">
      <c r="A260" s="56" t="n"/>
      <c r="B260" s="59" t="n"/>
      <c r="C260" s="59" t="n"/>
      <c r="E260" s="16" t="n"/>
      <c r="F260" s="13" t="n"/>
      <c r="G260" s="16" t="n"/>
      <c r="H260" s="124">
        <f>IF(G260="","",COUNTIFS($C$18:$C$2015,G$13,$D$18:$D$2015,"&gt;="&amp;G260,$D$18:$D$2015,"&lt;"&amp;G261))</f>
        <v/>
      </c>
      <c r="I260" s="14" t="n"/>
      <c r="J260" s="16" t="n"/>
      <c r="K260" s="124">
        <f>IF(J260="","",COUNTIFS($C$18:$C$2015,J$13,$D$18:$D$2015,"&gt;="&amp;J260,$D$18:$D$2015,"&lt;"&amp;J261))</f>
        <v/>
      </c>
      <c r="L260" s="14" t="n"/>
      <c r="M260" s="16" t="n"/>
      <c r="N260" s="124">
        <f>IF(M260="","",COUNTIFS($C$18:$C$2015,M$13,$D$18:$D$2015,"&gt;="&amp;M260,$D$18:$D$2015,"&lt;"&amp;M261))</f>
        <v/>
      </c>
      <c r="O260" s="14" t="n"/>
      <c r="P260" s="16" t="n"/>
      <c r="Q260" s="124">
        <f>IF(P260="","",COUNTIFS($C$18:$C$2015,P$13,$D$18:$D$2015,"&gt;="&amp;P260,$D$18:$D$2015,"&lt;"&amp;P261))</f>
        <v/>
      </c>
      <c r="R260" s="14" t="n"/>
      <c r="S260" s="16" t="n"/>
      <c r="T260" s="124">
        <f>IF(S260="","",COUNTIFS($C$18:$C$2015,S$13,$D$18:$D$2015,"&gt;="&amp;S260,$D$18:$D$2015,"&lt;"&amp;S261))</f>
        <v/>
      </c>
      <c r="U260" s="14" t="n"/>
      <c r="V260" s="16" t="n"/>
      <c r="W260" s="124">
        <f>IF(V260="","",COUNTIFS($C$18:$C$2015,V$13,$D$18:$D$2015,"&gt;="&amp;V260,$D$18:$D$2015,"&lt;"&amp;V261))</f>
        <v/>
      </c>
      <c r="X260" s="14" t="n"/>
      <c r="Y260" s="16" t="n"/>
      <c r="Z260" s="124">
        <f>IF(Y260="","",COUNTIFS($C$18:$C$2015,Y$13,$D$18:$D$2015,"&gt;="&amp;Y260,$D$18:$D$2015,"&lt;"&amp;Y261))</f>
        <v/>
      </c>
      <c r="AA260" s="14" t="n"/>
      <c r="AB260" s="16" t="n"/>
      <c r="AC260" s="124">
        <f>IF(AB260="","",COUNTIFS($C$18:$C$2015,AB$13,$D$18:$D$2015,"&gt;="&amp;AB260,$D$18:$D$2015,"&lt;"&amp;AB261))</f>
        <v/>
      </c>
      <c r="AD260" s="14" t="n"/>
    </row>
    <row r="261">
      <c r="A261" s="58" t="n"/>
      <c r="B261" s="59" t="n"/>
      <c r="C261" s="59" t="n"/>
      <c r="E261" s="16" t="n"/>
      <c r="F261" s="13" t="n"/>
      <c r="G261" s="16" t="n"/>
      <c r="H261" s="124">
        <f>IF(G261="","",COUNTIFS($C$18:$C$2015,G$13,$D$18:$D$2015,"&gt;="&amp;G261,$D$18:$D$2015,"&lt;"&amp;G262))</f>
        <v/>
      </c>
      <c r="I261" s="14" t="n"/>
      <c r="J261" s="16" t="n"/>
      <c r="K261" s="124">
        <f>IF(J261="","",COUNTIFS($C$18:$C$2015,J$13,$D$18:$D$2015,"&gt;="&amp;J261,$D$18:$D$2015,"&lt;"&amp;J262))</f>
        <v/>
      </c>
      <c r="L261" s="14" t="n"/>
      <c r="M261" s="16" t="n"/>
      <c r="N261" s="124">
        <f>IF(M261="","",COUNTIFS($C$18:$C$2015,M$13,$D$18:$D$2015,"&gt;="&amp;M261,$D$18:$D$2015,"&lt;"&amp;M262))</f>
        <v/>
      </c>
      <c r="O261" s="14" t="n"/>
      <c r="P261" s="16" t="n"/>
      <c r="Q261" s="124">
        <f>IF(P261="","",COUNTIFS($C$18:$C$2015,P$13,$D$18:$D$2015,"&gt;="&amp;P261,$D$18:$D$2015,"&lt;"&amp;P262))</f>
        <v/>
      </c>
      <c r="R261" s="14" t="n"/>
      <c r="S261" s="16" t="n"/>
      <c r="T261" s="124">
        <f>IF(S261="","",COUNTIFS($C$18:$C$2015,S$13,$D$18:$D$2015,"&gt;="&amp;S261,$D$18:$D$2015,"&lt;"&amp;S262))</f>
        <v/>
      </c>
      <c r="U261" s="14" t="n"/>
      <c r="V261" s="16" t="n"/>
      <c r="W261" s="124">
        <f>IF(V261="","",COUNTIFS($C$18:$C$2015,V$13,$D$18:$D$2015,"&gt;="&amp;V261,$D$18:$D$2015,"&lt;"&amp;V262))</f>
        <v/>
      </c>
      <c r="X261" s="14" t="n"/>
      <c r="Y261" s="16" t="n"/>
      <c r="Z261" s="124">
        <f>IF(Y261="","",COUNTIFS($C$18:$C$2015,Y$13,$D$18:$D$2015,"&gt;="&amp;Y261,$D$18:$D$2015,"&lt;"&amp;Y262))</f>
        <v/>
      </c>
      <c r="AA261" s="14" t="n"/>
      <c r="AB261" s="16" t="n"/>
      <c r="AC261" s="124">
        <f>IF(AB261="","",COUNTIFS($C$18:$C$2015,AB$13,$D$18:$D$2015,"&gt;="&amp;AB261,$D$18:$D$2015,"&lt;"&amp;AB262))</f>
        <v/>
      </c>
      <c r="AD261" s="14" t="n"/>
    </row>
    <row r="262">
      <c r="A262" s="56" t="n"/>
      <c r="B262" s="59" t="n"/>
      <c r="C262" s="59" t="n"/>
      <c r="E262" s="16" t="n"/>
      <c r="F262" s="13" t="n"/>
      <c r="G262" s="16" t="n"/>
      <c r="H262" s="124">
        <f>IF(G262="","",COUNTIFS($C$18:$C$2015,G$13,$D$18:$D$2015,"&gt;="&amp;G262,$D$18:$D$2015,"&lt;"&amp;G263))</f>
        <v/>
      </c>
      <c r="I262" s="14" t="n"/>
      <c r="J262" s="16" t="n"/>
      <c r="K262" s="124">
        <f>IF(J262="","",COUNTIFS($C$18:$C$2015,J$13,$D$18:$D$2015,"&gt;="&amp;J262,$D$18:$D$2015,"&lt;"&amp;J263))</f>
        <v/>
      </c>
      <c r="L262" s="14" t="n"/>
      <c r="M262" s="16" t="n"/>
      <c r="N262" s="124">
        <f>IF(M262="","",COUNTIFS($C$18:$C$2015,M$13,$D$18:$D$2015,"&gt;="&amp;M262,$D$18:$D$2015,"&lt;"&amp;M263))</f>
        <v/>
      </c>
      <c r="O262" s="14" t="n"/>
      <c r="P262" s="16" t="n"/>
      <c r="Q262" s="124">
        <f>IF(P262="","",COUNTIFS($C$18:$C$2015,P$13,$D$18:$D$2015,"&gt;="&amp;P262,$D$18:$D$2015,"&lt;"&amp;P263))</f>
        <v/>
      </c>
      <c r="R262" s="14" t="n"/>
      <c r="S262" s="16" t="n"/>
      <c r="T262" s="124">
        <f>IF(S262="","",COUNTIFS($C$18:$C$2015,S$13,$D$18:$D$2015,"&gt;="&amp;S262,$D$18:$D$2015,"&lt;"&amp;S263))</f>
        <v/>
      </c>
      <c r="U262" s="14" t="n"/>
      <c r="V262" s="16" t="n"/>
      <c r="W262" s="124">
        <f>IF(V262="","",COUNTIFS($C$18:$C$2015,V$13,$D$18:$D$2015,"&gt;="&amp;V262,$D$18:$D$2015,"&lt;"&amp;V263))</f>
        <v/>
      </c>
      <c r="X262" s="14" t="n"/>
      <c r="Y262" s="16" t="n"/>
      <c r="Z262" s="124">
        <f>IF(Y262="","",COUNTIFS($C$18:$C$2015,Y$13,$D$18:$D$2015,"&gt;="&amp;Y262,$D$18:$D$2015,"&lt;"&amp;Y263))</f>
        <v/>
      </c>
      <c r="AA262" s="14" t="n"/>
      <c r="AB262" s="16" t="n"/>
      <c r="AC262" s="124">
        <f>IF(AB262="","",COUNTIFS($C$18:$C$2015,AB$13,$D$18:$D$2015,"&gt;="&amp;AB262,$D$18:$D$2015,"&lt;"&amp;AB263))</f>
        <v/>
      </c>
      <c r="AD262" s="14" t="n"/>
    </row>
    <row r="263">
      <c r="A263" s="58" t="n"/>
      <c r="B263" s="59" t="n"/>
      <c r="C263" s="59" t="n"/>
      <c r="E263" s="16" t="n"/>
      <c r="F263" s="13" t="n"/>
      <c r="G263" s="16" t="n"/>
      <c r="H263" s="124">
        <f>IF(G263="","",COUNTIFS($C$18:$C$2015,G$13,$D$18:$D$2015,"&gt;="&amp;G263,$D$18:$D$2015,"&lt;"&amp;G264))</f>
        <v/>
      </c>
      <c r="I263" s="14" t="n"/>
      <c r="J263" s="16" t="n"/>
      <c r="K263" s="124">
        <f>IF(J263="","",COUNTIFS($C$18:$C$2015,J$13,$D$18:$D$2015,"&gt;="&amp;J263,$D$18:$D$2015,"&lt;"&amp;J264))</f>
        <v/>
      </c>
      <c r="L263" s="14" t="n"/>
      <c r="M263" s="16" t="n"/>
      <c r="N263" s="124">
        <f>IF(M263="","",COUNTIFS($C$18:$C$2015,M$13,$D$18:$D$2015,"&gt;="&amp;M263,$D$18:$D$2015,"&lt;"&amp;M264))</f>
        <v/>
      </c>
      <c r="O263" s="14" t="n"/>
      <c r="P263" s="16" t="n"/>
      <c r="Q263" s="124">
        <f>IF(P263="","",COUNTIFS($C$18:$C$2015,P$13,$D$18:$D$2015,"&gt;="&amp;P263,$D$18:$D$2015,"&lt;"&amp;P264))</f>
        <v/>
      </c>
      <c r="R263" s="14" t="n"/>
      <c r="S263" s="16" t="n"/>
      <c r="T263" s="124">
        <f>IF(S263="","",COUNTIFS($C$18:$C$2015,S$13,$D$18:$D$2015,"&gt;="&amp;S263,$D$18:$D$2015,"&lt;"&amp;S264))</f>
        <v/>
      </c>
      <c r="U263" s="14" t="n"/>
      <c r="V263" s="16" t="n"/>
      <c r="W263" s="124">
        <f>IF(V263="","",COUNTIFS($C$18:$C$2015,V$13,$D$18:$D$2015,"&gt;="&amp;V263,$D$18:$D$2015,"&lt;"&amp;V264))</f>
        <v/>
      </c>
      <c r="X263" s="14" t="n"/>
      <c r="Y263" s="16" t="n"/>
      <c r="Z263" s="124">
        <f>IF(Y263="","",COUNTIFS($C$18:$C$2015,Y$13,$D$18:$D$2015,"&gt;="&amp;Y263,$D$18:$D$2015,"&lt;"&amp;Y264))</f>
        <v/>
      </c>
      <c r="AA263" s="14" t="n"/>
      <c r="AB263" s="16" t="n"/>
      <c r="AC263" s="124">
        <f>IF(AB263="","",COUNTIFS($C$18:$C$2015,AB$13,$D$18:$D$2015,"&gt;="&amp;AB263,$D$18:$D$2015,"&lt;"&amp;AB264))</f>
        <v/>
      </c>
      <c r="AD263" s="14" t="n"/>
    </row>
    <row r="264">
      <c r="A264" s="56" t="n"/>
      <c r="B264" s="59" t="n"/>
      <c r="C264" s="59" t="n"/>
      <c r="E264" s="16" t="n"/>
      <c r="F264" s="13" t="n"/>
      <c r="G264" s="16" t="n"/>
      <c r="H264" s="124">
        <f>IF(G264="","",COUNTIFS($C$18:$C$2015,G$13,$D$18:$D$2015,"&gt;="&amp;G264,$D$18:$D$2015,"&lt;"&amp;G265))</f>
        <v/>
      </c>
      <c r="I264" s="14" t="n"/>
      <c r="J264" s="16" t="n"/>
      <c r="K264" s="124">
        <f>IF(J264="","",COUNTIFS($C$18:$C$2015,J$13,$D$18:$D$2015,"&gt;="&amp;J264,$D$18:$D$2015,"&lt;"&amp;J265))</f>
        <v/>
      </c>
      <c r="L264" s="14" t="n"/>
      <c r="M264" s="16" t="n"/>
      <c r="N264" s="124">
        <f>IF(M264="","",COUNTIFS($C$18:$C$2015,M$13,$D$18:$D$2015,"&gt;="&amp;M264,$D$18:$D$2015,"&lt;"&amp;M265))</f>
        <v/>
      </c>
      <c r="O264" s="14" t="n"/>
      <c r="P264" s="16" t="n"/>
      <c r="Q264" s="124">
        <f>IF(P264="","",COUNTIFS($C$18:$C$2015,P$13,$D$18:$D$2015,"&gt;="&amp;P264,$D$18:$D$2015,"&lt;"&amp;P265))</f>
        <v/>
      </c>
      <c r="R264" s="14" t="n"/>
      <c r="S264" s="16" t="n"/>
      <c r="T264" s="124">
        <f>IF(S264="","",COUNTIFS($C$18:$C$2015,S$13,$D$18:$D$2015,"&gt;="&amp;S264,$D$18:$D$2015,"&lt;"&amp;S265))</f>
        <v/>
      </c>
      <c r="U264" s="14" t="n"/>
      <c r="V264" s="16" t="n"/>
      <c r="W264" s="124">
        <f>IF(V264="","",COUNTIFS($C$18:$C$2015,V$13,$D$18:$D$2015,"&gt;="&amp;V264,$D$18:$D$2015,"&lt;"&amp;V265))</f>
        <v/>
      </c>
      <c r="X264" s="14" t="n"/>
      <c r="Y264" s="16" t="n"/>
      <c r="Z264" s="124">
        <f>IF(Y264="","",COUNTIFS($C$18:$C$2015,Y$13,$D$18:$D$2015,"&gt;="&amp;Y264,$D$18:$D$2015,"&lt;"&amp;Y265))</f>
        <v/>
      </c>
      <c r="AA264" s="14" t="n"/>
      <c r="AB264" s="16" t="n"/>
      <c r="AC264" s="124">
        <f>IF(AB264="","",COUNTIFS($C$18:$C$2015,AB$13,$D$18:$D$2015,"&gt;="&amp;AB264,$D$18:$D$2015,"&lt;"&amp;AB265))</f>
        <v/>
      </c>
      <c r="AD264" s="14" t="n"/>
    </row>
    <row r="265">
      <c r="A265" s="58" t="n"/>
      <c r="B265" s="59" t="n"/>
      <c r="C265" s="59" t="n"/>
      <c r="E265" s="16" t="n"/>
      <c r="F265" s="13" t="n"/>
      <c r="G265" s="16" t="n"/>
      <c r="H265" s="125" t="n"/>
      <c r="I265" s="14" t="n"/>
      <c r="J265" s="16" t="n"/>
      <c r="K265" s="125" t="n"/>
      <c r="L265" s="14" t="n"/>
      <c r="M265" s="16" t="n"/>
      <c r="N265" s="125" t="n"/>
      <c r="O265" s="14" t="n"/>
      <c r="P265" s="16" t="n"/>
      <c r="Q265" s="125" t="n"/>
      <c r="R265" s="14" t="n"/>
      <c r="S265" s="16" t="n"/>
      <c r="T265" s="125" t="n"/>
      <c r="U265" s="14" t="n"/>
      <c r="V265" s="16" t="n"/>
      <c r="W265" s="125" t="n"/>
      <c r="X265" s="14" t="n"/>
      <c r="Y265" s="16" t="n"/>
      <c r="Z265" s="125" t="n"/>
      <c r="AA265" s="14" t="n"/>
      <c r="AB265" s="16" t="n"/>
      <c r="AC265" s="125" t="n"/>
      <c r="AD265" s="14" t="n"/>
    </row>
    <row r="266">
      <c r="A266" s="56" t="n"/>
      <c r="B266" s="59" t="n"/>
      <c r="C266" s="59" t="n"/>
      <c r="E266" s="16" t="n"/>
      <c r="F266" s="13" t="n"/>
      <c r="G266" s="16" t="n"/>
      <c r="H266" s="125" t="n"/>
      <c r="I266" s="14" t="n"/>
      <c r="J266" s="16" t="n"/>
      <c r="K266" s="125" t="n"/>
      <c r="L266" s="14" t="n"/>
      <c r="M266" s="16" t="n"/>
      <c r="N266" s="125" t="n"/>
      <c r="O266" s="14" t="n"/>
      <c r="P266" s="16" t="n"/>
      <c r="Q266" s="125" t="n"/>
      <c r="R266" s="14" t="n"/>
      <c r="S266" s="16" t="n"/>
      <c r="T266" s="125" t="n"/>
      <c r="U266" s="14" t="n"/>
      <c r="V266" s="16" t="n"/>
      <c r="W266" s="125" t="n"/>
      <c r="X266" s="14" t="n"/>
      <c r="Y266" s="16" t="n"/>
      <c r="Z266" s="125" t="n"/>
      <c r="AA266" s="14" t="n"/>
      <c r="AB266" s="16" t="n"/>
      <c r="AC266" s="125" t="n"/>
      <c r="AD266" s="14" t="n"/>
    </row>
    <row r="267">
      <c r="A267" s="58" t="n"/>
      <c r="B267" s="59" t="n"/>
      <c r="C267" s="59" t="n"/>
      <c r="E267" s="16" t="n"/>
      <c r="F267" s="13" t="n"/>
      <c r="G267" s="16" t="n"/>
      <c r="H267" s="125" t="n"/>
      <c r="I267" s="14" t="n"/>
      <c r="J267" s="16" t="n"/>
      <c r="K267" s="125" t="n"/>
      <c r="L267" s="14" t="n"/>
      <c r="M267" s="16" t="n"/>
      <c r="N267" s="125" t="n"/>
      <c r="O267" s="14" t="n"/>
      <c r="P267" s="16" t="n"/>
      <c r="Q267" s="125" t="n"/>
      <c r="R267" s="14" t="n"/>
      <c r="S267" s="16" t="n"/>
      <c r="T267" s="125" t="n"/>
      <c r="U267" s="14" t="n"/>
      <c r="V267" s="16" t="n"/>
      <c r="W267" s="125" t="n"/>
      <c r="X267" s="14" t="n"/>
      <c r="Y267" s="16" t="n"/>
      <c r="Z267" s="125" t="n"/>
      <c r="AA267" s="14" t="n"/>
      <c r="AB267" s="16" t="n"/>
      <c r="AC267" s="125" t="n"/>
      <c r="AD267" s="14" t="n"/>
    </row>
    <row r="268">
      <c r="A268" s="56" t="n"/>
      <c r="B268" s="59" t="n"/>
      <c r="C268" s="59" t="n"/>
      <c r="E268" s="16" t="n"/>
      <c r="F268" s="13" t="n"/>
      <c r="G268" s="16" t="n"/>
      <c r="H268" s="125" t="n"/>
      <c r="I268" s="14" t="n"/>
      <c r="J268" s="16" t="n"/>
      <c r="K268" s="125" t="n"/>
      <c r="L268" s="14" t="n"/>
      <c r="M268" s="16" t="n"/>
      <c r="N268" s="125" t="n"/>
      <c r="O268" s="14" t="n"/>
      <c r="P268" s="16" t="n"/>
      <c r="Q268" s="125" t="n"/>
      <c r="R268" s="14" t="n"/>
      <c r="S268" s="16" t="n"/>
      <c r="T268" s="125" t="n"/>
      <c r="U268" s="14" t="n"/>
      <c r="V268" s="16" t="n"/>
      <c r="W268" s="125" t="n"/>
      <c r="X268" s="14" t="n"/>
      <c r="Y268" s="16" t="n"/>
      <c r="Z268" s="125" t="n"/>
      <c r="AA268" s="14" t="n"/>
      <c r="AB268" s="16" t="n"/>
      <c r="AC268" s="125" t="n"/>
      <c r="AD268" s="14" t="n"/>
    </row>
    <row r="269">
      <c r="A269" s="58" t="n"/>
      <c r="B269" s="59" t="n"/>
      <c r="C269" s="59" t="n"/>
      <c r="E269" s="16" t="n"/>
      <c r="F269" s="13" t="n"/>
      <c r="G269" s="16" t="n"/>
      <c r="H269" s="125" t="n"/>
      <c r="I269" s="14" t="n"/>
      <c r="J269" s="16" t="n"/>
      <c r="K269" s="125" t="n"/>
      <c r="L269" s="14" t="n"/>
      <c r="M269" s="16" t="n"/>
      <c r="N269" s="125" t="n"/>
      <c r="O269" s="14" t="n"/>
      <c r="P269" s="16" t="n"/>
      <c r="Q269" s="125" t="n"/>
      <c r="R269" s="14" t="n"/>
      <c r="S269" s="16" t="n"/>
      <c r="T269" s="125" t="n"/>
      <c r="U269" s="14" t="n"/>
      <c r="V269" s="16" t="n"/>
      <c r="W269" s="125" t="n"/>
      <c r="X269" s="14" t="n"/>
      <c r="Y269" s="16" t="n"/>
      <c r="Z269" s="125" t="n"/>
      <c r="AA269" s="14" t="n"/>
      <c r="AB269" s="16" t="n"/>
      <c r="AC269" s="125" t="n"/>
      <c r="AD269" s="14" t="n"/>
    </row>
    <row r="270">
      <c r="A270" s="56" t="n"/>
      <c r="B270" s="59" t="n"/>
      <c r="C270" s="59" t="n"/>
      <c r="E270" s="16" t="n"/>
      <c r="F270" s="13" t="n"/>
      <c r="G270" s="16" t="n"/>
      <c r="H270" s="125" t="n"/>
      <c r="I270" s="14" t="n"/>
      <c r="J270" s="16" t="n"/>
      <c r="K270" s="125" t="n"/>
      <c r="L270" s="14" t="n"/>
      <c r="M270" s="16" t="n"/>
      <c r="N270" s="125" t="n"/>
      <c r="O270" s="14" t="n"/>
      <c r="P270" s="16" t="n"/>
      <c r="Q270" s="125" t="n"/>
      <c r="R270" s="14" t="n"/>
      <c r="S270" s="16" t="n"/>
      <c r="T270" s="125" t="n"/>
      <c r="U270" s="14" t="n"/>
      <c r="V270" s="16" t="n"/>
      <c r="W270" s="125" t="n"/>
      <c r="X270" s="14" t="n"/>
      <c r="Y270" s="16" t="n"/>
      <c r="Z270" s="125" t="n"/>
      <c r="AA270" s="14" t="n"/>
      <c r="AB270" s="16" t="n"/>
      <c r="AC270" s="125" t="n"/>
      <c r="AD270" s="14" t="n"/>
    </row>
    <row r="271">
      <c r="A271" s="58" t="n"/>
      <c r="B271" s="59" t="n"/>
      <c r="C271" s="59" t="n"/>
      <c r="E271" s="16" t="n"/>
      <c r="F271" s="13" t="n"/>
      <c r="G271" s="16" t="n"/>
      <c r="H271" s="125" t="n"/>
      <c r="I271" s="14" t="n"/>
      <c r="J271" s="16" t="n"/>
      <c r="K271" s="125" t="n"/>
      <c r="L271" s="14" t="n"/>
      <c r="M271" s="16" t="n"/>
      <c r="N271" s="125" t="n"/>
      <c r="O271" s="14" t="n"/>
      <c r="P271" s="16" t="n"/>
      <c r="Q271" s="125" t="n"/>
      <c r="R271" s="14" t="n"/>
      <c r="S271" s="16" t="n"/>
      <c r="T271" s="125" t="n"/>
      <c r="U271" s="14" t="n"/>
      <c r="V271" s="16" t="n"/>
      <c r="W271" s="125" t="n"/>
      <c r="X271" s="14" t="n"/>
      <c r="Y271" s="16" t="n"/>
      <c r="Z271" s="125" t="n"/>
      <c r="AA271" s="14" t="n"/>
      <c r="AB271" s="16" t="n"/>
      <c r="AC271" s="125" t="n"/>
      <c r="AD271" s="14" t="n"/>
    </row>
    <row r="272">
      <c r="A272" s="56" t="n"/>
      <c r="B272" s="59" t="n"/>
      <c r="C272" s="59" t="n"/>
      <c r="E272" s="16" t="n"/>
      <c r="F272" s="13" t="n"/>
      <c r="G272" s="16" t="n"/>
      <c r="H272" s="125" t="n"/>
      <c r="I272" s="14" t="n"/>
      <c r="J272" s="16" t="n"/>
      <c r="K272" s="125" t="n"/>
      <c r="L272" s="14" t="n"/>
      <c r="M272" s="16" t="n"/>
      <c r="N272" s="125" t="n"/>
      <c r="O272" s="14" t="n"/>
      <c r="P272" s="16" t="n"/>
      <c r="Q272" s="125" t="n"/>
      <c r="R272" s="14" t="n"/>
      <c r="S272" s="16" t="n"/>
      <c r="T272" s="125" t="n"/>
      <c r="U272" s="14" t="n"/>
      <c r="V272" s="16" t="n"/>
      <c r="W272" s="125" t="n"/>
      <c r="X272" s="14" t="n"/>
      <c r="Y272" s="16" t="n"/>
      <c r="Z272" s="125" t="n"/>
      <c r="AA272" s="14" t="n"/>
      <c r="AB272" s="16" t="n"/>
      <c r="AC272" s="125" t="n"/>
      <c r="AD272" s="14" t="n"/>
    </row>
    <row r="273">
      <c r="A273" s="58" t="n"/>
      <c r="B273" s="59" t="n"/>
      <c r="C273" s="59" t="n"/>
      <c r="E273" s="16" t="n"/>
      <c r="F273" s="13" t="n"/>
      <c r="G273" s="16" t="n"/>
      <c r="H273" s="125" t="n"/>
      <c r="I273" s="14" t="n"/>
      <c r="J273" s="16" t="n"/>
      <c r="K273" s="125" t="n"/>
      <c r="L273" s="14" t="n"/>
      <c r="M273" s="16" t="n"/>
      <c r="N273" s="125" t="n"/>
      <c r="O273" s="14" t="n"/>
      <c r="P273" s="16" t="n"/>
      <c r="Q273" s="125" t="n"/>
      <c r="R273" s="14" t="n"/>
      <c r="S273" s="16" t="n"/>
      <c r="T273" s="125" t="n"/>
      <c r="U273" s="14" t="n"/>
      <c r="V273" s="16" t="n"/>
      <c r="W273" s="125" t="n"/>
      <c r="X273" s="14" t="n"/>
      <c r="Y273" s="16" t="n"/>
      <c r="Z273" s="125" t="n"/>
      <c r="AA273" s="14" t="n"/>
      <c r="AB273" s="16" t="n"/>
      <c r="AC273" s="125" t="n"/>
      <c r="AD273" s="14" t="n"/>
    </row>
    <row r="274">
      <c r="A274" s="56" t="n"/>
      <c r="B274" s="59" t="n"/>
      <c r="C274" s="59" t="n"/>
      <c r="E274" s="16" t="n"/>
      <c r="F274" s="13" t="n"/>
      <c r="G274" s="16" t="n"/>
      <c r="H274" s="125" t="n"/>
      <c r="I274" s="14" t="n"/>
      <c r="J274" s="16" t="n"/>
      <c r="K274" s="125" t="n"/>
      <c r="L274" s="14" t="n"/>
      <c r="M274" s="16" t="n"/>
      <c r="N274" s="125" t="n"/>
      <c r="O274" s="14" t="n"/>
      <c r="P274" s="16" t="n"/>
      <c r="Q274" s="125" t="n"/>
      <c r="R274" s="14" t="n"/>
      <c r="S274" s="16" t="n"/>
      <c r="T274" s="125" t="n"/>
      <c r="U274" s="14" t="n"/>
      <c r="V274" s="16" t="n"/>
      <c r="W274" s="125" t="n"/>
      <c r="X274" s="14" t="n"/>
      <c r="Y274" s="16" t="n"/>
      <c r="Z274" s="125" t="n"/>
      <c r="AA274" s="14" t="n"/>
      <c r="AB274" s="16" t="n"/>
      <c r="AC274" s="125" t="n"/>
      <c r="AD274" s="14" t="n"/>
    </row>
    <row r="275">
      <c r="A275" s="58" t="n"/>
      <c r="B275" s="59" t="n"/>
      <c r="C275" s="59" t="n"/>
      <c r="E275" s="16" t="n"/>
      <c r="F275" s="13" t="n"/>
      <c r="G275" s="16" t="n"/>
      <c r="H275" s="125" t="n"/>
      <c r="I275" s="14" t="n"/>
      <c r="J275" s="16" t="n"/>
      <c r="K275" s="125" t="n"/>
      <c r="L275" s="14" t="n"/>
      <c r="M275" s="16" t="n"/>
      <c r="N275" s="125" t="n"/>
      <c r="O275" s="14" t="n"/>
      <c r="P275" s="16" t="n"/>
      <c r="Q275" s="125" t="n"/>
      <c r="R275" s="14" t="n"/>
      <c r="S275" s="16" t="n"/>
      <c r="T275" s="125" t="n"/>
      <c r="U275" s="14" t="n"/>
      <c r="V275" s="16" t="n"/>
      <c r="W275" s="125" t="n"/>
      <c r="X275" s="14" t="n"/>
      <c r="Y275" s="16" t="n"/>
      <c r="Z275" s="125" t="n"/>
      <c r="AA275" s="14" t="n"/>
      <c r="AB275" s="16" t="n"/>
      <c r="AC275" s="125" t="n"/>
      <c r="AD275" s="14" t="n"/>
    </row>
    <row r="276">
      <c r="A276" s="56" t="n"/>
      <c r="B276" s="59" t="n"/>
      <c r="C276" s="59" t="n"/>
      <c r="E276" s="16" t="n"/>
      <c r="F276" s="13" t="n"/>
      <c r="G276" s="16" t="n"/>
      <c r="H276" s="125" t="n"/>
      <c r="I276" s="14" t="n"/>
      <c r="J276" s="16" t="n"/>
      <c r="K276" s="125" t="n"/>
      <c r="L276" s="14" t="n"/>
      <c r="M276" s="16" t="n"/>
      <c r="N276" s="125" t="n"/>
      <c r="O276" s="14" t="n"/>
      <c r="P276" s="16" t="n"/>
      <c r="Q276" s="125" t="n"/>
      <c r="R276" s="14" t="n"/>
      <c r="S276" s="16" t="n"/>
      <c r="T276" s="125" t="n"/>
      <c r="U276" s="14" t="n"/>
      <c r="V276" s="16" t="n"/>
      <c r="W276" s="125" t="n"/>
      <c r="X276" s="14" t="n"/>
      <c r="Y276" s="16" t="n"/>
      <c r="Z276" s="125" t="n"/>
      <c r="AA276" s="14" t="n"/>
      <c r="AB276" s="16" t="n"/>
      <c r="AC276" s="125" t="n"/>
      <c r="AD276" s="14" t="n"/>
    </row>
    <row r="277">
      <c r="A277" s="58" t="n"/>
      <c r="B277" s="59" t="n"/>
      <c r="C277" s="59" t="n"/>
      <c r="E277" s="16" t="n"/>
      <c r="F277" s="13" t="n"/>
      <c r="G277" s="16" t="n"/>
      <c r="H277" s="125" t="n"/>
      <c r="I277" s="14" t="n"/>
      <c r="J277" s="16" t="n"/>
      <c r="K277" s="125" t="n"/>
      <c r="L277" s="14" t="n"/>
      <c r="M277" s="16" t="n"/>
      <c r="N277" s="125" t="n"/>
      <c r="O277" s="14" t="n"/>
      <c r="P277" s="16" t="n"/>
      <c r="Q277" s="125" t="n"/>
      <c r="R277" s="14" t="n"/>
      <c r="S277" s="16" t="n"/>
      <c r="T277" s="125" t="n"/>
      <c r="U277" s="14" t="n"/>
      <c r="V277" s="16" t="n"/>
      <c r="W277" s="125" t="n"/>
      <c r="X277" s="14" t="n"/>
      <c r="Y277" s="16" t="n"/>
      <c r="Z277" s="125" t="n"/>
      <c r="AA277" s="14" t="n"/>
      <c r="AB277" s="16" t="n"/>
      <c r="AC277" s="125" t="n"/>
      <c r="AD277" s="14" t="n"/>
    </row>
    <row r="278">
      <c r="A278" s="56" t="n"/>
      <c r="B278" s="59" t="n"/>
      <c r="C278" s="59" t="n"/>
      <c r="E278" s="16" t="n"/>
      <c r="F278" s="13" t="n"/>
      <c r="G278" s="16" t="n"/>
      <c r="H278" s="125" t="n"/>
      <c r="I278" s="14" t="n"/>
      <c r="J278" s="16" t="n"/>
      <c r="K278" s="125" t="n"/>
      <c r="L278" s="14" t="n"/>
      <c r="M278" s="16" t="n"/>
      <c r="N278" s="125" t="n"/>
      <c r="O278" s="14" t="n"/>
      <c r="P278" s="16" t="n"/>
      <c r="Q278" s="125" t="n"/>
      <c r="R278" s="14" t="n"/>
      <c r="S278" s="16" t="n"/>
      <c r="T278" s="125" t="n"/>
      <c r="U278" s="14" t="n"/>
      <c r="V278" s="16" t="n"/>
      <c r="W278" s="125" t="n"/>
      <c r="X278" s="14" t="n"/>
      <c r="Y278" s="16" t="n"/>
      <c r="Z278" s="125" t="n"/>
      <c r="AA278" s="14" t="n"/>
      <c r="AB278" s="16" t="n"/>
      <c r="AC278" s="125" t="n"/>
      <c r="AD278" s="14" t="n"/>
    </row>
    <row r="279">
      <c r="A279" s="58" t="n"/>
      <c r="B279" s="59" t="n"/>
      <c r="C279" s="59" t="n"/>
      <c r="E279" s="16" t="n"/>
      <c r="F279" s="13" t="n"/>
      <c r="G279" s="16" t="n"/>
      <c r="H279" s="125" t="n"/>
      <c r="I279" s="14" t="n"/>
      <c r="J279" s="16" t="n"/>
      <c r="K279" s="125" t="n"/>
      <c r="L279" s="14" t="n"/>
      <c r="M279" s="16" t="n"/>
      <c r="N279" s="125" t="n"/>
      <c r="O279" s="14" t="n"/>
      <c r="P279" s="16" t="n"/>
      <c r="Q279" s="125" t="n"/>
      <c r="R279" s="14" t="n"/>
      <c r="S279" s="16" t="n"/>
      <c r="T279" s="125" t="n"/>
      <c r="U279" s="14" t="n"/>
      <c r="V279" s="16" t="n"/>
      <c r="W279" s="125" t="n"/>
      <c r="X279" s="14" t="n"/>
      <c r="Y279" s="16" t="n"/>
      <c r="Z279" s="125" t="n"/>
      <c r="AA279" s="14" t="n"/>
      <c r="AB279" s="16" t="n"/>
      <c r="AC279" s="125" t="n"/>
      <c r="AD279" s="14" t="n"/>
    </row>
    <row r="280">
      <c r="A280" s="56" t="n"/>
      <c r="B280" s="59" t="n"/>
      <c r="C280" s="59" t="n"/>
      <c r="E280" s="16" t="n"/>
      <c r="F280" s="13" t="n"/>
      <c r="G280" s="16" t="n"/>
      <c r="H280" s="125" t="n"/>
      <c r="I280" s="14" t="n"/>
      <c r="J280" s="16" t="n"/>
      <c r="K280" s="125" t="n"/>
      <c r="L280" s="14" t="n"/>
      <c r="M280" s="16" t="n"/>
      <c r="N280" s="125" t="n"/>
      <c r="O280" s="14" t="n"/>
      <c r="P280" s="16" t="n"/>
      <c r="Q280" s="125" t="n"/>
      <c r="R280" s="14" t="n"/>
      <c r="S280" s="16" t="n"/>
      <c r="T280" s="125" t="n"/>
      <c r="U280" s="14" t="n"/>
      <c r="V280" s="16" t="n"/>
      <c r="W280" s="125" t="n"/>
      <c r="X280" s="14" t="n"/>
      <c r="Y280" s="16" t="n"/>
      <c r="Z280" s="125" t="n"/>
      <c r="AA280" s="14" t="n"/>
      <c r="AB280" s="16" t="n"/>
      <c r="AC280" s="125" t="n"/>
      <c r="AD280" s="14" t="n"/>
    </row>
    <row r="281">
      <c r="A281" s="58" t="n"/>
      <c r="B281" s="59" t="n"/>
      <c r="C281" s="59" t="n"/>
      <c r="E281" s="16" t="n"/>
      <c r="F281" s="13" t="n"/>
      <c r="G281" s="16" t="n"/>
      <c r="H281" s="125" t="n"/>
      <c r="I281" s="14" t="n"/>
      <c r="J281" s="16" t="n"/>
      <c r="K281" s="125" t="n"/>
      <c r="L281" s="14" t="n"/>
      <c r="M281" s="16" t="n"/>
      <c r="N281" s="125" t="n"/>
      <c r="O281" s="14" t="n"/>
      <c r="P281" s="16" t="n"/>
      <c r="Q281" s="125" t="n"/>
      <c r="R281" s="14" t="n"/>
      <c r="S281" s="16" t="n"/>
      <c r="T281" s="125" t="n"/>
      <c r="U281" s="14" t="n"/>
      <c r="V281" s="16" t="n"/>
      <c r="W281" s="125" t="n"/>
      <c r="X281" s="14" t="n"/>
      <c r="Y281" s="16" t="n"/>
      <c r="Z281" s="125" t="n"/>
      <c r="AA281" s="14" t="n"/>
      <c r="AB281" s="16" t="n"/>
      <c r="AC281" s="125" t="n"/>
      <c r="AD281" s="14" t="n"/>
    </row>
    <row r="282">
      <c r="A282" s="56" t="n"/>
      <c r="B282" s="59" t="n"/>
      <c r="C282" s="59" t="n"/>
      <c r="E282" s="16" t="n"/>
      <c r="F282" s="13" t="n"/>
      <c r="G282" s="16" t="n"/>
      <c r="H282" s="125" t="n"/>
      <c r="I282" s="14" t="n"/>
      <c r="J282" s="16" t="n"/>
      <c r="K282" s="125" t="n"/>
      <c r="L282" s="14" t="n"/>
      <c r="M282" s="16" t="n"/>
      <c r="N282" s="125" t="n"/>
      <c r="O282" s="14" t="n"/>
      <c r="P282" s="16" t="n"/>
      <c r="Q282" s="125" t="n"/>
      <c r="R282" s="14" t="n"/>
      <c r="S282" s="16" t="n"/>
      <c r="T282" s="125" t="n"/>
      <c r="U282" s="14" t="n"/>
      <c r="V282" s="16" t="n"/>
      <c r="W282" s="125" t="n"/>
      <c r="X282" s="14" t="n"/>
      <c r="Y282" s="16" t="n"/>
      <c r="Z282" s="125" t="n"/>
      <c r="AA282" s="14" t="n"/>
      <c r="AB282" s="16" t="n"/>
      <c r="AC282" s="125" t="n"/>
      <c r="AD282" s="14" t="n"/>
    </row>
    <row r="283">
      <c r="A283" s="58" t="n"/>
      <c r="B283" s="59" t="n"/>
      <c r="C283" s="59" t="n"/>
      <c r="E283" s="16" t="n"/>
      <c r="F283" s="13" t="n"/>
      <c r="G283" s="16" t="n"/>
      <c r="H283" s="125" t="n"/>
      <c r="I283" s="14" t="n"/>
      <c r="J283" s="16" t="n"/>
      <c r="K283" s="125" t="n"/>
      <c r="L283" s="14" t="n"/>
      <c r="M283" s="16" t="n"/>
      <c r="N283" s="125" t="n"/>
      <c r="O283" s="14" t="n"/>
      <c r="P283" s="16" t="n"/>
      <c r="Q283" s="125" t="n"/>
      <c r="R283" s="14" t="n"/>
      <c r="S283" s="16" t="n"/>
      <c r="T283" s="125" t="n"/>
      <c r="U283" s="14" t="n"/>
      <c r="V283" s="16" t="n"/>
      <c r="W283" s="125" t="n"/>
      <c r="X283" s="14" t="n"/>
      <c r="Y283" s="16" t="n"/>
      <c r="Z283" s="125" t="n"/>
      <c r="AA283" s="14" t="n"/>
      <c r="AB283" s="16" t="n"/>
      <c r="AC283" s="125" t="n"/>
      <c r="AD283" s="14" t="n"/>
    </row>
    <row r="284">
      <c r="A284" s="56" t="n"/>
      <c r="B284" s="59" t="n"/>
      <c r="C284" s="59" t="n"/>
      <c r="E284" s="16" t="n"/>
      <c r="F284" s="13" t="n"/>
      <c r="G284" s="16" t="n"/>
      <c r="H284" s="125" t="n"/>
      <c r="I284" s="14" t="n"/>
      <c r="J284" s="16" t="n"/>
      <c r="K284" s="125" t="n"/>
      <c r="L284" s="14" t="n"/>
      <c r="M284" s="16" t="n"/>
      <c r="N284" s="125" t="n"/>
      <c r="O284" s="14" t="n"/>
      <c r="P284" s="16" t="n"/>
      <c r="Q284" s="125" t="n"/>
      <c r="R284" s="14" t="n"/>
      <c r="S284" s="16" t="n"/>
      <c r="T284" s="125" t="n"/>
      <c r="U284" s="14" t="n"/>
      <c r="V284" s="16" t="n"/>
      <c r="W284" s="125" t="n"/>
      <c r="X284" s="14" t="n"/>
      <c r="Y284" s="16" t="n"/>
      <c r="Z284" s="125" t="n"/>
      <c r="AA284" s="14" t="n"/>
      <c r="AB284" s="16" t="n"/>
      <c r="AC284" s="125" t="n"/>
      <c r="AD284" s="14" t="n"/>
    </row>
    <row r="285">
      <c r="A285" s="58" t="n"/>
      <c r="B285" s="59" t="n"/>
      <c r="C285" s="59" t="n"/>
      <c r="E285" s="16" t="n"/>
      <c r="F285" s="13" t="n"/>
      <c r="G285" s="16" t="n"/>
      <c r="H285" s="125" t="n"/>
      <c r="I285" s="14" t="n"/>
      <c r="J285" s="16" t="n"/>
      <c r="K285" s="125" t="n"/>
      <c r="L285" s="14" t="n"/>
      <c r="M285" s="16" t="n"/>
      <c r="N285" s="125" t="n"/>
      <c r="O285" s="14" t="n"/>
      <c r="P285" s="16" t="n"/>
      <c r="Q285" s="125" t="n"/>
      <c r="R285" s="14" t="n"/>
      <c r="S285" s="16" t="n"/>
      <c r="T285" s="125" t="n"/>
      <c r="U285" s="14" t="n"/>
      <c r="V285" s="16" t="n"/>
      <c r="W285" s="125" t="n"/>
      <c r="X285" s="14" t="n"/>
      <c r="Y285" s="16" t="n"/>
      <c r="Z285" s="125" t="n"/>
      <c r="AA285" s="14" t="n"/>
      <c r="AB285" s="16" t="n"/>
      <c r="AC285" s="125" t="n"/>
      <c r="AD285" s="14" t="n"/>
    </row>
    <row r="286">
      <c r="A286" s="56" t="n"/>
      <c r="B286" s="59" t="n"/>
      <c r="C286" s="59" t="n"/>
      <c r="E286" s="16" t="n"/>
      <c r="F286" s="13" t="n"/>
      <c r="G286" s="16" t="n"/>
      <c r="H286" s="125" t="n"/>
      <c r="I286" s="14" t="n"/>
      <c r="J286" s="16" t="n"/>
      <c r="K286" s="125" t="n"/>
      <c r="L286" s="14" t="n"/>
      <c r="M286" s="16" t="n"/>
      <c r="N286" s="125" t="n"/>
      <c r="O286" s="14" t="n"/>
      <c r="P286" s="16" t="n"/>
      <c r="Q286" s="125" t="n"/>
      <c r="R286" s="14" t="n"/>
      <c r="S286" s="16" t="n"/>
      <c r="T286" s="125" t="n"/>
      <c r="U286" s="14" t="n"/>
      <c r="V286" s="16" t="n"/>
      <c r="W286" s="125" t="n"/>
      <c r="X286" s="14" t="n"/>
      <c r="Y286" s="16" t="n"/>
      <c r="Z286" s="125" t="n"/>
      <c r="AA286" s="14" t="n"/>
      <c r="AB286" s="16" t="n"/>
      <c r="AC286" s="125" t="n"/>
      <c r="AD286" s="14" t="n"/>
    </row>
    <row r="287">
      <c r="A287" s="58" t="n"/>
      <c r="B287" s="59" t="n"/>
      <c r="C287" s="59" t="n"/>
      <c r="E287" s="16" t="n"/>
      <c r="F287" s="13" t="n"/>
      <c r="G287" s="16" t="n"/>
      <c r="H287" s="125" t="n"/>
      <c r="I287" s="14" t="n"/>
      <c r="J287" s="16" t="n"/>
      <c r="K287" s="125" t="n"/>
      <c r="L287" s="14" t="n"/>
      <c r="M287" s="16" t="n"/>
      <c r="N287" s="125" t="n"/>
      <c r="O287" s="14" t="n"/>
      <c r="P287" s="16" t="n"/>
      <c r="Q287" s="125" t="n"/>
      <c r="R287" s="14" t="n"/>
      <c r="S287" s="16" t="n"/>
      <c r="T287" s="125" t="n"/>
      <c r="U287" s="14" t="n"/>
      <c r="V287" s="16" t="n"/>
      <c r="W287" s="125" t="n"/>
      <c r="X287" s="14" t="n"/>
      <c r="Y287" s="16" t="n"/>
      <c r="Z287" s="125" t="n"/>
      <c r="AA287" s="14" t="n"/>
      <c r="AB287" s="16" t="n"/>
      <c r="AC287" s="125" t="n"/>
      <c r="AD287" s="14" t="n"/>
    </row>
    <row r="288">
      <c r="A288" s="56" t="n"/>
      <c r="B288" s="59" t="n"/>
      <c r="C288" s="59" t="n"/>
      <c r="E288" s="16" t="n"/>
      <c r="F288" s="13" t="n"/>
      <c r="G288" s="16" t="n"/>
      <c r="H288" s="125" t="n"/>
      <c r="I288" s="14" t="n"/>
      <c r="J288" s="16" t="n"/>
      <c r="K288" s="125" t="n"/>
      <c r="L288" s="14" t="n"/>
      <c r="M288" s="16" t="n"/>
      <c r="N288" s="125" t="n"/>
      <c r="O288" s="14" t="n"/>
      <c r="P288" s="16" t="n"/>
      <c r="Q288" s="125" t="n"/>
      <c r="R288" s="14" t="n"/>
      <c r="S288" s="16" t="n"/>
      <c r="T288" s="125" t="n"/>
      <c r="U288" s="14" t="n"/>
      <c r="V288" s="16" t="n"/>
      <c r="W288" s="125" t="n"/>
      <c r="X288" s="14" t="n"/>
      <c r="Y288" s="16" t="n"/>
      <c r="Z288" s="125" t="n"/>
      <c r="AA288" s="14" t="n"/>
      <c r="AB288" s="16" t="n"/>
      <c r="AC288" s="125" t="n"/>
      <c r="AD288" s="14" t="n"/>
    </row>
    <row r="289">
      <c r="A289" s="58" t="n"/>
      <c r="B289" s="59" t="n"/>
      <c r="C289" s="59" t="n"/>
      <c r="E289" s="16" t="n"/>
      <c r="F289" s="13" t="n"/>
      <c r="G289" s="16" t="n"/>
      <c r="H289" s="125" t="n"/>
      <c r="I289" s="14" t="n"/>
      <c r="J289" s="16" t="n"/>
      <c r="K289" s="125" t="n"/>
      <c r="L289" s="14" t="n"/>
      <c r="M289" s="16" t="n"/>
      <c r="N289" s="125" t="n"/>
      <c r="O289" s="14" t="n"/>
      <c r="P289" s="16" t="n"/>
      <c r="Q289" s="125" t="n"/>
      <c r="R289" s="14" t="n"/>
      <c r="S289" s="16" t="n"/>
      <c r="T289" s="125" t="n"/>
      <c r="U289" s="14" t="n"/>
      <c r="V289" s="16" t="n"/>
      <c r="W289" s="125" t="n"/>
      <c r="X289" s="14" t="n"/>
      <c r="Y289" s="16" t="n"/>
      <c r="Z289" s="125" t="n"/>
      <c r="AA289" s="14" t="n"/>
      <c r="AB289" s="16" t="n"/>
      <c r="AC289" s="125" t="n"/>
      <c r="AD289" s="14" t="n"/>
    </row>
    <row r="290">
      <c r="A290" s="56" t="n"/>
      <c r="B290" s="59" t="n"/>
      <c r="C290" s="59" t="n"/>
      <c r="E290" s="16" t="n"/>
      <c r="F290" s="13" t="n"/>
      <c r="G290" s="16" t="n"/>
      <c r="H290" s="125" t="n"/>
      <c r="I290" s="14" t="n"/>
      <c r="J290" s="16" t="n"/>
      <c r="K290" s="125" t="n"/>
      <c r="L290" s="14" t="n"/>
      <c r="M290" s="16" t="n"/>
      <c r="N290" s="125" t="n"/>
      <c r="O290" s="14" t="n"/>
      <c r="P290" s="16" t="n"/>
      <c r="Q290" s="125" t="n"/>
      <c r="R290" s="14" t="n"/>
      <c r="S290" s="16" t="n"/>
      <c r="T290" s="125" t="n"/>
      <c r="U290" s="14" t="n"/>
      <c r="V290" s="16" t="n"/>
      <c r="W290" s="125" t="n"/>
      <c r="X290" s="14" t="n"/>
      <c r="Y290" s="16" t="n"/>
      <c r="Z290" s="125" t="n"/>
      <c r="AA290" s="14" t="n"/>
      <c r="AB290" s="16" t="n"/>
      <c r="AC290" s="125" t="n"/>
      <c r="AD290" s="14" t="n"/>
    </row>
    <row r="291">
      <c r="A291" s="58" t="n"/>
      <c r="B291" s="59" t="n"/>
      <c r="C291" s="59" t="n"/>
      <c r="E291" s="16" t="n"/>
      <c r="F291" s="13" t="n"/>
      <c r="G291" s="16" t="n"/>
      <c r="H291" s="125" t="n"/>
      <c r="I291" s="14" t="n"/>
      <c r="J291" s="16" t="n"/>
      <c r="K291" s="125" t="n"/>
      <c r="L291" s="14" t="n"/>
      <c r="M291" s="16" t="n"/>
      <c r="N291" s="125" t="n"/>
      <c r="O291" s="14" t="n"/>
      <c r="P291" s="16" t="n"/>
      <c r="Q291" s="125" t="n"/>
      <c r="R291" s="14" t="n"/>
      <c r="S291" s="16" t="n"/>
      <c r="T291" s="125" t="n"/>
      <c r="U291" s="14" t="n"/>
      <c r="V291" s="16" t="n"/>
      <c r="W291" s="125" t="n"/>
      <c r="X291" s="14" t="n"/>
      <c r="Y291" s="16" t="n"/>
      <c r="Z291" s="125" t="n"/>
      <c r="AA291" s="14" t="n"/>
      <c r="AB291" s="16" t="n"/>
      <c r="AC291" s="125" t="n"/>
      <c r="AD291" s="14" t="n"/>
    </row>
    <row r="292">
      <c r="A292" s="56" t="n"/>
      <c r="B292" s="59" t="n"/>
      <c r="C292" s="59" t="n"/>
      <c r="E292" s="16" t="n"/>
      <c r="F292" s="13" t="n"/>
      <c r="G292" s="16" t="n"/>
      <c r="H292" s="125" t="n"/>
      <c r="I292" s="14" t="n"/>
      <c r="J292" s="16" t="n"/>
      <c r="K292" s="125" t="n"/>
      <c r="L292" s="14" t="n"/>
      <c r="M292" s="16" t="n"/>
      <c r="N292" s="125" t="n"/>
      <c r="O292" s="14" t="n"/>
      <c r="P292" s="16" t="n"/>
      <c r="Q292" s="125" t="n"/>
      <c r="R292" s="14" t="n"/>
      <c r="S292" s="16" t="n"/>
      <c r="T292" s="125" t="n"/>
      <c r="U292" s="14" t="n"/>
      <c r="V292" s="16" t="n"/>
      <c r="W292" s="125" t="n"/>
      <c r="X292" s="14" t="n"/>
      <c r="Y292" s="16" t="n"/>
      <c r="Z292" s="125" t="n"/>
      <c r="AA292" s="14" t="n"/>
      <c r="AB292" s="16" t="n"/>
      <c r="AC292" s="125" t="n"/>
      <c r="AD292" s="14" t="n"/>
    </row>
    <row r="293">
      <c r="A293" s="58" t="n"/>
      <c r="B293" s="59" t="n"/>
      <c r="C293" s="59" t="n"/>
      <c r="E293" s="16" t="n"/>
      <c r="F293" s="13" t="n"/>
      <c r="G293" s="16" t="n"/>
      <c r="H293" s="125" t="n"/>
      <c r="I293" s="14" t="n"/>
      <c r="J293" s="16" t="n"/>
      <c r="K293" s="125" t="n"/>
      <c r="L293" s="14" t="n"/>
      <c r="M293" s="16" t="n"/>
      <c r="N293" s="125" t="n"/>
      <c r="O293" s="14" t="n"/>
      <c r="P293" s="16" t="n"/>
      <c r="Q293" s="125" t="n"/>
      <c r="R293" s="14" t="n"/>
      <c r="S293" s="16" t="n"/>
      <c r="T293" s="125" t="n"/>
      <c r="U293" s="14" t="n"/>
      <c r="V293" s="16" t="n"/>
      <c r="W293" s="125" t="n"/>
      <c r="X293" s="14" t="n"/>
      <c r="Y293" s="16" t="n"/>
      <c r="Z293" s="125" t="n"/>
      <c r="AA293" s="14" t="n"/>
      <c r="AB293" s="16" t="n"/>
      <c r="AC293" s="125" t="n"/>
      <c r="AD293" s="14" t="n"/>
    </row>
    <row r="294">
      <c r="A294" s="56" t="n"/>
      <c r="B294" s="59" t="n"/>
      <c r="C294" s="59" t="n"/>
      <c r="E294" s="16" t="n"/>
      <c r="F294" s="13" t="n"/>
      <c r="G294" s="16" t="n"/>
      <c r="H294" s="125" t="n"/>
      <c r="I294" s="14" t="n"/>
      <c r="J294" s="16" t="n"/>
      <c r="K294" s="125" t="n"/>
      <c r="L294" s="14" t="n"/>
      <c r="M294" s="16" t="n"/>
      <c r="N294" s="125" t="n"/>
      <c r="O294" s="14" t="n"/>
      <c r="P294" s="16" t="n"/>
      <c r="Q294" s="125" t="n"/>
      <c r="R294" s="14" t="n"/>
      <c r="S294" s="16" t="n"/>
      <c r="T294" s="125" t="n"/>
      <c r="U294" s="14" t="n"/>
      <c r="V294" s="16" t="n"/>
      <c r="W294" s="125" t="n"/>
      <c r="X294" s="14" t="n"/>
      <c r="Y294" s="16" t="n"/>
      <c r="Z294" s="125" t="n"/>
      <c r="AA294" s="14" t="n"/>
      <c r="AB294" s="16" t="n"/>
      <c r="AC294" s="125" t="n"/>
      <c r="AD294" s="14" t="n"/>
    </row>
    <row r="295">
      <c r="A295" s="58" t="n"/>
      <c r="B295" s="59" t="n"/>
      <c r="C295" s="59" t="n"/>
      <c r="E295" s="16" t="n"/>
      <c r="F295" s="13" t="n"/>
      <c r="G295" s="16" t="n"/>
      <c r="H295" s="125" t="n"/>
      <c r="I295" s="14" t="n"/>
      <c r="J295" s="16" t="n"/>
      <c r="K295" s="125" t="n"/>
      <c r="L295" s="14" t="n"/>
      <c r="M295" s="16" t="n"/>
      <c r="N295" s="125" t="n"/>
      <c r="O295" s="14" t="n"/>
      <c r="P295" s="16" t="n"/>
      <c r="Q295" s="125" t="n"/>
      <c r="R295" s="14" t="n"/>
      <c r="S295" s="16" t="n"/>
      <c r="T295" s="125" t="n"/>
      <c r="U295" s="14" t="n"/>
      <c r="V295" s="16" t="n"/>
      <c r="W295" s="125" t="n"/>
      <c r="X295" s="14" t="n"/>
      <c r="Y295" s="16" t="n"/>
      <c r="Z295" s="125" t="n"/>
      <c r="AA295" s="14" t="n"/>
      <c r="AB295" s="16" t="n"/>
      <c r="AC295" s="125" t="n"/>
      <c r="AD295" s="14" t="n"/>
    </row>
    <row r="296">
      <c r="A296" s="56" t="n"/>
      <c r="B296" s="59" t="n"/>
      <c r="C296" s="59" t="n"/>
      <c r="E296" s="16" t="n"/>
      <c r="F296" s="13" t="n"/>
      <c r="G296" s="16" t="n"/>
      <c r="H296" s="125" t="n"/>
      <c r="I296" s="14" t="n"/>
      <c r="J296" s="16" t="n"/>
      <c r="K296" s="125" t="n"/>
      <c r="L296" s="14" t="n"/>
      <c r="M296" s="16" t="n"/>
      <c r="N296" s="125" t="n"/>
      <c r="O296" s="14" t="n"/>
      <c r="P296" s="16" t="n"/>
      <c r="Q296" s="125" t="n"/>
      <c r="R296" s="14" t="n"/>
      <c r="S296" s="16" t="n"/>
      <c r="T296" s="125" t="n"/>
      <c r="U296" s="14" t="n"/>
      <c r="V296" s="16" t="n"/>
      <c r="W296" s="125" t="n"/>
      <c r="X296" s="14" t="n"/>
      <c r="Y296" s="16" t="n"/>
      <c r="Z296" s="125" t="n"/>
      <c r="AA296" s="14" t="n"/>
      <c r="AB296" s="16" t="n"/>
      <c r="AC296" s="125" t="n"/>
      <c r="AD296" s="14" t="n"/>
    </row>
    <row r="297">
      <c r="A297" s="58" t="n"/>
      <c r="B297" s="59" t="n"/>
      <c r="C297" s="59" t="n"/>
      <c r="E297" s="16" t="n"/>
      <c r="F297" s="13" t="n"/>
      <c r="G297" s="16" t="n"/>
      <c r="H297" s="125" t="n"/>
      <c r="I297" s="14" t="n"/>
      <c r="J297" s="16" t="n"/>
      <c r="K297" s="125" t="n"/>
      <c r="L297" s="14" t="n"/>
      <c r="M297" s="16" t="n"/>
      <c r="N297" s="125" t="n"/>
      <c r="O297" s="14" t="n"/>
      <c r="P297" s="16" t="n"/>
      <c r="Q297" s="125" t="n"/>
      <c r="R297" s="14" t="n"/>
      <c r="S297" s="16" t="n"/>
      <c r="T297" s="125" t="n"/>
      <c r="U297" s="14" t="n"/>
      <c r="V297" s="16" t="n"/>
      <c r="W297" s="125" t="n"/>
      <c r="X297" s="14" t="n"/>
      <c r="Y297" s="16" t="n"/>
      <c r="Z297" s="125" t="n"/>
      <c r="AA297" s="14" t="n"/>
      <c r="AB297" s="16" t="n"/>
      <c r="AC297" s="125" t="n"/>
      <c r="AD297" s="14" t="n"/>
    </row>
    <row r="298">
      <c r="A298" s="56" t="n"/>
      <c r="B298" s="59" t="n"/>
      <c r="C298" s="59" t="n"/>
      <c r="E298" s="16" t="n"/>
      <c r="F298" s="13" t="n"/>
      <c r="G298" s="16" t="n"/>
      <c r="H298" s="125" t="n"/>
      <c r="I298" s="14" t="n"/>
      <c r="J298" s="16" t="n"/>
      <c r="K298" s="125" t="n"/>
      <c r="L298" s="14" t="n"/>
      <c r="M298" s="16" t="n"/>
      <c r="N298" s="125" t="n"/>
      <c r="O298" s="14" t="n"/>
      <c r="P298" s="16" t="n"/>
      <c r="Q298" s="125" t="n"/>
      <c r="R298" s="14" t="n"/>
      <c r="S298" s="16" t="n"/>
      <c r="T298" s="125" t="n"/>
      <c r="U298" s="14" t="n"/>
      <c r="V298" s="16" t="n"/>
      <c r="W298" s="125" t="n"/>
      <c r="X298" s="14" t="n"/>
      <c r="Y298" s="16" t="n"/>
      <c r="Z298" s="125" t="n"/>
      <c r="AA298" s="14" t="n"/>
      <c r="AB298" s="16" t="n"/>
      <c r="AC298" s="125" t="n"/>
      <c r="AD298" s="14" t="n"/>
    </row>
    <row r="299">
      <c r="A299" s="58" t="n"/>
      <c r="B299" s="59" t="n"/>
      <c r="C299" s="59" t="n"/>
      <c r="E299" s="16" t="n"/>
      <c r="F299" s="13" t="n"/>
      <c r="G299" s="16" t="n"/>
      <c r="H299" s="125" t="n"/>
      <c r="I299" s="14" t="n"/>
      <c r="J299" s="16" t="n"/>
      <c r="K299" s="125" t="n"/>
      <c r="L299" s="14" t="n"/>
      <c r="M299" s="16" t="n"/>
      <c r="N299" s="125" t="n"/>
      <c r="O299" s="14" t="n"/>
      <c r="P299" s="16" t="n"/>
      <c r="Q299" s="125" t="n"/>
      <c r="R299" s="14" t="n"/>
      <c r="S299" s="16" t="n"/>
      <c r="T299" s="125" t="n"/>
      <c r="U299" s="14" t="n"/>
      <c r="V299" s="16" t="n"/>
      <c r="W299" s="125" t="n"/>
      <c r="X299" s="14" t="n"/>
      <c r="Y299" s="16" t="n"/>
      <c r="Z299" s="125" t="n"/>
      <c r="AA299" s="14" t="n"/>
      <c r="AB299" s="16" t="n"/>
      <c r="AC299" s="125" t="n"/>
      <c r="AD299" s="14" t="n"/>
    </row>
    <row r="300">
      <c r="A300" s="56" t="n"/>
      <c r="B300" s="59" t="n"/>
      <c r="C300" s="59" t="n"/>
      <c r="E300" s="16" t="n"/>
      <c r="F300" s="13" t="n"/>
      <c r="G300" s="16" t="n"/>
      <c r="H300" s="125" t="n"/>
      <c r="I300" s="14" t="n"/>
      <c r="J300" s="16" t="n"/>
      <c r="K300" s="125" t="n"/>
      <c r="L300" s="14" t="n"/>
      <c r="M300" s="16" t="n"/>
      <c r="N300" s="125" t="n"/>
      <c r="O300" s="14" t="n"/>
      <c r="P300" s="16" t="n"/>
      <c r="Q300" s="125" t="n"/>
      <c r="R300" s="14" t="n"/>
      <c r="S300" s="16" t="n"/>
      <c r="T300" s="125" t="n"/>
      <c r="U300" s="14" t="n"/>
      <c r="V300" s="16" t="n"/>
      <c r="W300" s="125" t="n"/>
      <c r="X300" s="14" t="n"/>
      <c r="Y300" s="16" t="n"/>
      <c r="Z300" s="125" t="n"/>
      <c r="AA300" s="14" t="n"/>
      <c r="AB300" s="16" t="n"/>
      <c r="AC300" s="125" t="n"/>
      <c r="AD300" s="14" t="n"/>
    </row>
    <row r="301">
      <c r="A301" s="58" t="n"/>
      <c r="B301" s="59" t="n"/>
      <c r="C301" s="59" t="n"/>
      <c r="E301" s="16" t="n"/>
      <c r="F301" s="13" t="n"/>
      <c r="G301" s="16" t="n"/>
      <c r="H301" s="125" t="n"/>
      <c r="I301" s="14" t="n"/>
      <c r="J301" s="16" t="n"/>
      <c r="K301" s="125" t="n"/>
      <c r="L301" s="14" t="n"/>
      <c r="M301" s="16" t="n"/>
      <c r="N301" s="125" t="n"/>
      <c r="O301" s="14" t="n"/>
      <c r="P301" s="16" t="n"/>
      <c r="Q301" s="125" t="n"/>
      <c r="R301" s="14" t="n"/>
      <c r="S301" s="16" t="n"/>
      <c r="T301" s="125" t="n"/>
      <c r="U301" s="14" t="n"/>
      <c r="V301" s="16" t="n"/>
      <c r="W301" s="125" t="n"/>
      <c r="X301" s="14" t="n"/>
      <c r="Y301" s="16" t="n"/>
      <c r="Z301" s="125" t="n"/>
      <c r="AA301" s="14" t="n"/>
      <c r="AB301" s="16" t="n"/>
      <c r="AC301" s="125" t="n"/>
      <c r="AD301" s="14" t="n"/>
    </row>
    <row r="302">
      <c r="A302" s="56" t="n"/>
      <c r="B302" s="59" t="n"/>
      <c r="C302" s="59" t="n"/>
      <c r="E302" s="16" t="n"/>
      <c r="F302" s="13" t="n"/>
      <c r="G302" s="16" t="n"/>
      <c r="H302" s="125" t="n"/>
      <c r="I302" s="14" t="n"/>
      <c r="J302" s="16" t="n"/>
      <c r="K302" s="125" t="n"/>
      <c r="L302" s="14" t="n"/>
      <c r="M302" s="16" t="n"/>
      <c r="N302" s="125" t="n"/>
      <c r="O302" s="14" t="n"/>
      <c r="P302" s="16" t="n"/>
      <c r="Q302" s="125" t="n"/>
      <c r="R302" s="14" t="n"/>
      <c r="S302" s="16" t="n"/>
      <c r="T302" s="125" t="n"/>
      <c r="U302" s="14" t="n"/>
      <c r="V302" s="16" t="n"/>
      <c r="W302" s="125" t="n"/>
      <c r="X302" s="14" t="n"/>
      <c r="Y302" s="16" t="n"/>
      <c r="Z302" s="125" t="n"/>
      <c r="AA302" s="14" t="n"/>
      <c r="AB302" s="16" t="n"/>
      <c r="AC302" s="125" t="n"/>
      <c r="AD302" s="14" t="n"/>
    </row>
    <row r="303">
      <c r="A303" s="58" t="n"/>
      <c r="B303" s="59" t="n"/>
      <c r="C303" s="59" t="n"/>
      <c r="E303" s="16" t="n"/>
      <c r="F303" s="13" t="n"/>
      <c r="G303" s="16" t="n"/>
      <c r="H303" s="125" t="n"/>
      <c r="I303" s="14" t="n"/>
      <c r="J303" s="16" t="n"/>
      <c r="K303" s="125" t="n"/>
      <c r="L303" s="14" t="n"/>
      <c r="M303" s="16" t="n"/>
      <c r="N303" s="125" t="n"/>
      <c r="O303" s="14" t="n"/>
      <c r="P303" s="16" t="n"/>
      <c r="Q303" s="125" t="n"/>
      <c r="R303" s="14" t="n"/>
      <c r="S303" s="16" t="n"/>
      <c r="T303" s="125" t="n"/>
      <c r="U303" s="14" t="n"/>
      <c r="V303" s="16" t="n"/>
      <c r="W303" s="125" t="n"/>
      <c r="X303" s="14" t="n"/>
      <c r="Y303" s="16" t="n"/>
      <c r="Z303" s="125" t="n"/>
      <c r="AA303" s="14" t="n"/>
      <c r="AB303" s="16" t="n"/>
      <c r="AC303" s="125" t="n"/>
      <c r="AD303" s="14" t="n"/>
    </row>
    <row r="304">
      <c r="A304" s="56" t="n"/>
      <c r="B304" s="59" t="n"/>
      <c r="C304" s="59" t="n"/>
      <c r="E304" s="16" t="n"/>
      <c r="F304" s="13" t="n"/>
      <c r="G304" s="16" t="n"/>
      <c r="H304" s="125" t="n"/>
      <c r="I304" s="14" t="n"/>
      <c r="J304" s="16" t="n"/>
      <c r="K304" s="125" t="n"/>
      <c r="L304" s="14" t="n"/>
      <c r="M304" s="16" t="n"/>
      <c r="N304" s="125" t="n"/>
      <c r="O304" s="14" t="n"/>
      <c r="P304" s="16" t="n"/>
      <c r="Q304" s="125" t="n"/>
      <c r="R304" s="14" t="n"/>
      <c r="S304" s="16" t="n"/>
      <c r="T304" s="125" t="n"/>
      <c r="U304" s="14" t="n"/>
      <c r="V304" s="16" t="n"/>
      <c r="W304" s="125" t="n"/>
      <c r="X304" s="14" t="n"/>
      <c r="Y304" s="16" t="n"/>
      <c r="Z304" s="125" t="n"/>
      <c r="AA304" s="14" t="n"/>
      <c r="AB304" s="16" t="n"/>
      <c r="AC304" s="125" t="n"/>
      <c r="AD304" s="14" t="n"/>
    </row>
    <row r="305">
      <c r="A305" s="58" t="n"/>
      <c r="B305" s="59" t="n"/>
      <c r="C305" s="59" t="n"/>
      <c r="E305" s="16" t="n"/>
      <c r="F305" s="13" t="n"/>
      <c r="G305" s="16" t="n"/>
      <c r="H305" s="125" t="n"/>
      <c r="I305" s="14" t="n"/>
      <c r="J305" s="16" t="n"/>
      <c r="K305" s="125" t="n"/>
      <c r="L305" s="14" t="n"/>
      <c r="M305" s="16" t="n"/>
      <c r="N305" s="125" t="n"/>
      <c r="O305" s="14" t="n"/>
      <c r="P305" s="16" t="n"/>
      <c r="Q305" s="125" t="n"/>
      <c r="R305" s="14" t="n"/>
      <c r="S305" s="16" t="n"/>
      <c r="T305" s="125" t="n"/>
      <c r="U305" s="14" t="n"/>
      <c r="V305" s="16" t="n"/>
      <c r="W305" s="125" t="n"/>
      <c r="X305" s="14" t="n"/>
      <c r="Y305" s="16" t="n"/>
      <c r="Z305" s="125" t="n"/>
      <c r="AA305" s="14" t="n"/>
      <c r="AB305" s="16" t="n"/>
      <c r="AC305" s="125" t="n"/>
      <c r="AD305" s="14" t="n"/>
    </row>
    <row r="306">
      <c r="A306" s="56" t="n"/>
      <c r="B306" s="59" t="n"/>
      <c r="C306" s="59" t="n"/>
      <c r="E306" s="16" t="n"/>
      <c r="F306" s="13" t="n"/>
      <c r="G306" s="16" t="n"/>
      <c r="H306" s="125" t="n"/>
      <c r="I306" s="14" t="n"/>
      <c r="J306" s="16" t="n"/>
      <c r="K306" s="125" t="n"/>
      <c r="L306" s="14" t="n"/>
      <c r="M306" s="16" t="n"/>
      <c r="N306" s="125" t="n"/>
      <c r="O306" s="14" t="n"/>
      <c r="P306" s="16" t="n"/>
      <c r="Q306" s="125" t="n"/>
      <c r="R306" s="14" t="n"/>
      <c r="S306" s="16" t="n"/>
      <c r="T306" s="125" t="n"/>
      <c r="U306" s="14" t="n"/>
      <c r="V306" s="16" t="n"/>
      <c r="W306" s="125" t="n"/>
      <c r="X306" s="14" t="n"/>
      <c r="Y306" s="16" t="n"/>
      <c r="Z306" s="125" t="n"/>
      <c r="AA306" s="14" t="n"/>
      <c r="AB306" s="16" t="n"/>
      <c r="AC306" s="125" t="n"/>
      <c r="AD306" s="14" t="n"/>
    </row>
    <row r="307">
      <c r="A307" s="58" t="n"/>
      <c r="B307" s="59" t="n"/>
      <c r="C307" s="59" t="n"/>
      <c r="E307" s="16" t="n"/>
      <c r="F307" s="13" t="n"/>
      <c r="G307" s="16" t="n"/>
      <c r="H307" s="125" t="n"/>
      <c r="I307" s="14" t="n"/>
      <c r="J307" s="16" t="n"/>
      <c r="K307" s="125" t="n"/>
      <c r="L307" s="14" t="n"/>
      <c r="M307" s="16" t="n"/>
      <c r="N307" s="125" t="n"/>
      <c r="O307" s="14" t="n"/>
      <c r="P307" s="16" t="n"/>
      <c r="Q307" s="125" t="n"/>
      <c r="R307" s="14" t="n"/>
      <c r="S307" s="16" t="n"/>
      <c r="T307" s="125" t="n"/>
      <c r="U307" s="14" t="n"/>
      <c r="V307" s="16" t="n"/>
      <c r="W307" s="125" t="n"/>
      <c r="X307" s="14" t="n"/>
      <c r="Y307" s="16" t="n"/>
      <c r="Z307" s="125" t="n"/>
      <c r="AA307" s="14" t="n"/>
      <c r="AB307" s="16" t="n"/>
      <c r="AC307" s="125" t="n"/>
      <c r="AD307" s="14" t="n"/>
    </row>
    <row r="308">
      <c r="A308" s="56" t="n"/>
      <c r="B308" s="59" t="n"/>
      <c r="C308" s="59" t="n"/>
      <c r="E308" s="16" t="n"/>
      <c r="F308" s="13" t="n"/>
      <c r="G308" s="16" t="n"/>
      <c r="H308" s="125" t="n"/>
      <c r="I308" s="14" t="n"/>
      <c r="J308" s="16" t="n"/>
      <c r="K308" s="125" t="n"/>
      <c r="L308" s="14" t="n"/>
      <c r="M308" s="16" t="n"/>
      <c r="N308" s="125" t="n"/>
      <c r="O308" s="14" t="n"/>
      <c r="P308" s="16" t="n"/>
      <c r="Q308" s="125" t="n"/>
      <c r="R308" s="14" t="n"/>
      <c r="S308" s="16" t="n"/>
      <c r="T308" s="125" t="n"/>
      <c r="U308" s="14" t="n"/>
      <c r="V308" s="16" t="n"/>
      <c r="W308" s="125" t="n"/>
      <c r="X308" s="14" t="n"/>
      <c r="Y308" s="16" t="n"/>
      <c r="Z308" s="125" t="n"/>
      <c r="AA308" s="14" t="n"/>
      <c r="AB308" s="16" t="n"/>
      <c r="AC308" s="125" t="n"/>
      <c r="AD308" s="14" t="n"/>
    </row>
    <row r="309">
      <c r="A309" s="58" t="n"/>
      <c r="B309" s="59" t="n"/>
      <c r="C309" s="59" t="n"/>
      <c r="E309" s="16" t="n"/>
      <c r="F309" s="13" t="n"/>
      <c r="G309" s="16" t="n"/>
      <c r="H309" s="125" t="n"/>
      <c r="I309" s="14" t="n"/>
      <c r="J309" s="16" t="n"/>
      <c r="K309" s="125" t="n"/>
      <c r="L309" s="14" t="n"/>
      <c r="M309" s="16" t="n"/>
      <c r="N309" s="125" t="n"/>
      <c r="O309" s="14" t="n"/>
      <c r="P309" s="16" t="n"/>
      <c r="Q309" s="125" t="n"/>
      <c r="R309" s="14" t="n"/>
      <c r="S309" s="16" t="n"/>
      <c r="T309" s="125" t="n"/>
      <c r="U309" s="14" t="n"/>
      <c r="V309" s="16" t="n"/>
      <c r="W309" s="125" t="n"/>
      <c r="X309" s="14" t="n"/>
      <c r="Y309" s="16" t="n"/>
      <c r="Z309" s="125" t="n"/>
      <c r="AA309" s="14" t="n"/>
      <c r="AB309" s="16" t="n"/>
      <c r="AC309" s="125" t="n"/>
      <c r="AD309" s="14" t="n"/>
    </row>
    <row r="310">
      <c r="A310" s="56" t="n"/>
      <c r="B310" s="59" t="n"/>
      <c r="C310" s="59" t="n"/>
      <c r="E310" s="16" t="n"/>
      <c r="F310" s="13" t="n"/>
      <c r="G310" s="16" t="n"/>
      <c r="H310" s="125" t="n"/>
      <c r="I310" s="14" t="n"/>
      <c r="J310" s="16" t="n"/>
      <c r="K310" s="125" t="n"/>
      <c r="L310" s="14" t="n"/>
      <c r="M310" s="16" t="n"/>
      <c r="N310" s="125" t="n"/>
      <c r="O310" s="14" t="n"/>
      <c r="P310" s="16" t="n"/>
      <c r="Q310" s="125" t="n"/>
      <c r="R310" s="14" t="n"/>
      <c r="S310" s="16" t="n"/>
      <c r="T310" s="125" t="n"/>
      <c r="U310" s="14" t="n"/>
      <c r="V310" s="16" t="n"/>
      <c r="W310" s="125" t="n"/>
      <c r="X310" s="14" t="n"/>
      <c r="Y310" s="16" t="n"/>
      <c r="Z310" s="125" t="n"/>
      <c r="AA310" s="14" t="n"/>
      <c r="AB310" s="16" t="n"/>
      <c r="AC310" s="125" t="n"/>
      <c r="AD310" s="14" t="n"/>
    </row>
    <row r="311">
      <c r="A311" s="58" t="n"/>
      <c r="B311" s="59" t="n"/>
      <c r="C311" s="59" t="n"/>
      <c r="E311" s="16" t="n"/>
      <c r="F311" s="13" t="n"/>
      <c r="G311" s="16" t="n"/>
      <c r="H311" s="125" t="n"/>
      <c r="I311" s="14" t="n"/>
      <c r="J311" s="16" t="n"/>
      <c r="K311" s="125" t="n"/>
      <c r="L311" s="14" t="n"/>
      <c r="M311" s="16" t="n"/>
      <c r="N311" s="125" t="n"/>
      <c r="O311" s="14" t="n"/>
      <c r="P311" s="16" t="n"/>
      <c r="Q311" s="125" t="n"/>
      <c r="R311" s="14" t="n"/>
      <c r="S311" s="16" t="n"/>
      <c r="T311" s="125" t="n"/>
      <c r="U311" s="14" t="n"/>
      <c r="V311" s="16" t="n"/>
      <c r="W311" s="125" t="n"/>
      <c r="X311" s="14" t="n"/>
      <c r="Y311" s="16" t="n"/>
      <c r="Z311" s="125" t="n"/>
      <c r="AA311" s="14" t="n"/>
      <c r="AB311" s="16" t="n"/>
      <c r="AC311" s="125" t="n"/>
      <c r="AD311" s="14" t="n"/>
    </row>
    <row r="312">
      <c r="A312" s="56" t="n"/>
      <c r="B312" s="59" t="n"/>
      <c r="C312" s="59" t="n"/>
      <c r="E312" s="16" t="n"/>
      <c r="F312" s="13" t="n"/>
      <c r="G312" s="16" t="n"/>
      <c r="H312" s="125" t="n"/>
      <c r="I312" s="14" t="n"/>
      <c r="J312" s="16" t="n"/>
      <c r="K312" s="125" t="n"/>
      <c r="L312" s="14" t="n"/>
      <c r="M312" s="16" t="n"/>
      <c r="N312" s="125" t="n"/>
      <c r="O312" s="14" t="n"/>
      <c r="P312" s="16" t="n"/>
      <c r="Q312" s="125" t="n"/>
      <c r="R312" s="14" t="n"/>
      <c r="S312" s="16" t="n"/>
      <c r="T312" s="125" t="n"/>
      <c r="U312" s="14" t="n"/>
      <c r="V312" s="16" t="n"/>
      <c r="W312" s="125" t="n"/>
      <c r="X312" s="14" t="n"/>
      <c r="Y312" s="16" t="n"/>
      <c r="Z312" s="125" t="n"/>
      <c r="AA312" s="14" t="n"/>
      <c r="AB312" s="16" t="n"/>
      <c r="AC312" s="125" t="n"/>
      <c r="AD312" s="14" t="n"/>
    </row>
    <row r="313">
      <c r="A313" s="58" t="n"/>
      <c r="B313" s="59" t="n"/>
      <c r="C313" s="59" t="n"/>
      <c r="E313" s="16" t="n"/>
      <c r="F313" s="13" t="n"/>
      <c r="G313" s="16" t="n"/>
      <c r="H313" s="125" t="n"/>
      <c r="I313" s="14" t="n"/>
      <c r="J313" s="16" t="n"/>
      <c r="K313" s="125" t="n"/>
      <c r="L313" s="14" t="n"/>
      <c r="M313" s="16" t="n"/>
      <c r="N313" s="125" t="n"/>
      <c r="O313" s="14" t="n"/>
      <c r="P313" s="16" t="n"/>
      <c r="Q313" s="125" t="n"/>
      <c r="R313" s="14" t="n"/>
      <c r="S313" s="16" t="n"/>
      <c r="T313" s="125" t="n"/>
      <c r="U313" s="14" t="n"/>
      <c r="V313" s="16" t="n"/>
      <c r="W313" s="125" t="n"/>
      <c r="X313" s="14" t="n"/>
      <c r="Y313" s="16" t="n"/>
      <c r="Z313" s="125" t="n"/>
      <c r="AA313" s="14" t="n"/>
      <c r="AB313" s="16" t="n"/>
      <c r="AC313" s="125" t="n"/>
      <c r="AD313" s="14" t="n"/>
    </row>
    <row r="314">
      <c r="A314" s="56" t="n"/>
      <c r="B314" s="59" t="n"/>
      <c r="C314" s="59" t="n"/>
      <c r="E314" s="16" t="n"/>
      <c r="F314" s="13" t="n"/>
      <c r="G314" s="16" t="n"/>
      <c r="H314" s="125" t="n"/>
      <c r="I314" s="14" t="n"/>
      <c r="J314" s="16" t="n"/>
      <c r="K314" s="125" t="n"/>
      <c r="L314" s="14" t="n"/>
      <c r="M314" s="16" t="n"/>
      <c r="N314" s="125" t="n"/>
      <c r="O314" s="14" t="n"/>
      <c r="P314" s="16" t="n"/>
      <c r="Q314" s="125" t="n"/>
      <c r="R314" s="14" t="n"/>
      <c r="S314" s="16" t="n"/>
      <c r="T314" s="125" t="n"/>
      <c r="U314" s="14" t="n"/>
      <c r="V314" s="16" t="n"/>
      <c r="W314" s="125" t="n"/>
      <c r="X314" s="14" t="n"/>
      <c r="Y314" s="16" t="n"/>
      <c r="Z314" s="125" t="n"/>
      <c r="AA314" s="14" t="n"/>
      <c r="AB314" s="16" t="n"/>
      <c r="AC314" s="125" t="n"/>
      <c r="AD314" s="14" t="n"/>
    </row>
    <row r="315">
      <c r="A315" s="58" t="n"/>
      <c r="B315" s="59" t="n"/>
      <c r="C315" s="59" t="n"/>
      <c r="E315" s="16" t="n"/>
      <c r="F315" s="13" t="n"/>
      <c r="G315" s="16" t="n"/>
      <c r="H315" s="125" t="n"/>
      <c r="I315" s="14" t="n"/>
      <c r="J315" s="16" t="n"/>
      <c r="K315" s="125" t="n"/>
      <c r="L315" s="14" t="n"/>
      <c r="M315" s="16" t="n"/>
      <c r="N315" s="125" t="n"/>
      <c r="O315" s="14" t="n"/>
      <c r="P315" s="16" t="n"/>
      <c r="Q315" s="125" t="n"/>
      <c r="R315" s="14" t="n"/>
      <c r="S315" s="16" t="n"/>
      <c r="T315" s="125" t="n"/>
      <c r="U315" s="14" t="n"/>
      <c r="V315" s="16" t="n"/>
      <c r="W315" s="125" t="n"/>
      <c r="X315" s="14" t="n"/>
      <c r="Y315" s="16" t="n"/>
      <c r="Z315" s="125" t="n"/>
      <c r="AA315" s="14" t="n"/>
      <c r="AB315" s="16" t="n"/>
      <c r="AC315" s="125" t="n"/>
      <c r="AD315" s="14" t="n"/>
    </row>
    <row r="316">
      <c r="A316" s="56" t="n"/>
      <c r="B316" s="59" t="n"/>
      <c r="C316" s="59" t="n"/>
      <c r="E316" s="16" t="n"/>
      <c r="F316" s="13" t="n"/>
      <c r="G316" s="16" t="n"/>
      <c r="H316" s="125" t="n"/>
      <c r="I316" s="14" t="n"/>
      <c r="J316" s="16" t="n"/>
      <c r="K316" s="125" t="n"/>
      <c r="L316" s="14" t="n"/>
      <c r="M316" s="16" t="n"/>
      <c r="N316" s="125" t="n"/>
      <c r="O316" s="14" t="n"/>
      <c r="P316" s="16" t="n"/>
      <c r="Q316" s="125" t="n"/>
      <c r="R316" s="14" t="n"/>
      <c r="S316" s="16" t="n"/>
      <c r="T316" s="125" t="n"/>
      <c r="U316" s="14" t="n"/>
      <c r="V316" s="16" t="n"/>
      <c r="W316" s="125" t="n"/>
      <c r="X316" s="14" t="n"/>
      <c r="Y316" s="16" t="n"/>
      <c r="Z316" s="125" t="n"/>
      <c r="AA316" s="14" t="n"/>
      <c r="AB316" s="16" t="n"/>
      <c r="AC316" s="125" t="n"/>
      <c r="AD316" s="14" t="n"/>
    </row>
    <row r="317">
      <c r="A317" s="58" t="n"/>
      <c r="B317" s="59" t="n"/>
      <c r="C317" s="59" t="n"/>
      <c r="E317" s="16" t="n"/>
      <c r="F317" s="13" t="n"/>
      <c r="G317" s="16" t="n"/>
      <c r="H317" s="125" t="n"/>
      <c r="I317" s="14" t="n"/>
      <c r="J317" s="16" t="n"/>
      <c r="K317" s="125" t="n"/>
      <c r="L317" s="14" t="n"/>
      <c r="M317" s="16" t="n"/>
      <c r="N317" s="125" t="n"/>
      <c r="O317" s="14" t="n"/>
      <c r="P317" s="16" t="n"/>
      <c r="Q317" s="125" t="n"/>
      <c r="R317" s="14" t="n"/>
      <c r="S317" s="16" t="n"/>
      <c r="T317" s="125" t="n"/>
      <c r="U317" s="14" t="n"/>
      <c r="V317" s="16" t="n"/>
      <c r="W317" s="125" t="n"/>
      <c r="X317" s="14" t="n"/>
      <c r="Y317" s="16" t="n"/>
      <c r="Z317" s="125" t="n"/>
      <c r="AA317" s="14" t="n"/>
      <c r="AB317" s="16" t="n"/>
      <c r="AC317" s="125" t="n"/>
      <c r="AD317" s="14" t="n"/>
    </row>
    <row r="318">
      <c r="A318" s="56" t="n"/>
      <c r="B318" s="59" t="n"/>
      <c r="C318" s="59" t="n"/>
      <c r="E318" s="16" t="n"/>
      <c r="F318" s="13" t="n"/>
      <c r="G318" s="16" t="n"/>
      <c r="H318" s="125" t="n"/>
      <c r="I318" s="14" t="n"/>
      <c r="J318" s="16" t="n"/>
      <c r="K318" s="125" t="n"/>
      <c r="L318" s="14" t="n"/>
      <c r="M318" s="16" t="n"/>
      <c r="N318" s="125" t="n"/>
      <c r="O318" s="14" t="n"/>
      <c r="P318" s="16" t="n"/>
      <c r="Q318" s="125" t="n"/>
      <c r="R318" s="14" t="n"/>
      <c r="S318" s="16" t="n"/>
      <c r="T318" s="125" t="n"/>
      <c r="U318" s="14" t="n"/>
      <c r="V318" s="16" t="n"/>
      <c r="W318" s="125" t="n"/>
      <c r="X318" s="14" t="n"/>
      <c r="Y318" s="16" t="n"/>
      <c r="Z318" s="125" t="n"/>
      <c r="AA318" s="14" t="n"/>
      <c r="AB318" s="16" t="n"/>
      <c r="AC318" s="125" t="n"/>
      <c r="AD318" s="14" t="n"/>
    </row>
    <row r="319">
      <c r="A319" s="58" t="n"/>
      <c r="B319" s="59" t="n"/>
      <c r="C319" s="59" t="n"/>
      <c r="E319" s="16" t="n"/>
      <c r="F319" s="13" t="n"/>
      <c r="G319" s="16" t="n"/>
      <c r="H319" s="125" t="n"/>
      <c r="I319" s="14" t="n"/>
      <c r="J319" s="16" t="n"/>
      <c r="K319" s="125" t="n"/>
      <c r="L319" s="14" t="n"/>
      <c r="M319" s="16" t="n"/>
      <c r="N319" s="125" t="n"/>
      <c r="O319" s="14" t="n"/>
      <c r="P319" s="16" t="n"/>
      <c r="Q319" s="125" t="n"/>
      <c r="R319" s="14" t="n"/>
      <c r="S319" s="16" t="n"/>
      <c r="T319" s="125" t="n"/>
      <c r="U319" s="14" t="n"/>
      <c r="V319" s="16" t="n"/>
      <c r="W319" s="125" t="n"/>
      <c r="X319" s="14" t="n"/>
      <c r="Y319" s="16" t="n"/>
      <c r="Z319" s="125" t="n"/>
      <c r="AA319" s="14" t="n"/>
      <c r="AB319" s="16" t="n"/>
      <c r="AC319" s="125" t="n"/>
      <c r="AD319" s="14" t="n"/>
    </row>
    <row r="320">
      <c r="A320" s="56" t="n"/>
      <c r="B320" s="59" t="n"/>
      <c r="C320" s="59" t="n"/>
      <c r="E320" s="16" t="n"/>
      <c r="F320" s="13" t="n"/>
      <c r="G320" s="16" t="n"/>
      <c r="H320" s="125" t="n"/>
      <c r="I320" s="14" t="n"/>
      <c r="J320" s="16" t="n"/>
      <c r="K320" s="125" t="n"/>
      <c r="L320" s="14" t="n"/>
      <c r="M320" s="16" t="n"/>
      <c r="N320" s="125" t="n"/>
      <c r="O320" s="14" t="n"/>
      <c r="P320" s="16" t="n"/>
      <c r="Q320" s="125" t="n"/>
      <c r="R320" s="14" t="n"/>
      <c r="S320" s="16" t="n"/>
      <c r="T320" s="125" t="n"/>
      <c r="U320" s="14" t="n"/>
      <c r="V320" s="16" t="n"/>
      <c r="W320" s="125" t="n"/>
      <c r="X320" s="14" t="n"/>
      <c r="Y320" s="16" t="n"/>
      <c r="Z320" s="125" t="n"/>
      <c r="AA320" s="14" t="n"/>
      <c r="AB320" s="16" t="n"/>
      <c r="AC320" s="125" t="n"/>
      <c r="AD320" s="14" t="n"/>
    </row>
    <row r="321">
      <c r="A321" s="58" t="n"/>
      <c r="B321" s="59" t="n"/>
      <c r="C321" s="59" t="n"/>
      <c r="E321" s="16" t="n"/>
      <c r="F321" s="13" t="n"/>
      <c r="G321" s="16" t="n"/>
      <c r="H321" s="125" t="n"/>
      <c r="I321" s="14" t="n"/>
      <c r="J321" s="16" t="n"/>
      <c r="K321" s="125" t="n"/>
      <c r="L321" s="14" t="n"/>
      <c r="M321" s="16" t="n"/>
      <c r="N321" s="125" t="n"/>
      <c r="O321" s="14" t="n"/>
      <c r="P321" s="16" t="n"/>
      <c r="Q321" s="125" t="n"/>
      <c r="R321" s="14" t="n"/>
      <c r="S321" s="16" t="n"/>
      <c r="T321" s="125" t="n"/>
      <c r="U321" s="14" t="n"/>
      <c r="V321" s="16" t="n"/>
      <c r="W321" s="125" t="n"/>
      <c r="X321" s="14" t="n"/>
      <c r="Y321" s="16" t="n"/>
      <c r="Z321" s="125" t="n"/>
      <c r="AA321" s="14" t="n"/>
      <c r="AB321" s="16" t="n"/>
      <c r="AC321" s="125" t="n"/>
      <c r="AD321" s="14" t="n"/>
    </row>
    <row r="322">
      <c r="A322" s="56" t="n"/>
      <c r="B322" s="59" t="n"/>
      <c r="C322" s="59" t="n"/>
      <c r="E322" s="16" t="n"/>
      <c r="F322" s="13" t="n"/>
      <c r="G322" s="16" t="n"/>
      <c r="H322" s="125" t="n"/>
      <c r="I322" s="14" t="n"/>
      <c r="J322" s="16" t="n"/>
      <c r="K322" s="125" t="n"/>
      <c r="L322" s="14" t="n"/>
      <c r="M322" s="16" t="n"/>
      <c r="N322" s="125" t="n"/>
      <c r="O322" s="14" t="n"/>
      <c r="P322" s="16" t="n"/>
      <c r="Q322" s="125" t="n"/>
      <c r="R322" s="14" t="n"/>
      <c r="S322" s="16" t="n"/>
      <c r="T322" s="125" t="n"/>
      <c r="U322" s="14" t="n"/>
      <c r="V322" s="16" t="n"/>
      <c r="W322" s="125" t="n"/>
      <c r="X322" s="14" t="n"/>
      <c r="Y322" s="16" t="n"/>
      <c r="Z322" s="125" t="n"/>
      <c r="AA322" s="14" t="n"/>
      <c r="AB322" s="16" t="n"/>
      <c r="AC322" s="125" t="n"/>
      <c r="AD322" s="14" t="n"/>
    </row>
    <row r="323">
      <c r="A323" s="58" t="n"/>
      <c r="B323" s="59" t="n"/>
      <c r="C323" s="59" t="n"/>
      <c r="E323" s="16" t="n"/>
      <c r="F323" s="13" t="n"/>
      <c r="G323" s="16" t="n"/>
      <c r="H323" s="125" t="n"/>
      <c r="I323" s="14" t="n"/>
      <c r="J323" s="16" t="n"/>
      <c r="K323" s="125" t="n"/>
      <c r="L323" s="14" t="n"/>
      <c r="M323" s="16" t="n"/>
      <c r="N323" s="125" t="n"/>
      <c r="O323" s="14" t="n"/>
      <c r="P323" s="16" t="n"/>
      <c r="Q323" s="125" t="n"/>
      <c r="R323" s="14" t="n"/>
      <c r="S323" s="16" t="n"/>
      <c r="T323" s="125" t="n"/>
      <c r="U323" s="14" t="n"/>
      <c r="V323" s="16" t="n"/>
      <c r="W323" s="125" t="n"/>
      <c r="X323" s="14" t="n"/>
      <c r="Y323" s="16" t="n"/>
      <c r="Z323" s="125" t="n"/>
      <c r="AA323" s="14" t="n"/>
      <c r="AB323" s="16" t="n"/>
      <c r="AC323" s="125" t="n"/>
      <c r="AD323" s="14" t="n"/>
    </row>
    <row r="324">
      <c r="A324" s="56" t="n"/>
      <c r="B324" s="59" t="n"/>
      <c r="C324" s="59" t="n"/>
      <c r="E324" s="16" t="n"/>
      <c r="F324" s="13" t="n"/>
      <c r="G324" s="16" t="n"/>
      <c r="H324" s="125" t="n"/>
      <c r="I324" s="14" t="n"/>
      <c r="J324" s="16" t="n"/>
      <c r="K324" s="125" t="n"/>
      <c r="L324" s="14" t="n"/>
      <c r="M324" s="16" t="n"/>
      <c r="N324" s="125" t="n"/>
      <c r="O324" s="14" t="n"/>
      <c r="P324" s="16" t="n"/>
      <c r="Q324" s="125" t="n"/>
      <c r="R324" s="14" t="n"/>
      <c r="S324" s="16" t="n"/>
      <c r="T324" s="125" t="n"/>
      <c r="U324" s="14" t="n"/>
      <c r="V324" s="16" t="n"/>
      <c r="W324" s="125" t="n"/>
      <c r="X324" s="14" t="n"/>
      <c r="Y324" s="16" t="n"/>
      <c r="Z324" s="125" t="n"/>
      <c r="AA324" s="14" t="n"/>
      <c r="AB324" s="16" t="n"/>
      <c r="AC324" s="125" t="n"/>
      <c r="AD324" s="14" t="n"/>
    </row>
    <row r="325">
      <c r="A325" s="58" t="n"/>
      <c r="B325" s="59" t="n"/>
      <c r="C325" s="59" t="n"/>
      <c r="E325" s="16" t="n"/>
      <c r="F325" s="13" t="n"/>
      <c r="G325" s="16" t="n"/>
      <c r="H325" s="125" t="n"/>
      <c r="I325" s="14" t="n"/>
      <c r="J325" s="16" t="n"/>
      <c r="K325" s="125" t="n"/>
      <c r="L325" s="14" t="n"/>
      <c r="M325" s="16" t="n"/>
      <c r="N325" s="125" t="n"/>
      <c r="O325" s="14" t="n"/>
      <c r="P325" s="16" t="n"/>
      <c r="Q325" s="125" t="n"/>
      <c r="R325" s="14" t="n"/>
      <c r="S325" s="16" t="n"/>
      <c r="T325" s="125" t="n"/>
      <c r="U325" s="14" t="n"/>
      <c r="V325" s="16" t="n"/>
      <c r="W325" s="125" t="n"/>
      <c r="X325" s="14" t="n"/>
      <c r="Y325" s="16" t="n"/>
      <c r="Z325" s="125" t="n"/>
      <c r="AA325" s="14" t="n"/>
      <c r="AB325" s="16" t="n"/>
      <c r="AC325" s="125" t="n"/>
      <c r="AD325" s="14" t="n"/>
    </row>
    <row r="326">
      <c r="A326" s="56" t="n"/>
      <c r="B326" s="59" t="n"/>
      <c r="C326" s="59" t="n"/>
      <c r="E326" s="16" t="n"/>
      <c r="F326" s="13" t="n"/>
      <c r="G326" s="16" t="n"/>
      <c r="H326" s="125" t="n"/>
      <c r="I326" s="14" t="n"/>
      <c r="J326" s="16" t="n"/>
      <c r="K326" s="125" t="n"/>
      <c r="L326" s="14" t="n"/>
      <c r="M326" s="16" t="n"/>
      <c r="N326" s="125" t="n"/>
      <c r="O326" s="14" t="n"/>
      <c r="P326" s="16" t="n"/>
      <c r="Q326" s="125" t="n"/>
      <c r="R326" s="14" t="n"/>
      <c r="S326" s="16" t="n"/>
      <c r="T326" s="125" t="n"/>
      <c r="U326" s="14" t="n"/>
      <c r="V326" s="16" t="n"/>
      <c r="W326" s="125" t="n"/>
      <c r="X326" s="14" t="n"/>
      <c r="Y326" s="16" t="n"/>
      <c r="Z326" s="125" t="n"/>
      <c r="AA326" s="14" t="n"/>
      <c r="AB326" s="16" t="n"/>
      <c r="AC326" s="125" t="n"/>
      <c r="AD326" s="14" t="n"/>
    </row>
    <row r="327">
      <c r="A327" s="58" t="n"/>
      <c r="B327" s="59" t="n"/>
      <c r="C327" s="59" t="n"/>
      <c r="E327" s="16" t="n"/>
      <c r="F327" s="13" t="n"/>
      <c r="G327" s="16" t="n"/>
      <c r="H327" s="125" t="n"/>
      <c r="I327" s="14" t="n"/>
      <c r="J327" s="16" t="n"/>
      <c r="K327" s="125" t="n"/>
      <c r="L327" s="14" t="n"/>
      <c r="M327" s="16" t="n"/>
      <c r="N327" s="125" t="n"/>
      <c r="O327" s="14" t="n"/>
      <c r="P327" s="16" t="n"/>
      <c r="Q327" s="125" t="n"/>
      <c r="R327" s="14" t="n"/>
      <c r="S327" s="16" t="n"/>
      <c r="T327" s="125" t="n"/>
      <c r="U327" s="14" t="n"/>
      <c r="V327" s="16" t="n"/>
      <c r="W327" s="125" t="n"/>
      <c r="X327" s="14" t="n"/>
      <c r="Y327" s="16" t="n"/>
      <c r="Z327" s="125" t="n"/>
      <c r="AA327" s="14" t="n"/>
      <c r="AB327" s="16" t="n"/>
      <c r="AC327" s="125" t="n"/>
      <c r="AD327" s="14" t="n"/>
    </row>
    <row r="328">
      <c r="A328" s="56" t="n"/>
      <c r="B328" s="59" t="n"/>
      <c r="C328" s="59" t="n"/>
      <c r="E328" s="16" t="n"/>
      <c r="F328" s="13" t="n"/>
      <c r="G328" s="16" t="n"/>
      <c r="H328" s="125" t="n"/>
      <c r="I328" s="14" t="n"/>
      <c r="J328" s="16" t="n"/>
      <c r="K328" s="125" t="n"/>
      <c r="L328" s="14" t="n"/>
      <c r="M328" s="16" t="n"/>
      <c r="N328" s="125" t="n"/>
      <c r="O328" s="14" t="n"/>
      <c r="P328" s="16" t="n"/>
      <c r="Q328" s="125" t="n"/>
      <c r="R328" s="14" t="n"/>
      <c r="S328" s="16" t="n"/>
      <c r="T328" s="125" t="n"/>
      <c r="U328" s="14" t="n"/>
      <c r="V328" s="16" t="n"/>
      <c r="W328" s="125" t="n"/>
      <c r="X328" s="14" t="n"/>
      <c r="Y328" s="16" t="n"/>
      <c r="Z328" s="125" t="n"/>
      <c r="AA328" s="14" t="n"/>
      <c r="AB328" s="16" t="n"/>
      <c r="AC328" s="125" t="n"/>
      <c r="AD328" s="14" t="n"/>
    </row>
    <row r="329">
      <c r="A329" s="58" t="n"/>
      <c r="B329" s="59" t="n"/>
      <c r="C329" s="59" t="n"/>
      <c r="E329" s="16" t="n"/>
      <c r="F329" s="13" t="n"/>
      <c r="G329" s="16" t="n"/>
      <c r="H329" s="125" t="n"/>
      <c r="I329" s="14" t="n"/>
      <c r="J329" s="16" t="n"/>
      <c r="K329" s="125" t="n"/>
      <c r="L329" s="14" t="n"/>
      <c r="M329" s="16" t="n"/>
      <c r="N329" s="125" t="n"/>
      <c r="O329" s="14" t="n"/>
      <c r="P329" s="16" t="n"/>
      <c r="Q329" s="125" t="n"/>
      <c r="R329" s="14" t="n"/>
      <c r="S329" s="16" t="n"/>
      <c r="T329" s="125" t="n"/>
      <c r="U329" s="14" t="n"/>
      <c r="V329" s="16" t="n"/>
      <c r="W329" s="125" t="n"/>
      <c r="X329" s="14" t="n"/>
      <c r="Y329" s="16" t="n"/>
      <c r="Z329" s="125" t="n"/>
      <c r="AA329" s="14" t="n"/>
      <c r="AB329" s="16" t="n"/>
      <c r="AC329" s="125" t="n"/>
      <c r="AD329" s="14" t="n"/>
    </row>
    <row r="330">
      <c r="A330" s="56" t="n"/>
      <c r="B330" s="59" t="n"/>
      <c r="C330" s="59" t="n"/>
      <c r="E330" s="16" t="n"/>
      <c r="F330" s="13" t="n"/>
      <c r="G330" s="16" t="n"/>
      <c r="H330" s="125" t="n"/>
      <c r="I330" s="14" t="n"/>
      <c r="J330" s="16" t="n"/>
      <c r="K330" s="125" t="n"/>
      <c r="L330" s="14" t="n"/>
      <c r="M330" s="16" t="n"/>
      <c r="N330" s="125" t="n"/>
      <c r="O330" s="14" t="n"/>
      <c r="P330" s="16" t="n"/>
      <c r="Q330" s="125" t="n"/>
      <c r="R330" s="14" t="n"/>
      <c r="S330" s="16" t="n"/>
      <c r="T330" s="125" t="n"/>
      <c r="U330" s="14" t="n"/>
      <c r="V330" s="16" t="n"/>
      <c r="W330" s="125" t="n"/>
      <c r="X330" s="14" t="n"/>
      <c r="Y330" s="16" t="n"/>
      <c r="Z330" s="125" t="n"/>
      <c r="AA330" s="14" t="n"/>
      <c r="AB330" s="16" t="n"/>
      <c r="AC330" s="125" t="n"/>
      <c r="AD330" s="14" t="n"/>
    </row>
    <row r="331">
      <c r="A331" s="58" t="n"/>
      <c r="B331" s="59" t="n"/>
      <c r="C331" s="59" t="n"/>
      <c r="E331" s="16" t="n"/>
      <c r="F331" s="13" t="n"/>
      <c r="G331" s="16" t="n"/>
      <c r="H331" s="125" t="n"/>
      <c r="I331" s="14" t="n"/>
      <c r="J331" s="16" t="n"/>
      <c r="K331" s="125" t="n"/>
      <c r="L331" s="14" t="n"/>
      <c r="M331" s="16" t="n"/>
      <c r="N331" s="125" t="n"/>
      <c r="O331" s="14" t="n"/>
      <c r="P331" s="16" t="n"/>
      <c r="Q331" s="125" t="n"/>
      <c r="R331" s="14" t="n"/>
      <c r="S331" s="16" t="n"/>
      <c r="T331" s="125" t="n"/>
      <c r="U331" s="14" t="n"/>
      <c r="V331" s="16" t="n"/>
      <c r="W331" s="125" t="n"/>
      <c r="X331" s="14" t="n"/>
      <c r="Y331" s="16" t="n"/>
      <c r="Z331" s="125" t="n"/>
      <c r="AA331" s="14" t="n"/>
      <c r="AB331" s="16" t="n"/>
      <c r="AC331" s="125" t="n"/>
      <c r="AD331" s="14" t="n"/>
    </row>
    <row r="332">
      <c r="A332" s="56" t="n"/>
      <c r="B332" s="59" t="n"/>
      <c r="C332" s="59" t="n"/>
      <c r="E332" s="16" t="n"/>
      <c r="F332" s="13" t="n"/>
      <c r="G332" s="16" t="n"/>
      <c r="H332" s="125" t="n"/>
      <c r="I332" s="14" t="n"/>
      <c r="J332" s="16" t="n"/>
      <c r="K332" s="125" t="n"/>
      <c r="L332" s="14" t="n"/>
      <c r="M332" s="16" t="n"/>
      <c r="N332" s="125" t="n"/>
      <c r="O332" s="14" t="n"/>
      <c r="P332" s="16" t="n"/>
      <c r="Q332" s="125" t="n"/>
      <c r="R332" s="14" t="n"/>
      <c r="S332" s="16" t="n"/>
      <c r="T332" s="125" t="n"/>
      <c r="U332" s="14" t="n"/>
      <c r="V332" s="16" t="n"/>
      <c r="W332" s="125" t="n"/>
      <c r="X332" s="14" t="n"/>
      <c r="Y332" s="16" t="n"/>
      <c r="Z332" s="125" t="n"/>
      <c r="AA332" s="14" t="n"/>
      <c r="AB332" s="16" t="n"/>
      <c r="AC332" s="125" t="n"/>
      <c r="AD332" s="14" t="n"/>
    </row>
    <row r="333">
      <c r="A333" s="58" t="n"/>
      <c r="B333" s="59" t="n"/>
      <c r="C333" s="59" t="n"/>
      <c r="E333" s="16" t="n"/>
      <c r="F333" s="13" t="n"/>
      <c r="G333" s="16" t="n"/>
      <c r="H333" s="125" t="n"/>
      <c r="I333" s="14" t="n"/>
      <c r="J333" s="16" t="n"/>
      <c r="K333" s="125" t="n"/>
      <c r="L333" s="14" t="n"/>
      <c r="M333" s="16" t="n"/>
      <c r="N333" s="125" t="n"/>
      <c r="O333" s="14" t="n"/>
      <c r="P333" s="16" t="n"/>
      <c r="Q333" s="125" t="n"/>
      <c r="R333" s="14" t="n"/>
      <c r="S333" s="16" t="n"/>
      <c r="T333" s="125" t="n"/>
      <c r="U333" s="14" t="n"/>
      <c r="V333" s="16" t="n"/>
      <c r="W333" s="125" t="n"/>
      <c r="X333" s="14" t="n"/>
      <c r="Y333" s="16" t="n"/>
      <c r="Z333" s="125" t="n"/>
      <c r="AA333" s="14" t="n"/>
      <c r="AB333" s="16" t="n"/>
      <c r="AC333" s="125" t="n"/>
      <c r="AD333" s="14" t="n"/>
    </row>
    <row r="334">
      <c r="A334" s="56" t="n"/>
      <c r="B334" s="59" t="n"/>
      <c r="C334" s="59" t="n"/>
      <c r="E334" s="16" t="n"/>
      <c r="F334" s="13" t="n"/>
      <c r="G334" s="16" t="n"/>
      <c r="H334" s="125" t="n"/>
      <c r="I334" s="14" t="n"/>
      <c r="J334" s="16" t="n"/>
      <c r="K334" s="125" t="n"/>
      <c r="L334" s="14" t="n"/>
      <c r="M334" s="16" t="n"/>
      <c r="N334" s="125" t="n"/>
      <c r="O334" s="14" t="n"/>
      <c r="P334" s="16" t="n"/>
      <c r="Q334" s="125" t="n"/>
      <c r="R334" s="14" t="n"/>
      <c r="S334" s="16" t="n"/>
      <c r="T334" s="125" t="n"/>
      <c r="U334" s="14" t="n"/>
      <c r="V334" s="16" t="n"/>
      <c r="W334" s="125" t="n"/>
      <c r="X334" s="14" t="n"/>
      <c r="Y334" s="16" t="n"/>
      <c r="Z334" s="125" t="n"/>
      <c r="AA334" s="14" t="n"/>
      <c r="AB334" s="16" t="n"/>
      <c r="AC334" s="125" t="n"/>
      <c r="AD334" s="14" t="n"/>
    </row>
    <row r="335">
      <c r="A335" s="58" t="n"/>
      <c r="B335" s="59" t="n"/>
      <c r="C335" s="59" t="n"/>
      <c r="E335" s="16" t="n"/>
      <c r="F335" s="13" t="n"/>
      <c r="G335" s="16" t="n"/>
      <c r="H335" s="125" t="n"/>
      <c r="I335" s="14" t="n"/>
      <c r="J335" s="16" t="n"/>
      <c r="K335" s="125" t="n"/>
      <c r="L335" s="14" t="n"/>
      <c r="M335" s="16" t="n"/>
      <c r="N335" s="125" t="n"/>
      <c r="O335" s="14" t="n"/>
      <c r="P335" s="16" t="n"/>
      <c r="Q335" s="125" t="n"/>
      <c r="R335" s="14" t="n"/>
      <c r="S335" s="16" t="n"/>
      <c r="T335" s="125" t="n"/>
      <c r="U335" s="14" t="n"/>
      <c r="V335" s="16" t="n"/>
      <c r="W335" s="125" t="n"/>
      <c r="X335" s="14" t="n"/>
      <c r="Y335" s="16" t="n"/>
      <c r="Z335" s="125" t="n"/>
      <c r="AA335" s="14" t="n"/>
      <c r="AB335" s="16" t="n"/>
      <c r="AC335" s="125" t="n"/>
      <c r="AD335" s="14" t="n"/>
    </row>
    <row r="336">
      <c r="A336" s="56" t="n"/>
      <c r="B336" s="59" t="n"/>
      <c r="C336" s="59" t="n"/>
      <c r="E336" s="16" t="n"/>
      <c r="F336" s="13" t="n"/>
      <c r="G336" s="16" t="n"/>
      <c r="H336" s="125" t="n"/>
      <c r="I336" s="14" t="n"/>
      <c r="J336" s="16" t="n"/>
      <c r="K336" s="125" t="n"/>
      <c r="L336" s="14" t="n"/>
      <c r="M336" s="16" t="n"/>
      <c r="N336" s="125" t="n"/>
      <c r="O336" s="14" t="n"/>
      <c r="P336" s="16" t="n"/>
      <c r="Q336" s="125" t="n"/>
      <c r="R336" s="14" t="n"/>
      <c r="S336" s="16" t="n"/>
      <c r="T336" s="125" t="n"/>
      <c r="U336" s="14" t="n"/>
      <c r="V336" s="16" t="n"/>
      <c r="W336" s="125" t="n"/>
      <c r="X336" s="14" t="n"/>
      <c r="Y336" s="16" t="n"/>
      <c r="Z336" s="125" t="n"/>
      <c r="AA336" s="14" t="n"/>
      <c r="AB336" s="16" t="n"/>
      <c r="AC336" s="125" t="n"/>
      <c r="AD336" s="14" t="n"/>
    </row>
    <row r="337">
      <c r="A337" s="58" t="n"/>
      <c r="B337" s="59" t="n"/>
      <c r="C337" s="59" t="n"/>
      <c r="E337" s="16" t="n"/>
      <c r="F337" s="13" t="n"/>
      <c r="G337" s="16" t="n"/>
      <c r="H337" s="125" t="n"/>
      <c r="I337" s="14" t="n"/>
      <c r="J337" s="16" t="n"/>
      <c r="K337" s="125" t="n"/>
      <c r="L337" s="14" t="n"/>
      <c r="M337" s="16" t="n"/>
      <c r="N337" s="125" t="n"/>
      <c r="O337" s="14" t="n"/>
      <c r="P337" s="16" t="n"/>
      <c r="Q337" s="125" t="n"/>
      <c r="R337" s="14" t="n"/>
      <c r="S337" s="16" t="n"/>
      <c r="T337" s="125" t="n"/>
      <c r="U337" s="14" t="n"/>
      <c r="V337" s="16" t="n"/>
      <c r="W337" s="125" t="n"/>
      <c r="X337" s="14" t="n"/>
      <c r="Y337" s="16" t="n"/>
      <c r="Z337" s="125" t="n"/>
      <c r="AA337" s="14" t="n"/>
      <c r="AB337" s="16" t="n"/>
      <c r="AC337" s="125" t="n"/>
      <c r="AD337" s="14" t="n"/>
    </row>
    <row r="338">
      <c r="A338" s="56" t="n"/>
      <c r="B338" s="59" t="n"/>
      <c r="C338" s="59" t="n"/>
      <c r="E338" s="16" t="n"/>
      <c r="F338" s="13" t="n"/>
      <c r="G338" s="16" t="n"/>
      <c r="H338" s="125" t="n"/>
      <c r="I338" s="14" t="n"/>
      <c r="J338" s="16" t="n"/>
      <c r="K338" s="125" t="n"/>
      <c r="L338" s="14" t="n"/>
      <c r="M338" s="16" t="n"/>
      <c r="N338" s="125" t="n"/>
      <c r="O338" s="14" t="n"/>
      <c r="P338" s="16" t="n"/>
      <c r="Q338" s="125" t="n"/>
      <c r="R338" s="14" t="n"/>
      <c r="S338" s="16" t="n"/>
      <c r="T338" s="125" t="n"/>
      <c r="U338" s="14" t="n"/>
      <c r="V338" s="16" t="n"/>
      <c r="W338" s="125" t="n"/>
      <c r="X338" s="14" t="n"/>
      <c r="Y338" s="16" t="n"/>
      <c r="Z338" s="125" t="n"/>
      <c r="AA338" s="14" t="n"/>
      <c r="AB338" s="16" t="n"/>
      <c r="AC338" s="125" t="n"/>
      <c r="AD338" s="14" t="n"/>
    </row>
    <row r="339">
      <c r="A339" s="58" t="n"/>
      <c r="B339" s="59" t="n"/>
      <c r="C339" s="59" t="n"/>
      <c r="E339" s="16" t="n"/>
      <c r="F339" s="13" t="n"/>
      <c r="G339" s="16" t="n"/>
      <c r="H339" s="125" t="n"/>
      <c r="I339" s="14" t="n"/>
      <c r="J339" s="16" t="n"/>
      <c r="K339" s="125" t="n"/>
      <c r="L339" s="14" t="n"/>
      <c r="M339" s="16" t="n"/>
      <c r="N339" s="125" t="n"/>
      <c r="O339" s="14" t="n"/>
      <c r="P339" s="16" t="n"/>
      <c r="Q339" s="125" t="n"/>
      <c r="R339" s="14" t="n"/>
      <c r="S339" s="16" t="n"/>
      <c r="T339" s="125" t="n"/>
      <c r="U339" s="14" t="n"/>
      <c r="V339" s="16" t="n"/>
      <c r="W339" s="125" t="n"/>
      <c r="X339" s="14" t="n"/>
      <c r="Y339" s="16" t="n"/>
      <c r="Z339" s="125" t="n"/>
      <c r="AA339" s="14" t="n"/>
      <c r="AB339" s="16" t="n"/>
      <c r="AC339" s="125" t="n"/>
      <c r="AD339" s="14" t="n"/>
    </row>
    <row r="340">
      <c r="A340" s="56" t="n"/>
      <c r="B340" s="59" t="n"/>
      <c r="C340" s="59" t="n"/>
      <c r="E340" s="16" t="n"/>
      <c r="F340" s="13" t="n"/>
      <c r="G340" s="16" t="n"/>
      <c r="H340" s="125" t="n"/>
      <c r="I340" s="14" t="n"/>
      <c r="J340" s="16" t="n"/>
      <c r="K340" s="125" t="n"/>
      <c r="L340" s="14" t="n"/>
      <c r="M340" s="16" t="n"/>
      <c r="N340" s="125" t="n"/>
      <c r="O340" s="14" t="n"/>
      <c r="P340" s="16" t="n"/>
      <c r="Q340" s="125" t="n"/>
      <c r="R340" s="14" t="n"/>
      <c r="S340" s="16" t="n"/>
      <c r="T340" s="125" t="n"/>
      <c r="U340" s="14" t="n"/>
      <c r="V340" s="16" t="n"/>
      <c r="W340" s="125" t="n"/>
      <c r="X340" s="14" t="n"/>
      <c r="Y340" s="16" t="n"/>
      <c r="Z340" s="125" t="n"/>
      <c r="AA340" s="14" t="n"/>
      <c r="AB340" s="16" t="n"/>
      <c r="AC340" s="125" t="n"/>
      <c r="AD340" s="14" t="n"/>
    </row>
    <row r="341">
      <c r="A341" s="58" t="n"/>
      <c r="B341" s="59" t="n"/>
      <c r="C341" s="59" t="n"/>
      <c r="E341" s="16" t="n"/>
      <c r="F341" s="13" t="n"/>
      <c r="G341" s="16" t="n"/>
      <c r="H341" s="125" t="n"/>
      <c r="I341" s="14" t="n"/>
      <c r="J341" s="16" t="n"/>
      <c r="K341" s="125" t="n"/>
      <c r="L341" s="14" t="n"/>
      <c r="M341" s="16" t="n"/>
      <c r="N341" s="125" t="n"/>
      <c r="O341" s="14" t="n"/>
      <c r="P341" s="16" t="n"/>
      <c r="Q341" s="125" t="n"/>
      <c r="R341" s="14" t="n"/>
      <c r="S341" s="16" t="n"/>
      <c r="T341" s="125" t="n"/>
      <c r="U341" s="14" t="n"/>
      <c r="V341" s="16" t="n"/>
      <c r="W341" s="125" t="n"/>
      <c r="X341" s="14" t="n"/>
      <c r="Y341" s="16" t="n"/>
      <c r="Z341" s="125" t="n"/>
      <c r="AA341" s="14" t="n"/>
      <c r="AB341" s="16" t="n"/>
      <c r="AC341" s="125" t="n"/>
      <c r="AD341" s="14" t="n"/>
    </row>
    <row r="342">
      <c r="A342" s="56" t="n"/>
      <c r="B342" s="59" t="n"/>
      <c r="C342" s="59" t="n"/>
      <c r="E342" s="16" t="n"/>
      <c r="F342" s="13" t="n"/>
      <c r="G342" s="16" t="n"/>
      <c r="H342" s="125" t="n"/>
      <c r="I342" s="14" t="n"/>
      <c r="J342" s="16" t="n"/>
      <c r="K342" s="125" t="n"/>
      <c r="L342" s="14" t="n"/>
      <c r="M342" s="16" t="n"/>
      <c r="N342" s="125" t="n"/>
      <c r="O342" s="14" t="n"/>
      <c r="P342" s="16" t="n"/>
      <c r="Q342" s="125" t="n"/>
      <c r="R342" s="14" t="n"/>
      <c r="S342" s="16" t="n"/>
      <c r="T342" s="125" t="n"/>
      <c r="U342" s="14" t="n"/>
      <c r="V342" s="16" t="n"/>
      <c r="W342" s="125" t="n"/>
      <c r="X342" s="14" t="n"/>
      <c r="Y342" s="16" t="n"/>
      <c r="Z342" s="125" t="n"/>
      <c r="AA342" s="14" t="n"/>
      <c r="AB342" s="16" t="n"/>
      <c r="AC342" s="125" t="n"/>
      <c r="AD342" s="14" t="n"/>
    </row>
    <row r="343">
      <c r="A343" s="58" t="n"/>
      <c r="B343" s="59" t="n"/>
      <c r="C343" s="59" t="n"/>
      <c r="E343" s="16" t="n"/>
      <c r="F343" s="13" t="n"/>
      <c r="G343" s="16" t="n"/>
      <c r="H343" s="125" t="n"/>
      <c r="I343" s="14" t="n"/>
      <c r="J343" s="16" t="n"/>
      <c r="K343" s="125" t="n"/>
      <c r="L343" s="14" t="n"/>
      <c r="M343" s="16" t="n"/>
      <c r="N343" s="125" t="n"/>
      <c r="O343" s="14" t="n"/>
      <c r="P343" s="16" t="n"/>
      <c r="Q343" s="125" t="n"/>
      <c r="R343" s="14" t="n"/>
      <c r="S343" s="16" t="n"/>
      <c r="T343" s="125" t="n"/>
      <c r="U343" s="14" t="n"/>
      <c r="V343" s="16" t="n"/>
      <c r="W343" s="125" t="n"/>
      <c r="X343" s="14" t="n"/>
      <c r="Y343" s="16" t="n"/>
      <c r="Z343" s="125" t="n"/>
      <c r="AA343" s="14" t="n"/>
      <c r="AB343" s="16" t="n"/>
      <c r="AC343" s="125" t="n"/>
      <c r="AD343" s="14" t="n"/>
    </row>
    <row r="344">
      <c r="A344" s="56" t="n"/>
      <c r="B344" s="59" t="n"/>
      <c r="C344" s="59" t="n"/>
      <c r="E344" s="16" t="n"/>
      <c r="F344" s="13" t="n"/>
      <c r="G344" s="16" t="n"/>
      <c r="H344" s="125" t="n"/>
      <c r="I344" s="14" t="n"/>
      <c r="J344" s="16" t="n"/>
      <c r="K344" s="125" t="n"/>
      <c r="L344" s="14" t="n"/>
      <c r="M344" s="16" t="n"/>
      <c r="N344" s="125" t="n"/>
      <c r="O344" s="14" t="n"/>
      <c r="P344" s="16" t="n"/>
      <c r="Q344" s="125" t="n"/>
      <c r="R344" s="14" t="n"/>
      <c r="S344" s="16" t="n"/>
      <c r="T344" s="125" t="n"/>
      <c r="U344" s="14" t="n"/>
      <c r="V344" s="16" t="n"/>
      <c r="W344" s="125" t="n"/>
      <c r="X344" s="14" t="n"/>
      <c r="Y344" s="16" t="n"/>
      <c r="Z344" s="125" t="n"/>
      <c r="AA344" s="14" t="n"/>
      <c r="AB344" s="16" t="n"/>
      <c r="AC344" s="125" t="n"/>
      <c r="AD344" s="14" t="n"/>
    </row>
    <row r="345">
      <c r="A345" s="58" t="n"/>
      <c r="B345" s="59" t="n"/>
      <c r="C345" s="59" t="n"/>
      <c r="E345" s="16" t="n"/>
      <c r="F345" s="13" t="n"/>
      <c r="G345" s="16" t="n"/>
      <c r="H345" s="125" t="n"/>
      <c r="I345" s="14" t="n"/>
      <c r="J345" s="16" t="n"/>
      <c r="K345" s="125" t="n"/>
      <c r="L345" s="14" t="n"/>
      <c r="M345" s="16" t="n"/>
      <c r="N345" s="125" t="n"/>
      <c r="O345" s="14" t="n"/>
      <c r="P345" s="16" t="n"/>
      <c r="Q345" s="125" t="n"/>
      <c r="R345" s="14" t="n"/>
      <c r="S345" s="16" t="n"/>
      <c r="T345" s="125" t="n"/>
      <c r="U345" s="14" t="n"/>
      <c r="V345" s="16" t="n"/>
      <c r="W345" s="125" t="n"/>
      <c r="X345" s="14" t="n"/>
      <c r="Y345" s="16" t="n"/>
      <c r="Z345" s="125" t="n"/>
      <c r="AA345" s="14" t="n"/>
      <c r="AB345" s="16" t="n"/>
      <c r="AC345" s="125" t="n"/>
      <c r="AD345" s="14" t="n"/>
    </row>
    <row r="346">
      <c r="A346" s="56" t="n"/>
      <c r="B346" s="59" t="n"/>
      <c r="C346" s="59" t="n"/>
      <c r="E346" s="16" t="n"/>
      <c r="F346" s="13" t="n"/>
      <c r="G346" s="16" t="n"/>
      <c r="H346" s="125" t="n"/>
      <c r="I346" s="14" t="n"/>
      <c r="J346" s="16" t="n"/>
      <c r="K346" s="125" t="n"/>
      <c r="L346" s="14" t="n"/>
      <c r="M346" s="16" t="n"/>
      <c r="N346" s="125" t="n"/>
      <c r="O346" s="14" t="n"/>
      <c r="P346" s="16" t="n"/>
      <c r="Q346" s="125" t="n"/>
      <c r="R346" s="14" t="n"/>
      <c r="S346" s="16" t="n"/>
      <c r="T346" s="125" t="n"/>
      <c r="U346" s="14" t="n"/>
      <c r="V346" s="16" t="n"/>
      <c r="W346" s="125" t="n"/>
      <c r="X346" s="14" t="n"/>
      <c r="Y346" s="16" t="n"/>
      <c r="Z346" s="125" t="n"/>
      <c r="AA346" s="14" t="n"/>
      <c r="AB346" s="16" t="n"/>
      <c r="AC346" s="125" t="n"/>
      <c r="AD346" s="14" t="n"/>
    </row>
    <row r="347">
      <c r="A347" s="58" t="n"/>
      <c r="B347" s="59" t="n"/>
      <c r="C347" s="59" t="n"/>
      <c r="E347" s="16" t="n"/>
      <c r="F347" s="13" t="n"/>
      <c r="G347" s="16" t="n"/>
      <c r="H347" s="125" t="n"/>
      <c r="I347" s="14" t="n"/>
      <c r="J347" s="16" t="n"/>
      <c r="K347" s="125" t="n"/>
      <c r="L347" s="14" t="n"/>
      <c r="M347" s="16" t="n"/>
      <c r="N347" s="125" t="n"/>
      <c r="O347" s="14" t="n"/>
      <c r="P347" s="16" t="n"/>
      <c r="Q347" s="125" t="n"/>
      <c r="R347" s="14" t="n"/>
      <c r="S347" s="16" t="n"/>
      <c r="T347" s="125" t="n"/>
      <c r="U347" s="14" t="n"/>
      <c r="V347" s="16" t="n"/>
      <c r="W347" s="125" t="n"/>
      <c r="X347" s="14" t="n"/>
      <c r="Y347" s="16" t="n"/>
      <c r="Z347" s="125" t="n"/>
      <c r="AA347" s="14" t="n"/>
      <c r="AB347" s="16" t="n"/>
      <c r="AC347" s="125" t="n"/>
      <c r="AD347" s="14" t="n"/>
    </row>
    <row r="348">
      <c r="A348" s="56" t="n"/>
      <c r="B348" s="59" t="n"/>
      <c r="C348" s="59" t="n"/>
      <c r="E348" s="16" t="n"/>
      <c r="F348" s="13" t="n"/>
      <c r="G348" s="16" t="n"/>
      <c r="H348" s="125" t="n"/>
      <c r="I348" s="14" t="n"/>
      <c r="J348" s="16" t="n"/>
      <c r="K348" s="125" t="n"/>
      <c r="L348" s="14" t="n"/>
      <c r="M348" s="16" t="n"/>
      <c r="N348" s="125" t="n"/>
      <c r="O348" s="14" t="n"/>
      <c r="P348" s="16" t="n"/>
      <c r="Q348" s="125" t="n"/>
      <c r="R348" s="14" t="n"/>
      <c r="S348" s="16" t="n"/>
      <c r="T348" s="125" t="n"/>
      <c r="U348" s="14" t="n"/>
      <c r="V348" s="16" t="n"/>
      <c r="W348" s="125" t="n"/>
      <c r="X348" s="14" t="n"/>
      <c r="Y348" s="16" t="n"/>
      <c r="Z348" s="125" t="n"/>
      <c r="AA348" s="14" t="n"/>
      <c r="AB348" s="16" t="n"/>
      <c r="AC348" s="125" t="n"/>
      <c r="AD348" s="14" t="n"/>
    </row>
    <row r="349">
      <c r="A349" s="58" t="n"/>
      <c r="B349" s="59" t="n"/>
      <c r="C349" s="59" t="n"/>
      <c r="E349" s="16" t="n"/>
      <c r="F349" s="13" t="n"/>
      <c r="G349" s="16" t="n"/>
      <c r="H349" s="125" t="n"/>
      <c r="I349" s="14" t="n"/>
      <c r="J349" s="16" t="n"/>
      <c r="K349" s="125" t="n"/>
      <c r="L349" s="14" t="n"/>
      <c r="M349" s="16" t="n"/>
      <c r="N349" s="125" t="n"/>
      <c r="O349" s="14" t="n"/>
      <c r="P349" s="16" t="n"/>
      <c r="Q349" s="125" t="n"/>
      <c r="R349" s="14" t="n"/>
      <c r="S349" s="16" t="n"/>
      <c r="T349" s="125" t="n"/>
      <c r="U349" s="14" t="n"/>
      <c r="V349" s="16" t="n"/>
      <c r="W349" s="125" t="n"/>
      <c r="X349" s="14" t="n"/>
      <c r="Y349" s="16" t="n"/>
      <c r="Z349" s="125" t="n"/>
      <c r="AA349" s="14" t="n"/>
      <c r="AB349" s="16" t="n"/>
      <c r="AC349" s="125" t="n"/>
      <c r="AD349" s="14" t="n"/>
    </row>
    <row r="350">
      <c r="A350" s="56" t="n"/>
      <c r="B350" s="59" t="n"/>
      <c r="C350" s="59" t="n"/>
      <c r="E350" s="16" t="n"/>
      <c r="F350" s="13" t="n"/>
      <c r="G350" s="16" t="n"/>
      <c r="H350" s="125" t="n"/>
      <c r="I350" s="14" t="n"/>
      <c r="J350" s="16" t="n"/>
      <c r="K350" s="125" t="n"/>
      <c r="L350" s="14" t="n"/>
      <c r="M350" s="16" t="n"/>
      <c r="N350" s="125" t="n"/>
      <c r="O350" s="14" t="n"/>
      <c r="P350" s="16" t="n"/>
      <c r="Q350" s="125" t="n"/>
      <c r="R350" s="14" t="n"/>
      <c r="S350" s="16" t="n"/>
      <c r="T350" s="125" t="n"/>
      <c r="U350" s="14" t="n"/>
      <c r="V350" s="16" t="n"/>
      <c r="W350" s="125" t="n"/>
      <c r="X350" s="14" t="n"/>
      <c r="Y350" s="16" t="n"/>
      <c r="Z350" s="125" t="n"/>
      <c r="AA350" s="14" t="n"/>
      <c r="AB350" s="16" t="n"/>
      <c r="AC350" s="125" t="n"/>
      <c r="AD350" s="14" t="n"/>
    </row>
    <row r="351">
      <c r="A351" s="58" t="n"/>
      <c r="B351" s="59" t="n"/>
      <c r="C351" s="59" t="n"/>
      <c r="E351" s="16" t="n"/>
      <c r="F351" s="13" t="n"/>
      <c r="G351" s="16" t="n"/>
      <c r="H351" s="125" t="n"/>
      <c r="I351" s="14" t="n"/>
      <c r="J351" s="16" t="n"/>
      <c r="K351" s="125" t="n"/>
      <c r="L351" s="14" t="n"/>
      <c r="M351" s="16" t="n"/>
      <c r="N351" s="125" t="n"/>
      <c r="O351" s="14" t="n"/>
      <c r="P351" s="16" t="n"/>
      <c r="Q351" s="125" t="n"/>
      <c r="R351" s="14" t="n"/>
      <c r="S351" s="16" t="n"/>
      <c r="T351" s="125" t="n"/>
      <c r="U351" s="14" t="n"/>
      <c r="V351" s="16" t="n"/>
      <c r="W351" s="125" t="n"/>
      <c r="X351" s="14" t="n"/>
      <c r="Y351" s="16" t="n"/>
      <c r="Z351" s="125" t="n"/>
      <c r="AA351" s="14" t="n"/>
      <c r="AB351" s="16" t="n"/>
      <c r="AC351" s="125" t="n"/>
      <c r="AD351" s="14" t="n"/>
    </row>
    <row r="352">
      <c r="A352" s="56" t="n"/>
      <c r="B352" s="59" t="n"/>
      <c r="C352" s="59" t="n"/>
      <c r="E352" s="16" t="n"/>
      <c r="F352" s="13" t="n"/>
      <c r="G352" s="16" t="n"/>
      <c r="H352" s="125" t="n"/>
      <c r="I352" s="14" t="n"/>
      <c r="J352" s="16" t="n"/>
      <c r="K352" s="125" t="n"/>
      <c r="L352" s="14" t="n"/>
      <c r="M352" s="16" t="n"/>
      <c r="N352" s="125" t="n"/>
      <c r="O352" s="14" t="n"/>
      <c r="P352" s="16" t="n"/>
      <c r="Q352" s="125" t="n"/>
      <c r="R352" s="14" t="n"/>
      <c r="S352" s="16" t="n"/>
      <c r="T352" s="125" t="n"/>
      <c r="U352" s="14" t="n"/>
      <c r="V352" s="16" t="n"/>
      <c r="W352" s="125" t="n"/>
      <c r="X352" s="14" t="n"/>
      <c r="Y352" s="16" t="n"/>
      <c r="Z352" s="125" t="n"/>
      <c r="AA352" s="14" t="n"/>
      <c r="AB352" s="16" t="n"/>
      <c r="AC352" s="125" t="n"/>
      <c r="AD352" s="14" t="n"/>
    </row>
    <row r="353">
      <c r="A353" s="58" t="n"/>
      <c r="B353" s="59" t="n"/>
      <c r="C353" s="59" t="n"/>
      <c r="E353" s="16" t="n"/>
      <c r="F353" s="13" t="n"/>
      <c r="G353" s="16" t="n"/>
      <c r="H353" s="125" t="n"/>
      <c r="I353" s="14" t="n"/>
      <c r="J353" s="16" t="n"/>
      <c r="K353" s="125" t="n"/>
      <c r="L353" s="14" t="n"/>
      <c r="M353" s="16" t="n"/>
      <c r="N353" s="125" t="n"/>
      <c r="O353" s="14" t="n"/>
      <c r="P353" s="16" t="n"/>
      <c r="Q353" s="125" t="n"/>
      <c r="R353" s="14" t="n"/>
      <c r="S353" s="16" t="n"/>
      <c r="T353" s="125" t="n"/>
      <c r="U353" s="14" t="n"/>
      <c r="V353" s="16" t="n"/>
      <c r="W353" s="125" t="n"/>
      <c r="X353" s="14" t="n"/>
      <c r="Y353" s="16" t="n"/>
      <c r="Z353" s="125" t="n"/>
      <c r="AA353" s="14" t="n"/>
      <c r="AB353" s="16" t="n"/>
      <c r="AC353" s="125" t="n"/>
      <c r="AD353" s="14" t="n"/>
    </row>
    <row r="354">
      <c r="A354" s="56" t="n"/>
      <c r="B354" s="59" t="n"/>
      <c r="C354" s="59" t="n"/>
      <c r="E354" s="16" t="n"/>
      <c r="F354" s="13" t="n"/>
      <c r="G354" s="16" t="n"/>
      <c r="H354" s="125" t="n"/>
      <c r="I354" s="14" t="n"/>
      <c r="J354" s="16" t="n"/>
      <c r="K354" s="125" t="n"/>
      <c r="L354" s="14" t="n"/>
      <c r="M354" s="16" t="n"/>
      <c r="N354" s="125" t="n"/>
      <c r="O354" s="14" t="n"/>
      <c r="P354" s="16" t="n"/>
      <c r="Q354" s="125" t="n"/>
      <c r="R354" s="14" t="n"/>
      <c r="S354" s="16" t="n"/>
      <c r="T354" s="125" t="n"/>
      <c r="U354" s="14" t="n"/>
      <c r="V354" s="16" t="n"/>
      <c r="W354" s="125" t="n"/>
      <c r="X354" s="14" t="n"/>
      <c r="Y354" s="16" t="n"/>
      <c r="Z354" s="125" t="n"/>
      <c r="AA354" s="14" t="n"/>
      <c r="AB354" s="16" t="n"/>
      <c r="AC354" s="125" t="n"/>
      <c r="AD354" s="14" t="n"/>
    </row>
    <row r="355">
      <c r="A355" s="58" t="n"/>
      <c r="B355" s="59" t="n"/>
      <c r="C355" s="59" t="n"/>
      <c r="E355" s="16" t="n"/>
      <c r="F355" s="13" t="n"/>
      <c r="G355" s="16" t="n"/>
      <c r="H355" s="125" t="n"/>
      <c r="I355" s="14" t="n"/>
      <c r="J355" s="16" t="n"/>
      <c r="K355" s="125" t="n"/>
      <c r="L355" s="14" t="n"/>
      <c r="M355" s="16" t="n"/>
      <c r="N355" s="125" t="n"/>
      <c r="O355" s="14" t="n"/>
      <c r="P355" s="16" t="n"/>
      <c r="Q355" s="125" t="n"/>
      <c r="R355" s="14" t="n"/>
      <c r="S355" s="16" t="n"/>
      <c r="T355" s="125" t="n"/>
      <c r="U355" s="14" t="n"/>
      <c r="V355" s="16" t="n"/>
      <c r="W355" s="125" t="n"/>
      <c r="X355" s="14" t="n"/>
      <c r="Y355" s="16" t="n"/>
      <c r="Z355" s="125" t="n"/>
      <c r="AA355" s="14" t="n"/>
      <c r="AB355" s="16" t="n"/>
      <c r="AC355" s="125" t="n"/>
      <c r="AD355" s="14" t="n"/>
    </row>
    <row r="356">
      <c r="A356" s="56" t="n"/>
      <c r="B356" s="59" t="n"/>
      <c r="C356" s="59" t="n"/>
      <c r="E356" s="16" t="n"/>
      <c r="F356" s="13" t="n"/>
      <c r="G356" s="16" t="n"/>
      <c r="H356" s="125" t="n"/>
      <c r="I356" s="14" t="n"/>
      <c r="J356" s="16" t="n"/>
      <c r="K356" s="125" t="n"/>
      <c r="L356" s="14" t="n"/>
      <c r="M356" s="16" t="n"/>
      <c r="N356" s="125" t="n"/>
      <c r="O356" s="14" t="n"/>
      <c r="P356" s="16" t="n"/>
      <c r="Q356" s="125" t="n"/>
      <c r="R356" s="14" t="n"/>
      <c r="S356" s="16" t="n"/>
      <c r="T356" s="125" t="n"/>
      <c r="U356" s="14" t="n"/>
      <c r="V356" s="16" t="n"/>
      <c r="W356" s="125" t="n"/>
      <c r="X356" s="14" t="n"/>
      <c r="Y356" s="16" t="n"/>
      <c r="Z356" s="125" t="n"/>
      <c r="AA356" s="14" t="n"/>
      <c r="AB356" s="16" t="n"/>
      <c r="AC356" s="125" t="n"/>
      <c r="AD356" s="14" t="n"/>
    </row>
    <row r="357">
      <c r="A357" s="58" t="n"/>
      <c r="B357" s="59" t="n"/>
      <c r="C357" s="59" t="n"/>
      <c r="E357" s="16" t="n"/>
      <c r="F357" s="13" t="n"/>
      <c r="G357" s="16" t="n"/>
      <c r="H357" s="125" t="n"/>
      <c r="I357" s="14" t="n"/>
      <c r="J357" s="16" t="n"/>
      <c r="K357" s="125" t="n"/>
      <c r="L357" s="14" t="n"/>
      <c r="M357" s="16" t="n"/>
      <c r="N357" s="125" t="n"/>
      <c r="O357" s="14" t="n"/>
      <c r="P357" s="16" t="n"/>
      <c r="Q357" s="125" t="n"/>
      <c r="R357" s="14" t="n"/>
      <c r="S357" s="16" t="n"/>
      <c r="T357" s="125" t="n"/>
      <c r="U357" s="14" t="n"/>
      <c r="V357" s="16" t="n"/>
      <c r="W357" s="125" t="n"/>
      <c r="X357" s="14" t="n"/>
      <c r="Y357" s="16" t="n"/>
      <c r="Z357" s="125" t="n"/>
      <c r="AA357" s="14" t="n"/>
      <c r="AB357" s="16" t="n"/>
      <c r="AC357" s="125" t="n"/>
      <c r="AD357" s="14" t="n"/>
    </row>
    <row r="358">
      <c r="A358" s="56" t="n"/>
      <c r="B358" s="59" t="n"/>
      <c r="C358" s="59" t="n"/>
      <c r="E358" s="16" t="n"/>
      <c r="F358" s="13" t="n"/>
      <c r="G358" s="16" t="n"/>
      <c r="H358" s="125" t="n"/>
      <c r="I358" s="14" t="n"/>
      <c r="J358" s="16" t="n"/>
      <c r="K358" s="125" t="n"/>
      <c r="L358" s="14" t="n"/>
      <c r="M358" s="16" t="n"/>
      <c r="N358" s="125" t="n"/>
      <c r="O358" s="14" t="n"/>
      <c r="P358" s="16" t="n"/>
      <c r="Q358" s="125" t="n"/>
      <c r="R358" s="14" t="n"/>
      <c r="S358" s="16" t="n"/>
      <c r="T358" s="125" t="n"/>
      <c r="U358" s="14" t="n"/>
      <c r="V358" s="16" t="n"/>
      <c r="W358" s="125" t="n"/>
      <c r="X358" s="14" t="n"/>
      <c r="Y358" s="16" t="n"/>
      <c r="Z358" s="125" t="n"/>
      <c r="AA358" s="14" t="n"/>
      <c r="AB358" s="16" t="n"/>
      <c r="AC358" s="125" t="n"/>
      <c r="AD358" s="14" t="n"/>
    </row>
    <row r="359">
      <c r="A359" s="58" t="n"/>
      <c r="B359" s="59" t="n"/>
      <c r="C359" s="59" t="n"/>
      <c r="E359" s="16" t="n"/>
      <c r="F359" s="13" t="n"/>
      <c r="G359" s="16" t="n"/>
      <c r="H359" s="125" t="n"/>
      <c r="I359" s="14" t="n"/>
      <c r="J359" s="16" t="n"/>
      <c r="K359" s="125" t="n"/>
      <c r="L359" s="14" t="n"/>
      <c r="M359" s="16" t="n"/>
      <c r="N359" s="125" t="n"/>
      <c r="O359" s="14" t="n"/>
      <c r="P359" s="16" t="n"/>
      <c r="Q359" s="125" t="n"/>
      <c r="R359" s="14" t="n"/>
      <c r="S359" s="16" t="n"/>
      <c r="T359" s="125" t="n"/>
      <c r="U359" s="14" t="n"/>
      <c r="V359" s="16" t="n"/>
      <c r="W359" s="125" t="n"/>
      <c r="X359" s="14" t="n"/>
      <c r="Y359" s="16" t="n"/>
      <c r="Z359" s="125" t="n"/>
      <c r="AA359" s="14" t="n"/>
      <c r="AB359" s="16" t="n"/>
      <c r="AC359" s="125" t="n"/>
      <c r="AD359" s="14" t="n"/>
    </row>
    <row r="360">
      <c r="A360" s="56" t="n"/>
      <c r="B360" s="59" t="n"/>
      <c r="C360" s="59" t="n"/>
      <c r="E360" s="16" t="n"/>
      <c r="F360" s="13" t="n"/>
      <c r="G360" s="16" t="n"/>
      <c r="H360" s="125" t="n"/>
      <c r="I360" s="14" t="n"/>
      <c r="J360" s="16" t="n"/>
      <c r="K360" s="125" t="n"/>
      <c r="L360" s="14" t="n"/>
      <c r="M360" s="16" t="n"/>
      <c r="N360" s="125" t="n"/>
      <c r="O360" s="14" t="n"/>
      <c r="P360" s="16" t="n"/>
      <c r="Q360" s="125" t="n"/>
      <c r="R360" s="14" t="n"/>
      <c r="S360" s="16" t="n"/>
      <c r="T360" s="125" t="n"/>
      <c r="U360" s="14" t="n"/>
      <c r="V360" s="16" t="n"/>
      <c r="W360" s="125" t="n"/>
      <c r="X360" s="14" t="n"/>
      <c r="Y360" s="16" t="n"/>
      <c r="Z360" s="125" t="n"/>
      <c r="AA360" s="14" t="n"/>
      <c r="AB360" s="16" t="n"/>
      <c r="AC360" s="125" t="n"/>
      <c r="AD360" s="14" t="n"/>
    </row>
    <row r="361">
      <c r="A361" s="58" t="n"/>
      <c r="B361" s="59" t="n"/>
      <c r="C361" s="59" t="n"/>
      <c r="E361" s="16" t="n"/>
      <c r="F361" s="13" t="n"/>
      <c r="G361" s="16" t="n"/>
      <c r="H361" s="125" t="n"/>
      <c r="I361" s="14" t="n"/>
      <c r="J361" s="16" t="n"/>
      <c r="K361" s="125" t="n"/>
      <c r="L361" s="14" t="n"/>
      <c r="M361" s="16" t="n"/>
      <c r="N361" s="125" t="n"/>
      <c r="O361" s="14" t="n"/>
      <c r="P361" s="16" t="n"/>
      <c r="Q361" s="125" t="n"/>
      <c r="R361" s="14" t="n"/>
      <c r="S361" s="16" t="n"/>
      <c r="T361" s="125" t="n"/>
      <c r="U361" s="14" t="n"/>
      <c r="V361" s="16" t="n"/>
      <c r="W361" s="125" t="n"/>
      <c r="X361" s="14" t="n"/>
      <c r="Y361" s="16" t="n"/>
      <c r="Z361" s="125" t="n"/>
      <c r="AA361" s="14" t="n"/>
      <c r="AB361" s="16" t="n"/>
      <c r="AC361" s="125" t="n"/>
      <c r="AD361" s="14" t="n"/>
    </row>
    <row r="362">
      <c r="A362" s="56" t="n"/>
      <c r="B362" s="59" t="n"/>
      <c r="C362" s="59" t="n"/>
      <c r="E362" s="16" t="n"/>
      <c r="F362" s="13" t="n"/>
      <c r="G362" s="16" t="n"/>
      <c r="H362" s="125" t="n"/>
      <c r="I362" s="14" t="n"/>
      <c r="J362" s="16" t="n"/>
      <c r="K362" s="125" t="n"/>
      <c r="L362" s="14" t="n"/>
      <c r="M362" s="16" t="n"/>
      <c r="N362" s="125" t="n"/>
      <c r="O362" s="14" t="n"/>
      <c r="P362" s="16" t="n"/>
      <c r="Q362" s="125" t="n"/>
      <c r="R362" s="14" t="n"/>
      <c r="S362" s="16" t="n"/>
      <c r="T362" s="125" t="n"/>
      <c r="U362" s="14" t="n"/>
      <c r="V362" s="16" t="n"/>
      <c r="W362" s="125" t="n"/>
      <c r="X362" s="14" t="n"/>
      <c r="Y362" s="16" t="n"/>
      <c r="Z362" s="125" t="n"/>
      <c r="AA362" s="14" t="n"/>
      <c r="AB362" s="16" t="n"/>
      <c r="AC362" s="125" t="n"/>
      <c r="AD362" s="14" t="n"/>
    </row>
    <row r="363">
      <c r="A363" s="58" t="n"/>
      <c r="B363" s="59" t="n"/>
      <c r="C363" s="59" t="n"/>
      <c r="E363" s="16" t="n"/>
      <c r="F363" s="13" t="n"/>
      <c r="G363" s="16" t="n"/>
      <c r="H363" s="125" t="n"/>
      <c r="I363" s="14" t="n"/>
      <c r="J363" s="16" t="n"/>
      <c r="K363" s="125" t="n"/>
      <c r="L363" s="14" t="n"/>
      <c r="M363" s="16" t="n"/>
      <c r="N363" s="125" t="n"/>
      <c r="O363" s="14" t="n"/>
      <c r="P363" s="16" t="n"/>
      <c r="Q363" s="125" t="n"/>
      <c r="R363" s="14" t="n"/>
      <c r="S363" s="16" t="n"/>
      <c r="T363" s="125" t="n"/>
      <c r="U363" s="14" t="n"/>
      <c r="V363" s="16" t="n"/>
      <c r="W363" s="125" t="n"/>
      <c r="X363" s="14" t="n"/>
      <c r="Y363" s="16" t="n"/>
      <c r="Z363" s="125" t="n"/>
      <c r="AA363" s="14" t="n"/>
      <c r="AB363" s="16" t="n"/>
      <c r="AC363" s="125" t="n"/>
      <c r="AD363" s="14" t="n"/>
    </row>
    <row r="364">
      <c r="A364" s="56" t="n"/>
      <c r="B364" s="59" t="n"/>
      <c r="C364" s="59" t="n"/>
      <c r="E364" s="16" t="n"/>
      <c r="F364" s="13" t="n"/>
      <c r="G364" s="16" t="n"/>
      <c r="H364" s="125" t="n"/>
      <c r="I364" s="14" t="n"/>
      <c r="J364" s="16" t="n"/>
      <c r="K364" s="125" t="n"/>
      <c r="L364" s="14" t="n"/>
      <c r="M364" s="16" t="n"/>
      <c r="N364" s="125" t="n"/>
      <c r="O364" s="14" t="n"/>
      <c r="P364" s="16" t="n"/>
      <c r="Q364" s="125" t="n"/>
      <c r="R364" s="14" t="n"/>
      <c r="S364" s="16" t="n"/>
      <c r="T364" s="125" t="n"/>
      <c r="U364" s="14" t="n"/>
      <c r="V364" s="16" t="n"/>
      <c r="W364" s="125" t="n"/>
      <c r="X364" s="14" t="n"/>
      <c r="Y364" s="16" t="n"/>
      <c r="Z364" s="125" t="n"/>
      <c r="AA364" s="14" t="n"/>
      <c r="AB364" s="16" t="n"/>
      <c r="AC364" s="125" t="n"/>
      <c r="AD364" s="14" t="n"/>
    </row>
    <row r="365">
      <c r="A365" s="58" t="n"/>
      <c r="B365" s="59" t="n"/>
      <c r="C365" s="59" t="n"/>
      <c r="E365" s="16" t="n"/>
      <c r="F365" s="13" t="n"/>
      <c r="G365" s="16" t="n"/>
      <c r="H365" s="125" t="n"/>
      <c r="I365" s="14" t="n"/>
      <c r="J365" s="16" t="n"/>
      <c r="K365" s="125" t="n"/>
      <c r="L365" s="14" t="n"/>
      <c r="M365" s="16" t="n"/>
      <c r="N365" s="125" t="n"/>
      <c r="O365" s="14" t="n"/>
      <c r="P365" s="16" t="n"/>
      <c r="Q365" s="125" t="n"/>
      <c r="R365" s="14" t="n"/>
      <c r="S365" s="16" t="n"/>
      <c r="T365" s="125" t="n"/>
      <c r="U365" s="14" t="n"/>
      <c r="V365" s="16" t="n"/>
      <c r="W365" s="125" t="n"/>
      <c r="X365" s="14" t="n"/>
      <c r="Y365" s="16" t="n"/>
      <c r="Z365" s="125" t="n"/>
      <c r="AA365" s="14" t="n"/>
      <c r="AB365" s="16" t="n"/>
      <c r="AC365" s="125" t="n"/>
      <c r="AD365" s="14" t="n"/>
    </row>
    <row r="366">
      <c r="A366" s="56" t="n"/>
      <c r="B366" s="59" t="n"/>
      <c r="C366" s="59" t="n"/>
      <c r="E366" s="16" t="n"/>
      <c r="F366" s="13" t="n"/>
      <c r="G366" s="16" t="n"/>
      <c r="H366" s="125" t="n"/>
      <c r="I366" s="14" t="n"/>
      <c r="J366" s="16" t="n"/>
      <c r="K366" s="125" t="n"/>
      <c r="L366" s="14" t="n"/>
      <c r="M366" s="16" t="n"/>
      <c r="N366" s="125" t="n"/>
      <c r="O366" s="14" t="n"/>
      <c r="P366" s="16" t="n"/>
      <c r="Q366" s="125" t="n"/>
      <c r="R366" s="14" t="n"/>
      <c r="S366" s="16" t="n"/>
      <c r="T366" s="125" t="n"/>
      <c r="U366" s="14" t="n"/>
      <c r="V366" s="16" t="n"/>
      <c r="W366" s="125" t="n"/>
      <c r="X366" s="14" t="n"/>
      <c r="Y366" s="16" t="n"/>
      <c r="Z366" s="125" t="n"/>
      <c r="AA366" s="14" t="n"/>
      <c r="AB366" s="16" t="n"/>
      <c r="AC366" s="125" t="n"/>
      <c r="AD366" s="14" t="n"/>
    </row>
    <row r="367">
      <c r="A367" s="58" t="n"/>
      <c r="B367" s="59" t="n"/>
      <c r="C367" s="59" t="n"/>
      <c r="E367" s="16" t="n"/>
      <c r="F367" s="13" t="n"/>
      <c r="G367" s="16" t="n"/>
      <c r="H367" s="125" t="n"/>
      <c r="I367" s="14" t="n"/>
      <c r="J367" s="16" t="n"/>
      <c r="K367" s="125" t="n"/>
      <c r="L367" s="14" t="n"/>
      <c r="M367" s="16" t="n"/>
      <c r="N367" s="125" t="n"/>
      <c r="O367" s="14" t="n"/>
      <c r="P367" s="16" t="n"/>
      <c r="Q367" s="125" t="n"/>
      <c r="R367" s="14" t="n"/>
      <c r="S367" s="16" t="n"/>
      <c r="T367" s="125" t="n"/>
      <c r="U367" s="14" t="n"/>
      <c r="V367" s="16" t="n"/>
      <c r="W367" s="125" t="n"/>
      <c r="X367" s="14" t="n"/>
      <c r="Y367" s="16" t="n"/>
      <c r="Z367" s="125" t="n"/>
      <c r="AA367" s="14" t="n"/>
      <c r="AB367" s="16" t="n"/>
      <c r="AC367" s="125" t="n"/>
      <c r="AD367" s="14" t="n"/>
    </row>
    <row r="368">
      <c r="A368" s="56" t="n"/>
      <c r="B368" s="59" t="n"/>
      <c r="C368" s="59" t="n"/>
      <c r="E368" s="16" t="n"/>
      <c r="F368" s="13" t="n"/>
      <c r="G368" s="16" t="n"/>
      <c r="H368" s="125" t="n"/>
      <c r="I368" s="14" t="n"/>
      <c r="J368" s="16" t="n"/>
      <c r="K368" s="125" t="n"/>
      <c r="L368" s="14" t="n"/>
      <c r="M368" s="16" t="n"/>
      <c r="N368" s="125" t="n"/>
      <c r="O368" s="14" t="n"/>
      <c r="P368" s="16" t="n"/>
      <c r="Q368" s="125" t="n"/>
      <c r="R368" s="14" t="n"/>
      <c r="S368" s="16" t="n"/>
      <c r="T368" s="125" t="n"/>
      <c r="U368" s="14" t="n"/>
      <c r="V368" s="16" t="n"/>
      <c r="W368" s="125" t="n"/>
      <c r="X368" s="14" t="n"/>
      <c r="Y368" s="16" t="n"/>
      <c r="Z368" s="125" t="n"/>
      <c r="AA368" s="14" t="n"/>
      <c r="AB368" s="16" t="n"/>
      <c r="AC368" s="125" t="n"/>
      <c r="AD368" s="14" t="n"/>
    </row>
    <row r="369">
      <c r="A369" s="58" t="n"/>
      <c r="B369" s="59" t="n"/>
      <c r="C369" s="59" t="n"/>
      <c r="E369" s="16" t="n"/>
      <c r="F369" s="13" t="n"/>
      <c r="G369" s="16" t="n"/>
      <c r="H369" s="125" t="n"/>
      <c r="I369" s="14" t="n"/>
      <c r="J369" s="16" t="n"/>
      <c r="K369" s="125" t="n"/>
      <c r="L369" s="14" t="n"/>
      <c r="M369" s="16" t="n"/>
      <c r="N369" s="125" t="n"/>
      <c r="O369" s="14" t="n"/>
      <c r="P369" s="16" t="n"/>
      <c r="Q369" s="125" t="n"/>
      <c r="R369" s="14" t="n"/>
      <c r="S369" s="16" t="n"/>
      <c r="T369" s="125" t="n"/>
      <c r="U369" s="14" t="n"/>
      <c r="V369" s="16" t="n"/>
      <c r="W369" s="125" t="n"/>
      <c r="X369" s="14" t="n"/>
      <c r="Y369" s="16" t="n"/>
      <c r="Z369" s="125" t="n"/>
      <c r="AA369" s="14" t="n"/>
      <c r="AB369" s="16" t="n"/>
      <c r="AC369" s="125" t="n"/>
      <c r="AD369" s="14" t="n"/>
    </row>
    <row r="370">
      <c r="A370" s="56" t="n"/>
      <c r="B370" s="59" t="n"/>
      <c r="C370" s="59" t="n"/>
      <c r="E370" s="16" t="n"/>
      <c r="F370" s="13" t="n"/>
      <c r="G370" s="16" t="n"/>
      <c r="H370" s="125" t="n"/>
      <c r="I370" s="14" t="n"/>
      <c r="J370" s="16" t="n"/>
      <c r="K370" s="125" t="n"/>
      <c r="L370" s="14" t="n"/>
      <c r="M370" s="16" t="n"/>
      <c r="N370" s="125" t="n"/>
      <c r="O370" s="14" t="n"/>
      <c r="P370" s="16" t="n"/>
      <c r="Q370" s="125" t="n"/>
      <c r="R370" s="14" t="n"/>
      <c r="S370" s="16" t="n"/>
      <c r="T370" s="125" t="n"/>
      <c r="U370" s="14" t="n"/>
      <c r="V370" s="16" t="n"/>
      <c r="W370" s="125" t="n"/>
      <c r="X370" s="14" t="n"/>
      <c r="Y370" s="16" t="n"/>
      <c r="Z370" s="125" t="n"/>
      <c r="AA370" s="14" t="n"/>
      <c r="AB370" s="16" t="n"/>
      <c r="AC370" s="125" t="n"/>
      <c r="AD370" s="14" t="n"/>
    </row>
    <row r="371">
      <c r="A371" s="58" t="n"/>
      <c r="B371" s="59" t="n"/>
      <c r="C371" s="59" t="n"/>
      <c r="E371" s="16" t="n"/>
      <c r="F371" s="13" t="n"/>
      <c r="G371" s="16" t="n"/>
      <c r="H371" s="125" t="n"/>
      <c r="I371" s="14" t="n"/>
      <c r="J371" s="16" t="n"/>
      <c r="K371" s="125" t="n"/>
      <c r="L371" s="14" t="n"/>
      <c r="M371" s="16" t="n"/>
      <c r="N371" s="125" t="n"/>
      <c r="O371" s="14" t="n"/>
      <c r="P371" s="16" t="n"/>
      <c r="Q371" s="125" t="n"/>
      <c r="R371" s="14" t="n"/>
      <c r="S371" s="16" t="n"/>
      <c r="T371" s="125" t="n"/>
      <c r="U371" s="14" t="n"/>
      <c r="V371" s="16" t="n"/>
      <c r="W371" s="125" t="n"/>
      <c r="X371" s="14" t="n"/>
      <c r="Y371" s="16" t="n"/>
      <c r="Z371" s="125" t="n"/>
      <c r="AA371" s="14" t="n"/>
      <c r="AB371" s="16" t="n"/>
      <c r="AC371" s="125" t="n"/>
      <c r="AD371" s="14" t="n"/>
    </row>
    <row r="372">
      <c r="A372" s="56" t="n"/>
      <c r="B372" s="59" t="n"/>
      <c r="C372" s="59" t="n"/>
      <c r="E372" s="16" t="n"/>
      <c r="F372" s="13" t="n"/>
      <c r="G372" s="16" t="n"/>
      <c r="H372" s="125" t="n"/>
      <c r="I372" s="14" t="n"/>
      <c r="J372" s="16" t="n"/>
      <c r="K372" s="125" t="n"/>
      <c r="L372" s="14" t="n"/>
      <c r="M372" s="16" t="n"/>
      <c r="N372" s="125" t="n"/>
      <c r="O372" s="14" t="n"/>
      <c r="P372" s="16" t="n"/>
      <c r="Q372" s="125" t="n"/>
      <c r="R372" s="14" t="n"/>
      <c r="S372" s="16" t="n"/>
      <c r="T372" s="125" t="n"/>
      <c r="U372" s="14" t="n"/>
      <c r="V372" s="16" t="n"/>
      <c r="W372" s="125" t="n"/>
      <c r="X372" s="14" t="n"/>
      <c r="Y372" s="16" t="n"/>
      <c r="Z372" s="125" t="n"/>
      <c r="AA372" s="14" t="n"/>
      <c r="AB372" s="16" t="n"/>
      <c r="AC372" s="125" t="n"/>
      <c r="AD372" s="14" t="n"/>
    </row>
    <row r="373">
      <c r="A373" s="58" t="n"/>
      <c r="B373" s="59" t="n"/>
      <c r="C373" s="59" t="n"/>
      <c r="E373" s="16" t="n"/>
      <c r="F373" s="13" t="n"/>
      <c r="G373" s="16" t="n"/>
      <c r="H373" s="125" t="n"/>
      <c r="I373" s="14" t="n"/>
      <c r="J373" s="16" t="n"/>
      <c r="K373" s="125" t="n"/>
      <c r="L373" s="14" t="n"/>
      <c r="M373" s="16" t="n"/>
      <c r="N373" s="125" t="n"/>
      <c r="O373" s="14" t="n"/>
      <c r="P373" s="16" t="n"/>
      <c r="Q373" s="125" t="n"/>
      <c r="R373" s="14" t="n"/>
      <c r="S373" s="16" t="n"/>
      <c r="T373" s="125" t="n"/>
      <c r="U373" s="14" t="n"/>
      <c r="V373" s="16" t="n"/>
      <c r="W373" s="125" t="n"/>
      <c r="X373" s="14" t="n"/>
      <c r="Y373" s="16" t="n"/>
      <c r="Z373" s="125" t="n"/>
      <c r="AA373" s="14" t="n"/>
      <c r="AB373" s="16" t="n"/>
      <c r="AC373" s="125" t="n"/>
      <c r="AD373" s="14" t="n"/>
    </row>
    <row r="374">
      <c r="A374" s="56" t="n"/>
      <c r="B374" s="59" t="n"/>
      <c r="C374" s="59" t="n"/>
      <c r="E374" s="16" t="n"/>
      <c r="F374" s="13" t="n"/>
      <c r="G374" s="16" t="n"/>
      <c r="H374" s="125" t="n"/>
      <c r="I374" s="14" t="n"/>
      <c r="J374" s="16" t="n"/>
      <c r="K374" s="125" t="n"/>
      <c r="L374" s="14" t="n"/>
      <c r="M374" s="16" t="n"/>
      <c r="N374" s="125" t="n"/>
      <c r="O374" s="14" t="n"/>
      <c r="P374" s="16" t="n"/>
      <c r="Q374" s="125" t="n"/>
      <c r="R374" s="14" t="n"/>
      <c r="S374" s="16" t="n"/>
      <c r="T374" s="125" t="n"/>
      <c r="U374" s="14" t="n"/>
      <c r="V374" s="16" t="n"/>
      <c r="W374" s="125" t="n"/>
      <c r="X374" s="14" t="n"/>
      <c r="Y374" s="16" t="n"/>
      <c r="Z374" s="125" t="n"/>
      <c r="AA374" s="14" t="n"/>
      <c r="AB374" s="16" t="n"/>
      <c r="AC374" s="125" t="n"/>
      <c r="AD374" s="14" t="n"/>
    </row>
    <row r="375">
      <c r="A375" s="58" t="n"/>
      <c r="B375" s="59" t="n"/>
      <c r="C375" s="59" t="n"/>
      <c r="E375" s="16" t="n"/>
      <c r="F375" s="13" t="n"/>
      <c r="G375" s="16" t="n"/>
      <c r="H375" s="125" t="n"/>
      <c r="I375" s="14" t="n"/>
      <c r="J375" s="16" t="n"/>
      <c r="K375" s="125" t="n"/>
      <c r="L375" s="14" t="n"/>
      <c r="M375" s="16" t="n"/>
      <c r="N375" s="125" t="n"/>
      <c r="O375" s="14" t="n"/>
      <c r="P375" s="16" t="n"/>
      <c r="Q375" s="125" t="n"/>
      <c r="R375" s="14" t="n"/>
      <c r="S375" s="16" t="n"/>
      <c r="T375" s="125" t="n"/>
      <c r="U375" s="14" t="n"/>
      <c r="V375" s="16" t="n"/>
      <c r="W375" s="125" t="n"/>
      <c r="X375" s="14" t="n"/>
      <c r="Y375" s="16" t="n"/>
      <c r="Z375" s="125" t="n"/>
      <c r="AA375" s="14" t="n"/>
      <c r="AB375" s="16" t="n"/>
      <c r="AC375" s="125" t="n"/>
      <c r="AD375" s="14" t="n"/>
    </row>
    <row r="376">
      <c r="A376" s="56" t="n"/>
      <c r="B376" s="59" t="n"/>
      <c r="C376" s="59" t="n"/>
      <c r="E376" s="16" t="n"/>
      <c r="F376" s="13" t="n"/>
      <c r="G376" s="16" t="n"/>
      <c r="H376" s="125" t="n"/>
      <c r="I376" s="14" t="n"/>
      <c r="J376" s="16" t="n"/>
      <c r="K376" s="125" t="n"/>
      <c r="L376" s="14" t="n"/>
      <c r="M376" s="16" t="n"/>
      <c r="N376" s="125" t="n"/>
      <c r="O376" s="14" t="n"/>
      <c r="P376" s="16" t="n"/>
      <c r="Q376" s="125" t="n"/>
      <c r="R376" s="14" t="n"/>
      <c r="S376" s="16" t="n"/>
      <c r="T376" s="125" t="n"/>
      <c r="U376" s="14" t="n"/>
      <c r="V376" s="16" t="n"/>
      <c r="W376" s="125" t="n"/>
      <c r="X376" s="14" t="n"/>
      <c r="Y376" s="16" t="n"/>
      <c r="Z376" s="125" t="n"/>
      <c r="AA376" s="14" t="n"/>
      <c r="AB376" s="16" t="n"/>
      <c r="AC376" s="125" t="n"/>
      <c r="AD376" s="14" t="n"/>
    </row>
    <row r="377">
      <c r="A377" s="58" t="n"/>
      <c r="B377" s="59" t="n"/>
      <c r="C377" s="59" t="n"/>
      <c r="E377" s="16" t="n"/>
      <c r="F377" s="13" t="n"/>
      <c r="G377" s="16" t="n"/>
      <c r="H377" s="125" t="n"/>
      <c r="I377" s="14" t="n"/>
      <c r="J377" s="16" t="n"/>
      <c r="K377" s="125" t="n"/>
      <c r="L377" s="14" t="n"/>
      <c r="M377" s="16" t="n"/>
      <c r="N377" s="125" t="n"/>
      <c r="O377" s="14" t="n"/>
      <c r="P377" s="16" t="n"/>
      <c r="Q377" s="125" t="n"/>
      <c r="R377" s="14" t="n"/>
      <c r="S377" s="16" t="n"/>
      <c r="T377" s="125" t="n"/>
      <c r="U377" s="14" t="n"/>
      <c r="V377" s="16" t="n"/>
      <c r="W377" s="125" t="n"/>
      <c r="X377" s="14" t="n"/>
      <c r="Y377" s="16" t="n"/>
      <c r="Z377" s="125" t="n"/>
      <c r="AA377" s="14" t="n"/>
      <c r="AB377" s="16" t="n"/>
      <c r="AC377" s="125" t="n"/>
      <c r="AD377" s="14" t="n"/>
    </row>
    <row r="378">
      <c r="A378" s="56" t="n"/>
      <c r="B378" s="59" t="n"/>
      <c r="C378" s="59" t="n"/>
      <c r="E378" s="16" t="n"/>
      <c r="F378" s="13" t="n"/>
      <c r="G378" s="16" t="n"/>
      <c r="H378" s="125" t="n"/>
      <c r="I378" s="14" t="n"/>
      <c r="J378" s="16" t="n"/>
      <c r="K378" s="125" t="n"/>
      <c r="L378" s="14" t="n"/>
      <c r="M378" s="16" t="n"/>
      <c r="N378" s="125" t="n"/>
      <c r="O378" s="14" t="n"/>
      <c r="P378" s="16" t="n"/>
      <c r="Q378" s="125" t="n"/>
      <c r="R378" s="14" t="n"/>
      <c r="S378" s="16" t="n"/>
      <c r="T378" s="125" t="n"/>
      <c r="U378" s="14" t="n"/>
      <c r="V378" s="16" t="n"/>
      <c r="W378" s="125" t="n"/>
      <c r="X378" s="14" t="n"/>
      <c r="Y378" s="16" t="n"/>
      <c r="Z378" s="125" t="n"/>
      <c r="AA378" s="14" t="n"/>
      <c r="AB378" s="16" t="n"/>
      <c r="AC378" s="125" t="n"/>
      <c r="AD378" s="14" t="n"/>
    </row>
    <row r="379">
      <c r="A379" s="58" t="n"/>
      <c r="B379" s="59" t="n"/>
      <c r="C379" s="59" t="n"/>
      <c r="E379" s="16" t="n"/>
      <c r="F379" s="13" t="n"/>
      <c r="G379" s="16" t="n"/>
      <c r="H379" s="125" t="n"/>
      <c r="I379" s="14" t="n"/>
      <c r="J379" s="16" t="n"/>
      <c r="K379" s="125" t="n"/>
      <c r="L379" s="14" t="n"/>
      <c r="M379" s="16" t="n"/>
      <c r="N379" s="125" t="n"/>
      <c r="O379" s="14" t="n"/>
      <c r="P379" s="16" t="n"/>
      <c r="Q379" s="125" t="n"/>
      <c r="R379" s="14" t="n"/>
      <c r="S379" s="16" t="n"/>
      <c r="T379" s="125" t="n"/>
      <c r="U379" s="14" t="n"/>
      <c r="V379" s="16" t="n"/>
      <c r="W379" s="125" t="n"/>
      <c r="X379" s="14" t="n"/>
      <c r="Y379" s="16" t="n"/>
      <c r="Z379" s="125" t="n"/>
      <c r="AA379" s="14" t="n"/>
      <c r="AB379" s="16" t="n"/>
      <c r="AC379" s="125" t="n"/>
      <c r="AD379" s="14" t="n"/>
    </row>
    <row r="380">
      <c r="A380" s="56" t="n"/>
      <c r="B380" s="59" t="n"/>
      <c r="C380" s="59" t="n"/>
      <c r="E380" s="16" t="n"/>
      <c r="F380" s="13" t="n"/>
      <c r="G380" s="16" t="n"/>
      <c r="H380" s="125" t="n"/>
      <c r="I380" s="14" t="n"/>
      <c r="J380" s="16" t="n"/>
      <c r="K380" s="125" t="n"/>
      <c r="L380" s="14" t="n"/>
      <c r="M380" s="16" t="n"/>
      <c r="N380" s="125" t="n"/>
      <c r="O380" s="14" t="n"/>
      <c r="P380" s="16" t="n"/>
      <c r="Q380" s="125" t="n"/>
      <c r="R380" s="14" t="n"/>
      <c r="S380" s="16" t="n"/>
      <c r="T380" s="125" t="n"/>
      <c r="U380" s="14" t="n"/>
      <c r="V380" s="16" t="n"/>
      <c r="W380" s="125" t="n"/>
      <c r="X380" s="14" t="n"/>
      <c r="Y380" s="16" t="n"/>
      <c r="Z380" s="125" t="n"/>
      <c r="AA380" s="14" t="n"/>
      <c r="AB380" s="16" t="n"/>
      <c r="AC380" s="125" t="n"/>
      <c r="AD380" s="14" t="n"/>
    </row>
    <row r="381">
      <c r="A381" s="58" t="n"/>
      <c r="B381" s="59" t="n"/>
      <c r="C381" s="59" t="n"/>
      <c r="E381" s="16" t="n"/>
      <c r="F381" s="13" t="n"/>
      <c r="G381" s="16" t="n"/>
      <c r="H381" s="125" t="n"/>
      <c r="I381" s="14" t="n"/>
      <c r="J381" s="16" t="n"/>
      <c r="K381" s="125" t="n"/>
      <c r="L381" s="14" t="n"/>
      <c r="M381" s="16" t="n"/>
      <c r="N381" s="125" t="n"/>
      <c r="O381" s="14" t="n"/>
      <c r="P381" s="16" t="n"/>
      <c r="Q381" s="125" t="n"/>
      <c r="R381" s="14" t="n"/>
      <c r="S381" s="16" t="n"/>
      <c r="T381" s="125" t="n"/>
      <c r="U381" s="14" t="n"/>
      <c r="V381" s="16" t="n"/>
      <c r="W381" s="125" t="n"/>
      <c r="X381" s="14" t="n"/>
      <c r="Y381" s="16" t="n"/>
      <c r="Z381" s="125" t="n"/>
      <c r="AA381" s="14" t="n"/>
      <c r="AB381" s="16" t="n"/>
      <c r="AC381" s="125" t="n"/>
      <c r="AD381" s="14" t="n"/>
    </row>
    <row r="382">
      <c r="A382" s="56" t="n"/>
      <c r="B382" s="59" t="n"/>
      <c r="C382" s="59" t="n"/>
      <c r="E382" s="16" t="n"/>
      <c r="F382" s="13" t="n"/>
      <c r="G382" s="16" t="n"/>
      <c r="H382" s="125" t="n"/>
      <c r="I382" s="14" t="n"/>
      <c r="J382" s="16" t="n"/>
      <c r="K382" s="125" t="n"/>
      <c r="L382" s="14" t="n"/>
      <c r="M382" s="16" t="n"/>
      <c r="N382" s="125" t="n"/>
      <c r="O382" s="14" t="n"/>
      <c r="P382" s="16" t="n"/>
      <c r="Q382" s="125" t="n"/>
      <c r="R382" s="14" t="n"/>
      <c r="S382" s="16" t="n"/>
      <c r="T382" s="125" t="n"/>
      <c r="U382" s="14" t="n"/>
      <c r="V382" s="16" t="n"/>
      <c r="W382" s="125" t="n"/>
      <c r="X382" s="14" t="n"/>
      <c r="Y382" s="16" t="n"/>
      <c r="Z382" s="125" t="n"/>
      <c r="AA382" s="14" t="n"/>
      <c r="AB382" s="16" t="n"/>
      <c r="AC382" s="125" t="n"/>
      <c r="AD382" s="14" t="n"/>
    </row>
    <row r="383">
      <c r="A383" s="58" t="n"/>
      <c r="B383" s="59" t="n"/>
      <c r="C383" s="59" t="n"/>
      <c r="E383" s="16" t="n"/>
      <c r="F383" s="13" t="n"/>
      <c r="G383" s="16" t="n"/>
      <c r="H383" s="125" t="n"/>
      <c r="I383" s="14" t="n"/>
      <c r="J383" s="16" t="n"/>
      <c r="K383" s="125" t="n"/>
      <c r="L383" s="14" t="n"/>
      <c r="M383" s="16" t="n"/>
      <c r="N383" s="125" t="n"/>
      <c r="O383" s="14" t="n"/>
      <c r="P383" s="16" t="n"/>
      <c r="Q383" s="125" t="n"/>
      <c r="R383" s="14" t="n"/>
      <c r="S383" s="16" t="n"/>
      <c r="T383" s="125" t="n"/>
      <c r="U383" s="14" t="n"/>
      <c r="V383" s="16" t="n"/>
      <c r="W383" s="125" t="n"/>
      <c r="X383" s="14" t="n"/>
      <c r="Y383" s="16" t="n"/>
      <c r="Z383" s="125" t="n"/>
      <c r="AA383" s="14" t="n"/>
      <c r="AB383" s="16" t="n"/>
      <c r="AC383" s="125" t="n"/>
      <c r="AD383" s="14" t="n"/>
    </row>
    <row r="384">
      <c r="A384" s="56" t="n"/>
      <c r="B384" s="59" t="n"/>
      <c r="C384" s="59" t="n"/>
      <c r="E384" s="16" t="n"/>
      <c r="F384" s="13" t="n"/>
      <c r="G384" s="16" t="n"/>
      <c r="H384" s="125" t="n"/>
      <c r="I384" s="14" t="n"/>
      <c r="J384" s="16" t="n"/>
      <c r="K384" s="125" t="n"/>
      <c r="L384" s="14" t="n"/>
      <c r="M384" s="16" t="n"/>
      <c r="N384" s="125" t="n"/>
      <c r="O384" s="14" t="n"/>
      <c r="P384" s="16" t="n"/>
      <c r="Q384" s="125" t="n"/>
      <c r="R384" s="14" t="n"/>
      <c r="S384" s="16" t="n"/>
      <c r="T384" s="125" t="n"/>
      <c r="U384" s="14" t="n"/>
      <c r="V384" s="16" t="n"/>
      <c r="W384" s="125" t="n"/>
      <c r="X384" s="14" t="n"/>
      <c r="Y384" s="16" t="n"/>
      <c r="Z384" s="125" t="n"/>
      <c r="AA384" s="14" t="n"/>
      <c r="AB384" s="16" t="n"/>
      <c r="AC384" s="125" t="n"/>
      <c r="AD384" s="14" t="n"/>
    </row>
    <row r="385">
      <c r="A385" s="58" t="n"/>
      <c r="B385" s="59" t="n"/>
      <c r="C385" s="59" t="n"/>
      <c r="E385" s="16" t="n"/>
      <c r="F385" s="13" t="n"/>
      <c r="G385" s="16" t="n"/>
      <c r="H385" s="125" t="n"/>
      <c r="I385" s="14" t="n"/>
      <c r="J385" s="16" t="n"/>
      <c r="K385" s="125" t="n"/>
      <c r="L385" s="14" t="n"/>
      <c r="M385" s="16" t="n"/>
      <c r="N385" s="125" t="n"/>
      <c r="O385" s="14" t="n"/>
      <c r="P385" s="16" t="n"/>
      <c r="Q385" s="125" t="n"/>
      <c r="R385" s="14" t="n"/>
      <c r="S385" s="16" t="n"/>
      <c r="T385" s="125" t="n"/>
      <c r="U385" s="14" t="n"/>
      <c r="V385" s="16" t="n"/>
      <c r="W385" s="125" t="n"/>
      <c r="X385" s="14" t="n"/>
      <c r="Y385" s="16" t="n"/>
      <c r="Z385" s="125" t="n"/>
      <c r="AA385" s="14" t="n"/>
      <c r="AB385" s="16" t="n"/>
      <c r="AC385" s="125" t="n"/>
      <c r="AD385" s="14" t="n"/>
    </row>
    <row r="386">
      <c r="A386" s="56" t="n"/>
      <c r="B386" s="59" t="n"/>
      <c r="C386" s="59" t="n"/>
      <c r="E386" s="16" t="n"/>
      <c r="F386" s="13" t="n"/>
      <c r="G386" s="16" t="n"/>
      <c r="H386" s="125" t="n"/>
      <c r="I386" s="14" t="n"/>
      <c r="J386" s="16" t="n"/>
      <c r="K386" s="125" t="n"/>
      <c r="L386" s="14" t="n"/>
      <c r="M386" s="16" t="n"/>
      <c r="N386" s="125" t="n"/>
      <c r="O386" s="14" t="n"/>
      <c r="P386" s="16" t="n"/>
      <c r="Q386" s="125" t="n"/>
      <c r="R386" s="14" t="n"/>
      <c r="S386" s="16" t="n"/>
      <c r="T386" s="125" t="n"/>
      <c r="U386" s="14" t="n"/>
      <c r="V386" s="16" t="n"/>
      <c r="W386" s="125" t="n"/>
      <c r="X386" s="14" t="n"/>
      <c r="Y386" s="16" t="n"/>
      <c r="Z386" s="125" t="n"/>
      <c r="AA386" s="14" t="n"/>
      <c r="AB386" s="16" t="n"/>
      <c r="AC386" s="125" t="n"/>
      <c r="AD386" s="14" t="n"/>
    </row>
    <row r="387">
      <c r="A387" s="58" t="n"/>
      <c r="B387" s="59" t="n"/>
      <c r="C387" s="59" t="n"/>
      <c r="E387" s="16" t="n"/>
      <c r="F387" s="13" t="n"/>
      <c r="G387" s="16" t="n"/>
      <c r="H387" s="125" t="n"/>
      <c r="I387" s="14" t="n"/>
      <c r="J387" s="16" t="n"/>
      <c r="K387" s="125" t="n"/>
      <c r="L387" s="14" t="n"/>
      <c r="M387" s="16" t="n"/>
      <c r="N387" s="125" t="n"/>
      <c r="O387" s="14" t="n"/>
      <c r="P387" s="16" t="n"/>
      <c r="Q387" s="125" t="n"/>
      <c r="R387" s="14" t="n"/>
      <c r="S387" s="16" t="n"/>
      <c r="T387" s="125" t="n"/>
      <c r="U387" s="14" t="n"/>
      <c r="V387" s="16" t="n"/>
      <c r="W387" s="125" t="n"/>
      <c r="X387" s="14" t="n"/>
      <c r="Y387" s="16" t="n"/>
      <c r="Z387" s="125" t="n"/>
      <c r="AA387" s="14" t="n"/>
      <c r="AB387" s="16" t="n"/>
      <c r="AC387" s="125" t="n"/>
      <c r="AD387" s="14" t="n"/>
    </row>
    <row r="388">
      <c r="A388" s="56" t="n"/>
      <c r="B388" s="59" t="n"/>
      <c r="C388" s="59" t="n"/>
      <c r="E388" s="16" t="n"/>
      <c r="F388" s="13" t="n"/>
      <c r="G388" s="16" t="n"/>
      <c r="H388" s="125" t="n"/>
      <c r="I388" s="14" t="n"/>
      <c r="J388" s="16" t="n"/>
      <c r="K388" s="125" t="n"/>
      <c r="L388" s="14" t="n"/>
      <c r="M388" s="16" t="n"/>
      <c r="N388" s="125" t="n"/>
      <c r="O388" s="14" t="n"/>
      <c r="P388" s="16" t="n"/>
      <c r="Q388" s="125" t="n"/>
      <c r="R388" s="14" t="n"/>
      <c r="S388" s="16" t="n"/>
      <c r="T388" s="125" t="n"/>
      <c r="U388" s="14" t="n"/>
      <c r="V388" s="16" t="n"/>
      <c r="W388" s="125" t="n"/>
      <c r="X388" s="14" t="n"/>
      <c r="Y388" s="16" t="n"/>
      <c r="Z388" s="125" t="n"/>
      <c r="AA388" s="14" t="n"/>
      <c r="AB388" s="16" t="n"/>
      <c r="AC388" s="125" t="n"/>
      <c r="AD388" s="14" t="n"/>
    </row>
    <row r="389">
      <c r="A389" s="58" t="n"/>
      <c r="B389" s="59" t="n"/>
      <c r="C389" s="59" t="n"/>
      <c r="E389" s="16" t="n"/>
      <c r="F389" s="13" t="n"/>
      <c r="G389" s="16" t="n"/>
      <c r="H389" s="125" t="n"/>
      <c r="I389" s="14" t="n"/>
      <c r="J389" s="16" t="n"/>
      <c r="K389" s="125" t="n"/>
      <c r="L389" s="14" t="n"/>
      <c r="M389" s="16" t="n"/>
      <c r="N389" s="125" t="n"/>
      <c r="O389" s="14" t="n"/>
      <c r="P389" s="16" t="n"/>
      <c r="Q389" s="125" t="n"/>
      <c r="R389" s="14" t="n"/>
      <c r="S389" s="16" t="n"/>
      <c r="T389" s="125" t="n"/>
      <c r="U389" s="14" t="n"/>
      <c r="V389" s="16" t="n"/>
      <c r="W389" s="125" t="n"/>
      <c r="X389" s="14" t="n"/>
      <c r="Y389" s="16" t="n"/>
      <c r="Z389" s="125" t="n"/>
      <c r="AA389" s="14" t="n"/>
      <c r="AB389" s="16" t="n"/>
      <c r="AC389" s="125" t="n"/>
      <c r="AD389" s="14" t="n"/>
    </row>
    <row r="390">
      <c r="A390" s="56" t="n"/>
      <c r="B390" s="59" t="n"/>
      <c r="C390" s="59" t="n"/>
      <c r="E390" s="16" t="n"/>
      <c r="F390" s="13" t="n"/>
      <c r="G390" s="16" t="n"/>
      <c r="H390" s="125" t="n"/>
      <c r="I390" s="14" t="n"/>
      <c r="J390" s="16" t="n"/>
      <c r="K390" s="125" t="n"/>
      <c r="L390" s="14" t="n"/>
      <c r="M390" s="16" t="n"/>
      <c r="N390" s="125" t="n"/>
      <c r="O390" s="14" t="n"/>
      <c r="P390" s="16" t="n"/>
      <c r="Q390" s="125" t="n"/>
      <c r="R390" s="14" t="n"/>
      <c r="S390" s="16" t="n"/>
      <c r="T390" s="125" t="n"/>
      <c r="U390" s="14" t="n"/>
      <c r="V390" s="16" t="n"/>
      <c r="W390" s="125" t="n"/>
      <c r="X390" s="14" t="n"/>
      <c r="Y390" s="16" t="n"/>
      <c r="Z390" s="125" t="n"/>
      <c r="AA390" s="14" t="n"/>
      <c r="AB390" s="16" t="n"/>
      <c r="AC390" s="125" t="n"/>
      <c r="AD390" s="14" t="n"/>
    </row>
    <row r="391">
      <c r="A391" s="58" t="n"/>
      <c r="B391" s="59" t="n"/>
      <c r="C391" s="59" t="n"/>
      <c r="E391" s="16" t="n"/>
      <c r="F391" s="13" t="n"/>
      <c r="G391" s="16" t="n"/>
      <c r="H391" s="125" t="n"/>
      <c r="I391" s="14" t="n"/>
      <c r="J391" s="16" t="n"/>
      <c r="K391" s="125" t="n"/>
      <c r="L391" s="14" t="n"/>
      <c r="M391" s="16" t="n"/>
      <c r="N391" s="125" t="n"/>
      <c r="O391" s="14" t="n"/>
      <c r="P391" s="16" t="n"/>
      <c r="Q391" s="125" t="n"/>
      <c r="R391" s="14" t="n"/>
      <c r="S391" s="16" t="n"/>
      <c r="T391" s="125" t="n"/>
      <c r="U391" s="14" t="n"/>
      <c r="V391" s="16" t="n"/>
      <c r="W391" s="125" t="n"/>
      <c r="X391" s="14" t="n"/>
      <c r="Y391" s="16" t="n"/>
      <c r="Z391" s="125" t="n"/>
      <c r="AA391" s="14" t="n"/>
      <c r="AB391" s="16" t="n"/>
      <c r="AC391" s="125" t="n"/>
      <c r="AD391" s="14" t="n"/>
    </row>
    <row r="392">
      <c r="A392" s="56" t="n"/>
      <c r="B392" s="59" t="n"/>
      <c r="C392" s="59" t="n"/>
      <c r="E392" s="16" t="n"/>
      <c r="F392" s="13" t="n"/>
      <c r="G392" s="16" t="n"/>
      <c r="H392" s="125" t="n"/>
      <c r="I392" s="14" t="n"/>
      <c r="J392" s="16" t="n"/>
      <c r="K392" s="125" t="n"/>
      <c r="L392" s="14" t="n"/>
      <c r="M392" s="16" t="n"/>
      <c r="N392" s="125" t="n"/>
      <c r="O392" s="14" t="n"/>
      <c r="P392" s="16" t="n"/>
      <c r="Q392" s="125" t="n"/>
      <c r="R392" s="14" t="n"/>
      <c r="S392" s="16" t="n"/>
      <c r="T392" s="125" t="n"/>
      <c r="U392" s="14" t="n"/>
      <c r="V392" s="16" t="n"/>
      <c r="W392" s="125" t="n"/>
      <c r="X392" s="14" t="n"/>
      <c r="Y392" s="16" t="n"/>
      <c r="Z392" s="125" t="n"/>
      <c r="AA392" s="14" t="n"/>
      <c r="AB392" s="16" t="n"/>
      <c r="AC392" s="125" t="n"/>
      <c r="AD392" s="14" t="n"/>
    </row>
    <row r="393">
      <c r="A393" s="58" t="n"/>
      <c r="B393" s="59" t="n"/>
      <c r="C393" s="59" t="n"/>
      <c r="E393" s="16" t="n"/>
      <c r="F393" s="13" t="n"/>
      <c r="G393" s="16" t="n"/>
      <c r="H393" s="125" t="n"/>
      <c r="I393" s="14" t="n"/>
      <c r="J393" s="16" t="n"/>
      <c r="K393" s="125" t="n"/>
      <c r="L393" s="14" t="n"/>
      <c r="M393" s="16" t="n"/>
      <c r="N393" s="125" t="n"/>
      <c r="O393" s="14" t="n"/>
      <c r="P393" s="16" t="n"/>
      <c r="Q393" s="125" t="n"/>
      <c r="R393" s="14" t="n"/>
      <c r="S393" s="16" t="n"/>
      <c r="T393" s="125" t="n"/>
      <c r="U393" s="14" t="n"/>
      <c r="V393" s="16" t="n"/>
      <c r="W393" s="125" t="n"/>
      <c r="X393" s="14" t="n"/>
      <c r="Y393" s="16" t="n"/>
      <c r="Z393" s="125" t="n"/>
      <c r="AA393" s="14" t="n"/>
      <c r="AB393" s="16" t="n"/>
      <c r="AC393" s="125" t="n"/>
      <c r="AD393" s="14" t="n"/>
    </row>
    <row r="394">
      <c r="A394" s="56" t="n"/>
      <c r="B394" s="59" t="n"/>
      <c r="C394" s="59" t="n"/>
      <c r="E394" s="16" t="n"/>
      <c r="F394" s="13" t="n"/>
      <c r="G394" s="16" t="n"/>
      <c r="H394" s="125" t="n"/>
      <c r="I394" s="14" t="n"/>
      <c r="J394" s="16" t="n"/>
      <c r="K394" s="125" t="n"/>
      <c r="L394" s="14" t="n"/>
      <c r="M394" s="16" t="n"/>
      <c r="N394" s="125" t="n"/>
      <c r="O394" s="14" t="n"/>
      <c r="P394" s="16" t="n"/>
      <c r="Q394" s="125" t="n"/>
      <c r="R394" s="14" t="n"/>
      <c r="S394" s="16" t="n"/>
      <c r="T394" s="125" t="n"/>
      <c r="U394" s="14" t="n"/>
      <c r="V394" s="16" t="n"/>
      <c r="W394" s="125" t="n"/>
      <c r="X394" s="14" t="n"/>
      <c r="Y394" s="16" t="n"/>
      <c r="Z394" s="125" t="n"/>
      <c r="AA394" s="14" t="n"/>
      <c r="AB394" s="16" t="n"/>
      <c r="AC394" s="125" t="n"/>
      <c r="AD394" s="14" t="n"/>
    </row>
    <row r="395">
      <c r="A395" s="58" t="n"/>
      <c r="B395" s="59" t="n"/>
      <c r="C395" s="59" t="n"/>
      <c r="E395" s="16" t="n"/>
      <c r="F395" s="13" t="n"/>
      <c r="G395" s="16" t="n"/>
      <c r="H395" s="125" t="n"/>
      <c r="I395" s="14" t="n"/>
      <c r="J395" s="16" t="n"/>
      <c r="K395" s="125" t="n"/>
      <c r="L395" s="14" t="n"/>
      <c r="M395" s="16" t="n"/>
      <c r="N395" s="125" t="n"/>
      <c r="O395" s="14" t="n"/>
      <c r="P395" s="16" t="n"/>
      <c r="Q395" s="125" t="n"/>
      <c r="R395" s="14" t="n"/>
      <c r="S395" s="16" t="n"/>
      <c r="T395" s="125" t="n"/>
      <c r="U395" s="14" t="n"/>
      <c r="V395" s="16" t="n"/>
      <c r="W395" s="125" t="n"/>
      <c r="X395" s="14" t="n"/>
      <c r="Y395" s="16" t="n"/>
      <c r="Z395" s="125" t="n"/>
      <c r="AA395" s="14" t="n"/>
      <c r="AB395" s="16" t="n"/>
      <c r="AC395" s="125" t="n"/>
      <c r="AD395" s="14" t="n"/>
    </row>
    <row r="396">
      <c r="A396" s="56" t="n"/>
      <c r="B396" s="59" t="n"/>
      <c r="C396" s="59" t="n"/>
      <c r="E396" s="16" t="n"/>
      <c r="F396" s="13" t="n"/>
      <c r="G396" s="16" t="n"/>
      <c r="H396" s="125" t="n"/>
      <c r="I396" s="14" t="n"/>
      <c r="J396" s="16" t="n"/>
      <c r="K396" s="125" t="n"/>
      <c r="L396" s="14" t="n"/>
      <c r="M396" s="16" t="n"/>
      <c r="N396" s="125" t="n"/>
      <c r="O396" s="14" t="n"/>
      <c r="P396" s="16" t="n"/>
      <c r="Q396" s="125" t="n"/>
      <c r="R396" s="14" t="n"/>
      <c r="S396" s="16" t="n"/>
      <c r="T396" s="125" t="n"/>
      <c r="U396" s="14" t="n"/>
      <c r="V396" s="16" t="n"/>
      <c r="W396" s="125" t="n"/>
      <c r="X396" s="14" t="n"/>
      <c r="Y396" s="16" t="n"/>
      <c r="Z396" s="125" t="n"/>
      <c r="AA396" s="14" t="n"/>
      <c r="AB396" s="16" t="n"/>
      <c r="AC396" s="125" t="n"/>
      <c r="AD396" s="14" t="n"/>
    </row>
    <row r="397">
      <c r="A397" s="58" t="n"/>
      <c r="B397" s="59" t="n"/>
      <c r="C397" s="59" t="n"/>
      <c r="E397" s="16" t="n"/>
      <c r="F397" s="13" t="n"/>
      <c r="G397" s="16" t="n"/>
      <c r="H397" s="125" t="n"/>
      <c r="I397" s="14" t="n"/>
      <c r="J397" s="16" t="n"/>
      <c r="K397" s="125" t="n"/>
      <c r="L397" s="14" t="n"/>
      <c r="M397" s="16" t="n"/>
      <c r="N397" s="125" t="n"/>
      <c r="O397" s="14" t="n"/>
      <c r="P397" s="16" t="n"/>
      <c r="Q397" s="125" t="n"/>
      <c r="R397" s="14" t="n"/>
      <c r="S397" s="16" t="n"/>
      <c r="T397" s="125" t="n"/>
      <c r="U397" s="14" t="n"/>
      <c r="V397" s="16" t="n"/>
      <c r="W397" s="125" t="n"/>
      <c r="X397" s="14" t="n"/>
      <c r="Y397" s="16" t="n"/>
      <c r="Z397" s="125" t="n"/>
      <c r="AA397" s="14" t="n"/>
      <c r="AB397" s="16" t="n"/>
      <c r="AC397" s="125" t="n"/>
      <c r="AD397" s="14" t="n"/>
    </row>
    <row r="398">
      <c r="A398" s="56" t="n"/>
      <c r="B398" s="59" t="n"/>
      <c r="C398" s="59" t="n"/>
      <c r="E398" s="16" t="n"/>
      <c r="F398" s="13" t="n"/>
      <c r="G398" s="16" t="n"/>
      <c r="H398" s="125" t="n"/>
      <c r="I398" s="14" t="n"/>
      <c r="J398" s="16" t="n"/>
      <c r="K398" s="125" t="n"/>
      <c r="L398" s="14" t="n"/>
      <c r="M398" s="16" t="n"/>
      <c r="N398" s="125" t="n"/>
      <c r="O398" s="14" t="n"/>
      <c r="P398" s="16" t="n"/>
      <c r="Q398" s="125" t="n"/>
      <c r="R398" s="14" t="n"/>
      <c r="S398" s="16" t="n"/>
      <c r="T398" s="125" t="n"/>
      <c r="U398" s="14" t="n"/>
      <c r="V398" s="16" t="n"/>
      <c r="W398" s="125" t="n"/>
      <c r="X398" s="14" t="n"/>
      <c r="Y398" s="16" t="n"/>
      <c r="Z398" s="125" t="n"/>
      <c r="AA398" s="14" t="n"/>
      <c r="AB398" s="16" t="n"/>
      <c r="AC398" s="125" t="n"/>
      <c r="AD398" s="14" t="n"/>
    </row>
    <row r="399">
      <c r="A399" s="58" t="n"/>
      <c r="B399" s="59" t="n"/>
      <c r="C399" s="59" t="n"/>
      <c r="E399" s="16" t="n"/>
      <c r="F399" s="13" t="n"/>
      <c r="G399" s="16" t="n"/>
      <c r="H399" s="125" t="n"/>
      <c r="I399" s="14" t="n"/>
      <c r="J399" s="16" t="n"/>
      <c r="K399" s="125" t="n"/>
      <c r="L399" s="14" t="n"/>
      <c r="M399" s="16" t="n"/>
      <c r="N399" s="125" t="n"/>
      <c r="O399" s="14" t="n"/>
      <c r="P399" s="16" t="n"/>
      <c r="Q399" s="125" t="n"/>
      <c r="R399" s="14" t="n"/>
      <c r="S399" s="16" t="n"/>
      <c r="T399" s="125" t="n"/>
      <c r="U399" s="14" t="n"/>
      <c r="V399" s="16" t="n"/>
      <c r="W399" s="125" t="n"/>
      <c r="X399" s="14" t="n"/>
      <c r="Y399" s="16" t="n"/>
      <c r="Z399" s="125" t="n"/>
      <c r="AA399" s="14" t="n"/>
      <c r="AB399" s="16" t="n"/>
      <c r="AC399" s="125" t="n"/>
      <c r="AD399" s="14" t="n"/>
    </row>
    <row r="400">
      <c r="A400" s="56" t="n"/>
      <c r="B400" s="59" t="n"/>
      <c r="C400" s="59" t="n"/>
      <c r="E400" s="16" t="n"/>
      <c r="F400" s="13" t="n"/>
      <c r="G400" s="16" t="n"/>
      <c r="H400" s="125" t="n"/>
      <c r="I400" s="14" t="n"/>
      <c r="J400" s="16" t="n"/>
      <c r="K400" s="125" t="n"/>
      <c r="L400" s="14" t="n"/>
      <c r="M400" s="16" t="n"/>
      <c r="N400" s="125" t="n"/>
      <c r="O400" s="14" t="n"/>
      <c r="P400" s="16" t="n"/>
      <c r="Q400" s="125" t="n"/>
      <c r="R400" s="14" t="n"/>
      <c r="S400" s="16" t="n"/>
      <c r="T400" s="125" t="n"/>
      <c r="U400" s="14" t="n"/>
      <c r="V400" s="16" t="n"/>
      <c r="W400" s="125" t="n"/>
      <c r="X400" s="14" t="n"/>
      <c r="Y400" s="16" t="n"/>
      <c r="Z400" s="125" t="n"/>
      <c r="AA400" s="14" t="n"/>
      <c r="AB400" s="16" t="n"/>
      <c r="AC400" s="125" t="n"/>
      <c r="AD400" s="14" t="n"/>
    </row>
    <row r="401">
      <c r="A401" s="58" t="n"/>
      <c r="B401" s="59" t="n"/>
      <c r="C401" s="59" t="n"/>
      <c r="E401" s="16" t="n"/>
      <c r="F401" s="13" t="n"/>
      <c r="G401" s="16" t="n"/>
      <c r="H401" s="125" t="n"/>
      <c r="I401" s="14" t="n"/>
      <c r="J401" s="16" t="n"/>
      <c r="K401" s="125" t="n"/>
      <c r="L401" s="14" t="n"/>
      <c r="M401" s="16" t="n"/>
      <c r="N401" s="125" t="n"/>
      <c r="O401" s="14" t="n"/>
      <c r="P401" s="16" t="n"/>
      <c r="Q401" s="125" t="n"/>
      <c r="R401" s="14" t="n"/>
      <c r="S401" s="16" t="n"/>
      <c r="T401" s="125" t="n"/>
      <c r="U401" s="14" t="n"/>
      <c r="V401" s="16" t="n"/>
      <c r="W401" s="125" t="n"/>
      <c r="X401" s="14" t="n"/>
      <c r="Y401" s="16" t="n"/>
      <c r="Z401" s="125" t="n"/>
      <c r="AA401" s="14" t="n"/>
      <c r="AB401" s="16" t="n"/>
      <c r="AC401" s="125" t="n"/>
      <c r="AD401" s="14" t="n"/>
    </row>
    <row r="402">
      <c r="A402" s="56" t="n"/>
      <c r="B402" s="59" t="n"/>
      <c r="C402" s="59" t="n"/>
      <c r="E402" s="16" t="n"/>
      <c r="F402" s="13" t="n"/>
      <c r="G402" s="16" t="n"/>
      <c r="H402" s="125" t="n"/>
      <c r="I402" s="14" t="n"/>
      <c r="J402" s="16" t="n"/>
      <c r="K402" s="125" t="n"/>
      <c r="L402" s="14" t="n"/>
      <c r="M402" s="16" t="n"/>
      <c r="N402" s="125" t="n"/>
      <c r="O402" s="14" t="n"/>
      <c r="P402" s="16" t="n"/>
      <c r="Q402" s="125" t="n"/>
      <c r="R402" s="14" t="n"/>
      <c r="S402" s="16" t="n"/>
      <c r="T402" s="125" t="n"/>
      <c r="U402" s="14" t="n"/>
      <c r="V402" s="16" t="n"/>
      <c r="W402" s="125" t="n"/>
      <c r="X402" s="14" t="n"/>
      <c r="Y402" s="16" t="n"/>
      <c r="Z402" s="125" t="n"/>
      <c r="AA402" s="14" t="n"/>
      <c r="AB402" s="16" t="n"/>
      <c r="AC402" s="125" t="n"/>
      <c r="AD402" s="14" t="n"/>
    </row>
    <row r="403">
      <c r="A403" s="58" t="n"/>
      <c r="B403" s="59" t="n"/>
      <c r="C403" s="59" t="n"/>
      <c r="E403" s="16" t="n"/>
      <c r="F403" s="13" t="n"/>
      <c r="G403" s="16" t="n"/>
      <c r="H403" s="125" t="n"/>
      <c r="I403" s="14" t="n"/>
      <c r="J403" s="16" t="n"/>
      <c r="K403" s="125" t="n"/>
      <c r="L403" s="14" t="n"/>
      <c r="M403" s="16" t="n"/>
      <c r="N403" s="125" t="n"/>
      <c r="O403" s="14" t="n"/>
      <c r="P403" s="16" t="n"/>
      <c r="Q403" s="125" t="n"/>
      <c r="R403" s="14" t="n"/>
      <c r="S403" s="16" t="n"/>
      <c r="T403" s="125" t="n"/>
      <c r="U403" s="14" t="n"/>
      <c r="V403" s="16" t="n"/>
      <c r="W403" s="125" t="n"/>
      <c r="X403" s="14" t="n"/>
      <c r="Y403" s="16" t="n"/>
      <c r="Z403" s="125" t="n"/>
      <c r="AA403" s="14" t="n"/>
      <c r="AB403" s="16" t="n"/>
      <c r="AC403" s="125" t="n"/>
      <c r="AD403" s="14" t="n"/>
    </row>
    <row r="404">
      <c r="A404" s="56" t="n"/>
      <c r="B404" s="59" t="n"/>
      <c r="C404" s="59" t="n"/>
      <c r="E404" s="16" t="n"/>
      <c r="F404" s="13" t="n"/>
      <c r="G404" s="16" t="n"/>
      <c r="H404" s="125" t="n"/>
      <c r="I404" s="14" t="n"/>
      <c r="J404" s="16" t="n"/>
      <c r="K404" s="125" t="n"/>
      <c r="L404" s="14" t="n"/>
      <c r="M404" s="16" t="n"/>
      <c r="N404" s="125" t="n"/>
      <c r="O404" s="14" t="n"/>
      <c r="P404" s="16" t="n"/>
      <c r="Q404" s="125" t="n"/>
      <c r="R404" s="14" t="n"/>
      <c r="S404" s="16" t="n"/>
      <c r="T404" s="125" t="n"/>
      <c r="U404" s="14" t="n"/>
      <c r="V404" s="16" t="n"/>
      <c r="W404" s="125" t="n"/>
      <c r="X404" s="14" t="n"/>
      <c r="Y404" s="16" t="n"/>
      <c r="Z404" s="125" t="n"/>
      <c r="AA404" s="14" t="n"/>
      <c r="AB404" s="16" t="n"/>
      <c r="AC404" s="125" t="n"/>
      <c r="AD404" s="14" t="n"/>
    </row>
    <row r="405">
      <c r="A405" s="58" t="n"/>
      <c r="B405" s="59" t="n"/>
      <c r="C405" s="59" t="n"/>
      <c r="E405" s="16" t="n"/>
      <c r="F405" s="13" t="n"/>
      <c r="G405" s="16" t="n"/>
      <c r="H405" s="125" t="n"/>
      <c r="I405" s="14" t="n"/>
      <c r="J405" s="16" t="n"/>
      <c r="K405" s="125" t="n"/>
      <c r="L405" s="14" t="n"/>
      <c r="M405" s="16" t="n"/>
      <c r="N405" s="125" t="n"/>
      <c r="O405" s="14" t="n"/>
      <c r="P405" s="16" t="n"/>
      <c r="Q405" s="125" t="n"/>
      <c r="R405" s="14" t="n"/>
      <c r="S405" s="16" t="n"/>
      <c r="T405" s="125" t="n"/>
      <c r="U405" s="14" t="n"/>
      <c r="V405" s="16" t="n"/>
      <c r="W405" s="125" t="n"/>
      <c r="X405" s="14" t="n"/>
      <c r="Y405" s="16" t="n"/>
      <c r="Z405" s="125" t="n"/>
      <c r="AA405" s="14" t="n"/>
      <c r="AB405" s="16" t="n"/>
      <c r="AC405" s="125" t="n"/>
      <c r="AD405" s="14" t="n"/>
    </row>
    <row r="406">
      <c r="A406" s="56" t="n"/>
      <c r="B406" s="59" t="n"/>
      <c r="C406" s="59" t="n"/>
      <c r="E406" s="16" t="n"/>
      <c r="F406" s="13" t="n"/>
      <c r="G406" s="16" t="n"/>
      <c r="H406" s="125" t="n"/>
      <c r="I406" s="14" t="n"/>
      <c r="J406" s="16" t="n"/>
      <c r="K406" s="125" t="n"/>
      <c r="L406" s="14" t="n"/>
      <c r="M406" s="16" t="n"/>
      <c r="N406" s="125" t="n"/>
      <c r="O406" s="14" t="n"/>
      <c r="P406" s="16" t="n"/>
      <c r="Q406" s="125" t="n"/>
      <c r="R406" s="14" t="n"/>
      <c r="S406" s="16" t="n"/>
      <c r="T406" s="125" t="n"/>
      <c r="U406" s="14" t="n"/>
      <c r="V406" s="16" t="n"/>
      <c r="W406" s="125" t="n"/>
      <c r="X406" s="14" t="n"/>
      <c r="Y406" s="16" t="n"/>
      <c r="Z406" s="125" t="n"/>
      <c r="AA406" s="14" t="n"/>
      <c r="AB406" s="16" t="n"/>
      <c r="AC406" s="125" t="n"/>
      <c r="AD406" s="14" t="n"/>
    </row>
    <row r="407">
      <c r="A407" s="58" t="n"/>
      <c r="B407" s="59" t="n"/>
      <c r="C407" s="59" t="n"/>
      <c r="E407" s="16" t="n"/>
      <c r="F407" s="13" t="n"/>
      <c r="G407" s="16" t="n"/>
      <c r="H407" s="125" t="n"/>
      <c r="I407" s="14" t="n"/>
      <c r="J407" s="16" t="n"/>
      <c r="K407" s="125" t="n"/>
      <c r="L407" s="14" t="n"/>
      <c r="M407" s="16" t="n"/>
      <c r="N407" s="125" t="n"/>
      <c r="O407" s="14" t="n"/>
      <c r="P407" s="16" t="n"/>
      <c r="Q407" s="125" t="n"/>
      <c r="R407" s="14" t="n"/>
      <c r="S407" s="16" t="n"/>
      <c r="T407" s="125" t="n"/>
      <c r="U407" s="14" t="n"/>
      <c r="V407" s="16" t="n"/>
      <c r="W407" s="125" t="n"/>
      <c r="X407" s="14" t="n"/>
      <c r="Y407" s="16" t="n"/>
      <c r="Z407" s="125" t="n"/>
      <c r="AA407" s="14" t="n"/>
      <c r="AB407" s="16" t="n"/>
      <c r="AC407" s="125" t="n"/>
      <c r="AD407" s="14" t="n"/>
    </row>
    <row r="408">
      <c r="A408" s="56" t="n"/>
      <c r="B408" s="59" t="n"/>
      <c r="C408" s="59" t="n"/>
      <c r="E408" s="16" t="n"/>
      <c r="F408" s="13" t="n"/>
      <c r="G408" s="16" t="n"/>
      <c r="H408" s="125" t="n"/>
      <c r="I408" s="14" t="n"/>
      <c r="J408" s="16" t="n"/>
      <c r="K408" s="125" t="n"/>
      <c r="L408" s="14" t="n"/>
      <c r="M408" s="16" t="n"/>
      <c r="N408" s="125" t="n"/>
      <c r="O408" s="14" t="n"/>
      <c r="P408" s="16" t="n"/>
      <c r="Q408" s="125" t="n"/>
      <c r="R408" s="14" t="n"/>
      <c r="S408" s="16" t="n"/>
      <c r="T408" s="125" t="n"/>
      <c r="U408" s="14" t="n"/>
      <c r="V408" s="16" t="n"/>
      <c r="W408" s="125" t="n"/>
      <c r="X408" s="14" t="n"/>
      <c r="Y408" s="16" t="n"/>
      <c r="Z408" s="125" t="n"/>
      <c r="AA408" s="14" t="n"/>
      <c r="AB408" s="16" t="n"/>
      <c r="AC408" s="125" t="n"/>
      <c r="AD408" s="14" t="n"/>
    </row>
    <row r="409">
      <c r="A409" s="58" t="n"/>
      <c r="B409" s="59" t="n"/>
      <c r="C409" s="59" t="n"/>
      <c r="E409" s="16" t="n"/>
      <c r="F409" s="13" t="n"/>
      <c r="G409" s="16" t="n"/>
      <c r="H409" s="125" t="n"/>
      <c r="I409" s="14" t="n"/>
      <c r="J409" s="16" t="n"/>
      <c r="K409" s="125" t="n"/>
      <c r="L409" s="14" t="n"/>
      <c r="M409" s="16" t="n"/>
      <c r="N409" s="125" t="n"/>
      <c r="O409" s="14" t="n"/>
      <c r="P409" s="16" t="n"/>
      <c r="Q409" s="125" t="n"/>
      <c r="R409" s="14" t="n"/>
      <c r="S409" s="16" t="n"/>
      <c r="T409" s="125" t="n"/>
      <c r="U409" s="14" t="n"/>
      <c r="V409" s="16" t="n"/>
      <c r="W409" s="125" t="n"/>
      <c r="X409" s="14" t="n"/>
      <c r="Y409" s="16" t="n"/>
      <c r="Z409" s="125" t="n"/>
      <c r="AA409" s="14" t="n"/>
      <c r="AB409" s="16" t="n"/>
      <c r="AC409" s="125" t="n"/>
      <c r="AD409" s="14" t="n"/>
    </row>
    <row r="410">
      <c r="A410" s="56" t="n"/>
      <c r="B410" s="59" t="n"/>
      <c r="C410" s="59" t="n"/>
      <c r="E410" s="16" t="n"/>
      <c r="F410" s="13" t="n"/>
      <c r="G410" s="16" t="n"/>
      <c r="H410" s="125" t="n"/>
      <c r="I410" s="14" t="n"/>
      <c r="J410" s="16" t="n"/>
      <c r="K410" s="125" t="n"/>
      <c r="L410" s="14" t="n"/>
      <c r="M410" s="16" t="n"/>
      <c r="N410" s="125" t="n"/>
      <c r="O410" s="14" t="n"/>
      <c r="P410" s="16" t="n"/>
      <c r="Q410" s="125" t="n"/>
      <c r="R410" s="14" t="n"/>
      <c r="S410" s="16" t="n"/>
      <c r="T410" s="125" t="n"/>
      <c r="U410" s="14" t="n"/>
      <c r="V410" s="16" t="n"/>
      <c r="W410" s="125" t="n"/>
      <c r="X410" s="14" t="n"/>
      <c r="Y410" s="16" t="n"/>
      <c r="Z410" s="125" t="n"/>
      <c r="AA410" s="14" t="n"/>
      <c r="AB410" s="16" t="n"/>
      <c r="AC410" s="125" t="n"/>
      <c r="AD410" s="14" t="n"/>
    </row>
    <row r="411">
      <c r="A411" s="58" t="n"/>
      <c r="B411" s="59" t="n"/>
      <c r="C411" s="59" t="n"/>
      <c r="E411" s="16" t="n"/>
      <c r="F411" s="13" t="n"/>
      <c r="G411" s="16" t="n"/>
      <c r="H411" s="125" t="n"/>
      <c r="I411" s="14" t="n"/>
      <c r="J411" s="16" t="n"/>
      <c r="K411" s="125" t="n"/>
      <c r="L411" s="14" t="n"/>
      <c r="M411" s="16" t="n"/>
      <c r="N411" s="125" t="n"/>
      <c r="O411" s="14" t="n"/>
      <c r="P411" s="16" t="n"/>
      <c r="Q411" s="125" t="n"/>
      <c r="R411" s="14" t="n"/>
      <c r="S411" s="16" t="n"/>
      <c r="T411" s="125" t="n"/>
      <c r="U411" s="14" t="n"/>
      <c r="V411" s="16" t="n"/>
      <c r="W411" s="125" t="n"/>
      <c r="X411" s="14" t="n"/>
      <c r="Y411" s="16" t="n"/>
      <c r="Z411" s="125" t="n"/>
      <c r="AA411" s="14" t="n"/>
      <c r="AB411" s="16" t="n"/>
      <c r="AC411" s="125" t="n"/>
      <c r="AD411" s="14" t="n"/>
    </row>
    <row r="412">
      <c r="A412" s="56" t="n"/>
      <c r="B412" s="59" t="n"/>
      <c r="C412" s="59" t="n"/>
      <c r="E412" s="16" t="n"/>
      <c r="F412" s="13" t="n"/>
      <c r="G412" s="16" t="n"/>
      <c r="H412" s="125" t="n"/>
      <c r="I412" s="14" t="n"/>
      <c r="J412" s="16" t="n"/>
      <c r="K412" s="125" t="n"/>
      <c r="L412" s="14" t="n"/>
      <c r="M412" s="16" t="n"/>
      <c r="N412" s="125" t="n"/>
      <c r="O412" s="14" t="n"/>
      <c r="P412" s="16" t="n"/>
      <c r="Q412" s="125" t="n"/>
      <c r="R412" s="14" t="n"/>
      <c r="S412" s="16" t="n"/>
      <c r="T412" s="125" t="n"/>
      <c r="U412" s="14" t="n"/>
      <c r="V412" s="16" t="n"/>
      <c r="W412" s="125" t="n"/>
      <c r="X412" s="14" t="n"/>
      <c r="Y412" s="16" t="n"/>
      <c r="Z412" s="125" t="n"/>
      <c r="AA412" s="14" t="n"/>
      <c r="AB412" s="16" t="n"/>
      <c r="AC412" s="125" t="n"/>
      <c r="AD412" s="14" t="n"/>
    </row>
    <row r="413">
      <c r="A413" s="58" t="n"/>
      <c r="B413" s="59" t="n"/>
      <c r="C413" s="59" t="n"/>
      <c r="E413" s="16" t="n"/>
      <c r="F413" s="13" t="n"/>
      <c r="G413" s="16" t="n"/>
      <c r="H413" s="125" t="n"/>
      <c r="I413" s="14" t="n"/>
      <c r="J413" s="16" t="n"/>
      <c r="K413" s="125" t="n"/>
      <c r="L413" s="14" t="n"/>
      <c r="M413" s="16" t="n"/>
      <c r="N413" s="125" t="n"/>
      <c r="O413" s="14" t="n"/>
      <c r="P413" s="16" t="n"/>
      <c r="Q413" s="125" t="n"/>
      <c r="R413" s="14" t="n"/>
      <c r="S413" s="16" t="n"/>
      <c r="T413" s="125" t="n"/>
      <c r="U413" s="14" t="n"/>
      <c r="V413" s="16" t="n"/>
      <c r="W413" s="125" t="n"/>
      <c r="X413" s="14" t="n"/>
      <c r="Y413" s="16" t="n"/>
      <c r="Z413" s="125" t="n"/>
      <c r="AA413" s="14" t="n"/>
      <c r="AB413" s="16" t="n"/>
      <c r="AC413" s="125" t="n"/>
      <c r="AD413" s="14" t="n"/>
    </row>
    <row r="414">
      <c r="A414" s="56" t="n"/>
      <c r="B414" s="59" t="n"/>
      <c r="C414" s="59" t="n"/>
      <c r="E414" s="16" t="n"/>
      <c r="F414" s="13" t="n"/>
      <c r="G414" s="16" t="n"/>
      <c r="H414" s="125" t="n"/>
      <c r="I414" s="14" t="n"/>
      <c r="J414" s="16" t="n"/>
      <c r="K414" s="125" t="n"/>
      <c r="L414" s="14" t="n"/>
      <c r="M414" s="16" t="n"/>
      <c r="N414" s="125" t="n"/>
      <c r="O414" s="14" t="n"/>
      <c r="P414" s="16" t="n"/>
      <c r="Q414" s="125" t="n"/>
      <c r="R414" s="14" t="n"/>
      <c r="S414" s="16" t="n"/>
      <c r="T414" s="125" t="n"/>
      <c r="U414" s="14" t="n"/>
      <c r="V414" s="16" t="n"/>
      <c r="W414" s="125" t="n"/>
      <c r="X414" s="14" t="n"/>
      <c r="Y414" s="16" t="n"/>
      <c r="Z414" s="125" t="n"/>
      <c r="AA414" s="14" t="n"/>
      <c r="AB414" s="16" t="n"/>
      <c r="AC414" s="125" t="n"/>
      <c r="AD414" s="14" t="n"/>
    </row>
    <row r="415">
      <c r="A415" s="58" t="n"/>
      <c r="B415" s="59" t="n"/>
      <c r="C415" s="59" t="n"/>
      <c r="E415" s="16" t="n"/>
      <c r="F415" s="13" t="n"/>
      <c r="G415" s="16" t="n"/>
      <c r="H415" s="125" t="n"/>
      <c r="I415" s="14" t="n"/>
      <c r="J415" s="16" t="n"/>
      <c r="K415" s="125" t="n"/>
      <c r="L415" s="14" t="n"/>
      <c r="M415" s="16" t="n"/>
      <c r="N415" s="125" t="n"/>
      <c r="O415" s="14" t="n"/>
      <c r="P415" s="16" t="n"/>
      <c r="Q415" s="125" t="n"/>
      <c r="R415" s="14" t="n"/>
      <c r="S415" s="16" t="n"/>
      <c r="T415" s="125" t="n"/>
      <c r="U415" s="14" t="n"/>
      <c r="V415" s="16" t="n"/>
      <c r="W415" s="125" t="n"/>
      <c r="X415" s="14" t="n"/>
      <c r="Y415" s="16" t="n"/>
      <c r="Z415" s="125" t="n"/>
      <c r="AA415" s="14" t="n"/>
      <c r="AB415" s="16" t="n"/>
      <c r="AC415" s="125" t="n"/>
      <c r="AD415" s="14" t="n"/>
    </row>
    <row r="416">
      <c r="A416" s="56" t="n"/>
      <c r="B416" s="59" t="n"/>
      <c r="C416" s="59" t="n"/>
      <c r="E416" s="16" t="n"/>
      <c r="F416" s="13" t="n"/>
      <c r="G416" s="16" t="n"/>
      <c r="H416" s="125" t="n"/>
      <c r="I416" s="14" t="n"/>
      <c r="J416" s="16" t="n"/>
      <c r="K416" s="125" t="n"/>
      <c r="L416" s="14" t="n"/>
      <c r="M416" s="16" t="n"/>
      <c r="N416" s="125" t="n"/>
      <c r="O416" s="14" t="n"/>
      <c r="P416" s="16" t="n"/>
      <c r="Q416" s="125" t="n"/>
      <c r="R416" s="14" t="n"/>
      <c r="S416" s="16" t="n"/>
      <c r="T416" s="125" t="n"/>
      <c r="U416" s="14" t="n"/>
      <c r="V416" s="16" t="n"/>
      <c r="W416" s="125" t="n"/>
      <c r="X416" s="14" t="n"/>
      <c r="Y416" s="16" t="n"/>
      <c r="Z416" s="125" t="n"/>
      <c r="AA416" s="14" t="n"/>
      <c r="AB416" s="16" t="n"/>
      <c r="AC416" s="125" t="n"/>
      <c r="AD416" s="14" t="n"/>
    </row>
    <row r="417">
      <c r="A417" s="58" t="n"/>
      <c r="B417" s="59" t="n"/>
      <c r="C417" s="59" t="n"/>
      <c r="E417" s="16" t="n"/>
      <c r="F417" s="13" t="n"/>
      <c r="G417" s="16" t="n"/>
      <c r="H417" s="125" t="n"/>
      <c r="I417" s="14" t="n"/>
      <c r="J417" s="16" t="n"/>
      <c r="K417" s="125" t="n"/>
      <c r="L417" s="14" t="n"/>
      <c r="M417" s="16" t="n"/>
      <c r="N417" s="125" t="n"/>
      <c r="O417" s="14" t="n"/>
      <c r="P417" s="16" t="n"/>
      <c r="Q417" s="125" t="n"/>
      <c r="R417" s="14" t="n"/>
      <c r="S417" s="16" t="n"/>
      <c r="T417" s="125" t="n"/>
      <c r="U417" s="14" t="n"/>
      <c r="V417" s="16" t="n"/>
      <c r="W417" s="125" t="n"/>
      <c r="X417" s="14" t="n"/>
      <c r="Y417" s="16" t="n"/>
      <c r="Z417" s="125" t="n"/>
      <c r="AA417" s="14" t="n"/>
      <c r="AB417" s="16" t="n"/>
      <c r="AC417" s="125" t="n"/>
      <c r="AD417" s="14" t="n"/>
    </row>
    <row r="418">
      <c r="A418" s="56" t="n"/>
      <c r="B418" s="59" t="n"/>
      <c r="C418" s="59" t="n"/>
      <c r="E418" s="16" t="n"/>
      <c r="F418" s="13" t="n"/>
      <c r="G418" s="16" t="n"/>
      <c r="H418" s="125" t="n"/>
      <c r="I418" s="14" t="n"/>
      <c r="J418" s="16" t="n"/>
      <c r="K418" s="125" t="n"/>
      <c r="L418" s="14" t="n"/>
      <c r="M418" s="16" t="n"/>
      <c r="N418" s="125" t="n"/>
      <c r="O418" s="14" t="n"/>
      <c r="P418" s="16" t="n"/>
      <c r="Q418" s="125" t="n"/>
      <c r="R418" s="14" t="n"/>
      <c r="S418" s="16" t="n"/>
      <c r="T418" s="125" t="n"/>
      <c r="U418" s="14" t="n"/>
      <c r="V418" s="16" t="n"/>
      <c r="W418" s="125" t="n"/>
      <c r="X418" s="14" t="n"/>
      <c r="Y418" s="16" t="n"/>
      <c r="Z418" s="125" t="n"/>
      <c r="AA418" s="14" t="n"/>
      <c r="AB418" s="16" t="n"/>
      <c r="AC418" s="125" t="n"/>
      <c r="AD418" s="14" t="n"/>
    </row>
    <row r="419">
      <c r="A419" s="58" t="n"/>
      <c r="B419" s="59" t="n"/>
      <c r="C419" s="59" t="n"/>
      <c r="E419" s="16" t="n"/>
      <c r="F419" s="13" t="n"/>
      <c r="G419" s="16" t="n"/>
      <c r="H419" s="125" t="n"/>
      <c r="I419" s="14" t="n"/>
      <c r="J419" s="16" t="n"/>
      <c r="K419" s="125" t="n"/>
      <c r="L419" s="14" t="n"/>
      <c r="M419" s="16" t="n"/>
      <c r="N419" s="125" t="n"/>
      <c r="O419" s="14" t="n"/>
      <c r="P419" s="16" t="n"/>
      <c r="Q419" s="125" t="n"/>
      <c r="R419" s="14" t="n"/>
      <c r="S419" s="16" t="n"/>
      <c r="T419" s="125" t="n"/>
      <c r="U419" s="14" t="n"/>
      <c r="V419" s="16" t="n"/>
      <c r="W419" s="125" t="n"/>
      <c r="X419" s="14" t="n"/>
      <c r="Y419" s="16" t="n"/>
      <c r="Z419" s="125" t="n"/>
      <c r="AA419" s="14" t="n"/>
      <c r="AB419" s="16" t="n"/>
      <c r="AC419" s="125" t="n"/>
      <c r="AD419" s="14" t="n"/>
    </row>
    <row r="420">
      <c r="A420" s="56" t="n"/>
      <c r="B420" s="59" t="n"/>
      <c r="C420" s="59" t="n"/>
      <c r="E420" s="16" t="n"/>
      <c r="F420" s="13" t="n"/>
      <c r="G420" s="16" t="n"/>
      <c r="H420" s="125" t="n"/>
      <c r="I420" s="14" t="n"/>
      <c r="J420" s="16" t="n"/>
      <c r="K420" s="125" t="n"/>
      <c r="L420" s="14" t="n"/>
      <c r="M420" s="16" t="n"/>
      <c r="N420" s="125" t="n"/>
      <c r="O420" s="14" t="n"/>
      <c r="P420" s="16" t="n"/>
      <c r="Q420" s="125" t="n"/>
      <c r="R420" s="14" t="n"/>
      <c r="S420" s="16" t="n"/>
      <c r="T420" s="125" t="n"/>
      <c r="U420" s="14" t="n"/>
      <c r="V420" s="16" t="n"/>
      <c r="W420" s="125" t="n"/>
      <c r="X420" s="14" t="n"/>
      <c r="Y420" s="16" t="n"/>
      <c r="Z420" s="125" t="n"/>
      <c r="AA420" s="14" t="n"/>
      <c r="AB420" s="16" t="n"/>
      <c r="AC420" s="125" t="n"/>
      <c r="AD420" s="14" t="n"/>
    </row>
    <row r="421">
      <c r="A421" s="58" t="n"/>
      <c r="B421" s="59" t="n"/>
      <c r="C421" s="59" t="n"/>
      <c r="E421" s="16" t="n"/>
      <c r="F421" s="13" t="n"/>
      <c r="G421" s="16" t="n"/>
      <c r="H421" s="125" t="n"/>
      <c r="I421" s="14" t="n"/>
      <c r="J421" s="16" t="n"/>
      <c r="K421" s="125" t="n"/>
      <c r="L421" s="14" t="n"/>
      <c r="M421" s="16" t="n"/>
      <c r="N421" s="125" t="n"/>
      <c r="O421" s="14" t="n"/>
      <c r="P421" s="16" t="n"/>
      <c r="Q421" s="125" t="n"/>
      <c r="R421" s="14" t="n"/>
      <c r="S421" s="16" t="n"/>
      <c r="T421" s="125" t="n"/>
      <c r="U421" s="14" t="n"/>
      <c r="V421" s="16" t="n"/>
      <c r="W421" s="125" t="n"/>
      <c r="X421" s="14" t="n"/>
      <c r="Y421" s="16" t="n"/>
      <c r="Z421" s="125" t="n"/>
      <c r="AA421" s="14" t="n"/>
      <c r="AB421" s="16" t="n"/>
      <c r="AC421" s="125" t="n"/>
      <c r="AD421" s="14" t="n"/>
    </row>
    <row r="422">
      <c r="A422" s="56" t="n"/>
      <c r="B422" s="59" t="n"/>
      <c r="C422" s="59" t="n"/>
      <c r="E422" s="16" t="n"/>
      <c r="F422" s="13" t="n"/>
      <c r="G422" s="16" t="n"/>
      <c r="H422" s="125" t="n"/>
      <c r="I422" s="14" t="n"/>
      <c r="J422" s="16" t="n"/>
      <c r="K422" s="125" t="n"/>
      <c r="L422" s="14" t="n"/>
      <c r="M422" s="16" t="n"/>
      <c r="N422" s="125" t="n"/>
      <c r="O422" s="14" t="n"/>
      <c r="P422" s="16" t="n"/>
      <c r="Q422" s="125" t="n"/>
      <c r="R422" s="14" t="n"/>
      <c r="S422" s="16" t="n"/>
      <c r="T422" s="125" t="n"/>
      <c r="U422" s="14" t="n"/>
      <c r="V422" s="16" t="n"/>
      <c r="W422" s="125" t="n"/>
      <c r="X422" s="14" t="n"/>
      <c r="Y422" s="16" t="n"/>
      <c r="Z422" s="125" t="n"/>
      <c r="AA422" s="14" t="n"/>
      <c r="AB422" s="16" t="n"/>
      <c r="AC422" s="125" t="n"/>
      <c r="AD422" s="14" t="n"/>
    </row>
    <row r="423">
      <c r="A423" s="58" t="n"/>
      <c r="B423" s="59" t="n"/>
      <c r="C423" s="59" t="n"/>
      <c r="E423" s="16" t="n"/>
      <c r="F423" s="13" t="n"/>
      <c r="G423" s="16" t="n"/>
      <c r="H423" s="125" t="n"/>
      <c r="I423" s="14" t="n"/>
      <c r="J423" s="16" t="n"/>
      <c r="K423" s="125" t="n"/>
      <c r="L423" s="14" t="n"/>
      <c r="M423" s="16" t="n"/>
      <c r="N423" s="125" t="n"/>
      <c r="O423" s="14" t="n"/>
      <c r="P423" s="16" t="n"/>
      <c r="Q423" s="125" t="n"/>
      <c r="R423" s="14" t="n"/>
      <c r="S423" s="16" t="n"/>
      <c r="T423" s="125" t="n"/>
      <c r="U423" s="14" t="n"/>
      <c r="V423" s="16" t="n"/>
      <c r="W423" s="125" t="n"/>
      <c r="X423" s="14" t="n"/>
      <c r="Y423" s="16" t="n"/>
      <c r="Z423" s="125" t="n"/>
      <c r="AA423" s="14" t="n"/>
      <c r="AB423" s="16" t="n"/>
      <c r="AC423" s="125" t="n"/>
      <c r="AD423" s="14" t="n"/>
    </row>
    <row r="424">
      <c r="A424" s="56" t="n"/>
      <c r="B424" s="59" t="n"/>
      <c r="C424" s="59" t="n"/>
      <c r="E424" s="16" t="n"/>
      <c r="F424" s="13" t="n"/>
      <c r="G424" s="16" t="n"/>
      <c r="H424" s="125" t="n"/>
      <c r="I424" s="14" t="n"/>
      <c r="J424" s="16" t="n"/>
      <c r="K424" s="125" t="n"/>
      <c r="L424" s="14" t="n"/>
      <c r="M424" s="16" t="n"/>
      <c r="N424" s="125" t="n"/>
      <c r="O424" s="14" t="n"/>
      <c r="P424" s="16" t="n"/>
      <c r="Q424" s="125" t="n"/>
      <c r="R424" s="14" t="n"/>
      <c r="S424" s="16" t="n"/>
      <c r="T424" s="125" t="n"/>
      <c r="U424" s="14" t="n"/>
      <c r="V424" s="16" t="n"/>
      <c r="W424" s="125" t="n"/>
      <c r="X424" s="14" t="n"/>
      <c r="Y424" s="16" t="n"/>
      <c r="Z424" s="125" t="n"/>
      <c r="AA424" s="14" t="n"/>
      <c r="AB424" s="16" t="n"/>
      <c r="AC424" s="125" t="n"/>
      <c r="AD424" s="14" t="n"/>
    </row>
    <row r="425">
      <c r="A425" s="58" t="n"/>
      <c r="B425" s="59" t="n"/>
      <c r="C425" s="59" t="n"/>
      <c r="E425" s="16" t="n"/>
      <c r="F425" s="13" t="n"/>
      <c r="G425" s="16" t="n"/>
      <c r="H425" s="125" t="n"/>
      <c r="I425" s="14" t="n"/>
      <c r="J425" s="16" t="n"/>
      <c r="K425" s="125" t="n"/>
      <c r="L425" s="14" t="n"/>
      <c r="M425" s="16" t="n"/>
      <c r="N425" s="125" t="n"/>
      <c r="O425" s="14" t="n"/>
      <c r="P425" s="16" t="n"/>
      <c r="Q425" s="125" t="n"/>
      <c r="R425" s="14" t="n"/>
      <c r="S425" s="16" t="n"/>
      <c r="T425" s="125" t="n"/>
      <c r="U425" s="14" t="n"/>
      <c r="V425" s="16" t="n"/>
      <c r="W425" s="125" t="n"/>
      <c r="X425" s="14" t="n"/>
      <c r="Y425" s="16" t="n"/>
      <c r="Z425" s="125" t="n"/>
      <c r="AA425" s="14" t="n"/>
      <c r="AB425" s="16" t="n"/>
      <c r="AC425" s="125" t="n"/>
      <c r="AD425" s="14" t="n"/>
    </row>
    <row r="426">
      <c r="A426" s="56" t="n"/>
      <c r="B426" s="59" t="n"/>
      <c r="C426" s="59" t="n"/>
      <c r="E426" s="16" t="n"/>
      <c r="F426" s="13" t="n"/>
      <c r="G426" s="16" t="n"/>
      <c r="H426" s="125" t="n"/>
      <c r="I426" s="14" t="n"/>
      <c r="J426" s="16" t="n"/>
      <c r="K426" s="125" t="n"/>
      <c r="L426" s="14" t="n"/>
      <c r="M426" s="16" t="n"/>
      <c r="N426" s="125" t="n"/>
      <c r="O426" s="14" t="n"/>
      <c r="P426" s="16" t="n"/>
      <c r="Q426" s="125" t="n"/>
      <c r="R426" s="14" t="n"/>
      <c r="S426" s="16" t="n"/>
      <c r="T426" s="125" t="n"/>
      <c r="U426" s="14" t="n"/>
      <c r="V426" s="16" t="n"/>
      <c r="W426" s="125" t="n"/>
      <c r="X426" s="14" t="n"/>
      <c r="Y426" s="16" t="n"/>
      <c r="Z426" s="125" t="n"/>
      <c r="AA426" s="14" t="n"/>
      <c r="AB426" s="16" t="n"/>
      <c r="AC426" s="125" t="n"/>
      <c r="AD426" s="14" t="n"/>
    </row>
    <row r="427">
      <c r="A427" s="58" t="n"/>
      <c r="B427" s="59" t="n"/>
      <c r="C427" s="59" t="n"/>
      <c r="E427" s="16" t="n"/>
      <c r="F427" s="13" t="n"/>
      <c r="G427" s="16" t="n"/>
      <c r="H427" s="125" t="n"/>
      <c r="I427" s="14" t="n"/>
      <c r="J427" s="16" t="n"/>
      <c r="K427" s="125" t="n"/>
      <c r="L427" s="14" t="n"/>
      <c r="M427" s="16" t="n"/>
      <c r="N427" s="125" t="n"/>
      <c r="O427" s="14" t="n"/>
      <c r="P427" s="16" t="n"/>
      <c r="Q427" s="125" t="n"/>
      <c r="R427" s="14" t="n"/>
      <c r="S427" s="16" t="n"/>
      <c r="T427" s="125" t="n"/>
      <c r="U427" s="14" t="n"/>
      <c r="V427" s="16" t="n"/>
      <c r="W427" s="125" t="n"/>
      <c r="X427" s="14" t="n"/>
      <c r="Y427" s="16" t="n"/>
      <c r="Z427" s="125" t="n"/>
      <c r="AA427" s="14" t="n"/>
      <c r="AB427" s="16" t="n"/>
      <c r="AC427" s="125" t="n"/>
      <c r="AD427" s="14" t="n"/>
    </row>
    <row r="428">
      <c r="A428" s="56" t="n"/>
      <c r="B428" s="59" t="n"/>
      <c r="C428" s="59" t="n"/>
      <c r="E428" s="16" t="n"/>
      <c r="F428" s="13" t="n"/>
      <c r="G428" s="16" t="n"/>
      <c r="H428" s="125" t="n"/>
      <c r="I428" s="14" t="n"/>
      <c r="J428" s="16" t="n"/>
      <c r="K428" s="125" t="n"/>
      <c r="L428" s="14" t="n"/>
      <c r="M428" s="16" t="n"/>
      <c r="N428" s="125" t="n"/>
      <c r="O428" s="14" t="n"/>
      <c r="P428" s="16" t="n"/>
      <c r="Q428" s="125" t="n"/>
      <c r="R428" s="14" t="n"/>
      <c r="S428" s="16" t="n"/>
      <c r="T428" s="125" t="n"/>
      <c r="U428" s="14" t="n"/>
      <c r="V428" s="16" t="n"/>
      <c r="W428" s="125" t="n"/>
      <c r="X428" s="14" t="n"/>
      <c r="Y428" s="16" t="n"/>
      <c r="Z428" s="125" t="n"/>
      <c r="AA428" s="14" t="n"/>
      <c r="AB428" s="16" t="n"/>
      <c r="AC428" s="125" t="n"/>
      <c r="AD428" s="14" t="n"/>
    </row>
    <row r="429">
      <c r="A429" s="58" t="n"/>
      <c r="B429" s="59" t="n"/>
      <c r="C429" s="59" t="n"/>
      <c r="E429" s="16" t="n"/>
      <c r="F429" s="13" t="n"/>
      <c r="G429" s="16" t="n"/>
      <c r="H429" s="125" t="n"/>
      <c r="I429" s="14" t="n"/>
      <c r="J429" s="16" t="n"/>
      <c r="K429" s="125" t="n"/>
      <c r="L429" s="14" t="n"/>
      <c r="M429" s="16" t="n"/>
      <c r="N429" s="125" t="n"/>
      <c r="O429" s="14" t="n"/>
      <c r="P429" s="16" t="n"/>
      <c r="Q429" s="125" t="n"/>
      <c r="R429" s="14" t="n"/>
      <c r="S429" s="16" t="n"/>
      <c r="T429" s="125" t="n"/>
      <c r="U429" s="14" t="n"/>
      <c r="V429" s="16" t="n"/>
      <c r="W429" s="125" t="n"/>
      <c r="X429" s="14" t="n"/>
      <c r="Y429" s="16" t="n"/>
      <c r="Z429" s="125" t="n"/>
      <c r="AA429" s="14" t="n"/>
      <c r="AB429" s="16" t="n"/>
      <c r="AC429" s="125" t="n"/>
      <c r="AD429" s="14" t="n"/>
    </row>
    <row r="430">
      <c r="A430" s="56" t="n"/>
      <c r="B430" s="59" t="n"/>
      <c r="C430" s="59" t="n"/>
      <c r="E430" s="16" t="n"/>
      <c r="F430" s="13" t="n"/>
      <c r="G430" s="16" t="n"/>
      <c r="H430" s="125" t="n"/>
      <c r="I430" s="14" t="n"/>
      <c r="J430" s="16" t="n"/>
      <c r="K430" s="125" t="n"/>
      <c r="L430" s="14" t="n"/>
      <c r="M430" s="16" t="n"/>
      <c r="N430" s="125" t="n"/>
      <c r="O430" s="14" t="n"/>
      <c r="P430" s="16" t="n"/>
      <c r="Q430" s="125" t="n"/>
      <c r="R430" s="14" t="n"/>
      <c r="S430" s="16" t="n"/>
      <c r="T430" s="125" t="n"/>
      <c r="U430" s="14" t="n"/>
      <c r="V430" s="16" t="n"/>
      <c r="W430" s="125" t="n"/>
      <c r="X430" s="14" t="n"/>
      <c r="Y430" s="16" t="n"/>
      <c r="Z430" s="125" t="n"/>
      <c r="AA430" s="14" t="n"/>
      <c r="AB430" s="16" t="n"/>
      <c r="AC430" s="125" t="n"/>
      <c r="AD430" s="14" t="n"/>
    </row>
    <row r="431">
      <c r="A431" s="58" t="n"/>
      <c r="B431" s="59" t="n"/>
      <c r="C431" s="59" t="n"/>
      <c r="E431" s="16" t="n"/>
      <c r="F431" s="13" t="n"/>
      <c r="G431" s="16" t="n"/>
      <c r="H431" s="125" t="n"/>
      <c r="I431" s="14" t="n"/>
      <c r="J431" s="16" t="n"/>
      <c r="K431" s="125" t="n"/>
      <c r="L431" s="14" t="n"/>
      <c r="M431" s="16" t="n"/>
      <c r="N431" s="125" t="n"/>
      <c r="O431" s="14" t="n"/>
      <c r="P431" s="16" t="n"/>
      <c r="Q431" s="125" t="n"/>
      <c r="R431" s="14" t="n"/>
      <c r="S431" s="16" t="n"/>
      <c r="T431" s="125" t="n"/>
      <c r="U431" s="14" t="n"/>
      <c r="V431" s="16" t="n"/>
      <c r="W431" s="125" t="n"/>
      <c r="X431" s="14" t="n"/>
      <c r="Y431" s="16" t="n"/>
      <c r="Z431" s="125" t="n"/>
      <c r="AA431" s="14" t="n"/>
      <c r="AB431" s="16" t="n"/>
      <c r="AC431" s="125" t="n"/>
      <c r="AD431" s="14" t="n"/>
    </row>
    <row r="432">
      <c r="A432" s="56" t="n"/>
      <c r="B432" s="59" t="n"/>
      <c r="C432" s="59" t="n"/>
      <c r="E432" s="16" t="n"/>
      <c r="F432" s="13" t="n"/>
      <c r="G432" s="16" t="n"/>
      <c r="H432" s="125" t="n"/>
      <c r="I432" s="14" t="n"/>
      <c r="J432" s="16" t="n"/>
      <c r="K432" s="125" t="n"/>
      <c r="L432" s="14" t="n"/>
      <c r="M432" s="16" t="n"/>
      <c r="N432" s="125" t="n"/>
      <c r="O432" s="14" t="n"/>
      <c r="P432" s="16" t="n"/>
      <c r="Q432" s="125" t="n"/>
      <c r="R432" s="14" t="n"/>
      <c r="S432" s="16" t="n"/>
      <c r="T432" s="125" t="n"/>
      <c r="U432" s="14" t="n"/>
      <c r="V432" s="16" t="n"/>
      <c r="W432" s="125" t="n"/>
      <c r="X432" s="14" t="n"/>
      <c r="Y432" s="16" t="n"/>
      <c r="Z432" s="125" t="n"/>
      <c r="AA432" s="14" t="n"/>
      <c r="AB432" s="16" t="n"/>
      <c r="AC432" s="125" t="n"/>
      <c r="AD432" s="14" t="n"/>
    </row>
    <row r="433">
      <c r="A433" s="58" t="n"/>
      <c r="B433" s="59" t="n"/>
      <c r="C433" s="59" t="n"/>
      <c r="E433" s="16" t="n"/>
      <c r="F433" s="13" t="n"/>
      <c r="G433" s="16" t="n"/>
      <c r="H433" s="125" t="n"/>
      <c r="I433" s="14" t="n"/>
      <c r="J433" s="16" t="n"/>
      <c r="K433" s="125" t="n"/>
      <c r="L433" s="14" t="n"/>
      <c r="M433" s="16" t="n"/>
      <c r="N433" s="125" t="n"/>
      <c r="O433" s="14" t="n"/>
      <c r="P433" s="16" t="n"/>
      <c r="Q433" s="125" t="n"/>
      <c r="R433" s="14" t="n"/>
      <c r="S433" s="16" t="n"/>
      <c r="T433" s="125" t="n"/>
      <c r="U433" s="14" t="n"/>
      <c r="V433" s="16" t="n"/>
      <c r="W433" s="125" t="n"/>
      <c r="X433" s="14" t="n"/>
      <c r="Y433" s="16" t="n"/>
      <c r="Z433" s="125" t="n"/>
      <c r="AA433" s="14" t="n"/>
      <c r="AB433" s="16" t="n"/>
      <c r="AC433" s="125" t="n"/>
      <c r="AD433" s="14" t="n"/>
    </row>
    <row r="434">
      <c r="A434" s="56" t="n"/>
      <c r="B434" s="59" t="n"/>
      <c r="C434" s="59" t="n"/>
      <c r="E434" s="16" t="n"/>
      <c r="F434" s="13" t="n"/>
      <c r="G434" s="16" t="n"/>
      <c r="H434" s="125" t="n"/>
      <c r="I434" s="14" t="n"/>
      <c r="J434" s="16" t="n"/>
      <c r="K434" s="125" t="n"/>
      <c r="L434" s="14" t="n"/>
      <c r="M434" s="16" t="n"/>
      <c r="N434" s="125" t="n"/>
      <c r="O434" s="14" t="n"/>
      <c r="P434" s="16" t="n"/>
      <c r="Q434" s="125" t="n"/>
      <c r="R434" s="14" t="n"/>
      <c r="S434" s="16" t="n"/>
      <c r="T434" s="125" t="n"/>
      <c r="U434" s="14" t="n"/>
      <c r="V434" s="16" t="n"/>
      <c r="W434" s="125" t="n"/>
      <c r="X434" s="14" t="n"/>
      <c r="Y434" s="16" t="n"/>
      <c r="Z434" s="125" t="n"/>
      <c r="AA434" s="14" t="n"/>
      <c r="AB434" s="16" t="n"/>
      <c r="AC434" s="125" t="n"/>
      <c r="AD434" s="14" t="n"/>
    </row>
    <row r="435">
      <c r="A435" s="58" t="n"/>
      <c r="B435" s="59" t="n"/>
      <c r="C435" s="59" t="n"/>
      <c r="E435" s="16" t="n"/>
      <c r="F435" s="13" t="n"/>
      <c r="G435" s="16" t="n"/>
      <c r="H435" s="125" t="n"/>
      <c r="I435" s="14" t="n"/>
      <c r="J435" s="16" t="n"/>
      <c r="K435" s="125" t="n"/>
      <c r="L435" s="14" t="n"/>
      <c r="M435" s="16" t="n"/>
      <c r="N435" s="125" t="n"/>
      <c r="O435" s="14" t="n"/>
      <c r="P435" s="16" t="n"/>
      <c r="Q435" s="125" t="n"/>
      <c r="R435" s="14" t="n"/>
      <c r="S435" s="16" t="n"/>
      <c r="T435" s="125" t="n"/>
      <c r="U435" s="14" t="n"/>
      <c r="V435" s="16" t="n"/>
      <c r="W435" s="125" t="n"/>
      <c r="X435" s="14" t="n"/>
      <c r="Y435" s="16" t="n"/>
      <c r="Z435" s="125" t="n"/>
      <c r="AA435" s="14" t="n"/>
      <c r="AB435" s="16" t="n"/>
      <c r="AC435" s="125" t="n"/>
      <c r="AD435" s="14" t="n"/>
    </row>
    <row r="436">
      <c r="A436" s="56" t="n"/>
      <c r="B436" s="59" t="n"/>
      <c r="C436" s="59" t="n"/>
      <c r="E436" s="16" t="n"/>
      <c r="F436" s="13" t="n"/>
      <c r="G436" s="16" t="n"/>
      <c r="H436" s="125" t="n"/>
      <c r="I436" s="14" t="n"/>
      <c r="J436" s="16" t="n"/>
      <c r="K436" s="125" t="n"/>
      <c r="L436" s="14" t="n"/>
      <c r="M436" s="16" t="n"/>
      <c r="N436" s="125" t="n"/>
      <c r="O436" s="14" t="n"/>
      <c r="P436" s="16" t="n"/>
      <c r="Q436" s="125" t="n"/>
      <c r="R436" s="14" t="n"/>
      <c r="S436" s="16" t="n"/>
      <c r="T436" s="125" t="n"/>
      <c r="U436" s="14" t="n"/>
      <c r="V436" s="16" t="n"/>
      <c r="W436" s="125" t="n"/>
      <c r="X436" s="14" t="n"/>
      <c r="Y436" s="16" t="n"/>
      <c r="Z436" s="125" t="n"/>
      <c r="AA436" s="14" t="n"/>
      <c r="AB436" s="16" t="n"/>
      <c r="AC436" s="125" t="n"/>
      <c r="AD436" s="14" t="n"/>
    </row>
    <row r="437">
      <c r="A437" s="58" t="n"/>
      <c r="B437" s="59" t="n"/>
      <c r="C437" s="59" t="n"/>
      <c r="E437" s="16" t="n"/>
      <c r="F437" s="13" t="n"/>
      <c r="G437" s="16" t="n"/>
      <c r="H437" s="125" t="n"/>
      <c r="I437" s="14" t="n"/>
      <c r="J437" s="16" t="n"/>
      <c r="K437" s="125" t="n"/>
      <c r="L437" s="14" t="n"/>
      <c r="M437" s="16" t="n"/>
      <c r="N437" s="125" t="n"/>
      <c r="O437" s="14" t="n"/>
      <c r="P437" s="16" t="n"/>
      <c r="Q437" s="125" t="n"/>
      <c r="R437" s="14" t="n"/>
      <c r="S437" s="16" t="n"/>
      <c r="T437" s="125" t="n"/>
      <c r="U437" s="14" t="n"/>
      <c r="V437" s="16" t="n"/>
      <c r="W437" s="125" t="n"/>
      <c r="X437" s="14" t="n"/>
      <c r="Y437" s="16" t="n"/>
      <c r="Z437" s="125" t="n"/>
      <c r="AA437" s="14" t="n"/>
      <c r="AB437" s="16" t="n"/>
      <c r="AC437" s="125" t="n"/>
      <c r="AD437" s="14" t="n"/>
    </row>
    <row r="438">
      <c r="A438" s="56" t="n"/>
      <c r="B438" s="59" t="n"/>
      <c r="C438" s="59" t="n"/>
      <c r="E438" s="16" t="n"/>
      <c r="F438" s="13" t="n"/>
      <c r="G438" s="16" t="n"/>
      <c r="H438" s="125" t="n"/>
      <c r="I438" s="14" t="n"/>
      <c r="J438" s="16" t="n"/>
      <c r="K438" s="125" t="n"/>
      <c r="L438" s="14" t="n"/>
      <c r="M438" s="16" t="n"/>
      <c r="N438" s="125" t="n"/>
      <c r="O438" s="14" t="n"/>
      <c r="P438" s="16" t="n"/>
      <c r="Q438" s="125" t="n"/>
      <c r="R438" s="14" t="n"/>
      <c r="S438" s="16" t="n"/>
      <c r="T438" s="125" t="n"/>
      <c r="U438" s="14" t="n"/>
      <c r="V438" s="16" t="n"/>
      <c r="W438" s="125" t="n"/>
      <c r="X438" s="14" t="n"/>
      <c r="Y438" s="16" t="n"/>
      <c r="Z438" s="125" t="n"/>
      <c r="AA438" s="14" t="n"/>
      <c r="AB438" s="16" t="n"/>
      <c r="AC438" s="125" t="n"/>
      <c r="AD438" s="14" t="n"/>
    </row>
    <row r="439">
      <c r="A439" s="58" t="n"/>
      <c r="B439" s="59" t="n"/>
      <c r="C439" s="59" t="n"/>
      <c r="E439" s="16" t="n"/>
      <c r="F439" s="13" t="n"/>
      <c r="G439" s="16" t="n"/>
      <c r="H439" s="125" t="n"/>
      <c r="I439" s="14" t="n"/>
      <c r="J439" s="16" t="n"/>
      <c r="K439" s="125" t="n"/>
      <c r="L439" s="14" t="n"/>
      <c r="M439" s="16" t="n"/>
      <c r="N439" s="125" t="n"/>
      <c r="O439" s="14" t="n"/>
      <c r="P439" s="16" t="n"/>
      <c r="Q439" s="125" t="n"/>
      <c r="R439" s="14" t="n"/>
      <c r="S439" s="16" t="n"/>
      <c r="T439" s="125" t="n"/>
      <c r="U439" s="14" t="n"/>
      <c r="V439" s="16" t="n"/>
      <c r="W439" s="125" t="n"/>
      <c r="X439" s="14" t="n"/>
      <c r="Y439" s="16" t="n"/>
      <c r="Z439" s="125" t="n"/>
      <c r="AA439" s="14" t="n"/>
      <c r="AB439" s="16" t="n"/>
      <c r="AC439" s="125" t="n"/>
      <c r="AD439" s="14" t="n"/>
    </row>
    <row r="440">
      <c r="A440" s="56" t="n"/>
      <c r="B440" s="59" t="n"/>
      <c r="C440" s="59" t="n"/>
      <c r="E440" s="16" t="n"/>
      <c r="F440" s="13" t="n"/>
      <c r="G440" s="16" t="n"/>
      <c r="H440" s="125" t="n"/>
      <c r="I440" s="14" t="n"/>
      <c r="J440" s="16" t="n"/>
      <c r="K440" s="125" t="n"/>
      <c r="L440" s="14" t="n"/>
      <c r="M440" s="16" t="n"/>
      <c r="N440" s="125" t="n"/>
      <c r="O440" s="14" t="n"/>
      <c r="P440" s="16" t="n"/>
      <c r="Q440" s="125" t="n"/>
      <c r="R440" s="14" t="n"/>
      <c r="S440" s="16" t="n"/>
      <c r="T440" s="125" t="n"/>
      <c r="U440" s="14" t="n"/>
      <c r="V440" s="16" t="n"/>
      <c r="W440" s="125" t="n"/>
      <c r="X440" s="14" t="n"/>
      <c r="Y440" s="16" t="n"/>
      <c r="Z440" s="125" t="n"/>
      <c r="AA440" s="14" t="n"/>
      <c r="AB440" s="16" t="n"/>
      <c r="AC440" s="125" t="n"/>
      <c r="AD440" s="14" t="n"/>
    </row>
    <row r="441">
      <c r="A441" s="58" t="n"/>
      <c r="B441" s="59" t="n"/>
      <c r="C441" s="59" t="n"/>
      <c r="E441" s="16" t="n"/>
      <c r="F441" s="13" t="n"/>
      <c r="G441" s="16" t="n"/>
      <c r="H441" s="125" t="n"/>
      <c r="I441" s="14" t="n"/>
      <c r="J441" s="16" t="n"/>
      <c r="K441" s="125" t="n"/>
      <c r="L441" s="14" t="n"/>
      <c r="M441" s="16" t="n"/>
      <c r="N441" s="125" t="n"/>
      <c r="O441" s="14" t="n"/>
      <c r="P441" s="16" t="n"/>
      <c r="Q441" s="125" t="n"/>
      <c r="R441" s="14" t="n"/>
      <c r="S441" s="16" t="n"/>
      <c r="T441" s="125" t="n"/>
      <c r="U441" s="14" t="n"/>
      <c r="V441" s="16" t="n"/>
      <c r="W441" s="125" t="n"/>
      <c r="X441" s="14" t="n"/>
      <c r="Y441" s="16" t="n"/>
      <c r="Z441" s="125" t="n"/>
      <c r="AA441" s="14" t="n"/>
      <c r="AB441" s="16" t="n"/>
      <c r="AC441" s="125" t="n"/>
      <c r="AD441" s="14" t="n"/>
    </row>
    <row r="442">
      <c r="A442" s="56" t="n"/>
      <c r="B442" s="59" t="n"/>
      <c r="C442" s="59" t="n"/>
      <c r="E442" s="16" t="n"/>
      <c r="F442" s="13" t="n"/>
      <c r="G442" s="16" t="n"/>
      <c r="H442" s="125" t="n"/>
      <c r="I442" s="14" t="n"/>
      <c r="J442" s="16" t="n"/>
      <c r="K442" s="125" t="n"/>
      <c r="L442" s="14" t="n"/>
      <c r="M442" s="16" t="n"/>
      <c r="N442" s="125" t="n"/>
      <c r="O442" s="14" t="n"/>
      <c r="P442" s="16" t="n"/>
      <c r="Q442" s="125" t="n"/>
      <c r="R442" s="14" t="n"/>
      <c r="S442" s="16" t="n"/>
      <c r="T442" s="125" t="n"/>
      <c r="U442" s="14" t="n"/>
      <c r="V442" s="16" t="n"/>
      <c r="W442" s="125" t="n"/>
      <c r="X442" s="14" t="n"/>
      <c r="Y442" s="16" t="n"/>
      <c r="Z442" s="125" t="n"/>
      <c r="AA442" s="14" t="n"/>
      <c r="AB442" s="16" t="n"/>
      <c r="AC442" s="125" t="n"/>
      <c r="AD442" s="14" t="n"/>
    </row>
    <row r="443">
      <c r="A443" s="58" t="n"/>
      <c r="B443" s="59" t="n"/>
      <c r="C443" s="59" t="n"/>
      <c r="E443" s="16" t="n"/>
      <c r="F443" s="13" t="n"/>
      <c r="G443" s="16" t="n"/>
      <c r="H443" s="125" t="n"/>
      <c r="I443" s="14" t="n"/>
      <c r="J443" s="16" t="n"/>
      <c r="K443" s="125" t="n"/>
      <c r="L443" s="14" t="n"/>
      <c r="M443" s="16" t="n"/>
      <c r="N443" s="125" t="n"/>
      <c r="O443" s="14" t="n"/>
      <c r="P443" s="16" t="n"/>
      <c r="Q443" s="125" t="n"/>
      <c r="R443" s="14" t="n"/>
      <c r="S443" s="16" t="n"/>
      <c r="T443" s="125" t="n"/>
      <c r="U443" s="14" t="n"/>
      <c r="V443" s="16" t="n"/>
      <c r="W443" s="125" t="n"/>
      <c r="X443" s="14" t="n"/>
      <c r="Y443" s="16" t="n"/>
      <c r="Z443" s="125" t="n"/>
      <c r="AA443" s="14" t="n"/>
      <c r="AB443" s="16" t="n"/>
      <c r="AC443" s="125" t="n"/>
      <c r="AD443" s="14" t="n"/>
    </row>
    <row r="444">
      <c r="A444" s="56" t="n"/>
      <c r="B444" s="59" t="n"/>
      <c r="C444" s="59" t="n"/>
      <c r="E444" s="16" t="n"/>
      <c r="F444" s="13" t="n"/>
      <c r="G444" s="16" t="n"/>
      <c r="H444" s="125" t="n"/>
      <c r="I444" s="14" t="n"/>
      <c r="J444" s="16" t="n"/>
      <c r="K444" s="125" t="n"/>
      <c r="L444" s="14" t="n"/>
      <c r="M444" s="16" t="n"/>
      <c r="N444" s="125" t="n"/>
      <c r="O444" s="14" t="n"/>
      <c r="P444" s="16" t="n"/>
      <c r="Q444" s="125" t="n"/>
      <c r="R444" s="14" t="n"/>
      <c r="S444" s="16" t="n"/>
      <c r="T444" s="125" t="n"/>
      <c r="U444" s="14" t="n"/>
      <c r="V444" s="16" t="n"/>
      <c r="W444" s="125" t="n"/>
      <c r="X444" s="14" t="n"/>
      <c r="Y444" s="16" t="n"/>
      <c r="Z444" s="125" t="n"/>
      <c r="AA444" s="14" t="n"/>
      <c r="AB444" s="16" t="n"/>
      <c r="AC444" s="125" t="n"/>
      <c r="AD444" s="14" t="n"/>
    </row>
    <row r="445">
      <c r="A445" s="58" t="n"/>
      <c r="B445" s="59" t="n"/>
      <c r="C445" s="59" t="n"/>
      <c r="E445" s="16" t="n"/>
      <c r="F445" s="13" t="n"/>
      <c r="G445" s="16" t="n"/>
      <c r="H445" s="125" t="n"/>
      <c r="I445" s="14" t="n"/>
      <c r="J445" s="16" t="n"/>
      <c r="K445" s="125" t="n"/>
      <c r="L445" s="14" t="n"/>
      <c r="M445" s="16" t="n"/>
      <c r="N445" s="125" t="n"/>
      <c r="O445" s="14" t="n"/>
      <c r="P445" s="16" t="n"/>
      <c r="Q445" s="125" t="n"/>
      <c r="R445" s="14" t="n"/>
      <c r="S445" s="16" t="n"/>
      <c r="T445" s="125" t="n"/>
      <c r="U445" s="14" t="n"/>
      <c r="V445" s="16" t="n"/>
      <c r="W445" s="125" t="n"/>
      <c r="X445" s="14" t="n"/>
      <c r="Y445" s="16" t="n"/>
      <c r="Z445" s="125" t="n"/>
      <c r="AA445" s="14" t="n"/>
      <c r="AB445" s="16" t="n"/>
      <c r="AC445" s="125" t="n"/>
      <c r="AD445" s="14" t="n"/>
    </row>
    <row r="446">
      <c r="A446" s="56" t="n"/>
      <c r="B446" s="59" t="n"/>
      <c r="C446" s="59" t="n"/>
      <c r="E446" s="16" t="n"/>
      <c r="F446" s="13" t="n"/>
      <c r="G446" s="16" t="n"/>
      <c r="H446" s="125" t="n"/>
      <c r="I446" s="14" t="n"/>
      <c r="J446" s="16" t="n"/>
      <c r="K446" s="125" t="n"/>
      <c r="L446" s="14" t="n"/>
      <c r="M446" s="16" t="n"/>
      <c r="N446" s="125" t="n"/>
      <c r="O446" s="14" t="n"/>
      <c r="P446" s="16" t="n"/>
      <c r="Q446" s="125" t="n"/>
      <c r="R446" s="14" t="n"/>
      <c r="S446" s="16" t="n"/>
      <c r="T446" s="125" t="n"/>
      <c r="U446" s="14" t="n"/>
      <c r="V446" s="16" t="n"/>
      <c r="W446" s="125" t="n"/>
      <c r="X446" s="14" t="n"/>
      <c r="Y446" s="16" t="n"/>
      <c r="Z446" s="125" t="n"/>
      <c r="AA446" s="14" t="n"/>
      <c r="AB446" s="16" t="n"/>
      <c r="AC446" s="125" t="n"/>
      <c r="AD446" s="14" t="n"/>
    </row>
    <row r="447">
      <c r="A447" s="58" t="n"/>
      <c r="B447" s="59" t="n"/>
      <c r="C447" s="59" t="n"/>
      <c r="E447" s="16" t="n"/>
      <c r="F447" s="13" t="n"/>
      <c r="G447" s="16" t="n"/>
      <c r="H447" s="125" t="n"/>
      <c r="I447" s="14" t="n"/>
      <c r="J447" s="16" t="n"/>
      <c r="K447" s="125" t="n"/>
      <c r="L447" s="14" t="n"/>
      <c r="M447" s="16" t="n"/>
      <c r="N447" s="125" t="n"/>
      <c r="O447" s="14" t="n"/>
      <c r="P447" s="16" t="n"/>
      <c r="Q447" s="125" t="n"/>
      <c r="R447" s="14" t="n"/>
      <c r="S447" s="16" t="n"/>
      <c r="T447" s="125" t="n"/>
      <c r="U447" s="14" t="n"/>
      <c r="V447" s="16" t="n"/>
      <c r="W447" s="125" t="n"/>
      <c r="X447" s="14" t="n"/>
      <c r="Y447" s="16" t="n"/>
      <c r="Z447" s="125" t="n"/>
      <c r="AA447" s="14" t="n"/>
      <c r="AB447" s="16" t="n"/>
      <c r="AC447" s="125" t="n"/>
      <c r="AD447" s="14" t="n"/>
    </row>
    <row r="448">
      <c r="A448" s="56" t="n"/>
      <c r="B448" s="59" t="n"/>
      <c r="C448" s="59" t="n"/>
      <c r="E448" s="16" t="n"/>
      <c r="F448" s="13" t="n"/>
      <c r="G448" s="16" t="n"/>
      <c r="H448" s="125" t="n"/>
      <c r="I448" s="14" t="n"/>
      <c r="J448" s="16" t="n"/>
      <c r="K448" s="125" t="n"/>
      <c r="L448" s="14" t="n"/>
      <c r="M448" s="16" t="n"/>
      <c r="N448" s="125" t="n"/>
      <c r="O448" s="14" t="n"/>
      <c r="P448" s="16" t="n"/>
      <c r="Q448" s="125" t="n"/>
      <c r="R448" s="14" t="n"/>
      <c r="S448" s="16" t="n"/>
      <c r="T448" s="125" t="n"/>
      <c r="U448" s="14" t="n"/>
      <c r="V448" s="16" t="n"/>
      <c r="W448" s="125" t="n"/>
      <c r="X448" s="14" t="n"/>
      <c r="Y448" s="16" t="n"/>
      <c r="Z448" s="125" t="n"/>
      <c r="AA448" s="14" t="n"/>
      <c r="AB448" s="16" t="n"/>
      <c r="AC448" s="125" t="n"/>
      <c r="AD448" s="14" t="n"/>
    </row>
    <row r="449">
      <c r="A449" s="58" t="n"/>
      <c r="B449" s="59" t="n"/>
      <c r="C449" s="59" t="n"/>
      <c r="E449" s="16" t="n"/>
      <c r="F449" s="13" t="n"/>
      <c r="G449" s="16" t="n"/>
      <c r="H449" s="125" t="n"/>
      <c r="I449" s="14" t="n"/>
      <c r="J449" s="16" t="n"/>
      <c r="K449" s="125" t="n"/>
      <c r="L449" s="14" t="n"/>
      <c r="M449" s="16" t="n"/>
      <c r="N449" s="125" t="n"/>
      <c r="O449" s="14" t="n"/>
      <c r="P449" s="16" t="n"/>
      <c r="Q449" s="125" t="n"/>
      <c r="R449" s="14" t="n"/>
      <c r="S449" s="16" t="n"/>
      <c r="T449" s="125" t="n"/>
      <c r="U449" s="14" t="n"/>
      <c r="V449" s="16" t="n"/>
      <c r="W449" s="125" t="n"/>
      <c r="X449" s="14" t="n"/>
      <c r="Y449" s="16" t="n"/>
      <c r="Z449" s="125" t="n"/>
      <c r="AA449" s="14" t="n"/>
      <c r="AB449" s="16" t="n"/>
      <c r="AC449" s="125" t="n"/>
      <c r="AD449" s="14" t="n"/>
    </row>
    <row r="450">
      <c r="A450" s="56" t="n"/>
      <c r="B450" s="59" t="n"/>
      <c r="C450" s="59" t="n"/>
      <c r="E450" s="16" t="n"/>
      <c r="F450" s="13" t="n"/>
      <c r="G450" s="16" t="n"/>
      <c r="H450" s="125" t="n"/>
      <c r="I450" s="14" t="n"/>
      <c r="J450" s="16" t="n"/>
      <c r="K450" s="125" t="n"/>
      <c r="L450" s="14" t="n"/>
      <c r="M450" s="16" t="n"/>
      <c r="N450" s="125" t="n"/>
      <c r="O450" s="14" t="n"/>
      <c r="P450" s="16" t="n"/>
      <c r="Q450" s="125" t="n"/>
      <c r="R450" s="14" t="n"/>
      <c r="S450" s="16" t="n"/>
      <c r="T450" s="125" t="n"/>
      <c r="U450" s="14" t="n"/>
      <c r="V450" s="16" t="n"/>
      <c r="W450" s="125" t="n"/>
      <c r="X450" s="14" t="n"/>
      <c r="Y450" s="16" t="n"/>
      <c r="Z450" s="125" t="n"/>
      <c r="AA450" s="14" t="n"/>
      <c r="AB450" s="16" t="n"/>
      <c r="AC450" s="125" t="n"/>
      <c r="AD450" s="14" t="n"/>
    </row>
    <row r="451">
      <c r="A451" s="58" t="n"/>
      <c r="B451" s="59" t="n"/>
      <c r="C451" s="59" t="n"/>
      <c r="E451" s="16" t="n"/>
      <c r="F451" s="13" t="n"/>
      <c r="G451" s="16" t="n"/>
      <c r="H451" s="125" t="n"/>
      <c r="I451" s="14" t="n"/>
      <c r="J451" s="16" t="n"/>
      <c r="K451" s="125" t="n"/>
      <c r="L451" s="14" t="n"/>
      <c r="M451" s="16" t="n"/>
      <c r="N451" s="125" t="n"/>
      <c r="O451" s="14" t="n"/>
      <c r="P451" s="16" t="n"/>
      <c r="Q451" s="125" t="n"/>
      <c r="R451" s="14" t="n"/>
      <c r="S451" s="16" t="n"/>
      <c r="T451" s="125" t="n"/>
      <c r="U451" s="14" t="n"/>
      <c r="V451" s="16" t="n"/>
      <c r="W451" s="125" t="n"/>
      <c r="X451" s="14" t="n"/>
      <c r="Y451" s="16" t="n"/>
      <c r="Z451" s="125" t="n"/>
      <c r="AA451" s="14" t="n"/>
      <c r="AB451" s="16" t="n"/>
      <c r="AC451" s="125" t="n"/>
      <c r="AD451" s="14" t="n"/>
    </row>
    <row r="452">
      <c r="A452" s="56" t="n"/>
      <c r="B452" s="59" t="n"/>
      <c r="C452" s="59" t="n"/>
      <c r="E452" s="16" t="n"/>
      <c r="F452" s="13" t="n"/>
      <c r="G452" s="16" t="n"/>
      <c r="H452" s="125" t="n"/>
      <c r="I452" s="14" t="n"/>
      <c r="J452" s="16" t="n"/>
      <c r="K452" s="125" t="n"/>
      <c r="L452" s="14" t="n"/>
      <c r="M452" s="16" t="n"/>
      <c r="N452" s="125" t="n"/>
      <c r="O452" s="14" t="n"/>
      <c r="P452" s="16" t="n"/>
      <c r="Q452" s="125" t="n"/>
      <c r="R452" s="14" t="n"/>
      <c r="S452" s="16" t="n"/>
      <c r="T452" s="125" t="n"/>
      <c r="U452" s="14" t="n"/>
      <c r="V452" s="16" t="n"/>
      <c r="W452" s="125" t="n"/>
      <c r="X452" s="14" t="n"/>
      <c r="Y452" s="16" t="n"/>
      <c r="Z452" s="125" t="n"/>
      <c r="AA452" s="14" t="n"/>
      <c r="AB452" s="16" t="n"/>
      <c r="AC452" s="125" t="n"/>
      <c r="AD452" s="14" t="n"/>
    </row>
    <row r="453">
      <c r="A453" s="58" t="n"/>
      <c r="B453" s="59" t="n"/>
      <c r="C453" s="59" t="n"/>
      <c r="E453" s="16" t="n"/>
      <c r="F453" s="13" t="n"/>
      <c r="G453" s="16" t="n"/>
      <c r="H453" s="125" t="n"/>
      <c r="I453" s="14" t="n"/>
      <c r="J453" s="16" t="n"/>
      <c r="K453" s="125" t="n"/>
      <c r="L453" s="14" t="n"/>
      <c r="M453" s="16" t="n"/>
      <c r="N453" s="125" t="n"/>
      <c r="O453" s="14" t="n"/>
      <c r="P453" s="16" t="n"/>
      <c r="Q453" s="125" t="n"/>
      <c r="R453" s="14" t="n"/>
      <c r="S453" s="16" t="n"/>
      <c r="T453" s="125" t="n"/>
      <c r="U453" s="14" t="n"/>
      <c r="V453" s="16" t="n"/>
      <c r="W453" s="125" t="n"/>
      <c r="X453" s="14" t="n"/>
      <c r="Y453" s="16" t="n"/>
      <c r="Z453" s="125" t="n"/>
      <c r="AA453" s="14" t="n"/>
      <c r="AB453" s="16" t="n"/>
      <c r="AC453" s="125" t="n"/>
      <c r="AD453" s="14" t="n"/>
    </row>
    <row r="454">
      <c r="A454" s="56" t="n"/>
      <c r="B454" s="59" t="n"/>
      <c r="C454" s="59" t="n"/>
      <c r="E454" s="16" t="n"/>
      <c r="F454" s="13" t="n"/>
      <c r="G454" s="16" t="n"/>
      <c r="H454" s="125" t="n"/>
      <c r="I454" s="14" t="n"/>
      <c r="J454" s="16" t="n"/>
      <c r="K454" s="125" t="n"/>
      <c r="L454" s="14" t="n"/>
      <c r="M454" s="16" t="n"/>
      <c r="N454" s="125" t="n"/>
      <c r="O454" s="14" t="n"/>
      <c r="P454" s="16" t="n"/>
      <c r="Q454" s="125" t="n"/>
      <c r="R454" s="14" t="n"/>
      <c r="S454" s="16" t="n"/>
      <c r="T454" s="125" t="n"/>
      <c r="U454" s="14" t="n"/>
      <c r="V454" s="16" t="n"/>
      <c r="W454" s="125" t="n"/>
      <c r="X454" s="14" t="n"/>
      <c r="Y454" s="16" t="n"/>
      <c r="Z454" s="125" t="n"/>
      <c r="AA454" s="14" t="n"/>
      <c r="AB454" s="16" t="n"/>
      <c r="AC454" s="125" t="n"/>
      <c r="AD454" s="14" t="n"/>
    </row>
    <row r="455">
      <c r="A455" s="58" t="n"/>
      <c r="B455" s="59" t="n"/>
      <c r="C455" s="59" t="n"/>
      <c r="E455" s="16" t="n"/>
      <c r="F455" s="13" t="n"/>
      <c r="G455" s="16" t="n"/>
      <c r="H455" s="125" t="n"/>
      <c r="I455" s="14" t="n"/>
      <c r="J455" s="16" t="n"/>
      <c r="K455" s="125" t="n"/>
      <c r="L455" s="14" t="n"/>
      <c r="M455" s="16" t="n"/>
      <c r="N455" s="125" t="n"/>
      <c r="O455" s="14" t="n"/>
      <c r="P455" s="16" t="n"/>
      <c r="Q455" s="125" t="n"/>
      <c r="R455" s="14" t="n"/>
      <c r="S455" s="16" t="n"/>
      <c r="T455" s="125" t="n"/>
      <c r="U455" s="14" t="n"/>
      <c r="V455" s="16" t="n"/>
      <c r="W455" s="125" t="n"/>
      <c r="X455" s="14" t="n"/>
      <c r="Y455" s="16" t="n"/>
      <c r="Z455" s="125" t="n"/>
      <c r="AA455" s="14" t="n"/>
      <c r="AB455" s="16" t="n"/>
      <c r="AC455" s="125" t="n"/>
      <c r="AD455" s="14" t="n"/>
    </row>
    <row r="456">
      <c r="A456" s="56" t="n"/>
      <c r="B456" s="59" t="n"/>
      <c r="C456" s="59" t="n"/>
      <c r="E456" s="16" t="n"/>
      <c r="F456" s="13" t="n"/>
      <c r="G456" s="16" t="n"/>
      <c r="H456" s="125" t="n"/>
      <c r="I456" s="14" t="n"/>
      <c r="J456" s="16" t="n"/>
      <c r="K456" s="125" t="n"/>
      <c r="L456" s="14" t="n"/>
      <c r="M456" s="16" t="n"/>
      <c r="N456" s="125" t="n"/>
      <c r="O456" s="14" t="n"/>
      <c r="P456" s="16" t="n"/>
      <c r="Q456" s="125" t="n"/>
      <c r="R456" s="14" t="n"/>
      <c r="S456" s="16" t="n"/>
      <c r="T456" s="125" t="n"/>
      <c r="U456" s="14" t="n"/>
      <c r="V456" s="16" t="n"/>
      <c r="W456" s="125" t="n"/>
      <c r="X456" s="14" t="n"/>
      <c r="Y456" s="16" t="n"/>
      <c r="Z456" s="125" t="n"/>
      <c r="AA456" s="14" t="n"/>
      <c r="AB456" s="16" t="n"/>
      <c r="AC456" s="125" t="n"/>
      <c r="AD456" s="14" t="n"/>
    </row>
    <row r="457">
      <c r="A457" s="58" t="n"/>
      <c r="B457" s="59" t="n"/>
      <c r="C457" s="59" t="n"/>
      <c r="E457" s="16" t="n"/>
      <c r="F457" s="13" t="n"/>
      <c r="G457" s="16" t="n"/>
      <c r="H457" s="125" t="n"/>
      <c r="I457" s="14" t="n"/>
      <c r="J457" s="16" t="n"/>
      <c r="K457" s="125" t="n"/>
      <c r="L457" s="14" t="n"/>
      <c r="M457" s="16" t="n"/>
      <c r="N457" s="125" t="n"/>
      <c r="O457" s="14" t="n"/>
      <c r="P457" s="16" t="n"/>
      <c r="Q457" s="125" t="n"/>
      <c r="R457" s="14" t="n"/>
      <c r="S457" s="16" t="n"/>
      <c r="T457" s="125" t="n"/>
      <c r="U457" s="14" t="n"/>
      <c r="V457" s="16" t="n"/>
      <c r="W457" s="125" t="n"/>
      <c r="X457" s="14" t="n"/>
      <c r="Y457" s="16" t="n"/>
      <c r="Z457" s="125" t="n"/>
      <c r="AA457" s="14" t="n"/>
      <c r="AB457" s="16" t="n"/>
      <c r="AC457" s="125" t="n"/>
      <c r="AD457" s="14" t="n"/>
    </row>
    <row r="458">
      <c r="A458" s="56" t="n"/>
      <c r="B458" s="59" t="n"/>
      <c r="C458" s="59" t="n"/>
      <c r="E458" s="16" t="n"/>
      <c r="F458" s="13" t="n"/>
      <c r="G458" s="16" t="n"/>
      <c r="H458" s="125" t="n"/>
      <c r="I458" s="14" t="n"/>
      <c r="J458" s="16" t="n"/>
      <c r="K458" s="125" t="n"/>
      <c r="L458" s="14" t="n"/>
      <c r="M458" s="16" t="n"/>
      <c r="N458" s="125" t="n"/>
      <c r="O458" s="14" t="n"/>
      <c r="P458" s="16" t="n"/>
      <c r="Q458" s="125" t="n"/>
      <c r="R458" s="14" t="n"/>
      <c r="S458" s="16" t="n"/>
      <c r="T458" s="125" t="n"/>
      <c r="U458" s="14" t="n"/>
      <c r="V458" s="16" t="n"/>
      <c r="W458" s="125" t="n"/>
      <c r="X458" s="14" t="n"/>
      <c r="Y458" s="16" t="n"/>
      <c r="Z458" s="125" t="n"/>
      <c r="AA458" s="14" t="n"/>
      <c r="AB458" s="16" t="n"/>
      <c r="AC458" s="125" t="n"/>
      <c r="AD458" s="14" t="n"/>
    </row>
    <row r="459">
      <c r="A459" s="58" t="n"/>
      <c r="B459" s="59" t="n"/>
      <c r="C459" s="59" t="n"/>
      <c r="E459" s="16" t="n"/>
      <c r="F459" s="13" t="n"/>
      <c r="G459" s="16" t="n"/>
      <c r="H459" s="125" t="n"/>
      <c r="I459" s="14" t="n"/>
      <c r="J459" s="16" t="n"/>
      <c r="K459" s="125" t="n"/>
      <c r="L459" s="14" t="n"/>
      <c r="M459" s="16" t="n"/>
      <c r="N459" s="125" t="n"/>
      <c r="O459" s="14" t="n"/>
      <c r="P459" s="16" t="n"/>
      <c r="Q459" s="125" t="n"/>
      <c r="R459" s="14" t="n"/>
      <c r="S459" s="16" t="n"/>
      <c r="T459" s="125" t="n"/>
      <c r="U459" s="14" t="n"/>
      <c r="V459" s="16" t="n"/>
      <c r="W459" s="125" t="n"/>
      <c r="X459" s="14" t="n"/>
      <c r="Y459" s="16" t="n"/>
      <c r="Z459" s="125" t="n"/>
      <c r="AA459" s="14" t="n"/>
      <c r="AB459" s="16" t="n"/>
      <c r="AC459" s="125" t="n"/>
      <c r="AD459" s="14" t="n"/>
    </row>
    <row r="460">
      <c r="A460" s="56" t="n"/>
      <c r="B460" s="59" t="n"/>
      <c r="C460" s="59" t="n"/>
      <c r="E460" s="16" t="n"/>
      <c r="F460" s="13" t="n"/>
      <c r="G460" s="16" t="n"/>
      <c r="H460" s="125" t="n"/>
      <c r="I460" s="14" t="n"/>
      <c r="J460" s="16" t="n"/>
      <c r="K460" s="125" t="n"/>
      <c r="L460" s="14" t="n"/>
      <c r="M460" s="16" t="n"/>
      <c r="N460" s="125" t="n"/>
      <c r="O460" s="14" t="n"/>
      <c r="P460" s="16" t="n"/>
      <c r="Q460" s="125" t="n"/>
      <c r="R460" s="14" t="n"/>
      <c r="S460" s="16" t="n"/>
      <c r="T460" s="125" t="n"/>
      <c r="U460" s="14" t="n"/>
      <c r="V460" s="16" t="n"/>
      <c r="W460" s="125" t="n"/>
      <c r="X460" s="14" t="n"/>
      <c r="Y460" s="16" t="n"/>
      <c r="Z460" s="125" t="n"/>
      <c r="AA460" s="14" t="n"/>
      <c r="AB460" s="16" t="n"/>
      <c r="AC460" s="125" t="n"/>
      <c r="AD460" s="14" t="n"/>
    </row>
    <row r="461">
      <c r="A461" s="58" t="n"/>
      <c r="B461" s="59" t="n"/>
      <c r="C461" s="59" t="n"/>
      <c r="E461" s="16" t="n"/>
      <c r="F461" s="13" t="n"/>
      <c r="G461" s="16" t="n"/>
      <c r="H461" s="125" t="n"/>
      <c r="I461" s="14" t="n"/>
      <c r="J461" s="16" t="n"/>
      <c r="K461" s="125" t="n"/>
      <c r="L461" s="14" t="n"/>
      <c r="M461" s="16" t="n"/>
      <c r="N461" s="125" t="n"/>
      <c r="O461" s="14" t="n"/>
      <c r="P461" s="16" t="n"/>
      <c r="Q461" s="125" t="n"/>
      <c r="R461" s="14" t="n"/>
      <c r="S461" s="16" t="n"/>
      <c r="T461" s="125" t="n"/>
      <c r="U461" s="14" t="n"/>
      <c r="V461" s="16" t="n"/>
      <c r="W461" s="125" t="n"/>
      <c r="X461" s="14" t="n"/>
      <c r="Y461" s="16" t="n"/>
      <c r="Z461" s="125" t="n"/>
      <c r="AA461" s="14" t="n"/>
      <c r="AB461" s="16" t="n"/>
      <c r="AC461" s="125" t="n"/>
      <c r="AD461" s="14" t="n"/>
    </row>
    <row r="462">
      <c r="A462" s="56" t="n"/>
      <c r="B462" s="59" t="n"/>
      <c r="C462" s="59" t="n"/>
      <c r="E462" s="16" t="n"/>
      <c r="F462" s="13" t="n"/>
      <c r="G462" s="16" t="n"/>
      <c r="H462" s="125" t="n"/>
      <c r="I462" s="14" t="n"/>
      <c r="J462" s="16" t="n"/>
      <c r="K462" s="125" t="n"/>
      <c r="L462" s="14" t="n"/>
      <c r="M462" s="16" t="n"/>
      <c r="N462" s="125" t="n"/>
      <c r="O462" s="14" t="n"/>
      <c r="P462" s="16" t="n"/>
      <c r="Q462" s="125" t="n"/>
      <c r="R462" s="14" t="n"/>
      <c r="S462" s="16" t="n"/>
      <c r="T462" s="125" t="n"/>
      <c r="U462" s="14" t="n"/>
      <c r="V462" s="16" t="n"/>
      <c r="W462" s="125" t="n"/>
      <c r="X462" s="14" t="n"/>
      <c r="Y462" s="16" t="n"/>
      <c r="Z462" s="125" t="n"/>
      <c r="AA462" s="14" t="n"/>
      <c r="AB462" s="16" t="n"/>
      <c r="AC462" s="125" t="n"/>
      <c r="AD462" s="14" t="n"/>
    </row>
    <row r="463">
      <c r="A463" s="58" t="n"/>
      <c r="B463" s="59" t="n"/>
      <c r="C463" s="59" t="n"/>
      <c r="E463" s="16" t="n"/>
      <c r="F463" s="13" t="n"/>
      <c r="G463" s="16" t="n"/>
      <c r="H463" s="125" t="n"/>
      <c r="I463" s="14" t="n"/>
      <c r="J463" s="16" t="n"/>
      <c r="K463" s="125" t="n"/>
      <c r="L463" s="14" t="n"/>
      <c r="M463" s="16" t="n"/>
      <c r="N463" s="125" t="n"/>
      <c r="O463" s="14" t="n"/>
      <c r="P463" s="16" t="n"/>
      <c r="Q463" s="125" t="n"/>
      <c r="R463" s="14" t="n"/>
      <c r="S463" s="16" t="n"/>
      <c r="T463" s="125" t="n"/>
      <c r="U463" s="14" t="n"/>
      <c r="V463" s="16" t="n"/>
      <c r="W463" s="125" t="n"/>
      <c r="X463" s="14" t="n"/>
      <c r="Y463" s="16" t="n"/>
      <c r="Z463" s="125" t="n"/>
      <c r="AA463" s="14" t="n"/>
      <c r="AB463" s="16" t="n"/>
      <c r="AC463" s="125" t="n"/>
      <c r="AD463" s="14" t="n"/>
    </row>
    <row r="464">
      <c r="A464" s="56" t="n"/>
      <c r="B464" s="59" t="n"/>
      <c r="C464" s="59" t="n"/>
      <c r="E464" s="16" t="n"/>
      <c r="F464" s="13" t="n"/>
      <c r="G464" s="16" t="n"/>
      <c r="H464" s="125" t="n"/>
      <c r="I464" s="14" t="n"/>
      <c r="J464" s="16" t="n"/>
      <c r="K464" s="125" t="n"/>
      <c r="L464" s="14" t="n"/>
      <c r="M464" s="16" t="n"/>
      <c r="N464" s="125" t="n"/>
      <c r="O464" s="14" t="n"/>
      <c r="P464" s="16" t="n"/>
      <c r="Q464" s="125" t="n"/>
      <c r="R464" s="14" t="n"/>
      <c r="S464" s="16" t="n"/>
      <c r="T464" s="125" t="n"/>
      <c r="U464" s="14" t="n"/>
      <c r="V464" s="16" t="n"/>
      <c r="W464" s="125" t="n"/>
      <c r="X464" s="14" t="n"/>
      <c r="Y464" s="16" t="n"/>
      <c r="Z464" s="125" t="n"/>
      <c r="AA464" s="14" t="n"/>
      <c r="AB464" s="16" t="n"/>
      <c r="AC464" s="125" t="n"/>
      <c r="AD464" s="14" t="n"/>
    </row>
    <row r="465">
      <c r="A465" s="58" t="n"/>
      <c r="B465" s="59" t="n"/>
      <c r="C465" s="59" t="n"/>
      <c r="E465" s="16" t="n"/>
      <c r="F465" s="13" t="n"/>
      <c r="G465" s="16" t="n"/>
      <c r="H465" s="125" t="n"/>
      <c r="I465" s="14" t="n"/>
      <c r="J465" s="16" t="n"/>
      <c r="K465" s="125" t="n"/>
      <c r="L465" s="14" t="n"/>
      <c r="M465" s="16" t="n"/>
      <c r="N465" s="125" t="n"/>
      <c r="O465" s="14" t="n"/>
      <c r="P465" s="16" t="n"/>
      <c r="Q465" s="125" t="n"/>
      <c r="R465" s="14" t="n"/>
      <c r="S465" s="16" t="n"/>
      <c r="T465" s="125" t="n"/>
      <c r="U465" s="14" t="n"/>
      <c r="V465" s="16" t="n"/>
      <c r="W465" s="125" t="n"/>
      <c r="X465" s="14" t="n"/>
      <c r="Y465" s="16" t="n"/>
      <c r="Z465" s="125" t="n"/>
      <c r="AA465" s="14" t="n"/>
      <c r="AB465" s="16" t="n"/>
      <c r="AC465" s="125" t="n"/>
      <c r="AD465" s="14" t="n"/>
    </row>
    <row r="466">
      <c r="A466" s="56" t="n"/>
      <c r="B466" s="59" t="n"/>
      <c r="C466" s="59" t="n"/>
      <c r="E466" s="16" t="n"/>
      <c r="F466" s="13" t="n"/>
      <c r="G466" s="16" t="n"/>
      <c r="H466" s="125" t="n"/>
      <c r="I466" s="14" t="n"/>
      <c r="J466" s="16" t="n"/>
      <c r="K466" s="125" t="n"/>
      <c r="L466" s="14" t="n"/>
      <c r="M466" s="16" t="n"/>
      <c r="N466" s="125" t="n"/>
      <c r="O466" s="14" t="n"/>
      <c r="P466" s="16" t="n"/>
      <c r="Q466" s="125" t="n"/>
      <c r="R466" s="14" t="n"/>
      <c r="S466" s="16" t="n"/>
      <c r="T466" s="125" t="n"/>
      <c r="U466" s="14" t="n"/>
      <c r="V466" s="16" t="n"/>
      <c r="W466" s="125" t="n"/>
      <c r="X466" s="14" t="n"/>
      <c r="Y466" s="16" t="n"/>
      <c r="Z466" s="125" t="n"/>
      <c r="AA466" s="14" t="n"/>
      <c r="AB466" s="16" t="n"/>
      <c r="AC466" s="125" t="n"/>
      <c r="AD466" s="14" t="n"/>
    </row>
    <row r="467">
      <c r="A467" s="58" t="n"/>
      <c r="B467" s="59" t="n"/>
      <c r="C467" s="59" t="n"/>
      <c r="E467" s="16" t="n"/>
      <c r="F467" s="13" t="n"/>
      <c r="G467" s="16" t="n"/>
      <c r="H467" s="125" t="n"/>
      <c r="I467" s="14" t="n"/>
      <c r="J467" s="16" t="n"/>
      <c r="K467" s="125" t="n"/>
      <c r="L467" s="14" t="n"/>
      <c r="M467" s="16" t="n"/>
      <c r="N467" s="125" t="n"/>
      <c r="O467" s="14" t="n"/>
      <c r="P467" s="16" t="n"/>
      <c r="Q467" s="125" t="n"/>
      <c r="R467" s="14" t="n"/>
      <c r="S467" s="16" t="n"/>
      <c r="T467" s="125" t="n"/>
      <c r="U467" s="14" t="n"/>
      <c r="V467" s="16" t="n"/>
      <c r="W467" s="125" t="n"/>
      <c r="X467" s="14" t="n"/>
      <c r="Y467" s="16" t="n"/>
      <c r="Z467" s="125" t="n"/>
      <c r="AA467" s="14" t="n"/>
      <c r="AB467" s="16" t="n"/>
      <c r="AC467" s="125" t="n"/>
      <c r="AD467" s="14" t="n"/>
    </row>
    <row r="468">
      <c r="A468" s="56" t="n"/>
      <c r="B468" s="59" t="n"/>
      <c r="C468" s="59" t="n"/>
      <c r="E468" s="16" t="n"/>
      <c r="F468" s="13" t="n"/>
      <c r="G468" s="16" t="n"/>
      <c r="H468" s="125" t="n"/>
      <c r="I468" s="14" t="n"/>
      <c r="J468" s="16" t="n"/>
      <c r="K468" s="125" t="n"/>
      <c r="L468" s="14" t="n"/>
      <c r="M468" s="16" t="n"/>
      <c r="N468" s="125" t="n"/>
      <c r="O468" s="14" t="n"/>
      <c r="P468" s="16" t="n"/>
      <c r="Q468" s="125" t="n"/>
      <c r="R468" s="14" t="n"/>
      <c r="S468" s="16" t="n"/>
      <c r="T468" s="125" t="n"/>
      <c r="U468" s="14" t="n"/>
      <c r="V468" s="16" t="n"/>
      <c r="W468" s="125" t="n"/>
      <c r="X468" s="14" t="n"/>
      <c r="Y468" s="16" t="n"/>
      <c r="Z468" s="125" t="n"/>
      <c r="AA468" s="14" t="n"/>
      <c r="AB468" s="16" t="n"/>
      <c r="AC468" s="125" t="n"/>
      <c r="AD468" s="14" t="n"/>
    </row>
    <row r="469">
      <c r="A469" s="58" t="n"/>
      <c r="B469" s="59" t="n"/>
      <c r="C469" s="59" t="n"/>
      <c r="E469" s="16" t="n"/>
      <c r="F469" s="13" t="n"/>
      <c r="G469" s="16" t="n"/>
      <c r="H469" s="125" t="n"/>
      <c r="I469" s="14" t="n"/>
      <c r="J469" s="16" t="n"/>
      <c r="K469" s="125" t="n"/>
      <c r="L469" s="14" t="n"/>
      <c r="M469" s="16" t="n"/>
      <c r="N469" s="125" t="n"/>
      <c r="O469" s="14" t="n"/>
      <c r="P469" s="16" t="n"/>
      <c r="Q469" s="125" t="n"/>
      <c r="R469" s="14" t="n"/>
      <c r="S469" s="16" t="n"/>
      <c r="T469" s="125" t="n"/>
      <c r="U469" s="14" t="n"/>
      <c r="V469" s="16" t="n"/>
      <c r="W469" s="125" t="n"/>
      <c r="X469" s="14" t="n"/>
      <c r="Y469" s="16" t="n"/>
      <c r="Z469" s="125" t="n"/>
      <c r="AA469" s="14" t="n"/>
      <c r="AB469" s="16" t="n"/>
      <c r="AC469" s="125" t="n"/>
      <c r="AD469" s="14" t="n"/>
    </row>
    <row r="470">
      <c r="A470" s="56" t="n"/>
      <c r="B470" s="59" t="n"/>
      <c r="C470" s="59" t="n"/>
      <c r="E470" s="16" t="n"/>
      <c r="F470" s="13" t="n"/>
      <c r="G470" s="16" t="n"/>
      <c r="H470" s="125" t="n"/>
      <c r="I470" s="14" t="n"/>
      <c r="J470" s="16" t="n"/>
      <c r="K470" s="125" t="n"/>
      <c r="L470" s="14" t="n"/>
      <c r="M470" s="16" t="n"/>
      <c r="N470" s="125" t="n"/>
      <c r="O470" s="14" t="n"/>
      <c r="P470" s="16" t="n"/>
      <c r="Q470" s="125" t="n"/>
      <c r="R470" s="14" t="n"/>
      <c r="S470" s="16" t="n"/>
      <c r="T470" s="125" t="n"/>
      <c r="U470" s="14" t="n"/>
      <c r="V470" s="16" t="n"/>
      <c r="W470" s="125" t="n"/>
      <c r="X470" s="14" t="n"/>
      <c r="Y470" s="16" t="n"/>
      <c r="Z470" s="125" t="n"/>
      <c r="AA470" s="14" t="n"/>
      <c r="AB470" s="16" t="n"/>
      <c r="AC470" s="125" t="n"/>
      <c r="AD470" s="14" t="n"/>
    </row>
    <row r="471">
      <c r="A471" s="58" t="n"/>
      <c r="B471" s="59" t="n"/>
      <c r="C471" s="59" t="n"/>
      <c r="E471" s="16" t="n"/>
      <c r="F471" s="13" t="n"/>
      <c r="G471" s="16" t="n"/>
      <c r="H471" s="125" t="n"/>
      <c r="I471" s="14" t="n"/>
      <c r="J471" s="16" t="n"/>
      <c r="K471" s="125" t="n"/>
      <c r="L471" s="14" t="n"/>
      <c r="M471" s="16" t="n"/>
      <c r="N471" s="125" t="n"/>
      <c r="O471" s="14" t="n"/>
      <c r="P471" s="16" t="n"/>
      <c r="Q471" s="125" t="n"/>
      <c r="R471" s="14" t="n"/>
      <c r="S471" s="16" t="n"/>
      <c r="T471" s="125" t="n"/>
      <c r="U471" s="14" t="n"/>
      <c r="V471" s="16" t="n"/>
      <c r="W471" s="125" t="n"/>
      <c r="X471" s="14" t="n"/>
      <c r="Y471" s="16" t="n"/>
      <c r="Z471" s="125" t="n"/>
      <c r="AA471" s="14" t="n"/>
      <c r="AB471" s="16" t="n"/>
      <c r="AC471" s="125" t="n"/>
      <c r="AD471" s="14" t="n"/>
    </row>
    <row r="472">
      <c r="A472" s="56" t="n"/>
      <c r="B472" s="59" t="n"/>
      <c r="C472" s="59" t="n"/>
      <c r="E472" s="16" t="n"/>
      <c r="F472" s="13" t="n"/>
      <c r="G472" s="16" t="n"/>
      <c r="H472" s="125" t="n"/>
      <c r="I472" s="14" t="n"/>
      <c r="J472" s="16" t="n"/>
      <c r="K472" s="125" t="n"/>
      <c r="L472" s="14" t="n"/>
      <c r="M472" s="16" t="n"/>
      <c r="N472" s="125" t="n"/>
      <c r="O472" s="14" t="n"/>
      <c r="P472" s="16" t="n"/>
      <c r="Q472" s="125" t="n"/>
      <c r="R472" s="14" t="n"/>
      <c r="S472" s="16" t="n"/>
      <c r="T472" s="125" t="n"/>
      <c r="U472" s="14" t="n"/>
      <c r="V472" s="16" t="n"/>
      <c r="W472" s="125" t="n"/>
      <c r="X472" s="14" t="n"/>
      <c r="Y472" s="16" t="n"/>
      <c r="Z472" s="125" t="n"/>
      <c r="AA472" s="14" t="n"/>
      <c r="AB472" s="16" t="n"/>
      <c r="AC472" s="125" t="n"/>
      <c r="AD472" s="14" t="n"/>
    </row>
    <row r="473">
      <c r="A473" s="58" t="n"/>
      <c r="B473" s="59" t="n"/>
      <c r="C473" s="59" t="n"/>
      <c r="E473" s="16" t="n"/>
      <c r="F473" s="13" t="n"/>
      <c r="G473" s="16" t="n"/>
      <c r="H473" s="125" t="n"/>
      <c r="I473" s="14" t="n"/>
      <c r="J473" s="16" t="n"/>
      <c r="K473" s="125" t="n"/>
      <c r="L473" s="14" t="n"/>
      <c r="M473" s="16" t="n"/>
      <c r="N473" s="125" t="n"/>
      <c r="O473" s="14" t="n"/>
      <c r="P473" s="16" t="n"/>
      <c r="Q473" s="125" t="n"/>
      <c r="R473" s="14" t="n"/>
      <c r="S473" s="16" t="n"/>
      <c r="T473" s="125" t="n"/>
      <c r="U473" s="14" t="n"/>
      <c r="V473" s="16" t="n"/>
      <c r="W473" s="125" t="n"/>
      <c r="X473" s="14" t="n"/>
      <c r="Y473" s="16" t="n"/>
      <c r="Z473" s="125" t="n"/>
      <c r="AA473" s="14" t="n"/>
      <c r="AB473" s="16" t="n"/>
      <c r="AC473" s="125" t="n"/>
      <c r="AD473" s="14" t="n"/>
    </row>
    <row r="474">
      <c r="A474" s="56" t="n"/>
      <c r="B474" s="59" t="n"/>
      <c r="C474" s="59" t="n"/>
      <c r="E474" s="16" t="n"/>
      <c r="F474" s="13" t="n"/>
      <c r="G474" s="16" t="n"/>
      <c r="H474" s="125" t="n"/>
      <c r="I474" s="14" t="n"/>
      <c r="J474" s="16" t="n"/>
      <c r="K474" s="125" t="n"/>
      <c r="L474" s="14" t="n"/>
      <c r="M474" s="16" t="n"/>
      <c r="N474" s="125" t="n"/>
      <c r="O474" s="14" t="n"/>
      <c r="P474" s="16" t="n"/>
      <c r="Q474" s="125" t="n"/>
      <c r="R474" s="14" t="n"/>
      <c r="S474" s="16" t="n"/>
      <c r="T474" s="125" t="n"/>
      <c r="U474" s="14" t="n"/>
      <c r="V474" s="16" t="n"/>
      <c r="W474" s="125" t="n"/>
      <c r="X474" s="14" t="n"/>
      <c r="Y474" s="16" t="n"/>
      <c r="Z474" s="125" t="n"/>
      <c r="AA474" s="14" t="n"/>
      <c r="AB474" s="16" t="n"/>
      <c r="AC474" s="125" t="n"/>
      <c r="AD474" s="14" t="n"/>
    </row>
    <row r="475">
      <c r="A475" s="58" t="n"/>
      <c r="B475" s="59" t="n"/>
      <c r="C475" s="59" t="n"/>
      <c r="E475" s="16" t="n"/>
      <c r="F475" s="13" t="n"/>
      <c r="G475" s="16" t="n"/>
      <c r="H475" s="125" t="n"/>
      <c r="I475" s="14" t="n"/>
      <c r="J475" s="16" t="n"/>
      <c r="K475" s="125" t="n"/>
      <c r="L475" s="14" t="n"/>
      <c r="M475" s="16" t="n"/>
      <c r="N475" s="125" t="n"/>
      <c r="O475" s="14" t="n"/>
      <c r="P475" s="16" t="n"/>
      <c r="Q475" s="125" t="n"/>
      <c r="R475" s="14" t="n"/>
      <c r="S475" s="16" t="n"/>
      <c r="T475" s="125" t="n"/>
      <c r="U475" s="14" t="n"/>
      <c r="V475" s="16" t="n"/>
      <c r="W475" s="125" t="n"/>
      <c r="X475" s="14" t="n"/>
      <c r="Y475" s="16" t="n"/>
      <c r="Z475" s="125" t="n"/>
      <c r="AA475" s="14" t="n"/>
      <c r="AB475" s="16" t="n"/>
      <c r="AC475" s="125" t="n"/>
      <c r="AD475" s="14" t="n"/>
    </row>
    <row r="476">
      <c r="A476" s="56" t="n"/>
      <c r="B476" s="59" t="n"/>
      <c r="C476" s="59" t="n"/>
      <c r="E476" s="16" t="n"/>
      <c r="F476" s="13" t="n"/>
      <c r="G476" s="16" t="n"/>
      <c r="H476" s="125" t="n"/>
      <c r="I476" s="14" t="n"/>
      <c r="J476" s="16" t="n"/>
      <c r="K476" s="125" t="n"/>
      <c r="L476" s="14" t="n"/>
      <c r="M476" s="16" t="n"/>
      <c r="N476" s="125" t="n"/>
      <c r="O476" s="14" t="n"/>
      <c r="P476" s="16" t="n"/>
      <c r="Q476" s="125" t="n"/>
      <c r="R476" s="14" t="n"/>
      <c r="S476" s="16" t="n"/>
      <c r="T476" s="125" t="n"/>
      <c r="U476" s="14" t="n"/>
      <c r="V476" s="16" t="n"/>
      <c r="W476" s="125" t="n"/>
      <c r="X476" s="14" t="n"/>
      <c r="Y476" s="16" t="n"/>
      <c r="Z476" s="125" t="n"/>
      <c r="AA476" s="14" t="n"/>
      <c r="AB476" s="16" t="n"/>
      <c r="AC476" s="125" t="n"/>
      <c r="AD476" s="14" t="n"/>
    </row>
    <row r="477">
      <c r="A477" s="58" t="n"/>
      <c r="B477" s="59" t="n"/>
      <c r="C477" s="59" t="n"/>
      <c r="E477" s="16" t="n"/>
      <c r="F477" s="13" t="n"/>
      <c r="G477" s="16" t="n"/>
      <c r="H477" s="125" t="n"/>
      <c r="I477" s="14" t="n"/>
      <c r="J477" s="16" t="n"/>
      <c r="K477" s="125" t="n"/>
      <c r="L477" s="14" t="n"/>
      <c r="M477" s="16" t="n"/>
      <c r="N477" s="125" t="n"/>
      <c r="O477" s="14" t="n"/>
      <c r="P477" s="16" t="n"/>
      <c r="Q477" s="125" t="n"/>
      <c r="R477" s="14" t="n"/>
      <c r="S477" s="16" t="n"/>
      <c r="T477" s="125" t="n"/>
      <c r="U477" s="14" t="n"/>
      <c r="V477" s="16" t="n"/>
      <c r="W477" s="125" t="n"/>
      <c r="X477" s="14" t="n"/>
      <c r="Y477" s="16" t="n"/>
      <c r="Z477" s="125" t="n"/>
      <c r="AA477" s="14" t="n"/>
      <c r="AB477" s="16" t="n"/>
      <c r="AC477" s="125" t="n"/>
      <c r="AD477" s="14" t="n"/>
    </row>
    <row r="478">
      <c r="A478" s="56" t="n"/>
      <c r="B478" s="59" t="n"/>
      <c r="C478" s="59" t="n"/>
      <c r="E478" s="16" t="n"/>
      <c r="F478" s="13" t="n"/>
      <c r="G478" s="16" t="n"/>
      <c r="H478" s="125" t="n"/>
      <c r="I478" s="14" t="n"/>
      <c r="J478" s="16" t="n"/>
      <c r="K478" s="125" t="n"/>
      <c r="L478" s="14" t="n"/>
      <c r="M478" s="16" t="n"/>
      <c r="N478" s="125" t="n"/>
      <c r="O478" s="14" t="n"/>
      <c r="P478" s="16" t="n"/>
      <c r="Q478" s="125" t="n"/>
      <c r="R478" s="14" t="n"/>
      <c r="S478" s="16" t="n"/>
      <c r="T478" s="125" t="n"/>
      <c r="U478" s="14" t="n"/>
      <c r="V478" s="16" t="n"/>
      <c r="W478" s="125" t="n"/>
      <c r="X478" s="14" t="n"/>
      <c r="Y478" s="16" t="n"/>
      <c r="Z478" s="125" t="n"/>
      <c r="AA478" s="14" t="n"/>
      <c r="AB478" s="16" t="n"/>
      <c r="AC478" s="125" t="n"/>
      <c r="AD478" s="14" t="n"/>
    </row>
    <row r="479">
      <c r="A479" s="58" t="n"/>
      <c r="B479" s="59" t="n"/>
      <c r="C479" s="59" t="n"/>
      <c r="E479" s="16" t="n"/>
      <c r="F479" s="13" t="n"/>
      <c r="G479" s="16" t="n"/>
      <c r="H479" s="125" t="n"/>
      <c r="I479" s="14" t="n"/>
      <c r="J479" s="16" t="n"/>
      <c r="K479" s="125" t="n"/>
      <c r="L479" s="14" t="n"/>
      <c r="M479" s="16" t="n"/>
      <c r="N479" s="125" t="n"/>
      <c r="O479" s="14" t="n"/>
      <c r="P479" s="16" t="n"/>
      <c r="Q479" s="125" t="n"/>
      <c r="R479" s="14" t="n"/>
      <c r="S479" s="16" t="n"/>
      <c r="T479" s="125" t="n"/>
      <c r="U479" s="14" t="n"/>
      <c r="V479" s="16" t="n"/>
      <c r="W479" s="125" t="n"/>
      <c r="X479" s="14" t="n"/>
      <c r="Y479" s="16" t="n"/>
      <c r="Z479" s="125" t="n"/>
      <c r="AA479" s="14" t="n"/>
      <c r="AB479" s="16" t="n"/>
      <c r="AC479" s="125" t="n"/>
      <c r="AD479" s="14" t="n"/>
    </row>
    <row r="480">
      <c r="A480" s="56" t="n"/>
      <c r="B480" s="59" t="n"/>
      <c r="C480" s="59" t="n"/>
      <c r="E480" s="16" t="n"/>
      <c r="F480" s="13" t="n"/>
      <c r="G480" s="16" t="n"/>
      <c r="H480" s="125" t="n"/>
      <c r="I480" s="14" t="n"/>
      <c r="J480" s="16" t="n"/>
      <c r="K480" s="125" t="n"/>
      <c r="L480" s="14" t="n"/>
      <c r="M480" s="16" t="n"/>
      <c r="N480" s="125" t="n"/>
      <c r="O480" s="14" t="n"/>
      <c r="P480" s="16" t="n"/>
      <c r="Q480" s="125" t="n"/>
      <c r="R480" s="14" t="n"/>
      <c r="S480" s="16" t="n"/>
      <c r="T480" s="125" t="n"/>
      <c r="U480" s="14" t="n"/>
      <c r="V480" s="16" t="n"/>
      <c r="W480" s="125" t="n"/>
      <c r="X480" s="14" t="n"/>
      <c r="Y480" s="16" t="n"/>
      <c r="Z480" s="125" t="n"/>
      <c r="AA480" s="14" t="n"/>
      <c r="AB480" s="16" t="n"/>
      <c r="AC480" s="125" t="n"/>
      <c r="AD480" s="14" t="n"/>
    </row>
    <row r="481">
      <c r="A481" s="58" t="n"/>
      <c r="B481" s="59" t="n"/>
      <c r="C481" s="59" t="n"/>
      <c r="E481" s="16" t="n"/>
      <c r="F481" s="13" t="n"/>
      <c r="G481" s="16" t="n"/>
      <c r="H481" s="125" t="n"/>
      <c r="I481" s="14" t="n"/>
      <c r="J481" s="16" t="n"/>
      <c r="K481" s="125" t="n"/>
      <c r="L481" s="14" t="n"/>
      <c r="M481" s="16" t="n"/>
      <c r="N481" s="125" t="n"/>
      <c r="O481" s="14" t="n"/>
      <c r="P481" s="16" t="n"/>
      <c r="Q481" s="125" t="n"/>
      <c r="R481" s="14" t="n"/>
      <c r="S481" s="16" t="n"/>
      <c r="T481" s="125" t="n"/>
      <c r="U481" s="14" t="n"/>
      <c r="V481" s="16" t="n"/>
      <c r="W481" s="125" t="n"/>
      <c r="X481" s="14" t="n"/>
      <c r="Y481" s="16" t="n"/>
      <c r="Z481" s="125" t="n"/>
      <c r="AA481" s="14" t="n"/>
      <c r="AB481" s="16" t="n"/>
      <c r="AC481" s="125" t="n"/>
      <c r="AD481" s="14" t="n"/>
    </row>
    <row r="482">
      <c r="A482" s="56" t="n"/>
      <c r="B482" s="59" t="n"/>
      <c r="C482" s="59" t="n"/>
      <c r="E482" s="16" t="n"/>
      <c r="F482" s="13" t="n"/>
      <c r="G482" s="16" t="n"/>
      <c r="H482" s="125" t="n"/>
      <c r="I482" s="14" t="n"/>
      <c r="J482" s="16" t="n"/>
      <c r="K482" s="125" t="n"/>
      <c r="L482" s="14" t="n"/>
      <c r="M482" s="16" t="n"/>
      <c r="N482" s="125" t="n"/>
      <c r="O482" s="14" t="n"/>
      <c r="P482" s="16" t="n"/>
      <c r="Q482" s="125" t="n"/>
      <c r="R482" s="14" t="n"/>
      <c r="S482" s="16" t="n"/>
      <c r="T482" s="125" t="n"/>
      <c r="U482" s="14" t="n"/>
      <c r="V482" s="16" t="n"/>
      <c r="W482" s="125" t="n"/>
      <c r="X482" s="14" t="n"/>
      <c r="Y482" s="16" t="n"/>
      <c r="Z482" s="125" t="n"/>
      <c r="AA482" s="14" t="n"/>
      <c r="AB482" s="16" t="n"/>
      <c r="AC482" s="125" t="n"/>
      <c r="AD482" s="14" t="n"/>
    </row>
    <row r="483">
      <c r="A483" s="58" t="n"/>
      <c r="B483" s="59" t="n"/>
      <c r="C483" s="59" t="n"/>
      <c r="E483" s="16" t="n"/>
      <c r="F483" s="13" t="n"/>
      <c r="G483" s="16" t="n"/>
      <c r="H483" s="125" t="n"/>
      <c r="I483" s="14" t="n"/>
      <c r="J483" s="16" t="n"/>
      <c r="K483" s="125" t="n"/>
      <c r="L483" s="14" t="n"/>
      <c r="M483" s="16" t="n"/>
      <c r="N483" s="125" t="n"/>
      <c r="O483" s="14" t="n"/>
      <c r="P483" s="16" t="n"/>
      <c r="Q483" s="125" t="n"/>
      <c r="R483" s="14" t="n"/>
      <c r="S483" s="16" t="n"/>
      <c r="T483" s="125" t="n"/>
      <c r="U483" s="14" t="n"/>
      <c r="V483" s="16" t="n"/>
      <c r="W483" s="125" t="n"/>
      <c r="X483" s="14" t="n"/>
      <c r="Y483" s="16" t="n"/>
      <c r="Z483" s="125" t="n"/>
      <c r="AA483" s="14" t="n"/>
      <c r="AB483" s="16" t="n"/>
      <c r="AC483" s="125" t="n"/>
      <c r="AD483" s="14" t="n"/>
    </row>
    <row r="484">
      <c r="A484" s="56" t="n"/>
      <c r="B484" s="59" t="n"/>
      <c r="C484" s="59" t="n"/>
      <c r="E484" s="16" t="n"/>
      <c r="F484" s="13" t="n"/>
      <c r="G484" s="16" t="n"/>
      <c r="H484" s="125" t="n"/>
      <c r="I484" s="14" t="n"/>
      <c r="J484" s="16" t="n"/>
      <c r="K484" s="125" t="n"/>
      <c r="L484" s="14" t="n"/>
      <c r="M484" s="16" t="n"/>
      <c r="N484" s="125" t="n"/>
      <c r="O484" s="14" t="n"/>
      <c r="P484" s="16" t="n"/>
      <c r="Q484" s="125" t="n"/>
      <c r="R484" s="14" t="n"/>
      <c r="S484" s="16" t="n"/>
      <c r="T484" s="125" t="n"/>
      <c r="U484" s="14" t="n"/>
      <c r="V484" s="16" t="n"/>
      <c r="W484" s="125" t="n"/>
      <c r="X484" s="14" t="n"/>
      <c r="Y484" s="16" t="n"/>
      <c r="Z484" s="125" t="n"/>
      <c r="AA484" s="14" t="n"/>
      <c r="AB484" s="16" t="n"/>
      <c r="AC484" s="125" t="n"/>
      <c r="AD484" s="14" t="n"/>
    </row>
    <row r="485">
      <c r="A485" s="58" t="n"/>
      <c r="B485" s="59" t="n"/>
      <c r="C485" s="59" t="n"/>
      <c r="E485" s="16" t="n"/>
      <c r="F485" s="13" t="n"/>
      <c r="G485" s="16" t="n"/>
      <c r="H485" s="125" t="n"/>
      <c r="I485" s="14" t="n"/>
      <c r="J485" s="16" t="n"/>
      <c r="K485" s="125" t="n"/>
      <c r="L485" s="14" t="n"/>
      <c r="M485" s="16" t="n"/>
      <c r="N485" s="125" t="n"/>
      <c r="O485" s="14" t="n"/>
      <c r="P485" s="16" t="n"/>
      <c r="Q485" s="125" t="n"/>
      <c r="R485" s="14" t="n"/>
      <c r="S485" s="16" t="n"/>
      <c r="T485" s="125" t="n"/>
      <c r="U485" s="14" t="n"/>
      <c r="V485" s="16" t="n"/>
      <c r="W485" s="125" t="n"/>
      <c r="X485" s="14" t="n"/>
      <c r="Y485" s="16" t="n"/>
      <c r="Z485" s="125" t="n"/>
      <c r="AA485" s="14" t="n"/>
      <c r="AB485" s="16" t="n"/>
      <c r="AC485" s="125" t="n"/>
      <c r="AD485" s="14" t="n"/>
    </row>
    <row r="486">
      <c r="A486" s="56" t="n"/>
      <c r="B486" s="59" t="n"/>
      <c r="C486" s="59" t="n"/>
      <c r="E486" s="16" t="n"/>
      <c r="F486" s="13" t="n"/>
      <c r="G486" s="16" t="n"/>
      <c r="H486" s="125" t="n"/>
      <c r="I486" s="14" t="n"/>
      <c r="J486" s="16" t="n"/>
      <c r="K486" s="125" t="n"/>
      <c r="L486" s="14" t="n"/>
      <c r="M486" s="16" t="n"/>
      <c r="N486" s="125" t="n"/>
      <c r="O486" s="14" t="n"/>
      <c r="P486" s="16" t="n"/>
      <c r="Q486" s="125" t="n"/>
      <c r="R486" s="14" t="n"/>
      <c r="S486" s="16" t="n"/>
      <c r="T486" s="125" t="n"/>
      <c r="U486" s="14" t="n"/>
      <c r="V486" s="16" t="n"/>
      <c r="W486" s="125" t="n"/>
      <c r="X486" s="14" t="n"/>
      <c r="Y486" s="16" t="n"/>
      <c r="Z486" s="125" t="n"/>
      <c r="AA486" s="14" t="n"/>
      <c r="AB486" s="16" t="n"/>
      <c r="AC486" s="125" t="n"/>
      <c r="AD486" s="14" t="n"/>
    </row>
    <row r="487">
      <c r="A487" s="58" t="n"/>
      <c r="B487" s="59" t="n"/>
      <c r="C487" s="59" t="n"/>
      <c r="E487" s="16" t="n"/>
      <c r="F487" s="13" t="n"/>
      <c r="G487" s="16" t="n"/>
      <c r="H487" s="125" t="n"/>
      <c r="I487" s="14" t="n"/>
      <c r="J487" s="16" t="n"/>
      <c r="K487" s="125" t="n"/>
      <c r="L487" s="14" t="n"/>
      <c r="M487" s="16" t="n"/>
      <c r="N487" s="125" t="n"/>
      <c r="O487" s="14" t="n"/>
      <c r="P487" s="16" t="n"/>
      <c r="Q487" s="125" t="n"/>
      <c r="R487" s="14" t="n"/>
      <c r="S487" s="16" t="n"/>
      <c r="T487" s="125" t="n"/>
      <c r="U487" s="14" t="n"/>
      <c r="V487" s="16" t="n"/>
      <c r="W487" s="125" t="n"/>
      <c r="X487" s="14" t="n"/>
      <c r="Y487" s="16" t="n"/>
      <c r="Z487" s="125" t="n"/>
      <c r="AA487" s="14" t="n"/>
      <c r="AB487" s="16" t="n"/>
      <c r="AC487" s="125" t="n"/>
      <c r="AD487" s="14" t="n"/>
    </row>
    <row r="488">
      <c r="A488" s="56" t="n"/>
      <c r="B488" s="59" t="n"/>
      <c r="C488" s="59" t="n"/>
      <c r="E488" s="16" t="n"/>
      <c r="F488" s="13" t="n"/>
      <c r="G488" s="16" t="n"/>
      <c r="H488" s="125" t="n"/>
      <c r="I488" s="14" t="n"/>
      <c r="J488" s="16" t="n"/>
      <c r="K488" s="125" t="n"/>
      <c r="L488" s="14" t="n"/>
      <c r="M488" s="16" t="n"/>
      <c r="N488" s="125" t="n"/>
      <c r="O488" s="14" t="n"/>
      <c r="P488" s="16" t="n"/>
      <c r="Q488" s="125" t="n"/>
      <c r="R488" s="14" t="n"/>
      <c r="S488" s="16" t="n"/>
      <c r="T488" s="125" t="n"/>
      <c r="U488" s="14" t="n"/>
      <c r="V488" s="16" t="n"/>
      <c r="W488" s="125" t="n"/>
      <c r="X488" s="14" t="n"/>
      <c r="Y488" s="16" t="n"/>
      <c r="Z488" s="125" t="n"/>
      <c r="AA488" s="14" t="n"/>
      <c r="AB488" s="16" t="n"/>
      <c r="AC488" s="125" t="n"/>
      <c r="AD488" s="14" t="n"/>
    </row>
    <row r="489">
      <c r="A489" s="58" t="n"/>
      <c r="B489" s="59" t="n"/>
      <c r="C489" s="59" t="n"/>
      <c r="E489" s="16" t="n"/>
      <c r="F489" s="13" t="n"/>
      <c r="G489" s="16" t="n"/>
      <c r="H489" s="125" t="n"/>
      <c r="I489" s="14" t="n"/>
      <c r="J489" s="16" t="n"/>
      <c r="K489" s="125" t="n"/>
      <c r="L489" s="14" t="n"/>
      <c r="M489" s="16" t="n"/>
      <c r="N489" s="125" t="n"/>
      <c r="O489" s="14" t="n"/>
      <c r="P489" s="16" t="n"/>
      <c r="Q489" s="125" t="n"/>
      <c r="R489" s="14" t="n"/>
      <c r="S489" s="16" t="n"/>
      <c r="T489" s="125" t="n"/>
      <c r="U489" s="14" t="n"/>
      <c r="V489" s="16" t="n"/>
      <c r="W489" s="125" t="n"/>
      <c r="X489" s="14" t="n"/>
      <c r="Y489" s="16" t="n"/>
      <c r="Z489" s="125" t="n"/>
      <c r="AA489" s="14" t="n"/>
      <c r="AB489" s="16" t="n"/>
      <c r="AC489" s="125" t="n"/>
      <c r="AD489" s="14" t="n"/>
    </row>
    <row r="490">
      <c r="A490" s="56" t="n"/>
      <c r="B490" s="59" t="n"/>
      <c r="C490" s="59" t="n"/>
      <c r="E490" s="16" t="n"/>
      <c r="F490" s="13" t="n"/>
      <c r="G490" s="16" t="n"/>
      <c r="H490" s="125" t="n"/>
      <c r="I490" s="14" t="n"/>
      <c r="J490" s="16" t="n"/>
      <c r="K490" s="125" t="n"/>
      <c r="L490" s="14" t="n"/>
      <c r="M490" s="16" t="n"/>
      <c r="N490" s="125" t="n"/>
      <c r="O490" s="14" t="n"/>
      <c r="P490" s="16" t="n"/>
      <c r="Q490" s="125" t="n"/>
      <c r="R490" s="14" t="n"/>
      <c r="S490" s="16" t="n"/>
      <c r="T490" s="125" t="n"/>
      <c r="U490" s="14" t="n"/>
      <c r="V490" s="16" t="n"/>
      <c r="W490" s="125" t="n"/>
      <c r="X490" s="14" t="n"/>
      <c r="Y490" s="16" t="n"/>
      <c r="Z490" s="125" t="n"/>
      <c r="AA490" s="14" t="n"/>
      <c r="AB490" s="16" t="n"/>
      <c r="AC490" s="125" t="n"/>
      <c r="AD490" s="14" t="n"/>
    </row>
    <row r="491">
      <c r="A491" s="58" t="n"/>
      <c r="B491" s="59" t="n"/>
      <c r="C491" s="59" t="n"/>
      <c r="E491" s="16" t="n"/>
      <c r="F491" s="13" t="n"/>
      <c r="G491" s="16" t="n"/>
      <c r="H491" s="125" t="n"/>
      <c r="I491" s="14" t="n"/>
      <c r="J491" s="16" t="n"/>
      <c r="K491" s="125" t="n"/>
      <c r="L491" s="14" t="n"/>
      <c r="M491" s="16" t="n"/>
      <c r="N491" s="125" t="n"/>
      <c r="O491" s="14" t="n"/>
      <c r="P491" s="16" t="n"/>
      <c r="Q491" s="125" t="n"/>
      <c r="R491" s="14" t="n"/>
      <c r="S491" s="16" t="n"/>
      <c r="T491" s="125" t="n"/>
      <c r="U491" s="14" t="n"/>
      <c r="V491" s="16" t="n"/>
      <c r="W491" s="125" t="n"/>
      <c r="X491" s="14" t="n"/>
      <c r="Y491" s="16" t="n"/>
      <c r="Z491" s="125" t="n"/>
      <c r="AA491" s="14" t="n"/>
      <c r="AB491" s="16" t="n"/>
      <c r="AC491" s="125" t="n"/>
      <c r="AD491" s="14" t="n"/>
    </row>
    <row r="492">
      <c r="A492" s="56" t="n"/>
      <c r="B492" s="59" t="n"/>
      <c r="C492" s="59" t="n"/>
      <c r="E492" s="16" t="n"/>
      <c r="F492" s="13" t="n"/>
      <c r="G492" s="16" t="n"/>
      <c r="H492" s="125" t="n"/>
      <c r="I492" s="14" t="n"/>
      <c r="J492" s="16" t="n"/>
      <c r="K492" s="125" t="n"/>
      <c r="L492" s="14" t="n"/>
      <c r="M492" s="16" t="n"/>
      <c r="N492" s="125" t="n"/>
      <c r="O492" s="14" t="n"/>
      <c r="P492" s="16" t="n"/>
      <c r="Q492" s="125" t="n"/>
      <c r="R492" s="14" t="n"/>
      <c r="S492" s="16" t="n"/>
      <c r="T492" s="125" t="n"/>
      <c r="U492" s="14" t="n"/>
      <c r="V492" s="16" t="n"/>
      <c r="W492" s="125" t="n"/>
      <c r="X492" s="14" t="n"/>
      <c r="Y492" s="16" t="n"/>
      <c r="Z492" s="125" t="n"/>
      <c r="AA492" s="14" t="n"/>
      <c r="AB492" s="16" t="n"/>
      <c r="AC492" s="125" t="n"/>
      <c r="AD492" s="14" t="n"/>
    </row>
    <row r="493">
      <c r="A493" s="58" t="n"/>
      <c r="B493" s="59" t="n"/>
      <c r="C493" s="59" t="n"/>
      <c r="E493" s="16" t="n"/>
      <c r="F493" s="13" t="n"/>
      <c r="G493" s="16" t="n"/>
      <c r="H493" s="125" t="n"/>
      <c r="I493" s="14" t="n"/>
      <c r="J493" s="16" t="n"/>
      <c r="K493" s="125" t="n"/>
      <c r="L493" s="14" t="n"/>
      <c r="M493" s="16" t="n"/>
      <c r="N493" s="125" t="n"/>
      <c r="O493" s="14" t="n"/>
      <c r="P493" s="16" t="n"/>
      <c r="Q493" s="125" t="n"/>
      <c r="R493" s="14" t="n"/>
      <c r="S493" s="16" t="n"/>
      <c r="T493" s="125" t="n"/>
      <c r="U493" s="14" t="n"/>
      <c r="V493" s="16" t="n"/>
      <c r="W493" s="125" t="n"/>
      <c r="X493" s="14" t="n"/>
      <c r="Y493" s="16" t="n"/>
      <c r="Z493" s="125" t="n"/>
      <c r="AA493" s="14" t="n"/>
      <c r="AB493" s="16" t="n"/>
      <c r="AC493" s="125" t="n"/>
      <c r="AD493" s="14" t="n"/>
    </row>
    <row r="494">
      <c r="A494" s="56" t="n"/>
      <c r="B494" s="59" t="n"/>
      <c r="C494" s="59" t="n"/>
      <c r="E494" s="16" t="n"/>
      <c r="F494" s="13" t="n"/>
      <c r="G494" s="16" t="n"/>
      <c r="H494" s="125" t="n"/>
      <c r="I494" s="14" t="n"/>
      <c r="J494" s="16" t="n"/>
      <c r="K494" s="125" t="n"/>
      <c r="L494" s="14" t="n"/>
      <c r="M494" s="16" t="n"/>
      <c r="N494" s="125" t="n"/>
      <c r="O494" s="14" t="n"/>
      <c r="P494" s="16" t="n"/>
      <c r="Q494" s="125" t="n"/>
      <c r="R494" s="14" t="n"/>
      <c r="S494" s="16" t="n"/>
      <c r="T494" s="125" t="n"/>
      <c r="U494" s="14" t="n"/>
      <c r="V494" s="16" t="n"/>
      <c r="W494" s="125" t="n"/>
      <c r="X494" s="14" t="n"/>
      <c r="Y494" s="16" t="n"/>
      <c r="Z494" s="125" t="n"/>
      <c r="AA494" s="14" t="n"/>
      <c r="AB494" s="16" t="n"/>
      <c r="AC494" s="125" t="n"/>
      <c r="AD494" s="14" t="n"/>
    </row>
    <row r="495">
      <c r="A495" s="58" t="n"/>
      <c r="B495" s="59" t="n"/>
      <c r="C495" s="59" t="n"/>
      <c r="E495" s="16" t="n"/>
      <c r="F495" s="13" t="n"/>
      <c r="G495" s="16" t="n"/>
      <c r="H495" s="125" t="n"/>
      <c r="I495" s="14" t="n"/>
      <c r="J495" s="16" t="n"/>
      <c r="K495" s="125" t="n"/>
      <c r="L495" s="14" t="n"/>
      <c r="M495" s="16" t="n"/>
      <c r="N495" s="125" t="n"/>
      <c r="O495" s="14" t="n"/>
      <c r="P495" s="16" t="n"/>
      <c r="Q495" s="125" t="n"/>
      <c r="R495" s="14" t="n"/>
      <c r="S495" s="16" t="n"/>
      <c r="T495" s="125" t="n"/>
      <c r="U495" s="14" t="n"/>
      <c r="V495" s="16" t="n"/>
      <c r="W495" s="125" t="n"/>
      <c r="X495" s="14" t="n"/>
      <c r="Y495" s="16" t="n"/>
      <c r="Z495" s="125" t="n"/>
      <c r="AA495" s="14" t="n"/>
      <c r="AB495" s="16" t="n"/>
      <c r="AC495" s="125" t="n"/>
      <c r="AD495" s="14" t="n"/>
    </row>
    <row r="496">
      <c r="A496" s="56" t="n"/>
      <c r="B496" s="59" t="n"/>
      <c r="C496" s="59" t="n"/>
      <c r="E496" s="16" t="n"/>
      <c r="F496" s="13" t="n"/>
      <c r="G496" s="16" t="n"/>
      <c r="H496" s="125" t="n"/>
      <c r="I496" s="14" t="n"/>
      <c r="J496" s="16" t="n"/>
      <c r="K496" s="125" t="n"/>
      <c r="L496" s="14" t="n"/>
      <c r="M496" s="16" t="n"/>
      <c r="N496" s="125" t="n"/>
      <c r="O496" s="14" t="n"/>
      <c r="P496" s="16" t="n"/>
      <c r="Q496" s="125" t="n"/>
      <c r="R496" s="14" t="n"/>
      <c r="S496" s="16" t="n"/>
      <c r="T496" s="125" t="n"/>
      <c r="U496" s="14" t="n"/>
      <c r="V496" s="16" t="n"/>
      <c r="W496" s="125" t="n"/>
      <c r="X496" s="14" t="n"/>
      <c r="Y496" s="16" t="n"/>
      <c r="Z496" s="125" t="n"/>
      <c r="AA496" s="14" t="n"/>
      <c r="AB496" s="16" t="n"/>
      <c r="AC496" s="125" t="n"/>
      <c r="AD496" s="14" t="n"/>
    </row>
    <row r="497">
      <c r="A497" s="58" t="n"/>
      <c r="B497" s="59" t="n"/>
      <c r="C497" s="59" t="n"/>
      <c r="E497" s="16" t="n"/>
      <c r="F497" s="13" t="n"/>
      <c r="G497" s="16" t="n"/>
      <c r="H497" s="125" t="n"/>
      <c r="I497" s="14" t="n"/>
      <c r="J497" s="16" t="n"/>
      <c r="K497" s="125" t="n"/>
      <c r="L497" s="14" t="n"/>
      <c r="M497" s="16" t="n"/>
      <c r="N497" s="125" t="n"/>
      <c r="O497" s="14" t="n"/>
      <c r="P497" s="16" t="n"/>
      <c r="Q497" s="125" t="n"/>
      <c r="R497" s="14" t="n"/>
      <c r="S497" s="16" t="n"/>
      <c r="T497" s="125" t="n"/>
      <c r="U497" s="14" t="n"/>
      <c r="V497" s="16" t="n"/>
      <c r="W497" s="125" t="n"/>
      <c r="X497" s="14" t="n"/>
      <c r="Y497" s="16" t="n"/>
      <c r="Z497" s="125" t="n"/>
      <c r="AA497" s="14" t="n"/>
      <c r="AB497" s="16" t="n"/>
      <c r="AC497" s="125" t="n"/>
      <c r="AD497" s="14" t="n"/>
    </row>
    <row r="498">
      <c r="A498" s="56" t="n"/>
      <c r="B498" s="59" t="n"/>
      <c r="C498" s="59" t="n"/>
      <c r="E498" s="16" t="n"/>
      <c r="F498" s="13" t="n"/>
      <c r="G498" s="16" t="n"/>
      <c r="H498" s="125" t="n"/>
      <c r="I498" s="14" t="n"/>
      <c r="J498" s="16" t="n"/>
      <c r="K498" s="125" t="n"/>
      <c r="L498" s="14" t="n"/>
      <c r="M498" s="16" t="n"/>
      <c r="N498" s="125" t="n"/>
      <c r="O498" s="14" t="n"/>
      <c r="P498" s="16" t="n"/>
      <c r="Q498" s="125" t="n"/>
      <c r="R498" s="14" t="n"/>
      <c r="S498" s="16" t="n"/>
      <c r="T498" s="125" t="n"/>
      <c r="U498" s="14" t="n"/>
      <c r="V498" s="16" t="n"/>
      <c r="W498" s="125" t="n"/>
      <c r="X498" s="14" t="n"/>
      <c r="Y498" s="16" t="n"/>
      <c r="Z498" s="125" t="n"/>
      <c r="AA498" s="14" t="n"/>
      <c r="AB498" s="16" t="n"/>
      <c r="AC498" s="125" t="n"/>
      <c r="AD498" s="14" t="n"/>
    </row>
    <row r="499">
      <c r="A499" s="58" t="n"/>
      <c r="B499" s="59" t="n"/>
      <c r="C499" s="59" t="n"/>
      <c r="E499" s="16" t="n"/>
      <c r="F499" s="13" t="n"/>
      <c r="G499" s="16" t="n"/>
      <c r="H499" s="125" t="n"/>
      <c r="I499" s="14" t="n"/>
      <c r="J499" s="16" t="n"/>
      <c r="K499" s="125" t="n"/>
      <c r="L499" s="14" t="n"/>
      <c r="M499" s="16" t="n"/>
      <c r="N499" s="125" t="n"/>
      <c r="O499" s="14" t="n"/>
      <c r="P499" s="16" t="n"/>
      <c r="Q499" s="125" t="n"/>
      <c r="R499" s="14" t="n"/>
      <c r="S499" s="16" t="n"/>
      <c r="T499" s="125" t="n"/>
      <c r="U499" s="14" t="n"/>
      <c r="V499" s="16" t="n"/>
      <c r="W499" s="125" t="n"/>
      <c r="X499" s="14" t="n"/>
      <c r="Y499" s="16" t="n"/>
      <c r="Z499" s="125" t="n"/>
      <c r="AA499" s="14" t="n"/>
      <c r="AB499" s="16" t="n"/>
      <c r="AC499" s="125" t="n"/>
      <c r="AD499" s="14" t="n"/>
    </row>
    <row r="500">
      <c r="A500" s="56" t="n"/>
      <c r="B500" s="59" t="n"/>
      <c r="C500" s="59" t="n"/>
      <c r="E500" s="16" t="n"/>
      <c r="F500" s="13" t="n"/>
      <c r="G500" s="16" t="n"/>
      <c r="H500" s="125" t="n"/>
      <c r="I500" s="14" t="n"/>
      <c r="J500" s="16" t="n"/>
      <c r="K500" s="125" t="n"/>
      <c r="L500" s="14" t="n"/>
      <c r="M500" s="16" t="n"/>
      <c r="N500" s="125" t="n"/>
      <c r="O500" s="14" t="n"/>
      <c r="P500" s="16" t="n"/>
      <c r="Q500" s="125" t="n"/>
      <c r="R500" s="14" t="n"/>
      <c r="S500" s="16" t="n"/>
      <c r="T500" s="125" t="n"/>
      <c r="U500" s="14" t="n"/>
      <c r="V500" s="16" t="n"/>
      <c r="W500" s="125" t="n"/>
      <c r="X500" s="14" t="n"/>
      <c r="Y500" s="16" t="n"/>
      <c r="Z500" s="125" t="n"/>
      <c r="AA500" s="14" t="n"/>
      <c r="AB500" s="16" t="n"/>
      <c r="AC500" s="125" t="n"/>
      <c r="AD500" s="14" t="n"/>
    </row>
    <row r="501">
      <c r="A501" s="58" t="n"/>
      <c r="B501" s="59" t="n"/>
      <c r="C501" s="59" t="n"/>
      <c r="E501" s="16" t="n"/>
      <c r="F501" s="13" t="n"/>
      <c r="G501" s="16" t="n"/>
      <c r="H501" s="125" t="n"/>
      <c r="I501" s="14" t="n"/>
      <c r="J501" s="16" t="n"/>
      <c r="K501" s="125" t="n"/>
      <c r="L501" s="14" t="n"/>
      <c r="M501" s="16" t="n"/>
      <c r="N501" s="125" t="n"/>
      <c r="O501" s="14" t="n"/>
      <c r="P501" s="16" t="n"/>
      <c r="Q501" s="125" t="n"/>
      <c r="R501" s="14" t="n"/>
      <c r="S501" s="16" t="n"/>
      <c r="T501" s="125" t="n"/>
      <c r="U501" s="14" t="n"/>
      <c r="V501" s="16" t="n"/>
      <c r="W501" s="125" t="n"/>
      <c r="X501" s="14" t="n"/>
      <c r="Y501" s="16" t="n"/>
      <c r="Z501" s="125" t="n"/>
      <c r="AA501" s="14" t="n"/>
      <c r="AB501" s="16" t="n"/>
      <c r="AC501" s="125" t="n"/>
      <c r="AD501" s="14" t="n"/>
    </row>
    <row r="502">
      <c r="A502" s="56" t="n"/>
      <c r="B502" s="59" t="n"/>
      <c r="C502" s="59" t="n"/>
      <c r="E502" s="16" t="n"/>
      <c r="F502" s="13" t="n"/>
      <c r="G502" s="16" t="n"/>
      <c r="H502" s="125" t="n"/>
      <c r="I502" s="14" t="n"/>
      <c r="J502" s="16" t="n"/>
      <c r="K502" s="125" t="n"/>
      <c r="L502" s="14" t="n"/>
      <c r="M502" s="16" t="n"/>
      <c r="N502" s="125" t="n"/>
      <c r="O502" s="14" t="n"/>
      <c r="P502" s="16" t="n"/>
      <c r="Q502" s="125" t="n"/>
      <c r="R502" s="14" t="n"/>
      <c r="S502" s="16" t="n"/>
      <c r="T502" s="125" t="n"/>
      <c r="U502" s="14" t="n"/>
      <c r="V502" s="16" t="n"/>
      <c r="W502" s="125" t="n"/>
      <c r="X502" s="14" t="n"/>
      <c r="Y502" s="16" t="n"/>
      <c r="Z502" s="125" t="n"/>
      <c r="AA502" s="14" t="n"/>
      <c r="AB502" s="16" t="n"/>
      <c r="AC502" s="125" t="n"/>
      <c r="AD502" s="14" t="n"/>
    </row>
    <row r="503">
      <c r="A503" s="58" t="n"/>
      <c r="B503" s="59" t="n"/>
      <c r="C503" s="59" t="n"/>
      <c r="E503" s="16" t="n"/>
      <c r="F503" s="13" t="n"/>
      <c r="G503" s="16" t="n"/>
      <c r="H503" s="125" t="n"/>
      <c r="I503" s="14" t="n"/>
      <c r="J503" s="16" t="n"/>
      <c r="K503" s="125" t="n"/>
      <c r="L503" s="14" t="n"/>
      <c r="M503" s="16" t="n"/>
      <c r="N503" s="125" t="n"/>
      <c r="O503" s="14" t="n"/>
      <c r="P503" s="16" t="n"/>
      <c r="Q503" s="125" t="n"/>
      <c r="R503" s="14" t="n"/>
      <c r="S503" s="16" t="n"/>
      <c r="T503" s="125" t="n"/>
      <c r="U503" s="14" t="n"/>
      <c r="V503" s="16" t="n"/>
      <c r="W503" s="125" t="n"/>
      <c r="X503" s="14" t="n"/>
      <c r="Y503" s="16" t="n"/>
      <c r="Z503" s="125" t="n"/>
      <c r="AA503" s="14" t="n"/>
      <c r="AB503" s="16" t="n"/>
      <c r="AC503" s="125" t="n"/>
      <c r="AD503" s="14" t="n"/>
    </row>
    <row r="504">
      <c r="A504" s="56" t="n"/>
      <c r="B504" s="59" t="n"/>
      <c r="C504" s="59" t="n"/>
      <c r="E504" s="16" t="n"/>
      <c r="F504" s="13" t="n"/>
      <c r="G504" s="16" t="n"/>
      <c r="H504" s="125" t="n"/>
      <c r="I504" s="14" t="n"/>
      <c r="J504" s="16" t="n"/>
      <c r="K504" s="125" t="n"/>
      <c r="L504" s="14" t="n"/>
      <c r="M504" s="16" t="n"/>
      <c r="N504" s="125" t="n"/>
      <c r="O504" s="14" t="n"/>
      <c r="P504" s="16" t="n"/>
      <c r="Q504" s="125" t="n"/>
      <c r="R504" s="14" t="n"/>
      <c r="S504" s="16" t="n"/>
      <c r="T504" s="125" t="n"/>
      <c r="U504" s="14" t="n"/>
      <c r="V504" s="16" t="n"/>
      <c r="W504" s="125" t="n"/>
      <c r="X504" s="14" t="n"/>
      <c r="Y504" s="16" t="n"/>
      <c r="Z504" s="125" t="n"/>
      <c r="AA504" s="14" t="n"/>
      <c r="AB504" s="16" t="n"/>
      <c r="AC504" s="125" t="n"/>
      <c r="AD504" s="14" t="n"/>
    </row>
    <row r="505">
      <c r="A505" s="58" t="n"/>
      <c r="B505" s="59" t="n"/>
      <c r="C505" s="59" t="n"/>
      <c r="E505" s="16" t="n"/>
      <c r="F505" s="13" t="n"/>
      <c r="G505" s="16" t="n"/>
      <c r="H505" s="125" t="n"/>
      <c r="I505" s="14" t="n"/>
      <c r="J505" s="16" t="n"/>
      <c r="K505" s="125" t="n"/>
      <c r="L505" s="14" t="n"/>
      <c r="M505" s="16" t="n"/>
      <c r="N505" s="125" t="n"/>
      <c r="O505" s="14" t="n"/>
      <c r="P505" s="16" t="n"/>
      <c r="Q505" s="125" t="n"/>
      <c r="R505" s="14" t="n"/>
      <c r="S505" s="16" t="n"/>
      <c r="T505" s="125" t="n"/>
      <c r="U505" s="14" t="n"/>
      <c r="V505" s="16" t="n"/>
      <c r="W505" s="125" t="n"/>
      <c r="X505" s="14" t="n"/>
      <c r="Y505" s="16" t="n"/>
      <c r="Z505" s="125" t="n"/>
      <c r="AA505" s="14" t="n"/>
      <c r="AB505" s="16" t="n"/>
      <c r="AC505" s="125" t="n"/>
      <c r="AD505" s="14" t="n"/>
    </row>
    <row r="506">
      <c r="A506" s="56" t="n"/>
      <c r="B506" s="59" t="n"/>
      <c r="C506" s="59" t="n"/>
      <c r="E506" s="16" t="n"/>
      <c r="F506" s="13" t="n"/>
      <c r="G506" s="16" t="n"/>
      <c r="H506" s="125" t="n"/>
      <c r="I506" s="14" t="n"/>
      <c r="J506" s="16" t="n"/>
      <c r="K506" s="125" t="n"/>
      <c r="L506" s="14" t="n"/>
      <c r="M506" s="16" t="n"/>
      <c r="N506" s="125" t="n"/>
      <c r="O506" s="14" t="n"/>
      <c r="P506" s="16" t="n"/>
      <c r="Q506" s="125" t="n"/>
      <c r="R506" s="14" t="n"/>
      <c r="S506" s="16" t="n"/>
      <c r="T506" s="125" t="n"/>
      <c r="U506" s="14" t="n"/>
      <c r="V506" s="16" t="n"/>
      <c r="W506" s="125" t="n"/>
      <c r="X506" s="14" t="n"/>
      <c r="Y506" s="16" t="n"/>
      <c r="Z506" s="125" t="n"/>
      <c r="AA506" s="14" t="n"/>
      <c r="AB506" s="16" t="n"/>
      <c r="AC506" s="125" t="n"/>
      <c r="AD506" s="14" t="n"/>
    </row>
    <row r="507">
      <c r="A507" s="58" t="n"/>
      <c r="B507" s="59" t="n"/>
      <c r="C507" s="59" t="n"/>
      <c r="E507" s="16" t="n"/>
      <c r="F507" s="13" t="n"/>
      <c r="G507" s="16" t="n"/>
      <c r="H507" s="125" t="n"/>
      <c r="I507" s="14" t="n"/>
      <c r="J507" s="16" t="n"/>
      <c r="K507" s="125" t="n"/>
      <c r="L507" s="14" t="n"/>
      <c r="M507" s="16" t="n"/>
      <c r="N507" s="125" t="n"/>
      <c r="O507" s="14" t="n"/>
      <c r="P507" s="16" t="n"/>
      <c r="Q507" s="125" t="n"/>
      <c r="R507" s="14" t="n"/>
      <c r="S507" s="16" t="n"/>
      <c r="T507" s="125" t="n"/>
      <c r="U507" s="14" t="n"/>
      <c r="V507" s="16" t="n"/>
      <c r="W507" s="125" t="n"/>
      <c r="X507" s="14" t="n"/>
      <c r="Y507" s="16" t="n"/>
      <c r="Z507" s="125" t="n"/>
      <c r="AA507" s="14" t="n"/>
      <c r="AB507" s="16" t="n"/>
      <c r="AC507" s="125" t="n"/>
      <c r="AD507" s="14" t="n"/>
    </row>
    <row r="508">
      <c r="A508" s="56" t="n"/>
      <c r="B508" s="59" t="n"/>
      <c r="C508" s="59" t="n"/>
      <c r="E508" s="16" t="n"/>
      <c r="F508" s="13" t="n"/>
      <c r="G508" s="16" t="n"/>
      <c r="H508" s="125" t="n"/>
      <c r="I508" s="14" t="n"/>
      <c r="J508" s="16" t="n"/>
      <c r="K508" s="125" t="n"/>
      <c r="L508" s="14" t="n"/>
      <c r="M508" s="16" t="n"/>
      <c r="N508" s="125" t="n"/>
      <c r="O508" s="14" t="n"/>
      <c r="P508" s="16" t="n"/>
      <c r="Q508" s="125" t="n"/>
      <c r="R508" s="14" t="n"/>
      <c r="S508" s="16" t="n"/>
      <c r="T508" s="125" t="n"/>
      <c r="U508" s="14" t="n"/>
      <c r="V508" s="16" t="n"/>
      <c r="W508" s="125" t="n"/>
      <c r="X508" s="14" t="n"/>
      <c r="Y508" s="16" t="n"/>
      <c r="Z508" s="125" t="n"/>
      <c r="AA508" s="14" t="n"/>
      <c r="AB508" s="16" t="n"/>
      <c r="AC508" s="125" t="n"/>
      <c r="AD508" s="14" t="n"/>
    </row>
    <row r="509">
      <c r="A509" s="58" t="n"/>
      <c r="B509" s="59" t="n"/>
      <c r="C509" s="59" t="n"/>
      <c r="E509" s="16" t="n"/>
      <c r="F509" s="13" t="n"/>
      <c r="G509" s="16" t="n"/>
      <c r="H509" s="125" t="n"/>
      <c r="I509" s="14" t="n"/>
      <c r="J509" s="16" t="n"/>
      <c r="K509" s="125" t="n"/>
      <c r="L509" s="14" t="n"/>
      <c r="M509" s="16" t="n"/>
      <c r="N509" s="125" t="n"/>
      <c r="O509" s="14" t="n"/>
      <c r="P509" s="16" t="n"/>
      <c r="Q509" s="125" t="n"/>
      <c r="R509" s="14" t="n"/>
      <c r="S509" s="16" t="n"/>
      <c r="T509" s="125" t="n"/>
      <c r="U509" s="14" t="n"/>
      <c r="V509" s="16" t="n"/>
      <c r="W509" s="125" t="n"/>
      <c r="X509" s="14" t="n"/>
      <c r="Y509" s="16" t="n"/>
      <c r="Z509" s="125" t="n"/>
      <c r="AA509" s="14" t="n"/>
      <c r="AB509" s="16" t="n"/>
      <c r="AC509" s="125" t="n"/>
      <c r="AD509" s="14" t="n"/>
    </row>
    <row r="510">
      <c r="A510" s="56" t="n"/>
      <c r="B510" s="59" t="n"/>
      <c r="C510" s="59" t="n"/>
      <c r="E510" s="16" t="n"/>
      <c r="F510" s="13" t="n"/>
      <c r="G510" s="16" t="n"/>
      <c r="H510" s="125" t="n"/>
      <c r="I510" s="14" t="n"/>
      <c r="J510" s="16" t="n"/>
      <c r="K510" s="125" t="n"/>
      <c r="L510" s="14" t="n"/>
      <c r="M510" s="16" t="n"/>
      <c r="N510" s="125" t="n"/>
      <c r="O510" s="14" t="n"/>
      <c r="P510" s="16" t="n"/>
      <c r="Q510" s="125" t="n"/>
      <c r="R510" s="14" t="n"/>
      <c r="S510" s="16" t="n"/>
      <c r="T510" s="125" t="n"/>
      <c r="U510" s="14" t="n"/>
      <c r="V510" s="16" t="n"/>
      <c r="W510" s="125" t="n"/>
      <c r="X510" s="14" t="n"/>
      <c r="Y510" s="16" t="n"/>
      <c r="Z510" s="125" t="n"/>
      <c r="AA510" s="14" t="n"/>
      <c r="AB510" s="16" t="n"/>
      <c r="AC510" s="125" t="n"/>
      <c r="AD510" s="14" t="n"/>
    </row>
    <row r="511">
      <c r="A511" s="58" t="n"/>
      <c r="B511" s="59" t="n"/>
      <c r="C511" s="59" t="n"/>
      <c r="E511" s="16" t="n"/>
      <c r="F511" s="13" t="n"/>
      <c r="G511" s="16" t="n"/>
      <c r="H511" s="125" t="n"/>
      <c r="I511" s="14" t="n"/>
      <c r="J511" s="16" t="n"/>
      <c r="K511" s="125" t="n"/>
      <c r="L511" s="14" t="n"/>
      <c r="M511" s="16" t="n"/>
      <c r="N511" s="125" t="n"/>
      <c r="O511" s="14" t="n"/>
      <c r="P511" s="16" t="n"/>
      <c r="Q511" s="125" t="n"/>
      <c r="R511" s="14" t="n"/>
      <c r="S511" s="16" t="n"/>
      <c r="T511" s="125" t="n"/>
      <c r="U511" s="14" t="n"/>
      <c r="V511" s="16" t="n"/>
      <c r="W511" s="125" t="n"/>
      <c r="X511" s="14" t="n"/>
      <c r="Y511" s="16" t="n"/>
      <c r="Z511" s="125" t="n"/>
      <c r="AA511" s="14" t="n"/>
      <c r="AB511" s="16" t="n"/>
      <c r="AC511" s="125" t="n"/>
      <c r="AD511" s="14" t="n"/>
    </row>
    <row r="512">
      <c r="A512" s="56" t="n"/>
      <c r="B512" s="59" t="n"/>
      <c r="C512" s="59" t="n"/>
      <c r="E512" s="16" t="n"/>
      <c r="F512" s="13" t="n"/>
      <c r="G512" s="16" t="n"/>
      <c r="H512" s="125" t="n"/>
      <c r="I512" s="14" t="n"/>
      <c r="J512" s="16" t="n"/>
      <c r="K512" s="125" t="n"/>
      <c r="L512" s="14" t="n"/>
      <c r="M512" s="16" t="n"/>
      <c r="N512" s="125" t="n"/>
      <c r="O512" s="14" t="n"/>
      <c r="P512" s="16" t="n"/>
      <c r="Q512" s="125" t="n"/>
      <c r="R512" s="14" t="n"/>
      <c r="S512" s="16" t="n"/>
      <c r="T512" s="125" t="n"/>
      <c r="U512" s="14" t="n"/>
      <c r="V512" s="16" t="n"/>
      <c r="W512" s="125" t="n"/>
      <c r="X512" s="14" t="n"/>
      <c r="Y512" s="16" t="n"/>
      <c r="Z512" s="125" t="n"/>
      <c r="AA512" s="14" t="n"/>
      <c r="AB512" s="16" t="n"/>
      <c r="AC512" s="125" t="n"/>
      <c r="AD512" s="14" t="n"/>
    </row>
    <row r="513">
      <c r="A513" s="58" t="n"/>
      <c r="B513" s="59" t="n"/>
      <c r="C513" s="59" t="n"/>
      <c r="E513" s="16" t="n"/>
      <c r="F513" s="13" t="n"/>
      <c r="G513" s="16" t="n"/>
      <c r="H513" s="125" t="n"/>
      <c r="I513" s="14" t="n"/>
      <c r="J513" s="16" t="n"/>
      <c r="K513" s="125" t="n"/>
      <c r="L513" s="14" t="n"/>
      <c r="M513" s="16" t="n"/>
      <c r="N513" s="125" t="n"/>
      <c r="O513" s="14" t="n"/>
      <c r="P513" s="16" t="n"/>
      <c r="Q513" s="125" t="n"/>
      <c r="R513" s="14" t="n"/>
      <c r="S513" s="16" t="n"/>
      <c r="T513" s="125" t="n"/>
      <c r="U513" s="14" t="n"/>
      <c r="V513" s="16" t="n"/>
      <c r="W513" s="125" t="n"/>
      <c r="X513" s="14" t="n"/>
      <c r="Y513" s="16" t="n"/>
      <c r="Z513" s="125" t="n"/>
      <c r="AA513" s="14" t="n"/>
      <c r="AB513" s="16" t="n"/>
      <c r="AC513" s="125" t="n"/>
      <c r="AD513" s="14" t="n"/>
    </row>
    <row r="514">
      <c r="A514" s="56" t="n"/>
      <c r="B514" s="59" t="n"/>
      <c r="C514" s="59" t="n"/>
      <c r="E514" s="16" t="n"/>
      <c r="F514" s="13" t="n"/>
      <c r="G514" s="16" t="n"/>
      <c r="H514" s="125" t="n"/>
      <c r="I514" s="14" t="n"/>
      <c r="J514" s="16" t="n"/>
      <c r="K514" s="125" t="n"/>
      <c r="L514" s="14" t="n"/>
      <c r="M514" s="16" t="n"/>
      <c r="N514" s="125" t="n"/>
      <c r="O514" s="14" t="n"/>
      <c r="P514" s="16" t="n"/>
      <c r="Q514" s="125" t="n"/>
      <c r="R514" s="14" t="n"/>
      <c r="S514" s="16" t="n"/>
      <c r="T514" s="125" t="n"/>
      <c r="U514" s="14" t="n"/>
      <c r="V514" s="16" t="n"/>
      <c r="W514" s="125" t="n"/>
      <c r="X514" s="14" t="n"/>
      <c r="Y514" s="16" t="n"/>
      <c r="Z514" s="125" t="n"/>
      <c r="AA514" s="14" t="n"/>
      <c r="AB514" s="16" t="n"/>
      <c r="AC514" s="125" t="n"/>
      <c r="AD514" s="14" t="n"/>
    </row>
    <row r="515">
      <c r="A515" s="58" t="n"/>
      <c r="B515" s="59" t="n"/>
      <c r="C515" s="59" t="n"/>
      <c r="E515" s="16" t="n"/>
      <c r="F515" s="13" t="n"/>
      <c r="G515" s="16" t="n"/>
      <c r="H515" s="125" t="n"/>
      <c r="I515" s="14" t="n"/>
      <c r="J515" s="16" t="n"/>
      <c r="K515" s="125" t="n"/>
      <c r="L515" s="14" t="n"/>
      <c r="M515" s="16" t="n"/>
      <c r="N515" s="125" t="n"/>
      <c r="O515" s="14" t="n"/>
      <c r="P515" s="16" t="n"/>
      <c r="Q515" s="125" t="n"/>
      <c r="R515" s="14" t="n"/>
      <c r="S515" s="16" t="n"/>
      <c r="T515" s="125" t="n"/>
      <c r="U515" s="14" t="n"/>
      <c r="V515" s="16" t="n"/>
      <c r="W515" s="125" t="n"/>
      <c r="X515" s="14" t="n"/>
      <c r="Y515" s="16" t="n"/>
      <c r="Z515" s="125" t="n"/>
      <c r="AA515" s="14" t="n"/>
      <c r="AB515" s="16" t="n"/>
      <c r="AC515" s="125" t="n"/>
      <c r="AD515" s="14" t="n"/>
    </row>
    <row r="516">
      <c r="A516" s="56" t="n"/>
      <c r="B516" s="59" t="n"/>
      <c r="C516" s="59" t="n"/>
      <c r="E516" s="16" t="n"/>
      <c r="F516" s="13" t="n"/>
      <c r="G516" s="16" t="n"/>
      <c r="H516" s="125" t="n"/>
      <c r="I516" s="14" t="n"/>
      <c r="J516" s="16" t="n"/>
      <c r="K516" s="125" t="n"/>
      <c r="L516" s="14" t="n"/>
      <c r="M516" s="16" t="n"/>
      <c r="N516" s="125" t="n"/>
      <c r="O516" s="14" t="n"/>
      <c r="P516" s="16" t="n"/>
      <c r="Q516" s="125" t="n"/>
      <c r="R516" s="14" t="n"/>
      <c r="S516" s="16" t="n"/>
      <c r="T516" s="125" t="n"/>
      <c r="U516" s="14" t="n"/>
      <c r="V516" s="16" t="n"/>
      <c r="W516" s="125" t="n"/>
      <c r="X516" s="14" t="n"/>
      <c r="Y516" s="16" t="n"/>
      <c r="Z516" s="125" t="n"/>
      <c r="AA516" s="14" t="n"/>
      <c r="AB516" s="16" t="n"/>
      <c r="AC516" s="125" t="n"/>
      <c r="AD516" s="14" t="n"/>
    </row>
    <row r="517">
      <c r="A517" s="58" t="n"/>
      <c r="B517" s="59" t="n"/>
      <c r="C517" s="59" t="n"/>
      <c r="E517" s="16" t="n"/>
      <c r="F517" s="13" t="n"/>
      <c r="G517" s="16" t="n"/>
      <c r="H517" s="125" t="n"/>
      <c r="I517" s="14" t="n"/>
      <c r="J517" s="16" t="n"/>
      <c r="K517" s="125" t="n"/>
      <c r="L517" s="14" t="n"/>
      <c r="M517" s="16" t="n"/>
      <c r="N517" s="125" t="n"/>
      <c r="O517" s="14" t="n"/>
      <c r="P517" s="16" t="n"/>
      <c r="Q517" s="125" t="n"/>
      <c r="R517" s="14" t="n"/>
      <c r="S517" s="16" t="n"/>
      <c r="T517" s="125" t="n"/>
      <c r="U517" s="14" t="n"/>
      <c r="V517" s="16" t="n"/>
      <c r="W517" s="125" t="n"/>
      <c r="X517" s="14" t="n"/>
      <c r="Y517" s="16" t="n"/>
      <c r="Z517" s="125" t="n"/>
      <c r="AA517" s="14" t="n"/>
      <c r="AB517" s="16" t="n"/>
      <c r="AC517" s="125" t="n"/>
      <c r="AD517" s="14" t="n"/>
    </row>
    <row r="518">
      <c r="A518" s="56" t="n"/>
      <c r="B518" s="59" t="n"/>
      <c r="C518" s="59" t="n"/>
      <c r="E518" s="16" t="n"/>
      <c r="F518" s="13" t="n"/>
      <c r="G518" s="16" t="n"/>
      <c r="H518" s="125" t="n"/>
      <c r="I518" s="14" t="n"/>
      <c r="J518" s="16" t="n"/>
      <c r="K518" s="125" t="n"/>
      <c r="L518" s="14" t="n"/>
      <c r="M518" s="16" t="n"/>
      <c r="N518" s="125" t="n"/>
      <c r="O518" s="14" t="n"/>
      <c r="P518" s="16" t="n"/>
      <c r="Q518" s="125" t="n"/>
      <c r="R518" s="14" t="n"/>
      <c r="S518" s="16" t="n"/>
      <c r="T518" s="125" t="n"/>
      <c r="U518" s="14" t="n"/>
      <c r="V518" s="16" t="n"/>
      <c r="W518" s="125" t="n"/>
      <c r="X518" s="14" t="n"/>
      <c r="Y518" s="16" t="n"/>
      <c r="Z518" s="125" t="n"/>
      <c r="AA518" s="14" t="n"/>
      <c r="AB518" s="16" t="n"/>
      <c r="AC518" s="125" t="n"/>
      <c r="AD518" s="14" t="n"/>
    </row>
    <row r="519">
      <c r="A519" s="58" t="n"/>
      <c r="B519" s="59" t="n"/>
      <c r="C519" s="59" t="n"/>
      <c r="E519" s="16" t="n"/>
      <c r="F519" s="13" t="n"/>
      <c r="G519" s="16" t="n"/>
      <c r="H519" s="125" t="n"/>
      <c r="I519" s="14" t="n"/>
      <c r="J519" s="16" t="n"/>
      <c r="K519" s="125" t="n"/>
      <c r="L519" s="14" t="n"/>
      <c r="M519" s="16" t="n"/>
      <c r="N519" s="125" t="n"/>
      <c r="O519" s="14" t="n"/>
      <c r="P519" s="16" t="n"/>
      <c r="Q519" s="125" t="n"/>
      <c r="R519" s="14" t="n"/>
      <c r="S519" s="16" t="n"/>
      <c r="T519" s="125" t="n"/>
      <c r="U519" s="14" t="n"/>
      <c r="V519" s="16" t="n"/>
      <c r="W519" s="125" t="n"/>
      <c r="X519" s="14" t="n"/>
      <c r="Y519" s="16" t="n"/>
      <c r="Z519" s="125" t="n"/>
      <c r="AA519" s="14" t="n"/>
      <c r="AB519" s="16" t="n"/>
      <c r="AC519" s="125" t="n"/>
      <c r="AD519" s="14" t="n"/>
    </row>
    <row r="520">
      <c r="A520" s="56" t="n"/>
      <c r="B520" s="59" t="n"/>
      <c r="C520" s="59" t="n"/>
      <c r="E520" s="16" t="n"/>
      <c r="F520" s="13" t="n"/>
      <c r="G520" s="16" t="n"/>
      <c r="H520" s="125" t="n"/>
      <c r="I520" s="14" t="n"/>
      <c r="J520" s="16" t="n"/>
      <c r="K520" s="125" t="n"/>
      <c r="L520" s="14" t="n"/>
      <c r="M520" s="16" t="n"/>
      <c r="N520" s="125" t="n"/>
      <c r="O520" s="14" t="n"/>
      <c r="P520" s="16" t="n"/>
      <c r="Q520" s="125" t="n"/>
      <c r="R520" s="14" t="n"/>
      <c r="S520" s="16" t="n"/>
      <c r="T520" s="125" t="n"/>
      <c r="U520" s="14" t="n"/>
      <c r="V520" s="16" t="n"/>
      <c r="W520" s="125" t="n"/>
      <c r="X520" s="14" t="n"/>
      <c r="Y520" s="16" t="n"/>
      <c r="Z520" s="125" t="n"/>
      <c r="AA520" s="14" t="n"/>
      <c r="AB520" s="16" t="n"/>
      <c r="AC520" s="125" t="n"/>
      <c r="AD520" s="14" t="n"/>
    </row>
    <row r="521">
      <c r="A521" s="58" t="n"/>
      <c r="B521" s="59" t="n"/>
      <c r="C521" s="59" t="n"/>
      <c r="E521" s="16" t="n"/>
      <c r="F521" s="13" t="n"/>
      <c r="G521" s="16" t="n"/>
      <c r="H521" s="125" t="n"/>
      <c r="I521" s="14" t="n"/>
      <c r="J521" s="16" t="n"/>
      <c r="K521" s="125" t="n"/>
      <c r="L521" s="14" t="n"/>
      <c r="M521" s="16" t="n"/>
      <c r="N521" s="125" t="n"/>
      <c r="O521" s="14" t="n"/>
      <c r="P521" s="16" t="n"/>
      <c r="Q521" s="125" t="n"/>
      <c r="R521" s="14" t="n"/>
      <c r="S521" s="16" t="n"/>
      <c r="T521" s="125" t="n"/>
      <c r="U521" s="14" t="n"/>
      <c r="V521" s="16" t="n"/>
      <c r="W521" s="125" t="n"/>
      <c r="X521" s="14" t="n"/>
      <c r="Y521" s="16" t="n"/>
      <c r="Z521" s="125" t="n"/>
      <c r="AA521" s="14" t="n"/>
      <c r="AB521" s="16" t="n"/>
      <c r="AC521" s="125" t="n"/>
      <c r="AD521" s="14" t="n"/>
    </row>
    <row r="522">
      <c r="A522" s="56" t="n"/>
      <c r="B522" s="59" t="n"/>
      <c r="C522" s="59" t="n"/>
      <c r="E522" s="16" t="n"/>
      <c r="F522" s="13" t="n"/>
      <c r="G522" s="16" t="n"/>
      <c r="H522" s="125" t="n"/>
      <c r="I522" s="14" t="n"/>
      <c r="J522" s="16" t="n"/>
      <c r="K522" s="125" t="n"/>
      <c r="L522" s="14" t="n"/>
      <c r="M522" s="16" t="n"/>
      <c r="N522" s="125" t="n"/>
      <c r="O522" s="14" t="n"/>
      <c r="P522" s="16" t="n"/>
      <c r="Q522" s="125" t="n"/>
      <c r="R522" s="14" t="n"/>
      <c r="S522" s="16" t="n"/>
      <c r="T522" s="125" t="n"/>
      <c r="U522" s="14" t="n"/>
      <c r="V522" s="16" t="n"/>
      <c r="W522" s="125" t="n"/>
      <c r="X522" s="14" t="n"/>
      <c r="Y522" s="16" t="n"/>
      <c r="Z522" s="125" t="n"/>
      <c r="AA522" s="14" t="n"/>
      <c r="AB522" s="16" t="n"/>
      <c r="AC522" s="125" t="n"/>
      <c r="AD522" s="14" t="n"/>
    </row>
    <row r="523">
      <c r="A523" s="58" t="n"/>
      <c r="B523" s="59" t="n"/>
      <c r="C523" s="59" t="n"/>
      <c r="E523" s="16" t="n"/>
      <c r="F523" s="13" t="n"/>
      <c r="G523" s="16" t="n"/>
      <c r="H523" s="125" t="n"/>
      <c r="I523" s="14" t="n"/>
      <c r="J523" s="16" t="n"/>
      <c r="K523" s="125" t="n"/>
      <c r="L523" s="14" t="n"/>
      <c r="M523" s="16" t="n"/>
      <c r="N523" s="125" t="n"/>
      <c r="O523" s="14" t="n"/>
      <c r="P523" s="16" t="n"/>
      <c r="Q523" s="125" t="n"/>
      <c r="R523" s="14" t="n"/>
      <c r="S523" s="16" t="n"/>
      <c r="T523" s="125" t="n"/>
      <c r="U523" s="14" t="n"/>
      <c r="V523" s="16" t="n"/>
      <c r="W523" s="125" t="n"/>
      <c r="X523" s="14" t="n"/>
      <c r="Y523" s="16" t="n"/>
      <c r="Z523" s="125" t="n"/>
      <c r="AA523" s="14" t="n"/>
      <c r="AB523" s="16" t="n"/>
      <c r="AC523" s="125" t="n"/>
      <c r="AD523" s="14" t="n"/>
    </row>
    <row r="524">
      <c r="A524" s="56" t="n"/>
      <c r="B524" s="59" t="n"/>
      <c r="C524" s="59" t="n"/>
      <c r="E524" s="16" t="n"/>
      <c r="F524" s="13" t="n"/>
      <c r="G524" s="16" t="n"/>
      <c r="H524" s="125" t="n"/>
      <c r="I524" s="14" t="n"/>
      <c r="J524" s="16" t="n"/>
      <c r="K524" s="125" t="n"/>
      <c r="L524" s="14" t="n"/>
      <c r="M524" s="16" t="n"/>
      <c r="N524" s="125" t="n"/>
      <c r="O524" s="14" t="n"/>
      <c r="P524" s="16" t="n"/>
      <c r="Q524" s="125" t="n"/>
      <c r="R524" s="14" t="n"/>
      <c r="S524" s="16" t="n"/>
      <c r="T524" s="125" t="n"/>
      <c r="U524" s="14" t="n"/>
      <c r="V524" s="16" t="n"/>
      <c r="W524" s="125" t="n"/>
      <c r="X524" s="14" t="n"/>
      <c r="Y524" s="16" t="n"/>
      <c r="Z524" s="125" t="n"/>
      <c r="AA524" s="14" t="n"/>
      <c r="AB524" s="16" t="n"/>
      <c r="AC524" s="125" t="n"/>
      <c r="AD524" s="14" t="n"/>
    </row>
    <row r="525">
      <c r="A525" s="58" t="n"/>
      <c r="B525" s="59" t="n"/>
      <c r="C525" s="59" t="n"/>
      <c r="E525" s="16" t="n"/>
      <c r="F525" s="13" t="n"/>
      <c r="G525" s="16" t="n"/>
      <c r="H525" s="125" t="n"/>
      <c r="I525" s="14" t="n"/>
      <c r="J525" s="16" t="n"/>
      <c r="K525" s="125" t="n"/>
      <c r="L525" s="14" t="n"/>
      <c r="M525" s="16" t="n"/>
      <c r="N525" s="125" t="n"/>
      <c r="O525" s="14" t="n"/>
      <c r="P525" s="16" t="n"/>
      <c r="Q525" s="125" t="n"/>
      <c r="R525" s="14" t="n"/>
      <c r="S525" s="16" t="n"/>
      <c r="T525" s="125" t="n"/>
      <c r="U525" s="14" t="n"/>
      <c r="V525" s="16" t="n"/>
      <c r="W525" s="125" t="n"/>
      <c r="X525" s="14" t="n"/>
      <c r="Y525" s="16" t="n"/>
      <c r="Z525" s="125" t="n"/>
      <c r="AA525" s="14" t="n"/>
      <c r="AB525" s="16" t="n"/>
      <c r="AC525" s="125" t="n"/>
      <c r="AD525" s="14" t="n"/>
    </row>
    <row r="526">
      <c r="A526" s="56" t="n"/>
      <c r="B526" s="59" t="n"/>
      <c r="C526" s="59" t="n"/>
      <c r="E526" s="16" t="n"/>
      <c r="F526" s="13" t="n"/>
      <c r="G526" s="16" t="n"/>
      <c r="H526" s="125" t="n"/>
      <c r="I526" s="14" t="n"/>
      <c r="J526" s="16" t="n"/>
      <c r="K526" s="125" t="n"/>
      <c r="L526" s="14" t="n"/>
      <c r="M526" s="16" t="n"/>
      <c r="N526" s="125" t="n"/>
      <c r="O526" s="14" t="n"/>
      <c r="P526" s="16" t="n"/>
      <c r="Q526" s="125" t="n"/>
      <c r="R526" s="14" t="n"/>
      <c r="S526" s="16" t="n"/>
      <c r="T526" s="125" t="n"/>
      <c r="U526" s="14" t="n"/>
      <c r="V526" s="16" t="n"/>
      <c r="W526" s="125" t="n"/>
      <c r="X526" s="14" t="n"/>
      <c r="Y526" s="16" t="n"/>
      <c r="Z526" s="125" t="n"/>
      <c r="AA526" s="14" t="n"/>
      <c r="AB526" s="16" t="n"/>
      <c r="AC526" s="125" t="n"/>
      <c r="AD526" s="14" t="n"/>
    </row>
    <row r="527">
      <c r="A527" s="58" t="n"/>
      <c r="B527" s="59" t="n"/>
      <c r="C527" s="59" t="n"/>
      <c r="E527" s="16" t="n"/>
      <c r="F527" s="13" t="n"/>
      <c r="G527" s="16" t="n"/>
      <c r="H527" s="125" t="n"/>
      <c r="I527" s="14" t="n"/>
      <c r="J527" s="16" t="n"/>
      <c r="K527" s="125" t="n"/>
      <c r="L527" s="14" t="n"/>
      <c r="M527" s="16" t="n"/>
      <c r="N527" s="125" t="n"/>
      <c r="O527" s="14" t="n"/>
      <c r="P527" s="16" t="n"/>
      <c r="Q527" s="125" t="n"/>
      <c r="R527" s="14" t="n"/>
      <c r="S527" s="16" t="n"/>
      <c r="T527" s="125" t="n"/>
      <c r="U527" s="14" t="n"/>
      <c r="V527" s="16" t="n"/>
      <c r="W527" s="125" t="n"/>
      <c r="X527" s="14" t="n"/>
      <c r="Y527" s="16" t="n"/>
      <c r="Z527" s="125" t="n"/>
      <c r="AA527" s="14" t="n"/>
      <c r="AB527" s="16" t="n"/>
      <c r="AC527" s="125" t="n"/>
      <c r="AD527" s="14" t="n"/>
    </row>
    <row r="528">
      <c r="A528" s="56" t="n"/>
      <c r="B528" s="59" t="n"/>
      <c r="C528" s="59" t="n"/>
      <c r="E528" s="16" t="n"/>
      <c r="F528" s="13" t="n"/>
      <c r="G528" s="16" t="n"/>
      <c r="H528" s="125" t="n"/>
      <c r="I528" s="14" t="n"/>
      <c r="J528" s="16" t="n"/>
      <c r="K528" s="125" t="n"/>
      <c r="L528" s="14" t="n"/>
      <c r="M528" s="16" t="n"/>
      <c r="N528" s="125" t="n"/>
      <c r="O528" s="14" t="n"/>
      <c r="P528" s="16" t="n"/>
      <c r="Q528" s="125" t="n"/>
      <c r="R528" s="14" t="n"/>
      <c r="S528" s="16" t="n"/>
      <c r="T528" s="125" t="n"/>
      <c r="U528" s="14" t="n"/>
      <c r="V528" s="16" t="n"/>
      <c r="W528" s="125" t="n"/>
      <c r="X528" s="14" t="n"/>
      <c r="Y528" s="16" t="n"/>
      <c r="Z528" s="125" t="n"/>
      <c r="AA528" s="14" t="n"/>
      <c r="AB528" s="16" t="n"/>
      <c r="AC528" s="125" t="n"/>
      <c r="AD528" s="14" t="n"/>
    </row>
    <row r="529">
      <c r="A529" s="58" t="n"/>
      <c r="B529" s="59" t="n"/>
      <c r="C529" s="59" t="n"/>
      <c r="E529" s="16" t="n"/>
      <c r="F529" s="13" t="n"/>
      <c r="G529" s="16" t="n"/>
      <c r="H529" s="125" t="n"/>
      <c r="I529" s="14" t="n"/>
      <c r="J529" s="16" t="n"/>
      <c r="K529" s="125" t="n"/>
      <c r="L529" s="14" t="n"/>
      <c r="M529" s="16" t="n"/>
      <c r="N529" s="125" t="n"/>
      <c r="O529" s="14" t="n"/>
      <c r="P529" s="16" t="n"/>
      <c r="Q529" s="125" t="n"/>
      <c r="R529" s="14" t="n"/>
      <c r="S529" s="16" t="n"/>
      <c r="T529" s="125" t="n"/>
      <c r="U529" s="14" t="n"/>
      <c r="V529" s="16" t="n"/>
      <c r="W529" s="125" t="n"/>
      <c r="X529" s="14" t="n"/>
      <c r="Y529" s="16" t="n"/>
      <c r="Z529" s="125" t="n"/>
      <c r="AA529" s="14" t="n"/>
      <c r="AB529" s="16" t="n"/>
      <c r="AC529" s="125" t="n"/>
      <c r="AD529" s="14" t="n"/>
    </row>
    <row r="530">
      <c r="A530" s="56" t="n"/>
      <c r="B530" s="59" t="n"/>
      <c r="C530" s="59" t="n"/>
      <c r="E530" s="16" t="n"/>
      <c r="F530" s="13" t="n"/>
      <c r="G530" s="16" t="n"/>
      <c r="H530" s="125" t="n"/>
      <c r="I530" s="14" t="n"/>
      <c r="J530" s="16" t="n"/>
      <c r="K530" s="125" t="n"/>
      <c r="L530" s="14" t="n"/>
      <c r="M530" s="16" t="n"/>
      <c r="N530" s="125" t="n"/>
      <c r="O530" s="14" t="n"/>
      <c r="P530" s="16" t="n"/>
      <c r="Q530" s="125" t="n"/>
      <c r="R530" s="14" t="n"/>
      <c r="S530" s="16" t="n"/>
      <c r="T530" s="125" t="n"/>
      <c r="U530" s="14" t="n"/>
      <c r="V530" s="16" t="n"/>
      <c r="W530" s="125" t="n"/>
      <c r="X530" s="14" t="n"/>
      <c r="Y530" s="16" t="n"/>
      <c r="Z530" s="125" t="n"/>
      <c r="AA530" s="14" t="n"/>
      <c r="AB530" s="16" t="n"/>
      <c r="AC530" s="125" t="n"/>
      <c r="AD530" s="14" t="n"/>
    </row>
    <row r="531">
      <c r="A531" s="58" t="n"/>
      <c r="B531" s="59" t="n"/>
      <c r="C531" s="59" t="n"/>
      <c r="E531" s="16" t="n"/>
      <c r="F531" s="13" t="n"/>
      <c r="G531" s="16" t="n"/>
      <c r="H531" s="125" t="n"/>
      <c r="I531" s="14" t="n"/>
      <c r="J531" s="16" t="n"/>
      <c r="K531" s="125" t="n"/>
      <c r="L531" s="14" t="n"/>
      <c r="M531" s="16" t="n"/>
      <c r="N531" s="125" t="n"/>
      <c r="O531" s="14" t="n"/>
      <c r="P531" s="16" t="n"/>
      <c r="Q531" s="125" t="n"/>
      <c r="R531" s="14" t="n"/>
      <c r="S531" s="16" t="n"/>
      <c r="T531" s="125" t="n"/>
      <c r="U531" s="14" t="n"/>
      <c r="V531" s="16" t="n"/>
      <c r="W531" s="125" t="n"/>
      <c r="X531" s="14" t="n"/>
      <c r="Y531" s="16" t="n"/>
      <c r="Z531" s="125" t="n"/>
      <c r="AA531" s="14" t="n"/>
      <c r="AB531" s="16" t="n"/>
      <c r="AC531" s="125" t="n"/>
      <c r="AD531" s="14" t="n"/>
    </row>
    <row r="532">
      <c r="A532" s="56" t="n"/>
      <c r="B532" s="59" t="n"/>
      <c r="C532" s="59" t="n"/>
      <c r="E532" s="16" t="n"/>
      <c r="F532" s="13" t="n"/>
      <c r="G532" s="16" t="n"/>
      <c r="H532" s="125" t="n"/>
      <c r="I532" s="14" t="n"/>
      <c r="J532" s="16" t="n"/>
      <c r="K532" s="125" t="n"/>
      <c r="L532" s="14" t="n"/>
      <c r="M532" s="16" t="n"/>
      <c r="N532" s="125" t="n"/>
      <c r="O532" s="14" t="n"/>
      <c r="P532" s="16" t="n"/>
      <c r="Q532" s="125" t="n"/>
      <c r="R532" s="14" t="n"/>
      <c r="S532" s="16" t="n"/>
      <c r="T532" s="125" t="n"/>
      <c r="U532" s="14" t="n"/>
      <c r="V532" s="16" t="n"/>
      <c r="W532" s="125" t="n"/>
      <c r="X532" s="14" t="n"/>
      <c r="Y532" s="16" t="n"/>
      <c r="Z532" s="125" t="n"/>
      <c r="AA532" s="14" t="n"/>
      <c r="AB532" s="16" t="n"/>
      <c r="AC532" s="125" t="n"/>
      <c r="AD532" s="14" t="n"/>
    </row>
    <row r="533">
      <c r="A533" s="58" t="n"/>
      <c r="B533" s="59" t="n"/>
      <c r="C533" s="59" t="n"/>
      <c r="E533" s="16" t="n"/>
      <c r="F533" s="13" t="n"/>
      <c r="G533" s="16" t="n"/>
      <c r="H533" s="125" t="n"/>
      <c r="I533" s="14" t="n"/>
      <c r="J533" s="16" t="n"/>
      <c r="K533" s="125" t="n"/>
      <c r="L533" s="14" t="n"/>
      <c r="M533" s="16" t="n"/>
      <c r="N533" s="125" t="n"/>
      <c r="O533" s="14" t="n"/>
      <c r="P533" s="16" t="n"/>
      <c r="Q533" s="125" t="n"/>
      <c r="R533" s="14" t="n"/>
      <c r="S533" s="16" t="n"/>
      <c r="T533" s="125" t="n"/>
      <c r="U533" s="14" t="n"/>
      <c r="V533" s="16" t="n"/>
      <c r="W533" s="125" t="n"/>
      <c r="X533" s="14" t="n"/>
      <c r="Y533" s="16" t="n"/>
      <c r="Z533" s="125" t="n"/>
      <c r="AA533" s="14" t="n"/>
      <c r="AB533" s="16" t="n"/>
      <c r="AC533" s="125" t="n"/>
      <c r="AD533" s="14" t="n"/>
    </row>
    <row r="534">
      <c r="A534" s="56" t="n"/>
      <c r="B534" s="59" t="n"/>
      <c r="C534" s="59" t="n"/>
      <c r="E534" s="16" t="n"/>
      <c r="F534" s="13" t="n"/>
      <c r="G534" s="16" t="n"/>
      <c r="H534" s="125" t="n"/>
      <c r="I534" s="14" t="n"/>
      <c r="J534" s="16" t="n"/>
      <c r="K534" s="125" t="n"/>
      <c r="L534" s="14" t="n"/>
      <c r="M534" s="16" t="n"/>
      <c r="N534" s="125" t="n"/>
      <c r="O534" s="14" t="n"/>
      <c r="P534" s="16" t="n"/>
      <c r="Q534" s="125" t="n"/>
      <c r="R534" s="14" t="n"/>
      <c r="S534" s="16" t="n"/>
      <c r="T534" s="125" t="n"/>
      <c r="U534" s="14" t="n"/>
      <c r="V534" s="16" t="n"/>
      <c r="W534" s="125" t="n"/>
      <c r="X534" s="14" t="n"/>
      <c r="Y534" s="16" t="n"/>
      <c r="Z534" s="125" t="n"/>
      <c r="AA534" s="14" t="n"/>
      <c r="AB534" s="16" t="n"/>
      <c r="AC534" s="125" t="n"/>
      <c r="AD534" s="14" t="n"/>
    </row>
    <row r="535">
      <c r="A535" s="58" t="n"/>
      <c r="B535" s="59" t="n"/>
      <c r="C535" s="59" t="n"/>
      <c r="E535" s="16" t="n"/>
      <c r="F535" s="13" t="n"/>
      <c r="G535" s="16" t="n"/>
      <c r="H535" s="125" t="n"/>
      <c r="I535" s="14" t="n"/>
      <c r="J535" s="16" t="n"/>
      <c r="K535" s="125" t="n"/>
      <c r="L535" s="14" t="n"/>
      <c r="M535" s="16" t="n"/>
      <c r="N535" s="125" t="n"/>
      <c r="O535" s="14" t="n"/>
      <c r="P535" s="16" t="n"/>
      <c r="Q535" s="125" t="n"/>
      <c r="R535" s="14" t="n"/>
      <c r="S535" s="16" t="n"/>
      <c r="T535" s="125" t="n"/>
      <c r="U535" s="14" t="n"/>
      <c r="V535" s="16" t="n"/>
      <c r="W535" s="125" t="n"/>
      <c r="X535" s="14" t="n"/>
      <c r="Y535" s="16" t="n"/>
      <c r="Z535" s="125" t="n"/>
      <c r="AA535" s="14" t="n"/>
      <c r="AB535" s="16" t="n"/>
      <c r="AC535" s="125" t="n"/>
      <c r="AD535" s="14" t="n"/>
    </row>
    <row r="536">
      <c r="A536" s="56" t="n"/>
      <c r="B536" s="59" t="n"/>
      <c r="C536" s="59" t="n"/>
      <c r="E536" s="16" t="n"/>
      <c r="F536" s="13" t="n"/>
      <c r="G536" s="16" t="n"/>
      <c r="H536" s="125" t="n"/>
      <c r="I536" s="14" t="n"/>
      <c r="J536" s="16" t="n"/>
      <c r="K536" s="125" t="n"/>
      <c r="L536" s="14" t="n"/>
      <c r="M536" s="16" t="n"/>
      <c r="N536" s="125" t="n"/>
      <c r="O536" s="14" t="n"/>
      <c r="P536" s="16" t="n"/>
      <c r="Q536" s="125" t="n"/>
      <c r="R536" s="14" t="n"/>
      <c r="S536" s="16" t="n"/>
      <c r="T536" s="125" t="n"/>
      <c r="U536" s="14" t="n"/>
      <c r="V536" s="16" t="n"/>
      <c r="W536" s="125" t="n"/>
      <c r="X536" s="14" t="n"/>
      <c r="Y536" s="16" t="n"/>
      <c r="Z536" s="125" t="n"/>
      <c r="AA536" s="14" t="n"/>
      <c r="AB536" s="16" t="n"/>
      <c r="AC536" s="125" t="n"/>
      <c r="AD536" s="14" t="n"/>
    </row>
    <row r="537">
      <c r="A537" s="58" t="n"/>
      <c r="B537" s="59" t="n"/>
      <c r="C537" s="59" t="n"/>
      <c r="E537" s="16" t="n"/>
      <c r="F537" s="13" t="n"/>
      <c r="G537" s="16" t="n"/>
      <c r="H537" s="125" t="n"/>
      <c r="I537" s="14" t="n"/>
      <c r="J537" s="16" t="n"/>
      <c r="K537" s="125" t="n"/>
      <c r="L537" s="14" t="n"/>
      <c r="M537" s="16" t="n"/>
      <c r="N537" s="125" t="n"/>
      <c r="O537" s="14" t="n"/>
      <c r="P537" s="16" t="n"/>
      <c r="Q537" s="125" t="n"/>
      <c r="R537" s="14" t="n"/>
      <c r="S537" s="16" t="n"/>
      <c r="T537" s="125" t="n"/>
      <c r="U537" s="14" t="n"/>
      <c r="V537" s="16" t="n"/>
      <c r="W537" s="125" t="n"/>
      <c r="X537" s="14" t="n"/>
      <c r="Y537" s="16" t="n"/>
      <c r="Z537" s="125" t="n"/>
      <c r="AA537" s="14" t="n"/>
      <c r="AB537" s="16" t="n"/>
      <c r="AC537" s="125" t="n"/>
      <c r="AD537" s="14" t="n"/>
    </row>
    <row r="538">
      <c r="A538" s="56" t="n"/>
      <c r="B538" s="59" t="n"/>
      <c r="C538" s="59" t="n"/>
      <c r="E538" s="16" t="n"/>
      <c r="F538" s="13" t="n"/>
      <c r="G538" s="16" t="n"/>
      <c r="H538" s="125" t="n"/>
      <c r="I538" s="14" t="n"/>
      <c r="J538" s="16" t="n"/>
      <c r="K538" s="125" t="n"/>
      <c r="L538" s="14" t="n"/>
      <c r="M538" s="16" t="n"/>
      <c r="N538" s="125" t="n"/>
      <c r="O538" s="14" t="n"/>
      <c r="P538" s="16" t="n"/>
      <c r="Q538" s="125" t="n"/>
      <c r="R538" s="14" t="n"/>
      <c r="S538" s="16" t="n"/>
      <c r="T538" s="125" t="n"/>
      <c r="U538" s="14" t="n"/>
      <c r="V538" s="16" t="n"/>
      <c r="W538" s="125" t="n"/>
      <c r="X538" s="14" t="n"/>
      <c r="Y538" s="16" t="n"/>
      <c r="Z538" s="125" t="n"/>
      <c r="AA538" s="14" t="n"/>
      <c r="AB538" s="16" t="n"/>
      <c r="AC538" s="125" t="n"/>
      <c r="AD538" s="14" t="n"/>
    </row>
    <row r="539">
      <c r="A539" s="58" t="n"/>
      <c r="B539" s="59" t="n"/>
      <c r="C539" s="59" t="n"/>
      <c r="E539" s="16" t="n"/>
      <c r="F539" s="13" t="n"/>
      <c r="G539" s="16" t="n"/>
      <c r="H539" s="125" t="n"/>
      <c r="I539" s="14" t="n"/>
      <c r="J539" s="16" t="n"/>
      <c r="K539" s="125" t="n"/>
      <c r="L539" s="14" t="n"/>
      <c r="M539" s="16" t="n"/>
      <c r="N539" s="125" t="n"/>
      <c r="O539" s="14" t="n"/>
      <c r="P539" s="16" t="n"/>
      <c r="Q539" s="125" t="n"/>
      <c r="R539" s="14" t="n"/>
      <c r="S539" s="16" t="n"/>
      <c r="T539" s="125" t="n"/>
      <c r="U539" s="14" t="n"/>
      <c r="V539" s="16" t="n"/>
      <c r="W539" s="125" t="n"/>
      <c r="X539" s="14" t="n"/>
      <c r="Y539" s="16" t="n"/>
      <c r="Z539" s="125" t="n"/>
      <c r="AA539" s="14" t="n"/>
      <c r="AB539" s="16" t="n"/>
      <c r="AC539" s="125" t="n"/>
      <c r="AD539" s="14" t="n"/>
    </row>
    <row r="540">
      <c r="A540" s="56" t="n"/>
      <c r="B540" s="59" t="n"/>
      <c r="C540" s="59" t="n"/>
      <c r="E540" s="16" t="n"/>
      <c r="F540" s="13" t="n"/>
      <c r="G540" s="16" t="n"/>
      <c r="H540" s="125" t="n"/>
      <c r="I540" s="14" t="n"/>
      <c r="J540" s="16" t="n"/>
      <c r="K540" s="125" t="n"/>
      <c r="L540" s="14" t="n"/>
      <c r="M540" s="16" t="n"/>
      <c r="N540" s="125" t="n"/>
      <c r="O540" s="14" t="n"/>
      <c r="P540" s="16" t="n"/>
      <c r="Q540" s="125" t="n"/>
      <c r="R540" s="14" t="n"/>
      <c r="S540" s="16" t="n"/>
      <c r="T540" s="125" t="n"/>
      <c r="U540" s="14" t="n"/>
      <c r="V540" s="16" t="n"/>
      <c r="W540" s="125" t="n"/>
      <c r="X540" s="14" t="n"/>
      <c r="Y540" s="16" t="n"/>
      <c r="Z540" s="125" t="n"/>
      <c r="AA540" s="14" t="n"/>
      <c r="AB540" s="16" t="n"/>
      <c r="AC540" s="125" t="n"/>
      <c r="AD540" s="14" t="n"/>
    </row>
    <row r="541">
      <c r="A541" s="58" t="n"/>
      <c r="B541" s="59" t="n"/>
      <c r="C541" s="59" t="n"/>
      <c r="E541" s="16" t="n"/>
      <c r="F541" s="13" t="n"/>
      <c r="G541" s="16" t="n"/>
      <c r="H541" s="125" t="n"/>
      <c r="I541" s="14" t="n"/>
      <c r="J541" s="16" t="n"/>
      <c r="K541" s="125" t="n"/>
      <c r="L541" s="14" t="n"/>
      <c r="M541" s="16" t="n"/>
      <c r="N541" s="125" t="n"/>
      <c r="O541" s="14" t="n"/>
      <c r="P541" s="16" t="n"/>
      <c r="Q541" s="125" t="n"/>
      <c r="R541" s="14" t="n"/>
      <c r="S541" s="16" t="n"/>
      <c r="T541" s="125" t="n"/>
      <c r="U541" s="14" t="n"/>
      <c r="V541" s="16" t="n"/>
      <c r="W541" s="125" t="n"/>
      <c r="X541" s="14" t="n"/>
      <c r="Y541" s="16" t="n"/>
      <c r="Z541" s="125" t="n"/>
      <c r="AA541" s="14" t="n"/>
      <c r="AB541" s="16" t="n"/>
      <c r="AC541" s="125" t="n"/>
      <c r="AD541" s="14" t="n"/>
    </row>
    <row r="542">
      <c r="A542" s="56" t="n"/>
      <c r="B542" s="59" t="n"/>
      <c r="C542" s="59" t="n"/>
      <c r="E542" s="16" t="n"/>
      <c r="F542" s="13" t="n"/>
      <c r="G542" s="16" t="n"/>
      <c r="H542" s="125" t="n"/>
      <c r="I542" s="14" t="n"/>
      <c r="J542" s="16" t="n"/>
      <c r="K542" s="125" t="n"/>
      <c r="L542" s="14" t="n"/>
      <c r="M542" s="16" t="n"/>
      <c r="N542" s="125" t="n"/>
      <c r="O542" s="14" t="n"/>
      <c r="P542" s="16" t="n"/>
      <c r="Q542" s="125" t="n"/>
      <c r="R542" s="14" t="n"/>
      <c r="S542" s="16" t="n"/>
      <c r="T542" s="125" t="n"/>
      <c r="U542" s="14" t="n"/>
      <c r="V542" s="16" t="n"/>
      <c r="W542" s="125" t="n"/>
      <c r="X542" s="14" t="n"/>
      <c r="Y542" s="16" t="n"/>
      <c r="Z542" s="125" t="n"/>
      <c r="AA542" s="14" t="n"/>
      <c r="AB542" s="16" t="n"/>
      <c r="AC542" s="125" t="n"/>
      <c r="AD542" s="14" t="n"/>
    </row>
    <row r="543">
      <c r="A543" s="58" t="n"/>
      <c r="B543" s="59" t="n"/>
      <c r="C543" s="59" t="n"/>
      <c r="E543" s="16" t="n"/>
      <c r="F543" s="13" t="n"/>
      <c r="G543" s="16" t="n"/>
      <c r="H543" s="125" t="n"/>
      <c r="I543" s="14" t="n"/>
      <c r="J543" s="16" t="n"/>
      <c r="K543" s="125" t="n"/>
      <c r="L543" s="14" t="n"/>
      <c r="M543" s="16" t="n"/>
      <c r="N543" s="125" t="n"/>
      <c r="O543" s="14" t="n"/>
      <c r="P543" s="16" t="n"/>
      <c r="Q543" s="125" t="n"/>
      <c r="R543" s="14" t="n"/>
      <c r="S543" s="16" t="n"/>
      <c r="T543" s="125" t="n"/>
      <c r="U543" s="14" t="n"/>
      <c r="V543" s="16" t="n"/>
      <c r="W543" s="125" t="n"/>
      <c r="X543" s="14" t="n"/>
      <c r="Y543" s="16" t="n"/>
      <c r="Z543" s="125" t="n"/>
      <c r="AA543" s="14" t="n"/>
      <c r="AB543" s="16" t="n"/>
      <c r="AC543" s="125" t="n"/>
      <c r="AD543" s="14" t="n"/>
    </row>
    <row r="544">
      <c r="A544" s="56" t="n"/>
      <c r="B544" s="59" t="n"/>
      <c r="C544" s="59" t="n"/>
      <c r="E544" s="16" t="n"/>
      <c r="F544" s="13" t="n"/>
      <c r="G544" s="16" t="n"/>
      <c r="H544" s="125" t="n"/>
      <c r="I544" s="14" t="n"/>
      <c r="J544" s="16" t="n"/>
      <c r="K544" s="125" t="n"/>
      <c r="L544" s="14" t="n"/>
      <c r="M544" s="16" t="n"/>
      <c r="N544" s="125" t="n"/>
      <c r="O544" s="14" t="n"/>
      <c r="P544" s="16" t="n"/>
      <c r="Q544" s="125" t="n"/>
      <c r="R544" s="14" t="n"/>
      <c r="S544" s="16" t="n"/>
      <c r="T544" s="125" t="n"/>
      <c r="U544" s="14" t="n"/>
      <c r="V544" s="16" t="n"/>
      <c r="W544" s="125" t="n"/>
      <c r="X544" s="14" t="n"/>
      <c r="Y544" s="16" t="n"/>
      <c r="Z544" s="125" t="n"/>
      <c r="AA544" s="14" t="n"/>
      <c r="AB544" s="16" t="n"/>
      <c r="AC544" s="125" t="n"/>
      <c r="AD544" s="14" t="n"/>
    </row>
    <row r="545">
      <c r="A545" s="58" t="n"/>
      <c r="B545" s="59" t="n"/>
      <c r="C545" s="59" t="n"/>
      <c r="E545" s="16" t="n"/>
      <c r="F545" s="13" t="n"/>
      <c r="G545" s="16" t="n"/>
      <c r="H545" s="125" t="n"/>
      <c r="I545" s="14" t="n"/>
      <c r="J545" s="16" t="n"/>
      <c r="K545" s="125" t="n"/>
      <c r="L545" s="14" t="n"/>
      <c r="M545" s="16" t="n"/>
      <c r="N545" s="125" t="n"/>
      <c r="O545" s="14" t="n"/>
      <c r="P545" s="16" t="n"/>
      <c r="Q545" s="125" t="n"/>
      <c r="R545" s="14" t="n"/>
      <c r="S545" s="16" t="n"/>
      <c r="T545" s="125" t="n"/>
      <c r="U545" s="14" t="n"/>
      <c r="V545" s="16" t="n"/>
      <c r="W545" s="125" t="n"/>
      <c r="X545" s="14" t="n"/>
      <c r="Y545" s="16" t="n"/>
      <c r="Z545" s="125" t="n"/>
      <c r="AA545" s="14" t="n"/>
      <c r="AB545" s="16" t="n"/>
      <c r="AC545" s="125" t="n"/>
      <c r="AD545" s="14" t="n"/>
    </row>
    <row r="546">
      <c r="A546" s="56" t="n"/>
      <c r="B546" s="59" t="n"/>
      <c r="C546" s="59" t="n"/>
      <c r="E546" s="16" t="n"/>
      <c r="F546" s="13" t="n"/>
      <c r="G546" s="16" t="n"/>
      <c r="H546" s="125" t="n"/>
      <c r="I546" s="14" t="n"/>
      <c r="J546" s="16" t="n"/>
      <c r="K546" s="125" t="n"/>
      <c r="L546" s="14" t="n"/>
      <c r="M546" s="16" t="n"/>
      <c r="N546" s="125" t="n"/>
      <c r="O546" s="14" t="n"/>
      <c r="P546" s="16" t="n"/>
      <c r="Q546" s="125" t="n"/>
      <c r="R546" s="14" t="n"/>
      <c r="S546" s="16" t="n"/>
      <c r="T546" s="125" t="n"/>
      <c r="U546" s="14" t="n"/>
      <c r="V546" s="16" t="n"/>
      <c r="W546" s="125" t="n"/>
      <c r="X546" s="14" t="n"/>
      <c r="Y546" s="16" t="n"/>
      <c r="Z546" s="125" t="n"/>
      <c r="AA546" s="14" t="n"/>
      <c r="AB546" s="16" t="n"/>
      <c r="AC546" s="125" t="n"/>
      <c r="AD546" s="14" t="n"/>
    </row>
    <row r="547">
      <c r="A547" s="58" t="n"/>
      <c r="B547" s="59" t="n"/>
      <c r="C547" s="59" t="n"/>
      <c r="E547" s="16" t="n"/>
      <c r="F547" s="13" t="n"/>
      <c r="G547" s="16" t="n"/>
      <c r="H547" s="125" t="n"/>
      <c r="I547" s="14" t="n"/>
      <c r="J547" s="16" t="n"/>
      <c r="K547" s="125" t="n"/>
      <c r="L547" s="14" t="n"/>
      <c r="M547" s="16" t="n"/>
      <c r="N547" s="125" t="n"/>
      <c r="O547" s="14" t="n"/>
      <c r="P547" s="16" t="n"/>
      <c r="Q547" s="125" t="n"/>
      <c r="R547" s="14" t="n"/>
      <c r="S547" s="16" t="n"/>
      <c r="T547" s="125" t="n"/>
      <c r="U547" s="14" t="n"/>
      <c r="V547" s="16" t="n"/>
      <c r="W547" s="125" t="n"/>
      <c r="X547" s="14" t="n"/>
      <c r="Y547" s="16" t="n"/>
      <c r="Z547" s="125" t="n"/>
      <c r="AA547" s="14" t="n"/>
      <c r="AB547" s="16" t="n"/>
      <c r="AC547" s="125" t="n"/>
      <c r="AD547" s="14" t="n"/>
    </row>
    <row r="548">
      <c r="A548" s="56" t="n"/>
      <c r="B548" s="59" t="n"/>
      <c r="C548" s="59" t="n"/>
      <c r="E548" s="16" t="n"/>
      <c r="F548" s="13" t="n"/>
      <c r="G548" s="16" t="n"/>
      <c r="H548" s="125" t="n"/>
      <c r="I548" s="14" t="n"/>
      <c r="J548" s="16" t="n"/>
      <c r="K548" s="125" t="n"/>
      <c r="L548" s="14" t="n"/>
      <c r="M548" s="16" t="n"/>
      <c r="N548" s="125" t="n"/>
      <c r="O548" s="14" t="n"/>
      <c r="P548" s="16" t="n"/>
      <c r="Q548" s="125" t="n"/>
      <c r="R548" s="14" t="n"/>
      <c r="S548" s="16" t="n"/>
      <c r="T548" s="125" t="n"/>
      <c r="U548" s="14" t="n"/>
      <c r="V548" s="16" t="n"/>
      <c r="W548" s="125" t="n"/>
      <c r="X548" s="14" t="n"/>
      <c r="Y548" s="16" t="n"/>
      <c r="Z548" s="125" t="n"/>
      <c r="AA548" s="14" t="n"/>
      <c r="AB548" s="16" t="n"/>
      <c r="AC548" s="125" t="n"/>
      <c r="AD548" s="14" t="n"/>
    </row>
    <row r="549">
      <c r="A549" s="58" t="n"/>
      <c r="B549" s="59" t="n"/>
      <c r="C549" s="59" t="n"/>
      <c r="E549" s="16" t="n"/>
      <c r="F549" s="13" t="n"/>
      <c r="G549" s="16" t="n"/>
      <c r="H549" s="125" t="n"/>
      <c r="I549" s="14" t="n"/>
      <c r="J549" s="16" t="n"/>
      <c r="K549" s="125" t="n"/>
      <c r="L549" s="14" t="n"/>
      <c r="M549" s="16" t="n"/>
      <c r="N549" s="125" t="n"/>
      <c r="O549" s="14" t="n"/>
      <c r="P549" s="16" t="n"/>
      <c r="Q549" s="125" t="n"/>
      <c r="R549" s="14" t="n"/>
      <c r="S549" s="16" t="n"/>
      <c r="T549" s="125" t="n"/>
      <c r="U549" s="14" t="n"/>
      <c r="V549" s="16" t="n"/>
      <c r="W549" s="125" t="n"/>
      <c r="X549" s="14" t="n"/>
      <c r="Y549" s="16" t="n"/>
      <c r="Z549" s="125" t="n"/>
      <c r="AA549" s="14" t="n"/>
      <c r="AB549" s="16" t="n"/>
      <c r="AC549" s="125" t="n"/>
      <c r="AD549" s="14" t="n"/>
    </row>
    <row r="550">
      <c r="A550" s="56" t="n"/>
      <c r="B550" s="59" t="n"/>
      <c r="C550" s="59" t="n"/>
      <c r="E550" s="16" t="n"/>
      <c r="F550" s="13" t="n"/>
      <c r="G550" s="16" t="n"/>
      <c r="H550" s="125" t="n"/>
      <c r="I550" s="14" t="n"/>
      <c r="J550" s="16" t="n"/>
      <c r="K550" s="125" t="n"/>
      <c r="L550" s="14" t="n"/>
      <c r="M550" s="16" t="n"/>
      <c r="N550" s="125" t="n"/>
      <c r="O550" s="14" t="n"/>
      <c r="P550" s="16" t="n"/>
      <c r="Q550" s="125" t="n"/>
      <c r="R550" s="14" t="n"/>
      <c r="S550" s="16" t="n"/>
      <c r="T550" s="125" t="n"/>
      <c r="U550" s="14" t="n"/>
      <c r="V550" s="16" t="n"/>
      <c r="W550" s="125" t="n"/>
      <c r="X550" s="14" t="n"/>
      <c r="Y550" s="16" t="n"/>
      <c r="Z550" s="125" t="n"/>
      <c r="AA550" s="14" t="n"/>
      <c r="AB550" s="16" t="n"/>
      <c r="AC550" s="125" t="n"/>
      <c r="AD550" s="14" t="n"/>
    </row>
    <row r="551">
      <c r="A551" s="58" t="n"/>
      <c r="B551" s="59" t="n"/>
      <c r="C551" s="59" t="n"/>
      <c r="E551" s="16" t="n"/>
      <c r="F551" s="13" t="n"/>
      <c r="G551" s="16" t="n"/>
      <c r="H551" s="125" t="n"/>
      <c r="I551" s="14" t="n"/>
      <c r="J551" s="16" t="n"/>
      <c r="K551" s="125" t="n"/>
      <c r="L551" s="14" t="n"/>
      <c r="M551" s="16" t="n"/>
      <c r="N551" s="125" t="n"/>
      <c r="O551" s="14" t="n"/>
      <c r="P551" s="16" t="n"/>
      <c r="Q551" s="125" t="n"/>
      <c r="R551" s="14" t="n"/>
      <c r="S551" s="16" t="n"/>
      <c r="T551" s="125" t="n"/>
      <c r="U551" s="14" t="n"/>
      <c r="V551" s="16" t="n"/>
      <c r="W551" s="125" t="n"/>
      <c r="X551" s="14" t="n"/>
      <c r="Y551" s="16" t="n"/>
      <c r="Z551" s="125" t="n"/>
      <c r="AA551" s="14" t="n"/>
      <c r="AB551" s="16" t="n"/>
      <c r="AC551" s="125" t="n"/>
      <c r="AD551" s="14" t="n"/>
    </row>
    <row r="552">
      <c r="A552" s="56" t="n"/>
      <c r="B552" s="59" t="n"/>
      <c r="C552" s="59" t="n"/>
      <c r="E552" s="16" t="n"/>
      <c r="F552" s="13" t="n"/>
      <c r="G552" s="16" t="n"/>
      <c r="H552" s="125" t="n"/>
      <c r="I552" s="14" t="n"/>
      <c r="J552" s="16" t="n"/>
      <c r="K552" s="125" t="n"/>
      <c r="L552" s="14" t="n"/>
      <c r="M552" s="16" t="n"/>
      <c r="N552" s="125" t="n"/>
      <c r="O552" s="14" t="n"/>
      <c r="P552" s="16" t="n"/>
      <c r="Q552" s="125" t="n"/>
      <c r="R552" s="14" t="n"/>
      <c r="S552" s="16" t="n"/>
      <c r="T552" s="125" t="n"/>
      <c r="U552" s="14" t="n"/>
      <c r="V552" s="16" t="n"/>
      <c r="W552" s="125" t="n"/>
      <c r="X552" s="14" t="n"/>
      <c r="Y552" s="16" t="n"/>
      <c r="Z552" s="125" t="n"/>
      <c r="AA552" s="14" t="n"/>
      <c r="AB552" s="16" t="n"/>
      <c r="AC552" s="125" t="n"/>
      <c r="AD552" s="14" t="n"/>
    </row>
    <row r="553">
      <c r="A553" s="58" t="n"/>
      <c r="B553" s="59" t="n"/>
      <c r="C553" s="59" t="n"/>
      <c r="E553" s="16" t="n"/>
      <c r="F553" s="13" t="n"/>
      <c r="G553" s="16" t="n"/>
      <c r="H553" s="125" t="n"/>
      <c r="I553" s="14" t="n"/>
      <c r="J553" s="16" t="n"/>
      <c r="K553" s="125" t="n"/>
      <c r="L553" s="14" t="n"/>
      <c r="M553" s="16" t="n"/>
      <c r="N553" s="125" t="n"/>
      <c r="O553" s="14" t="n"/>
      <c r="P553" s="16" t="n"/>
      <c r="Q553" s="125" t="n"/>
      <c r="R553" s="14" t="n"/>
      <c r="S553" s="16" t="n"/>
      <c r="T553" s="125" t="n"/>
      <c r="U553" s="14" t="n"/>
      <c r="V553" s="16" t="n"/>
      <c r="W553" s="125" t="n"/>
      <c r="X553" s="14" t="n"/>
      <c r="Y553" s="16" t="n"/>
      <c r="Z553" s="125" t="n"/>
      <c r="AA553" s="14" t="n"/>
      <c r="AB553" s="16" t="n"/>
      <c r="AC553" s="125" t="n"/>
      <c r="AD553" s="14" t="n"/>
    </row>
    <row r="554">
      <c r="A554" s="56" t="n"/>
      <c r="B554" s="59" t="n"/>
      <c r="C554" s="59" t="n"/>
      <c r="E554" s="16" t="n"/>
      <c r="F554" s="13" t="n"/>
      <c r="G554" s="16" t="n"/>
      <c r="H554" s="125" t="n"/>
      <c r="I554" s="14" t="n"/>
      <c r="J554" s="16" t="n"/>
      <c r="K554" s="125" t="n"/>
      <c r="L554" s="14" t="n"/>
      <c r="M554" s="16" t="n"/>
      <c r="N554" s="125" t="n"/>
      <c r="O554" s="14" t="n"/>
      <c r="P554" s="16" t="n"/>
      <c r="Q554" s="125" t="n"/>
      <c r="R554" s="14" t="n"/>
      <c r="S554" s="16" t="n"/>
      <c r="T554" s="125" t="n"/>
      <c r="U554" s="14" t="n"/>
      <c r="V554" s="16" t="n"/>
      <c r="W554" s="125" t="n"/>
      <c r="X554" s="14" t="n"/>
      <c r="Y554" s="16" t="n"/>
      <c r="Z554" s="125" t="n"/>
      <c r="AA554" s="14" t="n"/>
      <c r="AB554" s="16" t="n"/>
      <c r="AC554" s="125" t="n"/>
      <c r="AD554" s="14" t="n"/>
    </row>
    <row r="555">
      <c r="A555" s="58" t="n"/>
      <c r="B555" s="59" t="n"/>
      <c r="C555" s="59" t="n"/>
      <c r="E555" s="16" t="n"/>
      <c r="F555" s="13" t="n"/>
      <c r="G555" s="16" t="n"/>
      <c r="H555" s="125" t="n"/>
      <c r="I555" s="14" t="n"/>
      <c r="J555" s="16" t="n"/>
      <c r="K555" s="125" t="n"/>
      <c r="L555" s="14" t="n"/>
      <c r="M555" s="16" t="n"/>
      <c r="N555" s="125" t="n"/>
      <c r="O555" s="14" t="n"/>
      <c r="P555" s="16" t="n"/>
      <c r="Q555" s="125" t="n"/>
      <c r="R555" s="14" t="n"/>
      <c r="S555" s="16" t="n"/>
      <c r="T555" s="125" t="n"/>
      <c r="U555" s="14" t="n"/>
      <c r="V555" s="16" t="n"/>
      <c r="W555" s="125" t="n"/>
      <c r="X555" s="14" t="n"/>
      <c r="Y555" s="16" t="n"/>
      <c r="Z555" s="125" t="n"/>
      <c r="AA555" s="14" t="n"/>
      <c r="AB555" s="16" t="n"/>
      <c r="AC555" s="125" t="n"/>
      <c r="AD555" s="14" t="n"/>
    </row>
    <row r="556">
      <c r="A556" s="56" t="n"/>
      <c r="B556" s="59" t="n"/>
      <c r="C556" s="59" t="n"/>
      <c r="E556" s="16" t="n"/>
      <c r="F556" s="13" t="n"/>
      <c r="G556" s="16" t="n"/>
      <c r="H556" s="125" t="n"/>
      <c r="I556" s="14" t="n"/>
      <c r="J556" s="16" t="n"/>
      <c r="K556" s="125" t="n"/>
      <c r="L556" s="14" t="n"/>
      <c r="M556" s="16" t="n"/>
      <c r="N556" s="125" t="n"/>
      <c r="O556" s="14" t="n"/>
      <c r="P556" s="16" t="n"/>
      <c r="Q556" s="125" t="n"/>
      <c r="R556" s="14" t="n"/>
      <c r="S556" s="16" t="n"/>
      <c r="T556" s="125" t="n"/>
      <c r="U556" s="14" t="n"/>
      <c r="V556" s="16" t="n"/>
      <c r="W556" s="125" t="n"/>
      <c r="X556" s="14" t="n"/>
      <c r="Y556" s="16" t="n"/>
      <c r="Z556" s="125" t="n"/>
      <c r="AA556" s="14" t="n"/>
      <c r="AB556" s="16" t="n"/>
      <c r="AC556" s="125" t="n"/>
      <c r="AD556" s="14" t="n"/>
    </row>
    <row r="557">
      <c r="A557" s="58" t="n"/>
      <c r="B557" s="59" t="n"/>
      <c r="C557" s="59" t="n"/>
      <c r="E557" s="16" t="n"/>
      <c r="F557" s="13" t="n"/>
      <c r="G557" s="16" t="n"/>
      <c r="H557" s="125" t="n"/>
      <c r="I557" s="14" t="n"/>
      <c r="J557" s="16" t="n"/>
      <c r="K557" s="125" t="n"/>
      <c r="L557" s="14" t="n"/>
      <c r="M557" s="16" t="n"/>
      <c r="N557" s="125" t="n"/>
      <c r="O557" s="14" t="n"/>
      <c r="P557" s="16" t="n"/>
      <c r="Q557" s="125" t="n"/>
      <c r="R557" s="14" t="n"/>
      <c r="S557" s="16" t="n"/>
      <c r="T557" s="125" t="n"/>
      <c r="U557" s="14" t="n"/>
      <c r="V557" s="16" t="n"/>
      <c r="W557" s="125" t="n"/>
      <c r="X557" s="14" t="n"/>
      <c r="Y557" s="16" t="n"/>
      <c r="Z557" s="125" t="n"/>
      <c r="AA557" s="14" t="n"/>
      <c r="AB557" s="16" t="n"/>
      <c r="AC557" s="125" t="n"/>
      <c r="AD557" s="14" t="n"/>
    </row>
    <row r="558">
      <c r="A558" s="56" t="n"/>
      <c r="B558" s="59" t="n"/>
      <c r="C558" s="59" t="n"/>
      <c r="E558" s="16" t="n"/>
      <c r="F558" s="13" t="n"/>
      <c r="G558" s="16" t="n"/>
      <c r="H558" s="125" t="n"/>
      <c r="I558" s="14" t="n"/>
      <c r="J558" s="16" t="n"/>
      <c r="K558" s="125" t="n"/>
      <c r="L558" s="14" t="n"/>
      <c r="M558" s="16" t="n"/>
      <c r="N558" s="125" t="n"/>
      <c r="O558" s="14" t="n"/>
      <c r="P558" s="16" t="n"/>
      <c r="Q558" s="125" t="n"/>
      <c r="R558" s="14" t="n"/>
      <c r="S558" s="16" t="n"/>
      <c r="T558" s="125" t="n"/>
      <c r="U558" s="14" t="n"/>
      <c r="V558" s="16" t="n"/>
      <c r="W558" s="125" t="n"/>
      <c r="X558" s="14" t="n"/>
      <c r="Y558" s="16" t="n"/>
      <c r="Z558" s="125" t="n"/>
      <c r="AA558" s="14" t="n"/>
      <c r="AB558" s="16" t="n"/>
      <c r="AC558" s="125" t="n"/>
      <c r="AD558" s="14" t="n"/>
    </row>
    <row r="559">
      <c r="A559" s="58" t="n"/>
      <c r="B559" s="59" t="n"/>
      <c r="C559" s="59" t="n"/>
      <c r="E559" s="16" t="n"/>
      <c r="F559" s="13" t="n"/>
      <c r="G559" s="16" t="n"/>
      <c r="H559" s="125" t="n"/>
      <c r="I559" s="14" t="n"/>
      <c r="J559" s="16" t="n"/>
      <c r="K559" s="125" t="n"/>
      <c r="L559" s="14" t="n"/>
      <c r="M559" s="16" t="n"/>
      <c r="N559" s="125" t="n"/>
      <c r="O559" s="14" t="n"/>
      <c r="P559" s="16" t="n"/>
      <c r="Q559" s="125" t="n"/>
      <c r="R559" s="14" t="n"/>
      <c r="S559" s="16" t="n"/>
      <c r="T559" s="125" t="n"/>
      <c r="U559" s="14" t="n"/>
      <c r="V559" s="16" t="n"/>
      <c r="W559" s="125" t="n"/>
      <c r="X559" s="14" t="n"/>
      <c r="Y559" s="16" t="n"/>
      <c r="Z559" s="125" t="n"/>
      <c r="AA559" s="14" t="n"/>
      <c r="AB559" s="16" t="n"/>
      <c r="AC559" s="125" t="n"/>
      <c r="AD559" s="14" t="n"/>
    </row>
    <row r="560">
      <c r="A560" s="56" t="n"/>
      <c r="B560" s="59" t="n"/>
      <c r="C560" s="59" t="n"/>
      <c r="E560" s="16" t="n"/>
      <c r="F560" s="13" t="n"/>
      <c r="G560" s="16" t="n"/>
      <c r="H560" s="125" t="n"/>
      <c r="I560" s="14" t="n"/>
      <c r="J560" s="16" t="n"/>
      <c r="K560" s="125" t="n"/>
      <c r="L560" s="14" t="n"/>
      <c r="M560" s="16" t="n"/>
      <c r="N560" s="125" t="n"/>
      <c r="O560" s="14" t="n"/>
      <c r="P560" s="16" t="n"/>
      <c r="Q560" s="125" t="n"/>
      <c r="R560" s="14" t="n"/>
      <c r="S560" s="16" t="n"/>
      <c r="T560" s="125" t="n"/>
      <c r="U560" s="14" t="n"/>
      <c r="V560" s="16" t="n"/>
      <c r="W560" s="125" t="n"/>
      <c r="X560" s="14" t="n"/>
      <c r="Y560" s="16" t="n"/>
      <c r="Z560" s="125" t="n"/>
      <c r="AA560" s="14" t="n"/>
      <c r="AB560" s="16" t="n"/>
      <c r="AC560" s="125" t="n"/>
      <c r="AD560" s="14" t="n"/>
    </row>
    <row r="561">
      <c r="A561" s="58" t="n"/>
      <c r="B561" s="59" t="n"/>
      <c r="C561" s="59" t="n"/>
      <c r="E561" s="16" t="n"/>
      <c r="F561" s="13" t="n"/>
      <c r="G561" s="16" t="n"/>
      <c r="H561" s="125" t="n"/>
      <c r="I561" s="14" t="n"/>
      <c r="J561" s="16" t="n"/>
      <c r="K561" s="125" t="n"/>
      <c r="L561" s="14" t="n"/>
      <c r="M561" s="16" t="n"/>
      <c r="N561" s="125" t="n"/>
      <c r="O561" s="14" t="n"/>
      <c r="P561" s="16" t="n"/>
      <c r="Q561" s="125" t="n"/>
      <c r="R561" s="14" t="n"/>
      <c r="S561" s="16" t="n"/>
      <c r="T561" s="125" t="n"/>
      <c r="U561" s="14" t="n"/>
      <c r="V561" s="16" t="n"/>
      <c r="W561" s="125" t="n"/>
      <c r="X561" s="14" t="n"/>
      <c r="Y561" s="16" t="n"/>
      <c r="Z561" s="125" t="n"/>
      <c r="AA561" s="14" t="n"/>
      <c r="AB561" s="16" t="n"/>
      <c r="AC561" s="125" t="n"/>
      <c r="AD561" s="14" t="n"/>
    </row>
    <row r="562">
      <c r="A562" s="56" t="n"/>
      <c r="B562" s="59" t="n"/>
      <c r="C562" s="59" t="n"/>
      <c r="E562" s="16" t="n"/>
      <c r="F562" s="13" t="n"/>
      <c r="G562" s="16" t="n"/>
      <c r="H562" s="125" t="n"/>
      <c r="I562" s="14" t="n"/>
      <c r="J562" s="16" t="n"/>
      <c r="K562" s="125" t="n"/>
      <c r="L562" s="14" t="n"/>
      <c r="M562" s="16" t="n"/>
      <c r="N562" s="125" t="n"/>
      <c r="O562" s="14" t="n"/>
      <c r="P562" s="16" t="n"/>
      <c r="Q562" s="125" t="n"/>
      <c r="R562" s="14" t="n"/>
      <c r="S562" s="16" t="n"/>
      <c r="T562" s="125" t="n"/>
      <c r="U562" s="14" t="n"/>
      <c r="V562" s="16" t="n"/>
      <c r="W562" s="125" t="n"/>
      <c r="X562" s="14" t="n"/>
      <c r="Y562" s="16" t="n"/>
      <c r="Z562" s="125" t="n"/>
      <c r="AA562" s="14" t="n"/>
      <c r="AB562" s="16" t="n"/>
      <c r="AC562" s="125" t="n"/>
      <c r="AD562" s="14" t="n"/>
    </row>
    <row r="563">
      <c r="A563" s="58" t="n"/>
      <c r="B563" s="59" t="n"/>
      <c r="C563" s="59" t="n"/>
      <c r="E563" s="16" t="n"/>
      <c r="F563" s="13" t="n"/>
      <c r="G563" s="16" t="n"/>
      <c r="H563" s="125" t="n"/>
      <c r="I563" s="14" t="n"/>
      <c r="J563" s="16" t="n"/>
      <c r="K563" s="125" t="n"/>
      <c r="L563" s="14" t="n"/>
      <c r="M563" s="16" t="n"/>
      <c r="N563" s="125" t="n"/>
      <c r="O563" s="14" t="n"/>
      <c r="P563" s="16" t="n"/>
      <c r="Q563" s="125" t="n"/>
      <c r="R563" s="14" t="n"/>
      <c r="S563" s="16" t="n"/>
      <c r="T563" s="125" t="n"/>
      <c r="U563" s="14" t="n"/>
      <c r="V563" s="16" t="n"/>
      <c r="W563" s="125" t="n"/>
      <c r="X563" s="14" t="n"/>
      <c r="Y563" s="16" t="n"/>
      <c r="Z563" s="125" t="n"/>
      <c r="AA563" s="14" t="n"/>
      <c r="AB563" s="16" t="n"/>
      <c r="AC563" s="125" t="n"/>
      <c r="AD563" s="14" t="n"/>
    </row>
    <row r="564">
      <c r="A564" s="56" t="n"/>
      <c r="B564" s="59" t="n"/>
      <c r="C564" s="59" t="n"/>
      <c r="E564" s="16" t="n"/>
      <c r="F564" s="13" t="n"/>
      <c r="G564" s="16" t="n"/>
      <c r="H564" s="125" t="n"/>
      <c r="I564" s="14" t="n"/>
      <c r="J564" s="16" t="n"/>
      <c r="K564" s="125" t="n"/>
      <c r="L564" s="14" t="n"/>
      <c r="M564" s="16" t="n"/>
      <c r="N564" s="125" t="n"/>
      <c r="O564" s="14" t="n"/>
      <c r="P564" s="16" t="n"/>
      <c r="Q564" s="125" t="n"/>
      <c r="R564" s="14" t="n"/>
      <c r="S564" s="16" t="n"/>
      <c r="T564" s="125" t="n"/>
      <c r="U564" s="14" t="n"/>
      <c r="V564" s="16" t="n"/>
      <c r="W564" s="125" t="n"/>
      <c r="X564" s="14" t="n"/>
      <c r="Y564" s="16" t="n"/>
      <c r="Z564" s="125" t="n"/>
      <c r="AA564" s="14" t="n"/>
      <c r="AB564" s="16" t="n"/>
      <c r="AC564" s="125" t="n"/>
      <c r="AD564" s="14" t="n"/>
    </row>
    <row r="565">
      <c r="A565" s="58" t="n"/>
      <c r="B565" s="59" t="n"/>
      <c r="C565" s="59" t="n"/>
      <c r="E565" s="16" t="n"/>
      <c r="F565" s="13" t="n"/>
      <c r="G565" s="16" t="n"/>
      <c r="H565" s="125" t="n"/>
      <c r="I565" s="14" t="n"/>
      <c r="J565" s="16" t="n"/>
      <c r="K565" s="125" t="n"/>
      <c r="L565" s="14" t="n"/>
      <c r="M565" s="16" t="n"/>
      <c r="N565" s="125" t="n"/>
      <c r="O565" s="14" t="n"/>
      <c r="P565" s="16" t="n"/>
      <c r="Q565" s="125" t="n"/>
      <c r="R565" s="14" t="n"/>
      <c r="S565" s="16" t="n"/>
      <c r="T565" s="125" t="n"/>
      <c r="U565" s="14" t="n"/>
      <c r="V565" s="16" t="n"/>
      <c r="W565" s="125" t="n"/>
      <c r="X565" s="14" t="n"/>
      <c r="Y565" s="16" t="n"/>
      <c r="Z565" s="125" t="n"/>
      <c r="AA565" s="14" t="n"/>
      <c r="AB565" s="16" t="n"/>
      <c r="AC565" s="125" t="n"/>
      <c r="AD565" s="14" t="n"/>
    </row>
    <row r="566">
      <c r="A566" s="56" t="n"/>
      <c r="B566" s="59" t="n"/>
      <c r="C566" s="59" t="n"/>
      <c r="E566" s="16" t="n"/>
      <c r="F566" s="13" t="n"/>
      <c r="G566" s="16" t="n"/>
      <c r="H566" s="125" t="n"/>
      <c r="I566" s="14" t="n"/>
      <c r="J566" s="16" t="n"/>
      <c r="K566" s="125" t="n"/>
      <c r="L566" s="14" t="n"/>
      <c r="M566" s="16" t="n"/>
      <c r="N566" s="125" t="n"/>
      <c r="O566" s="14" t="n"/>
      <c r="P566" s="16" t="n"/>
      <c r="Q566" s="125" t="n"/>
      <c r="R566" s="14" t="n"/>
      <c r="S566" s="16" t="n"/>
      <c r="T566" s="125" t="n"/>
      <c r="U566" s="14" t="n"/>
      <c r="V566" s="16" t="n"/>
      <c r="W566" s="125" t="n"/>
      <c r="X566" s="14" t="n"/>
      <c r="Y566" s="16" t="n"/>
      <c r="Z566" s="125" t="n"/>
      <c r="AA566" s="14" t="n"/>
      <c r="AB566" s="16" t="n"/>
      <c r="AC566" s="125" t="n"/>
      <c r="AD566" s="14" t="n"/>
    </row>
    <row r="567">
      <c r="A567" s="58" t="n"/>
      <c r="B567" s="59" t="n"/>
      <c r="C567" s="59" t="n"/>
      <c r="E567" s="16" t="n"/>
      <c r="F567" s="13" t="n"/>
      <c r="G567" s="16" t="n"/>
      <c r="H567" s="125" t="n"/>
      <c r="I567" s="14" t="n"/>
      <c r="J567" s="16" t="n"/>
      <c r="K567" s="125" t="n"/>
      <c r="L567" s="14" t="n"/>
      <c r="M567" s="16" t="n"/>
      <c r="N567" s="125" t="n"/>
      <c r="O567" s="14" t="n"/>
      <c r="P567" s="16" t="n"/>
      <c r="Q567" s="125" t="n"/>
      <c r="R567" s="14" t="n"/>
      <c r="S567" s="16" t="n"/>
      <c r="T567" s="125" t="n"/>
      <c r="U567" s="14" t="n"/>
      <c r="V567" s="16" t="n"/>
      <c r="W567" s="125" t="n"/>
      <c r="X567" s="14" t="n"/>
      <c r="Y567" s="16" t="n"/>
      <c r="Z567" s="125" t="n"/>
      <c r="AA567" s="14" t="n"/>
      <c r="AB567" s="16" t="n"/>
      <c r="AC567" s="125" t="n"/>
      <c r="AD567" s="14" t="n"/>
    </row>
    <row r="568">
      <c r="A568" s="56" t="n"/>
      <c r="B568" s="59" t="n"/>
      <c r="C568" s="59" t="n"/>
      <c r="E568" s="16" t="n"/>
      <c r="F568" s="13" t="n"/>
      <c r="G568" s="16" t="n"/>
      <c r="H568" s="125" t="n"/>
      <c r="I568" s="14" t="n"/>
      <c r="J568" s="16" t="n"/>
      <c r="K568" s="125" t="n"/>
      <c r="L568" s="14" t="n"/>
      <c r="M568" s="16" t="n"/>
      <c r="N568" s="125" t="n"/>
      <c r="O568" s="14" t="n"/>
      <c r="P568" s="16" t="n"/>
      <c r="Q568" s="125" t="n"/>
      <c r="R568" s="14" t="n"/>
      <c r="S568" s="16" t="n"/>
      <c r="T568" s="125" t="n"/>
      <c r="U568" s="14" t="n"/>
      <c r="V568" s="16" t="n"/>
      <c r="W568" s="125" t="n"/>
      <c r="X568" s="14" t="n"/>
      <c r="Y568" s="16" t="n"/>
      <c r="Z568" s="125" t="n"/>
      <c r="AA568" s="14" t="n"/>
      <c r="AB568" s="16" t="n"/>
      <c r="AC568" s="125" t="n"/>
      <c r="AD568" s="14" t="n"/>
    </row>
    <row r="569">
      <c r="A569" s="58" t="n"/>
      <c r="B569" s="59" t="n"/>
      <c r="C569" s="59" t="n"/>
      <c r="E569" s="16" t="n"/>
      <c r="F569" s="13" t="n"/>
      <c r="G569" s="16" t="n"/>
      <c r="H569" s="125" t="n"/>
      <c r="I569" s="14" t="n"/>
      <c r="J569" s="16" t="n"/>
      <c r="K569" s="125" t="n"/>
      <c r="L569" s="14" t="n"/>
      <c r="M569" s="16" t="n"/>
      <c r="N569" s="125" t="n"/>
      <c r="O569" s="14" t="n"/>
      <c r="P569" s="16" t="n"/>
      <c r="Q569" s="125" t="n"/>
      <c r="R569" s="14" t="n"/>
      <c r="S569" s="16" t="n"/>
      <c r="T569" s="125" t="n"/>
      <c r="U569" s="14" t="n"/>
      <c r="V569" s="16" t="n"/>
      <c r="W569" s="125" t="n"/>
      <c r="X569" s="14" t="n"/>
      <c r="Y569" s="16" t="n"/>
      <c r="Z569" s="125" t="n"/>
      <c r="AA569" s="14" t="n"/>
      <c r="AB569" s="16" t="n"/>
      <c r="AC569" s="125" t="n"/>
      <c r="AD569" s="14" t="n"/>
    </row>
    <row r="570">
      <c r="A570" s="56" t="n"/>
      <c r="B570" s="59" t="n"/>
      <c r="C570" s="59" t="n"/>
      <c r="E570" s="16" t="n"/>
      <c r="F570" s="13" t="n"/>
      <c r="G570" s="16" t="n"/>
      <c r="H570" s="125" t="n"/>
      <c r="I570" s="14" t="n"/>
      <c r="J570" s="16" t="n"/>
      <c r="K570" s="125" t="n"/>
      <c r="L570" s="14" t="n"/>
      <c r="M570" s="16" t="n"/>
      <c r="N570" s="125" t="n"/>
      <c r="O570" s="14" t="n"/>
      <c r="P570" s="16" t="n"/>
      <c r="Q570" s="125" t="n"/>
      <c r="R570" s="14" t="n"/>
      <c r="S570" s="16" t="n"/>
      <c r="T570" s="125" t="n"/>
      <c r="U570" s="14" t="n"/>
      <c r="V570" s="16" t="n"/>
      <c r="W570" s="125" t="n"/>
      <c r="X570" s="14" t="n"/>
      <c r="Y570" s="16" t="n"/>
      <c r="Z570" s="125" t="n"/>
      <c r="AA570" s="14" t="n"/>
      <c r="AB570" s="16" t="n"/>
      <c r="AC570" s="125" t="n"/>
      <c r="AD570" s="14" t="n"/>
    </row>
    <row r="571">
      <c r="A571" s="58" t="n"/>
      <c r="B571" s="59" t="n"/>
      <c r="C571" s="59" t="n"/>
      <c r="E571" s="16" t="n"/>
      <c r="F571" s="13" t="n"/>
      <c r="G571" s="16" t="n"/>
      <c r="H571" s="125" t="n"/>
      <c r="I571" s="14" t="n"/>
      <c r="J571" s="16" t="n"/>
      <c r="K571" s="125" t="n"/>
      <c r="L571" s="14" t="n"/>
      <c r="M571" s="16" t="n"/>
      <c r="N571" s="125" t="n"/>
      <c r="O571" s="14" t="n"/>
      <c r="P571" s="16" t="n"/>
      <c r="Q571" s="125" t="n"/>
      <c r="R571" s="14" t="n"/>
      <c r="S571" s="16" t="n"/>
      <c r="T571" s="125" t="n"/>
      <c r="U571" s="14" t="n"/>
      <c r="V571" s="16" t="n"/>
      <c r="W571" s="125" t="n"/>
      <c r="X571" s="14" t="n"/>
      <c r="Y571" s="16" t="n"/>
      <c r="Z571" s="125" t="n"/>
      <c r="AA571" s="14" t="n"/>
      <c r="AB571" s="16" t="n"/>
      <c r="AC571" s="125" t="n"/>
      <c r="AD571" s="14" t="n"/>
    </row>
    <row r="572">
      <c r="A572" s="56" t="n"/>
      <c r="B572" s="59" t="n"/>
      <c r="C572" s="59" t="n"/>
      <c r="E572" s="16" t="n"/>
      <c r="F572" s="13" t="n"/>
      <c r="G572" s="16" t="n"/>
      <c r="H572" s="125" t="n"/>
      <c r="I572" s="14" t="n"/>
      <c r="J572" s="16" t="n"/>
      <c r="K572" s="125" t="n"/>
      <c r="L572" s="14" t="n"/>
      <c r="M572" s="16" t="n"/>
      <c r="N572" s="125" t="n"/>
      <c r="O572" s="14" t="n"/>
      <c r="P572" s="16" t="n"/>
      <c r="Q572" s="125" t="n"/>
      <c r="R572" s="14" t="n"/>
      <c r="S572" s="16" t="n"/>
      <c r="T572" s="125" t="n"/>
      <c r="U572" s="14" t="n"/>
      <c r="V572" s="16" t="n"/>
      <c r="W572" s="125" t="n"/>
      <c r="X572" s="14" t="n"/>
      <c r="Y572" s="16" t="n"/>
      <c r="Z572" s="125" t="n"/>
      <c r="AA572" s="14" t="n"/>
      <c r="AB572" s="16" t="n"/>
      <c r="AC572" s="125" t="n"/>
      <c r="AD572" s="14" t="n"/>
    </row>
    <row r="573">
      <c r="A573" s="58" t="n"/>
      <c r="B573" s="59" t="n"/>
      <c r="C573" s="59" t="n"/>
      <c r="E573" s="16" t="n"/>
      <c r="F573" s="13" t="n"/>
      <c r="G573" s="16" t="n"/>
      <c r="H573" s="125" t="n"/>
      <c r="I573" s="14" t="n"/>
      <c r="J573" s="16" t="n"/>
      <c r="K573" s="125" t="n"/>
      <c r="L573" s="14" t="n"/>
      <c r="M573" s="16" t="n"/>
      <c r="N573" s="125" t="n"/>
      <c r="O573" s="14" t="n"/>
      <c r="P573" s="16" t="n"/>
      <c r="Q573" s="125" t="n"/>
      <c r="R573" s="14" t="n"/>
      <c r="S573" s="16" t="n"/>
      <c r="T573" s="125" t="n"/>
      <c r="U573" s="14" t="n"/>
      <c r="V573" s="16" t="n"/>
      <c r="W573" s="125" t="n"/>
      <c r="X573" s="14" t="n"/>
      <c r="Y573" s="16" t="n"/>
      <c r="Z573" s="125" t="n"/>
      <c r="AA573" s="14" t="n"/>
      <c r="AB573" s="16" t="n"/>
      <c r="AC573" s="125" t="n"/>
      <c r="AD573" s="14" t="n"/>
    </row>
    <row r="574">
      <c r="A574" s="56" t="n"/>
      <c r="B574" s="59" t="n"/>
      <c r="C574" s="59" t="n"/>
      <c r="E574" s="16" t="n"/>
      <c r="F574" s="13" t="n"/>
      <c r="G574" s="16" t="n"/>
      <c r="H574" s="125" t="n"/>
      <c r="I574" s="14" t="n"/>
      <c r="J574" s="16" t="n"/>
      <c r="K574" s="125" t="n"/>
      <c r="L574" s="14" t="n"/>
      <c r="M574" s="16" t="n"/>
      <c r="N574" s="125" t="n"/>
      <c r="O574" s="14" t="n"/>
      <c r="P574" s="16" t="n"/>
      <c r="Q574" s="125" t="n"/>
      <c r="R574" s="14" t="n"/>
      <c r="S574" s="16" t="n"/>
      <c r="T574" s="125" t="n"/>
      <c r="U574" s="14" t="n"/>
      <c r="V574" s="16" t="n"/>
      <c r="W574" s="125" t="n"/>
      <c r="X574" s="14" t="n"/>
      <c r="Y574" s="16" t="n"/>
      <c r="Z574" s="125" t="n"/>
      <c r="AA574" s="14" t="n"/>
      <c r="AB574" s="16" t="n"/>
      <c r="AC574" s="125" t="n"/>
      <c r="AD574" s="14" t="n"/>
    </row>
    <row r="575">
      <c r="A575" s="58" t="n"/>
      <c r="B575" s="59" t="n"/>
      <c r="C575" s="59" t="n"/>
      <c r="E575" s="16" t="n"/>
      <c r="F575" s="13" t="n"/>
      <c r="G575" s="16" t="n"/>
      <c r="H575" s="125" t="n"/>
      <c r="I575" s="14" t="n"/>
      <c r="J575" s="16" t="n"/>
      <c r="K575" s="125" t="n"/>
      <c r="L575" s="14" t="n"/>
      <c r="M575" s="16" t="n"/>
      <c r="N575" s="125" t="n"/>
      <c r="O575" s="14" t="n"/>
      <c r="P575" s="16" t="n"/>
      <c r="Q575" s="125" t="n"/>
      <c r="R575" s="14" t="n"/>
      <c r="S575" s="16" t="n"/>
      <c r="T575" s="125" t="n"/>
      <c r="U575" s="14" t="n"/>
      <c r="V575" s="16" t="n"/>
      <c r="W575" s="125" t="n"/>
      <c r="X575" s="14" t="n"/>
      <c r="Y575" s="16" t="n"/>
      <c r="Z575" s="125" t="n"/>
      <c r="AA575" s="14" t="n"/>
      <c r="AB575" s="16" t="n"/>
      <c r="AC575" s="125" t="n"/>
      <c r="AD575" s="14" t="n"/>
    </row>
    <row r="576">
      <c r="A576" s="56" t="n"/>
      <c r="B576" s="59" t="n"/>
      <c r="C576" s="59" t="n"/>
      <c r="E576" s="16" t="n"/>
      <c r="F576" s="13" t="n"/>
      <c r="G576" s="16" t="n"/>
      <c r="H576" s="125" t="n"/>
      <c r="I576" s="14" t="n"/>
      <c r="J576" s="16" t="n"/>
      <c r="K576" s="125" t="n"/>
      <c r="L576" s="14" t="n"/>
      <c r="M576" s="16" t="n"/>
      <c r="N576" s="125" t="n"/>
      <c r="O576" s="14" t="n"/>
      <c r="P576" s="16" t="n"/>
      <c r="Q576" s="125" t="n"/>
      <c r="R576" s="14" t="n"/>
      <c r="S576" s="16" t="n"/>
      <c r="T576" s="125" t="n"/>
      <c r="U576" s="14" t="n"/>
      <c r="V576" s="16" t="n"/>
      <c r="W576" s="125" t="n"/>
      <c r="X576" s="14" t="n"/>
      <c r="Y576" s="16" t="n"/>
      <c r="Z576" s="125" t="n"/>
      <c r="AA576" s="14" t="n"/>
      <c r="AB576" s="16" t="n"/>
      <c r="AC576" s="125" t="n"/>
      <c r="AD576" s="14" t="n"/>
    </row>
    <row r="577">
      <c r="A577" s="58" t="n"/>
      <c r="B577" s="59" t="n"/>
      <c r="C577" s="59" t="n"/>
      <c r="E577" s="16" t="n"/>
      <c r="F577" s="13" t="n"/>
      <c r="G577" s="16" t="n"/>
      <c r="H577" s="125" t="n"/>
      <c r="I577" s="14" t="n"/>
      <c r="J577" s="16" t="n"/>
      <c r="K577" s="125" t="n"/>
      <c r="L577" s="14" t="n"/>
      <c r="M577" s="16" t="n"/>
      <c r="N577" s="125" t="n"/>
      <c r="O577" s="14" t="n"/>
      <c r="P577" s="16" t="n"/>
      <c r="Q577" s="125" t="n"/>
      <c r="R577" s="14" t="n"/>
      <c r="S577" s="16" t="n"/>
      <c r="T577" s="125" t="n"/>
      <c r="U577" s="14" t="n"/>
      <c r="V577" s="16" t="n"/>
      <c r="W577" s="125" t="n"/>
      <c r="X577" s="14" t="n"/>
      <c r="Y577" s="16" t="n"/>
      <c r="Z577" s="125" t="n"/>
      <c r="AA577" s="14" t="n"/>
      <c r="AB577" s="16" t="n"/>
      <c r="AC577" s="125" t="n"/>
      <c r="AD577" s="14" t="n"/>
    </row>
    <row r="578">
      <c r="A578" s="56" t="n"/>
      <c r="B578" s="59" t="n"/>
      <c r="C578" s="59" t="n"/>
      <c r="E578" s="16" t="n"/>
      <c r="F578" s="13" t="n"/>
      <c r="G578" s="16" t="n"/>
      <c r="H578" s="125" t="n"/>
      <c r="I578" s="14" t="n"/>
      <c r="J578" s="16" t="n"/>
      <c r="K578" s="125" t="n"/>
      <c r="L578" s="14" t="n"/>
      <c r="M578" s="16" t="n"/>
      <c r="N578" s="125" t="n"/>
      <c r="O578" s="14" t="n"/>
      <c r="P578" s="16" t="n"/>
      <c r="Q578" s="125" t="n"/>
      <c r="R578" s="14" t="n"/>
      <c r="S578" s="16" t="n"/>
      <c r="T578" s="125" t="n"/>
      <c r="U578" s="14" t="n"/>
      <c r="V578" s="16" t="n"/>
      <c r="W578" s="125" t="n"/>
      <c r="X578" s="14" t="n"/>
      <c r="Y578" s="16" t="n"/>
      <c r="Z578" s="125" t="n"/>
      <c r="AA578" s="14" t="n"/>
      <c r="AB578" s="16" t="n"/>
      <c r="AC578" s="125" t="n"/>
      <c r="AD578" s="14" t="n"/>
    </row>
    <row r="579">
      <c r="A579" s="58" t="n"/>
      <c r="B579" s="59" t="n"/>
      <c r="C579" s="59" t="n"/>
      <c r="E579" s="16" t="n"/>
      <c r="F579" s="13" t="n"/>
      <c r="G579" s="16" t="n"/>
      <c r="H579" s="125" t="n"/>
      <c r="I579" s="14" t="n"/>
      <c r="J579" s="16" t="n"/>
      <c r="K579" s="125" t="n"/>
      <c r="L579" s="14" t="n"/>
      <c r="M579" s="16" t="n"/>
      <c r="N579" s="125" t="n"/>
      <c r="O579" s="14" t="n"/>
      <c r="P579" s="16" t="n"/>
      <c r="Q579" s="125" t="n"/>
      <c r="R579" s="14" t="n"/>
      <c r="S579" s="16" t="n"/>
      <c r="T579" s="125" t="n"/>
      <c r="U579" s="14" t="n"/>
      <c r="V579" s="16" t="n"/>
      <c r="W579" s="125" t="n"/>
      <c r="X579" s="14" t="n"/>
      <c r="Y579" s="16" t="n"/>
      <c r="Z579" s="125" t="n"/>
      <c r="AA579" s="14" t="n"/>
      <c r="AB579" s="16" t="n"/>
      <c r="AC579" s="125" t="n"/>
      <c r="AD579" s="14" t="n"/>
    </row>
    <row r="580">
      <c r="A580" s="56" t="n"/>
      <c r="B580" s="59" t="n"/>
      <c r="C580" s="59" t="n"/>
      <c r="E580" s="16" t="n"/>
      <c r="F580" s="13" t="n"/>
      <c r="G580" s="16" t="n"/>
      <c r="H580" s="125" t="n"/>
      <c r="I580" s="14" t="n"/>
      <c r="J580" s="16" t="n"/>
      <c r="K580" s="125" t="n"/>
      <c r="L580" s="14" t="n"/>
      <c r="M580" s="16" t="n"/>
      <c r="N580" s="125" t="n"/>
      <c r="O580" s="14" t="n"/>
      <c r="P580" s="16" t="n"/>
      <c r="Q580" s="125" t="n"/>
      <c r="R580" s="14" t="n"/>
      <c r="S580" s="16" t="n"/>
      <c r="T580" s="125" t="n"/>
      <c r="U580" s="14" t="n"/>
      <c r="V580" s="16" t="n"/>
      <c r="W580" s="125" t="n"/>
      <c r="X580" s="14" t="n"/>
      <c r="Y580" s="16" t="n"/>
      <c r="Z580" s="125" t="n"/>
      <c r="AA580" s="14" t="n"/>
      <c r="AB580" s="16" t="n"/>
      <c r="AC580" s="125" t="n"/>
      <c r="AD580" s="14" t="n"/>
    </row>
    <row r="581">
      <c r="A581" s="58" t="n"/>
      <c r="B581" s="59" t="n"/>
      <c r="C581" s="59" t="n"/>
      <c r="E581" s="16" t="n"/>
      <c r="F581" s="13" t="n"/>
      <c r="G581" s="16" t="n"/>
      <c r="H581" s="125" t="n"/>
      <c r="I581" s="14" t="n"/>
      <c r="J581" s="16" t="n"/>
      <c r="K581" s="125" t="n"/>
      <c r="L581" s="14" t="n"/>
      <c r="M581" s="16" t="n"/>
      <c r="N581" s="125" t="n"/>
      <c r="O581" s="14" t="n"/>
      <c r="P581" s="16" t="n"/>
      <c r="Q581" s="125" t="n"/>
      <c r="R581" s="14" t="n"/>
      <c r="S581" s="16" t="n"/>
      <c r="T581" s="125" t="n"/>
      <c r="U581" s="14" t="n"/>
      <c r="V581" s="16" t="n"/>
      <c r="W581" s="125" t="n"/>
      <c r="X581" s="14" t="n"/>
      <c r="Y581" s="16" t="n"/>
      <c r="Z581" s="125" t="n"/>
      <c r="AA581" s="14" t="n"/>
      <c r="AB581" s="16" t="n"/>
      <c r="AC581" s="125" t="n"/>
      <c r="AD581" s="14" t="n"/>
    </row>
    <row r="582">
      <c r="A582" s="56" t="n"/>
      <c r="B582" s="59" t="n"/>
      <c r="C582" s="59" t="n"/>
      <c r="E582" s="16" t="n"/>
      <c r="F582" s="13" t="n"/>
      <c r="G582" s="16" t="n"/>
      <c r="H582" s="125" t="n"/>
      <c r="I582" s="14" t="n"/>
      <c r="J582" s="16" t="n"/>
      <c r="K582" s="125" t="n"/>
      <c r="L582" s="14" t="n"/>
      <c r="M582" s="16" t="n"/>
      <c r="N582" s="125" t="n"/>
      <c r="O582" s="14" t="n"/>
      <c r="P582" s="16" t="n"/>
      <c r="Q582" s="125" t="n"/>
      <c r="R582" s="14" t="n"/>
      <c r="S582" s="16" t="n"/>
      <c r="T582" s="125" t="n"/>
      <c r="U582" s="14" t="n"/>
      <c r="V582" s="16" t="n"/>
      <c r="W582" s="125" t="n"/>
      <c r="X582" s="14" t="n"/>
      <c r="Y582" s="16" t="n"/>
      <c r="Z582" s="125" t="n"/>
      <c r="AA582" s="14" t="n"/>
      <c r="AB582" s="16" t="n"/>
      <c r="AC582" s="125" t="n"/>
      <c r="AD582" s="14" t="n"/>
    </row>
    <row r="583">
      <c r="A583" s="58" t="n"/>
      <c r="B583" s="59" t="n"/>
      <c r="C583" s="59" t="n"/>
      <c r="E583" s="16" t="n"/>
      <c r="F583" s="13" t="n"/>
      <c r="G583" s="16" t="n"/>
      <c r="H583" s="125" t="n"/>
      <c r="I583" s="14" t="n"/>
      <c r="J583" s="16" t="n"/>
      <c r="K583" s="125" t="n"/>
      <c r="L583" s="14" t="n"/>
      <c r="M583" s="16" t="n"/>
      <c r="N583" s="125" t="n"/>
      <c r="O583" s="14" t="n"/>
      <c r="P583" s="16" t="n"/>
      <c r="Q583" s="125" t="n"/>
      <c r="R583" s="14" t="n"/>
      <c r="S583" s="16" t="n"/>
      <c r="T583" s="125" t="n"/>
      <c r="U583" s="14" t="n"/>
      <c r="V583" s="16" t="n"/>
      <c r="W583" s="125" t="n"/>
      <c r="X583" s="14" t="n"/>
      <c r="Y583" s="16" t="n"/>
      <c r="Z583" s="125" t="n"/>
      <c r="AA583" s="14" t="n"/>
      <c r="AB583" s="16" t="n"/>
      <c r="AC583" s="125" t="n"/>
      <c r="AD583" s="14" t="n"/>
    </row>
    <row r="584">
      <c r="A584" s="56" t="n"/>
      <c r="B584" s="59" t="n"/>
      <c r="C584" s="59" t="n"/>
      <c r="E584" s="16" t="n"/>
      <c r="F584" s="13" t="n"/>
      <c r="G584" s="16" t="n"/>
      <c r="H584" s="125" t="n"/>
      <c r="I584" s="14" t="n"/>
      <c r="J584" s="16" t="n"/>
      <c r="K584" s="125" t="n"/>
      <c r="L584" s="14" t="n"/>
      <c r="M584" s="16" t="n"/>
      <c r="N584" s="125" t="n"/>
      <c r="O584" s="14" t="n"/>
      <c r="P584" s="16" t="n"/>
      <c r="Q584" s="125" t="n"/>
      <c r="R584" s="14" t="n"/>
      <c r="S584" s="16" t="n"/>
      <c r="T584" s="125" t="n"/>
      <c r="U584" s="14" t="n"/>
      <c r="V584" s="16" t="n"/>
      <c r="W584" s="125" t="n"/>
      <c r="X584" s="14" t="n"/>
      <c r="Y584" s="16" t="n"/>
      <c r="Z584" s="125" t="n"/>
      <c r="AA584" s="14" t="n"/>
      <c r="AB584" s="16" t="n"/>
      <c r="AC584" s="125" t="n"/>
      <c r="AD584" s="14" t="n"/>
    </row>
    <row r="585">
      <c r="A585" s="58" t="n"/>
      <c r="B585" s="59" t="n"/>
      <c r="C585" s="59" t="n"/>
      <c r="E585" s="16" t="n"/>
      <c r="F585" s="13" t="n"/>
      <c r="G585" s="16" t="n"/>
      <c r="H585" s="125" t="n"/>
      <c r="I585" s="14" t="n"/>
      <c r="J585" s="16" t="n"/>
      <c r="K585" s="125" t="n"/>
      <c r="L585" s="14" t="n"/>
      <c r="M585" s="16" t="n"/>
      <c r="N585" s="125" t="n"/>
      <c r="O585" s="14" t="n"/>
      <c r="P585" s="16" t="n"/>
      <c r="Q585" s="125" t="n"/>
      <c r="R585" s="14" t="n"/>
      <c r="S585" s="16" t="n"/>
      <c r="T585" s="125" t="n"/>
      <c r="U585" s="14" t="n"/>
      <c r="V585" s="16" t="n"/>
      <c r="W585" s="125" t="n"/>
      <c r="X585" s="14" t="n"/>
      <c r="Y585" s="16" t="n"/>
      <c r="Z585" s="125" t="n"/>
      <c r="AA585" s="14" t="n"/>
      <c r="AB585" s="16" t="n"/>
      <c r="AC585" s="125" t="n"/>
      <c r="AD585" s="14" t="n"/>
    </row>
    <row r="586">
      <c r="A586" s="56" t="n"/>
      <c r="B586" s="59" t="n"/>
      <c r="C586" s="59" t="n"/>
      <c r="E586" s="16" t="n"/>
      <c r="F586" s="13" t="n"/>
      <c r="G586" s="16" t="n"/>
      <c r="H586" s="125" t="n"/>
      <c r="I586" s="14" t="n"/>
      <c r="J586" s="16" t="n"/>
      <c r="K586" s="125" t="n"/>
      <c r="L586" s="14" t="n"/>
      <c r="M586" s="16" t="n"/>
      <c r="N586" s="125" t="n"/>
      <c r="O586" s="14" t="n"/>
      <c r="P586" s="16" t="n"/>
      <c r="Q586" s="125" t="n"/>
      <c r="R586" s="14" t="n"/>
      <c r="S586" s="16" t="n"/>
      <c r="T586" s="125" t="n"/>
      <c r="U586" s="14" t="n"/>
      <c r="V586" s="16" t="n"/>
      <c r="W586" s="125" t="n"/>
      <c r="X586" s="14" t="n"/>
      <c r="Y586" s="16" t="n"/>
      <c r="Z586" s="125" t="n"/>
      <c r="AA586" s="14" t="n"/>
      <c r="AB586" s="16" t="n"/>
      <c r="AC586" s="125" t="n"/>
      <c r="AD586" s="14" t="n"/>
    </row>
    <row r="587">
      <c r="A587" s="58" t="n"/>
      <c r="B587" s="59" t="n"/>
      <c r="C587" s="59" t="n"/>
      <c r="E587" s="16" t="n"/>
      <c r="F587" s="13" t="n"/>
      <c r="G587" s="16" t="n"/>
      <c r="H587" s="125" t="n"/>
      <c r="I587" s="14" t="n"/>
      <c r="J587" s="16" t="n"/>
      <c r="K587" s="125" t="n"/>
      <c r="L587" s="14" t="n"/>
      <c r="M587" s="16" t="n"/>
      <c r="N587" s="125" t="n"/>
      <c r="O587" s="14" t="n"/>
      <c r="P587" s="16" t="n"/>
      <c r="Q587" s="125" t="n"/>
      <c r="R587" s="14" t="n"/>
      <c r="S587" s="16" t="n"/>
      <c r="T587" s="125" t="n"/>
      <c r="U587" s="14" t="n"/>
      <c r="V587" s="16" t="n"/>
      <c r="W587" s="125" t="n"/>
      <c r="X587" s="14" t="n"/>
      <c r="Y587" s="16" t="n"/>
      <c r="Z587" s="125" t="n"/>
      <c r="AA587" s="14" t="n"/>
      <c r="AB587" s="16" t="n"/>
      <c r="AC587" s="125" t="n"/>
      <c r="AD587" s="14" t="n"/>
    </row>
    <row r="588">
      <c r="A588" s="56" t="n"/>
      <c r="B588" s="59" t="n"/>
      <c r="C588" s="59" t="n"/>
      <c r="E588" s="16" t="n"/>
      <c r="F588" s="13" t="n"/>
      <c r="G588" s="16" t="n"/>
      <c r="H588" s="125" t="n"/>
      <c r="I588" s="14" t="n"/>
      <c r="J588" s="16" t="n"/>
      <c r="K588" s="125" t="n"/>
      <c r="L588" s="14" t="n"/>
      <c r="M588" s="16" t="n"/>
      <c r="N588" s="125" t="n"/>
      <c r="O588" s="14" t="n"/>
      <c r="P588" s="16" t="n"/>
      <c r="Q588" s="125" t="n"/>
      <c r="R588" s="14" t="n"/>
      <c r="S588" s="16" t="n"/>
      <c r="T588" s="125" t="n"/>
      <c r="U588" s="14" t="n"/>
      <c r="V588" s="16" t="n"/>
      <c r="W588" s="125" t="n"/>
      <c r="X588" s="14" t="n"/>
      <c r="Y588" s="16" t="n"/>
      <c r="Z588" s="125" t="n"/>
      <c r="AA588" s="14" t="n"/>
      <c r="AB588" s="16" t="n"/>
      <c r="AC588" s="125" t="n"/>
      <c r="AD588" s="14" t="n"/>
    </row>
    <row r="589">
      <c r="A589" s="58" t="n"/>
      <c r="B589" s="59" t="n"/>
      <c r="C589" s="59" t="n"/>
      <c r="E589" s="16" t="n"/>
      <c r="F589" s="13" t="n"/>
      <c r="G589" s="16" t="n"/>
      <c r="H589" s="125" t="n"/>
      <c r="I589" s="14" t="n"/>
      <c r="J589" s="16" t="n"/>
      <c r="K589" s="125" t="n"/>
      <c r="L589" s="14" t="n"/>
      <c r="M589" s="16" t="n"/>
      <c r="N589" s="125" t="n"/>
      <c r="O589" s="14" t="n"/>
      <c r="P589" s="16" t="n"/>
      <c r="Q589" s="125" t="n"/>
      <c r="R589" s="14" t="n"/>
      <c r="S589" s="16" t="n"/>
      <c r="T589" s="125" t="n"/>
      <c r="U589" s="14" t="n"/>
      <c r="V589" s="16" t="n"/>
      <c r="W589" s="125" t="n"/>
      <c r="X589" s="14" t="n"/>
      <c r="Y589" s="16" t="n"/>
      <c r="Z589" s="125" t="n"/>
      <c r="AA589" s="14" t="n"/>
      <c r="AB589" s="16" t="n"/>
      <c r="AC589" s="125" t="n"/>
      <c r="AD589" s="14" t="n"/>
    </row>
    <row r="590">
      <c r="A590" s="56" t="n"/>
      <c r="B590" s="59" t="n"/>
      <c r="C590" s="59" t="n"/>
      <c r="E590" s="16" t="n"/>
      <c r="F590" s="13" t="n"/>
      <c r="G590" s="16" t="n"/>
      <c r="H590" s="125" t="n"/>
      <c r="I590" s="14" t="n"/>
      <c r="J590" s="16" t="n"/>
      <c r="K590" s="125" t="n"/>
      <c r="L590" s="14" t="n"/>
      <c r="M590" s="16" t="n"/>
      <c r="N590" s="125" t="n"/>
      <c r="O590" s="14" t="n"/>
      <c r="P590" s="16" t="n"/>
      <c r="Q590" s="125" t="n"/>
      <c r="R590" s="14" t="n"/>
      <c r="S590" s="16" t="n"/>
      <c r="T590" s="125" t="n"/>
      <c r="U590" s="14" t="n"/>
      <c r="V590" s="16" t="n"/>
      <c r="W590" s="125" t="n"/>
      <c r="X590" s="14" t="n"/>
      <c r="Y590" s="16" t="n"/>
      <c r="Z590" s="125" t="n"/>
      <c r="AA590" s="14" t="n"/>
      <c r="AB590" s="16" t="n"/>
      <c r="AC590" s="125" t="n"/>
      <c r="AD590" s="14" t="n"/>
    </row>
    <row r="591">
      <c r="A591" s="58" t="n"/>
      <c r="B591" s="59" t="n"/>
      <c r="C591" s="59" t="n"/>
      <c r="E591" s="16" t="n"/>
      <c r="F591" s="13" t="n"/>
      <c r="G591" s="16" t="n"/>
      <c r="H591" s="125" t="n"/>
      <c r="I591" s="14" t="n"/>
      <c r="J591" s="16" t="n"/>
      <c r="K591" s="125" t="n"/>
      <c r="L591" s="14" t="n"/>
      <c r="M591" s="16" t="n"/>
      <c r="N591" s="125" t="n"/>
      <c r="O591" s="14" t="n"/>
      <c r="P591" s="16" t="n"/>
      <c r="Q591" s="125" t="n"/>
      <c r="R591" s="14" t="n"/>
      <c r="S591" s="16" t="n"/>
      <c r="T591" s="125" t="n"/>
      <c r="U591" s="14" t="n"/>
      <c r="V591" s="16" t="n"/>
      <c r="W591" s="125" t="n"/>
      <c r="X591" s="14" t="n"/>
      <c r="Y591" s="16" t="n"/>
      <c r="Z591" s="125" t="n"/>
      <c r="AA591" s="14" t="n"/>
      <c r="AB591" s="16" t="n"/>
      <c r="AC591" s="125" t="n"/>
      <c r="AD591" s="14" t="n"/>
    </row>
    <row r="592">
      <c r="A592" s="56" t="n"/>
      <c r="B592" s="59" t="n"/>
      <c r="C592" s="59" t="n"/>
      <c r="E592" s="16" t="n"/>
      <c r="F592" s="13" t="n"/>
      <c r="G592" s="16" t="n"/>
      <c r="H592" s="125" t="n"/>
      <c r="I592" s="14" t="n"/>
      <c r="J592" s="16" t="n"/>
      <c r="K592" s="125" t="n"/>
      <c r="L592" s="14" t="n"/>
      <c r="M592" s="16" t="n"/>
      <c r="N592" s="125" t="n"/>
      <c r="O592" s="14" t="n"/>
      <c r="P592" s="16" t="n"/>
      <c r="Q592" s="125" t="n"/>
      <c r="R592" s="14" t="n"/>
      <c r="S592" s="16" t="n"/>
      <c r="T592" s="125" t="n"/>
      <c r="U592" s="14" t="n"/>
      <c r="V592" s="16" t="n"/>
      <c r="W592" s="125" t="n"/>
      <c r="X592" s="14" t="n"/>
      <c r="Y592" s="16" t="n"/>
      <c r="Z592" s="125" t="n"/>
      <c r="AA592" s="14" t="n"/>
      <c r="AB592" s="16" t="n"/>
      <c r="AC592" s="125" t="n"/>
      <c r="AD592" s="14" t="n"/>
    </row>
    <row r="593">
      <c r="A593" s="58" t="n"/>
      <c r="B593" s="59" t="n"/>
      <c r="C593" s="59" t="n"/>
      <c r="E593" s="16" t="n"/>
      <c r="F593" s="13" t="n"/>
      <c r="G593" s="16" t="n"/>
      <c r="H593" s="125" t="n"/>
      <c r="I593" s="14" t="n"/>
      <c r="J593" s="16" t="n"/>
      <c r="K593" s="125" t="n"/>
      <c r="L593" s="14" t="n"/>
      <c r="M593" s="16" t="n"/>
      <c r="N593" s="125" t="n"/>
      <c r="O593" s="14" t="n"/>
      <c r="P593" s="16" t="n"/>
      <c r="Q593" s="125" t="n"/>
      <c r="R593" s="14" t="n"/>
      <c r="S593" s="16" t="n"/>
      <c r="T593" s="125" t="n"/>
      <c r="U593" s="14" t="n"/>
      <c r="V593" s="16" t="n"/>
      <c r="W593" s="125" t="n"/>
      <c r="X593" s="14" t="n"/>
      <c r="Y593" s="16" t="n"/>
      <c r="Z593" s="125" t="n"/>
      <c r="AA593" s="14" t="n"/>
      <c r="AB593" s="16" t="n"/>
      <c r="AC593" s="125" t="n"/>
      <c r="AD593" s="14" t="n"/>
    </row>
    <row r="594">
      <c r="A594" s="56" t="n"/>
      <c r="B594" s="59" t="n"/>
      <c r="C594" s="59" t="n"/>
      <c r="E594" s="16" t="n"/>
      <c r="F594" s="13" t="n"/>
      <c r="G594" s="16" t="n"/>
      <c r="H594" s="125" t="n"/>
      <c r="I594" s="14" t="n"/>
      <c r="J594" s="16" t="n"/>
      <c r="K594" s="125" t="n"/>
      <c r="L594" s="14" t="n"/>
      <c r="M594" s="16" t="n"/>
      <c r="N594" s="125" t="n"/>
      <c r="O594" s="14" t="n"/>
      <c r="P594" s="16" t="n"/>
      <c r="Q594" s="125" t="n"/>
      <c r="R594" s="14" t="n"/>
      <c r="S594" s="16" t="n"/>
      <c r="T594" s="125" t="n"/>
      <c r="U594" s="14" t="n"/>
      <c r="V594" s="16" t="n"/>
      <c r="W594" s="125" t="n"/>
      <c r="X594" s="14" t="n"/>
      <c r="Y594" s="16" t="n"/>
      <c r="Z594" s="125" t="n"/>
      <c r="AA594" s="14" t="n"/>
      <c r="AB594" s="16" t="n"/>
      <c r="AC594" s="125" t="n"/>
      <c r="AD594" s="14" t="n"/>
    </row>
    <row r="595">
      <c r="A595" s="58" t="n"/>
      <c r="B595" s="59" t="n"/>
      <c r="C595" s="59" t="n"/>
      <c r="E595" s="16" t="n"/>
      <c r="F595" s="13" t="n"/>
      <c r="G595" s="16" t="n"/>
      <c r="H595" s="125" t="n"/>
      <c r="I595" s="14" t="n"/>
      <c r="J595" s="16" t="n"/>
      <c r="K595" s="125" t="n"/>
      <c r="L595" s="14" t="n"/>
      <c r="M595" s="16" t="n"/>
      <c r="N595" s="125" t="n"/>
      <c r="O595" s="14" t="n"/>
      <c r="P595" s="16" t="n"/>
      <c r="Q595" s="125" t="n"/>
      <c r="R595" s="14" t="n"/>
      <c r="S595" s="16" t="n"/>
      <c r="T595" s="125" t="n"/>
      <c r="U595" s="14" t="n"/>
      <c r="V595" s="16" t="n"/>
      <c r="W595" s="125" t="n"/>
      <c r="X595" s="14" t="n"/>
      <c r="Y595" s="16" t="n"/>
      <c r="Z595" s="125" t="n"/>
      <c r="AA595" s="14" t="n"/>
      <c r="AB595" s="16" t="n"/>
      <c r="AC595" s="125" t="n"/>
      <c r="AD595" s="14" t="n"/>
    </row>
    <row r="596">
      <c r="A596" s="56" t="n"/>
      <c r="B596" s="59" t="n"/>
      <c r="C596" s="59" t="n"/>
      <c r="E596" s="16" t="n"/>
      <c r="F596" s="13" t="n"/>
      <c r="G596" s="16" t="n"/>
      <c r="H596" s="125" t="n"/>
      <c r="I596" s="14" t="n"/>
      <c r="J596" s="16" t="n"/>
      <c r="K596" s="125" t="n"/>
      <c r="L596" s="14" t="n"/>
      <c r="M596" s="16" t="n"/>
      <c r="N596" s="125" t="n"/>
      <c r="O596" s="14" t="n"/>
      <c r="P596" s="16" t="n"/>
      <c r="Q596" s="125" t="n"/>
      <c r="R596" s="14" t="n"/>
      <c r="S596" s="16" t="n"/>
      <c r="T596" s="125" t="n"/>
      <c r="U596" s="14" t="n"/>
      <c r="V596" s="16" t="n"/>
      <c r="W596" s="125" t="n"/>
      <c r="X596" s="14" t="n"/>
      <c r="Y596" s="16" t="n"/>
      <c r="Z596" s="125" t="n"/>
      <c r="AA596" s="14" t="n"/>
      <c r="AB596" s="16" t="n"/>
      <c r="AC596" s="125" t="n"/>
      <c r="AD596" s="14" t="n"/>
    </row>
    <row r="597">
      <c r="A597" s="58" t="n"/>
      <c r="B597" s="59" t="n"/>
      <c r="C597" s="59" t="n"/>
      <c r="E597" s="16" t="n"/>
      <c r="F597" s="13" t="n"/>
      <c r="G597" s="16" t="n"/>
      <c r="H597" s="125" t="n"/>
      <c r="I597" s="14" t="n"/>
      <c r="J597" s="16" t="n"/>
      <c r="K597" s="125" t="n"/>
      <c r="L597" s="14" t="n"/>
      <c r="M597" s="16" t="n"/>
      <c r="N597" s="125" t="n"/>
      <c r="O597" s="14" t="n"/>
      <c r="P597" s="16" t="n"/>
      <c r="Q597" s="125" t="n"/>
      <c r="R597" s="14" t="n"/>
      <c r="S597" s="16" t="n"/>
      <c r="T597" s="125" t="n"/>
      <c r="U597" s="14" t="n"/>
      <c r="V597" s="16" t="n"/>
      <c r="W597" s="125" t="n"/>
      <c r="X597" s="14" t="n"/>
      <c r="Y597" s="16" t="n"/>
      <c r="Z597" s="125" t="n"/>
      <c r="AA597" s="14" t="n"/>
      <c r="AB597" s="16" t="n"/>
      <c r="AC597" s="125" t="n"/>
      <c r="AD597" s="14" t="n"/>
    </row>
    <row r="598">
      <c r="A598" s="56" t="n"/>
      <c r="B598" s="59" t="n"/>
      <c r="C598" s="59" t="n"/>
      <c r="E598" s="16" t="n"/>
      <c r="F598" s="13" t="n"/>
      <c r="G598" s="16" t="n"/>
      <c r="H598" s="125" t="n"/>
      <c r="I598" s="14" t="n"/>
      <c r="J598" s="16" t="n"/>
      <c r="K598" s="125" t="n"/>
      <c r="L598" s="14" t="n"/>
      <c r="M598" s="16" t="n"/>
      <c r="N598" s="125" t="n"/>
      <c r="O598" s="14" t="n"/>
      <c r="P598" s="16" t="n"/>
      <c r="Q598" s="125" t="n"/>
      <c r="R598" s="14" t="n"/>
      <c r="S598" s="16" t="n"/>
      <c r="T598" s="125" t="n"/>
      <c r="U598" s="14" t="n"/>
      <c r="V598" s="16" t="n"/>
      <c r="W598" s="125" t="n"/>
      <c r="X598" s="14" t="n"/>
      <c r="Y598" s="16" t="n"/>
      <c r="Z598" s="125" t="n"/>
      <c r="AA598" s="14" t="n"/>
      <c r="AB598" s="16" t="n"/>
      <c r="AC598" s="125" t="n"/>
      <c r="AD598" s="14" t="n"/>
    </row>
    <row r="599">
      <c r="A599" s="58" t="n"/>
      <c r="B599" s="59" t="n"/>
      <c r="C599" s="59" t="n"/>
      <c r="E599" s="16" t="n"/>
      <c r="F599" s="13" t="n"/>
      <c r="G599" s="16" t="n"/>
      <c r="H599" s="125" t="n"/>
      <c r="I599" s="14" t="n"/>
      <c r="J599" s="16" t="n"/>
      <c r="K599" s="125" t="n"/>
      <c r="L599" s="14" t="n"/>
      <c r="M599" s="16" t="n"/>
      <c r="N599" s="125" t="n"/>
      <c r="O599" s="14" t="n"/>
      <c r="P599" s="16" t="n"/>
      <c r="Q599" s="125" t="n"/>
      <c r="R599" s="14" t="n"/>
      <c r="S599" s="16" t="n"/>
      <c r="T599" s="125" t="n"/>
      <c r="U599" s="14" t="n"/>
      <c r="V599" s="16" t="n"/>
      <c r="W599" s="125" t="n"/>
      <c r="X599" s="14" t="n"/>
      <c r="Y599" s="16" t="n"/>
      <c r="Z599" s="125" t="n"/>
      <c r="AA599" s="14" t="n"/>
      <c r="AB599" s="16" t="n"/>
      <c r="AC599" s="125" t="n"/>
      <c r="AD599" s="14" t="n"/>
    </row>
    <row r="600">
      <c r="A600" s="56" t="n"/>
      <c r="B600" s="59" t="n"/>
      <c r="C600" s="59" t="n"/>
      <c r="E600" s="16" t="n"/>
      <c r="F600" s="13" t="n"/>
      <c r="G600" s="16" t="n"/>
      <c r="H600" s="125" t="n"/>
      <c r="I600" s="14" t="n"/>
      <c r="J600" s="16" t="n"/>
      <c r="K600" s="125" t="n"/>
      <c r="L600" s="14" t="n"/>
      <c r="M600" s="16" t="n"/>
      <c r="N600" s="125" t="n"/>
      <c r="O600" s="14" t="n"/>
      <c r="P600" s="16" t="n"/>
      <c r="Q600" s="125" t="n"/>
      <c r="R600" s="14" t="n"/>
      <c r="S600" s="16" t="n"/>
      <c r="T600" s="125" t="n"/>
      <c r="U600" s="14" t="n"/>
      <c r="V600" s="16" t="n"/>
      <c r="W600" s="125" t="n"/>
      <c r="X600" s="14" t="n"/>
      <c r="Y600" s="16" t="n"/>
      <c r="Z600" s="125" t="n"/>
      <c r="AA600" s="14" t="n"/>
      <c r="AB600" s="16" t="n"/>
      <c r="AC600" s="125" t="n"/>
      <c r="AD600" s="14" t="n"/>
    </row>
    <row r="601">
      <c r="A601" s="58" t="n"/>
      <c r="B601" s="59" t="n"/>
      <c r="C601" s="59" t="n"/>
      <c r="E601" s="16" t="n"/>
      <c r="F601" s="13" t="n"/>
      <c r="G601" s="16" t="n"/>
      <c r="H601" s="125" t="n"/>
      <c r="I601" s="14" t="n"/>
      <c r="J601" s="16" t="n"/>
      <c r="K601" s="125" t="n"/>
      <c r="L601" s="14" t="n"/>
      <c r="M601" s="16" t="n"/>
      <c r="N601" s="125" t="n"/>
      <c r="O601" s="14" t="n"/>
      <c r="P601" s="16" t="n"/>
      <c r="Q601" s="125" t="n"/>
      <c r="R601" s="14" t="n"/>
      <c r="S601" s="16" t="n"/>
      <c r="T601" s="125" t="n"/>
      <c r="U601" s="14" t="n"/>
      <c r="V601" s="16" t="n"/>
      <c r="W601" s="125" t="n"/>
      <c r="X601" s="14" t="n"/>
      <c r="Y601" s="16" t="n"/>
      <c r="Z601" s="125" t="n"/>
      <c r="AA601" s="14" t="n"/>
      <c r="AB601" s="16" t="n"/>
      <c r="AC601" s="125" t="n"/>
      <c r="AD601" s="14" t="n"/>
    </row>
    <row r="602">
      <c r="A602" s="56" t="n"/>
      <c r="B602" s="59" t="n"/>
      <c r="C602" s="59" t="n"/>
      <c r="E602" s="16" t="n"/>
      <c r="F602" s="13" t="n"/>
      <c r="G602" s="16" t="n"/>
      <c r="H602" s="125" t="n"/>
      <c r="I602" s="14" t="n"/>
      <c r="J602" s="16" t="n"/>
      <c r="K602" s="125" t="n"/>
      <c r="L602" s="14" t="n"/>
      <c r="M602" s="16" t="n"/>
      <c r="N602" s="125" t="n"/>
      <c r="O602" s="14" t="n"/>
      <c r="P602" s="16" t="n"/>
      <c r="Q602" s="125" t="n"/>
      <c r="R602" s="14" t="n"/>
      <c r="S602" s="16" t="n"/>
      <c r="T602" s="125" t="n"/>
      <c r="U602" s="14" t="n"/>
      <c r="V602" s="16" t="n"/>
      <c r="W602" s="125" t="n"/>
      <c r="X602" s="14" t="n"/>
      <c r="Y602" s="16" t="n"/>
      <c r="Z602" s="125" t="n"/>
      <c r="AA602" s="14" t="n"/>
      <c r="AB602" s="16" t="n"/>
      <c r="AC602" s="125" t="n"/>
      <c r="AD602" s="14" t="n"/>
    </row>
    <row r="603">
      <c r="A603" s="58" t="n"/>
      <c r="B603" s="59" t="n"/>
      <c r="C603" s="59" t="n"/>
      <c r="E603" s="16" t="n"/>
      <c r="F603" s="13" t="n"/>
      <c r="G603" s="16" t="n"/>
      <c r="H603" s="125" t="n"/>
      <c r="I603" s="14" t="n"/>
      <c r="J603" s="16" t="n"/>
      <c r="K603" s="125" t="n"/>
      <c r="L603" s="14" t="n"/>
      <c r="M603" s="16" t="n"/>
      <c r="N603" s="125" t="n"/>
      <c r="O603" s="14" t="n"/>
      <c r="P603" s="16" t="n"/>
      <c r="Q603" s="125" t="n"/>
      <c r="R603" s="14" t="n"/>
      <c r="S603" s="16" t="n"/>
      <c r="T603" s="125" t="n"/>
      <c r="U603" s="14" t="n"/>
      <c r="V603" s="16" t="n"/>
      <c r="W603" s="125" t="n"/>
      <c r="X603" s="14" t="n"/>
      <c r="Y603" s="16" t="n"/>
      <c r="Z603" s="125" t="n"/>
      <c r="AA603" s="14" t="n"/>
      <c r="AB603" s="16" t="n"/>
      <c r="AC603" s="125" t="n"/>
      <c r="AD603" s="14" t="n"/>
    </row>
    <row r="604">
      <c r="A604" s="56" t="n"/>
      <c r="B604" s="59" t="n"/>
      <c r="C604" s="59" t="n"/>
      <c r="E604" s="16" t="n"/>
      <c r="F604" s="13" t="n"/>
      <c r="G604" s="16" t="n"/>
      <c r="H604" s="125" t="n"/>
      <c r="I604" s="14" t="n"/>
      <c r="J604" s="16" t="n"/>
      <c r="K604" s="125" t="n"/>
      <c r="L604" s="14" t="n"/>
      <c r="M604" s="16" t="n"/>
      <c r="N604" s="125" t="n"/>
      <c r="O604" s="14" t="n"/>
      <c r="P604" s="16" t="n"/>
      <c r="Q604" s="125" t="n"/>
      <c r="R604" s="14" t="n"/>
      <c r="S604" s="16" t="n"/>
      <c r="T604" s="125" t="n"/>
      <c r="U604" s="14" t="n"/>
      <c r="V604" s="16" t="n"/>
      <c r="W604" s="125" t="n"/>
      <c r="X604" s="14" t="n"/>
      <c r="Y604" s="16" t="n"/>
      <c r="Z604" s="125" t="n"/>
      <c r="AA604" s="14" t="n"/>
      <c r="AB604" s="16" t="n"/>
      <c r="AC604" s="125" t="n"/>
      <c r="AD604" s="14" t="n"/>
    </row>
    <row r="605">
      <c r="A605" s="58" t="n"/>
      <c r="B605" s="59" t="n"/>
      <c r="C605" s="59" t="n"/>
      <c r="E605" s="16" t="n"/>
      <c r="F605" s="13" t="n"/>
      <c r="G605" s="16" t="n"/>
      <c r="H605" s="125" t="n"/>
      <c r="I605" s="14" t="n"/>
      <c r="J605" s="16" t="n"/>
      <c r="K605" s="125" t="n"/>
      <c r="L605" s="14" t="n"/>
      <c r="M605" s="16" t="n"/>
      <c r="N605" s="125" t="n"/>
      <c r="O605" s="14" t="n"/>
      <c r="P605" s="16" t="n"/>
      <c r="Q605" s="125" t="n"/>
      <c r="R605" s="14" t="n"/>
      <c r="S605" s="16" t="n"/>
      <c r="T605" s="125" t="n"/>
      <c r="U605" s="14" t="n"/>
      <c r="V605" s="16" t="n"/>
      <c r="W605" s="125" t="n"/>
      <c r="X605" s="14" t="n"/>
      <c r="Y605" s="16" t="n"/>
      <c r="Z605" s="125" t="n"/>
      <c r="AA605" s="14" t="n"/>
      <c r="AB605" s="16" t="n"/>
      <c r="AC605" s="125" t="n"/>
      <c r="AD605" s="14" t="n"/>
    </row>
    <row r="606">
      <c r="A606" s="56" t="n"/>
      <c r="B606" s="59" t="n"/>
      <c r="C606" s="59" t="n"/>
      <c r="E606" s="16" t="n"/>
      <c r="F606" s="13" t="n"/>
      <c r="G606" s="16" t="n"/>
      <c r="H606" s="125" t="n"/>
      <c r="I606" s="14" t="n"/>
      <c r="J606" s="16" t="n"/>
      <c r="K606" s="125" t="n"/>
      <c r="L606" s="14" t="n"/>
      <c r="M606" s="16" t="n"/>
      <c r="N606" s="125" t="n"/>
      <c r="O606" s="14" t="n"/>
      <c r="P606" s="16" t="n"/>
      <c r="Q606" s="125" t="n"/>
      <c r="R606" s="14" t="n"/>
      <c r="S606" s="16" t="n"/>
      <c r="T606" s="125" t="n"/>
      <c r="U606" s="14" t="n"/>
      <c r="V606" s="16" t="n"/>
      <c r="W606" s="125" t="n"/>
      <c r="X606" s="14" t="n"/>
      <c r="Y606" s="16" t="n"/>
      <c r="Z606" s="125" t="n"/>
      <c r="AA606" s="14" t="n"/>
      <c r="AB606" s="16" t="n"/>
      <c r="AC606" s="125" t="n"/>
      <c r="AD606" s="14" t="n"/>
    </row>
    <row r="607">
      <c r="A607" s="58" t="n"/>
      <c r="B607" s="59" t="n"/>
      <c r="C607" s="59" t="n"/>
      <c r="E607" s="16" t="n"/>
      <c r="F607" s="13" t="n"/>
      <c r="G607" s="16" t="n"/>
      <c r="H607" s="125" t="n"/>
      <c r="I607" s="14" t="n"/>
      <c r="J607" s="16" t="n"/>
      <c r="K607" s="125" t="n"/>
      <c r="L607" s="14" t="n"/>
      <c r="M607" s="16" t="n"/>
      <c r="N607" s="125" t="n"/>
      <c r="O607" s="14" t="n"/>
      <c r="P607" s="16" t="n"/>
      <c r="Q607" s="125" t="n"/>
      <c r="R607" s="14" t="n"/>
      <c r="S607" s="16" t="n"/>
      <c r="T607" s="125" t="n"/>
      <c r="U607" s="14" t="n"/>
      <c r="V607" s="16" t="n"/>
      <c r="W607" s="125" t="n"/>
      <c r="X607" s="14" t="n"/>
      <c r="Y607" s="16" t="n"/>
      <c r="Z607" s="125" t="n"/>
      <c r="AA607" s="14" t="n"/>
      <c r="AB607" s="16" t="n"/>
      <c r="AC607" s="125" t="n"/>
      <c r="AD607" s="14" t="n"/>
    </row>
    <row r="608">
      <c r="A608" s="56" t="n"/>
      <c r="B608" s="59" t="n"/>
      <c r="C608" s="59" t="n"/>
      <c r="E608" s="16" t="n"/>
      <c r="F608" s="13" t="n"/>
      <c r="G608" s="16" t="n"/>
      <c r="H608" s="125" t="n"/>
      <c r="I608" s="14" t="n"/>
      <c r="J608" s="16" t="n"/>
      <c r="K608" s="125" t="n"/>
      <c r="L608" s="14" t="n"/>
      <c r="M608" s="16" t="n"/>
      <c r="N608" s="125" t="n"/>
      <c r="O608" s="14" t="n"/>
      <c r="P608" s="16" t="n"/>
      <c r="Q608" s="125" t="n"/>
      <c r="R608" s="14" t="n"/>
      <c r="S608" s="16" t="n"/>
      <c r="T608" s="125" t="n"/>
      <c r="U608" s="14" t="n"/>
      <c r="V608" s="16" t="n"/>
      <c r="W608" s="125" t="n"/>
      <c r="X608" s="14" t="n"/>
      <c r="Y608" s="16" t="n"/>
      <c r="Z608" s="125" t="n"/>
      <c r="AA608" s="14" t="n"/>
      <c r="AB608" s="16" t="n"/>
      <c r="AC608" s="125" t="n"/>
      <c r="AD608" s="14" t="n"/>
    </row>
    <row r="609">
      <c r="A609" s="58" t="n"/>
      <c r="B609" s="59" t="n"/>
      <c r="C609" s="59" t="n"/>
      <c r="E609" s="16" t="n"/>
      <c r="F609" s="13" t="n"/>
      <c r="G609" s="16" t="n"/>
      <c r="H609" s="125" t="n"/>
      <c r="I609" s="14" t="n"/>
      <c r="J609" s="16" t="n"/>
      <c r="K609" s="125" t="n"/>
      <c r="L609" s="14" t="n"/>
      <c r="M609" s="16" t="n"/>
      <c r="N609" s="125" t="n"/>
      <c r="O609" s="14" t="n"/>
      <c r="P609" s="16" t="n"/>
      <c r="Q609" s="125" t="n"/>
      <c r="R609" s="14" t="n"/>
      <c r="S609" s="16" t="n"/>
      <c r="T609" s="125" t="n"/>
      <c r="U609" s="14" t="n"/>
      <c r="V609" s="16" t="n"/>
      <c r="W609" s="125" t="n"/>
      <c r="X609" s="14" t="n"/>
      <c r="Y609" s="16" t="n"/>
      <c r="Z609" s="125" t="n"/>
      <c r="AA609" s="14" t="n"/>
      <c r="AB609" s="16" t="n"/>
      <c r="AC609" s="125" t="n"/>
      <c r="AD609" s="14" t="n"/>
    </row>
    <row r="610">
      <c r="A610" s="56" t="n"/>
      <c r="B610" s="59" t="n"/>
      <c r="C610" s="59" t="n"/>
      <c r="E610" s="16" t="n"/>
      <c r="F610" s="13" t="n"/>
      <c r="G610" s="16" t="n"/>
      <c r="H610" s="125" t="n"/>
      <c r="I610" s="14" t="n"/>
      <c r="J610" s="16" t="n"/>
      <c r="K610" s="125" t="n"/>
      <c r="L610" s="14" t="n"/>
      <c r="M610" s="16" t="n"/>
      <c r="N610" s="125" t="n"/>
      <c r="O610" s="14" t="n"/>
      <c r="P610" s="16" t="n"/>
      <c r="Q610" s="125" t="n"/>
      <c r="R610" s="14" t="n"/>
      <c r="S610" s="16" t="n"/>
      <c r="T610" s="125" t="n"/>
      <c r="U610" s="14" t="n"/>
      <c r="V610" s="16" t="n"/>
      <c r="W610" s="125" t="n"/>
      <c r="X610" s="14" t="n"/>
      <c r="Y610" s="16" t="n"/>
      <c r="Z610" s="125" t="n"/>
      <c r="AA610" s="14" t="n"/>
      <c r="AB610" s="16" t="n"/>
      <c r="AC610" s="125" t="n"/>
      <c r="AD610" s="14" t="n"/>
    </row>
    <row r="611">
      <c r="A611" s="58" t="n"/>
      <c r="B611" s="59" t="n"/>
      <c r="C611" s="59" t="n"/>
      <c r="E611" s="16" t="n"/>
      <c r="F611" s="13" t="n"/>
      <c r="G611" s="16" t="n"/>
      <c r="H611" s="125" t="n"/>
      <c r="I611" s="14" t="n"/>
      <c r="J611" s="16" t="n"/>
      <c r="K611" s="125" t="n"/>
      <c r="L611" s="14" t="n"/>
      <c r="M611" s="16" t="n"/>
      <c r="N611" s="125" t="n"/>
      <c r="O611" s="14" t="n"/>
      <c r="P611" s="16" t="n"/>
      <c r="Q611" s="125" t="n"/>
      <c r="R611" s="14" t="n"/>
      <c r="S611" s="16" t="n"/>
      <c r="T611" s="125" t="n"/>
      <c r="U611" s="14" t="n"/>
      <c r="V611" s="16" t="n"/>
      <c r="W611" s="125" t="n"/>
      <c r="X611" s="14" t="n"/>
      <c r="Y611" s="16" t="n"/>
      <c r="Z611" s="125" t="n"/>
      <c r="AA611" s="14" t="n"/>
      <c r="AB611" s="16" t="n"/>
      <c r="AC611" s="125" t="n"/>
      <c r="AD611" s="14" t="n"/>
    </row>
    <row r="612">
      <c r="A612" s="56" t="n"/>
      <c r="B612" s="59" t="n"/>
      <c r="C612" s="59" t="n"/>
      <c r="E612" s="16" t="n"/>
      <c r="F612" s="13" t="n"/>
      <c r="G612" s="16" t="n"/>
      <c r="H612" s="125" t="n"/>
      <c r="I612" s="14" t="n"/>
      <c r="J612" s="16" t="n"/>
      <c r="K612" s="125" t="n"/>
      <c r="L612" s="14" t="n"/>
      <c r="M612" s="16" t="n"/>
      <c r="N612" s="125" t="n"/>
      <c r="O612" s="14" t="n"/>
      <c r="P612" s="16" t="n"/>
      <c r="Q612" s="125" t="n"/>
      <c r="R612" s="14" t="n"/>
      <c r="S612" s="16" t="n"/>
      <c r="T612" s="125" t="n"/>
      <c r="U612" s="14" t="n"/>
      <c r="V612" s="16" t="n"/>
      <c r="W612" s="125" t="n"/>
      <c r="X612" s="14" t="n"/>
      <c r="Y612" s="16" t="n"/>
      <c r="Z612" s="125" t="n"/>
      <c r="AA612" s="14" t="n"/>
      <c r="AB612" s="16" t="n"/>
      <c r="AC612" s="125" t="n"/>
      <c r="AD612" s="14" t="n"/>
    </row>
    <row r="613">
      <c r="A613" s="58" t="n"/>
      <c r="B613" s="59" t="n"/>
      <c r="C613" s="59" t="n"/>
      <c r="E613" s="16" t="n"/>
      <c r="F613" s="13" t="n"/>
      <c r="G613" s="16" t="n"/>
      <c r="H613" s="125" t="n"/>
      <c r="I613" s="14" t="n"/>
      <c r="J613" s="16" t="n"/>
      <c r="K613" s="125" t="n"/>
      <c r="L613" s="14" t="n"/>
      <c r="M613" s="16" t="n"/>
      <c r="N613" s="125" t="n"/>
      <c r="O613" s="14" t="n"/>
      <c r="P613" s="16" t="n"/>
      <c r="Q613" s="125" t="n"/>
      <c r="R613" s="14" t="n"/>
      <c r="S613" s="16" t="n"/>
      <c r="T613" s="125" t="n"/>
      <c r="U613" s="14" t="n"/>
      <c r="V613" s="16" t="n"/>
      <c r="W613" s="125" t="n"/>
      <c r="X613" s="14" t="n"/>
      <c r="Y613" s="16" t="n"/>
      <c r="Z613" s="125" t="n"/>
      <c r="AA613" s="14" t="n"/>
      <c r="AB613" s="16" t="n"/>
      <c r="AC613" s="125" t="n"/>
      <c r="AD613" s="14" t="n"/>
    </row>
    <row r="614">
      <c r="A614" s="56" t="n"/>
      <c r="B614" s="59" t="n"/>
      <c r="C614" s="59" t="n"/>
      <c r="E614" s="16" t="n"/>
      <c r="F614" s="13" t="n"/>
      <c r="G614" s="16" t="n"/>
      <c r="H614" s="125" t="n"/>
      <c r="I614" s="14" t="n"/>
      <c r="J614" s="16" t="n"/>
      <c r="K614" s="125" t="n"/>
      <c r="L614" s="14" t="n"/>
      <c r="M614" s="16" t="n"/>
      <c r="N614" s="125" t="n"/>
      <c r="O614" s="14" t="n"/>
      <c r="P614" s="16" t="n"/>
      <c r="Q614" s="125" t="n"/>
      <c r="R614" s="14" t="n"/>
      <c r="S614" s="16" t="n"/>
      <c r="T614" s="125" t="n"/>
      <c r="U614" s="14" t="n"/>
      <c r="V614" s="16" t="n"/>
      <c r="W614" s="125" t="n"/>
      <c r="X614" s="14" t="n"/>
      <c r="Y614" s="16" t="n"/>
      <c r="Z614" s="125" t="n"/>
      <c r="AA614" s="14" t="n"/>
      <c r="AB614" s="16" t="n"/>
      <c r="AC614" s="125" t="n"/>
      <c r="AD614" s="14" t="n"/>
    </row>
    <row r="615">
      <c r="A615" s="58" t="n"/>
      <c r="B615" s="59" t="n"/>
      <c r="C615" s="59" t="n"/>
      <c r="E615" s="16" t="n"/>
      <c r="F615" s="13" t="n"/>
      <c r="G615" s="16" t="n"/>
      <c r="H615" s="125" t="n"/>
      <c r="I615" s="14" t="n"/>
      <c r="J615" s="16" t="n"/>
      <c r="K615" s="125" t="n"/>
      <c r="L615" s="14" t="n"/>
      <c r="M615" s="16" t="n"/>
      <c r="N615" s="125" t="n"/>
      <c r="O615" s="14" t="n"/>
      <c r="P615" s="16" t="n"/>
      <c r="Q615" s="125" t="n"/>
      <c r="R615" s="14" t="n"/>
      <c r="S615" s="16" t="n"/>
      <c r="T615" s="125" t="n"/>
      <c r="U615" s="14" t="n"/>
      <c r="V615" s="16" t="n"/>
      <c r="W615" s="125" t="n"/>
      <c r="X615" s="14" t="n"/>
      <c r="Y615" s="16" t="n"/>
      <c r="Z615" s="125" t="n"/>
      <c r="AA615" s="14" t="n"/>
      <c r="AB615" s="16" t="n"/>
      <c r="AC615" s="125" t="n"/>
      <c r="AD615" s="14" t="n"/>
    </row>
    <row r="616">
      <c r="A616" s="56" t="n"/>
      <c r="B616" s="59" t="n"/>
      <c r="C616" s="59" t="n"/>
      <c r="E616" s="16" t="n"/>
      <c r="F616" s="13" t="n"/>
      <c r="G616" s="16" t="n"/>
      <c r="H616" s="125" t="n"/>
      <c r="I616" s="14" t="n"/>
      <c r="J616" s="16" t="n"/>
      <c r="K616" s="125" t="n"/>
      <c r="L616" s="14" t="n"/>
      <c r="M616" s="16" t="n"/>
      <c r="N616" s="125" t="n"/>
      <c r="O616" s="14" t="n"/>
      <c r="P616" s="16" t="n"/>
      <c r="Q616" s="125" t="n"/>
      <c r="R616" s="14" t="n"/>
      <c r="S616" s="16" t="n"/>
      <c r="T616" s="125" t="n"/>
      <c r="U616" s="14" t="n"/>
      <c r="V616" s="16" t="n"/>
      <c r="W616" s="125" t="n"/>
      <c r="X616" s="14" t="n"/>
      <c r="Y616" s="16" t="n"/>
      <c r="Z616" s="125" t="n"/>
      <c r="AA616" s="14" t="n"/>
      <c r="AB616" s="16" t="n"/>
      <c r="AC616" s="125" t="n"/>
      <c r="AD616" s="14" t="n"/>
    </row>
    <row r="617">
      <c r="A617" s="58" t="n"/>
      <c r="B617" s="59" t="n"/>
      <c r="C617" s="59" t="n"/>
      <c r="E617" s="16" t="n"/>
      <c r="F617" s="13" t="n"/>
      <c r="G617" s="16" t="n"/>
      <c r="H617" s="125" t="n"/>
      <c r="I617" s="14" t="n"/>
      <c r="J617" s="16" t="n"/>
      <c r="K617" s="125" t="n"/>
      <c r="L617" s="14" t="n"/>
      <c r="M617" s="16" t="n"/>
      <c r="N617" s="125" t="n"/>
      <c r="O617" s="14" t="n"/>
      <c r="P617" s="16" t="n"/>
      <c r="Q617" s="125" t="n"/>
      <c r="R617" s="14" t="n"/>
      <c r="S617" s="16" t="n"/>
      <c r="T617" s="125" t="n"/>
      <c r="U617" s="14" t="n"/>
      <c r="V617" s="16" t="n"/>
      <c r="W617" s="125" t="n"/>
      <c r="X617" s="14" t="n"/>
      <c r="Y617" s="16" t="n"/>
      <c r="Z617" s="125" t="n"/>
      <c r="AA617" s="14" t="n"/>
      <c r="AB617" s="16" t="n"/>
      <c r="AC617" s="125" t="n"/>
      <c r="AD617" s="14" t="n"/>
    </row>
    <row r="618">
      <c r="A618" s="56" t="n"/>
      <c r="B618" s="59" t="n"/>
      <c r="C618" s="59" t="n"/>
      <c r="E618" s="16" t="n"/>
      <c r="F618" s="13" t="n"/>
      <c r="G618" s="16" t="n"/>
      <c r="H618" s="125" t="n"/>
      <c r="I618" s="14" t="n"/>
      <c r="J618" s="16" t="n"/>
      <c r="K618" s="125" t="n"/>
      <c r="L618" s="14" t="n"/>
      <c r="M618" s="16" t="n"/>
      <c r="N618" s="125" t="n"/>
      <c r="O618" s="14" t="n"/>
      <c r="P618" s="16" t="n"/>
      <c r="Q618" s="125" t="n"/>
      <c r="R618" s="14" t="n"/>
      <c r="S618" s="16" t="n"/>
      <c r="T618" s="125" t="n"/>
      <c r="U618" s="14" t="n"/>
      <c r="V618" s="16" t="n"/>
      <c r="W618" s="125" t="n"/>
      <c r="X618" s="14" t="n"/>
      <c r="Y618" s="16" t="n"/>
      <c r="Z618" s="125" t="n"/>
      <c r="AA618" s="14" t="n"/>
      <c r="AB618" s="16" t="n"/>
      <c r="AC618" s="125" t="n"/>
      <c r="AD618" s="14" t="n"/>
    </row>
    <row r="619">
      <c r="A619" s="58" t="n"/>
      <c r="B619" s="59" t="n"/>
      <c r="C619" s="59" t="n"/>
      <c r="E619" s="16" t="n"/>
      <c r="F619" s="13" t="n"/>
      <c r="G619" s="16" t="n"/>
      <c r="H619" s="125" t="n"/>
      <c r="I619" s="14" t="n"/>
      <c r="J619" s="16" t="n"/>
      <c r="K619" s="125" t="n"/>
      <c r="L619" s="14" t="n"/>
      <c r="M619" s="16" t="n"/>
      <c r="N619" s="125" t="n"/>
      <c r="O619" s="14" t="n"/>
      <c r="P619" s="16" t="n"/>
      <c r="Q619" s="125" t="n"/>
      <c r="R619" s="14" t="n"/>
      <c r="S619" s="16" t="n"/>
      <c r="T619" s="125" t="n"/>
      <c r="U619" s="14" t="n"/>
      <c r="V619" s="16" t="n"/>
      <c r="W619" s="125" t="n"/>
      <c r="X619" s="14" t="n"/>
      <c r="Y619" s="16" t="n"/>
      <c r="Z619" s="125" t="n"/>
      <c r="AA619" s="14" t="n"/>
      <c r="AB619" s="16" t="n"/>
      <c r="AC619" s="125" t="n"/>
      <c r="AD619" s="14" t="n"/>
    </row>
    <row r="620">
      <c r="A620" s="56" t="n"/>
      <c r="B620" s="59" t="n"/>
      <c r="C620" s="59" t="n"/>
      <c r="E620" s="16" t="n"/>
      <c r="F620" s="13" t="n"/>
      <c r="G620" s="16" t="n"/>
      <c r="H620" s="125" t="n"/>
      <c r="I620" s="14" t="n"/>
      <c r="J620" s="16" t="n"/>
      <c r="K620" s="125" t="n"/>
      <c r="L620" s="14" t="n"/>
      <c r="M620" s="16" t="n"/>
      <c r="N620" s="125" t="n"/>
      <c r="O620" s="14" t="n"/>
      <c r="P620" s="16" t="n"/>
      <c r="Q620" s="125" t="n"/>
      <c r="R620" s="14" t="n"/>
      <c r="S620" s="16" t="n"/>
      <c r="T620" s="125" t="n"/>
      <c r="U620" s="14" t="n"/>
      <c r="V620" s="16" t="n"/>
      <c r="W620" s="125" t="n"/>
      <c r="X620" s="14" t="n"/>
      <c r="Y620" s="16" t="n"/>
      <c r="Z620" s="125" t="n"/>
      <c r="AA620" s="14" t="n"/>
      <c r="AB620" s="16" t="n"/>
      <c r="AC620" s="125" t="n"/>
      <c r="AD620" s="14" t="n"/>
    </row>
    <row r="621">
      <c r="A621" s="58" t="n"/>
      <c r="B621" s="59" t="n"/>
      <c r="C621" s="59" t="n"/>
      <c r="E621" s="16" t="n"/>
      <c r="F621" s="13" t="n"/>
      <c r="G621" s="16" t="n"/>
      <c r="H621" s="125" t="n"/>
      <c r="I621" s="14" t="n"/>
      <c r="J621" s="16" t="n"/>
      <c r="K621" s="125" t="n"/>
      <c r="L621" s="14" t="n"/>
      <c r="M621" s="16" t="n"/>
      <c r="N621" s="125" t="n"/>
      <c r="O621" s="14" t="n"/>
      <c r="P621" s="16" t="n"/>
      <c r="Q621" s="125" t="n"/>
      <c r="R621" s="14" t="n"/>
      <c r="S621" s="16" t="n"/>
      <c r="T621" s="125" t="n"/>
      <c r="U621" s="14" t="n"/>
      <c r="V621" s="16" t="n"/>
      <c r="W621" s="125" t="n"/>
      <c r="X621" s="14" t="n"/>
      <c r="Y621" s="16" t="n"/>
      <c r="Z621" s="125" t="n"/>
      <c r="AA621" s="14" t="n"/>
      <c r="AB621" s="16" t="n"/>
      <c r="AC621" s="125" t="n"/>
      <c r="AD621" s="14" t="n"/>
    </row>
    <row r="622">
      <c r="A622" s="56" t="n"/>
      <c r="B622" s="59" t="n"/>
      <c r="C622" s="59" t="n"/>
      <c r="E622" s="16" t="n"/>
      <c r="F622" s="13" t="n"/>
      <c r="G622" s="16" t="n"/>
      <c r="H622" s="125" t="n"/>
      <c r="I622" s="14" t="n"/>
      <c r="J622" s="16" t="n"/>
      <c r="K622" s="125" t="n"/>
      <c r="L622" s="14" t="n"/>
      <c r="M622" s="16" t="n"/>
      <c r="N622" s="125" t="n"/>
      <c r="O622" s="14" t="n"/>
      <c r="P622" s="16" t="n"/>
      <c r="Q622" s="125" t="n"/>
      <c r="R622" s="14" t="n"/>
      <c r="S622" s="16" t="n"/>
      <c r="T622" s="125" t="n"/>
      <c r="U622" s="14" t="n"/>
      <c r="V622" s="16" t="n"/>
      <c r="W622" s="125" t="n"/>
      <c r="X622" s="14" t="n"/>
      <c r="Y622" s="16" t="n"/>
      <c r="Z622" s="125" t="n"/>
      <c r="AA622" s="14" t="n"/>
      <c r="AB622" s="16" t="n"/>
      <c r="AC622" s="125" t="n"/>
      <c r="AD622" s="14" t="n"/>
    </row>
    <row r="623">
      <c r="A623" s="58" t="n"/>
      <c r="B623" s="59" t="n"/>
      <c r="C623" s="59" t="n"/>
      <c r="E623" s="16" t="n"/>
      <c r="F623" s="13" t="n"/>
      <c r="G623" s="16" t="n"/>
      <c r="H623" s="125" t="n"/>
      <c r="I623" s="14" t="n"/>
      <c r="J623" s="16" t="n"/>
      <c r="K623" s="125" t="n"/>
      <c r="L623" s="14" t="n"/>
      <c r="M623" s="16" t="n"/>
      <c r="N623" s="125" t="n"/>
      <c r="O623" s="14" t="n"/>
      <c r="P623" s="16" t="n"/>
      <c r="Q623" s="125" t="n"/>
      <c r="R623" s="14" t="n"/>
      <c r="S623" s="16" t="n"/>
      <c r="T623" s="125" t="n"/>
      <c r="U623" s="14" t="n"/>
      <c r="V623" s="16" t="n"/>
      <c r="W623" s="125" t="n"/>
      <c r="X623" s="14" t="n"/>
      <c r="Y623" s="16" t="n"/>
      <c r="Z623" s="125" t="n"/>
      <c r="AA623" s="14" t="n"/>
      <c r="AB623" s="16" t="n"/>
      <c r="AC623" s="125" t="n"/>
      <c r="AD623" s="14" t="n"/>
    </row>
    <row r="624">
      <c r="A624" s="56" t="n"/>
      <c r="B624" s="59" t="n"/>
      <c r="C624" s="59" t="n"/>
      <c r="E624" s="16" t="n"/>
      <c r="F624" s="13" t="n"/>
      <c r="G624" s="16" t="n"/>
      <c r="H624" s="125" t="n"/>
      <c r="I624" s="14" t="n"/>
      <c r="J624" s="16" t="n"/>
      <c r="K624" s="125" t="n"/>
      <c r="L624" s="14" t="n"/>
      <c r="M624" s="16" t="n"/>
      <c r="N624" s="125" t="n"/>
      <c r="O624" s="14" t="n"/>
      <c r="P624" s="16" t="n"/>
      <c r="Q624" s="125" t="n"/>
      <c r="R624" s="14" t="n"/>
      <c r="S624" s="16" t="n"/>
      <c r="T624" s="125" t="n"/>
      <c r="U624" s="14" t="n"/>
      <c r="V624" s="16" t="n"/>
      <c r="W624" s="125" t="n"/>
      <c r="X624" s="14" t="n"/>
      <c r="Y624" s="16" t="n"/>
      <c r="Z624" s="125" t="n"/>
      <c r="AA624" s="14" t="n"/>
      <c r="AB624" s="16" t="n"/>
      <c r="AC624" s="125" t="n"/>
      <c r="AD624" s="14" t="n"/>
    </row>
    <row r="625">
      <c r="A625" s="58" t="n"/>
      <c r="B625" s="59" t="n"/>
      <c r="C625" s="59" t="n"/>
      <c r="E625" s="16" t="n"/>
      <c r="F625" s="13" t="n"/>
      <c r="G625" s="16" t="n"/>
      <c r="H625" s="125" t="n"/>
      <c r="I625" s="14" t="n"/>
      <c r="J625" s="16" t="n"/>
      <c r="K625" s="125" t="n"/>
      <c r="L625" s="14" t="n"/>
      <c r="M625" s="16" t="n"/>
      <c r="N625" s="125" t="n"/>
      <c r="O625" s="14" t="n"/>
      <c r="P625" s="16" t="n"/>
      <c r="Q625" s="125" t="n"/>
      <c r="R625" s="14" t="n"/>
      <c r="S625" s="16" t="n"/>
      <c r="T625" s="125" t="n"/>
      <c r="U625" s="14" t="n"/>
      <c r="V625" s="16" t="n"/>
      <c r="W625" s="125" t="n"/>
      <c r="X625" s="14" t="n"/>
      <c r="Y625" s="16" t="n"/>
      <c r="Z625" s="125" t="n"/>
      <c r="AA625" s="14" t="n"/>
      <c r="AB625" s="16" t="n"/>
      <c r="AC625" s="125" t="n"/>
      <c r="AD625" s="14" t="n"/>
    </row>
    <row r="626">
      <c r="A626" s="56" t="n"/>
      <c r="B626" s="59" t="n"/>
      <c r="C626" s="59" t="n"/>
      <c r="E626" s="16" t="n"/>
      <c r="F626" s="13" t="n"/>
      <c r="G626" s="16" t="n"/>
      <c r="H626" s="125" t="n"/>
      <c r="I626" s="14" t="n"/>
      <c r="J626" s="16" t="n"/>
      <c r="K626" s="125" t="n"/>
      <c r="L626" s="14" t="n"/>
      <c r="M626" s="16" t="n"/>
      <c r="N626" s="125" t="n"/>
      <c r="O626" s="14" t="n"/>
      <c r="P626" s="16" t="n"/>
      <c r="Q626" s="125" t="n"/>
      <c r="R626" s="14" t="n"/>
      <c r="S626" s="16" t="n"/>
      <c r="T626" s="125" t="n"/>
      <c r="U626" s="14" t="n"/>
      <c r="V626" s="16" t="n"/>
      <c r="W626" s="125" t="n"/>
      <c r="X626" s="14" t="n"/>
      <c r="Y626" s="16" t="n"/>
      <c r="Z626" s="125" t="n"/>
      <c r="AA626" s="14" t="n"/>
      <c r="AB626" s="16" t="n"/>
      <c r="AC626" s="125" t="n"/>
      <c r="AD626" s="14" t="n"/>
    </row>
    <row r="627">
      <c r="A627" s="58" t="n"/>
      <c r="B627" s="59" t="n"/>
      <c r="C627" s="59" t="n"/>
      <c r="E627" s="16" t="n"/>
      <c r="F627" s="13" t="n"/>
      <c r="G627" s="16" t="n"/>
      <c r="H627" s="125" t="n"/>
      <c r="I627" s="14" t="n"/>
      <c r="J627" s="16" t="n"/>
      <c r="K627" s="125" t="n"/>
      <c r="L627" s="14" t="n"/>
      <c r="M627" s="16" t="n"/>
      <c r="N627" s="125" t="n"/>
      <c r="O627" s="14" t="n"/>
      <c r="P627" s="16" t="n"/>
      <c r="Q627" s="125" t="n"/>
      <c r="R627" s="14" t="n"/>
      <c r="S627" s="16" t="n"/>
      <c r="T627" s="125" t="n"/>
      <c r="U627" s="14" t="n"/>
      <c r="V627" s="16" t="n"/>
      <c r="W627" s="125" t="n"/>
      <c r="X627" s="14" t="n"/>
      <c r="Y627" s="16" t="n"/>
      <c r="Z627" s="125" t="n"/>
      <c r="AA627" s="14" t="n"/>
      <c r="AB627" s="16" t="n"/>
      <c r="AC627" s="125" t="n"/>
      <c r="AD627" s="14" t="n"/>
    </row>
    <row r="628">
      <c r="A628" s="56" t="n"/>
      <c r="B628" s="59" t="n"/>
      <c r="C628" s="59" t="n"/>
      <c r="E628" s="16" t="n"/>
      <c r="F628" s="13" t="n"/>
      <c r="G628" s="16" t="n"/>
      <c r="H628" s="125" t="n"/>
      <c r="I628" s="14" t="n"/>
      <c r="J628" s="16" t="n"/>
      <c r="K628" s="125" t="n"/>
      <c r="L628" s="14" t="n"/>
      <c r="M628" s="16" t="n"/>
      <c r="N628" s="125" t="n"/>
      <c r="O628" s="14" t="n"/>
      <c r="P628" s="16" t="n"/>
      <c r="Q628" s="125" t="n"/>
      <c r="R628" s="14" t="n"/>
      <c r="S628" s="16" t="n"/>
      <c r="T628" s="125" t="n"/>
      <c r="U628" s="14" t="n"/>
      <c r="V628" s="16" t="n"/>
      <c r="W628" s="125" t="n"/>
      <c r="X628" s="14" t="n"/>
      <c r="Y628" s="16" t="n"/>
      <c r="Z628" s="125" t="n"/>
      <c r="AA628" s="14" t="n"/>
      <c r="AB628" s="16" t="n"/>
      <c r="AC628" s="125" t="n"/>
      <c r="AD628" s="14" t="n"/>
    </row>
    <row r="629">
      <c r="A629" s="58" t="n"/>
      <c r="B629" s="59" t="n"/>
      <c r="C629" s="59" t="n"/>
      <c r="E629" s="16" t="n"/>
      <c r="F629" s="13" t="n"/>
      <c r="G629" s="16" t="n"/>
      <c r="H629" s="125" t="n"/>
      <c r="I629" s="14" t="n"/>
      <c r="J629" s="16" t="n"/>
      <c r="K629" s="125" t="n"/>
      <c r="L629" s="14" t="n"/>
      <c r="M629" s="16" t="n"/>
      <c r="N629" s="125" t="n"/>
      <c r="O629" s="14" t="n"/>
      <c r="P629" s="16" t="n"/>
      <c r="Q629" s="125" t="n"/>
      <c r="R629" s="14" t="n"/>
      <c r="S629" s="16" t="n"/>
      <c r="T629" s="125" t="n"/>
      <c r="U629" s="14" t="n"/>
      <c r="V629" s="16" t="n"/>
      <c r="W629" s="125" t="n"/>
      <c r="X629" s="14" t="n"/>
      <c r="Y629" s="16" t="n"/>
      <c r="Z629" s="125" t="n"/>
      <c r="AA629" s="14" t="n"/>
      <c r="AB629" s="16" t="n"/>
      <c r="AC629" s="125" t="n"/>
      <c r="AD629" s="14" t="n"/>
    </row>
    <row r="630">
      <c r="A630" s="56" t="n"/>
      <c r="B630" s="59" t="n"/>
      <c r="C630" s="59" t="n"/>
      <c r="E630" s="16" t="n"/>
      <c r="F630" s="13" t="n"/>
      <c r="G630" s="16" t="n"/>
      <c r="H630" s="125" t="n"/>
      <c r="I630" s="14" t="n"/>
      <c r="J630" s="16" t="n"/>
      <c r="K630" s="125" t="n"/>
      <c r="L630" s="14" t="n"/>
      <c r="M630" s="16" t="n"/>
      <c r="N630" s="125" t="n"/>
      <c r="O630" s="14" t="n"/>
      <c r="P630" s="16" t="n"/>
      <c r="Q630" s="125" t="n"/>
      <c r="R630" s="14" t="n"/>
      <c r="S630" s="16" t="n"/>
      <c r="T630" s="125" t="n"/>
      <c r="U630" s="14" t="n"/>
      <c r="V630" s="16" t="n"/>
      <c r="W630" s="125" t="n"/>
      <c r="X630" s="14" t="n"/>
      <c r="Y630" s="16" t="n"/>
      <c r="Z630" s="125" t="n"/>
      <c r="AA630" s="14" t="n"/>
      <c r="AB630" s="16" t="n"/>
      <c r="AC630" s="125" t="n"/>
      <c r="AD630" s="14" t="n"/>
    </row>
    <row r="631">
      <c r="A631" s="58" t="n"/>
      <c r="B631" s="59" t="n"/>
      <c r="C631" s="59" t="n"/>
      <c r="E631" s="16" t="n"/>
      <c r="F631" s="13" t="n"/>
      <c r="G631" s="16" t="n"/>
      <c r="H631" s="125" t="n"/>
      <c r="I631" s="14" t="n"/>
      <c r="J631" s="16" t="n"/>
      <c r="K631" s="125" t="n"/>
      <c r="L631" s="14" t="n"/>
      <c r="M631" s="16" t="n"/>
      <c r="N631" s="125" t="n"/>
      <c r="O631" s="14" t="n"/>
      <c r="P631" s="16" t="n"/>
      <c r="Q631" s="125" t="n"/>
      <c r="R631" s="14" t="n"/>
      <c r="S631" s="16" t="n"/>
      <c r="T631" s="125" t="n"/>
      <c r="U631" s="14" t="n"/>
      <c r="V631" s="16" t="n"/>
      <c r="W631" s="125" t="n"/>
      <c r="X631" s="14" t="n"/>
      <c r="Y631" s="16" t="n"/>
      <c r="Z631" s="125" t="n"/>
      <c r="AA631" s="14" t="n"/>
      <c r="AB631" s="16" t="n"/>
      <c r="AC631" s="125" t="n"/>
      <c r="AD631" s="14" t="n"/>
    </row>
    <row r="632">
      <c r="A632" s="56" t="n"/>
      <c r="B632" s="59" t="n"/>
      <c r="C632" s="59" t="n"/>
      <c r="E632" s="16" t="n"/>
      <c r="F632" s="13" t="n"/>
      <c r="G632" s="16" t="n"/>
      <c r="H632" s="125" t="n"/>
      <c r="I632" s="14" t="n"/>
      <c r="J632" s="16" t="n"/>
      <c r="K632" s="125" t="n"/>
      <c r="L632" s="14" t="n"/>
      <c r="M632" s="16" t="n"/>
      <c r="N632" s="125" t="n"/>
      <c r="O632" s="14" t="n"/>
      <c r="P632" s="16" t="n"/>
      <c r="Q632" s="125" t="n"/>
      <c r="R632" s="14" t="n"/>
      <c r="S632" s="16" t="n"/>
      <c r="T632" s="125" t="n"/>
      <c r="U632" s="14" t="n"/>
      <c r="V632" s="16" t="n"/>
      <c r="W632" s="125" t="n"/>
      <c r="X632" s="14" t="n"/>
      <c r="Y632" s="16" t="n"/>
      <c r="Z632" s="125" t="n"/>
      <c r="AA632" s="14" t="n"/>
      <c r="AB632" s="16" t="n"/>
      <c r="AC632" s="125" t="n"/>
      <c r="AD632" s="14" t="n"/>
    </row>
    <row r="633">
      <c r="A633" s="58" t="n"/>
      <c r="B633" s="59" t="n"/>
      <c r="C633" s="59" t="n"/>
      <c r="E633" s="16" t="n"/>
      <c r="F633" s="13" t="n"/>
      <c r="G633" s="16" t="n"/>
      <c r="H633" s="125" t="n"/>
      <c r="I633" s="14" t="n"/>
      <c r="J633" s="16" t="n"/>
      <c r="K633" s="125" t="n"/>
      <c r="L633" s="14" t="n"/>
      <c r="M633" s="16" t="n"/>
      <c r="N633" s="125" t="n"/>
      <c r="O633" s="14" t="n"/>
      <c r="P633" s="16" t="n"/>
      <c r="Q633" s="125" t="n"/>
      <c r="R633" s="14" t="n"/>
      <c r="S633" s="16" t="n"/>
      <c r="T633" s="125" t="n"/>
      <c r="U633" s="14" t="n"/>
      <c r="V633" s="16" t="n"/>
      <c r="W633" s="125" t="n"/>
      <c r="X633" s="14" t="n"/>
      <c r="Y633" s="16" t="n"/>
      <c r="Z633" s="125" t="n"/>
      <c r="AA633" s="14" t="n"/>
      <c r="AB633" s="16" t="n"/>
      <c r="AC633" s="125" t="n"/>
      <c r="AD633" s="14" t="n"/>
    </row>
    <row r="634">
      <c r="A634" s="56" t="n"/>
      <c r="B634" s="59" t="n"/>
      <c r="C634" s="59" t="n"/>
      <c r="E634" s="16" t="n"/>
      <c r="F634" s="13" t="n"/>
      <c r="G634" s="16" t="n"/>
      <c r="H634" s="125" t="n"/>
      <c r="I634" s="14" t="n"/>
      <c r="J634" s="16" t="n"/>
      <c r="K634" s="125" t="n"/>
      <c r="L634" s="14" t="n"/>
      <c r="M634" s="16" t="n"/>
      <c r="N634" s="125" t="n"/>
      <c r="O634" s="14" t="n"/>
      <c r="P634" s="16" t="n"/>
      <c r="Q634" s="125" t="n"/>
      <c r="R634" s="14" t="n"/>
      <c r="S634" s="16" t="n"/>
      <c r="T634" s="125" t="n"/>
      <c r="U634" s="14" t="n"/>
      <c r="V634" s="16" t="n"/>
      <c r="W634" s="125" t="n"/>
      <c r="X634" s="14" t="n"/>
      <c r="Y634" s="16" t="n"/>
      <c r="Z634" s="125" t="n"/>
      <c r="AA634" s="14" t="n"/>
      <c r="AB634" s="16" t="n"/>
      <c r="AC634" s="125" t="n"/>
      <c r="AD634" s="14" t="n"/>
    </row>
    <row r="635">
      <c r="A635" s="58" t="n"/>
      <c r="B635" s="59" t="n"/>
      <c r="C635" s="59" t="n"/>
      <c r="E635" s="16" t="n"/>
      <c r="F635" s="13" t="n"/>
      <c r="G635" s="16" t="n"/>
      <c r="H635" s="125" t="n"/>
      <c r="I635" s="14" t="n"/>
      <c r="J635" s="16" t="n"/>
      <c r="K635" s="125" t="n"/>
      <c r="L635" s="14" t="n"/>
      <c r="M635" s="16" t="n"/>
      <c r="N635" s="125" t="n"/>
      <c r="O635" s="14" t="n"/>
      <c r="P635" s="16" t="n"/>
      <c r="Q635" s="125" t="n"/>
      <c r="R635" s="14" t="n"/>
      <c r="S635" s="16" t="n"/>
      <c r="T635" s="125" t="n"/>
      <c r="U635" s="14" t="n"/>
      <c r="V635" s="16" t="n"/>
      <c r="W635" s="125" t="n"/>
      <c r="X635" s="14" t="n"/>
      <c r="Y635" s="16" t="n"/>
      <c r="Z635" s="125" t="n"/>
      <c r="AA635" s="14" t="n"/>
      <c r="AB635" s="16" t="n"/>
      <c r="AC635" s="125" t="n"/>
      <c r="AD635" s="14" t="n"/>
    </row>
    <row r="636">
      <c r="A636" s="56" t="n"/>
      <c r="B636" s="59" t="n"/>
      <c r="C636" s="59" t="n"/>
      <c r="E636" s="16" t="n"/>
      <c r="F636" s="13" t="n"/>
      <c r="G636" s="16" t="n"/>
      <c r="H636" s="125" t="n"/>
      <c r="I636" s="14" t="n"/>
      <c r="J636" s="16" t="n"/>
      <c r="K636" s="125" t="n"/>
      <c r="L636" s="14" t="n"/>
      <c r="M636" s="16" t="n"/>
      <c r="N636" s="125" t="n"/>
      <c r="O636" s="14" t="n"/>
      <c r="P636" s="16" t="n"/>
      <c r="Q636" s="125" t="n"/>
      <c r="R636" s="14" t="n"/>
      <c r="S636" s="16" t="n"/>
      <c r="T636" s="125" t="n"/>
      <c r="U636" s="14" t="n"/>
      <c r="V636" s="16" t="n"/>
      <c r="W636" s="125" t="n"/>
      <c r="X636" s="14" t="n"/>
      <c r="Y636" s="16" t="n"/>
      <c r="Z636" s="125" t="n"/>
      <c r="AA636" s="14" t="n"/>
      <c r="AB636" s="16" t="n"/>
      <c r="AC636" s="125" t="n"/>
      <c r="AD636" s="14" t="n"/>
    </row>
    <row r="637">
      <c r="A637" s="58" t="n"/>
      <c r="B637" s="59" t="n"/>
      <c r="C637" s="59" t="n"/>
      <c r="E637" s="16" t="n"/>
      <c r="F637" s="13" t="n"/>
      <c r="G637" s="16" t="n"/>
      <c r="H637" s="125" t="n"/>
      <c r="I637" s="14" t="n"/>
      <c r="J637" s="16" t="n"/>
      <c r="K637" s="125" t="n"/>
      <c r="L637" s="14" t="n"/>
      <c r="M637" s="16" t="n"/>
      <c r="N637" s="125" t="n"/>
      <c r="O637" s="14" t="n"/>
      <c r="P637" s="16" t="n"/>
      <c r="Q637" s="125" t="n"/>
      <c r="R637" s="14" t="n"/>
      <c r="S637" s="16" t="n"/>
      <c r="T637" s="125" t="n"/>
      <c r="U637" s="14" t="n"/>
      <c r="V637" s="16" t="n"/>
      <c r="W637" s="125" t="n"/>
      <c r="X637" s="14" t="n"/>
      <c r="Y637" s="16" t="n"/>
      <c r="Z637" s="125" t="n"/>
      <c r="AA637" s="14" t="n"/>
      <c r="AB637" s="16" t="n"/>
      <c r="AC637" s="125" t="n"/>
      <c r="AD637" s="14" t="n"/>
    </row>
    <row r="638">
      <c r="A638" s="56" t="n"/>
      <c r="B638" s="59" t="n"/>
      <c r="C638" s="59" t="n"/>
      <c r="E638" s="16" t="n"/>
      <c r="F638" s="13" t="n"/>
      <c r="G638" s="16" t="n"/>
      <c r="H638" s="125" t="n"/>
      <c r="I638" s="14" t="n"/>
      <c r="J638" s="16" t="n"/>
      <c r="K638" s="125" t="n"/>
      <c r="L638" s="14" t="n"/>
      <c r="M638" s="16" t="n"/>
      <c r="N638" s="125" t="n"/>
      <c r="O638" s="14" t="n"/>
      <c r="P638" s="16" t="n"/>
      <c r="Q638" s="125" t="n"/>
      <c r="R638" s="14" t="n"/>
      <c r="S638" s="16" t="n"/>
      <c r="T638" s="125" t="n"/>
      <c r="U638" s="14" t="n"/>
      <c r="V638" s="16" t="n"/>
      <c r="W638" s="125" t="n"/>
      <c r="X638" s="14" t="n"/>
      <c r="Y638" s="16" t="n"/>
      <c r="Z638" s="125" t="n"/>
      <c r="AA638" s="14" t="n"/>
      <c r="AB638" s="16" t="n"/>
      <c r="AC638" s="125" t="n"/>
      <c r="AD638" s="14" t="n"/>
    </row>
    <row r="639">
      <c r="A639" s="58" t="n"/>
      <c r="B639" s="59" t="n"/>
      <c r="C639" s="59" t="n"/>
      <c r="E639" s="16" t="n"/>
      <c r="F639" s="13" t="n"/>
      <c r="G639" s="16" t="n"/>
      <c r="H639" s="125" t="n"/>
      <c r="I639" s="14" t="n"/>
      <c r="J639" s="16" t="n"/>
      <c r="K639" s="125" t="n"/>
      <c r="L639" s="14" t="n"/>
      <c r="M639" s="16" t="n"/>
      <c r="N639" s="125" t="n"/>
      <c r="O639" s="14" t="n"/>
      <c r="P639" s="16" t="n"/>
      <c r="Q639" s="125" t="n"/>
      <c r="R639" s="14" t="n"/>
      <c r="S639" s="16" t="n"/>
      <c r="T639" s="125" t="n"/>
      <c r="U639" s="14" t="n"/>
      <c r="V639" s="16" t="n"/>
      <c r="W639" s="125" t="n"/>
      <c r="X639" s="14" t="n"/>
      <c r="Y639" s="16" t="n"/>
      <c r="Z639" s="125" t="n"/>
      <c r="AA639" s="14" t="n"/>
      <c r="AB639" s="16" t="n"/>
      <c r="AC639" s="125" t="n"/>
      <c r="AD639" s="14" t="n"/>
    </row>
    <row r="640">
      <c r="A640" s="56" t="n"/>
      <c r="B640" s="59" t="n"/>
      <c r="C640" s="59" t="n"/>
      <c r="E640" s="16" t="n"/>
      <c r="F640" s="13" t="n"/>
      <c r="G640" s="16" t="n"/>
      <c r="H640" s="125" t="n"/>
      <c r="I640" s="14" t="n"/>
      <c r="J640" s="16" t="n"/>
      <c r="K640" s="125" t="n"/>
      <c r="L640" s="14" t="n"/>
      <c r="M640" s="16" t="n"/>
      <c r="N640" s="125" t="n"/>
      <c r="O640" s="14" t="n"/>
      <c r="P640" s="16" t="n"/>
      <c r="Q640" s="125" t="n"/>
      <c r="R640" s="14" t="n"/>
      <c r="S640" s="16" t="n"/>
      <c r="T640" s="125" t="n"/>
      <c r="U640" s="14" t="n"/>
      <c r="V640" s="16" t="n"/>
      <c r="W640" s="125" t="n"/>
      <c r="X640" s="14" t="n"/>
      <c r="Y640" s="16" t="n"/>
      <c r="Z640" s="125" t="n"/>
      <c r="AA640" s="14" t="n"/>
      <c r="AB640" s="16" t="n"/>
      <c r="AC640" s="125" t="n"/>
      <c r="AD640" s="14" t="n"/>
    </row>
    <row r="641">
      <c r="A641" s="58" t="n"/>
      <c r="B641" s="59" t="n"/>
      <c r="C641" s="59" t="n"/>
      <c r="E641" s="16" t="n"/>
      <c r="F641" s="13" t="n"/>
      <c r="G641" s="16" t="n"/>
      <c r="H641" s="125" t="n"/>
      <c r="I641" s="14" t="n"/>
      <c r="J641" s="16" t="n"/>
      <c r="K641" s="125" t="n"/>
      <c r="L641" s="14" t="n"/>
      <c r="M641" s="16" t="n"/>
      <c r="N641" s="125" t="n"/>
      <c r="O641" s="14" t="n"/>
      <c r="P641" s="16" t="n"/>
      <c r="Q641" s="125" t="n"/>
      <c r="R641" s="14" t="n"/>
      <c r="S641" s="16" t="n"/>
      <c r="T641" s="125" t="n"/>
      <c r="U641" s="14" t="n"/>
      <c r="V641" s="16" t="n"/>
      <c r="W641" s="125" t="n"/>
      <c r="X641" s="14" t="n"/>
      <c r="Y641" s="16" t="n"/>
      <c r="Z641" s="125" t="n"/>
      <c r="AA641" s="14" t="n"/>
      <c r="AB641" s="16" t="n"/>
      <c r="AC641" s="125" t="n"/>
      <c r="AD641" s="14" t="n"/>
    </row>
    <row r="642">
      <c r="A642" s="56" t="n"/>
      <c r="B642" s="59" t="n"/>
      <c r="C642" s="59" t="n"/>
      <c r="E642" s="16" t="n"/>
      <c r="F642" s="13" t="n"/>
      <c r="G642" s="16" t="n"/>
      <c r="H642" s="125" t="n"/>
      <c r="I642" s="14" t="n"/>
      <c r="J642" s="16" t="n"/>
      <c r="K642" s="125" t="n"/>
      <c r="L642" s="14" t="n"/>
      <c r="M642" s="16" t="n"/>
      <c r="N642" s="125" t="n"/>
      <c r="O642" s="14" t="n"/>
      <c r="P642" s="16" t="n"/>
      <c r="Q642" s="125" t="n"/>
      <c r="R642" s="14" t="n"/>
      <c r="S642" s="16" t="n"/>
      <c r="T642" s="125" t="n"/>
      <c r="U642" s="14" t="n"/>
      <c r="V642" s="16" t="n"/>
      <c r="W642" s="125" t="n"/>
      <c r="X642" s="14" t="n"/>
      <c r="Y642" s="16" t="n"/>
      <c r="Z642" s="125" t="n"/>
      <c r="AA642" s="14" t="n"/>
      <c r="AB642" s="16" t="n"/>
      <c r="AC642" s="125" t="n"/>
      <c r="AD642" s="14" t="n"/>
    </row>
    <row r="643">
      <c r="A643" s="58" t="n"/>
      <c r="B643" s="59" t="n"/>
      <c r="C643" s="59" t="n"/>
      <c r="E643" s="16" t="n"/>
      <c r="F643" s="13" t="n"/>
      <c r="G643" s="16" t="n"/>
      <c r="H643" s="125" t="n"/>
      <c r="I643" s="14" t="n"/>
      <c r="J643" s="16" t="n"/>
      <c r="K643" s="125" t="n"/>
      <c r="L643" s="14" t="n"/>
      <c r="M643" s="16" t="n"/>
      <c r="N643" s="125" t="n"/>
      <c r="O643" s="14" t="n"/>
      <c r="P643" s="16" t="n"/>
      <c r="Q643" s="125" t="n"/>
      <c r="R643" s="14" t="n"/>
      <c r="S643" s="16" t="n"/>
      <c r="T643" s="125" t="n"/>
      <c r="U643" s="14" t="n"/>
      <c r="V643" s="16" t="n"/>
      <c r="W643" s="125" t="n"/>
      <c r="X643" s="14" t="n"/>
      <c r="Y643" s="16" t="n"/>
      <c r="Z643" s="125" t="n"/>
      <c r="AA643" s="14" t="n"/>
      <c r="AB643" s="16" t="n"/>
      <c r="AC643" s="125" t="n"/>
      <c r="AD643" s="14" t="n"/>
    </row>
    <row r="644">
      <c r="A644" s="56" t="n"/>
      <c r="B644" s="59" t="n"/>
      <c r="C644" s="59" t="n"/>
      <c r="E644" s="16" t="n"/>
      <c r="F644" s="13" t="n"/>
      <c r="G644" s="16" t="n"/>
      <c r="H644" s="125" t="n"/>
      <c r="I644" s="14" t="n"/>
      <c r="J644" s="16" t="n"/>
      <c r="K644" s="125" t="n"/>
      <c r="L644" s="14" t="n"/>
      <c r="M644" s="16" t="n"/>
      <c r="N644" s="125" t="n"/>
      <c r="O644" s="14" t="n"/>
      <c r="P644" s="16" t="n"/>
      <c r="Q644" s="125" t="n"/>
      <c r="R644" s="14" t="n"/>
      <c r="S644" s="16" t="n"/>
      <c r="T644" s="125" t="n"/>
      <c r="U644" s="14" t="n"/>
      <c r="V644" s="16" t="n"/>
      <c r="W644" s="125" t="n"/>
      <c r="X644" s="14" t="n"/>
      <c r="Y644" s="16" t="n"/>
      <c r="Z644" s="125" t="n"/>
      <c r="AA644" s="14" t="n"/>
      <c r="AB644" s="16" t="n"/>
      <c r="AC644" s="125" t="n"/>
      <c r="AD644" s="14" t="n"/>
    </row>
    <row r="645">
      <c r="A645" s="58" t="n"/>
      <c r="B645" s="59" t="n"/>
      <c r="C645" s="59" t="n"/>
      <c r="E645" s="16" t="n"/>
      <c r="F645" s="13" t="n"/>
      <c r="G645" s="16" t="n"/>
      <c r="H645" s="125" t="n"/>
      <c r="I645" s="14" t="n"/>
      <c r="J645" s="16" t="n"/>
      <c r="K645" s="125" t="n"/>
      <c r="L645" s="14" t="n"/>
      <c r="M645" s="16" t="n"/>
      <c r="N645" s="125" t="n"/>
      <c r="O645" s="14" t="n"/>
      <c r="P645" s="16" t="n"/>
      <c r="Q645" s="125" t="n"/>
      <c r="R645" s="14" t="n"/>
      <c r="S645" s="16" t="n"/>
      <c r="T645" s="125" t="n"/>
      <c r="U645" s="14" t="n"/>
      <c r="V645" s="16" t="n"/>
      <c r="W645" s="125" t="n"/>
      <c r="X645" s="14" t="n"/>
      <c r="Y645" s="16" t="n"/>
      <c r="Z645" s="125" t="n"/>
      <c r="AA645" s="14" t="n"/>
      <c r="AB645" s="16" t="n"/>
      <c r="AC645" s="125" t="n"/>
      <c r="AD645" s="14" t="n"/>
    </row>
    <row r="646">
      <c r="A646" s="56" t="n"/>
      <c r="B646" s="59" t="n"/>
      <c r="C646" s="59" t="n"/>
      <c r="E646" s="16" t="n"/>
      <c r="F646" s="13" t="n"/>
      <c r="G646" s="16" t="n"/>
      <c r="H646" s="125" t="n"/>
      <c r="I646" s="14" t="n"/>
      <c r="J646" s="16" t="n"/>
      <c r="K646" s="125" t="n"/>
      <c r="L646" s="14" t="n"/>
      <c r="M646" s="16" t="n"/>
      <c r="N646" s="125" t="n"/>
      <c r="O646" s="14" t="n"/>
      <c r="P646" s="16" t="n"/>
      <c r="Q646" s="125" t="n"/>
      <c r="R646" s="14" t="n"/>
      <c r="S646" s="16" t="n"/>
      <c r="T646" s="125" t="n"/>
      <c r="U646" s="14" t="n"/>
      <c r="V646" s="16" t="n"/>
      <c r="W646" s="125" t="n"/>
      <c r="X646" s="14" t="n"/>
      <c r="Y646" s="16" t="n"/>
      <c r="Z646" s="125" t="n"/>
      <c r="AA646" s="14" t="n"/>
      <c r="AB646" s="16" t="n"/>
      <c r="AC646" s="125" t="n"/>
      <c r="AD646" s="14" t="n"/>
    </row>
    <row r="647">
      <c r="A647" s="58" t="n"/>
      <c r="B647" s="59" t="n"/>
      <c r="C647" s="59" t="n"/>
      <c r="E647" s="16" t="n"/>
      <c r="F647" s="13" t="n"/>
      <c r="G647" s="16" t="n"/>
      <c r="H647" s="125" t="n"/>
      <c r="I647" s="14" t="n"/>
      <c r="J647" s="16" t="n"/>
      <c r="K647" s="125" t="n"/>
      <c r="L647" s="14" t="n"/>
      <c r="M647" s="16" t="n"/>
      <c r="N647" s="125" t="n"/>
      <c r="O647" s="14" t="n"/>
      <c r="P647" s="16" t="n"/>
      <c r="Q647" s="125" t="n"/>
      <c r="R647" s="14" t="n"/>
      <c r="S647" s="16" t="n"/>
      <c r="T647" s="125" t="n"/>
      <c r="U647" s="14" t="n"/>
      <c r="V647" s="16" t="n"/>
      <c r="W647" s="125" t="n"/>
      <c r="X647" s="14" t="n"/>
      <c r="Y647" s="16" t="n"/>
      <c r="Z647" s="125" t="n"/>
      <c r="AA647" s="14" t="n"/>
      <c r="AB647" s="16" t="n"/>
      <c r="AC647" s="125" t="n"/>
      <c r="AD647" s="14" t="n"/>
    </row>
    <row r="648">
      <c r="A648" s="56" t="n"/>
      <c r="B648" s="59" t="n"/>
      <c r="C648" s="59" t="n"/>
      <c r="E648" s="16" t="n"/>
      <c r="F648" s="13" t="n"/>
      <c r="G648" s="16" t="n"/>
      <c r="H648" s="125" t="n"/>
      <c r="I648" s="14" t="n"/>
      <c r="J648" s="16" t="n"/>
      <c r="K648" s="125" t="n"/>
      <c r="L648" s="14" t="n"/>
      <c r="M648" s="16" t="n"/>
      <c r="N648" s="125" t="n"/>
      <c r="O648" s="14" t="n"/>
      <c r="P648" s="16" t="n"/>
      <c r="Q648" s="125" t="n"/>
      <c r="R648" s="14" t="n"/>
      <c r="S648" s="16" t="n"/>
      <c r="T648" s="125" t="n"/>
      <c r="U648" s="14" t="n"/>
      <c r="V648" s="16" t="n"/>
      <c r="W648" s="125" t="n"/>
      <c r="X648" s="14" t="n"/>
      <c r="Y648" s="16" t="n"/>
      <c r="Z648" s="125" t="n"/>
      <c r="AA648" s="14" t="n"/>
      <c r="AB648" s="16" t="n"/>
      <c r="AC648" s="125" t="n"/>
      <c r="AD648" s="14" t="n"/>
    </row>
    <row r="649">
      <c r="A649" s="58" t="n"/>
      <c r="B649" s="59" t="n"/>
      <c r="C649" s="59" t="n"/>
      <c r="E649" s="16" t="n"/>
      <c r="F649" s="13" t="n"/>
      <c r="G649" s="16" t="n"/>
      <c r="H649" s="125" t="n"/>
      <c r="I649" s="14" t="n"/>
      <c r="J649" s="16" t="n"/>
      <c r="K649" s="125" t="n"/>
      <c r="L649" s="14" t="n"/>
      <c r="M649" s="16" t="n"/>
      <c r="N649" s="125" t="n"/>
      <c r="O649" s="14" t="n"/>
      <c r="P649" s="16" t="n"/>
      <c r="Q649" s="125" t="n"/>
      <c r="R649" s="14" t="n"/>
      <c r="S649" s="16" t="n"/>
      <c r="T649" s="125" t="n"/>
      <c r="U649" s="14" t="n"/>
      <c r="V649" s="16" t="n"/>
      <c r="W649" s="125" t="n"/>
      <c r="X649" s="14" t="n"/>
      <c r="Y649" s="16" t="n"/>
      <c r="Z649" s="125" t="n"/>
      <c r="AA649" s="14" t="n"/>
      <c r="AB649" s="16" t="n"/>
      <c r="AC649" s="125" t="n"/>
      <c r="AD649" s="14" t="n"/>
    </row>
    <row r="650">
      <c r="A650" s="56" t="n"/>
      <c r="B650" s="59" t="n"/>
      <c r="C650" s="59" t="n"/>
      <c r="E650" s="16" t="n"/>
      <c r="F650" s="13" t="n"/>
      <c r="G650" s="16" t="n"/>
      <c r="H650" s="125" t="n"/>
      <c r="I650" s="14" t="n"/>
      <c r="J650" s="16" t="n"/>
      <c r="K650" s="125" t="n"/>
      <c r="L650" s="14" t="n"/>
      <c r="M650" s="16" t="n"/>
      <c r="N650" s="125" t="n"/>
      <c r="O650" s="14" t="n"/>
      <c r="P650" s="16" t="n"/>
      <c r="Q650" s="125" t="n"/>
      <c r="R650" s="14" t="n"/>
      <c r="S650" s="16" t="n"/>
      <c r="T650" s="125" t="n"/>
      <c r="U650" s="14" t="n"/>
      <c r="V650" s="16" t="n"/>
      <c r="W650" s="125" t="n"/>
      <c r="X650" s="14" t="n"/>
      <c r="Y650" s="16" t="n"/>
      <c r="Z650" s="125" t="n"/>
      <c r="AA650" s="14" t="n"/>
      <c r="AB650" s="16" t="n"/>
      <c r="AC650" s="125" t="n"/>
      <c r="AD650" s="14" t="n"/>
    </row>
    <row r="651">
      <c r="A651" s="58" t="n"/>
      <c r="B651" s="59" t="n"/>
      <c r="C651" s="59" t="n"/>
      <c r="E651" s="16" t="n"/>
      <c r="F651" s="13" t="n"/>
      <c r="G651" s="16" t="n"/>
      <c r="H651" s="125" t="n"/>
      <c r="I651" s="14" t="n"/>
      <c r="J651" s="16" t="n"/>
      <c r="K651" s="125" t="n"/>
      <c r="L651" s="14" t="n"/>
      <c r="M651" s="16" t="n"/>
      <c r="N651" s="125" t="n"/>
      <c r="O651" s="14" t="n"/>
      <c r="P651" s="16" t="n"/>
      <c r="Q651" s="125" t="n"/>
      <c r="R651" s="14" t="n"/>
      <c r="S651" s="16" t="n"/>
      <c r="T651" s="125" t="n"/>
      <c r="U651" s="14" t="n"/>
      <c r="V651" s="16" t="n"/>
      <c r="W651" s="125" t="n"/>
      <c r="X651" s="14" t="n"/>
      <c r="Y651" s="16" t="n"/>
      <c r="Z651" s="125" t="n"/>
      <c r="AA651" s="14" t="n"/>
      <c r="AB651" s="16" t="n"/>
      <c r="AC651" s="125" t="n"/>
      <c r="AD651" s="14" t="n"/>
    </row>
    <row r="652">
      <c r="A652" s="56" t="n"/>
      <c r="B652" s="59" t="n"/>
      <c r="C652" s="59" t="n"/>
      <c r="E652" s="16" t="n"/>
      <c r="F652" s="13" t="n"/>
      <c r="G652" s="16" t="n"/>
      <c r="H652" s="125" t="n"/>
      <c r="I652" s="14" t="n"/>
      <c r="J652" s="16" t="n"/>
      <c r="K652" s="125" t="n"/>
      <c r="L652" s="14" t="n"/>
      <c r="M652" s="16" t="n"/>
      <c r="N652" s="125" t="n"/>
      <c r="O652" s="14" t="n"/>
      <c r="P652" s="16" t="n"/>
      <c r="Q652" s="125" t="n"/>
      <c r="R652" s="14" t="n"/>
      <c r="S652" s="16" t="n"/>
      <c r="T652" s="125" t="n"/>
      <c r="U652" s="14" t="n"/>
      <c r="V652" s="16" t="n"/>
      <c r="W652" s="125" t="n"/>
      <c r="X652" s="14" t="n"/>
      <c r="Y652" s="16" t="n"/>
      <c r="Z652" s="125" t="n"/>
      <c r="AA652" s="14" t="n"/>
      <c r="AB652" s="16" t="n"/>
      <c r="AC652" s="125" t="n"/>
      <c r="AD652" s="14" t="n"/>
    </row>
    <row r="653">
      <c r="A653" s="58" t="n"/>
      <c r="B653" s="59" t="n"/>
      <c r="C653" s="59" t="n"/>
      <c r="E653" s="16" t="n"/>
      <c r="F653" s="13" t="n"/>
      <c r="G653" s="16" t="n"/>
      <c r="H653" s="125" t="n"/>
      <c r="I653" s="14" t="n"/>
      <c r="J653" s="16" t="n"/>
      <c r="K653" s="125" t="n"/>
      <c r="L653" s="14" t="n"/>
      <c r="M653" s="16" t="n"/>
      <c r="N653" s="125" t="n"/>
      <c r="O653" s="14" t="n"/>
      <c r="P653" s="16" t="n"/>
      <c r="Q653" s="125" t="n"/>
      <c r="R653" s="14" t="n"/>
      <c r="S653" s="16" t="n"/>
      <c r="T653" s="125" t="n"/>
      <c r="U653" s="14" t="n"/>
      <c r="V653" s="16" t="n"/>
      <c r="W653" s="125" t="n"/>
      <c r="X653" s="14" t="n"/>
      <c r="Y653" s="16" t="n"/>
      <c r="Z653" s="125" t="n"/>
      <c r="AA653" s="14" t="n"/>
      <c r="AB653" s="16" t="n"/>
      <c r="AC653" s="125" t="n"/>
      <c r="AD653" s="14" t="n"/>
    </row>
    <row r="654">
      <c r="A654" s="56" t="n"/>
      <c r="B654" s="59" t="n"/>
      <c r="C654" s="59" t="n"/>
      <c r="E654" s="16" t="n"/>
      <c r="F654" s="13" t="n"/>
      <c r="G654" s="16" t="n"/>
      <c r="H654" s="125" t="n"/>
      <c r="I654" s="14" t="n"/>
      <c r="J654" s="16" t="n"/>
      <c r="K654" s="125" t="n"/>
      <c r="L654" s="14" t="n"/>
      <c r="M654" s="16" t="n"/>
      <c r="N654" s="125" t="n"/>
      <c r="O654" s="14" t="n"/>
      <c r="P654" s="16" t="n"/>
      <c r="Q654" s="125" t="n"/>
      <c r="R654" s="14" t="n"/>
      <c r="S654" s="16" t="n"/>
      <c r="T654" s="125" t="n"/>
      <c r="U654" s="14" t="n"/>
      <c r="V654" s="16" t="n"/>
      <c r="W654" s="125" t="n"/>
      <c r="X654" s="14" t="n"/>
      <c r="Y654" s="16" t="n"/>
      <c r="Z654" s="125" t="n"/>
      <c r="AA654" s="14" t="n"/>
      <c r="AB654" s="16" t="n"/>
      <c r="AC654" s="125" t="n"/>
      <c r="AD654" s="14" t="n"/>
    </row>
    <row r="655">
      <c r="A655" s="58" t="n"/>
      <c r="B655" s="59" t="n"/>
      <c r="C655" s="59" t="n"/>
      <c r="E655" s="16" t="n"/>
      <c r="F655" s="13" t="n"/>
      <c r="G655" s="16" t="n"/>
      <c r="H655" s="125" t="n"/>
      <c r="I655" s="14" t="n"/>
      <c r="J655" s="16" t="n"/>
      <c r="K655" s="125" t="n"/>
      <c r="L655" s="14" t="n"/>
      <c r="M655" s="16" t="n"/>
      <c r="N655" s="125" t="n"/>
      <c r="O655" s="14" t="n"/>
      <c r="P655" s="16" t="n"/>
      <c r="Q655" s="125" t="n"/>
      <c r="R655" s="14" t="n"/>
      <c r="S655" s="16" t="n"/>
      <c r="T655" s="125" t="n"/>
      <c r="U655" s="14" t="n"/>
      <c r="V655" s="16" t="n"/>
      <c r="W655" s="125" t="n"/>
      <c r="X655" s="14" t="n"/>
      <c r="Y655" s="16" t="n"/>
      <c r="Z655" s="125" t="n"/>
      <c r="AA655" s="14" t="n"/>
      <c r="AB655" s="16" t="n"/>
      <c r="AC655" s="125" t="n"/>
      <c r="AD655" s="14" t="n"/>
    </row>
    <row r="656">
      <c r="A656" s="56" t="n"/>
      <c r="B656" s="59" t="n"/>
      <c r="C656" s="59" t="n"/>
      <c r="E656" s="16" t="n"/>
      <c r="F656" s="13" t="n"/>
      <c r="G656" s="16" t="n"/>
      <c r="H656" s="125" t="n"/>
      <c r="I656" s="14" t="n"/>
      <c r="J656" s="16" t="n"/>
      <c r="K656" s="125" t="n"/>
      <c r="L656" s="14" t="n"/>
      <c r="M656" s="16" t="n"/>
      <c r="N656" s="125" t="n"/>
      <c r="O656" s="14" t="n"/>
      <c r="P656" s="16" t="n"/>
      <c r="Q656" s="125" t="n"/>
      <c r="R656" s="14" t="n"/>
      <c r="S656" s="16" t="n"/>
      <c r="T656" s="125" t="n"/>
      <c r="U656" s="14" t="n"/>
      <c r="V656" s="16" t="n"/>
      <c r="W656" s="125" t="n"/>
      <c r="X656" s="14" t="n"/>
      <c r="Y656" s="16" t="n"/>
      <c r="Z656" s="125" t="n"/>
      <c r="AA656" s="14" t="n"/>
      <c r="AB656" s="16" t="n"/>
      <c r="AC656" s="125" t="n"/>
      <c r="AD656" s="14" t="n"/>
    </row>
    <row r="657">
      <c r="A657" s="58" t="n"/>
      <c r="B657" s="59" t="n"/>
      <c r="C657" s="59" t="n"/>
      <c r="E657" s="16" t="n"/>
      <c r="F657" s="13" t="n"/>
      <c r="G657" s="16" t="n"/>
      <c r="H657" s="125" t="n"/>
      <c r="I657" s="14" t="n"/>
      <c r="J657" s="16" t="n"/>
      <c r="K657" s="125" t="n"/>
      <c r="L657" s="14" t="n"/>
      <c r="M657" s="16" t="n"/>
      <c r="N657" s="125" t="n"/>
      <c r="O657" s="14" t="n"/>
      <c r="P657" s="16" t="n"/>
      <c r="Q657" s="125" t="n"/>
      <c r="R657" s="14" t="n"/>
      <c r="S657" s="16" t="n"/>
      <c r="T657" s="125" t="n"/>
      <c r="U657" s="14" t="n"/>
      <c r="V657" s="16" t="n"/>
      <c r="W657" s="125" t="n"/>
      <c r="X657" s="14" t="n"/>
      <c r="Y657" s="16" t="n"/>
      <c r="Z657" s="125" t="n"/>
      <c r="AA657" s="14" t="n"/>
      <c r="AB657" s="16" t="n"/>
      <c r="AC657" s="125" t="n"/>
      <c r="AD657" s="14" t="n"/>
    </row>
    <row r="658">
      <c r="A658" s="56" t="n"/>
      <c r="B658" s="59" t="n"/>
      <c r="C658" s="59" t="n"/>
      <c r="E658" s="16" t="n"/>
      <c r="F658" s="13" t="n"/>
      <c r="G658" s="16" t="n"/>
      <c r="H658" s="125" t="n"/>
      <c r="I658" s="14" t="n"/>
      <c r="J658" s="16" t="n"/>
      <c r="K658" s="125" t="n"/>
      <c r="L658" s="14" t="n"/>
      <c r="M658" s="16" t="n"/>
      <c r="N658" s="125" t="n"/>
      <c r="O658" s="14" t="n"/>
      <c r="P658" s="16" t="n"/>
      <c r="Q658" s="125" t="n"/>
      <c r="R658" s="14" t="n"/>
      <c r="S658" s="16" t="n"/>
      <c r="T658" s="125" t="n"/>
      <c r="U658" s="14" t="n"/>
      <c r="V658" s="16" t="n"/>
      <c r="W658" s="125" t="n"/>
      <c r="X658" s="14" t="n"/>
      <c r="Y658" s="16" t="n"/>
      <c r="Z658" s="125" t="n"/>
      <c r="AA658" s="14" t="n"/>
      <c r="AB658" s="16" t="n"/>
      <c r="AC658" s="125" t="n"/>
      <c r="AD658" s="14" t="n"/>
    </row>
    <row r="659">
      <c r="A659" s="58" t="n"/>
      <c r="B659" s="59" t="n"/>
      <c r="C659" s="59" t="n"/>
      <c r="E659" s="16" t="n"/>
      <c r="F659" s="13" t="n"/>
      <c r="G659" s="16" t="n"/>
      <c r="H659" s="125" t="n"/>
      <c r="I659" s="14" t="n"/>
      <c r="J659" s="16" t="n"/>
      <c r="K659" s="125" t="n"/>
      <c r="L659" s="14" t="n"/>
      <c r="M659" s="16" t="n"/>
      <c r="N659" s="125" t="n"/>
      <c r="O659" s="14" t="n"/>
      <c r="P659" s="16" t="n"/>
      <c r="Q659" s="125" t="n"/>
      <c r="R659" s="14" t="n"/>
      <c r="S659" s="16" t="n"/>
      <c r="T659" s="125" t="n"/>
      <c r="U659" s="14" t="n"/>
      <c r="V659" s="16" t="n"/>
      <c r="W659" s="125" t="n"/>
      <c r="X659" s="14" t="n"/>
      <c r="Y659" s="16" t="n"/>
      <c r="Z659" s="125" t="n"/>
      <c r="AA659" s="14" t="n"/>
      <c r="AB659" s="16" t="n"/>
      <c r="AC659" s="125" t="n"/>
      <c r="AD659" s="14" t="n"/>
    </row>
    <row r="660">
      <c r="A660" s="56" t="n"/>
      <c r="B660" s="59" t="n"/>
      <c r="C660" s="59" t="n"/>
      <c r="E660" s="16" t="n"/>
      <c r="F660" s="13" t="n"/>
      <c r="G660" s="16" t="n"/>
      <c r="H660" s="125" t="n"/>
      <c r="I660" s="14" t="n"/>
      <c r="J660" s="16" t="n"/>
      <c r="K660" s="125" t="n"/>
      <c r="L660" s="14" t="n"/>
      <c r="M660" s="16" t="n"/>
      <c r="N660" s="125" t="n"/>
      <c r="O660" s="14" t="n"/>
      <c r="P660" s="16" t="n"/>
      <c r="Q660" s="125" t="n"/>
      <c r="R660" s="14" t="n"/>
      <c r="S660" s="16" t="n"/>
      <c r="T660" s="125" t="n"/>
      <c r="U660" s="14" t="n"/>
      <c r="V660" s="16" t="n"/>
      <c r="W660" s="125" t="n"/>
      <c r="X660" s="14" t="n"/>
      <c r="Y660" s="16" t="n"/>
      <c r="Z660" s="125" t="n"/>
      <c r="AA660" s="14" t="n"/>
      <c r="AB660" s="16" t="n"/>
      <c r="AC660" s="125" t="n"/>
      <c r="AD660" s="14" t="n"/>
    </row>
    <row r="661">
      <c r="A661" s="58" t="n"/>
      <c r="B661" s="59" t="n"/>
      <c r="C661" s="59" t="n"/>
      <c r="E661" s="16" t="n"/>
      <c r="F661" s="13" t="n"/>
      <c r="G661" s="16" t="n"/>
      <c r="H661" s="125" t="n"/>
      <c r="I661" s="14" t="n"/>
      <c r="J661" s="16" t="n"/>
      <c r="K661" s="125" t="n"/>
      <c r="L661" s="14" t="n"/>
      <c r="M661" s="16" t="n"/>
      <c r="N661" s="125" t="n"/>
      <c r="O661" s="14" t="n"/>
      <c r="P661" s="16" t="n"/>
      <c r="Q661" s="125" t="n"/>
      <c r="R661" s="14" t="n"/>
      <c r="S661" s="16" t="n"/>
      <c r="T661" s="125" t="n"/>
      <c r="U661" s="14" t="n"/>
      <c r="V661" s="16" t="n"/>
      <c r="W661" s="125" t="n"/>
      <c r="X661" s="14" t="n"/>
      <c r="Y661" s="16" t="n"/>
      <c r="Z661" s="125" t="n"/>
      <c r="AA661" s="14" t="n"/>
      <c r="AB661" s="16" t="n"/>
      <c r="AC661" s="125" t="n"/>
      <c r="AD661" s="14" t="n"/>
    </row>
    <row r="662">
      <c r="A662" s="56" t="n"/>
      <c r="B662" s="59" t="n"/>
      <c r="C662" s="59" t="n"/>
      <c r="E662" s="16" t="n"/>
      <c r="F662" s="13" t="n"/>
      <c r="G662" s="16" t="n"/>
      <c r="H662" s="125" t="n"/>
      <c r="I662" s="14" t="n"/>
      <c r="J662" s="16" t="n"/>
      <c r="K662" s="125" t="n"/>
      <c r="L662" s="14" t="n"/>
      <c r="M662" s="16" t="n"/>
      <c r="N662" s="125" t="n"/>
      <c r="O662" s="14" t="n"/>
      <c r="P662" s="16" t="n"/>
      <c r="Q662" s="125" t="n"/>
      <c r="R662" s="14" t="n"/>
      <c r="S662" s="16" t="n"/>
      <c r="T662" s="125" t="n"/>
      <c r="U662" s="14" t="n"/>
      <c r="V662" s="16" t="n"/>
      <c r="W662" s="125" t="n"/>
      <c r="X662" s="14" t="n"/>
      <c r="Y662" s="16" t="n"/>
      <c r="Z662" s="125" t="n"/>
      <c r="AA662" s="14" t="n"/>
      <c r="AB662" s="16" t="n"/>
      <c r="AC662" s="125" t="n"/>
      <c r="AD662" s="14" t="n"/>
    </row>
    <row r="663">
      <c r="A663" s="58" t="n"/>
      <c r="B663" s="59" t="n"/>
      <c r="C663" s="59" t="n"/>
      <c r="E663" s="16" t="n"/>
      <c r="F663" s="13" t="n"/>
      <c r="G663" s="16" t="n"/>
      <c r="H663" s="125" t="n"/>
      <c r="I663" s="14" t="n"/>
      <c r="J663" s="16" t="n"/>
      <c r="K663" s="125" t="n"/>
      <c r="L663" s="14" t="n"/>
      <c r="M663" s="16" t="n"/>
      <c r="N663" s="125" t="n"/>
      <c r="O663" s="14" t="n"/>
      <c r="P663" s="16" t="n"/>
      <c r="Q663" s="125" t="n"/>
      <c r="R663" s="14" t="n"/>
      <c r="S663" s="16" t="n"/>
      <c r="T663" s="125" t="n"/>
      <c r="U663" s="14" t="n"/>
      <c r="V663" s="16" t="n"/>
      <c r="W663" s="125" t="n"/>
      <c r="X663" s="14" t="n"/>
      <c r="Y663" s="16" t="n"/>
      <c r="Z663" s="125" t="n"/>
      <c r="AA663" s="14" t="n"/>
      <c r="AB663" s="16" t="n"/>
      <c r="AC663" s="125" t="n"/>
      <c r="AD663" s="14" t="n"/>
    </row>
    <row r="664">
      <c r="A664" s="56" t="n"/>
      <c r="B664" s="59" t="n"/>
      <c r="C664" s="59" t="n"/>
      <c r="E664" s="16" t="n"/>
      <c r="F664" s="13" t="n"/>
      <c r="G664" s="16" t="n"/>
      <c r="H664" s="125" t="n"/>
      <c r="I664" s="14" t="n"/>
      <c r="J664" s="16" t="n"/>
      <c r="K664" s="125" t="n"/>
      <c r="L664" s="14" t="n"/>
      <c r="M664" s="16" t="n"/>
      <c r="N664" s="125" t="n"/>
      <c r="O664" s="14" t="n"/>
      <c r="P664" s="16" t="n"/>
      <c r="Q664" s="125" t="n"/>
      <c r="R664" s="14" t="n"/>
      <c r="S664" s="16" t="n"/>
      <c r="T664" s="125" t="n"/>
      <c r="U664" s="14" t="n"/>
      <c r="V664" s="16" t="n"/>
      <c r="W664" s="125" t="n"/>
      <c r="X664" s="14" t="n"/>
      <c r="Y664" s="16" t="n"/>
      <c r="Z664" s="125" t="n"/>
      <c r="AA664" s="14" t="n"/>
      <c r="AB664" s="16" t="n"/>
      <c r="AC664" s="125" t="n"/>
      <c r="AD664" s="14" t="n"/>
    </row>
    <row r="665">
      <c r="A665" s="58" t="n"/>
      <c r="B665" s="59" t="n"/>
      <c r="C665" s="59" t="n"/>
      <c r="E665" s="16" t="n"/>
      <c r="F665" s="13" t="n"/>
      <c r="G665" s="16" t="n"/>
      <c r="H665" s="125" t="n"/>
      <c r="I665" s="14" t="n"/>
      <c r="J665" s="16" t="n"/>
      <c r="K665" s="125" t="n"/>
      <c r="L665" s="14" t="n"/>
      <c r="M665" s="16" t="n"/>
      <c r="N665" s="125" t="n"/>
      <c r="O665" s="14" t="n"/>
      <c r="P665" s="16" t="n"/>
      <c r="Q665" s="125" t="n"/>
      <c r="R665" s="14" t="n"/>
      <c r="S665" s="16" t="n"/>
      <c r="T665" s="125" t="n"/>
      <c r="U665" s="14" t="n"/>
      <c r="V665" s="16" t="n"/>
      <c r="W665" s="125" t="n"/>
      <c r="X665" s="14" t="n"/>
      <c r="Y665" s="16" t="n"/>
      <c r="Z665" s="125" t="n"/>
      <c r="AA665" s="14" t="n"/>
      <c r="AB665" s="16" t="n"/>
      <c r="AC665" s="125" t="n"/>
      <c r="AD665" s="14" t="n"/>
    </row>
    <row r="666">
      <c r="A666" s="56" t="n"/>
      <c r="B666" s="59" t="n"/>
      <c r="C666" s="59" t="n"/>
      <c r="E666" s="16" t="n"/>
      <c r="F666" s="13" t="n"/>
      <c r="G666" s="16" t="n"/>
      <c r="H666" s="125" t="n"/>
      <c r="I666" s="14" t="n"/>
      <c r="J666" s="16" t="n"/>
      <c r="K666" s="125" t="n"/>
      <c r="L666" s="14" t="n"/>
      <c r="M666" s="16" t="n"/>
      <c r="N666" s="125" t="n"/>
      <c r="O666" s="14" t="n"/>
      <c r="P666" s="16" t="n"/>
      <c r="Q666" s="125" t="n"/>
      <c r="R666" s="14" t="n"/>
      <c r="S666" s="16" t="n"/>
      <c r="T666" s="125" t="n"/>
      <c r="U666" s="14" t="n"/>
      <c r="V666" s="16" t="n"/>
      <c r="W666" s="125" t="n"/>
      <c r="X666" s="14" t="n"/>
      <c r="Y666" s="16" t="n"/>
      <c r="Z666" s="125" t="n"/>
      <c r="AA666" s="14" t="n"/>
      <c r="AB666" s="16" t="n"/>
      <c r="AC666" s="125" t="n"/>
      <c r="AD666" s="14" t="n"/>
    </row>
    <row r="667">
      <c r="A667" s="55" t="n"/>
      <c r="B667" s="59" t="n"/>
      <c r="C667" s="59" t="n"/>
      <c r="E667" s="16" t="n"/>
      <c r="F667" s="13" t="n"/>
      <c r="G667" s="16" t="n"/>
      <c r="H667" s="125" t="n"/>
      <c r="I667" s="14" t="n"/>
      <c r="J667" s="16" t="n"/>
      <c r="K667" s="125" t="n"/>
      <c r="L667" s="14" t="n"/>
      <c r="M667" s="16" t="n"/>
      <c r="N667" s="125" t="n"/>
      <c r="O667" s="14" t="n"/>
      <c r="P667" s="16" t="n"/>
      <c r="Q667" s="125" t="n"/>
      <c r="R667" s="14" t="n"/>
      <c r="S667" s="16" t="n"/>
      <c r="T667" s="125" t="n"/>
      <c r="U667" s="14" t="n"/>
      <c r="V667" s="16" t="n"/>
      <c r="W667" s="125" t="n"/>
      <c r="X667" s="14" t="n"/>
      <c r="Y667" s="16" t="n"/>
      <c r="Z667" s="125" t="n"/>
      <c r="AA667" s="14" t="n"/>
      <c r="AB667" s="16" t="n"/>
      <c r="AC667" s="125" t="n"/>
      <c r="AD667" s="14" t="n"/>
    </row>
    <row r="668">
      <c r="B668" s="59" t="n"/>
      <c r="C668" s="59" t="n"/>
      <c r="E668" s="16" t="n"/>
      <c r="F668" s="13" t="n"/>
      <c r="G668" s="16" t="n"/>
      <c r="H668" s="125" t="n"/>
      <c r="I668" s="14" t="n"/>
      <c r="J668" s="16" t="n"/>
      <c r="K668" s="125" t="n"/>
      <c r="L668" s="14" t="n"/>
      <c r="M668" s="16" t="n"/>
      <c r="N668" s="125" t="n"/>
      <c r="O668" s="14" t="n"/>
      <c r="P668" s="16" t="n"/>
      <c r="Q668" s="125" t="n"/>
      <c r="R668" s="14" t="n"/>
      <c r="S668" s="16" t="n"/>
      <c r="T668" s="125" t="n"/>
      <c r="U668" s="14" t="n"/>
      <c r="V668" s="16" t="n"/>
      <c r="W668" s="125" t="n"/>
      <c r="X668" s="14" t="n"/>
      <c r="Y668" s="16" t="n"/>
      <c r="Z668" s="125" t="n"/>
      <c r="AA668" s="14" t="n"/>
      <c r="AB668" s="16" t="n"/>
      <c r="AC668" s="125" t="n"/>
      <c r="AD668" s="14" t="n"/>
    </row>
    <row r="669">
      <c r="B669" s="59" t="n"/>
      <c r="C669" s="59" t="n"/>
      <c r="E669" s="16" t="n"/>
      <c r="F669" s="13" t="n"/>
      <c r="G669" s="16" t="n"/>
      <c r="H669" s="125" t="n"/>
      <c r="I669" s="14" t="n"/>
      <c r="J669" s="16" t="n"/>
      <c r="K669" s="125" t="n"/>
      <c r="L669" s="14" t="n"/>
      <c r="M669" s="16" t="n"/>
      <c r="N669" s="125" t="n"/>
      <c r="O669" s="14" t="n"/>
      <c r="P669" s="16" t="n"/>
      <c r="Q669" s="125" t="n"/>
      <c r="R669" s="14" t="n"/>
      <c r="S669" s="16" t="n"/>
      <c r="T669" s="125" t="n"/>
      <c r="U669" s="14" t="n"/>
      <c r="V669" s="16" t="n"/>
      <c r="W669" s="125" t="n"/>
      <c r="X669" s="14" t="n"/>
      <c r="Y669" s="16" t="n"/>
      <c r="Z669" s="125" t="n"/>
      <c r="AA669" s="14" t="n"/>
      <c r="AB669" s="16" t="n"/>
      <c r="AC669" s="125" t="n"/>
      <c r="AD669" s="14" t="n"/>
    </row>
    <row r="670">
      <c r="B670" s="59" t="n"/>
      <c r="C670" s="59" t="n"/>
      <c r="E670" s="16" t="n"/>
      <c r="F670" s="13" t="n"/>
      <c r="G670" s="16" t="n"/>
      <c r="H670" s="125" t="n"/>
      <c r="I670" s="14" t="n"/>
      <c r="J670" s="16" t="n"/>
      <c r="K670" s="125" t="n"/>
      <c r="L670" s="14" t="n"/>
      <c r="M670" s="16" t="n"/>
      <c r="N670" s="125" t="n"/>
      <c r="O670" s="14" t="n"/>
      <c r="P670" s="16" t="n"/>
      <c r="Q670" s="125" t="n"/>
      <c r="R670" s="14" t="n"/>
      <c r="S670" s="16" t="n"/>
      <c r="T670" s="125" t="n"/>
      <c r="U670" s="14" t="n"/>
      <c r="V670" s="16" t="n"/>
      <c r="W670" s="125" t="n"/>
      <c r="X670" s="14" t="n"/>
      <c r="Y670" s="16" t="n"/>
      <c r="Z670" s="125" t="n"/>
      <c r="AA670" s="14" t="n"/>
      <c r="AB670" s="16" t="n"/>
      <c r="AC670" s="125" t="n"/>
      <c r="AD670" s="14" t="n"/>
    </row>
    <row r="671">
      <c r="B671" s="59" t="n"/>
      <c r="C671" s="59" t="n"/>
      <c r="E671" s="16" t="n"/>
      <c r="F671" s="13" t="n"/>
      <c r="G671" s="16" t="n"/>
      <c r="H671" s="125" t="n"/>
      <c r="I671" s="14" t="n"/>
      <c r="J671" s="16" t="n"/>
      <c r="K671" s="125" t="n"/>
      <c r="L671" s="14" t="n"/>
      <c r="M671" s="16" t="n"/>
      <c r="N671" s="125" t="n"/>
      <c r="O671" s="14" t="n"/>
      <c r="P671" s="16" t="n"/>
      <c r="Q671" s="125" t="n"/>
      <c r="R671" s="14" t="n"/>
      <c r="S671" s="16" t="n"/>
      <c r="T671" s="125" t="n"/>
      <c r="U671" s="14" t="n"/>
      <c r="V671" s="16" t="n"/>
      <c r="W671" s="125" t="n"/>
      <c r="X671" s="14" t="n"/>
      <c r="Y671" s="16" t="n"/>
      <c r="Z671" s="125" t="n"/>
      <c r="AA671" s="14" t="n"/>
      <c r="AB671" s="16" t="n"/>
      <c r="AC671" s="125" t="n"/>
      <c r="AD671" s="14" t="n"/>
    </row>
    <row r="672">
      <c r="B672" s="59" t="n"/>
      <c r="C672" s="59" t="n"/>
      <c r="E672" s="16" t="n"/>
      <c r="F672" s="13" t="n"/>
      <c r="G672" s="16" t="n"/>
      <c r="H672" s="125" t="n"/>
      <c r="I672" s="14" t="n"/>
      <c r="J672" s="16" t="n"/>
      <c r="K672" s="125" t="n"/>
      <c r="L672" s="14" t="n"/>
      <c r="M672" s="16" t="n"/>
      <c r="N672" s="125" t="n"/>
      <c r="O672" s="14" t="n"/>
      <c r="P672" s="16" t="n"/>
      <c r="Q672" s="125" t="n"/>
      <c r="R672" s="14" t="n"/>
      <c r="S672" s="16" t="n"/>
      <c r="T672" s="125" t="n"/>
      <c r="U672" s="14" t="n"/>
      <c r="V672" s="16" t="n"/>
      <c r="W672" s="125" t="n"/>
      <c r="X672" s="14" t="n"/>
      <c r="Y672" s="16" t="n"/>
      <c r="Z672" s="125" t="n"/>
      <c r="AA672" s="14" t="n"/>
      <c r="AB672" s="16" t="n"/>
      <c r="AC672" s="125" t="n"/>
      <c r="AD672" s="14" t="n"/>
    </row>
    <row r="673">
      <c r="B673" s="59" t="n"/>
      <c r="C673" s="59" t="n"/>
      <c r="E673" s="16" t="n"/>
      <c r="F673" s="13" t="n"/>
      <c r="G673" s="16" t="n"/>
      <c r="H673" s="125" t="n"/>
      <c r="I673" s="14" t="n"/>
      <c r="J673" s="16" t="n"/>
      <c r="K673" s="125" t="n"/>
      <c r="L673" s="14" t="n"/>
      <c r="M673" s="16" t="n"/>
      <c r="N673" s="125" t="n"/>
      <c r="O673" s="14" t="n"/>
      <c r="P673" s="16" t="n"/>
      <c r="Q673" s="125" t="n"/>
      <c r="R673" s="14" t="n"/>
      <c r="S673" s="16" t="n"/>
      <c r="T673" s="125" t="n"/>
      <c r="U673" s="14" t="n"/>
      <c r="V673" s="16" t="n"/>
      <c r="W673" s="125" t="n"/>
      <c r="X673" s="14" t="n"/>
      <c r="Y673" s="16" t="n"/>
      <c r="Z673" s="125" t="n"/>
      <c r="AA673" s="14" t="n"/>
      <c r="AB673" s="16" t="n"/>
      <c r="AC673" s="125" t="n"/>
      <c r="AD673" s="14" t="n"/>
    </row>
    <row r="674">
      <c r="B674" s="59" t="n"/>
      <c r="C674" s="59" t="n"/>
      <c r="E674" s="16" t="n"/>
      <c r="F674" s="13" t="n"/>
      <c r="G674" s="16" t="n"/>
      <c r="H674" s="125" t="n"/>
      <c r="I674" s="14" t="n"/>
      <c r="J674" s="16" t="n"/>
      <c r="K674" s="125" t="n"/>
      <c r="L674" s="14" t="n"/>
      <c r="M674" s="16" t="n"/>
      <c r="N674" s="125" t="n"/>
      <c r="O674" s="14" t="n"/>
      <c r="P674" s="16" t="n"/>
      <c r="Q674" s="125" t="n"/>
      <c r="R674" s="14" t="n"/>
      <c r="S674" s="16" t="n"/>
      <c r="T674" s="125" t="n"/>
      <c r="U674" s="14" t="n"/>
      <c r="V674" s="16" t="n"/>
      <c r="W674" s="125" t="n"/>
      <c r="X674" s="14" t="n"/>
      <c r="Y674" s="16" t="n"/>
      <c r="Z674" s="125" t="n"/>
      <c r="AA674" s="14" t="n"/>
      <c r="AB674" s="16" t="n"/>
      <c r="AC674" s="125" t="n"/>
      <c r="AD674" s="14" t="n"/>
    </row>
    <row r="675">
      <c r="B675" s="59" t="n"/>
      <c r="C675" s="59" t="n"/>
      <c r="E675" s="16" t="n"/>
      <c r="F675" s="13" t="n"/>
      <c r="G675" s="16" t="n"/>
      <c r="H675" s="125" t="n"/>
      <c r="I675" s="14" t="n"/>
      <c r="J675" s="16" t="n"/>
      <c r="K675" s="125" t="n"/>
      <c r="L675" s="14" t="n"/>
      <c r="M675" s="16" t="n"/>
      <c r="N675" s="125" t="n"/>
      <c r="O675" s="14" t="n"/>
      <c r="P675" s="16" t="n"/>
      <c r="Q675" s="125" t="n"/>
      <c r="R675" s="14" t="n"/>
      <c r="S675" s="16" t="n"/>
      <c r="T675" s="125" t="n"/>
      <c r="U675" s="14" t="n"/>
      <c r="V675" s="16" t="n"/>
      <c r="W675" s="125" t="n"/>
      <c r="X675" s="14" t="n"/>
      <c r="Y675" s="16" t="n"/>
      <c r="Z675" s="125" t="n"/>
      <c r="AA675" s="14" t="n"/>
      <c r="AB675" s="16" t="n"/>
      <c r="AC675" s="125" t="n"/>
      <c r="AD675" s="14" t="n"/>
    </row>
    <row r="676">
      <c r="B676" s="59" t="n"/>
      <c r="C676" s="59" t="n"/>
      <c r="E676" s="16" t="n"/>
      <c r="F676" s="13" t="n"/>
      <c r="G676" s="16" t="n"/>
      <c r="H676" s="125" t="n"/>
      <c r="I676" s="14" t="n"/>
      <c r="J676" s="16" t="n"/>
      <c r="K676" s="125" t="n"/>
      <c r="L676" s="14" t="n"/>
      <c r="M676" s="16" t="n"/>
      <c r="N676" s="125" t="n"/>
      <c r="O676" s="14" t="n"/>
      <c r="P676" s="16" t="n"/>
      <c r="Q676" s="125" t="n"/>
      <c r="R676" s="14" t="n"/>
      <c r="S676" s="16" t="n"/>
      <c r="T676" s="125" t="n"/>
      <c r="U676" s="14" t="n"/>
      <c r="V676" s="16" t="n"/>
      <c r="W676" s="125" t="n"/>
      <c r="X676" s="14" t="n"/>
      <c r="Y676" s="16" t="n"/>
      <c r="Z676" s="125" t="n"/>
      <c r="AA676" s="14" t="n"/>
      <c r="AB676" s="16" t="n"/>
      <c r="AC676" s="125" t="n"/>
      <c r="AD676" s="14" t="n"/>
    </row>
    <row r="677">
      <c r="B677" s="59" t="n"/>
      <c r="C677" s="59" t="n"/>
      <c r="E677" s="16" t="n"/>
      <c r="F677" s="13" t="n"/>
      <c r="G677" s="16" t="n"/>
      <c r="H677" s="125" t="n"/>
      <c r="I677" s="14" t="n"/>
      <c r="J677" s="16" t="n"/>
      <c r="K677" s="125" t="n"/>
      <c r="L677" s="14" t="n"/>
      <c r="M677" s="16" t="n"/>
      <c r="N677" s="125" t="n"/>
      <c r="O677" s="14" t="n"/>
      <c r="P677" s="16" t="n"/>
      <c r="Q677" s="125" t="n"/>
      <c r="R677" s="14" t="n"/>
      <c r="S677" s="16" t="n"/>
      <c r="T677" s="125" t="n"/>
      <c r="U677" s="14" t="n"/>
      <c r="V677" s="16" t="n"/>
      <c r="W677" s="125" t="n"/>
      <c r="X677" s="14" t="n"/>
      <c r="Y677" s="16" t="n"/>
      <c r="Z677" s="125" t="n"/>
      <c r="AA677" s="14" t="n"/>
      <c r="AB677" s="16" t="n"/>
      <c r="AC677" s="125" t="n"/>
      <c r="AD677" s="14" t="n"/>
    </row>
    <row r="678">
      <c r="B678" s="59" t="n"/>
      <c r="C678" s="59" t="n"/>
      <c r="E678" s="16" t="n"/>
      <c r="F678" s="13" t="n"/>
      <c r="G678" s="16" t="n"/>
      <c r="H678" s="125" t="n"/>
      <c r="I678" s="14" t="n"/>
      <c r="J678" s="16" t="n"/>
      <c r="K678" s="125" t="n"/>
      <c r="L678" s="14" t="n"/>
      <c r="M678" s="16" t="n"/>
      <c r="N678" s="125" t="n"/>
      <c r="O678" s="14" t="n"/>
      <c r="P678" s="16" t="n"/>
      <c r="Q678" s="125" t="n"/>
      <c r="R678" s="14" t="n"/>
      <c r="S678" s="16" t="n"/>
      <c r="T678" s="125" t="n"/>
      <c r="U678" s="14" t="n"/>
      <c r="V678" s="16" t="n"/>
      <c r="W678" s="125" t="n"/>
      <c r="X678" s="14" t="n"/>
      <c r="Y678" s="16" t="n"/>
      <c r="Z678" s="125" t="n"/>
      <c r="AA678" s="14" t="n"/>
      <c r="AB678" s="16" t="n"/>
      <c r="AC678" s="125" t="n"/>
      <c r="AD678" s="14" t="n"/>
    </row>
    <row r="679">
      <c r="B679" s="59" t="n"/>
      <c r="C679" s="59" t="n"/>
      <c r="E679" s="16" t="n"/>
      <c r="F679" s="13" t="n"/>
      <c r="G679" s="16" t="n"/>
      <c r="H679" s="125" t="n"/>
      <c r="I679" s="14" t="n"/>
      <c r="J679" s="16" t="n"/>
      <c r="K679" s="125" t="n"/>
      <c r="L679" s="14" t="n"/>
      <c r="M679" s="16" t="n"/>
      <c r="N679" s="125" t="n"/>
      <c r="O679" s="14" t="n"/>
      <c r="P679" s="16" t="n"/>
      <c r="Q679" s="125" t="n"/>
      <c r="R679" s="14" t="n"/>
      <c r="S679" s="16" t="n"/>
      <c r="T679" s="125" t="n"/>
      <c r="U679" s="14" t="n"/>
      <c r="V679" s="16" t="n"/>
      <c r="W679" s="125" t="n"/>
      <c r="X679" s="14" t="n"/>
      <c r="Y679" s="16" t="n"/>
      <c r="Z679" s="125" t="n"/>
      <c r="AA679" s="14" t="n"/>
      <c r="AB679" s="16" t="n"/>
      <c r="AC679" s="125" t="n"/>
      <c r="AD679" s="14" t="n"/>
    </row>
    <row r="680">
      <c r="B680" s="59" t="n"/>
      <c r="C680" s="59" t="n"/>
      <c r="E680" s="16" t="n"/>
      <c r="F680" s="13" t="n"/>
      <c r="G680" s="16" t="n"/>
      <c r="H680" s="125" t="n"/>
      <c r="I680" s="14" t="n"/>
      <c r="J680" s="16" t="n"/>
      <c r="K680" s="125" t="n"/>
      <c r="L680" s="14" t="n"/>
      <c r="M680" s="16" t="n"/>
      <c r="N680" s="125" t="n"/>
      <c r="O680" s="14" t="n"/>
      <c r="P680" s="16" t="n"/>
      <c r="Q680" s="125" t="n"/>
      <c r="R680" s="14" t="n"/>
      <c r="S680" s="16" t="n"/>
      <c r="T680" s="125" t="n"/>
      <c r="U680" s="14" t="n"/>
      <c r="V680" s="16" t="n"/>
      <c r="W680" s="125" t="n"/>
      <c r="X680" s="14" t="n"/>
      <c r="Y680" s="16" t="n"/>
      <c r="Z680" s="125" t="n"/>
      <c r="AA680" s="14" t="n"/>
      <c r="AB680" s="16" t="n"/>
      <c r="AC680" s="125" t="n"/>
      <c r="AD680" s="14" t="n"/>
    </row>
    <row r="681">
      <c r="B681" s="59" t="n"/>
      <c r="C681" s="59" t="n"/>
      <c r="E681" s="16" t="n"/>
      <c r="F681" s="13" t="n"/>
      <c r="G681" s="16" t="n"/>
      <c r="H681" s="125" t="n"/>
      <c r="I681" s="14" t="n"/>
      <c r="J681" s="16" t="n"/>
      <c r="K681" s="125" t="n"/>
      <c r="L681" s="14" t="n"/>
      <c r="M681" s="16" t="n"/>
      <c r="N681" s="125" t="n"/>
      <c r="O681" s="14" t="n"/>
      <c r="P681" s="16" t="n"/>
      <c r="Q681" s="125" t="n"/>
      <c r="R681" s="14" t="n"/>
      <c r="S681" s="16" t="n"/>
      <c r="T681" s="125" t="n"/>
      <c r="U681" s="14" t="n"/>
      <c r="V681" s="16" t="n"/>
      <c r="W681" s="125" t="n"/>
      <c r="X681" s="14" t="n"/>
      <c r="Y681" s="16" t="n"/>
      <c r="Z681" s="125" t="n"/>
      <c r="AA681" s="14" t="n"/>
      <c r="AB681" s="16" t="n"/>
      <c r="AC681" s="125" t="n"/>
      <c r="AD681" s="14" t="n"/>
    </row>
    <row r="682">
      <c r="B682" s="59" t="n"/>
      <c r="C682" s="59" t="n"/>
      <c r="E682" s="16" t="n"/>
      <c r="F682" s="13" t="n"/>
      <c r="G682" s="16" t="n"/>
      <c r="H682" s="125" t="n"/>
      <c r="I682" s="14" t="n"/>
      <c r="J682" s="16" t="n"/>
      <c r="K682" s="125" t="n"/>
      <c r="L682" s="14" t="n"/>
      <c r="M682" s="16" t="n"/>
      <c r="N682" s="125" t="n"/>
      <c r="O682" s="14" t="n"/>
      <c r="P682" s="16" t="n"/>
      <c r="Q682" s="125" t="n"/>
      <c r="R682" s="14" t="n"/>
      <c r="S682" s="16" t="n"/>
      <c r="T682" s="125" t="n"/>
      <c r="U682" s="14" t="n"/>
      <c r="V682" s="16" t="n"/>
      <c r="W682" s="125" t="n"/>
      <c r="X682" s="14" t="n"/>
      <c r="Y682" s="16" t="n"/>
      <c r="Z682" s="125" t="n"/>
      <c r="AA682" s="14" t="n"/>
      <c r="AB682" s="16" t="n"/>
      <c r="AC682" s="125" t="n"/>
      <c r="AD682" s="14" t="n"/>
    </row>
    <row r="683">
      <c r="B683" s="59" t="n"/>
      <c r="C683" s="59" t="n"/>
      <c r="E683" s="16" t="n"/>
      <c r="F683" s="13" t="n"/>
      <c r="G683" s="16" t="n"/>
      <c r="H683" s="125" t="n"/>
      <c r="I683" s="14" t="n"/>
      <c r="J683" s="16" t="n"/>
      <c r="K683" s="125" t="n"/>
      <c r="L683" s="14" t="n"/>
      <c r="M683" s="16" t="n"/>
      <c r="N683" s="125" t="n"/>
      <c r="O683" s="14" t="n"/>
      <c r="P683" s="16" t="n"/>
      <c r="Q683" s="125" t="n"/>
      <c r="R683" s="14" t="n"/>
      <c r="S683" s="16" t="n"/>
      <c r="T683" s="125" t="n"/>
      <c r="U683" s="14" t="n"/>
      <c r="V683" s="16" t="n"/>
      <c r="W683" s="125" t="n"/>
      <c r="X683" s="14" t="n"/>
      <c r="Y683" s="16" t="n"/>
      <c r="Z683" s="125" t="n"/>
      <c r="AA683" s="14" t="n"/>
      <c r="AB683" s="16" t="n"/>
      <c r="AC683" s="125" t="n"/>
      <c r="AD683" s="14" t="n"/>
    </row>
    <row r="684">
      <c r="B684" s="59" t="n"/>
      <c r="C684" s="59" t="n"/>
      <c r="E684" s="16" t="n"/>
      <c r="F684" s="13" t="n"/>
      <c r="G684" s="16" t="n"/>
      <c r="H684" s="125" t="n"/>
      <c r="I684" s="14" t="n"/>
      <c r="J684" s="16" t="n"/>
      <c r="K684" s="125" t="n"/>
      <c r="L684" s="14" t="n"/>
      <c r="M684" s="16" t="n"/>
      <c r="N684" s="125" t="n"/>
      <c r="O684" s="14" t="n"/>
      <c r="P684" s="16" t="n"/>
      <c r="Q684" s="125" t="n"/>
      <c r="R684" s="14" t="n"/>
      <c r="S684" s="16" t="n"/>
      <c r="T684" s="125" t="n"/>
      <c r="U684" s="14" t="n"/>
      <c r="V684" s="16" t="n"/>
      <c r="W684" s="125" t="n"/>
      <c r="X684" s="14" t="n"/>
      <c r="Y684" s="16" t="n"/>
      <c r="Z684" s="125" t="n"/>
      <c r="AA684" s="14" t="n"/>
      <c r="AB684" s="16" t="n"/>
      <c r="AC684" s="125" t="n"/>
      <c r="AD684" s="14" t="n"/>
    </row>
    <row r="685">
      <c r="B685" s="59" t="n"/>
      <c r="C685" s="59" t="n"/>
      <c r="E685" s="16" t="n"/>
      <c r="F685" s="13" t="n"/>
      <c r="G685" s="16" t="n"/>
      <c r="H685" s="125" t="n"/>
      <c r="I685" s="14" t="n"/>
      <c r="J685" s="16" t="n"/>
      <c r="K685" s="125" t="n"/>
      <c r="L685" s="14" t="n"/>
      <c r="M685" s="16" t="n"/>
      <c r="N685" s="125" t="n"/>
      <c r="O685" s="14" t="n"/>
      <c r="P685" s="16" t="n"/>
      <c r="Q685" s="125" t="n"/>
      <c r="R685" s="14" t="n"/>
      <c r="S685" s="16" t="n"/>
      <c r="T685" s="125" t="n"/>
      <c r="U685" s="14" t="n"/>
      <c r="V685" s="16" t="n"/>
      <c r="W685" s="125" t="n"/>
      <c r="X685" s="14" t="n"/>
      <c r="Y685" s="16" t="n"/>
      <c r="Z685" s="125" t="n"/>
      <c r="AA685" s="14" t="n"/>
      <c r="AB685" s="16" t="n"/>
      <c r="AC685" s="125" t="n"/>
      <c r="AD685" s="14" t="n"/>
    </row>
    <row r="686">
      <c r="B686" s="59" t="n"/>
      <c r="C686" s="59" t="n"/>
      <c r="E686" s="16" t="n"/>
      <c r="F686" s="13" t="n"/>
      <c r="G686" s="16" t="n"/>
      <c r="H686" s="125" t="n"/>
      <c r="I686" s="14" t="n"/>
      <c r="J686" s="16" t="n"/>
      <c r="K686" s="125" t="n"/>
      <c r="L686" s="14" t="n"/>
      <c r="M686" s="16" t="n"/>
      <c r="N686" s="125" t="n"/>
      <c r="O686" s="14" t="n"/>
      <c r="P686" s="16" t="n"/>
      <c r="Q686" s="125" t="n"/>
      <c r="R686" s="14" t="n"/>
      <c r="S686" s="16" t="n"/>
      <c r="T686" s="125" t="n"/>
      <c r="U686" s="14" t="n"/>
      <c r="V686" s="16" t="n"/>
      <c r="W686" s="125" t="n"/>
      <c r="X686" s="14" t="n"/>
      <c r="Y686" s="16" t="n"/>
      <c r="Z686" s="125" t="n"/>
      <c r="AA686" s="14" t="n"/>
      <c r="AB686" s="16" t="n"/>
      <c r="AC686" s="125" t="n"/>
      <c r="AD686" s="14" t="n"/>
    </row>
    <row r="687">
      <c r="B687" s="59" t="n"/>
      <c r="C687" s="59" t="n"/>
      <c r="E687" s="16" t="n"/>
      <c r="F687" s="13" t="n"/>
      <c r="G687" s="16" t="n"/>
      <c r="H687" s="125" t="n"/>
      <c r="I687" s="14" t="n"/>
      <c r="J687" s="16" t="n"/>
      <c r="K687" s="125" t="n"/>
      <c r="L687" s="14" t="n"/>
      <c r="M687" s="16" t="n"/>
      <c r="N687" s="125" t="n"/>
      <c r="O687" s="14" t="n"/>
      <c r="P687" s="16" t="n"/>
      <c r="Q687" s="125" t="n"/>
      <c r="R687" s="14" t="n"/>
      <c r="S687" s="16" t="n"/>
      <c r="T687" s="125" t="n"/>
      <c r="U687" s="14" t="n"/>
      <c r="V687" s="16" t="n"/>
      <c r="W687" s="125" t="n"/>
      <c r="X687" s="14" t="n"/>
      <c r="Y687" s="16" t="n"/>
      <c r="Z687" s="125" t="n"/>
      <c r="AA687" s="14" t="n"/>
      <c r="AB687" s="16" t="n"/>
      <c r="AC687" s="125" t="n"/>
      <c r="AD687" s="14" t="n"/>
    </row>
    <row r="688">
      <c r="B688" s="59" t="n"/>
      <c r="C688" s="59" t="n"/>
      <c r="E688" s="16" t="n"/>
      <c r="F688" s="13" t="n"/>
      <c r="G688" s="16" t="n"/>
      <c r="H688" s="125" t="n"/>
      <c r="I688" s="14" t="n"/>
      <c r="J688" s="16" t="n"/>
      <c r="K688" s="125" t="n"/>
      <c r="L688" s="14" t="n"/>
      <c r="M688" s="16" t="n"/>
      <c r="N688" s="125" t="n"/>
      <c r="O688" s="14" t="n"/>
      <c r="P688" s="16" t="n"/>
      <c r="Q688" s="125" t="n"/>
      <c r="R688" s="14" t="n"/>
      <c r="S688" s="16" t="n"/>
      <c r="T688" s="125" t="n"/>
      <c r="U688" s="14" t="n"/>
      <c r="V688" s="16" t="n"/>
      <c r="W688" s="125" t="n"/>
      <c r="X688" s="14" t="n"/>
      <c r="Y688" s="16" t="n"/>
      <c r="Z688" s="125" t="n"/>
      <c r="AA688" s="14" t="n"/>
      <c r="AB688" s="16" t="n"/>
      <c r="AC688" s="125" t="n"/>
      <c r="AD688" s="14" t="n"/>
    </row>
    <row r="689">
      <c r="B689" s="59" t="n"/>
      <c r="C689" s="59" t="n"/>
      <c r="E689" s="16" t="n"/>
      <c r="F689" s="13" t="n"/>
      <c r="G689" s="16" t="n"/>
      <c r="H689" s="125" t="n"/>
      <c r="I689" s="14" t="n"/>
      <c r="J689" s="16" t="n"/>
      <c r="K689" s="125" t="n"/>
      <c r="L689" s="14" t="n"/>
      <c r="M689" s="16" t="n"/>
      <c r="N689" s="125" t="n"/>
      <c r="O689" s="14" t="n"/>
      <c r="P689" s="16" t="n"/>
      <c r="Q689" s="125" t="n"/>
      <c r="R689" s="14" t="n"/>
      <c r="S689" s="16" t="n"/>
      <c r="T689" s="125" t="n"/>
      <c r="U689" s="14" t="n"/>
      <c r="V689" s="16" t="n"/>
      <c r="W689" s="125" t="n"/>
      <c r="X689" s="14" t="n"/>
      <c r="Y689" s="16" t="n"/>
      <c r="Z689" s="125" t="n"/>
      <c r="AA689" s="14" t="n"/>
      <c r="AB689" s="16" t="n"/>
      <c r="AC689" s="125" t="n"/>
      <c r="AD689" s="14" t="n"/>
    </row>
    <row r="690">
      <c r="B690" s="59" t="n"/>
      <c r="C690" s="59" t="n"/>
      <c r="E690" s="16" t="n"/>
      <c r="F690" s="13" t="n"/>
      <c r="G690" s="16" t="n"/>
      <c r="H690" s="125" t="n"/>
      <c r="I690" s="14" t="n"/>
      <c r="J690" s="16" t="n"/>
      <c r="K690" s="125" t="n"/>
      <c r="L690" s="14" t="n"/>
      <c r="M690" s="16" t="n"/>
      <c r="N690" s="125" t="n"/>
      <c r="O690" s="14" t="n"/>
      <c r="P690" s="16" t="n"/>
      <c r="Q690" s="125" t="n"/>
      <c r="R690" s="14" t="n"/>
      <c r="S690" s="16" t="n"/>
      <c r="T690" s="125" t="n"/>
      <c r="U690" s="14" t="n"/>
      <c r="V690" s="16" t="n"/>
      <c r="W690" s="125" t="n"/>
      <c r="X690" s="14" t="n"/>
      <c r="Y690" s="16" t="n"/>
      <c r="Z690" s="125" t="n"/>
      <c r="AA690" s="14" t="n"/>
      <c r="AB690" s="16" t="n"/>
      <c r="AC690" s="125" t="n"/>
      <c r="AD690" s="14" t="n"/>
    </row>
    <row r="691">
      <c r="B691" s="59" t="n"/>
      <c r="C691" s="59" t="n"/>
      <c r="E691" s="16" t="n"/>
      <c r="F691" s="13" t="n"/>
      <c r="G691" s="16" t="n"/>
      <c r="H691" s="125" t="n"/>
      <c r="I691" s="14" t="n"/>
      <c r="J691" s="16" t="n"/>
      <c r="K691" s="125" t="n"/>
      <c r="L691" s="14" t="n"/>
      <c r="M691" s="16" t="n"/>
      <c r="N691" s="125" t="n"/>
      <c r="O691" s="14" t="n"/>
      <c r="P691" s="16" t="n"/>
      <c r="Q691" s="125" t="n"/>
      <c r="R691" s="14" t="n"/>
      <c r="S691" s="16" t="n"/>
      <c r="T691" s="125" t="n"/>
      <c r="U691" s="14" t="n"/>
      <c r="V691" s="16" t="n"/>
      <c r="W691" s="125" t="n"/>
      <c r="X691" s="14" t="n"/>
      <c r="Y691" s="16" t="n"/>
      <c r="Z691" s="125" t="n"/>
      <c r="AA691" s="14" t="n"/>
      <c r="AB691" s="16" t="n"/>
      <c r="AC691" s="125" t="n"/>
      <c r="AD691" s="14" t="n"/>
    </row>
    <row r="692">
      <c r="B692" s="59" t="n"/>
      <c r="C692" s="59" t="n"/>
      <c r="E692" s="16" t="n"/>
      <c r="F692" s="13" t="n"/>
      <c r="G692" s="16" t="n"/>
      <c r="H692" s="125" t="n"/>
      <c r="I692" s="14" t="n"/>
      <c r="J692" s="16" t="n"/>
      <c r="K692" s="125" t="n"/>
      <c r="L692" s="14" t="n"/>
      <c r="M692" s="16" t="n"/>
      <c r="N692" s="125" t="n"/>
      <c r="O692" s="14" t="n"/>
      <c r="P692" s="16" t="n"/>
      <c r="Q692" s="125" t="n"/>
      <c r="R692" s="14" t="n"/>
      <c r="S692" s="16" t="n"/>
      <c r="T692" s="125" t="n"/>
      <c r="U692" s="14" t="n"/>
      <c r="V692" s="16" t="n"/>
      <c r="W692" s="125" t="n"/>
      <c r="X692" s="14" t="n"/>
      <c r="Y692" s="16" t="n"/>
      <c r="Z692" s="125" t="n"/>
      <c r="AA692" s="14" t="n"/>
      <c r="AB692" s="16" t="n"/>
      <c r="AC692" s="125" t="n"/>
      <c r="AD692" s="14" t="n"/>
    </row>
    <row r="693">
      <c r="B693" s="59" t="n"/>
      <c r="C693" s="59" t="n"/>
      <c r="E693" s="16" t="n"/>
      <c r="F693" s="13" t="n"/>
      <c r="G693" s="16" t="n"/>
      <c r="H693" s="125" t="n"/>
      <c r="I693" s="14" t="n"/>
      <c r="J693" s="16" t="n"/>
      <c r="K693" s="125" t="n"/>
      <c r="L693" s="14" t="n"/>
      <c r="M693" s="16" t="n"/>
      <c r="N693" s="125" t="n"/>
      <c r="O693" s="14" t="n"/>
      <c r="P693" s="16" t="n"/>
      <c r="Q693" s="125" t="n"/>
      <c r="R693" s="14" t="n"/>
      <c r="S693" s="16" t="n"/>
      <c r="T693" s="125" t="n"/>
      <c r="U693" s="14" t="n"/>
      <c r="V693" s="16" t="n"/>
      <c r="W693" s="125" t="n"/>
      <c r="X693" s="14" t="n"/>
      <c r="Y693" s="16" t="n"/>
      <c r="Z693" s="125" t="n"/>
      <c r="AA693" s="14" t="n"/>
      <c r="AB693" s="16" t="n"/>
      <c r="AC693" s="125" t="n"/>
      <c r="AD693" s="14" t="n"/>
    </row>
    <row r="694">
      <c r="B694" s="59" t="n"/>
      <c r="C694" s="59" t="n"/>
      <c r="E694" s="16" t="n"/>
      <c r="F694" s="13" t="n"/>
      <c r="G694" s="16" t="n"/>
      <c r="H694" s="125" t="n"/>
      <c r="I694" s="14" t="n"/>
      <c r="J694" s="16" t="n"/>
      <c r="K694" s="125" t="n"/>
      <c r="L694" s="14" t="n"/>
      <c r="M694" s="16" t="n"/>
      <c r="N694" s="125" t="n"/>
      <c r="O694" s="14" t="n"/>
      <c r="P694" s="16" t="n"/>
      <c r="Q694" s="125" t="n"/>
      <c r="R694" s="14" t="n"/>
      <c r="S694" s="16" t="n"/>
      <c r="T694" s="125" t="n"/>
      <c r="U694" s="14" t="n"/>
      <c r="V694" s="16" t="n"/>
      <c r="W694" s="125" t="n"/>
      <c r="X694" s="14" t="n"/>
      <c r="Y694" s="16" t="n"/>
      <c r="Z694" s="125" t="n"/>
      <c r="AA694" s="14" t="n"/>
      <c r="AB694" s="16" t="n"/>
      <c r="AC694" s="125" t="n"/>
      <c r="AD694" s="14" t="n"/>
    </row>
    <row r="695">
      <c r="B695" s="59" t="n"/>
      <c r="C695" s="59" t="n"/>
      <c r="E695" s="16" t="n"/>
      <c r="F695" s="13" t="n"/>
      <c r="G695" s="16" t="n"/>
      <c r="H695" s="125" t="n"/>
      <c r="I695" s="14" t="n"/>
      <c r="J695" s="16" t="n"/>
      <c r="K695" s="125" t="n"/>
      <c r="L695" s="14" t="n"/>
      <c r="M695" s="16" t="n"/>
      <c r="N695" s="125" t="n"/>
      <c r="O695" s="14" t="n"/>
      <c r="P695" s="16" t="n"/>
      <c r="Q695" s="125" t="n"/>
      <c r="R695" s="14" t="n"/>
      <c r="S695" s="16" t="n"/>
      <c r="T695" s="125" t="n"/>
      <c r="U695" s="14" t="n"/>
      <c r="V695" s="16" t="n"/>
      <c r="W695" s="125" t="n"/>
      <c r="X695" s="14" t="n"/>
      <c r="Y695" s="16" t="n"/>
      <c r="Z695" s="125" t="n"/>
      <c r="AA695" s="14" t="n"/>
      <c r="AB695" s="16" t="n"/>
      <c r="AC695" s="125" t="n"/>
      <c r="AD695" s="14" t="n"/>
    </row>
    <row r="696">
      <c r="B696" s="59" t="n"/>
      <c r="C696" s="59" t="n"/>
      <c r="E696" s="16" t="n"/>
      <c r="F696" s="13" t="n"/>
      <c r="G696" s="16" t="n"/>
      <c r="H696" s="125" t="n"/>
      <c r="I696" s="14" t="n"/>
      <c r="J696" s="16" t="n"/>
      <c r="K696" s="125" t="n"/>
      <c r="L696" s="14" t="n"/>
      <c r="M696" s="16" t="n"/>
      <c r="N696" s="125" t="n"/>
      <c r="O696" s="14" t="n"/>
      <c r="P696" s="16" t="n"/>
      <c r="Q696" s="125" t="n"/>
      <c r="R696" s="14" t="n"/>
      <c r="S696" s="16" t="n"/>
      <c r="T696" s="125" t="n"/>
      <c r="U696" s="14" t="n"/>
      <c r="V696" s="16" t="n"/>
      <c r="W696" s="125" t="n"/>
      <c r="X696" s="14" t="n"/>
      <c r="Y696" s="16" t="n"/>
      <c r="Z696" s="125" t="n"/>
      <c r="AA696" s="14" t="n"/>
      <c r="AB696" s="16" t="n"/>
      <c r="AC696" s="125" t="n"/>
      <c r="AD696" s="14" t="n"/>
    </row>
    <row r="697">
      <c r="B697" s="59" t="n"/>
      <c r="C697" s="59" t="n"/>
      <c r="E697" s="16" t="n"/>
      <c r="F697" s="13" t="n"/>
      <c r="G697" s="16" t="n"/>
      <c r="H697" s="125" t="n"/>
      <c r="I697" s="14" t="n"/>
      <c r="J697" s="16" t="n"/>
      <c r="K697" s="125" t="n"/>
      <c r="L697" s="14" t="n"/>
      <c r="M697" s="16" t="n"/>
      <c r="N697" s="125" t="n"/>
      <c r="O697" s="14" t="n"/>
      <c r="P697" s="16" t="n"/>
      <c r="Q697" s="125" t="n"/>
      <c r="R697" s="14" t="n"/>
      <c r="S697" s="16" t="n"/>
      <c r="T697" s="125" t="n"/>
      <c r="U697" s="14" t="n"/>
      <c r="V697" s="16" t="n"/>
      <c r="W697" s="125" t="n"/>
      <c r="X697" s="14" t="n"/>
      <c r="Y697" s="16" t="n"/>
      <c r="Z697" s="125" t="n"/>
      <c r="AA697" s="14" t="n"/>
      <c r="AB697" s="16" t="n"/>
      <c r="AC697" s="125" t="n"/>
      <c r="AD697" s="14" t="n"/>
    </row>
    <row r="698">
      <c r="B698" s="59" t="n"/>
      <c r="C698" s="59" t="n"/>
      <c r="E698" s="16" t="n"/>
      <c r="F698" s="13" t="n"/>
      <c r="G698" s="16" t="n"/>
      <c r="H698" s="125" t="n"/>
      <c r="I698" s="14" t="n"/>
      <c r="J698" s="16" t="n"/>
      <c r="K698" s="125" t="n"/>
      <c r="L698" s="14" t="n"/>
      <c r="M698" s="16" t="n"/>
      <c r="N698" s="125" t="n"/>
      <c r="O698" s="14" t="n"/>
      <c r="P698" s="16" t="n"/>
      <c r="Q698" s="125" t="n"/>
      <c r="R698" s="14" t="n"/>
      <c r="S698" s="16" t="n"/>
      <c r="T698" s="125" t="n"/>
      <c r="U698" s="14" t="n"/>
      <c r="V698" s="16" t="n"/>
      <c r="W698" s="125" t="n"/>
      <c r="X698" s="14" t="n"/>
      <c r="Y698" s="16" t="n"/>
      <c r="Z698" s="125" t="n"/>
      <c r="AA698" s="14" t="n"/>
      <c r="AB698" s="16" t="n"/>
      <c r="AC698" s="125" t="n"/>
      <c r="AD698" s="14" t="n"/>
    </row>
    <row r="699">
      <c r="B699" s="59" t="n"/>
      <c r="C699" s="59" t="n"/>
      <c r="E699" s="16" t="n"/>
      <c r="F699" s="13" t="n"/>
      <c r="G699" s="16" t="n"/>
      <c r="H699" s="125" t="n"/>
      <c r="I699" s="14" t="n"/>
      <c r="J699" s="16" t="n"/>
      <c r="K699" s="125" t="n"/>
      <c r="L699" s="14" t="n"/>
      <c r="M699" s="16" t="n"/>
      <c r="N699" s="125" t="n"/>
      <c r="O699" s="14" t="n"/>
      <c r="P699" s="16" t="n"/>
      <c r="Q699" s="125" t="n"/>
      <c r="R699" s="14" t="n"/>
      <c r="S699" s="16" t="n"/>
      <c r="T699" s="125" t="n"/>
      <c r="U699" s="14" t="n"/>
      <c r="V699" s="16" t="n"/>
      <c r="W699" s="125" t="n"/>
      <c r="X699" s="14" t="n"/>
      <c r="Y699" s="16" t="n"/>
      <c r="Z699" s="125" t="n"/>
      <c r="AA699" s="14" t="n"/>
      <c r="AB699" s="16" t="n"/>
      <c r="AC699" s="125" t="n"/>
      <c r="AD699" s="14" t="n"/>
    </row>
    <row r="700">
      <c r="B700" s="59" t="n"/>
      <c r="C700" s="59" t="n"/>
      <c r="E700" s="16" t="n"/>
      <c r="F700" s="13" t="n"/>
      <c r="G700" s="16" t="n"/>
      <c r="H700" s="125" t="n"/>
      <c r="I700" s="14" t="n"/>
      <c r="J700" s="16" t="n"/>
      <c r="K700" s="125" t="n"/>
      <c r="L700" s="14" t="n"/>
      <c r="M700" s="16" t="n"/>
      <c r="N700" s="125" t="n"/>
      <c r="O700" s="14" t="n"/>
      <c r="P700" s="16" t="n"/>
      <c r="Q700" s="125" t="n"/>
      <c r="R700" s="14" t="n"/>
      <c r="S700" s="16" t="n"/>
      <c r="T700" s="125" t="n"/>
      <c r="U700" s="14" t="n"/>
      <c r="V700" s="16" t="n"/>
      <c r="W700" s="125" t="n"/>
      <c r="X700" s="14" t="n"/>
      <c r="Y700" s="16" t="n"/>
      <c r="Z700" s="125" t="n"/>
      <c r="AA700" s="14" t="n"/>
      <c r="AB700" s="16" t="n"/>
      <c r="AC700" s="125" t="n"/>
      <c r="AD700" s="14" t="n"/>
    </row>
    <row r="701">
      <c r="B701" s="59" t="n"/>
      <c r="C701" s="59" t="n"/>
      <c r="E701" s="16" t="n"/>
      <c r="F701" s="13" t="n"/>
      <c r="G701" s="16" t="n"/>
      <c r="H701" s="125" t="n"/>
      <c r="I701" s="14" t="n"/>
      <c r="J701" s="16" t="n"/>
      <c r="K701" s="125" t="n"/>
      <c r="L701" s="14" t="n"/>
      <c r="M701" s="16" t="n"/>
      <c r="N701" s="125" t="n"/>
      <c r="O701" s="14" t="n"/>
      <c r="P701" s="16" t="n"/>
      <c r="Q701" s="125" t="n"/>
      <c r="R701" s="14" t="n"/>
      <c r="S701" s="16" t="n"/>
      <c r="T701" s="125" t="n"/>
      <c r="U701" s="14" t="n"/>
      <c r="V701" s="16" t="n"/>
      <c r="W701" s="125" t="n"/>
      <c r="X701" s="14" t="n"/>
      <c r="Y701" s="16" t="n"/>
      <c r="Z701" s="125" t="n"/>
      <c r="AA701" s="14" t="n"/>
      <c r="AB701" s="16" t="n"/>
      <c r="AC701" s="125" t="n"/>
      <c r="AD701" s="14" t="n"/>
    </row>
    <row r="702">
      <c r="B702" s="59" t="n"/>
      <c r="C702" s="59" t="n"/>
      <c r="E702" s="16" t="n"/>
      <c r="F702" s="13" t="n"/>
      <c r="G702" s="16" t="n"/>
      <c r="H702" s="125" t="n"/>
      <c r="I702" s="14" t="n"/>
      <c r="J702" s="16" t="n"/>
      <c r="K702" s="125" t="n"/>
      <c r="L702" s="14" t="n"/>
      <c r="M702" s="16" t="n"/>
      <c r="N702" s="125" t="n"/>
      <c r="O702" s="14" t="n"/>
      <c r="P702" s="16" t="n"/>
      <c r="Q702" s="125" t="n"/>
      <c r="R702" s="14" t="n"/>
      <c r="S702" s="16" t="n"/>
      <c r="T702" s="125" t="n"/>
      <c r="U702" s="14" t="n"/>
      <c r="V702" s="16" t="n"/>
      <c r="W702" s="125" t="n"/>
      <c r="X702" s="14" t="n"/>
      <c r="Y702" s="16" t="n"/>
      <c r="Z702" s="125" t="n"/>
      <c r="AA702" s="14" t="n"/>
      <c r="AB702" s="16" t="n"/>
      <c r="AC702" s="125" t="n"/>
      <c r="AD702" s="14" t="n"/>
    </row>
    <row r="703">
      <c r="B703" s="59" t="n"/>
      <c r="C703" s="59" t="n"/>
      <c r="E703" s="16" t="n"/>
      <c r="F703" s="13" t="n"/>
      <c r="G703" s="16" t="n"/>
      <c r="H703" s="125" t="n"/>
      <c r="I703" s="14" t="n"/>
      <c r="J703" s="16" t="n"/>
      <c r="K703" s="125" t="n"/>
      <c r="L703" s="14" t="n"/>
      <c r="M703" s="16" t="n"/>
      <c r="N703" s="125" t="n"/>
      <c r="O703" s="14" t="n"/>
      <c r="P703" s="16" t="n"/>
      <c r="Q703" s="125" t="n"/>
      <c r="R703" s="14" t="n"/>
      <c r="S703" s="16" t="n"/>
      <c r="T703" s="125" t="n"/>
      <c r="U703" s="14" t="n"/>
      <c r="V703" s="16" t="n"/>
      <c r="W703" s="125" t="n"/>
      <c r="X703" s="14" t="n"/>
      <c r="Y703" s="16" t="n"/>
      <c r="Z703" s="125" t="n"/>
      <c r="AA703" s="14" t="n"/>
      <c r="AB703" s="16" t="n"/>
      <c r="AC703" s="125" t="n"/>
      <c r="AD703" s="14" t="n"/>
    </row>
    <row r="704">
      <c r="B704" s="59" t="n"/>
      <c r="C704" s="59" t="n"/>
      <c r="E704" s="16" t="n"/>
      <c r="F704" s="13" t="n"/>
      <c r="G704" s="16" t="n"/>
      <c r="H704" s="125" t="n"/>
      <c r="I704" s="14" t="n"/>
      <c r="J704" s="16" t="n"/>
      <c r="K704" s="125" t="n"/>
      <c r="L704" s="14" t="n"/>
      <c r="M704" s="16" t="n"/>
      <c r="N704" s="125" t="n"/>
      <c r="O704" s="14" t="n"/>
      <c r="P704" s="16" t="n"/>
      <c r="Q704" s="125" t="n"/>
      <c r="R704" s="14" t="n"/>
      <c r="S704" s="16" t="n"/>
      <c r="T704" s="125" t="n"/>
      <c r="U704" s="14" t="n"/>
      <c r="V704" s="16" t="n"/>
      <c r="W704" s="125" t="n"/>
      <c r="X704" s="14" t="n"/>
      <c r="Y704" s="16" t="n"/>
      <c r="Z704" s="125" t="n"/>
      <c r="AA704" s="14" t="n"/>
      <c r="AB704" s="16" t="n"/>
      <c r="AC704" s="125" t="n"/>
      <c r="AD704" s="14" t="n"/>
    </row>
    <row r="705">
      <c r="B705" s="59" t="n"/>
      <c r="C705" s="59" t="n"/>
      <c r="E705" s="16" t="n"/>
      <c r="F705" s="13" t="n"/>
      <c r="G705" s="16" t="n"/>
      <c r="H705" s="125" t="n"/>
      <c r="I705" s="14" t="n"/>
      <c r="J705" s="16" t="n"/>
      <c r="K705" s="125" t="n"/>
      <c r="L705" s="14" t="n"/>
      <c r="M705" s="16" t="n"/>
      <c r="N705" s="125" t="n"/>
      <c r="O705" s="14" t="n"/>
      <c r="P705" s="16" t="n"/>
      <c r="Q705" s="125" t="n"/>
      <c r="R705" s="14" t="n"/>
      <c r="S705" s="16" t="n"/>
      <c r="T705" s="125" t="n"/>
      <c r="U705" s="14" t="n"/>
      <c r="V705" s="16" t="n"/>
      <c r="W705" s="125" t="n"/>
      <c r="X705" s="14" t="n"/>
      <c r="Y705" s="16" t="n"/>
      <c r="Z705" s="125" t="n"/>
      <c r="AA705" s="14" t="n"/>
      <c r="AB705" s="16" t="n"/>
      <c r="AC705" s="125" t="n"/>
      <c r="AD705" s="14" t="n"/>
    </row>
    <row r="706">
      <c r="B706" s="59" t="n"/>
      <c r="C706" s="59" t="n"/>
      <c r="E706" s="16" t="n"/>
      <c r="F706" s="13" t="n"/>
      <c r="G706" s="16" t="n"/>
      <c r="H706" s="125" t="n"/>
      <c r="I706" s="14" t="n"/>
      <c r="J706" s="16" t="n"/>
      <c r="K706" s="125" t="n"/>
      <c r="L706" s="14" t="n"/>
      <c r="M706" s="16" t="n"/>
      <c r="N706" s="125" t="n"/>
      <c r="O706" s="14" t="n"/>
      <c r="P706" s="16" t="n"/>
      <c r="Q706" s="125" t="n"/>
      <c r="R706" s="14" t="n"/>
      <c r="S706" s="16" t="n"/>
      <c r="T706" s="125" t="n"/>
      <c r="U706" s="14" t="n"/>
      <c r="V706" s="16" t="n"/>
      <c r="W706" s="125" t="n"/>
      <c r="X706" s="14" t="n"/>
      <c r="Y706" s="16" t="n"/>
      <c r="Z706" s="125" t="n"/>
      <c r="AA706" s="14" t="n"/>
      <c r="AB706" s="16" t="n"/>
      <c r="AC706" s="125" t="n"/>
      <c r="AD706" s="14" t="n"/>
    </row>
    <row r="707">
      <c r="B707" s="59" t="n"/>
      <c r="C707" s="59" t="n"/>
      <c r="E707" s="16" t="n"/>
      <c r="F707" s="13" t="n"/>
      <c r="G707" s="16" t="n"/>
      <c r="H707" s="125" t="n"/>
      <c r="I707" s="14" t="n"/>
      <c r="J707" s="16" t="n"/>
      <c r="K707" s="125" t="n"/>
      <c r="L707" s="14" t="n"/>
      <c r="M707" s="16" t="n"/>
      <c r="N707" s="125" t="n"/>
      <c r="O707" s="14" t="n"/>
      <c r="P707" s="16" t="n"/>
      <c r="Q707" s="125" t="n"/>
      <c r="R707" s="14" t="n"/>
      <c r="S707" s="16" t="n"/>
      <c r="T707" s="125" t="n"/>
      <c r="U707" s="14" t="n"/>
      <c r="V707" s="16" t="n"/>
      <c r="W707" s="125" t="n"/>
      <c r="X707" s="14" t="n"/>
      <c r="Y707" s="16" t="n"/>
      <c r="Z707" s="125" t="n"/>
      <c r="AA707" s="14" t="n"/>
      <c r="AB707" s="16" t="n"/>
      <c r="AC707" s="125" t="n"/>
      <c r="AD707" s="14" t="n"/>
    </row>
    <row r="708">
      <c r="B708" s="59" t="n"/>
      <c r="C708" s="59" t="n"/>
      <c r="E708" s="16" t="n"/>
      <c r="F708" s="13" t="n"/>
      <c r="G708" s="16" t="n"/>
      <c r="H708" s="125" t="n"/>
      <c r="I708" s="14" t="n"/>
      <c r="J708" s="16" t="n"/>
      <c r="K708" s="125" t="n"/>
      <c r="L708" s="14" t="n"/>
      <c r="M708" s="16" t="n"/>
      <c r="N708" s="125" t="n"/>
      <c r="O708" s="14" t="n"/>
      <c r="P708" s="16" t="n"/>
      <c r="Q708" s="125" t="n"/>
      <c r="R708" s="14" t="n"/>
      <c r="S708" s="16" t="n"/>
      <c r="T708" s="125" t="n"/>
      <c r="U708" s="14" t="n"/>
      <c r="V708" s="16" t="n"/>
      <c r="W708" s="125" t="n"/>
      <c r="X708" s="14" t="n"/>
      <c r="Y708" s="16" t="n"/>
      <c r="Z708" s="125" t="n"/>
      <c r="AA708" s="14" t="n"/>
      <c r="AB708" s="16" t="n"/>
      <c r="AC708" s="125" t="n"/>
      <c r="AD708" s="14" t="n"/>
    </row>
    <row r="709">
      <c r="B709" s="59" t="n"/>
      <c r="C709" s="59" t="n"/>
      <c r="E709" s="16" t="n"/>
      <c r="F709" s="13" t="n"/>
      <c r="G709" s="16" t="n"/>
      <c r="H709" s="125" t="n"/>
      <c r="I709" s="14" t="n"/>
      <c r="J709" s="16" t="n"/>
      <c r="K709" s="125" t="n"/>
      <c r="L709" s="14" t="n"/>
      <c r="M709" s="16" t="n"/>
      <c r="N709" s="125" t="n"/>
      <c r="O709" s="14" t="n"/>
      <c r="P709" s="16" t="n"/>
      <c r="Q709" s="125" t="n"/>
      <c r="R709" s="14" t="n"/>
      <c r="S709" s="16" t="n"/>
      <c r="T709" s="125" t="n"/>
      <c r="U709" s="14" t="n"/>
      <c r="V709" s="16" t="n"/>
      <c r="W709" s="125" t="n"/>
      <c r="X709" s="14" t="n"/>
      <c r="Y709" s="16" t="n"/>
      <c r="Z709" s="125" t="n"/>
      <c r="AA709" s="14" t="n"/>
      <c r="AB709" s="16" t="n"/>
      <c r="AC709" s="125" t="n"/>
      <c r="AD709" s="14" t="n"/>
    </row>
    <row r="710">
      <c r="B710" s="59" t="n"/>
      <c r="C710" s="59" t="n"/>
      <c r="E710" s="16" t="n"/>
      <c r="F710" s="13" t="n"/>
      <c r="G710" s="16" t="n"/>
      <c r="H710" s="125" t="n"/>
      <c r="I710" s="14" t="n"/>
      <c r="J710" s="16" t="n"/>
      <c r="K710" s="125" t="n"/>
      <c r="L710" s="14" t="n"/>
      <c r="M710" s="16" t="n"/>
      <c r="N710" s="125" t="n"/>
      <c r="O710" s="14" t="n"/>
      <c r="P710" s="16" t="n"/>
      <c r="Q710" s="125" t="n"/>
      <c r="R710" s="14" t="n"/>
      <c r="S710" s="16" t="n"/>
      <c r="T710" s="125" t="n"/>
      <c r="U710" s="14" t="n"/>
      <c r="V710" s="16" t="n"/>
      <c r="W710" s="125" t="n"/>
      <c r="X710" s="14" t="n"/>
      <c r="Y710" s="16" t="n"/>
      <c r="Z710" s="125" t="n"/>
      <c r="AA710" s="14" t="n"/>
      <c r="AB710" s="16" t="n"/>
      <c r="AC710" s="125" t="n"/>
      <c r="AD710" s="14" t="n"/>
    </row>
    <row r="711">
      <c r="B711" s="59" t="n"/>
      <c r="C711" s="59" t="n"/>
      <c r="E711" s="16" t="n"/>
      <c r="F711" s="13" t="n"/>
      <c r="G711" s="16" t="n"/>
      <c r="H711" s="125" t="n"/>
      <c r="I711" s="14" t="n"/>
      <c r="J711" s="16" t="n"/>
      <c r="K711" s="125" t="n"/>
      <c r="L711" s="14" t="n"/>
      <c r="M711" s="16" t="n"/>
      <c r="N711" s="125" t="n"/>
      <c r="O711" s="14" t="n"/>
      <c r="P711" s="16" t="n"/>
      <c r="Q711" s="125" t="n"/>
      <c r="R711" s="14" t="n"/>
      <c r="S711" s="16" t="n"/>
      <c r="T711" s="125" t="n"/>
      <c r="U711" s="14" t="n"/>
      <c r="V711" s="16" t="n"/>
      <c r="W711" s="125" t="n"/>
      <c r="X711" s="14" t="n"/>
      <c r="Y711" s="16" t="n"/>
      <c r="Z711" s="125" t="n"/>
      <c r="AA711" s="14" t="n"/>
      <c r="AB711" s="16" t="n"/>
      <c r="AC711" s="125" t="n"/>
      <c r="AD711" s="14" t="n"/>
    </row>
    <row r="712">
      <c r="B712" s="59" t="n"/>
      <c r="C712" s="59" t="n"/>
      <c r="E712" s="16" t="n"/>
      <c r="F712" s="13" t="n"/>
      <c r="G712" s="16" t="n"/>
      <c r="H712" s="125" t="n"/>
      <c r="I712" s="14" t="n"/>
      <c r="J712" s="16" t="n"/>
      <c r="K712" s="125" t="n"/>
      <c r="L712" s="14" t="n"/>
      <c r="M712" s="16" t="n"/>
      <c r="N712" s="125" t="n"/>
      <c r="O712" s="14" t="n"/>
      <c r="P712" s="16" t="n"/>
      <c r="Q712" s="125" t="n"/>
      <c r="R712" s="14" t="n"/>
      <c r="S712" s="16" t="n"/>
      <c r="T712" s="125" t="n"/>
      <c r="U712" s="14" t="n"/>
      <c r="V712" s="16" t="n"/>
      <c r="W712" s="125" t="n"/>
      <c r="X712" s="14" t="n"/>
      <c r="Y712" s="16" t="n"/>
      <c r="Z712" s="125" t="n"/>
      <c r="AA712" s="14" t="n"/>
      <c r="AB712" s="16" t="n"/>
      <c r="AC712" s="125" t="n"/>
      <c r="AD712" s="14" t="n"/>
    </row>
    <row r="713">
      <c r="B713" s="59" t="n"/>
      <c r="C713" s="59" t="n"/>
      <c r="E713" s="16" t="n"/>
      <c r="F713" s="13" t="n"/>
      <c r="G713" s="16" t="n"/>
      <c r="H713" s="125" t="n"/>
      <c r="I713" s="14" t="n"/>
      <c r="J713" s="16" t="n"/>
      <c r="K713" s="125" t="n"/>
      <c r="L713" s="14" t="n"/>
      <c r="M713" s="16" t="n"/>
      <c r="N713" s="125" t="n"/>
      <c r="O713" s="14" t="n"/>
      <c r="P713" s="16" t="n"/>
      <c r="Q713" s="125" t="n"/>
      <c r="R713" s="14" t="n"/>
      <c r="S713" s="16" t="n"/>
      <c r="T713" s="125" t="n"/>
      <c r="U713" s="14" t="n"/>
      <c r="V713" s="16" t="n"/>
      <c r="W713" s="125" t="n"/>
      <c r="X713" s="14" t="n"/>
      <c r="Y713" s="16" t="n"/>
      <c r="Z713" s="125" t="n"/>
      <c r="AA713" s="14" t="n"/>
      <c r="AB713" s="16" t="n"/>
      <c r="AC713" s="125" t="n"/>
      <c r="AD713" s="14" t="n"/>
    </row>
    <row r="714">
      <c r="B714" s="59" t="n"/>
      <c r="C714" s="59" t="n"/>
      <c r="E714" s="16" t="n"/>
      <c r="F714" s="13" t="n"/>
      <c r="G714" s="16" t="n"/>
      <c r="H714" s="125" t="n"/>
      <c r="I714" s="14" t="n"/>
      <c r="J714" s="16" t="n"/>
      <c r="K714" s="125" t="n"/>
      <c r="L714" s="14" t="n"/>
      <c r="M714" s="16" t="n"/>
      <c r="N714" s="125" t="n"/>
      <c r="O714" s="14" t="n"/>
      <c r="P714" s="16" t="n"/>
      <c r="Q714" s="125" t="n"/>
      <c r="R714" s="14" t="n"/>
      <c r="S714" s="16" t="n"/>
      <c r="T714" s="125" t="n"/>
      <c r="U714" s="14" t="n"/>
      <c r="V714" s="16" t="n"/>
      <c r="W714" s="125" t="n"/>
      <c r="X714" s="14" t="n"/>
      <c r="Y714" s="16" t="n"/>
      <c r="Z714" s="125" t="n"/>
      <c r="AA714" s="14" t="n"/>
      <c r="AB714" s="16" t="n"/>
      <c r="AC714" s="125" t="n"/>
      <c r="AD714" s="14" t="n"/>
    </row>
    <row r="715">
      <c r="B715" s="59" t="n"/>
      <c r="C715" s="59" t="n"/>
      <c r="E715" s="16" t="n"/>
      <c r="F715" s="13" t="n"/>
      <c r="G715" s="16" t="n"/>
      <c r="H715" s="125" t="n"/>
      <c r="I715" s="14" t="n"/>
      <c r="J715" s="16" t="n"/>
      <c r="K715" s="125" t="n"/>
      <c r="L715" s="14" t="n"/>
      <c r="M715" s="16" t="n"/>
      <c r="N715" s="125" t="n"/>
      <c r="O715" s="14" t="n"/>
      <c r="P715" s="16" t="n"/>
      <c r="Q715" s="125" t="n"/>
      <c r="R715" s="14" t="n"/>
      <c r="S715" s="16" t="n"/>
      <c r="T715" s="125" t="n"/>
      <c r="U715" s="14" t="n"/>
      <c r="V715" s="16" t="n"/>
      <c r="W715" s="125" t="n"/>
      <c r="X715" s="14" t="n"/>
      <c r="Y715" s="16" t="n"/>
      <c r="Z715" s="125" t="n"/>
      <c r="AA715" s="14" t="n"/>
      <c r="AB715" s="16" t="n"/>
      <c r="AC715" s="125" t="n"/>
      <c r="AD715" s="14" t="n"/>
    </row>
    <row r="716">
      <c r="B716" s="59" t="n"/>
      <c r="C716" s="59" t="n"/>
      <c r="E716" s="16" t="n"/>
      <c r="F716" s="13" t="n"/>
      <c r="G716" s="16" t="n"/>
      <c r="H716" s="125" t="n"/>
      <c r="I716" s="14" t="n"/>
      <c r="J716" s="16" t="n"/>
      <c r="K716" s="125" t="n"/>
      <c r="L716" s="14" t="n"/>
      <c r="M716" s="16" t="n"/>
      <c r="N716" s="125" t="n"/>
      <c r="O716" s="14" t="n"/>
      <c r="P716" s="16" t="n"/>
      <c r="Q716" s="125" t="n"/>
      <c r="R716" s="14" t="n"/>
      <c r="S716" s="16" t="n"/>
      <c r="T716" s="125" t="n"/>
      <c r="U716" s="14" t="n"/>
      <c r="V716" s="16" t="n"/>
      <c r="W716" s="125" t="n"/>
      <c r="X716" s="14" t="n"/>
      <c r="Y716" s="16" t="n"/>
      <c r="Z716" s="125" t="n"/>
      <c r="AA716" s="14" t="n"/>
      <c r="AB716" s="16" t="n"/>
      <c r="AC716" s="125" t="n"/>
      <c r="AD716" s="14" t="n"/>
    </row>
    <row r="717">
      <c r="B717" s="59" t="n"/>
      <c r="C717" s="59" t="n"/>
      <c r="E717" s="16" t="n"/>
      <c r="F717" s="13" t="n"/>
      <c r="G717" s="16" t="n"/>
      <c r="H717" s="125" t="n"/>
      <c r="I717" s="14" t="n"/>
      <c r="J717" s="16" t="n"/>
      <c r="K717" s="125" t="n"/>
      <c r="L717" s="14" t="n"/>
      <c r="M717" s="16" t="n"/>
      <c r="N717" s="125" t="n"/>
      <c r="O717" s="14" t="n"/>
      <c r="P717" s="16" t="n"/>
      <c r="Q717" s="125" t="n"/>
      <c r="R717" s="14" t="n"/>
      <c r="S717" s="16" t="n"/>
      <c r="T717" s="125" t="n"/>
      <c r="U717" s="14" t="n"/>
      <c r="V717" s="16" t="n"/>
      <c r="W717" s="125" t="n"/>
      <c r="X717" s="14" t="n"/>
      <c r="Y717" s="16" t="n"/>
      <c r="Z717" s="125" t="n"/>
      <c r="AA717" s="14" t="n"/>
      <c r="AB717" s="16" t="n"/>
      <c r="AC717" s="125" t="n"/>
      <c r="AD717" s="14" t="n"/>
    </row>
    <row r="718">
      <c r="B718" s="59" t="n"/>
      <c r="C718" s="59" t="n"/>
      <c r="E718" s="16" t="n"/>
      <c r="F718" s="13" t="n"/>
      <c r="G718" s="16" t="n"/>
      <c r="H718" s="125" t="n"/>
      <c r="I718" s="14" t="n"/>
      <c r="J718" s="16" t="n"/>
      <c r="K718" s="125" t="n"/>
      <c r="L718" s="14" t="n"/>
      <c r="M718" s="16" t="n"/>
      <c r="N718" s="125" t="n"/>
      <c r="O718" s="14" t="n"/>
      <c r="P718" s="16" t="n"/>
      <c r="Q718" s="125" t="n"/>
      <c r="R718" s="14" t="n"/>
      <c r="S718" s="16" t="n"/>
      <c r="T718" s="125" t="n"/>
      <c r="U718" s="14" t="n"/>
      <c r="V718" s="16" t="n"/>
      <c r="W718" s="125" t="n"/>
      <c r="X718" s="14" t="n"/>
      <c r="Y718" s="16" t="n"/>
      <c r="Z718" s="125" t="n"/>
      <c r="AA718" s="14" t="n"/>
      <c r="AB718" s="16" t="n"/>
      <c r="AC718" s="125" t="n"/>
      <c r="AD718" s="14" t="n"/>
    </row>
    <row r="719">
      <c r="B719" s="59" t="n"/>
      <c r="C719" s="59" t="n"/>
      <c r="E719" s="16" t="n"/>
      <c r="F719" s="13" t="n"/>
      <c r="G719" s="16" t="n"/>
      <c r="H719" s="125" t="n"/>
      <c r="I719" s="14" t="n"/>
      <c r="J719" s="16" t="n"/>
      <c r="K719" s="125" t="n"/>
      <c r="L719" s="14" t="n"/>
      <c r="M719" s="16" t="n"/>
      <c r="N719" s="125" t="n"/>
      <c r="O719" s="14" t="n"/>
      <c r="P719" s="16" t="n"/>
      <c r="Q719" s="125" t="n"/>
      <c r="R719" s="14" t="n"/>
      <c r="S719" s="16" t="n"/>
      <c r="T719" s="125" t="n"/>
      <c r="U719" s="14" t="n"/>
      <c r="V719" s="16" t="n"/>
      <c r="W719" s="125" t="n"/>
      <c r="X719" s="14" t="n"/>
      <c r="Y719" s="16" t="n"/>
      <c r="Z719" s="125" t="n"/>
      <c r="AA719" s="14" t="n"/>
      <c r="AB719" s="16" t="n"/>
      <c r="AC719" s="125" t="n"/>
      <c r="AD719" s="14" t="n"/>
    </row>
    <row r="720">
      <c r="B720" s="59" t="n"/>
      <c r="C720" s="59" t="n"/>
      <c r="E720" s="16" t="n"/>
      <c r="F720" s="13" t="n"/>
      <c r="G720" s="16" t="n"/>
      <c r="H720" s="125" t="n"/>
      <c r="I720" s="14" t="n"/>
      <c r="J720" s="16" t="n"/>
      <c r="K720" s="125" t="n"/>
      <c r="L720" s="14" t="n"/>
      <c r="M720" s="16" t="n"/>
      <c r="N720" s="125" t="n"/>
      <c r="O720" s="14" t="n"/>
      <c r="P720" s="16" t="n"/>
      <c r="Q720" s="125" t="n"/>
      <c r="R720" s="14" t="n"/>
      <c r="S720" s="16" t="n"/>
      <c r="T720" s="125" t="n"/>
      <c r="U720" s="14" t="n"/>
      <c r="V720" s="16" t="n"/>
      <c r="W720" s="125" t="n"/>
      <c r="X720" s="14" t="n"/>
      <c r="Y720" s="16" t="n"/>
      <c r="Z720" s="125" t="n"/>
      <c r="AA720" s="14" t="n"/>
      <c r="AB720" s="16" t="n"/>
      <c r="AC720" s="125" t="n"/>
      <c r="AD720" s="14" t="n"/>
    </row>
    <row r="721">
      <c r="B721" s="59" t="n"/>
      <c r="C721" s="59" t="n"/>
      <c r="E721" s="16" t="n"/>
      <c r="F721" s="13" t="n"/>
      <c r="G721" s="16" t="n"/>
      <c r="H721" s="125" t="n"/>
      <c r="I721" s="14" t="n"/>
      <c r="J721" s="16" t="n"/>
      <c r="K721" s="125" t="n"/>
      <c r="L721" s="14" t="n"/>
      <c r="M721" s="16" t="n"/>
      <c r="N721" s="125" t="n"/>
      <c r="O721" s="14" t="n"/>
      <c r="P721" s="16" t="n"/>
      <c r="Q721" s="125" t="n"/>
      <c r="R721" s="14" t="n"/>
      <c r="S721" s="16" t="n"/>
      <c r="T721" s="125" t="n"/>
      <c r="U721" s="14" t="n"/>
      <c r="V721" s="16" t="n"/>
      <c r="W721" s="125" t="n"/>
      <c r="X721" s="14" t="n"/>
      <c r="Y721" s="16" t="n"/>
      <c r="Z721" s="125" t="n"/>
      <c r="AA721" s="14" t="n"/>
      <c r="AB721" s="16" t="n"/>
      <c r="AC721" s="125" t="n"/>
      <c r="AD721" s="14" t="n"/>
    </row>
    <row r="722">
      <c r="B722" s="59" t="n"/>
      <c r="C722" s="59" t="n"/>
      <c r="E722" s="16" t="n"/>
      <c r="F722" s="13" t="n"/>
      <c r="G722" s="16" t="n"/>
      <c r="H722" s="125" t="n"/>
      <c r="I722" s="14" t="n"/>
      <c r="J722" s="16" t="n"/>
      <c r="K722" s="125" t="n"/>
      <c r="L722" s="14" t="n"/>
      <c r="M722" s="16" t="n"/>
      <c r="N722" s="125" t="n"/>
      <c r="O722" s="14" t="n"/>
      <c r="P722" s="16" t="n"/>
      <c r="Q722" s="125" t="n"/>
      <c r="R722" s="14" t="n"/>
      <c r="S722" s="16" t="n"/>
      <c r="T722" s="125" t="n"/>
      <c r="U722" s="14" t="n"/>
      <c r="V722" s="16" t="n"/>
      <c r="W722" s="125" t="n"/>
      <c r="X722" s="14" t="n"/>
      <c r="Y722" s="16" t="n"/>
      <c r="Z722" s="125" t="n"/>
      <c r="AA722" s="14" t="n"/>
      <c r="AB722" s="16" t="n"/>
      <c r="AC722" s="125" t="n"/>
      <c r="AD722" s="14" t="n"/>
    </row>
    <row r="723">
      <c r="B723" s="59" t="n"/>
      <c r="C723" s="59" t="n"/>
      <c r="E723" s="16" t="n"/>
      <c r="F723" s="13" t="n"/>
      <c r="G723" s="16" t="n"/>
      <c r="H723" s="125" t="n"/>
      <c r="I723" s="14" t="n"/>
      <c r="J723" s="16" t="n"/>
      <c r="K723" s="125" t="n"/>
      <c r="L723" s="14" t="n"/>
      <c r="M723" s="16" t="n"/>
      <c r="N723" s="125" t="n"/>
      <c r="O723" s="14" t="n"/>
      <c r="P723" s="16" t="n"/>
      <c r="Q723" s="125" t="n"/>
      <c r="R723" s="14" t="n"/>
      <c r="S723" s="16" t="n"/>
      <c r="T723" s="125" t="n"/>
      <c r="U723" s="14" t="n"/>
      <c r="V723" s="16" t="n"/>
      <c r="W723" s="125" t="n"/>
      <c r="X723" s="14" t="n"/>
      <c r="Y723" s="16" t="n"/>
      <c r="Z723" s="125" t="n"/>
      <c r="AA723" s="14" t="n"/>
      <c r="AB723" s="16" t="n"/>
      <c r="AC723" s="125" t="n"/>
      <c r="AD723" s="14" t="n"/>
    </row>
    <row r="724">
      <c r="B724" s="59" t="n"/>
      <c r="C724" s="59" t="n"/>
      <c r="E724" s="16" t="n"/>
      <c r="F724" s="13" t="n"/>
      <c r="G724" s="16" t="n"/>
      <c r="H724" s="125" t="n"/>
      <c r="I724" s="14" t="n"/>
      <c r="J724" s="16" t="n"/>
      <c r="K724" s="125" t="n"/>
      <c r="L724" s="14" t="n"/>
      <c r="M724" s="16" t="n"/>
      <c r="N724" s="125" t="n"/>
      <c r="O724" s="14" t="n"/>
      <c r="P724" s="16" t="n"/>
      <c r="Q724" s="125" t="n"/>
      <c r="R724" s="14" t="n"/>
      <c r="S724" s="16" t="n"/>
      <c r="T724" s="125" t="n"/>
      <c r="U724" s="14" t="n"/>
      <c r="V724" s="16" t="n"/>
      <c r="W724" s="125" t="n"/>
      <c r="X724" s="14" t="n"/>
      <c r="Y724" s="16" t="n"/>
      <c r="Z724" s="125" t="n"/>
      <c r="AA724" s="14" t="n"/>
      <c r="AB724" s="16" t="n"/>
      <c r="AC724" s="125" t="n"/>
      <c r="AD724" s="14" t="n"/>
    </row>
    <row r="725">
      <c r="B725" s="59" t="n"/>
      <c r="C725" s="59" t="n"/>
      <c r="E725" s="16" t="n"/>
      <c r="F725" s="13" t="n"/>
      <c r="G725" s="16" t="n"/>
      <c r="H725" s="125" t="n"/>
      <c r="I725" s="14" t="n"/>
      <c r="J725" s="16" t="n"/>
      <c r="K725" s="125" t="n"/>
      <c r="L725" s="14" t="n"/>
      <c r="M725" s="16" t="n"/>
      <c r="N725" s="125" t="n"/>
      <c r="O725" s="14" t="n"/>
      <c r="P725" s="16" t="n"/>
      <c r="Q725" s="125" t="n"/>
      <c r="R725" s="14" t="n"/>
      <c r="S725" s="16" t="n"/>
      <c r="T725" s="125" t="n"/>
      <c r="U725" s="14" t="n"/>
      <c r="V725" s="16" t="n"/>
      <c r="W725" s="125" t="n"/>
      <c r="X725" s="14" t="n"/>
      <c r="Y725" s="16" t="n"/>
      <c r="Z725" s="125" t="n"/>
      <c r="AA725" s="14" t="n"/>
      <c r="AB725" s="16" t="n"/>
      <c r="AC725" s="125" t="n"/>
      <c r="AD725" s="14" t="n"/>
    </row>
    <row r="726">
      <c r="B726" s="59" t="n"/>
      <c r="C726" s="59" t="n"/>
      <c r="E726" s="16" t="n"/>
      <c r="F726" s="13" t="n"/>
      <c r="G726" s="16" t="n"/>
      <c r="H726" s="125" t="n"/>
      <c r="I726" s="14" t="n"/>
      <c r="J726" s="16" t="n"/>
      <c r="K726" s="125" t="n"/>
      <c r="L726" s="14" t="n"/>
      <c r="M726" s="16" t="n"/>
      <c r="N726" s="125" t="n"/>
      <c r="O726" s="14" t="n"/>
      <c r="P726" s="16" t="n"/>
      <c r="Q726" s="125" t="n"/>
      <c r="R726" s="14" t="n"/>
      <c r="S726" s="16" t="n"/>
      <c r="T726" s="125" t="n"/>
      <c r="U726" s="14" t="n"/>
      <c r="V726" s="16" t="n"/>
      <c r="W726" s="125" t="n"/>
      <c r="X726" s="14" t="n"/>
      <c r="Y726" s="16" t="n"/>
      <c r="Z726" s="125" t="n"/>
      <c r="AA726" s="14" t="n"/>
      <c r="AB726" s="16" t="n"/>
      <c r="AC726" s="125" t="n"/>
      <c r="AD726" s="14" t="n"/>
    </row>
    <row r="727">
      <c r="B727" s="59" t="n"/>
      <c r="C727" s="59" t="n"/>
      <c r="E727" s="16" t="n"/>
      <c r="F727" s="13" t="n"/>
      <c r="G727" s="16" t="n"/>
      <c r="H727" s="125" t="n"/>
      <c r="I727" s="14" t="n"/>
      <c r="J727" s="16" t="n"/>
      <c r="K727" s="125" t="n"/>
      <c r="L727" s="14" t="n"/>
      <c r="M727" s="16" t="n"/>
      <c r="N727" s="125" t="n"/>
      <c r="O727" s="14" t="n"/>
      <c r="P727" s="16" t="n"/>
      <c r="Q727" s="125" t="n"/>
      <c r="R727" s="14" t="n"/>
      <c r="S727" s="16" t="n"/>
      <c r="T727" s="125" t="n"/>
      <c r="U727" s="14" t="n"/>
      <c r="V727" s="16" t="n"/>
      <c r="W727" s="125" t="n"/>
      <c r="X727" s="14" t="n"/>
      <c r="Y727" s="16" t="n"/>
      <c r="Z727" s="125" t="n"/>
      <c r="AA727" s="14" t="n"/>
      <c r="AB727" s="16" t="n"/>
      <c r="AC727" s="125" t="n"/>
      <c r="AD727" s="14" t="n"/>
    </row>
    <row r="728">
      <c r="B728" s="59" t="n"/>
      <c r="C728" s="59" t="n"/>
      <c r="E728" s="16" t="n"/>
      <c r="F728" s="13" t="n"/>
      <c r="G728" s="16" t="n"/>
      <c r="H728" s="125" t="n"/>
      <c r="I728" s="14" t="n"/>
      <c r="J728" s="16" t="n"/>
      <c r="K728" s="125" t="n"/>
      <c r="L728" s="14" t="n"/>
      <c r="M728" s="16" t="n"/>
      <c r="N728" s="125" t="n"/>
      <c r="O728" s="14" t="n"/>
      <c r="P728" s="16" t="n"/>
      <c r="Q728" s="125" t="n"/>
      <c r="R728" s="14" t="n"/>
      <c r="S728" s="16" t="n"/>
      <c r="T728" s="125" t="n"/>
      <c r="U728" s="14" t="n"/>
      <c r="V728" s="16" t="n"/>
      <c r="W728" s="125" t="n"/>
      <c r="X728" s="14" t="n"/>
      <c r="Y728" s="16" t="n"/>
      <c r="Z728" s="125" t="n"/>
      <c r="AA728" s="14" t="n"/>
      <c r="AB728" s="16" t="n"/>
      <c r="AC728" s="125" t="n"/>
      <c r="AD728" s="14" t="n"/>
    </row>
    <row r="729">
      <c r="B729" s="59" t="n"/>
      <c r="C729" s="59" t="n"/>
      <c r="E729" s="16" t="n"/>
      <c r="F729" s="13" t="n"/>
      <c r="G729" s="16" t="n"/>
      <c r="H729" s="125" t="n"/>
      <c r="I729" s="14" t="n"/>
      <c r="J729" s="16" t="n"/>
      <c r="K729" s="125" t="n"/>
      <c r="L729" s="14" t="n"/>
      <c r="M729" s="16" t="n"/>
      <c r="N729" s="125" t="n"/>
      <c r="O729" s="14" t="n"/>
      <c r="P729" s="16" t="n"/>
      <c r="Q729" s="125" t="n"/>
      <c r="R729" s="14" t="n"/>
      <c r="S729" s="16" t="n"/>
      <c r="T729" s="125" t="n"/>
      <c r="U729" s="14" t="n"/>
      <c r="V729" s="16" t="n"/>
      <c r="W729" s="125" t="n"/>
      <c r="X729" s="14" t="n"/>
      <c r="Y729" s="16" t="n"/>
      <c r="Z729" s="125" t="n"/>
      <c r="AA729" s="14" t="n"/>
      <c r="AB729" s="16" t="n"/>
      <c r="AC729" s="125" t="n"/>
      <c r="AD729" s="14" t="n"/>
    </row>
    <row r="730">
      <c r="B730" s="59" t="n"/>
      <c r="C730" s="59" t="n"/>
      <c r="E730" s="16" t="n"/>
      <c r="F730" s="13" t="n"/>
      <c r="G730" s="16" t="n"/>
      <c r="H730" s="125" t="n"/>
      <c r="I730" s="14" t="n"/>
      <c r="J730" s="16" t="n"/>
      <c r="K730" s="125" t="n"/>
      <c r="L730" s="14" t="n"/>
      <c r="M730" s="16" t="n"/>
      <c r="N730" s="125" t="n"/>
      <c r="O730" s="14" t="n"/>
      <c r="P730" s="16" t="n"/>
      <c r="Q730" s="125" t="n"/>
      <c r="R730" s="14" t="n"/>
      <c r="S730" s="16" t="n"/>
      <c r="T730" s="125" t="n"/>
      <c r="U730" s="14" t="n"/>
      <c r="V730" s="16" t="n"/>
      <c r="W730" s="125" t="n"/>
      <c r="X730" s="14" t="n"/>
      <c r="Y730" s="16" t="n"/>
      <c r="Z730" s="125" t="n"/>
      <c r="AA730" s="14" t="n"/>
      <c r="AB730" s="16" t="n"/>
      <c r="AC730" s="125" t="n"/>
      <c r="AD730" s="14" t="n"/>
    </row>
    <row r="731">
      <c r="B731" s="59" t="n"/>
      <c r="C731" s="59" t="n"/>
      <c r="E731" s="16" t="n"/>
      <c r="F731" s="13" t="n"/>
      <c r="G731" s="16" t="n"/>
      <c r="H731" s="125" t="n"/>
      <c r="I731" s="14" t="n"/>
      <c r="J731" s="16" t="n"/>
      <c r="K731" s="125" t="n"/>
      <c r="L731" s="14" t="n"/>
      <c r="M731" s="16" t="n"/>
      <c r="N731" s="125" t="n"/>
      <c r="O731" s="14" t="n"/>
      <c r="P731" s="16" t="n"/>
      <c r="Q731" s="125" t="n"/>
      <c r="R731" s="14" t="n"/>
      <c r="S731" s="16" t="n"/>
      <c r="T731" s="125" t="n"/>
      <c r="U731" s="14" t="n"/>
      <c r="V731" s="16" t="n"/>
      <c r="W731" s="125" t="n"/>
      <c r="X731" s="14" t="n"/>
      <c r="Y731" s="16" t="n"/>
      <c r="Z731" s="125" t="n"/>
      <c r="AA731" s="14" t="n"/>
      <c r="AB731" s="16" t="n"/>
      <c r="AC731" s="125" t="n"/>
      <c r="AD731" s="14" t="n"/>
    </row>
    <row r="732">
      <c r="B732" s="59" t="n"/>
      <c r="C732" s="59" t="n"/>
      <c r="E732" s="16" t="n"/>
      <c r="F732" s="13" t="n"/>
      <c r="G732" s="16" t="n"/>
      <c r="H732" s="125" t="n"/>
      <c r="I732" s="14" t="n"/>
      <c r="J732" s="16" t="n"/>
      <c r="K732" s="125" t="n"/>
      <c r="L732" s="14" t="n"/>
      <c r="M732" s="16" t="n"/>
      <c r="N732" s="125" t="n"/>
      <c r="O732" s="14" t="n"/>
      <c r="P732" s="16" t="n"/>
      <c r="Q732" s="125" t="n"/>
      <c r="R732" s="14" t="n"/>
      <c r="S732" s="16" t="n"/>
      <c r="T732" s="125" t="n"/>
      <c r="U732" s="14" t="n"/>
      <c r="V732" s="16" t="n"/>
      <c r="W732" s="125" t="n"/>
      <c r="X732" s="14" t="n"/>
      <c r="Y732" s="16" t="n"/>
      <c r="Z732" s="125" t="n"/>
      <c r="AA732" s="14" t="n"/>
      <c r="AB732" s="16" t="n"/>
      <c r="AC732" s="125" t="n"/>
      <c r="AD732" s="14" t="n"/>
    </row>
    <row r="733">
      <c r="B733" s="59" t="n"/>
      <c r="C733" s="59" t="n"/>
      <c r="E733" s="16" t="n"/>
      <c r="F733" s="13" t="n"/>
      <c r="G733" s="16" t="n"/>
      <c r="H733" s="125" t="n"/>
      <c r="I733" s="14" t="n"/>
      <c r="J733" s="16" t="n"/>
      <c r="K733" s="125" t="n"/>
      <c r="L733" s="14" t="n"/>
      <c r="M733" s="16" t="n"/>
      <c r="N733" s="125" t="n"/>
      <c r="O733" s="14" t="n"/>
      <c r="P733" s="16" t="n"/>
      <c r="Q733" s="125" t="n"/>
      <c r="R733" s="14" t="n"/>
      <c r="S733" s="16" t="n"/>
      <c r="T733" s="125" t="n"/>
      <c r="U733" s="14" t="n"/>
      <c r="V733" s="16" t="n"/>
      <c r="W733" s="125" t="n"/>
      <c r="X733" s="14" t="n"/>
      <c r="Y733" s="16" t="n"/>
      <c r="Z733" s="125" t="n"/>
      <c r="AA733" s="14" t="n"/>
      <c r="AB733" s="16" t="n"/>
      <c r="AC733" s="125" t="n"/>
      <c r="AD733" s="14" t="n"/>
    </row>
    <row r="734">
      <c r="B734" s="59" t="n"/>
      <c r="C734" s="59" t="n"/>
      <c r="E734" s="16" t="n"/>
      <c r="F734" s="13" t="n"/>
      <c r="G734" s="16" t="n"/>
      <c r="H734" s="125" t="n"/>
      <c r="I734" s="14" t="n"/>
      <c r="J734" s="16" t="n"/>
      <c r="K734" s="125" t="n"/>
      <c r="L734" s="14" t="n"/>
      <c r="M734" s="16" t="n"/>
      <c r="N734" s="125" t="n"/>
      <c r="O734" s="14" t="n"/>
      <c r="P734" s="16" t="n"/>
      <c r="Q734" s="125" t="n"/>
      <c r="R734" s="14" t="n"/>
      <c r="S734" s="16" t="n"/>
      <c r="T734" s="125" t="n"/>
      <c r="U734" s="14" t="n"/>
      <c r="V734" s="16" t="n"/>
      <c r="W734" s="125" t="n"/>
      <c r="X734" s="14" t="n"/>
      <c r="Y734" s="16" t="n"/>
      <c r="Z734" s="125" t="n"/>
      <c r="AA734" s="14" t="n"/>
      <c r="AB734" s="16" t="n"/>
      <c r="AC734" s="125" t="n"/>
      <c r="AD734" s="14" t="n"/>
    </row>
    <row r="735">
      <c r="B735" s="59" t="n"/>
      <c r="C735" s="59" t="n"/>
      <c r="E735" s="16" t="n"/>
      <c r="F735" s="13" t="n"/>
      <c r="G735" s="16" t="n"/>
      <c r="H735" s="125" t="n"/>
      <c r="I735" s="14" t="n"/>
      <c r="J735" s="16" t="n"/>
      <c r="K735" s="125" t="n"/>
      <c r="L735" s="14" t="n"/>
      <c r="M735" s="16" t="n"/>
      <c r="N735" s="125" t="n"/>
      <c r="O735" s="14" t="n"/>
      <c r="P735" s="16" t="n"/>
      <c r="Q735" s="125" t="n"/>
      <c r="R735" s="14" t="n"/>
      <c r="S735" s="16" t="n"/>
      <c r="T735" s="125" t="n"/>
      <c r="U735" s="14" t="n"/>
      <c r="V735" s="16" t="n"/>
      <c r="W735" s="125" t="n"/>
      <c r="X735" s="14" t="n"/>
      <c r="Y735" s="16" t="n"/>
      <c r="Z735" s="125" t="n"/>
      <c r="AA735" s="14" t="n"/>
      <c r="AB735" s="16" t="n"/>
      <c r="AC735" s="125" t="n"/>
      <c r="AD735" s="14" t="n"/>
    </row>
    <row r="736">
      <c r="B736" s="59" t="n"/>
      <c r="C736" s="59" t="n"/>
      <c r="E736" s="16" t="n"/>
      <c r="F736" s="13" t="n"/>
      <c r="G736" s="16" t="n"/>
      <c r="H736" s="125" t="n"/>
      <c r="I736" s="14" t="n"/>
      <c r="J736" s="16" t="n"/>
      <c r="K736" s="125" t="n"/>
      <c r="L736" s="14" t="n"/>
      <c r="M736" s="16" t="n"/>
      <c r="N736" s="125" t="n"/>
      <c r="O736" s="14" t="n"/>
      <c r="P736" s="16" t="n"/>
      <c r="Q736" s="125" t="n"/>
      <c r="R736" s="14" t="n"/>
      <c r="S736" s="16" t="n"/>
      <c r="T736" s="125" t="n"/>
      <c r="U736" s="14" t="n"/>
      <c r="V736" s="16" t="n"/>
      <c r="W736" s="125" t="n"/>
      <c r="X736" s="14" t="n"/>
      <c r="Y736" s="16" t="n"/>
      <c r="Z736" s="125" t="n"/>
      <c r="AA736" s="14" t="n"/>
      <c r="AB736" s="16" t="n"/>
      <c r="AC736" s="125" t="n"/>
      <c r="AD736" s="14" t="n"/>
    </row>
    <row r="737">
      <c r="B737" s="59" t="n"/>
      <c r="C737" s="59" t="n"/>
      <c r="E737" s="16" t="n"/>
      <c r="F737" s="13" t="n"/>
      <c r="G737" s="16" t="n"/>
      <c r="H737" s="125" t="n"/>
      <c r="I737" s="14" t="n"/>
      <c r="J737" s="16" t="n"/>
      <c r="K737" s="125" t="n"/>
      <c r="L737" s="14" t="n"/>
      <c r="M737" s="16" t="n"/>
      <c r="N737" s="125" t="n"/>
      <c r="O737" s="14" t="n"/>
      <c r="P737" s="16" t="n"/>
      <c r="Q737" s="125" t="n"/>
      <c r="R737" s="14" t="n"/>
      <c r="S737" s="16" t="n"/>
      <c r="T737" s="125" t="n"/>
      <c r="U737" s="14" t="n"/>
      <c r="V737" s="16" t="n"/>
      <c r="W737" s="125" t="n"/>
      <c r="X737" s="14" t="n"/>
      <c r="Y737" s="16" t="n"/>
      <c r="Z737" s="125" t="n"/>
      <c r="AA737" s="14" t="n"/>
      <c r="AB737" s="16" t="n"/>
      <c r="AC737" s="125" t="n"/>
      <c r="AD737" s="14" t="n"/>
    </row>
    <row r="738">
      <c r="B738" s="59" t="n"/>
      <c r="C738" s="59" t="n"/>
      <c r="E738" s="16" t="n"/>
      <c r="F738" s="13" t="n"/>
      <c r="G738" s="16" t="n"/>
      <c r="H738" s="125" t="n"/>
      <c r="I738" s="14" t="n"/>
      <c r="J738" s="16" t="n"/>
      <c r="K738" s="125" t="n"/>
      <c r="L738" s="14" t="n"/>
      <c r="M738" s="16" t="n"/>
      <c r="N738" s="125" t="n"/>
      <c r="O738" s="14" t="n"/>
      <c r="P738" s="16" t="n"/>
      <c r="Q738" s="125" t="n"/>
      <c r="R738" s="14" t="n"/>
      <c r="S738" s="16" t="n"/>
      <c r="T738" s="125" t="n"/>
      <c r="U738" s="14" t="n"/>
      <c r="V738" s="16" t="n"/>
      <c r="W738" s="125" t="n"/>
      <c r="X738" s="14" t="n"/>
      <c r="Y738" s="16" t="n"/>
      <c r="Z738" s="125" t="n"/>
      <c r="AA738" s="14" t="n"/>
      <c r="AB738" s="16" t="n"/>
      <c r="AC738" s="125" t="n"/>
      <c r="AD738" s="14" t="n"/>
    </row>
    <row r="739">
      <c r="B739" s="59" t="n"/>
      <c r="C739" s="59" t="n"/>
      <c r="E739" s="16" t="n"/>
      <c r="F739" s="13" t="n"/>
      <c r="G739" s="16" t="n"/>
      <c r="H739" s="125" t="n"/>
      <c r="I739" s="14" t="n"/>
      <c r="J739" s="16" t="n"/>
      <c r="K739" s="125" t="n"/>
      <c r="L739" s="14" t="n"/>
      <c r="M739" s="16" t="n"/>
      <c r="N739" s="125" t="n"/>
      <c r="O739" s="14" t="n"/>
      <c r="P739" s="16" t="n"/>
      <c r="Q739" s="125" t="n"/>
      <c r="R739" s="14" t="n"/>
      <c r="S739" s="16" t="n"/>
      <c r="T739" s="125" t="n"/>
      <c r="U739" s="14" t="n"/>
      <c r="V739" s="16" t="n"/>
      <c r="W739" s="125" t="n"/>
      <c r="X739" s="14" t="n"/>
      <c r="Y739" s="16" t="n"/>
      <c r="Z739" s="125" t="n"/>
      <c r="AA739" s="14" t="n"/>
      <c r="AB739" s="16" t="n"/>
      <c r="AC739" s="125" t="n"/>
      <c r="AD739" s="14" t="n"/>
    </row>
    <row r="740">
      <c r="B740" s="59" t="n"/>
      <c r="C740" s="59" t="n"/>
      <c r="E740" s="16" t="n"/>
      <c r="F740" s="13" t="n"/>
      <c r="G740" s="16" t="n"/>
      <c r="H740" s="125" t="n"/>
      <c r="I740" s="14" t="n"/>
      <c r="J740" s="16" t="n"/>
      <c r="K740" s="125" t="n"/>
      <c r="L740" s="14" t="n"/>
      <c r="M740" s="16" t="n"/>
      <c r="N740" s="125" t="n"/>
      <c r="O740" s="14" t="n"/>
      <c r="P740" s="16" t="n"/>
      <c r="Q740" s="125" t="n"/>
      <c r="R740" s="14" t="n"/>
      <c r="S740" s="16" t="n"/>
      <c r="T740" s="125" t="n"/>
      <c r="U740" s="14" t="n"/>
      <c r="V740" s="16" t="n"/>
      <c r="W740" s="125" t="n"/>
      <c r="X740" s="14" t="n"/>
      <c r="Y740" s="16" t="n"/>
      <c r="Z740" s="125" t="n"/>
      <c r="AA740" s="14" t="n"/>
      <c r="AB740" s="16" t="n"/>
      <c r="AC740" s="125" t="n"/>
      <c r="AD740" s="14" t="n"/>
    </row>
    <row r="741">
      <c r="B741" s="59" t="n"/>
      <c r="C741" s="59" t="n"/>
      <c r="E741" s="16" t="n"/>
      <c r="F741" s="13" t="n"/>
      <c r="G741" s="16" t="n"/>
      <c r="H741" s="125" t="n"/>
      <c r="I741" s="14" t="n"/>
      <c r="J741" s="16" t="n"/>
      <c r="K741" s="125" t="n"/>
      <c r="L741" s="14" t="n"/>
      <c r="M741" s="16" t="n"/>
      <c r="N741" s="125" t="n"/>
      <c r="O741" s="14" t="n"/>
      <c r="P741" s="16" t="n"/>
      <c r="Q741" s="125" t="n"/>
      <c r="R741" s="14" t="n"/>
      <c r="S741" s="16" t="n"/>
      <c r="T741" s="125" t="n"/>
      <c r="U741" s="14" t="n"/>
      <c r="V741" s="16" t="n"/>
      <c r="W741" s="125" t="n"/>
      <c r="X741" s="14" t="n"/>
      <c r="Y741" s="16" t="n"/>
      <c r="Z741" s="125" t="n"/>
      <c r="AA741" s="14" t="n"/>
      <c r="AB741" s="16" t="n"/>
      <c r="AC741" s="125" t="n"/>
      <c r="AD741" s="14" t="n"/>
    </row>
    <row r="742">
      <c r="B742" s="59" t="n"/>
      <c r="C742" s="59" t="n"/>
      <c r="E742" s="16" t="n"/>
      <c r="F742" s="13" t="n"/>
      <c r="G742" s="16" t="n"/>
      <c r="H742" s="125" t="n"/>
      <c r="I742" s="14" t="n"/>
      <c r="J742" s="16" t="n"/>
      <c r="K742" s="125" t="n"/>
      <c r="L742" s="14" t="n"/>
      <c r="M742" s="16" t="n"/>
      <c r="N742" s="125" t="n"/>
      <c r="O742" s="14" t="n"/>
      <c r="P742" s="16" t="n"/>
      <c r="Q742" s="125" t="n"/>
      <c r="R742" s="14" t="n"/>
      <c r="S742" s="16" t="n"/>
      <c r="T742" s="125" t="n"/>
      <c r="U742" s="14" t="n"/>
      <c r="V742" s="16" t="n"/>
      <c r="W742" s="125" t="n"/>
      <c r="X742" s="14" t="n"/>
      <c r="Y742" s="16" t="n"/>
      <c r="Z742" s="125" t="n"/>
      <c r="AA742" s="14" t="n"/>
      <c r="AB742" s="16" t="n"/>
      <c r="AC742" s="125" t="n"/>
      <c r="AD742" s="14" t="n"/>
    </row>
    <row r="743">
      <c r="B743" s="59" t="n"/>
      <c r="C743" s="59" t="n"/>
      <c r="E743" s="16" t="n"/>
      <c r="F743" s="13" t="n"/>
      <c r="G743" s="16" t="n"/>
      <c r="H743" s="125" t="n"/>
      <c r="I743" s="14" t="n"/>
      <c r="J743" s="16" t="n"/>
      <c r="K743" s="125" t="n"/>
      <c r="L743" s="14" t="n"/>
      <c r="M743" s="16" t="n"/>
      <c r="N743" s="125" t="n"/>
      <c r="O743" s="14" t="n"/>
      <c r="P743" s="16" t="n"/>
      <c r="Q743" s="125" t="n"/>
      <c r="R743" s="14" t="n"/>
      <c r="S743" s="16" t="n"/>
      <c r="T743" s="125" t="n"/>
      <c r="U743" s="14" t="n"/>
      <c r="V743" s="16" t="n"/>
      <c r="W743" s="125" t="n"/>
      <c r="X743" s="14" t="n"/>
      <c r="Y743" s="16" t="n"/>
      <c r="Z743" s="125" t="n"/>
      <c r="AA743" s="14" t="n"/>
      <c r="AB743" s="16" t="n"/>
      <c r="AC743" s="125" t="n"/>
      <c r="AD743" s="14" t="n"/>
    </row>
    <row r="744">
      <c r="B744" s="59" t="n"/>
      <c r="C744" s="59" t="n"/>
      <c r="E744" s="16" t="n"/>
      <c r="F744" s="13" t="n"/>
      <c r="G744" s="16" t="n"/>
      <c r="H744" s="125" t="n"/>
      <c r="I744" s="14" t="n"/>
      <c r="J744" s="16" t="n"/>
      <c r="K744" s="125" t="n"/>
      <c r="L744" s="14" t="n"/>
      <c r="M744" s="16" t="n"/>
      <c r="N744" s="125" t="n"/>
      <c r="O744" s="14" t="n"/>
      <c r="P744" s="16" t="n"/>
      <c r="Q744" s="125" t="n"/>
      <c r="R744" s="14" t="n"/>
      <c r="S744" s="16" t="n"/>
      <c r="T744" s="125" t="n"/>
      <c r="U744" s="14" t="n"/>
      <c r="V744" s="16" t="n"/>
      <c r="W744" s="125" t="n"/>
      <c r="X744" s="14" t="n"/>
      <c r="Y744" s="16" t="n"/>
      <c r="Z744" s="125" t="n"/>
      <c r="AA744" s="14" t="n"/>
      <c r="AB744" s="16" t="n"/>
      <c r="AC744" s="125" t="n"/>
      <c r="AD744" s="14" t="n"/>
    </row>
    <row r="745">
      <c r="B745" s="59" t="n"/>
      <c r="C745" s="59" t="n"/>
      <c r="E745" s="16" t="n"/>
      <c r="F745" s="13" t="n"/>
      <c r="G745" s="16" t="n"/>
      <c r="H745" s="125" t="n"/>
      <c r="I745" s="14" t="n"/>
      <c r="J745" s="16" t="n"/>
      <c r="K745" s="125" t="n"/>
      <c r="L745" s="14" t="n"/>
      <c r="M745" s="16" t="n"/>
      <c r="N745" s="125" t="n"/>
      <c r="O745" s="14" t="n"/>
      <c r="P745" s="16" t="n"/>
      <c r="Q745" s="125" t="n"/>
      <c r="R745" s="14" t="n"/>
      <c r="S745" s="16" t="n"/>
      <c r="T745" s="125" t="n"/>
      <c r="U745" s="14" t="n"/>
      <c r="V745" s="16" t="n"/>
      <c r="W745" s="125" t="n"/>
      <c r="X745" s="14" t="n"/>
      <c r="Y745" s="16" t="n"/>
      <c r="Z745" s="125" t="n"/>
      <c r="AA745" s="14" t="n"/>
      <c r="AB745" s="16" t="n"/>
      <c r="AC745" s="125" t="n"/>
      <c r="AD745" s="14" t="n"/>
    </row>
    <row r="746">
      <c r="B746" s="59" t="n"/>
      <c r="C746" s="59" t="n"/>
      <c r="E746" s="16" t="n"/>
      <c r="F746" s="13" t="n"/>
      <c r="G746" s="16" t="n"/>
      <c r="H746" s="125" t="n"/>
      <c r="I746" s="14" t="n"/>
      <c r="J746" s="16" t="n"/>
      <c r="K746" s="125" t="n"/>
      <c r="L746" s="14" t="n"/>
      <c r="M746" s="16" t="n"/>
      <c r="N746" s="125" t="n"/>
      <c r="O746" s="14" t="n"/>
      <c r="P746" s="16" t="n"/>
      <c r="Q746" s="125" t="n"/>
      <c r="R746" s="14" t="n"/>
      <c r="S746" s="16" t="n"/>
      <c r="T746" s="125" t="n"/>
      <c r="U746" s="14" t="n"/>
      <c r="V746" s="16" t="n"/>
      <c r="W746" s="125" t="n"/>
      <c r="X746" s="14" t="n"/>
      <c r="Y746" s="16" t="n"/>
      <c r="Z746" s="125" t="n"/>
      <c r="AA746" s="14" t="n"/>
      <c r="AB746" s="16" t="n"/>
      <c r="AC746" s="125" t="n"/>
      <c r="AD746" s="14" t="n"/>
    </row>
    <row r="747">
      <c r="B747" s="59" t="n"/>
      <c r="C747" s="59" t="n"/>
      <c r="E747" s="16" t="n"/>
      <c r="F747" s="13" t="n"/>
      <c r="G747" s="16" t="n"/>
      <c r="H747" s="125" t="n"/>
      <c r="I747" s="14" t="n"/>
      <c r="J747" s="16" t="n"/>
      <c r="K747" s="125" t="n"/>
      <c r="L747" s="14" t="n"/>
      <c r="M747" s="16" t="n"/>
      <c r="N747" s="125" t="n"/>
      <c r="O747" s="14" t="n"/>
      <c r="P747" s="16" t="n"/>
      <c r="Q747" s="125" t="n"/>
      <c r="R747" s="14" t="n"/>
      <c r="S747" s="16" t="n"/>
      <c r="T747" s="125" t="n"/>
      <c r="U747" s="14" t="n"/>
      <c r="V747" s="16" t="n"/>
      <c r="W747" s="125" t="n"/>
      <c r="X747" s="14" t="n"/>
      <c r="Y747" s="16" t="n"/>
      <c r="Z747" s="125" t="n"/>
      <c r="AA747" s="14" t="n"/>
      <c r="AB747" s="16" t="n"/>
      <c r="AC747" s="125" t="n"/>
      <c r="AD747" s="14" t="n"/>
    </row>
    <row r="748">
      <c r="B748" s="59" t="n"/>
      <c r="C748" s="59" t="n"/>
      <c r="E748" s="16" t="n"/>
      <c r="F748" s="13" t="n"/>
      <c r="G748" s="16" t="n"/>
      <c r="H748" s="125" t="n"/>
      <c r="I748" s="14" t="n"/>
      <c r="J748" s="16" t="n"/>
      <c r="K748" s="125" t="n"/>
      <c r="L748" s="14" t="n"/>
      <c r="M748" s="16" t="n"/>
      <c r="N748" s="125" t="n"/>
      <c r="O748" s="14" t="n"/>
      <c r="P748" s="16" t="n"/>
      <c r="Q748" s="125" t="n"/>
      <c r="R748" s="14" t="n"/>
      <c r="S748" s="16" t="n"/>
      <c r="T748" s="125" t="n"/>
      <c r="U748" s="14" t="n"/>
      <c r="V748" s="16" t="n"/>
      <c r="W748" s="125" t="n"/>
      <c r="X748" s="14" t="n"/>
      <c r="Y748" s="16" t="n"/>
      <c r="Z748" s="125" t="n"/>
      <c r="AA748" s="14" t="n"/>
      <c r="AB748" s="16" t="n"/>
      <c r="AC748" s="125" t="n"/>
      <c r="AD748" s="14" t="n"/>
    </row>
    <row r="749">
      <c r="B749" s="59" t="n"/>
      <c r="C749" s="59" t="n"/>
      <c r="E749" s="16" t="n"/>
      <c r="F749" s="13" t="n"/>
      <c r="G749" s="16" t="n"/>
      <c r="H749" s="125" t="n"/>
      <c r="I749" s="14" t="n"/>
      <c r="J749" s="16" t="n"/>
      <c r="K749" s="125" t="n"/>
      <c r="L749" s="14" t="n"/>
      <c r="M749" s="16" t="n"/>
      <c r="N749" s="125" t="n"/>
      <c r="O749" s="14" t="n"/>
      <c r="P749" s="16" t="n"/>
      <c r="Q749" s="125" t="n"/>
      <c r="R749" s="14" t="n"/>
      <c r="S749" s="16" t="n"/>
      <c r="T749" s="125" t="n"/>
      <c r="U749" s="14" t="n"/>
      <c r="V749" s="16" t="n"/>
      <c r="W749" s="125" t="n"/>
      <c r="X749" s="14" t="n"/>
      <c r="Y749" s="16" t="n"/>
      <c r="Z749" s="125" t="n"/>
      <c r="AA749" s="14" t="n"/>
      <c r="AB749" s="16" t="n"/>
      <c r="AC749" s="125" t="n"/>
      <c r="AD749" s="14" t="n"/>
    </row>
    <row r="750">
      <c r="B750" s="59" t="n"/>
      <c r="C750" s="59" t="n"/>
      <c r="E750" s="16" t="n"/>
      <c r="F750" s="13" t="n"/>
      <c r="G750" s="16" t="n"/>
      <c r="H750" s="125" t="n"/>
      <c r="I750" s="14" t="n"/>
      <c r="J750" s="16" t="n"/>
      <c r="K750" s="125" t="n"/>
      <c r="L750" s="14" t="n"/>
      <c r="M750" s="16" t="n"/>
      <c r="N750" s="125" t="n"/>
      <c r="O750" s="14" t="n"/>
      <c r="P750" s="16" t="n"/>
      <c r="Q750" s="125" t="n"/>
      <c r="R750" s="14" t="n"/>
      <c r="S750" s="16" t="n"/>
      <c r="T750" s="125" t="n"/>
      <c r="U750" s="14" t="n"/>
      <c r="V750" s="16" t="n"/>
      <c r="W750" s="125" t="n"/>
      <c r="X750" s="14" t="n"/>
      <c r="Y750" s="16" t="n"/>
      <c r="Z750" s="125" t="n"/>
      <c r="AA750" s="14" t="n"/>
      <c r="AB750" s="16" t="n"/>
      <c r="AC750" s="125" t="n"/>
      <c r="AD750" s="14" t="n"/>
    </row>
    <row r="751">
      <c r="B751" s="59" t="n"/>
      <c r="C751" s="59" t="n"/>
      <c r="E751" s="16" t="n"/>
      <c r="F751" s="13" t="n"/>
      <c r="G751" s="16" t="n"/>
      <c r="H751" s="125" t="n"/>
      <c r="I751" s="14" t="n"/>
      <c r="J751" s="16" t="n"/>
      <c r="K751" s="125" t="n"/>
      <c r="L751" s="14" t="n"/>
      <c r="M751" s="16" t="n"/>
      <c r="N751" s="125" t="n"/>
      <c r="O751" s="14" t="n"/>
      <c r="P751" s="16" t="n"/>
      <c r="Q751" s="125" t="n"/>
      <c r="R751" s="14" t="n"/>
      <c r="S751" s="16" t="n"/>
      <c r="T751" s="125" t="n"/>
      <c r="U751" s="14" t="n"/>
      <c r="V751" s="16" t="n"/>
      <c r="W751" s="125" t="n"/>
      <c r="X751" s="14" t="n"/>
      <c r="Y751" s="16" t="n"/>
      <c r="Z751" s="125" t="n"/>
      <c r="AA751" s="14" t="n"/>
      <c r="AB751" s="16" t="n"/>
      <c r="AC751" s="125" t="n"/>
      <c r="AD751" s="14" t="n"/>
    </row>
    <row r="752">
      <c r="B752" s="59" t="n"/>
      <c r="C752" s="59" t="n"/>
      <c r="E752" s="16" t="n"/>
      <c r="F752" s="13" t="n"/>
      <c r="G752" s="16" t="n"/>
      <c r="H752" s="125" t="n"/>
      <c r="I752" s="14" t="n"/>
      <c r="J752" s="16" t="n"/>
      <c r="K752" s="125" t="n"/>
      <c r="L752" s="14" t="n"/>
      <c r="M752" s="16" t="n"/>
      <c r="N752" s="125" t="n"/>
      <c r="O752" s="14" t="n"/>
      <c r="P752" s="16" t="n"/>
      <c r="Q752" s="125" t="n"/>
      <c r="R752" s="14" t="n"/>
      <c r="S752" s="16" t="n"/>
      <c r="T752" s="125" t="n"/>
      <c r="U752" s="14" t="n"/>
      <c r="V752" s="16" t="n"/>
      <c r="W752" s="125" t="n"/>
      <c r="X752" s="14" t="n"/>
      <c r="Y752" s="16" t="n"/>
      <c r="Z752" s="125" t="n"/>
      <c r="AA752" s="14" t="n"/>
      <c r="AB752" s="16" t="n"/>
      <c r="AC752" s="125" t="n"/>
      <c r="AD752" s="14" t="n"/>
    </row>
    <row r="753">
      <c r="B753" s="59" t="n"/>
      <c r="C753" s="59" t="n"/>
      <c r="E753" s="16" t="n"/>
      <c r="F753" s="13" t="n"/>
      <c r="G753" s="16" t="n"/>
      <c r="H753" s="125" t="n"/>
      <c r="I753" s="14" t="n"/>
      <c r="J753" s="16" t="n"/>
      <c r="K753" s="125" t="n"/>
      <c r="L753" s="14" t="n"/>
      <c r="M753" s="16" t="n"/>
      <c r="N753" s="125" t="n"/>
      <c r="O753" s="14" t="n"/>
      <c r="P753" s="16" t="n"/>
      <c r="Q753" s="125" t="n"/>
      <c r="R753" s="14" t="n"/>
      <c r="S753" s="16" t="n"/>
      <c r="T753" s="125" t="n"/>
      <c r="U753" s="14" t="n"/>
      <c r="V753" s="16" t="n"/>
      <c r="W753" s="125" t="n"/>
      <c r="X753" s="14" t="n"/>
      <c r="Y753" s="16" t="n"/>
      <c r="Z753" s="125" t="n"/>
      <c r="AA753" s="14" t="n"/>
      <c r="AB753" s="16" t="n"/>
      <c r="AC753" s="125" t="n"/>
      <c r="AD753" s="14" t="n"/>
    </row>
    <row r="754">
      <c r="B754" s="59" t="n"/>
      <c r="C754" s="59" t="n"/>
      <c r="E754" s="16" t="n"/>
      <c r="F754" s="13" t="n"/>
      <c r="G754" s="16" t="n"/>
      <c r="H754" s="125" t="n"/>
      <c r="I754" s="14" t="n"/>
      <c r="J754" s="16" t="n"/>
      <c r="K754" s="125" t="n"/>
      <c r="L754" s="14" t="n"/>
      <c r="M754" s="16" t="n"/>
      <c r="N754" s="125" t="n"/>
      <c r="O754" s="14" t="n"/>
      <c r="P754" s="16" t="n"/>
      <c r="Q754" s="125" t="n"/>
      <c r="R754" s="14" t="n"/>
      <c r="S754" s="16" t="n"/>
      <c r="T754" s="125" t="n"/>
      <c r="U754" s="14" t="n"/>
      <c r="V754" s="16" t="n"/>
      <c r="W754" s="125" t="n"/>
      <c r="X754" s="14" t="n"/>
      <c r="Y754" s="16" t="n"/>
      <c r="Z754" s="125" t="n"/>
      <c r="AA754" s="14" t="n"/>
      <c r="AB754" s="16" t="n"/>
      <c r="AC754" s="125" t="n"/>
      <c r="AD754" s="14" t="n"/>
    </row>
    <row r="755">
      <c r="B755" s="59" t="n"/>
      <c r="C755" s="59" t="n"/>
      <c r="E755" s="16" t="n"/>
      <c r="F755" s="13" t="n"/>
      <c r="G755" s="16" t="n"/>
      <c r="H755" s="125" t="n"/>
      <c r="I755" s="14" t="n"/>
      <c r="J755" s="16" t="n"/>
      <c r="K755" s="125" t="n"/>
      <c r="L755" s="14" t="n"/>
      <c r="M755" s="16" t="n"/>
      <c r="N755" s="125" t="n"/>
      <c r="O755" s="14" t="n"/>
      <c r="P755" s="16" t="n"/>
      <c r="Q755" s="125" t="n"/>
      <c r="R755" s="14" t="n"/>
      <c r="S755" s="16" t="n"/>
      <c r="T755" s="125" t="n"/>
      <c r="U755" s="14" t="n"/>
      <c r="V755" s="16" t="n"/>
      <c r="W755" s="125" t="n"/>
      <c r="X755" s="14" t="n"/>
      <c r="Y755" s="16" t="n"/>
      <c r="Z755" s="125" t="n"/>
      <c r="AA755" s="14" t="n"/>
      <c r="AB755" s="16" t="n"/>
      <c r="AC755" s="125" t="n"/>
      <c r="AD755" s="14" t="n"/>
    </row>
    <row r="756">
      <c r="B756" s="59" t="n"/>
      <c r="C756" s="59" t="n"/>
      <c r="E756" s="16" t="n"/>
      <c r="F756" s="13" t="n"/>
      <c r="G756" s="16" t="n"/>
      <c r="H756" s="125" t="n"/>
      <c r="I756" s="14" t="n"/>
      <c r="J756" s="16" t="n"/>
      <c r="K756" s="125" t="n"/>
      <c r="L756" s="14" t="n"/>
      <c r="M756" s="16" t="n"/>
      <c r="N756" s="125" t="n"/>
      <c r="O756" s="14" t="n"/>
      <c r="P756" s="16" t="n"/>
      <c r="Q756" s="125" t="n"/>
      <c r="R756" s="14" t="n"/>
      <c r="S756" s="16" t="n"/>
      <c r="T756" s="125" t="n"/>
      <c r="U756" s="14" t="n"/>
      <c r="V756" s="16" t="n"/>
      <c r="W756" s="125" t="n"/>
      <c r="X756" s="14" t="n"/>
      <c r="Y756" s="16" t="n"/>
      <c r="Z756" s="125" t="n"/>
      <c r="AA756" s="14" t="n"/>
      <c r="AB756" s="16" t="n"/>
      <c r="AC756" s="125" t="n"/>
      <c r="AD756" s="14" t="n"/>
    </row>
    <row r="757">
      <c r="B757" s="59" t="n"/>
      <c r="C757" s="59" t="n"/>
      <c r="E757" s="16" t="n"/>
      <c r="F757" s="13" t="n"/>
      <c r="G757" s="16" t="n"/>
      <c r="H757" s="125" t="n"/>
      <c r="I757" s="14" t="n"/>
      <c r="J757" s="16" t="n"/>
      <c r="K757" s="125" t="n"/>
      <c r="L757" s="14" t="n"/>
      <c r="M757" s="16" t="n"/>
      <c r="N757" s="125" t="n"/>
      <c r="O757" s="14" t="n"/>
      <c r="P757" s="16" t="n"/>
      <c r="Q757" s="125" t="n"/>
      <c r="R757" s="14" t="n"/>
      <c r="S757" s="16" t="n"/>
      <c r="T757" s="125" t="n"/>
      <c r="U757" s="14" t="n"/>
      <c r="V757" s="16" t="n"/>
      <c r="W757" s="125" t="n"/>
      <c r="X757" s="14" t="n"/>
      <c r="Y757" s="16" t="n"/>
      <c r="Z757" s="125" t="n"/>
      <c r="AA757" s="14" t="n"/>
      <c r="AB757" s="16" t="n"/>
      <c r="AC757" s="125" t="n"/>
      <c r="AD757" s="14" t="n"/>
    </row>
    <row r="758">
      <c r="B758" s="59" t="n"/>
      <c r="C758" s="59" t="n"/>
      <c r="E758" s="16" t="n"/>
      <c r="F758" s="13" t="n"/>
      <c r="G758" s="16" t="n"/>
      <c r="H758" s="125" t="n"/>
      <c r="I758" s="14" t="n"/>
      <c r="J758" s="16" t="n"/>
      <c r="K758" s="125" t="n"/>
      <c r="L758" s="14" t="n"/>
      <c r="M758" s="16" t="n"/>
      <c r="N758" s="125" t="n"/>
      <c r="O758" s="14" t="n"/>
      <c r="P758" s="16" t="n"/>
      <c r="Q758" s="125" t="n"/>
      <c r="R758" s="14" t="n"/>
      <c r="S758" s="16" t="n"/>
      <c r="T758" s="125" t="n"/>
      <c r="U758" s="14" t="n"/>
      <c r="V758" s="16" t="n"/>
      <c r="W758" s="125" t="n"/>
      <c r="X758" s="14" t="n"/>
      <c r="Y758" s="16" t="n"/>
      <c r="Z758" s="125" t="n"/>
      <c r="AA758" s="14" t="n"/>
      <c r="AB758" s="16" t="n"/>
      <c r="AC758" s="125" t="n"/>
      <c r="AD758" s="14" t="n"/>
    </row>
    <row r="759">
      <c r="B759" s="59" t="n"/>
      <c r="C759" s="59" t="n"/>
      <c r="E759" s="16" t="n"/>
      <c r="F759" s="13" t="n"/>
      <c r="G759" s="16" t="n"/>
      <c r="H759" s="125" t="n"/>
      <c r="I759" s="14" t="n"/>
      <c r="J759" s="16" t="n"/>
      <c r="K759" s="125" t="n"/>
      <c r="L759" s="14" t="n"/>
      <c r="M759" s="16" t="n"/>
      <c r="N759" s="125" t="n"/>
      <c r="O759" s="14" t="n"/>
      <c r="P759" s="16" t="n"/>
      <c r="Q759" s="125" t="n"/>
      <c r="R759" s="14" t="n"/>
      <c r="S759" s="16" t="n"/>
      <c r="T759" s="125" t="n"/>
      <c r="U759" s="14" t="n"/>
      <c r="V759" s="16" t="n"/>
      <c r="W759" s="125" t="n"/>
      <c r="X759" s="14" t="n"/>
      <c r="Y759" s="16" t="n"/>
      <c r="Z759" s="125" t="n"/>
      <c r="AA759" s="14" t="n"/>
      <c r="AB759" s="16" t="n"/>
      <c r="AC759" s="125" t="n"/>
      <c r="AD759" s="14" t="n"/>
    </row>
    <row r="760">
      <c r="B760" s="59" t="n"/>
      <c r="C760" s="59" t="n"/>
      <c r="E760" s="16" t="n"/>
      <c r="F760" s="13" t="n"/>
      <c r="G760" s="16" t="n"/>
      <c r="H760" s="125" t="n"/>
      <c r="I760" s="14" t="n"/>
      <c r="J760" s="16" t="n"/>
      <c r="K760" s="125" t="n"/>
      <c r="L760" s="14" t="n"/>
      <c r="M760" s="16" t="n"/>
      <c r="N760" s="125" t="n"/>
      <c r="O760" s="14" t="n"/>
      <c r="P760" s="16" t="n"/>
      <c r="Q760" s="125" t="n"/>
      <c r="R760" s="14" t="n"/>
      <c r="S760" s="16" t="n"/>
      <c r="T760" s="125" t="n"/>
      <c r="U760" s="14" t="n"/>
      <c r="V760" s="16" t="n"/>
      <c r="W760" s="125" t="n"/>
      <c r="X760" s="14" t="n"/>
      <c r="Y760" s="16" t="n"/>
      <c r="Z760" s="125" t="n"/>
      <c r="AA760" s="14" t="n"/>
      <c r="AB760" s="16" t="n"/>
      <c r="AC760" s="125" t="n"/>
      <c r="AD760" s="14" t="n"/>
    </row>
    <row r="761">
      <c r="B761" s="59" t="n"/>
      <c r="C761" s="59" t="n"/>
      <c r="E761" s="16" t="n"/>
      <c r="F761" s="13" t="n"/>
      <c r="G761" s="16" t="n"/>
      <c r="H761" s="125" t="n"/>
      <c r="I761" s="14" t="n"/>
      <c r="J761" s="16" t="n"/>
      <c r="K761" s="125" t="n"/>
      <c r="L761" s="14" t="n"/>
      <c r="M761" s="16" t="n"/>
      <c r="N761" s="125" t="n"/>
      <c r="O761" s="14" t="n"/>
      <c r="P761" s="16" t="n"/>
      <c r="Q761" s="125" t="n"/>
      <c r="R761" s="14" t="n"/>
      <c r="S761" s="16" t="n"/>
      <c r="T761" s="125" t="n"/>
      <c r="U761" s="14" t="n"/>
      <c r="V761" s="16" t="n"/>
      <c r="W761" s="125" t="n"/>
      <c r="X761" s="14" t="n"/>
      <c r="Y761" s="16" t="n"/>
      <c r="Z761" s="125" t="n"/>
      <c r="AA761" s="14" t="n"/>
      <c r="AB761" s="16" t="n"/>
      <c r="AC761" s="125" t="n"/>
      <c r="AD761" s="14" t="n"/>
    </row>
    <row r="762">
      <c r="B762" s="59" t="n"/>
      <c r="C762" s="59" t="n"/>
      <c r="E762" s="16" t="n"/>
      <c r="F762" s="13" t="n"/>
      <c r="G762" s="16" t="n"/>
      <c r="H762" s="125" t="n"/>
      <c r="I762" s="14" t="n"/>
      <c r="J762" s="16" t="n"/>
      <c r="K762" s="125" t="n"/>
      <c r="L762" s="14" t="n"/>
      <c r="M762" s="16" t="n"/>
      <c r="N762" s="125" t="n"/>
      <c r="O762" s="14" t="n"/>
      <c r="P762" s="16" t="n"/>
      <c r="Q762" s="125" t="n"/>
      <c r="R762" s="14" t="n"/>
      <c r="S762" s="16" t="n"/>
      <c r="T762" s="125" t="n"/>
      <c r="U762" s="14" t="n"/>
      <c r="V762" s="16" t="n"/>
      <c r="W762" s="125" t="n"/>
      <c r="X762" s="14" t="n"/>
      <c r="Y762" s="16" t="n"/>
      <c r="Z762" s="125" t="n"/>
      <c r="AA762" s="14" t="n"/>
      <c r="AB762" s="16" t="n"/>
      <c r="AC762" s="125" t="n"/>
      <c r="AD762" s="14" t="n"/>
    </row>
    <row r="763">
      <c r="B763" s="59" t="n"/>
      <c r="C763" s="59" t="n"/>
      <c r="E763" s="16" t="n"/>
      <c r="F763" s="13" t="n"/>
      <c r="G763" s="16" t="n"/>
      <c r="H763" s="125" t="n"/>
      <c r="I763" s="14" t="n"/>
      <c r="J763" s="16" t="n"/>
      <c r="K763" s="125" t="n"/>
      <c r="L763" s="14" t="n"/>
      <c r="M763" s="16" t="n"/>
      <c r="N763" s="125" t="n"/>
      <c r="O763" s="14" t="n"/>
      <c r="P763" s="16" t="n"/>
      <c r="Q763" s="125" t="n"/>
      <c r="R763" s="14" t="n"/>
      <c r="S763" s="16" t="n"/>
      <c r="T763" s="125" t="n"/>
      <c r="U763" s="14" t="n"/>
      <c r="V763" s="16" t="n"/>
      <c r="W763" s="125" t="n"/>
      <c r="X763" s="14" t="n"/>
      <c r="Y763" s="16" t="n"/>
      <c r="Z763" s="125" t="n"/>
      <c r="AA763" s="14" t="n"/>
      <c r="AB763" s="16" t="n"/>
      <c r="AC763" s="125" t="n"/>
      <c r="AD763" s="14" t="n"/>
    </row>
    <row r="764">
      <c r="B764" s="59" t="n"/>
      <c r="C764" s="59" t="n"/>
      <c r="E764" s="16" t="n"/>
      <c r="F764" s="13" t="n"/>
      <c r="G764" s="16" t="n"/>
      <c r="H764" s="125" t="n"/>
      <c r="I764" s="14" t="n"/>
      <c r="J764" s="16" t="n"/>
      <c r="K764" s="125" t="n"/>
      <c r="L764" s="14" t="n"/>
      <c r="M764" s="16" t="n"/>
      <c r="N764" s="125" t="n"/>
      <c r="O764" s="14" t="n"/>
      <c r="P764" s="16" t="n"/>
      <c r="Q764" s="125" t="n"/>
      <c r="R764" s="14" t="n"/>
      <c r="S764" s="16" t="n"/>
      <c r="T764" s="125" t="n"/>
      <c r="U764" s="14" t="n"/>
      <c r="V764" s="16" t="n"/>
      <c r="W764" s="125" t="n"/>
      <c r="X764" s="14" t="n"/>
      <c r="Y764" s="16" t="n"/>
      <c r="Z764" s="125" t="n"/>
      <c r="AA764" s="14" t="n"/>
      <c r="AB764" s="16" t="n"/>
      <c r="AC764" s="125" t="n"/>
      <c r="AD764" s="14" t="n"/>
    </row>
    <row r="765">
      <c r="B765" s="59" t="n"/>
      <c r="C765" s="59" t="n"/>
      <c r="E765" s="16" t="n"/>
      <c r="F765" s="13" t="n"/>
      <c r="G765" s="16" t="n"/>
      <c r="H765" s="125" t="n"/>
      <c r="I765" s="14" t="n"/>
      <c r="J765" s="16" t="n"/>
      <c r="K765" s="125" t="n"/>
      <c r="L765" s="14" t="n"/>
      <c r="M765" s="16" t="n"/>
      <c r="N765" s="125" t="n"/>
      <c r="O765" s="14" t="n"/>
      <c r="P765" s="16" t="n"/>
      <c r="Q765" s="125" t="n"/>
      <c r="R765" s="14" t="n"/>
      <c r="S765" s="16" t="n"/>
      <c r="T765" s="125" t="n"/>
      <c r="U765" s="14" t="n"/>
      <c r="V765" s="16" t="n"/>
      <c r="W765" s="125" t="n"/>
      <c r="X765" s="14" t="n"/>
      <c r="Y765" s="16" t="n"/>
      <c r="Z765" s="125" t="n"/>
      <c r="AA765" s="14" t="n"/>
      <c r="AB765" s="16" t="n"/>
      <c r="AC765" s="125" t="n"/>
      <c r="AD765" s="14" t="n"/>
    </row>
    <row r="766">
      <c r="B766" s="59" t="n"/>
      <c r="C766" s="59" t="n"/>
      <c r="E766" s="16" t="n"/>
      <c r="F766" s="13" t="n"/>
      <c r="G766" s="16" t="n"/>
      <c r="H766" s="125" t="n"/>
      <c r="I766" s="14" t="n"/>
      <c r="J766" s="16" t="n"/>
      <c r="K766" s="125" t="n"/>
      <c r="L766" s="14" t="n"/>
      <c r="M766" s="16" t="n"/>
      <c r="N766" s="125" t="n"/>
      <c r="O766" s="14" t="n"/>
      <c r="P766" s="16" t="n"/>
      <c r="Q766" s="125" t="n"/>
      <c r="R766" s="14" t="n"/>
      <c r="S766" s="16" t="n"/>
      <c r="T766" s="125" t="n"/>
      <c r="U766" s="14" t="n"/>
      <c r="V766" s="16" t="n"/>
      <c r="W766" s="125" t="n"/>
      <c r="X766" s="14" t="n"/>
      <c r="Y766" s="16" t="n"/>
      <c r="Z766" s="125" t="n"/>
      <c r="AA766" s="14" t="n"/>
      <c r="AB766" s="16" t="n"/>
      <c r="AC766" s="125" t="n"/>
      <c r="AD766" s="14" t="n"/>
    </row>
    <row r="767">
      <c r="B767" s="59" t="n"/>
      <c r="C767" s="59" t="n"/>
      <c r="E767" s="16" t="n"/>
      <c r="F767" s="13" t="n"/>
      <c r="G767" s="16" t="n"/>
      <c r="H767" s="125" t="n"/>
      <c r="I767" s="14" t="n"/>
      <c r="J767" s="16" t="n"/>
      <c r="K767" s="125" t="n"/>
      <c r="L767" s="14" t="n"/>
      <c r="M767" s="16" t="n"/>
      <c r="N767" s="125" t="n"/>
      <c r="O767" s="14" t="n"/>
      <c r="P767" s="16" t="n"/>
      <c r="Q767" s="125" t="n"/>
      <c r="R767" s="14" t="n"/>
      <c r="S767" s="16" t="n"/>
      <c r="T767" s="125" t="n"/>
      <c r="U767" s="14" t="n"/>
      <c r="V767" s="16" t="n"/>
      <c r="W767" s="125" t="n"/>
      <c r="X767" s="14" t="n"/>
      <c r="Y767" s="16" t="n"/>
      <c r="Z767" s="125" t="n"/>
      <c r="AA767" s="14" t="n"/>
      <c r="AB767" s="16" t="n"/>
      <c r="AC767" s="125" t="n"/>
      <c r="AD767" s="14" t="n"/>
    </row>
    <row r="768">
      <c r="B768" s="59" t="n"/>
      <c r="C768" s="59" t="n"/>
      <c r="E768" s="16" t="n"/>
      <c r="F768" s="13" t="n"/>
      <c r="G768" s="16" t="n"/>
      <c r="H768" s="125" t="n"/>
      <c r="I768" s="14" t="n"/>
      <c r="J768" s="16" t="n"/>
      <c r="K768" s="125" t="n"/>
      <c r="L768" s="14" t="n"/>
      <c r="M768" s="16" t="n"/>
      <c r="N768" s="125" t="n"/>
      <c r="O768" s="14" t="n"/>
      <c r="P768" s="16" t="n"/>
      <c r="Q768" s="125" t="n"/>
      <c r="R768" s="14" t="n"/>
      <c r="S768" s="16" t="n"/>
      <c r="T768" s="125" t="n"/>
      <c r="U768" s="14" t="n"/>
      <c r="V768" s="16" t="n"/>
      <c r="W768" s="125" t="n"/>
      <c r="X768" s="14" t="n"/>
      <c r="Y768" s="16" t="n"/>
      <c r="Z768" s="125" t="n"/>
      <c r="AA768" s="14" t="n"/>
      <c r="AB768" s="16" t="n"/>
      <c r="AC768" s="125" t="n"/>
      <c r="AD768" s="14" t="n"/>
    </row>
    <row r="769">
      <c r="B769" s="59" t="n"/>
      <c r="C769" s="59" t="n"/>
      <c r="E769" s="16" t="n"/>
      <c r="F769" s="13" t="n"/>
      <c r="G769" s="16" t="n"/>
      <c r="H769" s="125" t="n"/>
      <c r="I769" s="14" t="n"/>
      <c r="J769" s="16" t="n"/>
      <c r="K769" s="125" t="n"/>
      <c r="L769" s="14" t="n"/>
      <c r="M769" s="16" t="n"/>
      <c r="N769" s="125" t="n"/>
      <c r="O769" s="14" t="n"/>
      <c r="P769" s="16" t="n"/>
      <c r="Q769" s="125" t="n"/>
      <c r="R769" s="14" t="n"/>
      <c r="S769" s="16" t="n"/>
      <c r="T769" s="125" t="n"/>
      <c r="U769" s="14" t="n"/>
      <c r="V769" s="16" t="n"/>
      <c r="W769" s="125" t="n"/>
      <c r="X769" s="14" t="n"/>
      <c r="Y769" s="16" t="n"/>
      <c r="Z769" s="125" t="n"/>
      <c r="AA769" s="14" t="n"/>
      <c r="AB769" s="16" t="n"/>
      <c r="AC769" s="125" t="n"/>
      <c r="AD769" s="14" t="n"/>
    </row>
    <row r="770">
      <c r="B770" s="59" t="n"/>
      <c r="C770" s="59" t="n"/>
      <c r="E770" s="16" t="n"/>
      <c r="F770" s="13" t="n"/>
      <c r="G770" s="16" t="n"/>
      <c r="H770" s="125" t="n"/>
      <c r="I770" s="14" t="n"/>
      <c r="J770" s="16" t="n"/>
      <c r="K770" s="125" t="n"/>
      <c r="L770" s="14" t="n"/>
      <c r="M770" s="16" t="n"/>
      <c r="N770" s="125" t="n"/>
      <c r="O770" s="14" t="n"/>
      <c r="P770" s="16" t="n"/>
      <c r="Q770" s="125" t="n"/>
      <c r="R770" s="14" t="n"/>
      <c r="S770" s="16" t="n"/>
      <c r="T770" s="125" t="n"/>
      <c r="U770" s="14" t="n"/>
      <c r="V770" s="16" t="n"/>
      <c r="W770" s="125" t="n"/>
      <c r="X770" s="14" t="n"/>
      <c r="Y770" s="16" t="n"/>
      <c r="Z770" s="125" t="n"/>
      <c r="AA770" s="14" t="n"/>
      <c r="AB770" s="16" t="n"/>
      <c r="AC770" s="125" t="n"/>
      <c r="AD770" s="14" t="n"/>
    </row>
    <row r="771">
      <c r="B771" s="59" t="n"/>
      <c r="C771" s="59" t="n"/>
      <c r="E771" s="16" t="n"/>
      <c r="F771" s="13" t="n"/>
      <c r="G771" s="16" t="n"/>
      <c r="H771" s="125" t="n"/>
      <c r="I771" s="14" t="n"/>
      <c r="J771" s="16" t="n"/>
      <c r="K771" s="125" t="n"/>
      <c r="L771" s="14" t="n"/>
      <c r="M771" s="16" t="n"/>
      <c r="N771" s="125" t="n"/>
      <c r="O771" s="14" t="n"/>
      <c r="P771" s="16" t="n"/>
      <c r="Q771" s="125" t="n"/>
      <c r="R771" s="14" t="n"/>
      <c r="S771" s="16" t="n"/>
      <c r="T771" s="125" t="n"/>
      <c r="U771" s="14" t="n"/>
      <c r="V771" s="16" t="n"/>
      <c r="W771" s="125" t="n"/>
      <c r="X771" s="14" t="n"/>
      <c r="Y771" s="16" t="n"/>
      <c r="Z771" s="125" t="n"/>
      <c r="AA771" s="14" t="n"/>
      <c r="AB771" s="16" t="n"/>
      <c r="AC771" s="125" t="n"/>
      <c r="AD771" s="14" t="n"/>
    </row>
    <row r="772">
      <c r="B772" s="59" t="n"/>
      <c r="C772" s="59" t="n"/>
      <c r="E772" s="16" t="n"/>
      <c r="F772" s="13" t="n"/>
      <c r="G772" s="16" t="n"/>
      <c r="H772" s="125" t="n"/>
      <c r="I772" s="14" t="n"/>
      <c r="J772" s="16" t="n"/>
      <c r="K772" s="125" t="n"/>
      <c r="L772" s="14" t="n"/>
      <c r="M772" s="16" t="n"/>
      <c r="N772" s="125" t="n"/>
      <c r="O772" s="14" t="n"/>
      <c r="P772" s="16" t="n"/>
      <c r="Q772" s="125" t="n"/>
      <c r="R772" s="14" t="n"/>
      <c r="S772" s="16" t="n"/>
      <c r="T772" s="125" t="n"/>
      <c r="U772" s="14" t="n"/>
      <c r="V772" s="16" t="n"/>
      <c r="W772" s="125" t="n"/>
      <c r="X772" s="14" t="n"/>
      <c r="Y772" s="16" t="n"/>
      <c r="Z772" s="125" t="n"/>
      <c r="AA772" s="14" t="n"/>
      <c r="AB772" s="16" t="n"/>
      <c r="AC772" s="125" t="n"/>
      <c r="AD772" s="14" t="n"/>
    </row>
    <row r="773">
      <c r="B773" s="59" t="n"/>
      <c r="C773" s="59" t="n"/>
      <c r="E773" s="16" t="n"/>
      <c r="F773" s="13" t="n"/>
      <c r="G773" s="16" t="n"/>
      <c r="H773" s="125" t="n"/>
      <c r="I773" s="14" t="n"/>
      <c r="J773" s="16" t="n"/>
      <c r="K773" s="125" t="n"/>
      <c r="L773" s="14" t="n"/>
      <c r="M773" s="16" t="n"/>
      <c r="N773" s="125" t="n"/>
      <c r="O773" s="14" t="n"/>
      <c r="P773" s="16" t="n"/>
      <c r="Q773" s="125" t="n"/>
      <c r="R773" s="14" t="n"/>
      <c r="S773" s="16" t="n"/>
      <c r="T773" s="125" t="n"/>
      <c r="U773" s="14" t="n"/>
      <c r="V773" s="16" t="n"/>
      <c r="W773" s="125" t="n"/>
      <c r="X773" s="14" t="n"/>
      <c r="Y773" s="16" t="n"/>
      <c r="Z773" s="125" t="n"/>
      <c r="AA773" s="14" t="n"/>
      <c r="AB773" s="16" t="n"/>
      <c r="AC773" s="125" t="n"/>
      <c r="AD773" s="14" t="n"/>
    </row>
    <row r="774">
      <c r="B774" s="59" t="n"/>
      <c r="C774" s="59" t="n"/>
      <c r="E774" s="16" t="n"/>
      <c r="F774" s="13" t="n"/>
      <c r="G774" s="16" t="n"/>
      <c r="H774" s="125" t="n"/>
      <c r="I774" s="14" t="n"/>
      <c r="J774" s="16" t="n"/>
      <c r="K774" s="125" t="n"/>
      <c r="L774" s="14" t="n"/>
      <c r="M774" s="16" t="n"/>
      <c r="N774" s="125" t="n"/>
      <c r="O774" s="14" t="n"/>
      <c r="P774" s="16" t="n"/>
      <c r="Q774" s="125" t="n"/>
      <c r="R774" s="14" t="n"/>
      <c r="S774" s="16" t="n"/>
      <c r="T774" s="125" t="n"/>
      <c r="U774" s="14" t="n"/>
      <c r="V774" s="16" t="n"/>
      <c r="W774" s="125" t="n"/>
      <c r="X774" s="14" t="n"/>
      <c r="Y774" s="16" t="n"/>
      <c r="Z774" s="125" t="n"/>
      <c r="AA774" s="14" t="n"/>
      <c r="AB774" s="16" t="n"/>
      <c r="AC774" s="125" t="n"/>
      <c r="AD774" s="14" t="n"/>
    </row>
    <row r="775">
      <c r="B775" s="59" t="n"/>
      <c r="C775" s="59" t="n"/>
      <c r="E775" s="16" t="n"/>
      <c r="F775" s="13" t="n"/>
      <c r="G775" s="16" t="n"/>
      <c r="H775" s="125" t="n"/>
      <c r="I775" s="14" t="n"/>
      <c r="J775" s="16" t="n"/>
      <c r="K775" s="125" t="n"/>
      <c r="L775" s="14" t="n"/>
      <c r="M775" s="16" t="n"/>
      <c r="N775" s="125" t="n"/>
      <c r="O775" s="14" t="n"/>
      <c r="P775" s="16" t="n"/>
      <c r="Q775" s="125" t="n"/>
      <c r="R775" s="14" t="n"/>
      <c r="S775" s="16" t="n"/>
      <c r="T775" s="125" t="n"/>
      <c r="U775" s="14" t="n"/>
      <c r="V775" s="16" t="n"/>
      <c r="W775" s="125" t="n"/>
      <c r="X775" s="14" t="n"/>
      <c r="Y775" s="16" t="n"/>
      <c r="Z775" s="125" t="n"/>
      <c r="AA775" s="14" t="n"/>
      <c r="AB775" s="16" t="n"/>
      <c r="AC775" s="125" t="n"/>
      <c r="AD775" s="14" t="n"/>
    </row>
    <row r="776">
      <c r="B776" s="59" t="n"/>
      <c r="C776" s="59" t="n"/>
      <c r="E776" s="16" t="n"/>
      <c r="F776" s="13" t="n"/>
      <c r="G776" s="16" t="n"/>
      <c r="H776" s="125" t="n"/>
      <c r="I776" s="14" t="n"/>
      <c r="J776" s="16" t="n"/>
      <c r="K776" s="125" t="n"/>
      <c r="L776" s="14" t="n"/>
      <c r="M776" s="16" t="n"/>
      <c r="N776" s="125" t="n"/>
      <c r="O776" s="14" t="n"/>
      <c r="P776" s="16" t="n"/>
      <c r="Q776" s="125" t="n"/>
      <c r="R776" s="14" t="n"/>
      <c r="S776" s="16" t="n"/>
      <c r="T776" s="125" t="n"/>
      <c r="U776" s="14" t="n"/>
      <c r="V776" s="16" t="n"/>
      <c r="W776" s="125" t="n"/>
      <c r="X776" s="14" t="n"/>
      <c r="Y776" s="16" t="n"/>
      <c r="Z776" s="125" t="n"/>
      <c r="AA776" s="14" t="n"/>
      <c r="AB776" s="16" t="n"/>
      <c r="AC776" s="125" t="n"/>
      <c r="AD776" s="14" t="n"/>
    </row>
    <row r="777">
      <c r="B777" s="59" t="n"/>
      <c r="C777" s="59" t="n"/>
      <c r="E777" s="16" t="n"/>
      <c r="F777" s="13" t="n"/>
      <c r="G777" s="16" t="n"/>
      <c r="H777" s="125" t="n"/>
      <c r="I777" s="14" t="n"/>
      <c r="J777" s="16" t="n"/>
      <c r="K777" s="125" t="n"/>
      <c r="L777" s="14" t="n"/>
      <c r="M777" s="16" t="n"/>
      <c r="N777" s="125" t="n"/>
      <c r="O777" s="14" t="n"/>
      <c r="P777" s="16" t="n"/>
      <c r="Q777" s="125" t="n"/>
      <c r="R777" s="14" t="n"/>
      <c r="S777" s="16" t="n"/>
      <c r="T777" s="125" t="n"/>
      <c r="U777" s="14" t="n"/>
      <c r="V777" s="16" t="n"/>
      <c r="W777" s="125" t="n"/>
      <c r="X777" s="14" t="n"/>
      <c r="Y777" s="16" t="n"/>
      <c r="Z777" s="125" t="n"/>
      <c r="AA777" s="14" t="n"/>
      <c r="AB777" s="16" t="n"/>
      <c r="AC777" s="125" t="n"/>
      <c r="AD777" s="14" t="n"/>
    </row>
  </sheetData>
  <autoFilter ref="A14:E488"/>
  <conditionalFormatting sqref="E15:E777">
    <cfRule type="cellIs" priority="1" operator="greaterThan" dxfId="3">
      <formula>0</formula>
    </cfRule>
  </conditionalFormatting>
  <conditionalFormatting sqref="G15:G215">
    <cfRule type="expression" priority="54" dxfId="2">
      <formula>AND(NOT(ISBLANK(G15)),G15&lt;H$7)</formula>
    </cfRule>
    <cfRule type="expression" priority="55" dxfId="1">
      <formula>AND(G15&lt;=(H$7),(G15+H$5)&gt;(H$7))</formula>
    </cfRule>
    <cfRule type="expression" priority="56" dxfId="0">
      <formula>AND(NOT(ISBLANK(G15)),G15&gt;H$7)</formula>
    </cfRule>
  </conditionalFormatting>
  <conditionalFormatting sqref="G15:G264">
    <cfRule type="cellIs" priority="58" operator="greaterThan" dxfId="3">
      <formula>0</formula>
    </cfRule>
  </conditionalFormatting>
  <conditionalFormatting sqref="H2">
    <cfRule type="iconSet" priority="53">
      <iconSet iconSet="3Symbols2">
        <cfvo type="percent" val="0"/>
        <cfvo type="num" val="30" gte="0"/>
        <cfvo type="num" val="50" gte="0"/>
      </iconSet>
    </cfRule>
  </conditionalFormatting>
  <conditionalFormatting sqref="H15:H264">
    <cfRule type="dataBar" priority="57">
      <dataBar>
        <cfvo type="num" val="0"/>
        <cfvo type="max"/>
        <color rgb="FF638EC6"/>
      </dataBar>
    </cfRule>
  </conditionalFormatting>
  <conditionalFormatting sqref="J15:J215">
    <cfRule type="expression" priority="47" dxfId="2">
      <formula>AND(NOT(ISBLANK(J15)),J15&lt;K$7)</formula>
    </cfRule>
    <cfRule type="expression" priority="48" dxfId="1">
      <formula>AND(J15&lt;=(K$7),(J15+K$5)&gt;(K$7))</formula>
    </cfRule>
    <cfRule type="expression" priority="49" dxfId="0">
      <formula>AND(NOT(ISBLANK(J15)),J15&gt;K$7)</formula>
    </cfRule>
  </conditionalFormatting>
  <conditionalFormatting sqref="J15:J264">
    <cfRule type="cellIs" priority="51" operator="greaterThan" dxfId="3">
      <formula>0</formula>
    </cfRule>
  </conditionalFormatting>
  <conditionalFormatting sqref="K2">
    <cfRule type="iconSet" priority="46">
      <iconSet iconSet="3Symbols2">
        <cfvo type="percent" val="0"/>
        <cfvo type="num" val="30" gte="0"/>
        <cfvo type="num" val="50" gte="0"/>
      </iconSet>
    </cfRule>
  </conditionalFormatting>
  <conditionalFormatting sqref="K15:K264">
    <cfRule type="dataBar" priority="50">
      <dataBar>
        <cfvo type="num" val="0"/>
        <cfvo type="max"/>
        <color rgb="FF638EC6"/>
      </dataBar>
    </cfRule>
  </conditionalFormatting>
  <conditionalFormatting sqref="M15:M215">
    <cfRule type="expression" priority="40" dxfId="2">
      <formula>AND(NOT(ISBLANK(M15)),M15&lt;N$7)</formula>
    </cfRule>
    <cfRule type="expression" priority="41" dxfId="1">
      <formula>AND(M15&lt;=(N$7),(M15+N$5)&gt;(N$7))</formula>
    </cfRule>
    <cfRule type="expression" priority="42" dxfId="0">
      <formula>AND(NOT(ISBLANK(M15)),M15&gt;N$7)</formula>
    </cfRule>
  </conditionalFormatting>
  <conditionalFormatting sqref="M15:M264">
    <cfRule type="cellIs" priority="44" operator="greaterThan" dxfId="3">
      <formula>0</formula>
    </cfRule>
  </conditionalFormatting>
  <conditionalFormatting sqref="N2">
    <cfRule type="iconSet" priority="39">
      <iconSet iconSet="3Symbols2">
        <cfvo type="percent" val="0"/>
        <cfvo type="num" val="30" gte="0"/>
        <cfvo type="num" val="50" gte="0"/>
      </iconSet>
    </cfRule>
  </conditionalFormatting>
  <conditionalFormatting sqref="N15:N264">
    <cfRule type="dataBar" priority="43">
      <dataBar>
        <cfvo type="num" val="0"/>
        <cfvo type="max"/>
        <color rgb="FF638EC6"/>
      </dataBar>
    </cfRule>
  </conditionalFormatting>
  <conditionalFormatting sqref="P15:P215">
    <cfRule type="expression" priority="33" dxfId="2">
      <formula>AND(NOT(ISBLANK(P15)),P15&lt;Q$7)</formula>
    </cfRule>
    <cfRule type="expression" priority="34" dxfId="1">
      <formula>AND(P15&lt;=(Q$7),(P15+Q$5)&gt;(Q$7))</formula>
    </cfRule>
    <cfRule type="expression" priority="35" dxfId="0">
      <formula>AND(NOT(ISBLANK(P15)),P15&gt;Q$7)</formula>
    </cfRule>
  </conditionalFormatting>
  <conditionalFormatting sqref="P15:P264">
    <cfRule type="cellIs" priority="37" operator="greaterThan" dxfId="3">
      <formula>0</formula>
    </cfRule>
  </conditionalFormatting>
  <conditionalFormatting sqref="Q2">
    <cfRule type="iconSet" priority="32">
      <iconSet iconSet="3Symbols2">
        <cfvo type="percent" val="0"/>
        <cfvo type="num" val="30" gte="0"/>
        <cfvo type="num" val="50" gte="0"/>
      </iconSet>
    </cfRule>
  </conditionalFormatting>
  <conditionalFormatting sqref="Q15:Q264">
    <cfRule type="dataBar" priority="36">
      <dataBar>
        <cfvo type="num" val="0"/>
        <cfvo type="max"/>
        <color rgb="FF638EC6"/>
      </dataBar>
    </cfRule>
  </conditionalFormatting>
  <conditionalFormatting sqref="S15:S215">
    <cfRule type="expression" priority="26" dxfId="2">
      <formula>AND(NOT(ISBLANK(S15)),S15&lt;T$7)</formula>
    </cfRule>
    <cfRule type="expression" priority="27" dxfId="1">
      <formula>AND(S15&lt;=(T$7),(S15+T$5)&gt;(T$7))</formula>
    </cfRule>
    <cfRule type="expression" priority="28" dxfId="0">
      <formula>AND(NOT(ISBLANK(S15)),S15&gt;T$7)</formula>
    </cfRule>
  </conditionalFormatting>
  <conditionalFormatting sqref="S15:S264">
    <cfRule type="cellIs" priority="30" operator="greaterThan" dxfId="3">
      <formula>0</formula>
    </cfRule>
  </conditionalFormatting>
  <conditionalFormatting sqref="T2">
    <cfRule type="iconSet" priority="25">
      <iconSet iconSet="3Symbols2">
        <cfvo type="percent" val="0"/>
        <cfvo type="num" val="30" gte="0"/>
        <cfvo type="num" val="50" gte="0"/>
      </iconSet>
    </cfRule>
  </conditionalFormatting>
  <conditionalFormatting sqref="T15:T264">
    <cfRule type="dataBar" priority="29">
      <dataBar>
        <cfvo type="num" val="0"/>
        <cfvo type="max"/>
        <color rgb="FF638EC6"/>
      </dataBar>
    </cfRule>
  </conditionalFormatting>
  <conditionalFormatting sqref="V15:V215">
    <cfRule type="expression" priority="19" dxfId="2">
      <formula>AND(NOT(ISBLANK(V15)),V15&lt;W$7)</formula>
    </cfRule>
    <cfRule type="expression" priority="20" dxfId="1">
      <formula>AND(V15&lt;=(W$7),(V15+W$5)&gt;(W$7))</formula>
    </cfRule>
    <cfRule type="expression" priority="21" dxfId="0">
      <formula>AND(NOT(ISBLANK(V15)),V15&gt;W$7)</formula>
    </cfRule>
  </conditionalFormatting>
  <conditionalFormatting sqref="V15:V264">
    <cfRule type="cellIs" priority="23" operator="greaterThan" dxfId="3">
      <formula>0</formula>
    </cfRule>
  </conditionalFormatting>
  <conditionalFormatting sqref="W2">
    <cfRule type="iconSet" priority="18">
      <iconSet iconSet="3Symbols2">
        <cfvo type="percent" val="0"/>
        <cfvo type="num" val="30" gte="0"/>
        <cfvo type="num" val="50" gte="0"/>
      </iconSet>
    </cfRule>
  </conditionalFormatting>
  <conditionalFormatting sqref="W15:W264">
    <cfRule type="dataBar" priority="22">
      <dataBar>
        <cfvo type="num" val="0"/>
        <cfvo type="max"/>
        <color rgb="FF638EC6"/>
      </dataBar>
    </cfRule>
  </conditionalFormatting>
  <conditionalFormatting sqref="Y15:Y215">
    <cfRule type="expression" priority="12" dxfId="2">
      <formula>AND(NOT(ISBLANK(Y15)),Y15&lt;Z$7)</formula>
    </cfRule>
    <cfRule type="expression" priority="13" dxfId="1">
      <formula>AND(Y15&lt;=(Z$7),(Y15+Z$5)&gt;(Z$7))</formula>
    </cfRule>
    <cfRule type="expression" priority="14" dxfId="0">
      <formula>AND(NOT(ISBLANK(Y15)),Y15&gt;Z$7)</formula>
    </cfRule>
  </conditionalFormatting>
  <conditionalFormatting sqref="Y15:Y264">
    <cfRule type="cellIs" priority="16" operator="greaterThan" dxfId="3">
      <formula>0</formula>
    </cfRule>
  </conditionalFormatting>
  <conditionalFormatting sqref="Z2">
    <cfRule type="iconSet" priority="11">
      <iconSet iconSet="3Symbols2">
        <cfvo type="percent" val="0"/>
        <cfvo type="num" val="30" gte="0"/>
        <cfvo type="num" val="50" gte="0"/>
      </iconSet>
    </cfRule>
  </conditionalFormatting>
  <conditionalFormatting sqref="Z15:Z264">
    <cfRule type="dataBar" priority="15">
      <dataBar>
        <cfvo type="num" val="0"/>
        <cfvo type="max"/>
        <color rgb="FF638EC6"/>
      </dataBar>
    </cfRule>
  </conditionalFormatting>
  <conditionalFormatting sqref="AB15:AB215">
    <cfRule type="expression" priority="5" dxfId="2">
      <formula>AND(NOT(ISBLANK(AB15)),AB15&lt;AC$7)</formula>
    </cfRule>
    <cfRule type="expression" priority="6" dxfId="1">
      <formula>AND(AB15&lt;=(AC$7),(AB15+AC$5)&gt;(AC$7))</formula>
    </cfRule>
    <cfRule type="expression" priority="7" dxfId="0">
      <formula>AND(NOT(ISBLANK(AB15)),AB15&gt;AC$7)</formula>
    </cfRule>
  </conditionalFormatting>
  <conditionalFormatting sqref="AB15:AB264">
    <cfRule type="cellIs" priority="9" operator="greaterThan" dxfId="3">
      <formula>0</formula>
    </cfRule>
  </conditionalFormatting>
  <conditionalFormatting sqref="AC2">
    <cfRule type="iconSet" priority="4">
      <iconSet iconSet="3Symbols2">
        <cfvo type="percent" val="0"/>
        <cfvo type="num" val="30" gte="0"/>
        <cfvo type="num" val="50" gte="0"/>
      </iconSet>
    </cfRule>
  </conditionalFormatting>
  <conditionalFormatting sqref="AC15:AC264">
    <cfRule type="dataBar" priority="8">
      <dataBar>
        <cfvo type="num" val="0"/>
        <cfvo type="max"/>
        <color rgb="FF638EC6"/>
      </dataBar>
    </cfRule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tabColor rgb="FFFF0000"/>
    <outlinePr summaryBelow="1" summaryRight="1"/>
    <pageSetUpPr/>
  </sheetPr>
  <dimension ref="A1:AE633"/>
  <sheetViews>
    <sheetView showGridLines="0" zoomScale="70" zoomScaleNormal="70" workbookViewId="0">
      <selection activeCell="A15" sqref="A15:D1048576"/>
    </sheetView>
  </sheetViews>
  <sheetFormatPr baseColWidth="8" defaultRowHeight="14.4"/>
  <cols>
    <col width="8.44140625" customWidth="1" style="113" min="1" max="1"/>
    <col width="11.88671875" customWidth="1" style="113" min="2" max="2"/>
    <col width="7.109375" customWidth="1" style="113" min="3" max="3"/>
    <col width="8.5546875" customWidth="1" style="113" min="4" max="4"/>
    <col width="4.5546875" bestFit="1" customWidth="1" style="113" min="5" max="5"/>
    <col width="2.6640625" customWidth="1" style="113" min="6" max="6"/>
    <col width="11.5546875" customWidth="1" style="113" min="7" max="8"/>
    <col width="2.33203125" customWidth="1" style="113" min="9" max="9"/>
    <col width="11.5546875" customWidth="1" style="113" min="10" max="11"/>
    <col width="2.33203125" customWidth="1" style="113" min="12" max="12"/>
    <col width="11.5546875" customWidth="1" style="113" min="13" max="14"/>
    <col width="2.33203125" customWidth="1" style="113" min="15" max="15"/>
    <col width="11.5546875" customWidth="1" style="113" min="16" max="17"/>
    <col width="2.33203125" customWidth="1" style="113" min="18" max="18"/>
    <col width="11.5546875" customWidth="1" style="113" min="19" max="20"/>
    <col width="2.33203125" customWidth="1" style="113" min="21" max="21"/>
    <col width="11.5546875" customWidth="1" style="113" min="22" max="23"/>
    <col width="2.33203125" customWidth="1" style="113" min="24" max="24"/>
    <col width="11.5546875" customWidth="1" style="113" min="25" max="26"/>
    <col width="2.33203125" customWidth="1" style="113" min="27" max="27"/>
    <col width="11.5546875" customWidth="1" style="113" min="28" max="29"/>
    <col width="2.33203125" customWidth="1" style="113" min="30" max="30"/>
  </cols>
  <sheetData>
    <row r="1">
      <c r="D1" s="114" t="n"/>
      <c r="E1" s="115" t="n"/>
      <c r="F1" s="31" t="n"/>
      <c r="G1" s="36">
        <f>FAO!B1&amp;" max ="</f>
        <v/>
      </c>
      <c r="H1" s="116">
        <f>+FAO!B10</f>
        <v/>
      </c>
      <c r="I1" s="32" t="n"/>
      <c r="J1" s="36">
        <f>FAO!E1&amp;" max ="</f>
        <v/>
      </c>
      <c r="K1" s="116">
        <f>+FAO!E10</f>
        <v/>
      </c>
      <c r="L1" s="32" t="n"/>
      <c r="M1" s="36">
        <f>FAO!H1&amp;" max ="</f>
        <v/>
      </c>
      <c r="N1" s="116">
        <f>+FAO!H10</f>
        <v/>
      </c>
      <c r="O1" s="32" t="n"/>
      <c r="P1" s="36">
        <f>FAO!K1&amp;" max ="</f>
        <v/>
      </c>
      <c r="Q1" s="116">
        <f>+FAO!K10</f>
        <v/>
      </c>
      <c r="R1" s="32" t="n"/>
      <c r="S1" s="36">
        <f>FAO!N1&amp;" max ="</f>
        <v/>
      </c>
      <c r="T1" s="116">
        <f>+FAO!N10</f>
        <v/>
      </c>
      <c r="U1" s="32" t="n"/>
      <c r="V1" s="36">
        <f>FAO!Q1&amp;" max ="</f>
        <v/>
      </c>
      <c r="W1" s="116">
        <f>+FAO!Q10</f>
        <v/>
      </c>
      <c r="X1" s="32" t="n"/>
      <c r="Y1" s="36">
        <f>FAO!T1&amp;" max ="</f>
        <v/>
      </c>
      <c r="Z1" s="116">
        <f>+FAO!T10</f>
        <v/>
      </c>
      <c r="AA1" s="32" t="n"/>
      <c r="AB1" s="36">
        <f>FAO!W1&amp;" max ="</f>
        <v/>
      </c>
      <c r="AC1" s="116">
        <f>+FAO!W10</f>
        <v/>
      </c>
      <c r="AD1" s="32" t="n"/>
      <c r="AE1">
        <f>COUNTA($C$15:$C$10001)</f>
        <v/>
      </c>
    </row>
    <row r="2">
      <c r="D2" s="114" t="n"/>
      <c r="E2" s="115" t="n"/>
      <c r="F2" s="31" t="n"/>
      <c r="G2" s="48" t="inlineStr">
        <is>
          <t>obs n =</t>
        </is>
      </c>
      <c r="H2">
        <f>COUNTIF($C$18:$C$1003,G13)</f>
        <v/>
      </c>
      <c r="I2" s="32" t="n"/>
      <c r="J2" s="48" t="inlineStr">
        <is>
          <t>obs n =</t>
        </is>
      </c>
      <c r="K2">
        <f>COUNTIF($C$18:$C$1003,J13)</f>
        <v/>
      </c>
      <c r="L2" s="32" t="n"/>
      <c r="M2" s="48" t="inlineStr">
        <is>
          <t>obs n =</t>
        </is>
      </c>
      <c r="N2">
        <f>COUNTIF($C$18:$C$1003,M13)</f>
        <v/>
      </c>
      <c r="O2" s="32" t="n"/>
      <c r="P2" s="48" t="inlineStr">
        <is>
          <t>obs n =</t>
        </is>
      </c>
      <c r="Q2">
        <f>COUNTIF($C$18:$C$1003,P13)</f>
        <v/>
      </c>
      <c r="R2" s="32" t="n"/>
      <c r="S2" s="48" t="inlineStr">
        <is>
          <t>obs n =</t>
        </is>
      </c>
      <c r="T2">
        <f>COUNTIF($C$18:$C$1003,S13)</f>
        <v/>
      </c>
      <c r="U2" s="32" t="n"/>
      <c r="V2" s="48" t="inlineStr">
        <is>
          <t>obs n =</t>
        </is>
      </c>
      <c r="W2">
        <f>COUNTIF($C$18:$C$1003,V13)</f>
        <v/>
      </c>
      <c r="X2" s="32" t="n"/>
      <c r="Y2" s="48" t="inlineStr">
        <is>
          <t>obs n =</t>
        </is>
      </c>
      <c r="Z2">
        <f>COUNTIF($C$18:$C$1003,Y13)</f>
        <v/>
      </c>
      <c r="AA2" s="32" t="n"/>
      <c r="AB2" s="48" t="inlineStr">
        <is>
          <t>obs n =</t>
        </is>
      </c>
      <c r="AC2">
        <f>COUNTIF($C$18:$C$1003,AB13)</f>
        <v/>
      </c>
      <c r="AD2" s="32" t="n"/>
    </row>
    <row r="3">
      <c r="D3" s="114" t="n"/>
      <c r="E3" s="115" t="n"/>
      <c r="F3" s="31" t="n"/>
      <c r="G3" s="48" t="inlineStr">
        <is>
          <t xml:space="preserve">freq n= </t>
        </is>
      </c>
      <c r="H3">
        <f>+SUM(H15:H1003)</f>
        <v/>
      </c>
      <c r="I3" s="32" t="n"/>
      <c r="J3" s="48" t="inlineStr">
        <is>
          <t xml:space="preserve">freq n= </t>
        </is>
      </c>
      <c r="K3">
        <f>+SUM(K15:K1003)</f>
        <v/>
      </c>
      <c r="L3" s="32" t="n"/>
      <c r="M3" s="48" t="inlineStr">
        <is>
          <t xml:space="preserve">freq n= </t>
        </is>
      </c>
      <c r="N3">
        <f>+SUM(N15:N1003)</f>
        <v/>
      </c>
      <c r="O3" s="32" t="n"/>
      <c r="P3" s="48" t="inlineStr">
        <is>
          <t xml:space="preserve">freq n= </t>
        </is>
      </c>
      <c r="Q3">
        <f>+SUM(Q15:Q1003)</f>
        <v/>
      </c>
      <c r="R3" s="32" t="n"/>
      <c r="S3" s="48" t="inlineStr">
        <is>
          <t xml:space="preserve">freq n= </t>
        </is>
      </c>
      <c r="T3">
        <f>+SUM(T15:T1003)</f>
        <v/>
      </c>
      <c r="U3" s="32" t="n"/>
      <c r="V3" s="48" t="inlineStr">
        <is>
          <t xml:space="preserve">freq n= </t>
        </is>
      </c>
      <c r="W3">
        <f>+SUM(W15:W1003)</f>
        <v/>
      </c>
      <c r="X3" s="32" t="n"/>
      <c r="Y3" s="48" t="inlineStr">
        <is>
          <t xml:space="preserve">freq n= </t>
        </is>
      </c>
      <c r="Z3">
        <f>+SUM(Z15:Z1003)</f>
        <v/>
      </c>
      <c r="AA3" s="32" t="n"/>
      <c r="AB3" s="48" t="inlineStr">
        <is>
          <t xml:space="preserve">freq n= </t>
        </is>
      </c>
      <c r="AC3">
        <f>+SUM(AC15:AC1003)</f>
        <v/>
      </c>
      <c r="AD3" s="32" t="n"/>
    </row>
    <row r="4">
      <c r="D4" s="114" t="n"/>
      <c r="E4" s="115" t="n"/>
      <c r="F4" s="31" t="n"/>
      <c r="G4" s="48" t="inlineStr">
        <is>
          <t>first bin =</t>
        </is>
      </c>
      <c r="H4" t="n">
        <v>10</v>
      </c>
      <c r="I4" s="32" t="n"/>
      <c r="J4" s="48" t="inlineStr">
        <is>
          <t>first bin =</t>
        </is>
      </c>
      <c r="K4" t="n">
        <v>10</v>
      </c>
      <c r="L4" s="32" t="n"/>
      <c r="M4" s="48" t="inlineStr">
        <is>
          <t>first bin =</t>
        </is>
      </c>
      <c r="N4" t="n">
        <v>10</v>
      </c>
      <c r="O4" s="32" t="n"/>
      <c r="P4" s="48" t="inlineStr">
        <is>
          <t>first bin =</t>
        </is>
      </c>
      <c r="Q4" t="n">
        <v>10</v>
      </c>
      <c r="R4" s="32" t="n"/>
      <c r="S4" s="48" t="inlineStr">
        <is>
          <t>first bin =</t>
        </is>
      </c>
      <c r="T4" t="n">
        <v>10</v>
      </c>
      <c r="U4" s="32" t="n"/>
      <c r="V4" s="48" t="inlineStr">
        <is>
          <t>first bin =</t>
        </is>
      </c>
      <c r="W4" t="n">
        <v>10</v>
      </c>
      <c r="X4" s="32" t="n"/>
      <c r="Y4" s="48" t="inlineStr">
        <is>
          <t>first bin =</t>
        </is>
      </c>
      <c r="Z4" t="n">
        <v>10</v>
      </c>
      <c r="AA4" s="32" t="n"/>
      <c r="AB4" s="48" t="inlineStr">
        <is>
          <t>first bin =</t>
        </is>
      </c>
      <c r="AC4" t="n">
        <v>10</v>
      </c>
      <c r="AD4" s="32" t="n"/>
    </row>
    <row r="5">
      <c r="D5" s="114" t="n"/>
      <c r="E5" s="115" t="n"/>
      <c r="F5" s="31" t="n"/>
      <c r="G5" s="48" t="inlineStr">
        <is>
          <t>increment =</t>
        </is>
      </c>
      <c r="H5">
        <f>+FAO!B14</f>
        <v/>
      </c>
      <c r="I5" s="32" t="n"/>
      <c r="J5" s="48" t="inlineStr">
        <is>
          <t>increment =</t>
        </is>
      </c>
      <c r="K5">
        <f>+FAO!E14</f>
        <v/>
      </c>
      <c r="L5" s="32" t="n"/>
      <c r="M5" s="48" t="inlineStr">
        <is>
          <t>increment =</t>
        </is>
      </c>
      <c r="N5">
        <f>+FAO!H14</f>
        <v/>
      </c>
      <c r="O5" s="32" t="n"/>
      <c r="P5" s="48" t="inlineStr">
        <is>
          <t>increment =</t>
        </is>
      </c>
      <c r="Q5">
        <f>+FAO!K14</f>
        <v/>
      </c>
      <c r="R5" s="32" t="n"/>
      <c r="S5" s="48" t="inlineStr">
        <is>
          <t>increment =</t>
        </is>
      </c>
      <c r="T5">
        <f>+FAO!N14</f>
        <v/>
      </c>
      <c r="U5" s="32" t="n"/>
      <c r="V5" s="48" t="inlineStr">
        <is>
          <t>increment =</t>
        </is>
      </c>
      <c r="W5">
        <f>+FAO!Q14</f>
        <v/>
      </c>
      <c r="X5" s="32" t="n"/>
      <c r="Y5" s="48" t="inlineStr">
        <is>
          <t>increment =</t>
        </is>
      </c>
      <c r="Z5">
        <f>+FAO!T14</f>
        <v/>
      </c>
      <c r="AA5" s="32" t="n"/>
      <c r="AB5" s="48" t="inlineStr">
        <is>
          <t>increment =</t>
        </is>
      </c>
      <c r="AC5">
        <f>+FAO!W14</f>
        <v/>
      </c>
      <c r="AD5" s="32" t="n"/>
    </row>
    <row r="6">
      <c r="D6" s="114" t="n"/>
      <c r="E6" s="115" t="n"/>
      <c r="F6" s="31" t="n"/>
      <c r="G6" s="48" t="inlineStr">
        <is>
          <t>Complete =</t>
        </is>
      </c>
      <c r="H6">
        <f>COUNTIFS($C$18:$C$2015,G$13,$D$18:$D$2015,"&gt;5")/COUNTIF($C$18:$C$2015,G$13)*100</f>
        <v/>
      </c>
      <c r="I6" s="32" t="n"/>
      <c r="J6" s="48" t="inlineStr">
        <is>
          <t>Complete =</t>
        </is>
      </c>
      <c r="K6">
        <f>COUNTIFS($C$18:$C$2015,J$13,$D$18:$D$2015,"&gt;5")/COUNTIF($C$18:$C$2015,J$13)*100</f>
        <v/>
      </c>
      <c r="L6" s="32" t="n"/>
      <c r="M6" s="48" t="inlineStr">
        <is>
          <t>Complete =</t>
        </is>
      </c>
      <c r="N6">
        <f>COUNTIFS($C$18:$C$2015,M$13,$D$18:$D$2015,"&gt;5")/COUNTIF($C$18:$C$2015,M$13)*100</f>
        <v/>
      </c>
      <c r="O6" s="32" t="n"/>
      <c r="P6" s="48" t="inlineStr">
        <is>
          <t>Complete =</t>
        </is>
      </c>
      <c r="Q6">
        <f>COUNTIFS($C$18:$C$2015,P$13,$D$18:$D$2015,"&gt;5")/COUNTIF($C$18:$C$2015,P$13)*100</f>
        <v/>
      </c>
      <c r="R6" s="32" t="n"/>
      <c r="S6" s="48" t="inlineStr">
        <is>
          <t>Complete =</t>
        </is>
      </c>
      <c r="T6">
        <f>COUNTIFS($C$18:$C$2015,S$13,$D$18:$D$2015,"&gt;5")/COUNTIF($C$18:$C$2015,S$13)*100</f>
        <v/>
      </c>
      <c r="U6" s="32" t="n"/>
      <c r="V6" s="48" t="inlineStr">
        <is>
          <t>Complete =</t>
        </is>
      </c>
      <c r="W6">
        <f>COUNTIFS($C$18:$C$2015,V$13,$D$18:$D$2015,"&gt;5")/COUNTIF($C$18:$C$2015,V$13)*100</f>
        <v/>
      </c>
      <c r="X6" s="32" t="n"/>
      <c r="Y6" s="48" t="inlineStr">
        <is>
          <t>Complete =</t>
        </is>
      </c>
      <c r="Z6">
        <f>COUNTIFS($C$18:$C$2015,Y$13,$D$18:$D$2015,"&gt;5")/COUNTIF($C$18:$C$2015,Y$13)*100</f>
        <v/>
      </c>
      <c r="AA6" s="32" t="n"/>
      <c r="AB6" s="48" t="inlineStr">
        <is>
          <t>Complete =</t>
        </is>
      </c>
      <c r="AC6">
        <f>COUNTIFS($C$18:$C$2015,AB$13,$D$18:$D$2015,"&gt;5")/COUNTIF($C$18:$C$2015,AB$13)*100</f>
        <v/>
      </c>
      <c r="AD6" s="32" t="n"/>
    </row>
    <row r="7">
      <c r="D7" s="114" t="n"/>
      <c r="E7" s="115" t="n"/>
      <c r="F7" s="31" t="n"/>
      <c r="G7" s="48" t="inlineStr">
        <is>
          <t>L50 (cm) =</t>
        </is>
      </c>
      <c r="H7">
        <f>+FAO!B11</f>
        <v/>
      </c>
      <c r="I7" s="32" t="n"/>
      <c r="J7" s="48" t="inlineStr">
        <is>
          <t>L50 (cm) =</t>
        </is>
      </c>
      <c r="K7">
        <f>+FAO!E11</f>
        <v/>
      </c>
      <c r="L7" s="32" t="n"/>
      <c r="M7" s="48" t="inlineStr">
        <is>
          <t>L50 (cm) =</t>
        </is>
      </c>
      <c r="N7">
        <f>+FAO!H11</f>
        <v/>
      </c>
      <c r="O7" s="32" t="n"/>
      <c r="P7" s="48" t="inlineStr">
        <is>
          <t>L50 (cm) =</t>
        </is>
      </c>
      <c r="Q7">
        <f>+FAO!K11</f>
        <v/>
      </c>
      <c r="R7" s="32" t="n"/>
      <c r="S7" s="48" t="inlineStr">
        <is>
          <t>L50 (cm) =</t>
        </is>
      </c>
      <c r="T7">
        <f>+FAO!N11</f>
        <v/>
      </c>
      <c r="U7" s="32" t="n"/>
      <c r="V7" s="48" t="inlineStr">
        <is>
          <t>L50 (cm) =</t>
        </is>
      </c>
      <c r="W7">
        <f>+FAO!Q11</f>
        <v/>
      </c>
      <c r="X7" s="32" t="n"/>
      <c r="Y7" s="48" t="inlineStr">
        <is>
          <t>L50 (cm) =</t>
        </is>
      </c>
      <c r="Z7">
        <f>+FAO!T11</f>
        <v/>
      </c>
      <c r="AA7" s="32" t="n"/>
      <c r="AB7" s="48" t="inlineStr">
        <is>
          <t>L50 (cm) =</t>
        </is>
      </c>
      <c r="AC7">
        <f>+FAO!W11</f>
        <v/>
      </c>
      <c r="AD7" s="32" t="n"/>
    </row>
    <row r="8">
      <c r="D8" s="114" t="n"/>
      <c r="E8" s="115" t="n"/>
      <c r="F8" s="31" t="n"/>
      <c r="G8" s="48" t="inlineStr">
        <is>
          <t>Juven. (%) =</t>
        </is>
      </c>
      <c r="H8">
        <f>+ROUND(COUNTIFS($C$18:$C$2015,G$13,$D$18:$D$2015,"&lt;"&amp;H7)/COUNTIF($C$18:$C$2015,G$13)*100,0)</f>
        <v/>
      </c>
      <c r="I8" s="32" t="n"/>
      <c r="J8" s="48" t="inlineStr">
        <is>
          <t>Juven. (%) =</t>
        </is>
      </c>
      <c r="K8">
        <f>+ROUND(COUNTIFS($C$18:$C$2015,J$13,$D$18:$D$2015,"&lt;"&amp;K7)/COUNTIF($C$18:$C$2015,J$13)*100,0)</f>
        <v/>
      </c>
      <c r="L8" s="32" t="n"/>
      <c r="M8" s="48" t="inlineStr">
        <is>
          <t>Juven. (%) =</t>
        </is>
      </c>
      <c r="N8">
        <f>+ROUND(COUNTIFS($C$18:$C$2015,M$13,$D$18:$D$2015,"&lt;"&amp;N7)/COUNTIF($C$18:$C$2015,M$13)*100,0)</f>
        <v/>
      </c>
      <c r="O8" s="32" t="n"/>
      <c r="P8" s="48" t="inlineStr">
        <is>
          <t>Juven. (%) =</t>
        </is>
      </c>
      <c r="Q8">
        <f>+ROUND(COUNTIFS($C$18:$C$2015,P$13,$D$18:$D$2015,"&lt;"&amp;Q7)/COUNTIF($C$18:$C$2015,P$13)*100,0)</f>
        <v/>
      </c>
      <c r="R8" s="32" t="n"/>
      <c r="S8" s="48" t="inlineStr">
        <is>
          <t>Juven. (%) =</t>
        </is>
      </c>
      <c r="T8">
        <f>+ROUND(COUNTIFS($C$18:$C$2015,S$13,$D$18:$D$2015,"&lt;"&amp;T7)/COUNTIF($C$18:$C$2015,S$13)*100,0)</f>
        <v/>
      </c>
      <c r="U8" s="32" t="n"/>
      <c r="V8" s="48" t="inlineStr">
        <is>
          <t>Juven. (%) =</t>
        </is>
      </c>
      <c r="W8">
        <f>+ROUND(COUNTIFS($C$18:$C$2015,V$13,$D$18:$D$2015,"&lt;"&amp;W7)/COUNTIF($C$18:$C$2015,V$13)*100,0)</f>
        <v/>
      </c>
      <c r="X8" s="32" t="n"/>
      <c r="Y8" s="48" t="inlineStr">
        <is>
          <t>Juven. (%) =</t>
        </is>
      </c>
      <c r="Z8">
        <f>+ROUND(COUNTIFS($C$18:$C$2015,Y$13,$D$18:$D$2015,"&lt;"&amp;Z7)/COUNTIF($C$18:$C$2015,Y$13)*100,0)</f>
        <v/>
      </c>
      <c r="AA8" s="32" t="n"/>
      <c r="AB8" s="48" t="inlineStr">
        <is>
          <t>Juven. (%) =</t>
        </is>
      </c>
      <c r="AC8">
        <f>+ROUND(COUNTIFS($C$18:$C$2015,AB$13,$D$18:$D$2015,"&lt;"&amp;AC7)/COUNTIF($C$18:$C$2015,AB$13)*100,0)</f>
        <v/>
      </c>
      <c r="AD8" s="32" t="n"/>
    </row>
    <row r="9" customFormat="1" s="17">
      <c r="D9" s="114" t="n"/>
      <c r="E9" s="18" t="n"/>
      <c r="F9" s="31" t="n"/>
      <c r="G9" s="20">
        <f>+FAO!B6</f>
        <v/>
      </c>
      <c r="H9" s="117" t="n"/>
      <c r="I9" s="32" t="n"/>
      <c r="J9" s="20">
        <f>+FAO!E6</f>
        <v/>
      </c>
      <c r="K9" s="117" t="n"/>
      <c r="L9" s="32" t="n"/>
      <c r="M9" s="20">
        <f>+FAO!H6</f>
        <v/>
      </c>
      <c r="N9" s="117" t="n"/>
      <c r="O9" s="32" t="n"/>
      <c r="P9" s="20">
        <f>+FAO!K6</f>
        <v/>
      </c>
      <c r="Q9" s="117" t="n"/>
      <c r="R9" s="32" t="n"/>
      <c r="S9" s="20">
        <f>+FAO!N6</f>
        <v/>
      </c>
      <c r="T9" s="117" t="n"/>
      <c r="U9" s="32" t="n"/>
      <c r="V9" s="20">
        <f>+FAO!Q6</f>
        <v/>
      </c>
      <c r="W9" s="117" t="n"/>
      <c r="X9" s="32" t="n"/>
      <c r="Y9" s="20">
        <f>+FAO!T6</f>
        <v/>
      </c>
      <c r="Z9" s="117" t="n"/>
      <c r="AA9" s="32" t="n"/>
      <c r="AB9" s="20">
        <f>+FAO!W6</f>
        <v/>
      </c>
      <c r="AC9" s="117" t="n"/>
      <c r="AD9" s="32" t="n"/>
    </row>
    <row r="10" customFormat="1" s="1">
      <c r="D10" s="114" t="n"/>
      <c r="E10" s="33" t="n"/>
      <c r="F10" s="31" t="n"/>
      <c r="G10" s="20">
        <f>+FAO!B7</f>
        <v/>
      </c>
      <c r="H10" s="118" t="n"/>
      <c r="I10" s="32" t="n"/>
      <c r="J10" s="20">
        <f>+FAO!E7</f>
        <v/>
      </c>
      <c r="K10" s="118" t="n"/>
      <c r="L10" s="32" t="n"/>
      <c r="M10" s="20">
        <f>+FAO!H7</f>
        <v/>
      </c>
      <c r="N10" s="118" t="n"/>
      <c r="O10" s="32" t="n"/>
      <c r="P10" s="20">
        <f>+FAO!K7</f>
        <v/>
      </c>
      <c r="Q10" s="118" t="n"/>
      <c r="R10" s="32" t="n"/>
      <c r="S10" s="20">
        <f>+FAO!N7</f>
        <v/>
      </c>
      <c r="T10" s="118" t="n"/>
      <c r="U10" s="32" t="n"/>
      <c r="V10" s="20">
        <f>+FAO!Q7</f>
        <v/>
      </c>
      <c r="W10" s="118" t="n"/>
      <c r="X10" s="32" t="n"/>
      <c r="Y10" s="20">
        <f>+FAO!T7</f>
        <v/>
      </c>
      <c r="Z10" s="118" t="n"/>
      <c r="AA10" s="32" t="n"/>
      <c r="AB10" s="20">
        <f>+FAO!W7</f>
        <v/>
      </c>
      <c r="AC10" s="118" t="n"/>
      <c r="AD10" s="32" t="n"/>
    </row>
    <row r="11" customFormat="1" s="1">
      <c r="D11" s="114" t="n"/>
      <c r="E11" s="19" t="n"/>
      <c r="F11" s="31" t="n"/>
      <c r="G11" s="34">
        <f>+FAO!B9</f>
        <v/>
      </c>
      <c r="H11" s="119" t="n"/>
      <c r="I11" s="32" t="n"/>
      <c r="J11" s="34">
        <f>+FAO!E9</f>
        <v/>
      </c>
      <c r="K11" s="119" t="n"/>
      <c r="L11" s="32" t="n"/>
      <c r="M11" s="34">
        <f>+FAO!H9</f>
        <v/>
      </c>
      <c r="N11" s="119" t="n"/>
      <c r="O11" s="32" t="n"/>
      <c r="P11" s="34">
        <f>+FAO!K9</f>
        <v/>
      </c>
      <c r="Q11" s="119" t="n"/>
      <c r="R11" s="32" t="n"/>
      <c r="S11" s="34">
        <f>+FAO!N9</f>
        <v/>
      </c>
      <c r="T11" s="119" t="n"/>
      <c r="U11" s="32" t="n"/>
      <c r="V11" s="34">
        <f>+FAO!Q9</f>
        <v/>
      </c>
      <c r="W11" s="119" t="n"/>
      <c r="X11" s="32" t="n"/>
      <c r="Y11" s="34">
        <f>+FAO!T9</f>
        <v/>
      </c>
      <c r="Z11" s="119" t="n"/>
      <c r="AA11" s="32" t="n"/>
      <c r="AB11" s="34">
        <f>+FAO!W9</f>
        <v/>
      </c>
      <c r="AC11" s="119" t="n"/>
      <c r="AD11" s="32" t="n"/>
    </row>
    <row r="12">
      <c r="D12" s="114" t="n"/>
      <c r="E12" s="115" t="n"/>
      <c r="F12" s="31" t="n"/>
      <c r="G12" s="34">
        <f>+FAO!B5</f>
        <v/>
      </c>
      <c r="H12" s="120" t="n"/>
      <c r="I12" s="32" t="n"/>
      <c r="J12" s="34">
        <f>+FAO!E5</f>
        <v/>
      </c>
      <c r="K12" s="120" t="n"/>
      <c r="L12" s="32" t="n"/>
      <c r="M12" s="34">
        <f>+FAO!H5</f>
        <v/>
      </c>
      <c r="N12" s="120" t="n"/>
      <c r="O12" s="32" t="n"/>
      <c r="P12" s="34">
        <f>+FAO!K5</f>
        <v/>
      </c>
      <c r="Q12" s="120" t="n"/>
      <c r="R12" s="32" t="n"/>
      <c r="S12" s="34">
        <f>+FAO!N5</f>
        <v/>
      </c>
      <c r="T12" s="120" t="n"/>
      <c r="U12" s="32" t="n"/>
      <c r="V12" s="34">
        <f>+FAO!Q5</f>
        <v/>
      </c>
      <c r="W12" s="120" t="n"/>
      <c r="X12" s="32" t="n"/>
      <c r="Y12" s="34">
        <f>+FAO!T5</f>
        <v/>
      </c>
      <c r="Z12" s="120" t="n"/>
      <c r="AA12" s="32" t="n"/>
      <c r="AB12" s="34">
        <f>+FAO!W5</f>
        <v/>
      </c>
      <c r="AC12" s="120" t="n"/>
      <c r="AD12" s="32" t="n"/>
    </row>
    <row r="13" ht="39" customHeight="1" s="113">
      <c r="B13" s="49" t="n"/>
      <c r="D13" t="e">
        <v>#VALUE!</v>
      </c>
      <c r="E13" s="51">
        <f>COUNTA(C15:C1003)</f>
        <v/>
      </c>
      <c r="F13" s="31" t="n"/>
      <c r="G13" s="35">
        <f>+FAO!B1</f>
        <v/>
      </c>
      <c r="H13" s="121">
        <f>+FAO!B3</f>
        <v/>
      </c>
      <c r="I13" s="32" t="n"/>
      <c r="J13" s="35">
        <f>+FAO!E1</f>
        <v/>
      </c>
      <c r="K13" s="121">
        <f>+FAO!E3</f>
        <v/>
      </c>
      <c r="L13" s="32" t="n"/>
      <c r="M13" s="35">
        <f>+FAO!H1</f>
        <v/>
      </c>
      <c r="N13" s="121">
        <f>+FAO!H3</f>
        <v/>
      </c>
      <c r="O13" s="32" t="n"/>
      <c r="P13" s="35">
        <f>+FAO!K1</f>
        <v/>
      </c>
      <c r="Q13" s="121">
        <f>+FAO!K3</f>
        <v/>
      </c>
      <c r="R13" s="32" t="n"/>
      <c r="S13" s="35">
        <f>+FAO!N1</f>
        <v/>
      </c>
      <c r="T13" s="121">
        <f>+FAO!N3</f>
        <v/>
      </c>
      <c r="U13" s="32" t="n"/>
      <c r="V13" s="35">
        <f>+FAO!Q1</f>
        <v/>
      </c>
      <c r="W13" s="121">
        <f>+FAO!Q3</f>
        <v/>
      </c>
      <c r="X13" s="32" t="n"/>
      <c r="Y13" s="35">
        <f>+FAO!T1</f>
        <v/>
      </c>
      <c r="Z13" s="121">
        <f>+FAO!T3</f>
        <v/>
      </c>
      <c r="AA13" s="32" t="n"/>
      <c r="AB13" s="35">
        <f>+FAO!W1</f>
        <v/>
      </c>
      <c r="AC13" s="121">
        <f>+FAO!W3</f>
        <v/>
      </c>
      <c r="AD13" s="32" t="n"/>
    </row>
    <row r="14" customFormat="1" s="54">
      <c r="A14" s="99" t="inlineStr">
        <is>
          <t>TRIP</t>
        </is>
      </c>
      <c r="B14" s="99" t="inlineStr">
        <is>
          <t>DATE</t>
        </is>
      </c>
      <c r="C14" s="99" t="inlineStr">
        <is>
          <t>FAO</t>
        </is>
      </c>
      <c r="D14" s="122" t="inlineStr">
        <is>
          <t>OBS</t>
        </is>
      </c>
      <c r="E14" s="99" t="inlineStr">
        <is>
          <t>ID</t>
        </is>
      </c>
      <c r="F14" s="52" t="n"/>
      <c r="G14" s="50">
        <f>"LC-"&amp;G13</f>
        <v/>
      </c>
      <c r="H14" s="123">
        <f>"FQ-"&amp;G13</f>
        <v/>
      </c>
      <c r="I14" s="53" t="n"/>
      <c r="J14" s="50">
        <f>"LC-"&amp;J13</f>
        <v/>
      </c>
      <c r="K14" s="123">
        <f>"FQ-"&amp;J13</f>
        <v/>
      </c>
      <c r="L14" s="53" t="n"/>
      <c r="M14" s="50">
        <f>"LC-"&amp;M13</f>
        <v/>
      </c>
      <c r="N14" s="123">
        <f>"FQ-"&amp;M13</f>
        <v/>
      </c>
      <c r="O14" s="53" t="n"/>
      <c r="P14" s="50">
        <f>"LC-"&amp;P13</f>
        <v/>
      </c>
      <c r="Q14" s="123">
        <f>"FQ-"&amp;P13</f>
        <v/>
      </c>
      <c r="R14" s="53" t="n"/>
      <c r="S14" s="50">
        <f>"LC-"&amp;S13</f>
        <v/>
      </c>
      <c r="T14" s="123">
        <f>"FQ-"&amp;S13</f>
        <v/>
      </c>
      <c r="U14" s="53" t="n"/>
      <c r="V14" s="50">
        <f>"LC-"&amp;V13</f>
        <v/>
      </c>
      <c r="W14" s="123">
        <f>"FQ-"&amp;V13</f>
        <v/>
      </c>
      <c r="X14" s="53" t="n"/>
      <c r="Y14" s="50">
        <f>"LC-"&amp;Y13</f>
        <v/>
      </c>
      <c r="Z14" s="123">
        <f>"FQ-"&amp;Y13</f>
        <v/>
      </c>
      <c r="AA14" s="53" t="n"/>
      <c r="AB14" s="50">
        <f>"LC-"&amp;AB13</f>
        <v/>
      </c>
      <c r="AC14" s="123">
        <f>"FQ-"&amp;AB13</f>
        <v/>
      </c>
      <c r="AD14" s="53" t="n"/>
    </row>
    <row r="15">
      <c r="A15" s="58" t="n"/>
      <c r="B15" s="59" t="n"/>
      <c r="C15" s="59" t="n"/>
      <c r="E15" s="16">
        <f t="array" ref="E15">+_xlfn.SEQUENCE(E13,1,1)</f>
        <v/>
      </c>
      <c r="F15" s="13" t="n"/>
      <c r="G15" s="16">
        <f t="array" ref="G15:G85">_xlfn.SEQUENCE(((H1-H4)/H5)+1, 1, H4, H5)</f>
        <v/>
      </c>
      <c r="H15" s="124">
        <f>IF(G15="","",COUNTIFS($C$18:$C$2015,G$13,$D$18:$D$2015,"&gt;="&amp;G15,$D$18:$D$2015,"&lt;"&amp;G16))</f>
        <v/>
      </c>
      <c r="I15" s="14" t="n"/>
      <c r="J15" s="16">
        <f t="array" ref="J15:J43">_xlfn.SEQUENCE(((K1-K4)/K5)+1, 1, K4, K5)</f>
        <v/>
      </c>
      <c r="K15" s="124">
        <f>IF(J15="","",COUNTIFS($C$18:$C$2015,J$13,$D$18:$D$2015,"&gt;="&amp;J15,$D$18:$D$2015,"&lt;"&amp;J16))</f>
        <v/>
      </c>
      <c r="L15" s="14" t="n"/>
      <c r="M15" s="16">
        <f t="array" ref="M15:M55">_xlfn.SEQUENCE(((N1-N4)/N5)+1, 1, N4, N5)</f>
        <v/>
      </c>
      <c r="N15" s="124">
        <f>IF(M15="","",COUNTIFS($C$18:$C$2015,M$13,$D$18:$D$2015,"&gt;="&amp;M15,$D$18:$D$2015,"&lt;"&amp;M16))</f>
        <v/>
      </c>
      <c r="O15" s="14" t="n"/>
      <c r="P15" s="16">
        <f t="array" ref="P15:P85">_xlfn.SEQUENCE(((Q1-Q4)/Q5)+1, 1, Q4, Q5)</f>
        <v/>
      </c>
      <c r="Q15" s="124">
        <f>IF(P15="","",COUNTIFS($C$18:$C$2015,P$13,$D$18:$D$2015,"&gt;="&amp;P15,$D$18:$D$2015,"&lt;"&amp;P16))</f>
        <v/>
      </c>
      <c r="R15" s="14" t="n"/>
      <c r="S15" s="16">
        <f t="array" ref="S15:S60">_xlfn.SEQUENCE(((T1-T4)/T5)+1, 1, T4, T5)</f>
        <v/>
      </c>
      <c r="T15" s="124">
        <f>IF(S15="","",COUNTIFS($C$18:$C$2015,S$13,$D$18:$D$2015,"&gt;="&amp;S15,$D$18:$D$2015,"&lt;"&amp;S16))</f>
        <v/>
      </c>
      <c r="U15" s="14" t="n"/>
      <c r="V15" s="16">
        <f t="array" ref="V15:V50">_xlfn.SEQUENCE(((W1-W4)/W5)+1, 1, W4, W5)</f>
        <v/>
      </c>
      <c r="W15" s="124">
        <f>IF(V15="","",COUNTIFS($C$18:$C$2015,V$13,$D$18:$D$2015,"&gt;="&amp;V15,$D$18:$D$2015,"&lt;"&amp;V16))</f>
        <v/>
      </c>
      <c r="X15" s="14" t="n"/>
      <c r="Y15" s="16">
        <f t="array" ref="Y15:Y50">_xlfn.SEQUENCE(((Z1-Z4)/Z5)+1, 1, Z4, Z5)</f>
        <v/>
      </c>
      <c r="Z15" s="124">
        <f>IF(Y15="","",COUNTIFS($C$18:$C$2015,Y$13,$D$18:$D$2015,"&gt;="&amp;Y15,$D$18:$D$2015,"&lt;"&amp;Y16))</f>
        <v/>
      </c>
      <c r="AA15" s="14" t="n"/>
      <c r="AB15" s="16">
        <f t="array" ref="AB15:AB67">_xlfn.SEQUENCE(((AC1-AC4)/AC5)+1, 1, AC4, AC5)</f>
        <v/>
      </c>
      <c r="AC15" s="124">
        <f>IF(AB15="","",COUNTIFS($C$18:$C$2015,AB$13,$D$18:$D$2015,"&gt;="&amp;AB15,$D$18:$D$2015,"&lt;"&amp;AB16))</f>
        <v/>
      </c>
      <c r="AD15" s="14" t="n"/>
    </row>
    <row r="16">
      <c r="A16" s="56" t="n"/>
      <c r="B16" s="59" t="n"/>
      <c r="C16" s="59" t="n"/>
      <c r="E16" s="16" t="n"/>
      <c r="F16" s="13" t="n"/>
      <c r="G16" s="16" t="n">
        <v>11</v>
      </c>
      <c r="H16" s="124">
        <f>IF(G16="","",COUNTIFS($C$18:$C$2015,G$13,$D$18:$D$2015,"&gt;="&amp;G16,$D$18:$D$2015,"&lt;"&amp;G17))</f>
        <v/>
      </c>
      <c r="I16" s="14" t="n"/>
      <c r="J16" s="16" t="n">
        <v>15</v>
      </c>
      <c r="K16" s="124">
        <f>IF(J16="","",COUNTIFS($C$18:$C$2015,J$13,$D$18:$D$2015,"&gt;="&amp;J16,$D$18:$D$2015,"&lt;"&amp;J17))</f>
        <v/>
      </c>
      <c r="L16" s="14" t="n"/>
      <c r="M16" s="16" t="n">
        <v>12</v>
      </c>
      <c r="N16" s="124">
        <f>IF(M16="","",COUNTIFS($C$18:$C$2015,M$13,$D$18:$D$2015,"&gt;="&amp;M16,$D$18:$D$2015,"&lt;"&amp;M17))</f>
        <v/>
      </c>
      <c r="O16" s="14" t="n"/>
      <c r="P16" s="16" t="n">
        <v>11</v>
      </c>
      <c r="Q16" s="124">
        <f>IF(P16="","",COUNTIFS($C$18:$C$2015,P$13,$D$18:$D$2015,"&gt;="&amp;P16,$D$18:$D$2015,"&lt;"&amp;P17))</f>
        <v/>
      </c>
      <c r="R16" s="14" t="n"/>
      <c r="S16" s="16" t="n">
        <v>12</v>
      </c>
      <c r="T16" s="124">
        <f>IF(S16="","",COUNTIFS($C$18:$C$2015,S$13,$D$18:$D$2015,"&gt;="&amp;S16,$D$18:$D$2015,"&lt;"&amp;S17))</f>
        <v/>
      </c>
      <c r="U16" s="14" t="n"/>
      <c r="V16" s="16" t="n">
        <v>12</v>
      </c>
      <c r="W16" s="124">
        <f>IF(V16="","",COUNTIFS($C$18:$C$2015,V$13,$D$18:$D$2015,"&gt;="&amp;V16,$D$18:$D$2015,"&lt;"&amp;V17))</f>
        <v/>
      </c>
      <c r="X16" s="14" t="n"/>
      <c r="Y16" s="16" t="n">
        <v>12</v>
      </c>
      <c r="Z16" s="124">
        <f>IF(Y16="","",COUNTIFS($C$18:$C$2015,Y$13,$D$18:$D$2015,"&gt;="&amp;Y16,$D$18:$D$2015,"&lt;"&amp;Y17))</f>
        <v/>
      </c>
      <c r="AA16" s="14" t="n"/>
      <c r="AB16" s="16" t="n">
        <v>11</v>
      </c>
      <c r="AC16" s="124">
        <f>IF(AB16="","",COUNTIFS($C$18:$C$2015,AB$13,$D$18:$D$2015,"&gt;="&amp;AB16,$D$18:$D$2015,"&lt;"&amp;AB17))</f>
        <v/>
      </c>
      <c r="AD16" s="14" t="n"/>
    </row>
    <row r="17">
      <c r="A17" s="58" t="n"/>
      <c r="B17" s="59" t="n"/>
      <c r="C17" s="59" t="n"/>
      <c r="E17" s="16" t="n"/>
      <c r="F17" s="13" t="n"/>
      <c r="G17" s="16" t="n">
        <v>12</v>
      </c>
      <c r="H17" s="124">
        <f>IF(G17="","",COUNTIFS($C$18:$C$2015,G$13,$D$18:$D$2015,"&gt;="&amp;G17,$D$18:$D$2015,"&lt;"&amp;G18))</f>
        <v/>
      </c>
      <c r="I17" s="14" t="n"/>
      <c r="J17" s="16" t="n">
        <v>20</v>
      </c>
      <c r="K17" s="124">
        <f>IF(J17="","",COUNTIFS($C$18:$C$2015,J$13,$D$18:$D$2015,"&gt;="&amp;J17,$D$18:$D$2015,"&lt;"&amp;J18))</f>
        <v/>
      </c>
      <c r="L17" s="14" t="n"/>
      <c r="M17" s="16" t="n">
        <v>14</v>
      </c>
      <c r="N17" s="124">
        <f>IF(M17="","",COUNTIFS($C$18:$C$2015,M$13,$D$18:$D$2015,"&gt;="&amp;M17,$D$18:$D$2015,"&lt;"&amp;M18))</f>
        <v/>
      </c>
      <c r="O17" s="14" t="n"/>
      <c r="P17" s="16" t="n">
        <v>12</v>
      </c>
      <c r="Q17" s="124">
        <f>IF(P17="","",COUNTIFS($C$18:$C$2015,P$13,$D$18:$D$2015,"&gt;="&amp;P17,$D$18:$D$2015,"&lt;"&amp;P18))</f>
        <v/>
      </c>
      <c r="R17" s="14" t="n"/>
      <c r="S17" s="16" t="n">
        <v>14</v>
      </c>
      <c r="T17" s="124">
        <f>IF(S17="","",COUNTIFS($C$18:$C$2015,S$13,$D$18:$D$2015,"&gt;="&amp;S17,$D$18:$D$2015,"&lt;"&amp;S18))</f>
        <v/>
      </c>
      <c r="U17" s="14" t="n"/>
      <c r="V17" s="16" t="n">
        <v>14</v>
      </c>
      <c r="W17" s="124">
        <f>IF(V17="","",COUNTIFS($C$18:$C$2015,V$13,$D$18:$D$2015,"&gt;="&amp;V17,$D$18:$D$2015,"&lt;"&amp;V18))</f>
        <v/>
      </c>
      <c r="X17" s="14" t="n"/>
      <c r="Y17" s="16" t="n">
        <v>14</v>
      </c>
      <c r="Z17" s="124">
        <f>IF(Y17="","",COUNTIFS($C$18:$C$2015,Y$13,$D$18:$D$2015,"&gt;="&amp;Y17,$D$18:$D$2015,"&lt;"&amp;Y18))</f>
        <v/>
      </c>
      <c r="AA17" s="14" t="n"/>
      <c r="AB17" s="16" t="n">
        <v>12</v>
      </c>
      <c r="AC17" s="124">
        <f>IF(AB17="","",COUNTIFS($C$18:$C$2015,AB$13,$D$18:$D$2015,"&gt;="&amp;AB17,$D$18:$D$2015,"&lt;"&amp;AB18))</f>
        <v/>
      </c>
      <c r="AD17" s="14" t="n"/>
    </row>
    <row r="18">
      <c r="A18" s="56" t="n"/>
      <c r="B18" s="59" t="n"/>
      <c r="C18" s="59" t="n"/>
      <c r="E18" s="16" t="n"/>
      <c r="F18" s="13" t="n"/>
      <c r="G18" s="16" t="n">
        <v>13</v>
      </c>
      <c r="H18" s="124">
        <f>IF(G18="","",COUNTIFS($C$18:$C$2015,G$13,$D$18:$D$2015,"&gt;="&amp;G18,$D$18:$D$2015,"&lt;"&amp;G19))</f>
        <v/>
      </c>
      <c r="I18" s="14" t="n"/>
      <c r="J18" s="16" t="n">
        <v>25</v>
      </c>
      <c r="K18" s="124">
        <f>IF(J18="","",COUNTIFS($C$18:$C$2015,J$13,$D$18:$D$2015,"&gt;="&amp;J18,$D$18:$D$2015,"&lt;"&amp;J19))</f>
        <v/>
      </c>
      <c r="L18" s="14" t="n"/>
      <c r="M18" s="16" t="n">
        <v>16</v>
      </c>
      <c r="N18" s="124">
        <f>IF(M18="","",COUNTIFS($C$18:$C$2015,M$13,$D$18:$D$2015,"&gt;="&amp;M18,$D$18:$D$2015,"&lt;"&amp;M19))</f>
        <v/>
      </c>
      <c r="O18" s="14" t="n"/>
      <c r="P18" s="16" t="n">
        <v>13</v>
      </c>
      <c r="Q18" s="124">
        <f>IF(P18="","",COUNTIFS($C$18:$C$2015,P$13,$D$18:$D$2015,"&gt;="&amp;P18,$D$18:$D$2015,"&lt;"&amp;P19))</f>
        <v/>
      </c>
      <c r="R18" s="14" t="n"/>
      <c r="S18" s="16" t="n">
        <v>16</v>
      </c>
      <c r="T18" s="124">
        <f>IF(S18="","",COUNTIFS($C$18:$C$2015,S$13,$D$18:$D$2015,"&gt;="&amp;S18,$D$18:$D$2015,"&lt;"&amp;S19))</f>
        <v/>
      </c>
      <c r="U18" s="14" t="n"/>
      <c r="V18" s="16" t="n">
        <v>16</v>
      </c>
      <c r="W18" s="124">
        <f>IF(V18="","",COUNTIFS($C$18:$C$2015,V$13,$D$18:$D$2015,"&gt;="&amp;V18,$D$18:$D$2015,"&lt;"&amp;V19))</f>
        <v/>
      </c>
      <c r="X18" s="14" t="n"/>
      <c r="Y18" s="16" t="n">
        <v>16</v>
      </c>
      <c r="Z18" s="124">
        <f>IF(Y18="","",COUNTIFS($C$18:$C$2015,Y$13,$D$18:$D$2015,"&gt;="&amp;Y18,$D$18:$D$2015,"&lt;"&amp;Y19))</f>
        <v/>
      </c>
      <c r="AA18" s="14" t="n"/>
      <c r="AB18" s="16" t="n">
        <v>13</v>
      </c>
      <c r="AC18" s="124">
        <f>IF(AB18="","",COUNTIFS($C$18:$C$2015,AB$13,$D$18:$D$2015,"&gt;="&amp;AB18,$D$18:$D$2015,"&lt;"&amp;AB19))</f>
        <v/>
      </c>
      <c r="AD18" s="14" t="n"/>
    </row>
    <row r="19">
      <c r="A19" s="58" t="n"/>
      <c r="B19" s="59" t="n"/>
      <c r="C19" s="59" t="n"/>
      <c r="E19" s="16" t="n"/>
      <c r="F19" s="13" t="n"/>
      <c r="G19" s="16" t="n">
        <v>14</v>
      </c>
      <c r="H19" s="124">
        <f>IF(G19="","",COUNTIFS($C$18:$C$2015,G$13,$D$18:$D$2015,"&gt;="&amp;G19,$D$18:$D$2015,"&lt;"&amp;G20))</f>
        <v/>
      </c>
      <c r="I19" s="14" t="n"/>
      <c r="J19" s="16" t="n">
        <v>30</v>
      </c>
      <c r="K19" s="124">
        <f>IF(J19="","",COUNTIFS($C$18:$C$2015,J$13,$D$18:$D$2015,"&gt;="&amp;J19,$D$18:$D$2015,"&lt;"&amp;J20))</f>
        <v/>
      </c>
      <c r="L19" s="14" t="n"/>
      <c r="M19" s="16" t="n">
        <v>18</v>
      </c>
      <c r="N19" s="124">
        <f>IF(M19="","",COUNTIFS($C$18:$C$2015,M$13,$D$18:$D$2015,"&gt;="&amp;M19,$D$18:$D$2015,"&lt;"&amp;M20))</f>
        <v/>
      </c>
      <c r="O19" s="14" t="n"/>
      <c r="P19" s="16" t="n">
        <v>14</v>
      </c>
      <c r="Q19" s="124">
        <f>IF(P19="","",COUNTIFS($C$18:$C$2015,P$13,$D$18:$D$2015,"&gt;="&amp;P19,$D$18:$D$2015,"&lt;"&amp;P20))</f>
        <v/>
      </c>
      <c r="R19" s="14" t="n"/>
      <c r="S19" s="16" t="n">
        <v>18</v>
      </c>
      <c r="T19" s="124">
        <f>IF(S19="","",COUNTIFS($C$18:$C$2015,S$13,$D$18:$D$2015,"&gt;="&amp;S19,$D$18:$D$2015,"&lt;"&amp;S20))</f>
        <v/>
      </c>
      <c r="U19" s="14" t="n"/>
      <c r="V19" s="16" t="n">
        <v>18</v>
      </c>
      <c r="W19" s="124">
        <f>IF(V19="","",COUNTIFS($C$18:$C$2015,V$13,$D$18:$D$2015,"&gt;="&amp;V19,$D$18:$D$2015,"&lt;"&amp;V20))</f>
        <v/>
      </c>
      <c r="X19" s="14" t="n"/>
      <c r="Y19" s="16" t="n">
        <v>18</v>
      </c>
      <c r="Z19" s="124">
        <f>IF(Y19="","",COUNTIFS($C$18:$C$2015,Y$13,$D$18:$D$2015,"&gt;="&amp;Y19,$D$18:$D$2015,"&lt;"&amp;Y20))</f>
        <v/>
      </c>
      <c r="AA19" s="14" t="n"/>
      <c r="AB19" s="16" t="n">
        <v>14</v>
      </c>
      <c r="AC19" s="124">
        <f>IF(AB19="","",COUNTIFS($C$18:$C$2015,AB$13,$D$18:$D$2015,"&gt;="&amp;AB19,$D$18:$D$2015,"&lt;"&amp;AB20))</f>
        <v/>
      </c>
      <c r="AD19" s="14" t="n"/>
    </row>
    <row r="20">
      <c r="A20" s="56" t="n"/>
      <c r="B20" s="59" t="n"/>
      <c r="C20" s="59" t="n"/>
      <c r="E20" s="16" t="n"/>
      <c r="F20" s="13" t="n"/>
      <c r="G20" s="16" t="n">
        <v>15</v>
      </c>
      <c r="H20" s="124">
        <f>IF(G20="","",COUNTIFS($C$18:$C$2015,G$13,$D$18:$D$2015,"&gt;="&amp;G20,$D$18:$D$2015,"&lt;"&amp;G21))</f>
        <v/>
      </c>
      <c r="I20" s="14" t="n"/>
      <c r="J20" s="16" t="n">
        <v>35</v>
      </c>
      <c r="K20" s="124">
        <f>IF(J20="","",COUNTIFS($C$18:$C$2015,J$13,$D$18:$D$2015,"&gt;="&amp;J20,$D$18:$D$2015,"&lt;"&amp;J21))</f>
        <v/>
      </c>
      <c r="L20" s="14" t="n"/>
      <c r="M20" s="16" t="n">
        <v>20</v>
      </c>
      <c r="N20" s="124">
        <f>IF(M20="","",COUNTIFS($C$18:$C$2015,M$13,$D$18:$D$2015,"&gt;="&amp;M20,$D$18:$D$2015,"&lt;"&amp;M21))</f>
        <v/>
      </c>
      <c r="O20" s="14" t="n"/>
      <c r="P20" s="16" t="n">
        <v>15</v>
      </c>
      <c r="Q20" s="124">
        <f>IF(P20="","",COUNTIFS($C$18:$C$2015,P$13,$D$18:$D$2015,"&gt;="&amp;P20,$D$18:$D$2015,"&lt;"&amp;P21))</f>
        <v/>
      </c>
      <c r="R20" s="14" t="n"/>
      <c r="S20" s="16" t="n">
        <v>20</v>
      </c>
      <c r="T20" s="124">
        <f>IF(S20="","",COUNTIFS($C$18:$C$2015,S$13,$D$18:$D$2015,"&gt;="&amp;S20,$D$18:$D$2015,"&lt;"&amp;S21))</f>
        <v/>
      </c>
      <c r="U20" s="14" t="n"/>
      <c r="V20" s="16" t="n">
        <v>20</v>
      </c>
      <c r="W20" s="124">
        <f>IF(V20="","",COUNTIFS($C$18:$C$2015,V$13,$D$18:$D$2015,"&gt;="&amp;V20,$D$18:$D$2015,"&lt;"&amp;V21))</f>
        <v/>
      </c>
      <c r="X20" s="14" t="n"/>
      <c r="Y20" s="16" t="n">
        <v>20</v>
      </c>
      <c r="Z20" s="124">
        <f>IF(Y20="","",COUNTIFS($C$18:$C$2015,Y$13,$D$18:$D$2015,"&gt;="&amp;Y20,$D$18:$D$2015,"&lt;"&amp;Y21))</f>
        <v/>
      </c>
      <c r="AA20" s="14" t="n"/>
      <c r="AB20" s="16" t="n">
        <v>15</v>
      </c>
      <c r="AC20" s="124">
        <f>IF(AB20="","",COUNTIFS($C$18:$C$2015,AB$13,$D$18:$D$2015,"&gt;="&amp;AB20,$D$18:$D$2015,"&lt;"&amp;AB21))</f>
        <v/>
      </c>
      <c r="AD20" s="14" t="n"/>
    </row>
    <row r="21">
      <c r="A21" s="58" t="n"/>
      <c r="B21" s="59" t="n"/>
      <c r="C21" s="59" t="n"/>
      <c r="E21" s="16" t="n"/>
      <c r="F21" s="13" t="n"/>
      <c r="G21" s="16" t="n">
        <v>16</v>
      </c>
      <c r="H21" s="124">
        <f>IF(G21="","",COUNTIFS($C$18:$C$2015,G$13,$D$18:$D$2015,"&gt;="&amp;G21,$D$18:$D$2015,"&lt;"&amp;G22))</f>
        <v/>
      </c>
      <c r="I21" s="14" t="n"/>
      <c r="J21" s="16" t="n">
        <v>40</v>
      </c>
      <c r="K21" s="124">
        <f>IF(J21="","",COUNTIFS($C$18:$C$2015,J$13,$D$18:$D$2015,"&gt;="&amp;J21,$D$18:$D$2015,"&lt;"&amp;J22))</f>
        <v/>
      </c>
      <c r="L21" s="14" t="n"/>
      <c r="M21" s="16" t="n">
        <v>22</v>
      </c>
      <c r="N21" s="124">
        <f>IF(M21="","",COUNTIFS($C$18:$C$2015,M$13,$D$18:$D$2015,"&gt;="&amp;M21,$D$18:$D$2015,"&lt;"&amp;M22))</f>
        <v/>
      </c>
      <c r="O21" s="14" t="n"/>
      <c r="P21" s="16" t="n">
        <v>16</v>
      </c>
      <c r="Q21" s="124">
        <f>IF(P21="","",COUNTIFS($C$18:$C$2015,P$13,$D$18:$D$2015,"&gt;="&amp;P21,$D$18:$D$2015,"&lt;"&amp;P22))</f>
        <v/>
      </c>
      <c r="R21" s="14" t="n"/>
      <c r="S21" s="16" t="n">
        <v>22</v>
      </c>
      <c r="T21" s="124">
        <f>IF(S21="","",COUNTIFS($C$18:$C$2015,S$13,$D$18:$D$2015,"&gt;="&amp;S21,$D$18:$D$2015,"&lt;"&amp;S22))</f>
        <v/>
      </c>
      <c r="U21" s="14" t="n"/>
      <c r="V21" s="16" t="n">
        <v>22</v>
      </c>
      <c r="W21" s="124">
        <f>IF(V21="","",COUNTIFS($C$18:$C$2015,V$13,$D$18:$D$2015,"&gt;="&amp;V21,$D$18:$D$2015,"&lt;"&amp;V22))</f>
        <v/>
      </c>
      <c r="X21" s="14" t="n"/>
      <c r="Y21" s="16" t="n">
        <v>22</v>
      </c>
      <c r="Z21" s="124">
        <f>IF(Y21="","",COUNTIFS($C$18:$C$2015,Y$13,$D$18:$D$2015,"&gt;="&amp;Y21,$D$18:$D$2015,"&lt;"&amp;Y22))</f>
        <v/>
      </c>
      <c r="AA21" s="14" t="n"/>
      <c r="AB21" s="16" t="n">
        <v>16</v>
      </c>
      <c r="AC21" s="124">
        <f>IF(AB21="","",COUNTIFS($C$18:$C$2015,AB$13,$D$18:$D$2015,"&gt;="&amp;AB21,$D$18:$D$2015,"&lt;"&amp;AB22))</f>
        <v/>
      </c>
      <c r="AD21" s="14" t="n"/>
    </row>
    <row r="22">
      <c r="A22" s="56" t="n"/>
      <c r="B22" s="59" t="n"/>
      <c r="C22" s="59" t="n"/>
      <c r="E22" s="16" t="n"/>
      <c r="F22" s="13" t="n"/>
      <c r="G22" s="16" t="n">
        <v>17</v>
      </c>
      <c r="H22" s="124">
        <f>IF(G22="","",COUNTIFS($C$18:$C$2015,G$13,$D$18:$D$2015,"&gt;="&amp;G22,$D$18:$D$2015,"&lt;"&amp;G23))</f>
        <v/>
      </c>
      <c r="I22" s="14" t="n"/>
      <c r="J22" s="16" t="n">
        <v>45</v>
      </c>
      <c r="K22" s="124">
        <f>IF(J22="","",COUNTIFS($C$18:$C$2015,J$13,$D$18:$D$2015,"&gt;="&amp;J22,$D$18:$D$2015,"&lt;"&amp;J23))</f>
        <v/>
      </c>
      <c r="L22" s="14" t="n"/>
      <c r="M22" s="16" t="n">
        <v>24</v>
      </c>
      <c r="N22" s="124">
        <f>IF(M22="","",COUNTIFS($C$18:$C$2015,M$13,$D$18:$D$2015,"&gt;="&amp;M22,$D$18:$D$2015,"&lt;"&amp;M23))</f>
        <v/>
      </c>
      <c r="O22" s="14" t="n"/>
      <c r="P22" s="16" t="n">
        <v>17</v>
      </c>
      <c r="Q22" s="124">
        <f>IF(P22="","",COUNTIFS($C$18:$C$2015,P$13,$D$18:$D$2015,"&gt;="&amp;P22,$D$18:$D$2015,"&lt;"&amp;P23))</f>
        <v/>
      </c>
      <c r="R22" s="14" t="n"/>
      <c r="S22" s="16" t="n">
        <v>24</v>
      </c>
      <c r="T22" s="124">
        <f>IF(S22="","",COUNTIFS($C$18:$C$2015,S$13,$D$18:$D$2015,"&gt;="&amp;S22,$D$18:$D$2015,"&lt;"&amp;S23))</f>
        <v/>
      </c>
      <c r="U22" s="14" t="n"/>
      <c r="V22" s="16" t="n">
        <v>24</v>
      </c>
      <c r="W22" s="124">
        <f>IF(V22="","",COUNTIFS($C$18:$C$2015,V$13,$D$18:$D$2015,"&gt;="&amp;V22,$D$18:$D$2015,"&lt;"&amp;V23))</f>
        <v/>
      </c>
      <c r="X22" s="14" t="n"/>
      <c r="Y22" s="16" t="n">
        <v>24</v>
      </c>
      <c r="Z22" s="124">
        <f>IF(Y22="","",COUNTIFS($C$18:$C$2015,Y$13,$D$18:$D$2015,"&gt;="&amp;Y22,$D$18:$D$2015,"&lt;"&amp;Y23))</f>
        <v/>
      </c>
      <c r="AA22" s="14" t="n"/>
      <c r="AB22" s="16" t="n">
        <v>17</v>
      </c>
      <c r="AC22" s="124">
        <f>IF(AB22="","",COUNTIFS($C$18:$C$2015,AB$13,$D$18:$D$2015,"&gt;="&amp;AB22,$D$18:$D$2015,"&lt;"&amp;AB23))</f>
        <v/>
      </c>
      <c r="AD22" s="14" t="n"/>
    </row>
    <row r="23">
      <c r="A23" s="58" t="n"/>
      <c r="B23" s="59" t="n"/>
      <c r="C23" s="59" t="n"/>
      <c r="E23" s="16" t="n"/>
      <c r="F23" s="13" t="n"/>
      <c r="G23" s="16" t="n">
        <v>18</v>
      </c>
      <c r="H23" s="124">
        <f>IF(G23="","",COUNTIFS($C$18:$C$2015,G$13,$D$18:$D$2015,"&gt;="&amp;G23,$D$18:$D$2015,"&lt;"&amp;G24))</f>
        <v/>
      </c>
      <c r="I23" s="14" t="n"/>
      <c r="J23" s="16" t="n">
        <v>50</v>
      </c>
      <c r="K23" s="124">
        <f>IF(J23="","",COUNTIFS($C$18:$C$2015,J$13,$D$18:$D$2015,"&gt;="&amp;J23,$D$18:$D$2015,"&lt;"&amp;J24))</f>
        <v/>
      </c>
      <c r="L23" s="14" t="n"/>
      <c r="M23" s="16" t="n">
        <v>26</v>
      </c>
      <c r="N23" s="124">
        <f>IF(M23="","",COUNTIFS($C$18:$C$2015,M$13,$D$18:$D$2015,"&gt;="&amp;M23,$D$18:$D$2015,"&lt;"&amp;M24))</f>
        <v/>
      </c>
      <c r="O23" s="14" t="n"/>
      <c r="P23" s="16" t="n">
        <v>18</v>
      </c>
      <c r="Q23" s="124">
        <f>IF(P23="","",COUNTIFS($C$18:$C$2015,P$13,$D$18:$D$2015,"&gt;="&amp;P23,$D$18:$D$2015,"&lt;"&amp;P24))</f>
        <v/>
      </c>
      <c r="R23" s="14" t="n"/>
      <c r="S23" s="16" t="n">
        <v>26</v>
      </c>
      <c r="T23" s="124">
        <f>IF(S23="","",COUNTIFS($C$18:$C$2015,S$13,$D$18:$D$2015,"&gt;="&amp;S23,$D$18:$D$2015,"&lt;"&amp;S24))</f>
        <v/>
      </c>
      <c r="U23" s="14" t="n"/>
      <c r="V23" s="16" t="n">
        <v>26</v>
      </c>
      <c r="W23" s="124">
        <f>IF(V23="","",COUNTIFS($C$18:$C$2015,V$13,$D$18:$D$2015,"&gt;="&amp;V23,$D$18:$D$2015,"&lt;"&amp;V24))</f>
        <v/>
      </c>
      <c r="X23" s="14" t="n"/>
      <c r="Y23" s="16" t="n">
        <v>26</v>
      </c>
      <c r="Z23" s="124">
        <f>IF(Y23="","",COUNTIFS($C$18:$C$2015,Y$13,$D$18:$D$2015,"&gt;="&amp;Y23,$D$18:$D$2015,"&lt;"&amp;Y24))</f>
        <v/>
      </c>
      <c r="AA23" s="14" t="n"/>
      <c r="AB23" s="16" t="n">
        <v>18</v>
      </c>
      <c r="AC23" s="124">
        <f>IF(AB23="","",COUNTIFS($C$18:$C$2015,AB$13,$D$18:$D$2015,"&gt;="&amp;AB23,$D$18:$D$2015,"&lt;"&amp;AB24))</f>
        <v/>
      </c>
      <c r="AD23" s="14" t="n"/>
    </row>
    <row r="24">
      <c r="A24" s="56" t="n"/>
      <c r="B24" s="59" t="n"/>
      <c r="C24" s="59" t="n"/>
      <c r="E24" s="16" t="n"/>
      <c r="F24" s="13" t="n"/>
      <c r="G24" s="16" t="n">
        <v>19</v>
      </c>
      <c r="H24" s="124">
        <f>IF(G24="","",COUNTIFS($C$18:$C$2015,G$13,$D$18:$D$2015,"&gt;="&amp;G24,$D$18:$D$2015,"&lt;"&amp;G25))</f>
        <v/>
      </c>
      <c r="I24" s="14" t="n"/>
      <c r="J24" s="16" t="n">
        <v>55</v>
      </c>
      <c r="K24" s="124">
        <f>IF(J24="","",COUNTIFS($C$18:$C$2015,J$13,$D$18:$D$2015,"&gt;="&amp;J24,$D$18:$D$2015,"&lt;"&amp;J25))</f>
        <v/>
      </c>
      <c r="L24" s="14" t="n"/>
      <c r="M24" s="16" t="n">
        <v>28</v>
      </c>
      <c r="N24" s="124">
        <f>IF(M24="","",COUNTIFS($C$18:$C$2015,M$13,$D$18:$D$2015,"&gt;="&amp;M24,$D$18:$D$2015,"&lt;"&amp;M25))</f>
        <v/>
      </c>
      <c r="O24" s="14" t="n"/>
      <c r="P24" s="16" t="n">
        <v>19</v>
      </c>
      <c r="Q24" s="124">
        <f>IF(P24="","",COUNTIFS($C$18:$C$2015,P$13,$D$18:$D$2015,"&gt;="&amp;P24,$D$18:$D$2015,"&lt;"&amp;P25))</f>
        <v/>
      </c>
      <c r="R24" s="14" t="n"/>
      <c r="S24" s="16" t="n">
        <v>28</v>
      </c>
      <c r="T24" s="124">
        <f>IF(S24="","",COUNTIFS($C$18:$C$2015,S$13,$D$18:$D$2015,"&gt;="&amp;S24,$D$18:$D$2015,"&lt;"&amp;S25))</f>
        <v/>
      </c>
      <c r="U24" s="14" t="n"/>
      <c r="V24" s="16" t="n">
        <v>28</v>
      </c>
      <c r="W24" s="124">
        <f>IF(V24="","",COUNTIFS($C$18:$C$2015,V$13,$D$18:$D$2015,"&gt;="&amp;V24,$D$18:$D$2015,"&lt;"&amp;V25))</f>
        <v/>
      </c>
      <c r="X24" s="14" t="n"/>
      <c r="Y24" s="16" t="n">
        <v>28</v>
      </c>
      <c r="Z24" s="124">
        <f>IF(Y24="","",COUNTIFS($C$18:$C$2015,Y$13,$D$18:$D$2015,"&gt;="&amp;Y24,$D$18:$D$2015,"&lt;"&amp;Y25))</f>
        <v/>
      </c>
      <c r="AA24" s="14" t="n"/>
      <c r="AB24" s="16" t="n">
        <v>19</v>
      </c>
      <c r="AC24" s="124">
        <f>IF(AB24="","",COUNTIFS($C$18:$C$2015,AB$13,$D$18:$D$2015,"&gt;="&amp;AB24,$D$18:$D$2015,"&lt;"&amp;AB25))</f>
        <v/>
      </c>
      <c r="AD24" s="14" t="n"/>
    </row>
    <row r="25">
      <c r="A25" s="58" t="n"/>
      <c r="B25" s="59" t="n"/>
      <c r="C25" s="59" t="n"/>
      <c r="E25" s="16" t="n"/>
      <c r="F25" s="13" t="n"/>
      <c r="G25" s="16" t="n">
        <v>20</v>
      </c>
      <c r="H25" s="124">
        <f>IF(G25="","",COUNTIFS($C$18:$C$2015,G$13,$D$18:$D$2015,"&gt;="&amp;G25,$D$18:$D$2015,"&lt;"&amp;G26))</f>
        <v/>
      </c>
      <c r="I25" s="14" t="n"/>
      <c r="J25" s="16" t="n">
        <v>60</v>
      </c>
      <c r="K25" s="124">
        <f>IF(J25="","",COUNTIFS($C$18:$C$2015,J$13,$D$18:$D$2015,"&gt;="&amp;J25,$D$18:$D$2015,"&lt;"&amp;J26))</f>
        <v/>
      </c>
      <c r="L25" s="14" t="n"/>
      <c r="M25" s="16" t="n">
        <v>30</v>
      </c>
      <c r="N25" s="124">
        <f>IF(M25="","",COUNTIFS($C$18:$C$2015,M$13,$D$18:$D$2015,"&gt;="&amp;M25,$D$18:$D$2015,"&lt;"&amp;M26))</f>
        <v/>
      </c>
      <c r="O25" s="14" t="n"/>
      <c r="P25" s="16" t="n">
        <v>20</v>
      </c>
      <c r="Q25" s="124">
        <f>IF(P25="","",COUNTIFS($C$18:$C$2015,P$13,$D$18:$D$2015,"&gt;="&amp;P25,$D$18:$D$2015,"&lt;"&amp;P26))</f>
        <v/>
      </c>
      <c r="R25" s="14" t="n"/>
      <c r="S25" s="16" t="n">
        <v>30</v>
      </c>
      <c r="T25" s="124">
        <f>IF(S25="","",COUNTIFS($C$18:$C$2015,S$13,$D$18:$D$2015,"&gt;="&amp;S25,$D$18:$D$2015,"&lt;"&amp;S26))</f>
        <v/>
      </c>
      <c r="U25" s="14" t="n"/>
      <c r="V25" s="16" t="n">
        <v>30</v>
      </c>
      <c r="W25" s="124">
        <f>IF(V25="","",COUNTIFS($C$18:$C$2015,V$13,$D$18:$D$2015,"&gt;="&amp;V25,$D$18:$D$2015,"&lt;"&amp;V26))</f>
        <v/>
      </c>
      <c r="X25" s="14" t="n"/>
      <c r="Y25" s="16" t="n">
        <v>30</v>
      </c>
      <c r="Z25" s="124">
        <f>IF(Y25="","",COUNTIFS($C$18:$C$2015,Y$13,$D$18:$D$2015,"&gt;="&amp;Y25,$D$18:$D$2015,"&lt;"&amp;Y26))</f>
        <v/>
      </c>
      <c r="AA25" s="14" t="n"/>
      <c r="AB25" s="16" t="n">
        <v>20</v>
      </c>
      <c r="AC25" s="124">
        <f>IF(AB25="","",COUNTIFS($C$18:$C$2015,AB$13,$D$18:$D$2015,"&gt;="&amp;AB25,$D$18:$D$2015,"&lt;"&amp;AB26))</f>
        <v/>
      </c>
      <c r="AD25" s="14" t="n"/>
    </row>
    <row r="26">
      <c r="A26" s="56" t="n"/>
      <c r="B26" s="59" t="n"/>
      <c r="C26" s="59" t="n"/>
      <c r="E26" s="16" t="n"/>
      <c r="F26" s="13" t="n"/>
      <c r="G26" s="16" t="n">
        <v>21</v>
      </c>
      <c r="H26" s="124">
        <f>IF(G26="","",COUNTIFS($C$18:$C$2015,G$13,$D$18:$D$2015,"&gt;="&amp;G26,$D$18:$D$2015,"&lt;"&amp;G27))</f>
        <v/>
      </c>
      <c r="I26" s="14" t="n"/>
      <c r="J26" s="16" t="n">
        <v>65</v>
      </c>
      <c r="K26" s="124">
        <f>IF(J26="","",COUNTIFS($C$18:$C$2015,J$13,$D$18:$D$2015,"&gt;="&amp;J26,$D$18:$D$2015,"&lt;"&amp;J27))</f>
        <v/>
      </c>
      <c r="L26" s="14" t="n"/>
      <c r="M26" s="16" t="n">
        <v>32</v>
      </c>
      <c r="N26" s="124">
        <f>IF(M26="","",COUNTIFS($C$18:$C$2015,M$13,$D$18:$D$2015,"&gt;="&amp;M26,$D$18:$D$2015,"&lt;"&amp;M27))</f>
        <v/>
      </c>
      <c r="O26" s="14" t="n"/>
      <c r="P26" s="16" t="n">
        <v>21</v>
      </c>
      <c r="Q26" s="124">
        <f>IF(P26="","",COUNTIFS($C$18:$C$2015,P$13,$D$18:$D$2015,"&gt;="&amp;P26,$D$18:$D$2015,"&lt;"&amp;P27))</f>
        <v/>
      </c>
      <c r="R26" s="14" t="n"/>
      <c r="S26" s="16" t="n">
        <v>32</v>
      </c>
      <c r="T26" s="124">
        <f>IF(S26="","",COUNTIFS($C$18:$C$2015,S$13,$D$18:$D$2015,"&gt;="&amp;S26,$D$18:$D$2015,"&lt;"&amp;S27))</f>
        <v/>
      </c>
      <c r="U26" s="14" t="n"/>
      <c r="V26" s="16" t="n">
        <v>32</v>
      </c>
      <c r="W26" s="124">
        <f>IF(V26="","",COUNTIFS($C$18:$C$2015,V$13,$D$18:$D$2015,"&gt;="&amp;V26,$D$18:$D$2015,"&lt;"&amp;V27))</f>
        <v/>
      </c>
      <c r="X26" s="14" t="n"/>
      <c r="Y26" s="16" t="n">
        <v>32</v>
      </c>
      <c r="Z26" s="124">
        <f>IF(Y26="","",COUNTIFS($C$18:$C$2015,Y$13,$D$18:$D$2015,"&gt;="&amp;Y26,$D$18:$D$2015,"&lt;"&amp;Y27))</f>
        <v/>
      </c>
      <c r="AA26" s="14" t="n"/>
      <c r="AB26" s="16" t="n">
        <v>21</v>
      </c>
      <c r="AC26" s="124">
        <f>IF(AB26="","",COUNTIFS($C$18:$C$2015,AB$13,$D$18:$D$2015,"&gt;="&amp;AB26,$D$18:$D$2015,"&lt;"&amp;AB27))</f>
        <v/>
      </c>
      <c r="AD26" s="14" t="n"/>
    </row>
    <row r="27">
      <c r="A27" s="58" t="n"/>
      <c r="B27" s="59" t="n"/>
      <c r="C27" s="59" t="n"/>
      <c r="E27" s="16" t="n"/>
      <c r="F27" s="13" t="n"/>
      <c r="G27" s="16" t="n">
        <v>22</v>
      </c>
      <c r="H27" s="124">
        <f>IF(G27="","",COUNTIFS($C$18:$C$2015,G$13,$D$18:$D$2015,"&gt;="&amp;G27,$D$18:$D$2015,"&lt;"&amp;G28))</f>
        <v/>
      </c>
      <c r="I27" s="14" t="n"/>
      <c r="J27" s="16" t="n">
        <v>70</v>
      </c>
      <c r="K27" s="124">
        <f>IF(J27="","",COUNTIFS($C$18:$C$2015,J$13,$D$18:$D$2015,"&gt;="&amp;J27,$D$18:$D$2015,"&lt;"&amp;J28))</f>
        <v/>
      </c>
      <c r="L27" s="14" t="n"/>
      <c r="M27" s="16" t="n">
        <v>34</v>
      </c>
      <c r="N27" s="124">
        <f>IF(M27="","",COUNTIFS($C$18:$C$2015,M$13,$D$18:$D$2015,"&gt;="&amp;M27,$D$18:$D$2015,"&lt;"&amp;M28))</f>
        <v/>
      </c>
      <c r="O27" s="14" t="n"/>
      <c r="P27" s="16" t="n">
        <v>22</v>
      </c>
      <c r="Q27" s="124">
        <f>IF(P27="","",COUNTIFS($C$18:$C$2015,P$13,$D$18:$D$2015,"&gt;="&amp;P27,$D$18:$D$2015,"&lt;"&amp;P28))</f>
        <v/>
      </c>
      <c r="R27" s="14" t="n"/>
      <c r="S27" s="16" t="n">
        <v>34</v>
      </c>
      <c r="T27" s="124">
        <f>IF(S27="","",COUNTIFS($C$18:$C$2015,S$13,$D$18:$D$2015,"&gt;="&amp;S27,$D$18:$D$2015,"&lt;"&amp;S28))</f>
        <v/>
      </c>
      <c r="U27" s="14" t="n"/>
      <c r="V27" s="16" t="n">
        <v>34</v>
      </c>
      <c r="W27" s="124">
        <f>IF(V27="","",COUNTIFS($C$18:$C$2015,V$13,$D$18:$D$2015,"&gt;="&amp;V27,$D$18:$D$2015,"&lt;"&amp;V28))</f>
        <v/>
      </c>
      <c r="X27" s="14" t="n"/>
      <c r="Y27" s="16" t="n">
        <v>34</v>
      </c>
      <c r="Z27" s="124">
        <f>IF(Y27="","",COUNTIFS($C$18:$C$2015,Y$13,$D$18:$D$2015,"&gt;="&amp;Y27,$D$18:$D$2015,"&lt;"&amp;Y28))</f>
        <v/>
      </c>
      <c r="AA27" s="14" t="n"/>
      <c r="AB27" s="16" t="n">
        <v>22</v>
      </c>
      <c r="AC27" s="124">
        <f>IF(AB27="","",COUNTIFS($C$18:$C$2015,AB$13,$D$18:$D$2015,"&gt;="&amp;AB27,$D$18:$D$2015,"&lt;"&amp;AB28))</f>
        <v/>
      </c>
      <c r="AD27" s="14" t="n"/>
    </row>
    <row r="28">
      <c r="A28" s="56" t="n"/>
      <c r="B28" s="59" t="n"/>
      <c r="C28" s="59" t="n"/>
      <c r="E28" s="16" t="n"/>
      <c r="F28" s="13" t="n"/>
      <c r="G28" s="16" t="n">
        <v>23</v>
      </c>
      <c r="H28" s="124">
        <f>IF(G28="","",COUNTIFS($C$18:$C$2015,G$13,$D$18:$D$2015,"&gt;="&amp;G28,$D$18:$D$2015,"&lt;"&amp;G29))</f>
        <v/>
      </c>
      <c r="I28" s="14" t="n"/>
      <c r="J28" s="16" t="n">
        <v>75</v>
      </c>
      <c r="K28" s="124">
        <f>IF(J28="","",COUNTIFS($C$18:$C$2015,J$13,$D$18:$D$2015,"&gt;="&amp;J28,$D$18:$D$2015,"&lt;"&amp;J29))</f>
        <v/>
      </c>
      <c r="L28" s="14" t="n"/>
      <c r="M28" s="16" t="n">
        <v>36</v>
      </c>
      <c r="N28" s="124">
        <f>IF(M28="","",COUNTIFS($C$18:$C$2015,M$13,$D$18:$D$2015,"&gt;="&amp;M28,$D$18:$D$2015,"&lt;"&amp;M29))</f>
        <v/>
      </c>
      <c r="O28" s="14" t="n"/>
      <c r="P28" s="16" t="n">
        <v>23</v>
      </c>
      <c r="Q28" s="124">
        <f>IF(P28="","",COUNTIFS($C$18:$C$2015,P$13,$D$18:$D$2015,"&gt;="&amp;P28,$D$18:$D$2015,"&lt;"&amp;P29))</f>
        <v/>
      </c>
      <c r="R28" s="14" t="n"/>
      <c r="S28" s="16" t="n">
        <v>36</v>
      </c>
      <c r="T28" s="124">
        <f>IF(S28="","",COUNTIFS($C$18:$C$2015,S$13,$D$18:$D$2015,"&gt;="&amp;S28,$D$18:$D$2015,"&lt;"&amp;S29))</f>
        <v/>
      </c>
      <c r="U28" s="14" t="n"/>
      <c r="V28" s="16" t="n">
        <v>36</v>
      </c>
      <c r="W28" s="124">
        <f>IF(V28="","",COUNTIFS($C$18:$C$2015,V$13,$D$18:$D$2015,"&gt;="&amp;V28,$D$18:$D$2015,"&lt;"&amp;V29))</f>
        <v/>
      </c>
      <c r="X28" s="14" t="n"/>
      <c r="Y28" s="16" t="n">
        <v>36</v>
      </c>
      <c r="Z28" s="124">
        <f>IF(Y28="","",COUNTIFS($C$18:$C$2015,Y$13,$D$18:$D$2015,"&gt;="&amp;Y28,$D$18:$D$2015,"&lt;"&amp;Y29))</f>
        <v/>
      </c>
      <c r="AA28" s="14" t="n"/>
      <c r="AB28" s="16" t="n">
        <v>23</v>
      </c>
      <c r="AC28" s="124">
        <f>IF(AB28="","",COUNTIFS($C$18:$C$2015,AB$13,$D$18:$D$2015,"&gt;="&amp;AB28,$D$18:$D$2015,"&lt;"&amp;AB29))</f>
        <v/>
      </c>
      <c r="AD28" s="14" t="n"/>
    </row>
    <row r="29">
      <c r="A29" s="58" t="n"/>
      <c r="B29" s="59" t="n"/>
      <c r="C29" s="59" t="n"/>
      <c r="E29" s="16" t="n"/>
      <c r="F29" s="13" t="n"/>
      <c r="G29" s="16" t="n">
        <v>24</v>
      </c>
      <c r="H29" s="124">
        <f>IF(G29="","",COUNTIFS($C$18:$C$2015,G$13,$D$18:$D$2015,"&gt;="&amp;G29,$D$18:$D$2015,"&lt;"&amp;G30))</f>
        <v/>
      </c>
      <c r="I29" s="14" t="n"/>
      <c r="J29" s="16" t="n">
        <v>80</v>
      </c>
      <c r="K29" s="124">
        <f>IF(J29="","",COUNTIFS($C$18:$C$2015,J$13,$D$18:$D$2015,"&gt;="&amp;J29,$D$18:$D$2015,"&lt;"&amp;J30))</f>
        <v/>
      </c>
      <c r="L29" s="14" t="n"/>
      <c r="M29" s="16" t="n">
        <v>38</v>
      </c>
      <c r="N29" s="124">
        <f>IF(M29="","",COUNTIFS($C$18:$C$2015,M$13,$D$18:$D$2015,"&gt;="&amp;M29,$D$18:$D$2015,"&lt;"&amp;M30))</f>
        <v/>
      </c>
      <c r="O29" s="14" t="n"/>
      <c r="P29" s="16" t="n">
        <v>24</v>
      </c>
      <c r="Q29" s="124">
        <f>IF(P29="","",COUNTIFS($C$18:$C$2015,P$13,$D$18:$D$2015,"&gt;="&amp;P29,$D$18:$D$2015,"&lt;"&amp;P30))</f>
        <v/>
      </c>
      <c r="R29" s="14" t="n"/>
      <c r="S29" s="16" t="n">
        <v>38</v>
      </c>
      <c r="T29" s="124">
        <f>IF(S29="","",COUNTIFS($C$18:$C$2015,S$13,$D$18:$D$2015,"&gt;="&amp;S29,$D$18:$D$2015,"&lt;"&amp;S30))</f>
        <v/>
      </c>
      <c r="U29" s="14" t="n"/>
      <c r="V29" s="16" t="n">
        <v>38</v>
      </c>
      <c r="W29" s="124">
        <f>IF(V29="","",COUNTIFS($C$18:$C$2015,V$13,$D$18:$D$2015,"&gt;="&amp;V29,$D$18:$D$2015,"&lt;"&amp;V30))</f>
        <v/>
      </c>
      <c r="X29" s="14" t="n"/>
      <c r="Y29" s="16" t="n">
        <v>38</v>
      </c>
      <c r="Z29" s="124">
        <f>IF(Y29="","",COUNTIFS($C$18:$C$2015,Y$13,$D$18:$D$2015,"&gt;="&amp;Y29,$D$18:$D$2015,"&lt;"&amp;Y30))</f>
        <v/>
      </c>
      <c r="AA29" s="14" t="n"/>
      <c r="AB29" s="16" t="n">
        <v>24</v>
      </c>
      <c r="AC29" s="124">
        <f>IF(AB29="","",COUNTIFS($C$18:$C$2015,AB$13,$D$18:$D$2015,"&gt;="&amp;AB29,$D$18:$D$2015,"&lt;"&amp;AB30))</f>
        <v/>
      </c>
      <c r="AD29" s="14" t="n"/>
    </row>
    <row r="30">
      <c r="A30" s="56" t="n"/>
      <c r="B30" s="59" t="n"/>
      <c r="C30" s="59" t="n"/>
      <c r="E30" s="16" t="n"/>
      <c r="F30" s="13" t="n"/>
      <c r="G30" s="16" t="n">
        <v>25</v>
      </c>
      <c r="H30" s="124">
        <f>IF(G30="","",COUNTIFS($C$18:$C$2015,G$13,$D$18:$D$2015,"&gt;="&amp;G30,$D$18:$D$2015,"&lt;"&amp;G31))</f>
        <v/>
      </c>
      <c r="I30" s="14" t="n"/>
      <c r="J30" s="16" t="n">
        <v>85</v>
      </c>
      <c r="K30" s="124">
        <f>IF(J30="","",COUNTIFS($C$18:$C$2015,J$13,$D$18:$D$2015,"&gt;="&amp;J30,$D$18:$D$2015,"&lt;"&amp;J31))</f>
        <v/>
      </c>
      <c r="L30" s="14" t="n"/>
      <c r="M30" s="16" t="n">
        <v>40</v>
      </c>
      <c r="N30" s="124">
        <f>IF(M30="","",COUNTIFS($C$18:$C$2015,M$13,$D$18:$D$2015,"&gt;="&amp;M30,$D$18:$D$2015,"&lt;"&amp;M31))</f>
        <v/>
      </c>
      <c r="O30" s="14" t="n"/>
      <c r="P30" s="16" t="n">
        <v>25</v>
      </c>
      <c r="Q30" s="124">
        <f>IF(P30="","",COUNTIFS($C$18:$C$2015,P$13,$D$18:$D$2015,"&gt;="&amp;P30,$D$18:$D$2015,"&lt;"&amp;P31))</f>
        <v/>
      </c>
      <c r="R30" s="14" t="n"/>
      <c r="S30" s="16" t="n">
        <v>40</v>
      </c>
      <c r="T30" s="124">
        <f>IF(S30="","",COUNTIFS($C$18:$C$2015,S$13,$D$18:$D$2015,"&gt;="&amp;S30,$D$18:$D$2015,"&lt;"&amp;S31))</f>
        <v/>
      </c>
      <c r="U30" s="14" t="n"/>
      <c r="V30" s="16" t="n">
        <v>40</v>
      </c>
      <c r="W30" s="124">
        <f>IF(V30="","",COUNTIFS($C$18:$C$2015,V$13,$D$18:$D$2015,"&gt;="&amp;V30,$D$18:$D$2015,"&lt;"&amp;V31))</f>
        <v/>
      </c>
      <c r="X30" s="14" t="n"/>
      <c r="Y30" s="16" t="n">
        <v>40</v>
      </c>
      <c r="Z30" s="124">
        <f>IF(Y30="","",COUNTIFS($C$18:$C$2015,Y$13,$D$18:$D$2015,"&gt;="&amp;Y30,$D$18:$D$2015,"&lt;"&amp;Y31))</f>
        <v/>
      </c>
      <c r="AA30" s="14" t="n"/>
      <c r="AB30" s="16" t="n">
        <v>25</v>
      </c>
      <c r="AC30" s="124">
        <f>IF(AB30="","",COUNTIFS($C$18:$C$2015,AB$13,$D$18:$D$2015,"&gt;="&amp;AB30,$D$18:$D$2015,"&lt;"&amp;AB31))</f>
        <v/>
      </c>
      <c r="AD30" s="14" t="n"/>
    </row>
    <row r="31">
      <c r="A31" s="58" t="n"/>
      <c r="B31" s="59" t="n"/>
      <c r="C31" s="59" t="n"/>
      <c r="E31" s="16" t="n"/>
      <c r="F31" s="13" t="n"/>
      <c r="G31" s="16" t="n">
        <v>26</v>
      </c>
      <c r="H31" s="124">
        <f>IF(G31="","",COUNTIFS($C$18:$C$2015,G$13,$D$18:$D$2015,"&gt;="&amp;G31,$D$18:$D$2015,"&lt;"&amp;G32))</f>
        <v/>
      </c>
      <c r="I31" s="14" t="n"/>
      <c r="J31" s="16" t="n">
        <v>90</v>
      </c>
      <c r="K31" s="124">
        <f>IF(J31="","",COUNTIFS($C$18:$C$2015,J$13,$D$18:$D$2015,"&gt;="&amp;J31,$D$18:$D$2015,"&lt;"&amp;J32))</f>
        <v/>
      </c>
      <c r="L31" s="14" t="n"/>
      <c r="M31" s="16" t="n">
        <v>42</v>
      </c>
      <c r="N31" s="124">
        <f>IF(M31="","",COUNTIFS($C$18:$C$2015,M$13,$D$18:$D$2015,"&gt;="&amp;M31,$D$18:$D$2015,"&lt;"&amp;M32))</f>
        <v/>
      </c>
      <c r="O31" s="14" t="n"/>
      <c r="P31" s="16" t="n">
        <v>26</v>
      </c>
      <c r="Q31" s="124">
        <f>IF(P31="","",COUNTIFS($C$18:$C$2015,P$13,$D$18:$D$2015,"&gt;="&amp;P31,$D$18:$D$2015,"&lt;"&amp;P32))</f>
        <v/>
      </c>
      <c r="R31" s="14" t="n"/>
      <c r="S31" s="16" t="n">
        <v>42</v>
      </c>
      <c r="T31" s="124">
        <f>IF(S31="","",COUNTIFS($C$18:$C$2015,S$13,$D$18:$D$2015,"&gt;="&amp;S31,$D$18:$D$2015,"&lt;"&amp;S32))</f>
        <v/>
      </c>
      <c r="U31" s="14" t="n"/>
      <c r="V31" s="16" t="n">
        <v>42</v>
      </c>
      <c r="W31" s="124">
        <f>IF(V31="","",COUNTIFS($C$18:$C$2015,V$13,$D$18:$D$2015,"&gt;="&amp;V31,$D$18:$D$2015,"&lt;"&amp;V32))</f>
        <v/>
      </c>
      <c r="X31" s="14" t="n"/>
      <c r="Y31" s="16" t="n">
        <v>42</v>
      </c>
      <c r="Z31" s="124">
        <f>IF(Y31="","",COUNTIFS($C$18:$C$2015,Y$13,$D$18:$D$2015,"&gt;="&amp;Y31,$D$18:$D$2015,"&lt;"&amp;Y32))</f>
        <v/>
      </c>
      <c r="AA31" s="14" t="n"/>
      <c r="AB31" s="16" t="n">
        <v>26</v>
      </c>
      <c r="AC31" s="124">
        <f>IF(AB31="","",COUNTIFS($C$18:$C$2015,AB$13,$D$18:$D$2015,"&gt;="&amp;AB31,$D$18:$D$2015,"&lt;"&amp;AB32))</f>
        <v/>
      </c>
      <c r="AD31" s="14" t="n"/>
    </row>
    <row r="32">
      <c r="A32" s="56" t="n"/>
      <c r="B32" s="59" t="n"/>
      <c r="C32" s="59" t="n"/>
      <c r="E32" s="16" t="n"/>
      <c r="F32" s="13" t="n"/>
      <c r="G32" s="16" t="n">
        <v>27</v>
      </c>
      <c r="H32" s="124">
        <f>IF(G32="","",COUNTIFS($C$18:$C$2015,G$13,$D$18:$D$2015,"&gt;="&amp;G32,$D$18:$D$2015,"&lt;"&amp;G33))</f>
        <v/>
      </c>
      <c r="I32" s="14" t="n"/>
      <c r="J32" s="16" t="n">
        <v>95</v>
      </c>
      <c r="K32" s="124">
        <f>IF(J32="","",COUNTIFS($C$18:$C$2015,J$13,$D$18:$D$2015,"&gt;="&amp;J32,$D$18:$D$2015,"&lt;"&amp;J33))</f>
        <v/>
      </c>
      <c r="L32" s="14" t="n"/>
      <c r="M32" s="16" t="n">
        <v>44</v>
      </c>
      <c r="N32" s="124">
        <f>IF(M32="","",COUNTIFS($C$18:$C$2015,M$13,$D$18:$D$2015,"&gt;="&amp;M32,$D$18:$D$2015,"&lt;"&amp;M33))</f>
        <v/>
      </c>
      <c r="O32" s="14" t="n"/>
      <c r="P32" s="16" t="n">
        <v>27</v>
      </c>
      <c r="Q32" s="124">
        <f>IF(P32="","",COUNTIFS($C$18:$C$2015,P$13,$D$18:$D$2015,"&gt;="&amp;P32,$D$18:$D$2015,"&lt;"&amp;P33))</f>
        <v/>
      </c>
      <c r="R32" s="14" t="n"/>
      <c r="S32" s="16" t="n">
        <v>44</v>
      </c>
      <c r="T32" s="124">
        <f>IF(S32="","",COUNTIFS($C$18:$C$2015,S$13,$D$18:$D$2015,"&gt;="&amp;S32,$D$18:$D$2015,"&lt;"&amp;S33))</f>
        <v/>
      </c>
      <c r="U32" s="14" t="n"/>
      <c r="V32" s="16" t="n">
        <v>44</v>
      </c>
      <c r="W32" s="124">
        <f>IF(V32="","",COUNTIFS($C$18:$C$2015,V$13,$D$18:$D$2015,"&gt;="&amp;V32,$D$18:$D$2015,"&lt;"&amp;V33))</f>
        <v/>
      </c>
      <c r="X32" s="14" t="n"/>
      <c r="Y32" s="16" t="n">
        <v>44</v>
      </c>
      <c r="Z32" s="124">
        <f>IF(Y32="","",COUNTIFS($C$18:$C$2015,Y$13,$D$18:$D$2015,"&gt;="&amp;Y32,$D$18:$D$2015,"&lt;"&amp;Y33))</f>
        <v/>
      </c>
      <c r="AA32" s="14" t="n"/>
      <c r="AB32" s="16" t="n">
        <v>27</v>
      </c>
      <c r="AC32" s="124">
        <f>IF(AB32="","",COUNTIFS($C$18:$C$2015,AB$13,$D$18:$D$2015,"&gt;="&amp;AB32,$D$18:$D$2015,"&lt;"&amp;AB33))</f>
        <v/>
      </c>
      <c r="AD32" s="14" t="n"/>
    </row>
    <row r="33">
      <c r="A33" s="58" t="n"/>
      <c r="B33" s="59" t="n"/>
      <c r="C33" s="59" t="n"/>
      <c r="E33" s="16" t="n"/>
      <c r="F33" s="13" t="n"/>
      <c r="G33" s="16" t="n">
        <v>28</v>
      </c>
      <c r="H33" s="124">
        <f>IF(G33="","",COUNTIFS($C$18:$C$2015,G$13,$D$18:$D$2015,"&gt;="&amp;G33,$D$18:$D$2015,"&lt;"&amp;G34))</f>
        <v/>
      </c>
      <c r="I33" s="14" t="n"/>
      <c r="J33" s="16" t="n">
        <v>100</v>
      </c>
      <c r="K33" s="124">
        <f>IF(J33="","",COUNTIFS($C$18:$C$2015,J$13,$D$18:$D$2015,"&gt;="&amp;J33,$D$18:$D$2015,"&lt;"&amp;J34))</f>
        <v/>
      </c>
      <c r="L33" s="14" t="n"/>
      <c r="M33" s="16" t="n">
        <v>46</v>
      </c>
      <c r="N33" s="124">
        <f>IF(M33="","",COUNTIFS($C$18:$C$2015,M$13,$D$18:$D$2015,"&gt;="&amp;M33,$D$18:$D$2015,"&lt;"&amp;M34))</f>
        <v/>
      </c>
      <c r="O33" s="14" t="n"/>
      <c r="P33" s="16" t="n">
        <v>28</v>
      </c>
      <c r="Q33" s="124">
        <f>IF(P33="","",COUNTIFS($C$18:$C$2015,P$13,$D$18:$D$2015,"&gt;="&amp;P33,$D$18:$D$2015,"&lt;"&amp;P34))</f>
        <v/>
      </c>
      <c r="R33" s="14" t="n"/>
      <c r="S33" s="16" t="n">
        <v>46</v>
      </c>
      <c r="T33" s="124">
        <f>IF(S33="","",COUNTIFS($C$18:$C$2015,S$13,$D$18:$D$2015,"&gt;="&amp;S33,$D$18:$D$2015,"&lt;"&amp;S34))</f>
        <v/>
      </c>
      <c r="U33" s="14" t="n"/>
      <c r="V33" s="16" t="n">
        <v>46</v>
      </c>
      <c r="W33" s="124">
        <f>IF(V33="","",COUNTIFS($C$18:$C$2015,V$13,$D$18:$D$2015,"&gt;="&amp;V33,$D$18:$D$2015,"&lt;"&amp;V34))</f>
        <v/>
      </c>
      <c r="X33" s="14" t="n"/>
      <c r="Y33" s="16" t="n">
        <v>46</v>
      </c>
      <c r="Z33" s="124">
        <f>IF(Y33="","",COUNTIFS($C$18:$C$2015,Y$13,$D$18:$D$2015,"&gt;="&amp;Y33,$D$18:$D$2015,"&lt;"&amp;Y34))</f>
        <v/>
      </c>
      <c r="AA33" s="14" t="n"/>
      <c r="AB33" s="16" t="n">
        <v>28</v>
      </c>
      <c r="AC33" s="124">
        <f>IF(AB33="","",COUNTIFS($C$18:$C$2015,AB$13,$D$18:$D$2015,"&gt;="&amp;AB33,$D$18:$D$2015,"&lt;"&amp;AB34))</f>
        <v/>
      </c>
      <c r="AD33" s="14" t="n"/>
    </row>
    <row r="34">
      <c r="A34" s="56" t="n"/>
      <c r="B34" s="59" t="n"/>
      <c r="C34" s="59" t="n"/>
      <c r="E34" s="16" t="n"/>
      <c r="F34" s="13" t="n"/>
      <c r="G34" s="16" t="n">
        <v>29</v>
      </c>
      <c r="H34" s="124">
        <f>IF(G34="","",COUNTIFS($C$18:$C$2015,G$13,$D$18:$D$2015,"&gt;="&amp;G34,$D$18:$D$2015,"&lt;"&amp;G35))</f>
        <v/>
      </c>
      <c r="I34" s="14" t="n"/>
      <c r="J34" s="16" t="n">
        <v>105</v>
      </c>
      <c r="K34" s="124">
        <f>IF(J34="","",COUNTIFS($C$18:$C$2015,J$13,$D$18:$D$2015,"&gt;="&amp;J34,$D$18:$D$2015,"&lt;"&amp;J35))</f>
        <v/>
      </c>
      <c r="L34" s="14" t="n"/>
      <c r="M34" s="16" t="n">
        <v>48</v>
      </c>
      <c r="N34" s="124">
        <f>IF(M34="","",COUNTIFS($C$18:$C$2015,M$13,$D$18:$D$2015,"&gt;="&amp;M34,$D$18:$D$2015,"&lt;"&amp;M35))</f>
        <v/>
      </c>
      <c r="O34" s="14" t="n"/>
      <c r="P34" s="16" t="n">
        <v>29</v>
      </c>
      <c r="Q34" s="124">
        <f>IF(P34="","",COUNTIFS($C$18:$C$2015,P$13,$D$18:$D$2015,"&gt;="&amp;P34,$D$18:$D$2015,"&lt;"&amp;P35))</f>
        <v/>
      </c>
      <c r="R34" s="14" t="n"/>
      <c r="S34" s="16" t="n">
        <v>48</v>
      </c>
      <c r="T34" s="124">
        <f>IF(S34="","",COUNTIFS($C$18:$C$2015,S$13,$D$18:$D$2015,"&gt;="&amp;S34,$D$18:$D$2015,"&lt;"&amp;S35))</f>
        <v/>
      </c>
      <c r="U34" s="14" t="n"/>
      <c r="V34" s="16" t="n">
        <v>48</v>
      </c>
      <c r="W34" s="124">
        <f>IF(V34="","",COUNTIFS($C$18:$C$2015,V$13,$D$18:$D$2015,"&gt;="&amp;V34,$D$18:$D$2015,"&lt;"&amp;V35))</f>
        <v/>
      </c>
      <c r="X34" s="14" t="n"/>
      <c r="Y34" s="16" t="n">
        <v>48</v>
      </c>
      <c r="Z34" s="124">
        <f>IF(Y34="","",COUNTIFS($C$18:$C$2015,Y$13,$D$18:$D$2015,"&gt;="&amp;Y34,$D$18:$D$2015,"&lt;"&amp;Y35))</f>
        <v/>
      </c>
      <c r="AA34" s="14" t="n"/>
      <c r="AB34" s="16" t="n">
        <v>29</v>
      </c>
      <c r="AC34" s="124">
        <f>IF(AB34="","",COUNTIFS($C$18:$C$2015,AB$13,$D$18:$D$2015,"&gt;="&amp;AB34,$D$18:$D$2015,"&lt;"&amp;AB35))</f>
        <v/>
      </c>
      <c r="AD34" s="14" t="n"/>
    </row>
    <row r="35">
      <c r="A35" s="58" t="n"/>
      <c r="B35" s="59" t="n"/>
      <c r="C35" s="59" t="n"/>
      <c r="E35" s="16" t="n"/>
      <c r="F35" s="13" t="n"/>
      <c r="G35" s="16" t="n">
        <v>30</v>
      </c>
      <c r="H35" s="124">
        <f>IF(G35="","",COUNTIFS($C$18:$C$2015,G$13,$D$18:$D$2015,"&gt;="&amp;G35,$D$18:$D$2015,"&lt;"&amp;G36))</f>
        <v/>
      </c>
      <c r="I35" s="14" t="n"/>
      <c r="J35" s="16" t="n">
        <v>110</v>
      </c>
      <c r="K35" s="124">
        <f>IF(J35="","",COUNTIFS($C$18:$C$2015,J$13,$D$18:$D$2015,"&gt;="&amp;J35,$D$18:$D$2015,"&lt;"&amp;J36))</f>
        <v/>
      </c>
      <c r="L35" s="14" t="n"/>
      <c r="M35" s="16" t="n">
        <v>50</v>
      </c>
      <c r="N35" s="124">
        <f>IF(M35="","",COUNTIFS($C$18:$C$2015,M$13,$D$18:$D$2015,"&gt;="&amp;M35,$D$18:$D$2015,"&lt;"&amp;M36))</f>
        <v/>
      </c>
      <c r="O35" s="14" t="n"/>
      <c r="P35" s="16" t="n">
        <v>30</v>
      </c>
      <c r="Q35" s="124">
        <f>IF(P35="","",COUNTIFS($C$18:$C$2015,P$13,$D$18:$D$2015,"&gt;="&amp;P35,$D$18:$D$2015,"&lt;"&amp;P36))</f>
        <v/>
      </c>
      <c r="R35" s="14" t="n"/>
      <c r="S35" s="16" t="n">
        <v>50</v>
      </c>
      <c r="T35" s="124">
        <f>IF(S35="","",COUNTIFS($C$18:$C$2015,S$13,$D$18:$D$2015,"&gt;="&amp;S35,$D$18:$D$2015,"&lt;"&amp;S36))</f>
        <v/>
      </c>
      <c r="U35" s="14" t="n"/>
      <c r="V35" s="16" t="n">
        <v>50</v>
      </c>
      <c r="W35" s="124">
        <f>IF(V35="","",COUNTIFS($C$18:$C$2015,V$13,$D$18:$D$2015,"&gt;="&amp;V35,$D$18:$D$2015,"&lt;"&amp;V36))</f>
        <v/>
      </c>
      <c r="X35" s="14" t="n"/>
      <c r="Y35" s="16" t="n">
        <v>50</v>
      </c>
      <c r="Z35" s="124">
        <f>IF(Y35="","",COUNTIFS($C$18:$C$2015,Y$13,$D$18:$D$2015,"&gt;="&amp;Y35,$D$18:$D$2015,"&lt;"&amp;Y36))</f>
        <v/>
      </c>
      <c r="AA35" s="14" t="n"/>
      <c r="AB35" s="16" t="n">
        <v>30</v>
      </c>
      <c r="AC35" s="124">
        <f>IF(AB35="","",COUNTIFS($C$18:$C$2015,AB$13,$D$18:$D$2015,"&gt;="&amp;AB35,$D$18:$D$2015,"&lt;"&amp;AB36))</f>
        <v/>
      </c>
      <c r="AD35" s="14" t="n"/>
    </row>
    <row r="36">
      <c r="A36" s="56" t="n"/>
      <c r="B36" s="59" t="n"/>
      <c r="C36" s="59" t="n"/>
      <c r="E36" s="16" t="n"/>
      <c r="F36" s="13" t="n"/>
      <c r="G36" s="16" t="n">
        <v>31</v>
      </c>
      <c r="H36" s="124">
        <f>IF(G36="","",COUNTIFS($C$18:$C$2015,G$13,$D$18:$D$2015,"&gt;="&amp;G36,$D$18:$D$2015,"&lt;"&amp;G37))</f>
        <v/>
      </c>
      <c r="I36" s="14" t="n"/>
      <c r="J36" s="16" t="n">
        <v>115</v>
      </c>
      <c r="K36" s="124">
        <f>IF(J36="","",COUNTIFS($C$18:$C$2015,J$13,$D$18:$D$2015,"&gt;="&amp;J36,$D$18:$D$2015,"&lt;"&amp;J37))</f>
        <v/>
      </c>
      <c r="L36" s="14" t="n"/>
      <c r="M36" s="16" t="n">
        <v>52</v>
      </c>
      <c r="N36" s="124">
        <f>IF(M36="","",COUNTIFS($C$18:$C$2015,M$13,$D$18:$D$2015,"&gt;="&amp;M36,$D$18:$D$2015,"&lt;"&amp;M37))</f>
        <v/>
      </c>
      <c r="O36" s="14" t="n"/>
      <c r="P36" s="16" t="n">
        <v>31</v>
      </c>
      <c r="Q36" s="124">
        <f>IF(P36="","",COUNTIFS($C$18:$C$2015,P$13,$D$18:$D$2015,"&gt;="&amp;P36,$D$18:$D$2015,"&lt;"&amp;P37))</f>
        <v/>
      </c>
      <c r="R36" s="14" t="n"/>
      <c r="S36" s="16" t="n">
        <v>52</v>
      </c>
      <c r="T36" s="124">
        <f>IF(S36="","",COUNTIFS($C$18:$C$2015,S$13,$D$18:$D$2015,"&gt;="&amp;S36,$D$18:$D$2015,"&lt;"&amp;S37))</f>
        <v/>
      </c>
      <c r="U36" s="14" t="n"/>
      <c r="V36" s="16" t="n">
        <v>52</v>
      </c>
      <c r="W36" s="124">
        <f>IF(V36="","",COUNTIFS($C$18:$C$2015,V$13,$D$18:$D$2015,"&gt;="&amp;V36,$D$18:$D$2015,"&lt;"&amp;V37))</f>
        <v/>
      </c>
      <c r="X36" s="14" t="n"/>
      <c r="Y36" s="16" t="n">
        <v>52</v>
      </c>
      <c r="Z36" s="124">
        <f>IF(Y36="","",COUNTIFS($C$18:$C$2015,Y$13,$D$18:$D$2015,"&gt;="&amp;Y36,$D$18:$D$2015,"&lt;"&amp;Y37))</f>
        <v/>
      </c>
      <c r="AA36" s="14" t="n"/>
      <c r="AB36" s="16" t="n">
        <v>31</v>
      </c>
      <c r="AC36" s="124">
        <f>IF(AB36="","",COUNTIFS($C$18:$C$2015,AB$13,$D$18:$D$2015,"&gt;="&amp;AB36,$D$18:$D$2015,"&lt;"&amp;AB37))</f>
        <v/>
      </c>
      <c r="AD36" s="14" t="n"/>
    </row>
    <row r="37">
      <c r="A37" s="58" t="n"/>
      <c r="B37" s="59" t="n"/>
      <c r="C37" s="59" t="n"/>
      <c r="E37" s="16" t="n"/>
      <c r="F37" s="13" t="n"/>
      <c r="G37" s="16" t="n">
        <v>32</v>
      </c>
      <c r="H37" s="124">
        <f>IF(G37="","",COUNTIFS($C$18:$C$2015,G$13,$D$18:$D$2015,"&gt;="&amp;G37,$D$18:$D$2015,"&lt;"&amp;G38))</f>
        <v/>
      </c>
      <c r="I37" s="14" t="n"/>
      <c r="J37" s="16" t="n">
        <v>120</v>
      </c>
      <c r="K37" s="124">
        <f>IF(J37="","",COUNTIFS($C$18:$C$2015,J$13,$D$18:$D$2015,"&gt;="&amp;J37,$D$18:$D$2015,"&lt;"&amp;J38))</f>
        <v/>
      </c>
      <c r="L37" s="14" t="n"/>
      <c r="M37" s="16" t="n">
        <v>54</v>
      </c>
      <c r="N37" s="124">
        <f>IF(M37="","",COUNTIFS($C$18:$C$2015,M$13,$D$18:$D$2015,"&gt;="&amp;M37,$D$18:$D$2015,"&lt;"&amp;M38))</f>
        <v/>
      </c>
      <c r="O37" s="14" t="n"/>
      <c r="P37" s="16" t="n">
        <v>32</v>
      </c>
      <c r="Q37" s="124">
        <f>IF(P37="","",COUNTIFS($C$18:$C$2015,P$13,$D$18:$D$2015,"&gt;="&amp;P37,$D$18:$D$2015,"&lt;"&amp;P38))</f>
        <v/>
      </c>
      <c r="R37" s="14" t="n"/>
      <c r="S37" s="16" t="n">
        <v>54</v>
      </c>
      <c r="T37" s="124">
        <f>IF(S37="","",COUNTIFS($C$18:$C$2015,S$13,$D$18:$D$2015,"&gt;="&amp;S37,$D$18:$D$2015,"&lt;"&amp;S38))</f>
        <v/>
      </c>
      <c r="U37" s="14" t="n"/>
      <c r="V37" s="16" t="n">
        <v>54</v>
      </c>
      <c r="W37" s="124">
        <f>IF(V37="","",COUNTIFS($C$18:$C$2015,V$13,$D$18:$D$2015,"&gt;="&amp;V37,$D$18:$D$2015,"&lt;"&amp;V38))</f>
        <v/>
      </c>
      <c r="X37" s="14" t="n"/>
      <c r="Y37" s="16" t="n">
        <v>54</v>
      </c>
      <c r="Z37" s="124">
        <f>IF(Y37="","",COUNTIFS($C$18:$C$2015,Y$13,$D$18:$D$2015,"&gt;="&amp;Y37,$D$18:$D$2015,"&lt;"&amp;Y38))</f>
        <v/>
      </c>
      <c r="AA37" s="14" t="n"/>
      <c r="AB37" s="16" t="n">
        <v>32</v>
      </c>
      <c r="AC37" s="124">
        <f>IF(AB37="","",COUNTIFS($C$18:$C$2015,AB$13,$D$18:$D$2015,"&gt;="&amp;AB37,$D$18:$D$2015,"&lt;"&amp;AB38))</f>
        <v/>
      </c>
      <c r="AD37" s="14" t="n"/>
    </row>
    <row r="38">
      <c r="A38" s="56" t="n"/>
      <c r="B38" s="59" t="n"/>
      <c r="C38" s="59" t="n"/>
      <c r="E38" s="16" t="n"/>
      <c r="F38" s="13" t="n"/>
      <c r="G38" s="16" t="n">
        <v>33</v>
      </c>
      <c r="H38" s="124">
        <f>IF(G38="","",COUNTIFS($C$18:$C$2015,G$13,$D$18:$D$2015,"&gt;="&amp;G38,$D$18:$D$2015,"&lt;"&amp;G39))</f>
        <v/>
      </c>
      <c r="I38" s="14" t="n"/>
      <c r="J38" s="16" t="n">
        <v>125</v>
      </c>
      <c r="K38" s="124">
        <f>IF(J38="","",COUNTIFS($C$18:$C$2015,J$13,$D$18:$D$2015,"&gt;="&amp;J38,$D$18:$D$2015,"&lt;"&amp;J39))</f>
        <v/>
      </c>
      <c r="L38" s="14" t="n"/>
      <c r="M38" s="16" t="n">
        <v>56</v>
      </c>
      <c r="N38" s="124">
        <f>IF(M38="","",COUNTIFS($C$18:$C$2015,M$13,$D$18:$D$2015,"&gt;="&amp;M38,$D$18:$D$2015,"&lt;"&amp;M39))</f>
        <v/>
      </c>
      <c r="O38" s="14" t="n"/>
      <c r="P38" s="16" t="n">
        <v>33</v>
      </c>
      <c r="Q38" s="124">
        <f>IF(P38="","",COUNTIFS($C$18:$C$2015,P$13,$D$18:$D$2015,"&gt;="&amp;P38,$D$18:$D$2015,"&lt;"&amp;P39))</f>
        <v/>
      </c>
      <c r="R38" s="14" t="n"/>
      <c r="S38" s="16" t="n">
        <v>56</v>
      </c>
      <c r="T38" s="124">
        <f>IF(S38="","",COUNTIFS($C$18:$C$2015,S$13,$D$18:$D$2015,"&gt;="&amp;S38,$D$18:$D$2015,"&lt;"&amp;S39))</f>
        <v/>
      </c>
      <c r="U38" s="14" t="n"/>
      <c r="V38" s="16" t="n">
        <v>56</v>
      </c>
      <c r="W38" s="124">
        <f>IF(V38="","",COUNTIFS($C$18:$C$2015,V$13,$D$18:$D$2015,"&gt;="&amp;V38,$D$18:$D$2015,"&lt;"&amp;V39))</f>
        <v/>
      </c>
      <c r="X38" s="14" t="n"/>
      <c r="Y38" s="16" t="n">
        <v>56</v>
      </c>
      <c r="Z38" s="124">
        <f>IF(Y38="","",COUNTIFS($C$18:$C$2015,Y$13,$D$18:$D$2015,"&gt;="&amp;Y38,$D$18:$D$2015,"&lt;"&amp;Y39))</f>
        <v/>
      </c>
      <c r="AA38" s="14" t="n"/>
      <c r="AB38" s="16" t="n">
        <v>33</v>
      </c>
      <c r="AC38" s="124">
        <f>IF(AB38="","",COUNTIFS($C$18:$C$2015,AB$13,$D$18:$D$2015,"&gt;="&amp;AB38,$D$18:$D$2015,"&lt;"&amp;AB39))</f>
        <v/>
      </c>
      <c r="AD38" s="14" t="n"/>
    </row>
    <row r="39">
      <c r="A39" s="58" t="n"/>
      <c r="B39" s="59" t="n"/>
      <c r="C39" s="59" t="n"/>
      <c r="E39" s="16" t="n"/>
      <c r="F39" s="13" t="n"/>
      <c r="G39" s="16" t="n">
        <v>34</v>
      </c>
      <c r="H39" s="124">
        <f>IF(G39="","",COUNTIFS($C$18:$C$2015,G$13,$D$18:$D$2015,"&gt;="&amp;G39,$D$18:$D$2015,"&lt;"&amp;G40))</f>
        <v/>
      </c>
      <c r="I39" s="14" t="n"/>
      <c r="J39" s="16" t="n">
        <v>130</v>
      </c>
      <c r="K39" s="124">
        <f>IF(J39="","",COUNTIFS($C$18:$C$2015,J$13,$D$18:$D$2015,"&gt;="&amp;J39,$D$18:$D$2015,"&lt;"&amp;J40))</f>
        <v/>
      </c>
      <c r="L39" s="14" t="n"/>
      <c r="M39" s="16" t="n">
        <v>58</v>
      </c>
      <c r="N39" s="124">
        <f>IF(M39="","",COUNTIFS($C$18:$C$2015,M$13,$D$18:$D$2015,"&gt;="&amp;M39,$D$18:$D$2015,"&lt;"&amp;M40))</f>
        <v/>
      </c>
      <c r="O39" s="14" t="n"/>
      <c r="P39" s="16" t="n">
        <v>34</v>
      </c>
      <c r="Q39" s="124">
        <f>IF(P39="","",COUNTIFS($C$18:$C$2015,P$13,$D$18:$D$2015,"&gt;="&amp;P39,$D$18:$D$2015,"&lt;"&amp;P40))</f>
        <v/>
      </c>
      <c r="R39" s="14" t="n"/>
      <c r="S39" s="16" t="n">
        <v>58</v>
      </c>
      <c r="T39" s="124">
        <f>IF(S39="","",COUNTIFS($C$18:$C$2015,S$13,$D$18:$D$2015,"&gt;="&amp;S39,$D$18:$D$2015,"&lt;"&amp;S40))</f>
        <v/>
      </c>
      <c r="U39" s="14" t="n"/>
      <c r="V39" s="16" t="n">
        <v>58</v>
      </c>
      <c r="W39" s="124">
        <f>IF(V39="","",COUNTIFS($C$18:$C$2015,V$13,$D$18:$D$2015,"&gt;="&amp;V39,$D$18:$D$2015,"&lt;"&amp;V40))</f>
        <v/>
      </c>
      <c r="X39" s="14" t="n"/>
      <c r="Y39" s="16" t="n">
        <v>58</v>
      </c>
      <c r="Z39" s="124">
        <f>IF(Y39="","",COUNTIFS($C$18:$C$2015,Y$13,$D$18:$D$2015,"&gt;="&amp;Y39,$D$18:$D$2015,"&lt;"&amp;Y40))</f>
        <v/>
      </c>
      <c r="AA39" s="14" t="n"/>
      <c r="AB39" s="16" t="n">
        <v>34</v>
      </c>
      <c r="AC39" s="124">
        <f>IF(AB39="","",COUNTIFS($C$18:$C$2015,AB$13,$D$18:$D$2015,"&gt;="&amp;AB39,$D$18:$D$2015,"&lt;"&amp;AB40))</f>
        <v/>
      </c>
      <c r="AD39" s="14" t="n"/>
    </row>
    <row r="40">
      <c r="A40" s="56" t="n"/>
      <c r="B40" s="59" t="n"/>
      <c r="C40" s="59" t="n"/>
      <c r="E40" s="16" t="n"/>
      <c r="F40" s="13" t="n"/>
      <c r="G40" s="16" t="n">
        <v>35</v>
      </c>
      <c r="H40" s="124">
        <f>IF(G40="","",COUNTIFS($C$18:$C$2015,G$13,$D$18:$D$2015,"&gt;="&amp;G40,$D$18:$D$2015,"&lt;"&amp;G41))</f>
        <v/>
      </c>
      <c r="I40" s="14" t="n"/>
      <c r="J40" s="16" t="n">
        <v>135</v>
      </c>
      <c r="K40" s="124">
        <f>IF(J40="","",COUNTIFS($C$18:$C$2015,J$13,$D$18:$D$2015,"&gt;="&amp;J40,$D$18:$D$2015,"&lt;"&amp;J41))</f>
        <v/>
      </c>
      <c r="L40" s="14" t="n"/>
      <c r="M40" s="16" t="n">
        <v>60</v>
      </c>
      <c r="N40" s="124">
        <f>IF(M40="","",COUNTIFS($C$18:$C$2015,M$13,$D$18:$D$2015,"&gt;="&amp;M40,$D$18:$D$2015,"&lt;"&amp;M41))</f>
        <v/>
      </c>
      <c r="O40" s="14" t="n"/>
      <c r="P40" s="16" t="n">
        <v>35</v>
      </c>
      <c r="Q40" s="124">
        <f>IF(P40="","",COUNTIFS($C$18:$C$2015,P$13,$D$18:$D$2015,"&gt;="&amp;P40,$D$18:$D$2015,"&lt;"&amp;P41))</f>
        <v/>
      </c>
      <c r="R40" s="14" t="n"/>
      <c r="S40" s="16" t="n">
        <v>60</v>
      </c>
      <c r="T40" s="124">
        <f>IF(S40="","",COUNTIFS($C$18:$C$2015,S$13,$D$18:$D$2015,"&gt;="&amp;S40,$D$18:$D$2015,"&lt;"&amp;S41))</f>
        <v/>
      </c>
      <c r="U40" s="14" t="n"/>
      <c r="V40" s="16" t="n">
        <v>60</v>
      </c>
      <c r="W40" s="124">
        <f>IF(V40="","",COUNTIFS($C$18:$C$2015,V$13,$D$18:$D$2015,"&gt;="&amp;V40,$D$18:$D$2015,"&lt;"&amp;V41))</f>
        <v/>
      </c>
      <c r="X40" s="14" t="n"/>
      <c r="Y40" s="16" t="n">
        <v>60</v>
      </c>
      <c r="Z40" s="124">
        <f>IF(Y40="","",COUNTIFS($C$18:$C$2015,Y$13,$D$18:$D$2015,"&gt;="&amp;Y40,$D$18:$D$2015,"&lt;"&amp;Y41))</f>
        <v/>
      </c>
      <c r="AA40" s="14" t="n"/>
      <c r="AB40" s="16" t="n">
        <v>35</v>
      </c>
      <c r="AC40" s="124">
        <f>IF(AB40="","",COUNTIFS($C$18:$C$2015,AB$13,$D$18:$D$2015,"&gt;="&amp;AB40,$D$18:$D$2015,"&lt;"&amp;AB41))</f>
        <v/>
      </c>
      <c r="AD40" s="14" t="n"/>
    </row>
    <row r="41">
      <c r="A41" s="58" t="n"/>
      <c r="B41" s="59" t="n"/>
      <c r="C41" s="59" t="n"/>
      <c r="E41" s="16" t="n"/>
      <c r="F41" s="13" t="n"/>
      <c r="G41" s="16" t="n">
        <v>36</v>
      </c>
      <c r="H41" s="124">
        <f>IF(G41="","",COUNTIFS($C$18:$C$2015,G$13,$D$18:$D$2015,"&gt;="&amp;G41,$D$18:$D$2015,"&lt;"&amp;G42))</f>
        <v/>
      </c>
      <c r="I41" s="14" t="n"/>
      <c r="J41" s="16" t="n">
        <v>140</v>
      </c>
      <c r="K41" s="124">
        <f>IF(J41="","",COUNTIFS($C$18:$C$2015,J$13,$D$18:$D$2015,"&gt;="&amp;J41,$D$18:$D$2015,"&lt;"&amp;J42))</f>
        <v/>
      </c>
      <c r="L41" s="14" t="n"/>
      <c r="M41" s="16" t="n">
        <v>62</v>
      </c>
      <c r="N41" s="124">
        <f>IF(M41="","",COUNTIFS($C$18:$C$2015,M$13,$D$18:$D$2015,"&gt;="&amp;M41,$D$18:$D$2015,"&lt;"&amp;M42))</f>
        <v/>
      </c>
      <c r="O41" s="14" t="n"/>
      <c r="P41" s="16" t="n">
        <v>36</v>
      </c>
      <c r="Q41" s="124">
        <f>IF(P41="","",COUNTIFS($C$18:$C$2015,P$13,$D$18:$D$2015,"&gt;="&amp;P41,$D$18:$D$2015,"&lt;"&amp;P42))</f>
        <v/>
      </c>
      <c r="R41" s="14" t="n"/>
      <c r="S41" s="16" t="n">
        <v>62</v>
      </c>
      <c r="T41" s="124">
        <f>IF(S41="","",COUNTIFS($C$18:$C$2015,S$13,$D$18:$D$2015,"&gt;="&amp;S41,$D$18:$D$2015,"&lt;"&amp;S42))</f>
        <v/>
      </c>
      <c r="U41" s="14" t="n"/>
      <c r="V41" s="16" t="n">
        <v>62</v>
      </c>
      <c r="W41" s="124">
        <f>IF(V41="","",COUNTIFS($C$18:$C$2015,V$13,$D$18:$D$2015,"&gt;="&amp;V41,$D$18:$D$2015,"&lt;"&amp;V42))</f>
        <v/>
      </c>
      <c r="X41" s="14" t="n"/>
      <c r="Y41" s="16" t="n">
        <v>62</v>
      </c>
      <c r="Z41" s="124">
        <f>IF(Y41="","",COUNTIFS($C$18:$C$2015,Y$13,$D$18:$D$2015,"&gt;="&amp;Y41,$D$18:$D$2015,"&lt;"&amp;Y42))</f>
        <v/>
      </c>
      <c r="AA41" s="14" t="n"/>
      <c r="AB41" s="16" t="n">
        <v>36</v>
      </c>
      <c r="AC41" s="124">
        <f>IF(AB41="","",COUNTIFS($C$18:$C$2015,AB$13,$D$18:$D$2015,"&gt;="&amp;AB41,$D$18:$D$2015,"&lt;"&amp;AB42))</f>
        <v/>
      </c>
      <c r="AD41" s="14" t="n"/>
    </row>
    <row r="42">
      <c r="A42" s="56" t="n"/>
      <c r="B42" s="59" t="n"/>
      <c r="C42" s="59" t="n"/>
      <c r="E42" s="16" t="n"/>
      <c r="F42" s="13" t="n"/>
      <c r="G42" s="16" t="n">
        <v>37</v>
      </c>
      <c r="H42" s="124">
        <f>IF(G42="","",COUNTIFS($C$18:$C$2015,G$13,$D$18:$D$2015,"&gt;="&amp;G42,$D$18:$D$2015,"&lt;"&amp;G43))</f>
        <v/>
      </c>
      <c r="I42" s="14" t="n"/>
      <c r="J42" s="16" t="n">
        <v>145</v>
      </c>
      <c r="K42" s="124">
        <f>IF(J42="","",COUNTIFS($C$18:$C$2015,J$13,$D$18:$D$2015,"&gt;="&amp;J42,$D$18:$D$2015,"&lt;"&amp;J43))</f>
        <v/>
      </c>
      <c r="L42" s="14" t="n"/>
      <c r="M42" s="16" t="n">
        <v>64</v>
      </c>
      <c r="N42" s="124">
        <f>IF(M42="","",COUNTIFS($C$18:$C$2015,M$13,$D$18:$D$2015,"&gt;="&amp;M42,$D$18:$D$2015,"&lt;"&amp;M43))</f>
        <v/>
      </c>
      <c r="O42" s="14" t="n"/>
      <c r="P42" s="16" t="n">
        <v>37</v>
      </c>
      <c r="Q42" s="124">
        <f>IF(P42="","",COUNTIFS($C$18:$C$2015,P$13,$D$18:$D$2015,"&gt;="&amp;P42,$D$18:$D$2015,"&lt;"&amp;P43))</f>
        <v/>
      </c>
      <c r="R42" s="14" t="n"/>
      <c r="S42" s="16" t="n">
        <v>64</v>
      </c>
      <c r="T42" s="124">
        <f>IF(S42="","",COUNTIFS($C$18:$C$2015,S$13,$D$18:$D$2015,"&gt;="&amp;S42,$D$18:$D$2015,"&lt;"&amp;S43))</f>
        <v/>
      </c>
      <c r="U42" s="14" t="n"/>
      <c r="V42" s="16" t="n">
        <v>64</v>
      </c>
      <c r="W42" s="124">
        <f>IF(V42="","",COUNTIFS($C$18:$C$2015,V$13,$D$18:$D$2015,"&gt;="&amp;V42,$D$18:$D$2015,"&lt;"&amp;V43))</f>
        <v/>
      </c>
      <c r="X42" s="14" t="n"/>
      <c r="Y42" s="16" t="n">
        <v>64</v>
      </c>
      <c r="Z42" s="124">
        <f>IF(Y42="","",COUNTIFS($C$18:$C$2015,Y$13,$D$18:$D$2015,"&gt;="&amp;Y42,$D$18:$D$2015,"&lt;"&amp;Y43))</f>
        <v/>
      </c>
      <c r="AA42" s="14" t="n"/>
      <c r="AB42" s="16" t="n">
        <v>37</v>
      </c>
      <c r="AC42" s="124">
        <f>IF(AB42="","",COUNTIFS($C$18:$C$2015,AB$13,$D$18:$D$2015,"&gt;="&amp;AB42,$D$18:$D$2015,"&lt;"&amp;AB43))</f>
        <v/>
      </c>
      <c r="AD42" s="14" t="n"/>
    </row>
    <row r="43">
      <c r="A43" s="58" t="n"/>
      <c r="B43" s="59" t="n"/>
      <c r="C43" s="59" t="n"/>
      <c r="E43" s="16" t="n"/>
      <c r="F43" s="13" t="n"/>
      <c r="G43" s="16" t="n">
        <v>38</v>
      </c>
      <c r="H43" s="124">
        <f>IF(G43="","",COUNTIFS($C$18:$C$2015,G$13,$D$18:$D$2015,"&gt;="&amp;G43,$D$18:$D$2015,"&lt;"&amp;G44))</f>
        <v/>
      </c>
      <c r="I43" s="14" t="n"/>
      <c r="J43" s="16" t="n">
        <v>150</v>
      </c>
      <c r="K43" s="124">
        <f>IF(J43="","",COUNTIFS($C$18:$C$2015,J$13,$D$18:$D$2015,"&gt;="&amp;J43,$D$18:$D$2015,"&lt;"&amp;J44))</f>
        <v/>
      </c>
      <c r="L43" s="14" t="n"/>
      <c r="M43" s="16" t="n">
        <v>66</v>
      </c>
      <c r="N43" s="124">
        <f>IF(M43="","",COUNTIFS($C$18:$C$2015,M$13,$D$18:$D$2015,"&gt;="&amp;M43,$D$18:$D$2015,"&lt;"&amp;M44))</f>
        <v/>
      </c>
      <c r="O43" s="14" t="n"/>
      <c r="P43" s="16" t="n">
        <v>38</v>
      </c>
      <c r="Q43" s="124">
        <f>IF(P43="","",COUNTIFS($C$18:$C$2015,P$13,$D$18:$D$2015,"&gt;="&amp;P43,$D$18:$D$2015,"&lt;"&amp;P44))</f>
        <v/>
      </c>
      <c r="R43" s="14" t="n"/>
      <c r="S43" s="16" t="n">
        <v>66</v>
      </c>
      <c r="T43" s="124">
        <f>IF(S43="","",COUNTIFS($C$18:$C$2015,S$13,$D$18:$D$2015,"&gt;="&amp;S43,$D$18:$D$2015,"&lt;"&amp;S44))</f>
        <v/>
      </c>
      <c r="U43" s="14" t="n"/>
      <c r="V43" s="16" t="n">
        <v>66</v>
      </c>
      <c r="W43" s="124">
        <f>IF(V43="","",COUNTIFS($C$18:$C$2015,V$13,$D$18:$D$2015,"&gt;="&amp;V43,$D$18:$D$2015,"&lt;"&amp;V44))</f>
        <v/>
      </c>
      <c r="X43" s="14" t="n"/>
      <c r="Y43" s="16" t="n">
        <v>66</v>
      </c>
      <c r="Z43" s="124">
        <f>IF(Y43="","",COUNTIFS($C$18:$C$2015,Y$13,$D$18:$D$2015,"&gt;="&amp;Y43,$D$18:$D$2015,"&lt;"&amp;Y44))</f>
        <v/>
      </c>
      <c r="AA43" s="14" t="n"/>
      <c r="AB43" s="16" t="n">
        <v>38</v>
      </c>
      <c r="AC43" s="124">
        <f>IF(AB43="","",COUNTIFS($C$18:$C$2015,AB$13,$D$18:$D$2015,"&gt;="&amp;AB43,$D$18:$D$2015,"&lt;"&amp;AB44))</f>
        <v/>
      </c>
      <c r="AD43" s="14" t="n"/>
    </row>
    <row r="44">
      <c r="A44" s="56" t="n"/>
      <c r="B44" s="59" t="n"/>
      <c r="C44" s="59" t="n"/>
      <c r="E44" s="16" t="n"/>
      <c r="F44" s="13" t="n"/>
      <c r="G44" s="16" t="n">
        <v>39</v>
      </c>
      <c r="H44" s="124">
        <f>IF(G44="","",COUNTIFS($C$18:$C$2015,G$13,$D$18:$D$2015,"&gt;="&amp;G44,$D$18:$D$2015,"&lt;"&amp;G45))</f>
        <v/>
      </c>
      <c r="I44" s="14" t="n"/>
      <c r="J44" s="16" t="n"/>
      <c r="K44" s="124">
        <f>IF(J44="","",COUNTIFS($C$18:$C$2015,J$13,$D$18:$D$2015,"&gt;="&amp;J44,$D$18:$D$2015,"&lt;"&amp;J45))</f>
        <v/>
      </c>
      <c r="L44" s="14" t="n"/>
      <c r="M44" s="16" t="n">
        <v>68</v>
      </c>
      <c r="N44" s="124">
        <f>IF(M44="","",COUNTIFS($C$18:$C$2015,M$13,$D$18:$D$2015,"&gt;="&amp;M44,$D$18:$D$2015,"&lt;"&amp;M45))</f>
        <v/>
      </c>
      <c r="O44" s="14" t="n"/>
      <c r="P44" s="16" t="n">
        <v>39</v>
      </c>
      <c r="Q44" s="124">
        <f>IF(P44="","",COUNTIFS($C$18:$C$2015,P$13,$D$18:$D$2015,"&gt;="&amp;P44,$D$18:$D$2015,"&lt;"&amp;P45))</f>
        <v/>
      </c>
      <c r="R44" s="14" t="n"/>
      <c r="S44" s="16" t="n">
        <v>68</v>
      </c>
      <c r="T44" s="124">
        <f>IF(S44="","",COUNTIFS($C$18:$C$2015,S$13,$D$18:$D$2015,"&gt;="&amp;S44,$D$18:$D$2015,"&lt;"&amp;S45))</f>
        <v/>
      </c>
      <c r="U44" s="14" t="n"/>
      <c r="V44" s="16" t="n">
        <v>68</v>
      </c>
      <c r="W44" s="124">
        <f>IF(V44="","",COUNTIFS($C$18:$C$2015,V$13,$D$18:$D$2015,"&gt;="&amp;V44,$D$18:$D$2015,"&lt;"&amp;V45))</f>
        <v/>
      </c>
      <c r="X44" s="14" t="n"/>
      <c r="Y44" s="16" t="n">
        <v>68</v>
      </c>
      <c r="Z44" s="124">
        <f>IF(Y44="","",COUNTIFS($C$18:$C$2015,Y$13,$D$18:$D$2015,"&gt;="&amp;Y44,$D$18:$D$2015,"&lt;"&amp;Y45))</f>
        <v/>
      </c>
      <c r="AA44" s="14" t="n"/>
      <c r="AB44" s="16" t="n">
        <v>39</v>
      </c>
      <c r="AC44" s="124">
        <f>IF(AB44="","",COUNTIFS($C$18:$C$2015,AB$13,$D$18:$D$2015,"&gt;="&amp;AB44,$D$18:$D$2015,"&lt;"&amp;AB45))</f>
        <v/>
      </c>
      <c r="AD44" s="14" t="n"/>
    </row>
    <row r="45">
      <c r="A45" s="58" t="n"/>
      <c r="B45" s="59" t="n"/>
      <c r="C45" s="59" t="n"/>
      <c r="E45" s="16" t="n"/>
      <c r="F45" s="13" t="n"/>
      <c r="G45" s="16" t="n">
        <v>40</v>
      </c>
      <c r="H45" s="124">
        <f>IF(G45="","",COUNTIFS($C$18:$C$2015,G$13,$D$18:$D$2015,"&gt;="&amp;G45,$D$18:$D$2015,"&lt;"&amp;G46))</f>
        <v/>
      </c>
      <c r="I45" s="14" t="n"/>
      <c r="J45" s="16" t="n"/>
      <c r="K45" s="124">
        <f>IF(J45="","",COUNTIFS($C$18:$C$2015,J$13,$D$18:$D$2015,"&gt;="&amp;J45,$D$18:$D$2015,"&lt;"&amp;J46))</f>
        <v/>
      </c>
      <c r="L45" s="14" t="n"/>
      <c r="M45" s="16" t="n">
        <v>70</v>
      </c>
      <c r="N45" s="124">
        <f>IF(M45="","",COUNTIFS($C$18:$C$2015,M$13,$D$18:$D$2015,"&gt;="&amp;M45,$D$18:$D$2015,"&lt;"&amp;M46))</f>
        <v/>
      </c>
      <c r="O45" s="14" t="n"/>
      <c r="P45" s="16" t="n">
        <v>40</v>
      </c>
      <c r="Q45" s="124">
        <f>IF(P45="","",COUNTIFS($C$18:$C$2015,P$13,$D$18:$D$2015,"&gt;="&amp;P45,$D$18:$D$2015,"&lt;"&amp;P46))</f>
        <v/>
      </c>
      <c r="R45" s="14" t="n"/>
      <c r="S45" s="16" t="n">
        <v>70</v>
      </c>
      <c r="T45" s="124">
        <f>IF(S45="","",COUNTIFS($C$18:$C$2015,S$13,$D$18:$D$2015,"&gt;="&amp;S45,$D$18:$D$2015,"&lt;"&amp;S46))</f>
        <v/>
      </c>
      <c r="U45" s="14" t="n"/>
      <c r="V45" s="16" t="n">
        <v>70</v>
      </c>
      <c r="W45" s="124">
        <f>IF(V45="","",COUNTIFS($C$18:$C$2015,V$13,$D$18:$D$2015,"&gt;="&amp;V45,$D$18:$D$2015,"&lt;"&amp;V46))</f>
        <v/>
      </c>
      <c r="X45" s="14" t="n"/>
      <c r="Y45" s="16" t="n">
        <v>70</v>
      </c>
      <c r="Z45" s="124">
        <f>IF(Y45="","",COUNTIFS($C$18:$C$2015,Y$13,$D$18:$D$2015,"&gt;="&amp;Y45,$D$18:$D$2015,"&lt;"&amp;Y46))</f>
        <v/>
      </c>
      <c r="AA45" s="14" t="n"/>
      <c r="AB45" s="16" t="n">
        <v>40</v>
      </c>
      <c r="AC45" s="124">
        <f>IF(AB45="","",COUNTIFS($C$18:$C$2015,AB$13,$D$18:$D$2015,"&gt;="&amp;AB45,$D$18:$D$2015,"&lt;"&amp;AB46))</f>
        <v/>
      </c>
      <c r="AD45" s="14" t="n"/>
    </row>
    <row r="46">
      <c r="A46" s="56" t="n"/>
      <c r="B46" s="59" t="n"/>
      <c r="C46" s="59" t="n"/>
      <c r="E46" s="16" t="n"/>
      <c r="F46" s="13" t="n"/>
      <c r="G46" s="16" t="n">
        <v>41</v>
      </c>
      <c r="H46" s="124">
        <f>IF(G46="","",COUNTIFS($C$18:$C$2015,G$13,$D$18:$D$2015,"&gt;="&amp;G46,$D$18:$D$2015,"&lt;"&amp;G47))</f>
        <v/>
      </c>
      <c r="I46" s="14" t="n"/>
      <c r="J46" s="16" t="n"/>
      <c r="K46" s="124">
        <f>IF(J46="","",COUNTIFS($C$18:$C$2015,J$13,$D$18:$D$2015,"&gt;="&amp;J46,$D$18:$D$2015,"&lt;"&amp;J47))</f>
        <v/>
      </c>
      <c r="L46" s="14" t="n"/>
      <c r="M46" s="16" t="n">
        <v>72</v>
      </c>
      <c r="N46" s="124">
        <f>IF(M46="","",COUNTIFS($C$18:$C$2015,M$13,$D$18:$D$2015,"&gt;="&amp;M46,$D$18:$D$2015,"&lt;"&amp;M47))</f>
        <v/>
      </c>
      <c r="O46" s="14" t="n"/>
      <c r="P46" s="16" t="n">
        <v>41</v>
      </c>
      <c r="Q46" s="124">
        <f>IF(P46="","",COUNTIFS($C$18:$C$2015,P$13,$D$18:$D$2015,"&gt;="&amp;P46,$D$18:$D$2015,"&lt;"&amp;P47))</f>
        <v/>
      </c>
      <c r="R46" s="14" t="n"/>
      <c r="S46" s="16" t="n">
        <v>72</v>
      </c>
      <c r="T46" s="124">
        <f>IF(S46="","",COUNTIFS($C$18:$C$2015,S$13,$D$18:$D$2015,"&gt;="&amp;S46,$D$18:$D$2015,"&lt;"&amp;S47))</f>
        <v/>
      </c>
      <c r="U46" s="14" t="n"/>
      <c r="V46" s="16" t="n">
        <v>72</v>
      </c>
      <c r="W46" s="124">
        <f>IF(V46="","",COUNTIFS($C$18:$C$2015,V$13,$D$18:$D$2015,"&gt;="&amp;V46,$D$18:$D$2015,"&lt;"&amp;V47))</f>
        <v/>
      </c>
      <c r="X46" s="14" t="n"/>
      <c r="Y46" s="16" t="n">
        <v>72</v>
      </c>
      <c r="Z46" s="124">
        <f>IF(Y46="","",COUNTIFS($C$18:$C$2015,Y$13,$D$18:$D$2015,"&gt;="&amp;Y46,$D$18:$D$2015,"&lt;"&amp;Y47))</f>
        <v/>
      </c>
      <c r="AA46" s="14" t="n"/>
      <c r="AB46" s="16" t="n">
        <v>41</v>
      </c>
      <c r="AC46" s="124">
        <f>IF(AB46="","",COUNTIFS($C$18:$C$2015,AB$13,$D$18:$D$2015,"&gt;="&amp;AB46,$D$18:$D$2015,"&lt;"&amp;AB47))</f>
        <v/>
      </c>
      <c r="AD46" s="14" t="n"/>
    </row>
    <row r="47">
      <c r="A47" s="58" t="n"/>
      <c r="B47" s="59" t="n"/>
      <c r="C47" s="59" t="n"/>
      <c r="E47" s="16" t="n"/>
      <c r="F47" s="13" t="n"/>
      <c r="G47" s="16" t="n">
        <v>42</v>
      </c>
      <c r="H47" s="124">
        <f>IF(G47="","",COUNTIFS($C$18:$C$2015,G$13,$D$18:$D$2015,"&gt;="&amp;G47,$D$18:$D$2015,"&lt;"&amp;G48))</f>
        <v/>
      </c>
      <c r="I47" s="14" t="n"/>
      <c r="J47" s="16" t="n"/>
      <c r="K47" s="124">
        <f>IF(J47="","",COUNTIFS($C$18:$C$2015,J$13,$D$18:$D$2015,"&gt;="&amp;J47,$D$18:$D$2015,"&lt;"&amp;J48))</f>
        <v/>
      </c>
      <c r="L47" s="14" t="n"/>
      <c r="M47" s="16" t="n">
        <v>74</v>
      </c>
      <c r="N47" s="124">
        <f>IF(M47="","",COUNTIFS($C$18:$C$2015,M$13,$D$18:$D$2015,"&gt;="&amp;M47,$D$18:$D$2015,"&lt;"&amp;M48))</f>
        <v/>
      </c>
      <c r="O47" s="14" t="n"/>
      <c r="P47" s="16" t="n">
        <v>42</v>
      </c>
      <c r="Q47" s="124">
        <f>IF(P47="","",COUNTIFS($C$18:$C$2015,P$13,$D$18:$D$2015,"&gt;="&amp;P47,$D$18:$D$2015,"&lt;"&amp;P48))</f>
        <v/>
      </c>
      <c r="R47" s="14" t="n"/>
      <c r="S47" s="16" t="n">
        <v>74</v>
      </c>
      <c r="T47" s="124">
        <f>IF(S47="","",COUNTIFS($C$18:$C$2015,S$13,$D$18:$D$2015,"&gt;="&amp;S47,$D$18:$D$2015,"&lt;"&amp;S48))</f>
        <v/>
      </c>
      <c r="U47" s="14" t="n"/>
      <c r="V47" s="16" t="n">
        <v>74</v>
      </c>
      <c r="W47" s="124">
        <f>IF(V47="","",COUNTIFS($C$18:$C$2015,V$13,$D$18:$D$2015,"&gt;="&amp;V47,$D$18:$D$2015,"&lt;"&amp;V48))</f>
        <v/>
      </c>
      <c r="X47" s="14" t="n"/>
      <c r="Y47" s="16" t="n">
        <v>74</v>
      </c>
      <c r="Z47" s="124">
        <f>IF(Y47="","",COUNTIFS($C$18:$C$2015,Y$13,$D$18:$D$2015,"&gt;="&amp;Y47,$D$18:$D$2015,"&lt;"&amp;Y48))</f>
        <v/>
      </c>
      <c r="AA47" s="14" t="n"/>
      <c r="AB47" s="16" t="n">
        <v>42</v>
      </c>
      <c r="AC47" s="124">
        <f>IF(AB47="","",COUNTIFS($C$18:$C$2015,AB$13,$D$18:$D$2015,"&gt;="&amp;AB47,$D$18:$D$2015,"&lt;"&amp;AB48))</f>
        <v/>
      </c>
      <c r="AD47" s="14" t="n"/>
    </row>
    <row r="48">
      <c r="A48" s="56" t="n"/>
      <c r="B48" s="59" t="n"/>
      <c r="C48" s="59" t="n"/>
      <c r="E48" s="16" t="n"/>
      <c r="F48" s="13" t="n"/>
      <c r="G48" s="16" t="n">
        <v>43</v>
      </c>
      <c r="H48" s="124">
        <f>IF(G48="","",COUNTIFS($C$18:$C$2015,G$13,$D$18:$D$2015,"&gt;="&amp;G48,$D$18:$D$2015,"&lt;"&amp;G49))</f>
        <v/>
      </c>
      <c r="I48" s="14" t="n"/>
      <c r="J48" s="16" t="n"/>
      <c r="K48" s="124">
        <f>IF(J48="","",COUNTIFS($C$18:$C$2015,J$13,$D$18:$D$2015,"&gt;="&amp;J48,$D$18:$D$2015,"&lt;"&amp;J49))</f>
        <v/>
      </c>
      <c r="L48" s="14" t="n"/>
      <c r="M48" s="16" t="n">
        <v>76</v>
      </c>
      <c r="N48" s="124">
        <f>IF(M48="","",COUNTIFS($C$18:$C$2015,M$13,$D$18:$D$2015,"&gt;="&amp;M48,$D$18:$D$2015,"&lt;"&amp;M49))</f>
        <v/>
      </c>
      <c r="O48" s="14" t="n"/>
      <c r="P48" s="16" t="n">
        <v>43</v>
      </c>
      <c r="Q48" s="124">
        <f>IF(P48="","",COUNTIFS($C$18:$C$2015,P$13,$D$18:$D$2015,"&gt;="&amp;P48,$D$18:$D$2015,"&lt;"&amp;P49))</f>
        <v/>
      </c>
      <c r="R48" s="14" t="n"/>
      <c r="S48" s="16" t="n">
        <v>76</v>
      </c>
      <c r="T48" s="124">
        <f>IF(S48="","",COUNTIFS($C$18:$C$2015,S$13,$D$18:$D$2015,"&gt;="&amp;S48,$D$18:$D$2015,"&lt;"&amp;S49))</f>
        <v/>
      </c>
      <c r="U48" s="14" t="n"/>
      <c r="V48" s="16" t="n">
        <v>76</v>
      </c>
      <c r="W48" s="124">
        <f>IF(V48="","",COUNTIFS($C$18:$C$2015,V$13,$D$18:$D$2015,"&gt;="&amp;V48,$D$18:$D$2015,"&lt;"&amp;V49))</f>
        <v/>
      </c>
      <c r="X48" s="14" t="n"/>
      <c r="Y48" s="16" t="n">
        <v>76</v>
      </c>
      <c r="Z48" s="124">
        <f>IF(Y48="","",COUNTIFS($C$18:$C$2015,Y$13,$D$18:$D$2015,"&gt;="&amp;Y48,$D$18:$D$2015,"&lt;"&amp;Y49))</f>
        <v/>
      </c>
      <c r="AA48" s="14" t="n"/>
      <c r="AB48" s="16" t="n">
        <v>43</v>
      </c>
      <c r="AC48" s="124">
        <f>IF(AB48="","",COUNTIFS($C$18:$C$2015,AB$13,$D$18:$D$2015,"&gt;="&amp;AB48,$D$18:$D$2015,"&lt;"&amp;AB49))</f>
        <v/>
      </c>
      <c r="AD48" s="14" t="n"/>
    </row>
    <row r="49">
      <c r="A49" s="58" t="n"/>
      <c r="B49" s="59" t="n"/>
      <c r="C49" s="59" t="n"/>
      <c r="E49" s="16" t="n"/>
      <c r="F49" s="13" t="n"/>
      <c r="G49" s="16" t="n">
        <v>44</v>
      </c>
      <c r="H49" s="124">
        <f>IF(G49="","",COUNTIFS($C$18:$C$2015,G$13,$D$18:$D$2015,"&gt;="&amp;G49,$D$18:$D$2015,"&lt;"&amp;G50))</f>
        <v/>
      </c>
      <c r="I49" s="14" t="n"/>
      <c r="J49" s="16" t="n"/>
      <c r="K49" s="124">
        <f>IF(J49="","",COUNTIFS($C$18:$C$2015,J$13,$D$18:$D$2015,"&gt;="&amp;J49,$D$18:$D$2015,"&lt;"&amp;J50))</f>
        <v/>
      </c>
      <c r="L49" s="14" t="n"/>
      <c r="M49" s="16" t="n">
        <v>78</v>
      </c>
      <c r="N49" s="124">
        <f>IF(M49="","",COUNTIFS($C$18:$C$2015,M$13,$D$18:$D$2015,"&gt;="&amp;M49,$D$18:$D$2015,"&lt;"&amp;M50))</f>
        <v/>
      </c>
      <c r="O49" s="14" t="n"/>
      <c r="P49" s="16" t="n">
        <v>44</v>
      </c>
      <c r="Q49" s="124">
        <f>IF(P49="","",COUNTIFS($C$18:$C$2015,P$13,$D$18:$D$2015,"&gt;="&amp;P49,$D$18:$D$2015,"&lt;"&amp;P50))</f>
        <v/>
      </c>
      <c r="R49" s="14" t="n"/>
      <c r="S49" s="16" t="n">
        <v>78</v>
      </c>
      <c r="T49" s="124">
        <f>IF(S49="","",COUNTIFS($C$18:$C$2015,S$13,$D$18:$D$2015,"&gt;="&amp;S49,$D$18:$D$2015,"&lt;"&amp;S50))</f>
        <v/>
      </c>
      <c r="U49" s="14" t="n"/>
      <c r="V49" s="16" t="n">
        <v>78</v>
      </c>
      <c r="W49" s="124">
        <f>IF(V49="","",COUNTIFS($C$18:$C$2015,V$13,$D$18:$D$2015,"&gt;="&amp;V49,$D$18:$D$2015,"&lt;"&amp;V50))</f>
        <v/>
      </c>
      <c r="X49" s="14" t="n"/>
      <c r="Y49" s="16" t="n">
        <v>78</v>
      </c>
      <c r="Z49" s="124">
        <f>IF(Y49="","",COUNTIFS($C$18:$C$2015,Y$13,$D$18:$D$2015,"&gt;="&amp;Y49,$D$18:$D$2015,"&lt;"&amp;Y50))</f>
        <v/>
      </c>
      <c r="AA49" s="14" t="n"/>
      <c r="AB49" s="16" t="n">
        <v>44</v>
      </c>
      <c r="AC49" s="124">
        <f>IF(AB49="","",COUNTIFS($C$18:$C$2015,AB$13,$D$18:$D$2015,"&gt;="&amp;AB49,$D$18:$D$2015,"&lt;"&amp;AB50))</f>
        <v/>
      </c>
      <c r="AD49" s="14" t="n"/>
    </row>
    <row r="50">
      <c r="A50" s="56" t="n"/>
      <c r="B50" s="59" t="n"/>
      <c r="C50" s="59" t="n"/>
      <c r="E50" s="16" t="n"/>
      <c r="F50" s="13" t="n"/>
      <c r="G50" s="16" t="n">
        <v>45</v>
      </c>
      <c r="H50" s="124">
        <f>IF(G50="","",COUNTIFS($C$18:$C$2015,G$13,$D$18:$D$2015,"&gt;="&amp;G50,$D$18:$D$2015,"&lt;"&amp;G51))</f>
        <v/>
      </c>
      <c r="I50" s="14" t="n"/>
      <c r="J50" s="16" t="n"/>
      <c r="K50" s="124">
        <f>IF(J50="","",COUNTIFS($C$18:$C$2015,J$13,$D$18:$D$2015,"&gt;="&amp;J50,$D$18:$D$2015,"&lt;"&amp;J51))</f>
        <v/>
      </c>
      <c r="L50" s="14" t="n"/>
      <c r="M50" s="16" t="n">
        <v>80</v>
      </c>
      <c r="N50" s="124">
        <f>IF(M50="","",COUNTIFS($C$18:$C$2015,M$13,$D$18:$D$2015,"&gt;="&amp;M50,$D$18:$D$2015,"&lt;"&amp;M51))</f>
        <v/>
      </c>
      <c r="O50" s="14" t="n"/>
      <c r="P50" s="16" t="n">
        <v>45</v>
      </c>
      <c r="Q50" s="124">
        <f>IF(P50="","",COUNTIFS($C$18:$C$2015,P$13,$D$18:$D$2015,"&gt;="&amp;P50,$D$18:$D$2015,"&lt;"&amp;P51))</f>
        <v/>
      </c>
      <c r="R50" s="14" t="n"/>
      <c r="S50" s="16" t="n">
        <v>80</v>
      </c>
      <c r="T50" s="124">
        <f>IF(S50="","",COUNTIFS($C$18:$C$2015,S$13,$D$18:$D$2015,"&gt;="&amp;S50,$D$18:$D$2015,"&lt;"&amp;S51))</f>
        <v/>
      </c>
      <c r="U50" s="14" t="n"/>
      <c r="V50" s="16" t="n">
        <v>80</v>
      </c>
      <c r="W50" s="124">
        <f>IF(V50="","",COUNTIFS($C$18:$C$2015,V$13,$D$18:$D$2015,"&gt;="&amp;V50,$D$18:$D$2015,"&lt;"&amp;V51))</f>
        <v/>
      </c>
      <c r="X50" s="14" t="n"/>
      <c r="Y50" s="16" t="n">
        <v>80</v>
      </c>
      <c r="Z50" s="124">
        <f>IF(Y50="","",COUNTIFS($C$18:$C$2015,Y$13,$D$18:$D$2015,"&gt;="&amp;Y50,$D$18:$D$2015,"&lt;"&amp;Y51))</f>
        <v/>
      </c>
      <c r="AA50" s="14" t="n"/>
      <c r="AB50" s="16" t="n">
        <v>45</v>
      </c>
      <c r="AC50" s="124">
        <f>IF(AB50="","",COUNTIFS($C$18:$C$2015,AB$13,$D$18:$D$2015,"&gt;="&amp;AB50,$D$18:$D$2015,"&lt;"&amp;AB51))</f>
        <v/>
      </c>
      <c r="AD50" s="14" t="n"/>
    </row>
    <row r="51">
      <c r="A51" s="58" t="n"/>
      <c r="B51" s="59" t="n"/>
      <c r="C51" s="59" t="n"/>
      <c r="E51" s="16" t="n"/>
      <c r="F51" s="13" t="n"/>
      <c r="G51" s="16" t="n">
        <v>46</v>
      </c>
      <c r="H51" s="124">
        <f>IF(G51="","",COUNTIFS($C$18:$C$2015,G$13,$D$18:$D$2015,"&gt;="&amp;G51,$D$18:$D$2015,"&lt;"&amp;G52))</f>
        <v/>
      </c>
      <c r="I51" s="14" t="n"/>
      <c r="J51" s="16" t="n"/>
      <c r="K51" s="124">
        <f>IF(J51="","",COUNTIFS($C$18:$C$2015,J$13,$D$18:$D$2015,"&gt;="&amp;J51,$D$18:$D$2015,"&lt;"&amp;J52))</f>
        <v/>
      </c>
      <c r="L51" s="14" t="n"/>
      <c r="M51" s="16" t="n">
        <v>82</v>
      </c>
      <c r="N51" s="124">
        <f>IF(M51="","",COUNTIFS($C$18:$C$2015,M$13,$D$18:$D$2015,"&gt;="&amp;M51,$D$18:$D$2015,"&lt;"&amp;M52))</f>
        <v/>
      </c>
      <c r="O51" s="14" t="n"/>
      <c r="P51" s="16" t="n">
        <v>46</v>
      </c>
      <c r="Q51" s="124">
        <f>IF(P51="","",COUNTIFS($C$18:$C$2015,P$13,$D$18:$D$2015,"&gt;="&amp;P51,$D$18:$D$2015,"&lt;"&amp;P52))</f>
        <v/>
      </c>
      <c r="R51" s="14" t="n"/>
      <c r="S51" s="16" t="n">
        <v>82</v>
      </c>
      <c r="T51" s="124">
        <f>IF(S51="","",COUNTIFS($C$18:$C$2015,S$13,$D$18:$D$2015,"&gt;="&amp;S51,$D$18:$D$2015,"&lt;"&amp;S52))</f>
        <v/>
      </c>
      <c r="U51" s="14" t="n"/>
      <c r="V51" s="16" t="n"/>
      <c r="W51" s="124">
        <f>IF(V51="","",COUNTIFS($C$18:$C$2015,V$13,$D$18:$D$2015,"&gt;="&amp;V51,$D$18:$D$2015,"&lt;"&amp;V52))</f>
        <v/>
      </c>
      <c r="X51" s="14" t="n"/>
      <c r="Y51" s="16" t="n"/>
      <c r="Z51" s="124">
        <f>IF(Y51="","",COUNTIFS($C$18:$C$2015,Y$13,$D$18:$D$2015,"&gt;="&amp;Y51,$D$18:$D$2015,"&lt;"&amp;Y52))</f>
        <v/>
      </c>
      <c r="AA51" s="14" t="n"/>
      <c r="AB51" s="16" t="n">
        <v>46</v>
      </c>
      <c r="AC51" s="124">
        <f>IF(AB51="","",COUNTIFS($C$18:$C$2015,AB$13,$D$18:$D$2015,"&gt;="&amp;AB51,$D$18:$D$2015,"&lt;"&amp;AB52))</f>
        <v/>
      </c>
      <c r="AD51" s="14" t="n"/>
    </row>
    <row r="52">
      <c r="A52" s="56" t="n"/>
      <c r="B52" s="59" t="n"/>
      <c r="C52" s="59" t="n"/>
      <c r="E52" s="16" t="n"/>
      <c r="F52" s="13" t="n"/>
      <c r="G52" s="16" t="n">
        <v>47</v>
      </c>
      <c r="H52" s="124">
        <f>IF(G52="","",COUNTIFS($C$18:$C$2015,G$13,$D$18:$D$2015,"&gt;="&amp;G52,$D$18:$D$2015,"&lt;"&amp;G53))</f>
        <v/>
      </c>
      <c r="I52" s="14" t="n"/>
      <c r="J52" s="16" t="n"/>
      <c r="K52" s="124">
        <f>IF(J52="","",COUNTIFS($C$18:$C$2015,J$13,$D$18:$D$2015,"&gt;="&amp;J52,$D$18:$D$2015,"&lt;"&amp;J53))</f>
        <v/>
      </c>
      <c r="L52" s="14" t="n"/>
      <c r="M52" s="16" t="n">
        <v>84</v>
      </c>
      <c r="N52" s="124">
        <f>IF(M52="","",COUNTIFS($C$18:$C$2015,M$13,$D$18:$D$2015,"&gt;="&amp;M52,$D$18:$D$2015,"&lt;"&amp;M53))</f>
        <v/>
      </c>
      <c r="O52" s="14" t="n"/>
      <c r="P52" s="16" t="n">
        <v>47</v>
      </c>
      <c r="Q52" s="124">
        <f>IF(P52="","",COUNTIFS($C$18:$C$2015,P$13,$D$18:$D$2015,"&gt;="&amp;P52,$D$18:$D$2015,"&lt;"&amp;P53))</f>
        <v/>
      </c>
      <c r="R52" s="14" t="n"/>
      <c r="S52" s="16" t="n">
        <v>84</v>
      </c>
      <c r="T52" s="124">
        <f>IF(S52="","",COUNTIFS($C$18:$C$2015,S$13,$D$18:$D$2015,"&gt;="&amp;S52,$D$18:$D$2015,"&lt;"&amp;S53))</f>
        <v/>
      </c>
      <c r="U52" s="14" t="n"/>
      <c r="V52" s="16" t="n"/>
      <c r="W52" s="124">
        <f>IF(V52="","",COUNTIFS($C$18:$C$2015,V$13,$D$18:$D$2015,"&gt;="&amp;V52,$D$18:$D$2015,"&lt;"&amp;V53))</f>
        <v/>
      </c>
      <c r="X52" s="14" t="n"/>
      <c r="Y52" s="16" t="n"/>
      <c r="Z52" s="124">
        <f>IF(Y52="","",COUNTIFS($C$18:$C$2015,Y$13,$D$18:$D$2015,"&gt;="&amp;Y52,$D$18:$D$2015,"&lt;"&amp;Y53))</f>
        <v/>
      </c>
      <c r="AA52" s="14" t="n"/>
      <c r="AB52" s="16" t="n">
        <v>47</v>
      </c>
      <c r="AC52" s="124">
        <f>IF(AB52="","",COUNTIFS($C$18:$C$2015,AB$13,$D$18:$D$2015,"&gt;="&amp;AB52,$D$18:$D$2015,"&lt;"&amp;AB53))</f>
        <v/>
      </c>
      <c r="AD52" s="14" t="n"/>
    </row>
    <row r="53">
      <c r="A53" s="58" t="n"/>
      <c r="B53" s="59" t="n"/>
      <c r="C53" s="59" t="n"/>
      <c r="E53" s="16" t="n"/>
      <c r="F53" s="13" t="n"/>
      <c r="G53" s="16" t="n">
        <v>48</v>
      </c>
      <c r="H53" s="124">
        <f>IF(G53="","",COUNTIFS($C$18:$C$2015,G$13,$D$18:$D$2015,"&gt;="&amp;G53,$D$18:$D$2015,"&lt;"&amp;G54))</f>
        <v/>
      </c>
      <c r="I53" s="14" t="n"/>
      <c r="J53" s="16" t="n"/>
      <c r="K53" s="124">
        <f>IF(J53="","",COUNTIFS($C$18:$C$2015,J$13,$D$18:$D$2015,"&gt;="&amp;J53,$D$18:$D$2015,"&lt;"&amp;J54))</f>
        <v/>
      </c>
      <c r="L53" s="14" t="n"/>
      <c r="M53" s="16" t="n">
        <v>86</v>
      </c>
      <c r="N53" s="124">
        <f>IF(M53="","",COUNTIFS($C$18:$C$2015,M$13,$D$18:$D$2015,"&gt;="&amp;M53,$D$18:$D$2015,"&lt;"&amp;M54))</f>
        <v/>
      </c>
      <c r="O53" s="14" t="n"/>
      <c r="P53" s="16" t="n">
        <v>48</v>
      </c>
      <c r="Q53" s="124">
        <f>IF(P53="","",COUNTIFS($C$18:$C$2015,P$13,$D$18:$D$2015,"&gt;="&amp;P53,$D$18:$D$2015,"&lt;"&amp;P54))</f>
        <v/>
      </c>
      <c r="R53" s="14" t="n"/>
      <c r="S53" s="16" t="n">
        <v>86</v>
      </c>
      <c r="T53" s="124">
        <f>IF(S53="","",COUNTIFS($C$18:$C$2015,S$13,$D$18:$D$2015,"&gt;="&amp;S53,$D$18:$D$2015,"&lt;"&amp;S54))</f>
        <v/>
      </c>
      <c r="U53" s="14" t="n"/>
      <c r="V53" s="16" t="n"/>
      <c r="W53" s="124">
        <f>IF(V53="","",COUNTIFS($C$18:$C$2015,V$13,$D$18:$D$2015,"&gt;="&amp;V53,$D$18:$D$2015,"&lt;"&amp;V54))</f>
        <v/>
      </c>
      <c r="X53" s="14" t="n"/>
      <c r="Y53" s="16" t="n"/>
      <c r="Z53" s="124">
        <f>IF(Y53="","",COUNTIFS($C$18:$C$2015,Y$13,$D$18:$D$2015,"&gt;="&amp;Y53,$D$18:$D$2015,"&lt;"&amp;Y54))</f>
        <v/>
      </c>
      <c r="AA53" s="14" t="n"/>
      <c r="AB53" s="16" t="n">
        <v>48</v>
      </c>
      <c r="AC53" s="124">
        <f>IF(AB53="","",COUNTIFS($C$18:$C$2015,AB$13,$D$18:$D$2015,"&gt;="&amp;AB53,$D$18:$D$2015,"&lt;"&amp;AB54))</f>
        <v/>
      </c>
      <c r="AD53" s="14" t="n"/>
    </row>
    <row r="54">
      <c r="A54" s="56" t="n"/>
      <c r="B54" s="59" t="n"/>
      <c r="C54" s="59" t="n"/>
      <c r="E54" s="16" t="n"/>
      <c r="F54" s="13" t="n"/>
      <c r="G54" s="16" t="n">
        <v>49</v>
      </c>
      <c r="H54" s="124">
        <f>IF(G54="","",COUNTIFS($C$18:$C$2015,G$13,$D$18:$D$2015,"&gt;="&amp;G54,$D$18:$D$2015,"&lt;"&amp;G55))</f>
        <v/>
      </c>
      <c r="I54" s="14" t="n"/>
      <c r="J54" s="16" t="n"/>
      <c r="K54" s="124">
        <f>IF(J54="","",COUNTIFS($C$18:$C$2015,J$13,$D$18:$D$2015,"&gt;="&amp;J54,$D$18:$D$2015,"&lt;"&amp;J55))</f>
        <v/>
      </c>
      <c r="L54" s="14" t="n"/>
      <c r="M54" s="16" t="n">
        <v>88</v>
      </c>
      <c r="N54" s="124">
        <f>IF(M54="","",COUNTIFS($C$18:$C$2015,M$13,$D$18:$D$2015,"&gt;="&amp;M54,$D$18:$D$2015,"&lt;"&amp;M55))</f>
        <v/>
      </c>
      <c r="O54" s="14" t="n"/>
      <c r="P54" s="16" t="n">
        <v>49</v>
      </c>
      <c r="Q54" s="124">
        <f>IF(P54="","",COUNTIFS($C$18:$C$2015,P$13,$D$18:$D$2015,"&gt;="&amp;P54,$D$18:$D$2015,"&lt;"&amp;P55))</f>
        <v/>
      </c>
      <c r="R54" s="14" t="n"/>
      <c r="S54" s="16" t="n">
        <v>88</v>
      </c>
      <c r="T54" s="124">
        <f>IF(S54="","",COUNTIFS($C$18:$C$2015,S$13,$D$18:$D$2015,"&gt;="&amp;S54,$D$18:$D$2015,"&lt;"&amp;S55))</f>
        <v/>
      </c>
      <c r="U54" s="14" t="n"/>
      <c r="V54" s="16" t="n"/>
      <c r="W54" s="124">
        <f>IF(V54="","",COUNTIFS($C$18:$C$2015,V$13,$D$18:$D$2015,"&gt;="&amp;V54,$D$18:$D$2015,"&lt;"&amp;V55))</f>
        <v/>
      </c>
      <c r="X54" s="14" t="n"/>
      <c r="Y54" s="16" t="n"/>
      <c r="Z54" s="124">
        <f>IF(Y54="","",COUNTIFS($C$18:$C$2015,Y$13,$D$18:$D$2015,"&gt;="&amp;Y54,$D$18:$D$2015,"&lt;"&amp;Y55))</f>
        <v/>
      </c>
      <c r="AA54" s="14" t="n"/>
      <c r="AB54" s="16" t="n">
        <v>49</v>
      </c>
      <c r="AC54" s="124">
        <f>IF(AB54="","",COUNTIFS($C$18:$C$2015,AB$13,$D$18:$D$2015,"&gt;="&amp;AB54,$D$18:$D$2015,"&lt;"&amp;AB55))</f>
        <v/>
      </c>
      <c r="AD54" s="14" t="n"/>
    </row>
    <row r="55">
      <c r="A55" s="58" t="n"/>
      <c r="B55" s="59" t="n"/>
      <c r="C55" s="59" t="n"/>
      <c r="E55" s="16" t="n"/>
      <c r="F55" s="13" t="n"/>
      <c r="G55" s="16" t="n">
        <v>50</v>
      </c>
      <c r="H55" s="124">
        <f>IF(G55="","",COUNTIFS($C$18:$C$2015,G$13,$D$18:$D$2015,"&gt;="&amp;G55,$D$18:$D$2015,"&lt;"&amp;G56))</f>
        <v/>
      </c>
      <c r="I55" s="14" t="n"/>
      <c r="J55" s="16" t="n"/>
      <c r="K55" s="124">
        <f>IF(J55="","",COUNTIFS($C$18:$C$2015,J$13,$D$18:$D$2015,"&gt;="&amp;J55,$D$18:$D$2015,"&lt;"&amp;J56))</f>
        <v/>
      </c>
      <c r="L55" s="14" t="n"/>
      <c r="M55" s="16" t="n">
        <v>90</v>
      </c>
      <c r="N55" s="124">
        <f>IF(M55="","",COUNTIFS($C$18:$C$2015,M$13,$D$18:$D$2015,"&gt;="&amp;M55,$D$18:$D$2015,"&lt;"&amp;M56))</f>
        <v/>
      </c>
      <c r="O55" s="14" t="n"/>
      <c r="P55" s="16" t="n">
        <v>50</v>
      </c>
      <c r="Q55" s="124">
        <f>IF(P55="","",COUNTIFS($C$18:$C$2015,P$13,$D$18:$D$2015,"&gt;="&amp;P55,$D$18:$D$2015,"&lt;"&amp;P56))</f>
        <v/>
      </c>
      <c r="R55" s="14" t="n"/>
      <c r="S55" s="16" t="n">
        <v>90</v>
      </c>
      <c r="T55" s="124">
        <f>IF(S55="","",COUNTIFS($C$18:$C$2015,S$13,$D$18:$D$2015,"&gt;="&amp;S55,$D$18:$D$2015,"&lt;"&amp;S56))</f>
        <v/>
      </c>
      <c r="U55" s="14" t="n"/>
      <c r="V55" s="16" t="n"/>
      <c r="W55" s="124">
        <f>IF(V55="","",COUNTIFS($C$18:$C$2015,V$13,$D$18:$D$2015,"&gt;="&amp;V55,$D$18:$D$2015,"&lt;"&amp;V56))</f>
        <v/>
      </c>
      <c r="X55" s="14" t="n"/>
      <c r="Y55" s="16" t="n"/>
      <c r="Z55" s="124">
        <f>IF(Y55="","",COUNTIFS($C$18:$C$2015,Y$13,$D$18:$D$2015,"&gt;="&amp;Y55,$D$18:$D$2015,"&lt;"&amp;Y56))</f>
        <v/>
      </c>
      <c r="AA55" s="14" t="n"/>
      <c r="AB55" s="16" t="n">
        <v>50</v>
      </c>
      <c r="AC55" s="124">
        <f>IF(AB55="","",COUNTIFS($C$18:$C$2015,AB$13,$D$18:$D$2015,"&gt;="&amp;AB55,$D$18:$D$2015,"&lt;"&amp;AB56))</f>
        <v/>
      </c>
      <c r="AD55" s="14" t="n"/>
    </row>
    <row r="56">
      <c r="A56" s="56" t="n"/>
      <c r="B56" s="59" t="n"/>
      <c r="C56" s="59" t="n"/>
      <c r="E56" s="16" t="n"/>
      <c r="F56" s="13" t="n"/>
      <c r="G56" s="16" t="n">
        <v>51</v>
      </c>
      <c r="H56" s="124">
        <f>IF(G56="","",COUNTIFS($C$18:$C$2015,G$13,$D$18:$D$2015,"&gt;="&amp;G56,$D$18:$D$2015,"&lt;"&amp;G57))</f>
        <v/>
      </c>
      <c r="I56" s="14" t="n"/>
      <c r="J56" s="16" t="n"/>
      <c r="K56" s="124">
        <f>IF(J56="","",COUNTIFS($C$18:$C$2015,J$13,$D$18:$D$2015,"&gt;="&amp;J56,$D$18:$D$2015,"&lt;"&amp;J57))</f>
        <v/>
      </c>
      <c r="L56" s="14" t="n"/>
      <c r="M56" s="16" t="n"/>
      <c r="N56" s="124">
        <f>IF(M56="","",COUNTIFS($C$18:$C$2015,M$13,$D$18:$D$2015,"&gt;="&amp;M56,$D$18:$D$2015,"&lt;"&amp;M57))</f>
        <v/>
      </c>
      <c r="O56" s="14" t="n"/>
      <c r="P56" s="16" t="n">
        <v>51</v>
      </c>
      <c r="Q56" s="124">
        <f>IF(P56="","",COUNTIFS($C$18:$C$2015,P$13,$D$18:$D$2015,"&gt;="&amp;P56,$D$18:$D$2015,"&lt;"&amp;P57))</f>
        <v/>
      </c>
      <c r="R56" s="14" t="n"/>
      <c r="S56" s="16" t="n">
        <v>92</v>
      </c>
      <c r="T56" s="124">
        <f>IF(S56="","",COUNTIFS($C$18:$C$2015,S$13,$D$18:$D$2015,"&gt;="&amp;S56,$D$18:$D$2015,"&lt;"&amp;S57))</f>
        <v/>
      </c>
      <c r="U56" s="14" t="n"/>
      <c r="V56" s="16" t="n"/>
      <c r="W56" s="124">
        <f>IF(V56="","",COUNTIFS($C$18:$C$2015,V$13,$D$18:$D$2015,"&gt;="&amp;V56,$D$18:$D$2015,"&lt;"&amp;V57))</f>
        <v/>
      </c>
      <c r="X56" s="14" t="n"/>
      <c r="Y56" s="16" t="n"/>
      <c r="Z56" s="124">
        <f>IF(Y56="","",COUNTIFS($C$18:$C$2015,Y$13,$D$18:$D$2015,"&gt;="&amp;Y56,$D$18:$D$2015,"&lt;"&amp;Y57))</f>
        <v/>
      </c>
      <c r="AA56" s="14" t="n"/>
      <c r="AB56" s="16" t="n">
        <v>51</v>
      </c>
      <c r="AC56" s="124">
        <f>IF(AB56="","",COUNTIFS($C$18:$C$2015,AB$13,$D$18:$D$2015,"&gt;="&amp;AB56,$D$18:$D$2015,"&lt;"&amp;AB57))</f>
        <v/>
      </c>
      <c r="AD56" s="14" t="n"/>
    </row>
    <row r="57">
      <c r="A57" s="58" t="n"/>
      <c r="B57" s="59" t="n"/>
      <c r="C57" s="59" t="n"/>
      <c r="E57" s="16" t="n"/>
      <c r="F57" s="13" t="n"/>
      <c r="G57" s="16" t="n">
        <v>52</v>
      </c>
      <c r="H57" s="124">
        <f>IF(G57="","",COUNTIFS($C$18:$C$2015,G$13,$D$18:$D$2015,"&gt;="&amp;G57,$D$18:$D$2015,"&lt;"&amp;G58))</f>
        <v/>
      </c>
      <c r="I57" s="14" t="n"/>
      <c r="J57" s="16" t="n"/>
      <c r="K57" s="124">
        <f>IF(J57="","",COUNTIFS($C$18:$C$2015,J$13,$D$18:$D$2015,"&gt;="&amp;J57,$D$18:$D$2015,"&lt;"&amp;J58))</f>
        <v/>
      </c>
      <c r="L57" s="14" t="n"/>
      <c r="M57" s="16" t="n"/>
      <c r="N57" s="124">
        <f>IF(M57="","",COUNTIFS($C$18:$C$2015,M$13,$D$18:$D$2015,"&gt;="&amp;M57,$D$18:$D$2015,"&lt;"&amp;M58))</f>
        <v/>
      </c>
      <c r="O57" s="14" t="n"/>
      <c r="P57" s="16" t="n">
        <v>52</v>
      </c>
      <c r="Q57" s="124">
        <f>IF(P57="","",COUNTIFS($C$18:$C$2015,P$13,$D$18:$D$2015,"&gt;="&amp;P57,$D$18:$D$2015,"&lt;"&amp;P58))</f>
        <v/>
      </c>
      <c r="R57" s="14" t="n"/>
      <c r="S57" s="16" t="n">
        <v>94</v>
      </c>
      <c r="T57" s="124">
        <f>IF(S57="","",COUNTIFS($C$18:$C$2015,S$13,$D$18:$D$2015,"&gt;="&amp;S57,$D$18:$D$2015,"&lt;"&amp;S58))</f>
        <v/>
      </c>
      <c r="U57" s="14" t="n"/>
      <c r="V57" s="16" t="n"/>
      <c r="W57" s="124">
        <f>IF(V57="","",COUNTIFS($C$18:$C$2015,V$13,$D$18:$D$2015,"&gt;="&amp;V57,$D$18:$D$2015,"&lt;"&amp;V58))</f>
        <v/>
      </c>
      <c r="X57" s="14" t="n"/>
      <c r="Y57" s="16" t="n"/>
      <c r="Z57" s="124">
        <f>IF(Y57="","",COUNTIFS($C$18:$C$2015,Y$13,$D$18:$D$2015,"&gt;="&amp;Y57,$D$18:$D$2015,"&lt;"&amp;Y58))</f>
        <v/>
      </c>
      <c r="AA57" s="14" t="n"/>
      <c r="AB57" s="16" t="n">
        <v>52</v>
      </c>
      <c r="AC57" s="124">
        <f>IF(AB57="","",COUNTIFS($C$18:$C$2015,AB$13,$D$18:$D$2015,"&gt;="&amp;AB57,$D$18:$D$2015,"&lt;"&amp;AB58))</f>
        <v/>
      </c>
      <c r="AD57" s="14" t="n"/>
    </row>
    <row r="58">
      <c r="A58" s="56" t="n"/>
      <c r="B58" s="59" t="n"/>
      <c r="C58" s="59" t="n"/>
      <c r="E58" s="16" t="n"/>
      <c r="F58" s="13" t="n"/>
      <c r="G58" s="16" t="n">
        <v>53</v>
      </c>
      <c r="H58" s="124">
        <f>IF(G58="","",COUNTIFS($C$18:$C$2015,G$13,$D$18:$D$2015,"&gt;="&amp;G58,$D$18:$D$2015,"&lt;"&amp;G59))</f>
        <v/>
      </c>
      <c r="I58" s="14" t="n"/>
      <c r="J58" s="16" t="n"/>
      <c r="K58" s="124">
        <f>IF(J58="","",COUNTIFS($C$18:$C$2015,J$13,$D$18:$D$2015,"&gt;="&amp;J58,$D$18:$D$2015,"&lt;"&amp;J59))</f>
        <v/>
      </c>
      <c r="L58" s="14" t="n"/>
      <c r="M58" s="16" t="n"/>
      <c r="N58" s="124">
        <f>IF(M58="","",COUNTIFS($C$18:$C$2015,M$13,$D$18:$D$2015,"&gt;="&amp;M58,$D$18:$D$2015,"&lt;"&amp;M59))</f>
        <v/>
      </c>
      <c r="O58" s="14" t="n"/>
      <c r="P58" s="16" t="n">
        <v>53</v>
      </c>
      <c r="Q58" s="124">
        <f>IF(P58="","",COUNTIFS($C$18:$C$2015,P$13,$D$18:$D$2015,"&gt;="&amp;P58,$D$18:$D$2015,"&lt;"&amp;P59))</f>
        <v/>
      </c>
      <c r="R58" s="14" t="n"/>
      <c r="S58" s="16" t="n">
        <v>96</v>
      </c>
      <c r="T58" s="124">
        <f>IF(S58="","",COUNTIFS($C$18:$C$2015,S$13,$D$18:$D$2015,"&gt;="&amp;S58,$D$18:$D$2015,"&lt;"&amp;S59))</f>
        <v/>
      </c>
      <c r="U58" s="14" t="n"/>
      <c r="V58" s="16" t="n"/>
      <c r="W58" s="124">
        <f>IF(V58="","",COUNTIFS($C$18:$C$2015,V$13,$D$18:$D$2015,"&gt;="&amp;V58,$D$18:$D$2015,"&lt;"&amp;V59))</f>
        <v/>
      </c>
      <c r="X58" s="14" t="n"/>
      <c r="Y58" s="16" t="n"/>
      <c r="Z58" s="124">
        <f>IF(Y58="","",COUNTIFS($C$18:$C$2015,Y$13,$D$18:$D$2015,"&gt;="&amp;Y58,$D$18:$D$2015,"&lt;"&amp;Y59))</f>
        <v/>
      </c>
      <c r="AA58" s="14" t="n"/>
      <c r="AB58" s="16" t="n">
        <v>53</v>
      </c>
      <c r="AC58" s="124">
        <f>IF(AB58="","",COUNTIFS($C$18:$C$2015,AB$13,$D$18:$D$2015,"&gt;="&amp;AB58,$D$18:$D$2015,"&lt;"&amp;AB59))</f>
        <v/>
      </c>
      <c r="AD58" s="14" t="n"/>
    </row>
    <row r="59">
      <c r="A59" s="58" t="n"/>
      <c r="B59" s="59" t="n"/>
      <c r="C59" s="59" t="n"/>
      <c r="E59" s="16" t="n"/>
      <c r="F59" s="13" t="n"/>
      <c r="G59" s="16" t="n">
        <v>54</v>
      </c>
      <c r="H59" s="124">
        <f>IF(G59="","",COUNTIFS($C$18:$C$2015,G$13,$D$18:$D$2015,"&gt;="&amp;G59,$D$18:$D$2015,"&lt;"&amp;G60))</f>
        <v/>
      </c>
      <c r="I59" s="14" t="n"/>
      <c r="J59" s="16" t="n"/>
      <c r="K59" s="124">
        <f>IF(J59="","",COUNTIFS($C$18:$C$2015,J$13,$D$18:$D$2015,"&gt;="&amp;J59,$D$18:$D$2015,"&lt;"&amp;J60))</f>
        <v/>
      </c>
      <c r="L59" s="14" t="n"/>
      <c r="M59" s="16" t="n"/>
      <c r="N59" s="124">
        <f>IF(M59="","",COUNTIFS($C$18:$C$2015,M$13,$D$18:$D$2015,"&gt;="&amp;M59,$D$18:$D$2015,"&lt;"&amp;M60))</f>
        <v/>
      </c>
      <c r="O59" s="14" t="n"/>
      <c r="P59" s="16" t="n">
        <v>54</v>
      </c>
      <c r="Q59" s="124">
        <f>IF(P59="","",COUNTIFS($C$18:$C$2015,P$13,$D$18:$D$2015,"&gt;="&amp;P59,$D$18:$D$2015,"&lt;"&amp;P60))</f>
        <v/>
      </c>
      <c r="R59" s="14" t="n"/>
      <c r="S59" s="16" t="n">
        <v>98</v>
      </c>
      <c r="T59" s="124">
        <f>IF(S59="","",COUNTIFS($C$18:$C$2015,S$13,$D$18:$D$2015,"&gt;="&amp;S59,$D$18:$D$2015,"&lt;"&amp;S60))</f>
        <v/>
      </c>
      <c r="U59" s="14" t="n"/>
      <c r="V59" s="16" t="n"/>
      <c r="W59" s="124">
        <f>IF(V59="","",COUNTIFS($C$18:$C$2015,V$13,$D$18:$D$2015,"&gt;="&amp;V59,$D$18:$D$2015,"&lt;"&amp;V60))</f>
        <v/>
      </c>
      <c r="X59" s="14" t="n"/>
      <c r="Y59" s="16" t="n"/>
      <c r="Z59" s="124">
        <f>IF(Y59="","",COUNTIFS($C$18:$C$2015,Y$13,$D$18:$D$2015,"&gt;="&amp;Y59,$D$18:$D$2015,"&lt;"&amp;Y60))</f>
        <v/>
      </c>
      <c r="AA59" s="14" t="n"/>
      <c r="AB59" s="16" t="n">
        <v>54</v>
      </c>
      <c r="AC59" s="124">
        <f>IF(AB59="","",COUNTIFS($C$18:$C$2015,AB$13,$D$18:$D$2015,"&gt;="&amp;AB59,$D$18:$D$2015,"&lt;"&amp;AB60))</f>
        <v/>
      </c>
      <c r="AD59" s="14" t="n"/>
    </row>
    <row r="60">
      <c r="A60" s="56" t="n"/>
      <c r="B60" s="59" t="n"/>
      <c r="C60" s="59" t="n"/>
      <c r="E60" s="16" t="n"/>
      <c r="F60" s="13" t="n"/>
      <c r="G60" s="16" t="n">
        <v>55</v>
      </c>
      <c r="H60" s="124">
        <f>IF(G60="","",COUNTIFS($C$18:$C$2015,G$13,$D$18:$D$2015,"&gt;="&amp;G60,$D$18:$D$2015,"&lt;"&amp;G61))</f>
        <v/>
      </c>
      <c r="I60" s="14" t="n"/>
      <c r="J60" s="16" t="n"/>
      <c r="K60" s="124">
        <f>IF(J60="","",COUNTIFS($C$18:$C$2015,J$13,$D$18:$D$2015,"&gt;="&amp;J60,$D$18:$D$2015,"&lt;"&amp;J61))</f>
        <v/>
      </c>
      <c r="L60" s="14" t="n"/>
      <c r="M60" s="16" t="n"/>
      <c r="N60" s="124">
        <f>IF(M60="","",COUNTIFS($C$18:$C$2015,M$13,$D$18:$D$2015,"&gt;="&amp;M60,$D$18:$D$2015,"&lt;"&amp;M61))</f>
        <v/>
      </c>
      <c r="O60" s="14" t="n"/>
      <c r="P60" s="16" t="n">
        <v>55</v>
      </c>
      <c r="Q60" s="124">
        <f>IF(P60="","",COUNTIFS($C$18:$C$2015,P$13,$D$18:$D$2015,"&gt;="&amp;P60,$D$18:$D$2015,"&lt;"&amp;P61))</f>
        <v/>
      </c>
      <c r="R60" s="14" t="n"/>
      <c r="S60" s="16" t="n">
        <v>100</v>
      </c>
      <c r="T60" s="124">
        <f>IF(S60="","",COUNTIFS($C$18:$C$2015,S$13,$D$18:$D$2015,"&gt;="&amp;S60,$D$18:$D$2015,"&lt;"&amp;S61))</f>
        <v/>
      </c>
      <c r="U60" s="14" t="n"/>
      <c r="V60" s="16" t="n"/>
      <c r="W60" s="124">
        <f>IF(V60="","",COUNTIFS($C$18:$C$2015,V$13,$D$18:$D$2015,"&gt;="&amp;V60,$D$18:$D$2015,"&lt;"&amp;V61))</f>
        <v/>
      </c>
      <c r="X60" s="14" t="n"/>
      <c r="Y60" s="16" t="n"/>
      <c r="Z60" s="124">
        <f>IF(Y60="","",COUNTIFS($C$18:$C$2015,Y$13,$D$18:$D$2015,"&gt;="&amp;Y60,$D$18:$D$2015,"&lt;"&amp;Y61))</f>
        <v/>
      </c>
      <c r="AA60" s="14" t="n"/>
      <c r="AB60" s="16" t="n">
        <v>55</v>
      </c>
      <c r="AC60" s="124">
        <f>IF(AB60="","",COUNTIFS($C$18:$C$2015,AB$13,$D$18:$D$2015,"&gt;="&amp;AB60,$D$18:$D$2015,"&lt;"&amp;AB61))</f>
        <v/>
      </c>
      <c r="AD60" s="14" t="n"/>
    </row>
    <row r="61">
      <c r="A61" s="58" t="n"/>
      <c r="B61" s="59" t="n"/>
      <c r="C61" s="59" t="n"/>
      <c r="E61" s="16" t="n"/>
      <c r="F61" s="13" t="n"/>
      <c r="G61" s="16" t="n">
        <v>56</v>
      </c>
      <c r="H61" s="124">
        <f>IF(G61="","",COUNTIFS($C$18:$C$2015,G$13,$D$18:$D$2015,"&gt;="&amp;G61,$D$18:$D$2015,"&lt;"&amp;G62))</f>
        <v/>
      </c>
      <c r="I61" s="14" t="n"/>
      <c r="J61" s="16" t="n"/>
      <c r="K61" s="124">
        <f>IF(J61="","",COUNTIFS($C$18:$C$2015,J$13,$D$18:$D$2015,"&gt;="&amp;J61,$D$18:$D$2015,"&lt;"&amp;J62))</f>
        <v/>
      </c>
      <c r="L61" s="14" t="n"/>
      <c r="M61" s="16" t="n"/>
      <c r="N61" s="124">
        <f>IF(M61="","",COUNTIFS($C$18:$C$2015,M$13,$D$18:$D$2015,"&gt;="&amp;M61,$D$18:$D$2015,"&lt;"&amp;M62))</f>
        <v/>
      </c>
      <c r="O61" s="14" t="n"/>
      <c r="P61" s="16" t="n">
        <v>56</v>
      </c>
      <c r="Q61" s="124">
        <f>IF(P61="","",COUNTIFS($C$18:$C$2015,P$13,$D$18:$D$2015,"&gt;="&amp;P61,$D$18:$D$2015,"&lt;"&amp;P62))</f>
        <v/>
      </c>
      <c r="R61" s="14" t="n"/>
      <c r="S61" s="16" t="n"/>
      <c r="T61" s="124">
        <f>IF(S61="","",COUNTIFS($C$18:$C$2015,S$13,$D$18:$D$2015,"&gt;="&amp;S61,$D$18:$D$2015,"&lt;"&amp;S62))</f>
        <v/>
      </c>
      <c r="U61" s="14" t="n"/>
      <c r="V61" s="16" t="n"/>
      <c r="W61" s="124">
        <f>IF(V61="","",COUNTIFS($C$18:$C$2015,V$13,$D$18:$D$2015,"&gt;="&amp;V61,$D$18:$D$2015,"&lt;"&amp;V62))</f>
        <v/>
      </c>
      <c r="X61" s="14" t="n"/>
      <c r="Y61" s="16" t="n"/>
      <c r="Z61" s="124">
        <f>IF(Y61="","",COUNTIFS($C$18:$C$2015,Y$13,$D$18:$D$2015,"&gt;="&amp;Y61,$D$18:$D$2015,"&lt;"&amp;Y62))</f>
        <v/>
      </c>
      <c r="AA61" s="14" t="n"/>
      <c r="AB61" s="16" t="n">
        <v>56</v>
      </c>
      <c r="AC61" s="124">
        <f>IF(AB61="","",COUNTIFS($C$18:$C$2015,AB$13,$D$18:$D$2015,"&gt;="&amp;AB61,$D$18:$D$2015,"&lt;"&amp;AB62))</f>
        <v/>
      </c>
      <c r="AD61" s="14" t="n"/>
    </row>
    <row r="62">
      <c r="A62" s="56" t="n"/>
      <c r="B62" s="59" t="n"/>
      <c r="C62" s="59" t="n"/>
      <c r="E62" s="16" t="n"/>
      <c r="F62" s="13" t="n"/>
      <c r="G62" s="16" t="n">
        <v>57</v>
      </c>
      <c r="H62" s="124">
        <f>IF(G62="","",COUNTIFS($C$18:$C$2015,G$13,$D$18:$D$2015,"&gt;="&amp;G62,$D$18:$D$2015,"&lt;"&amp;G63))</f>
        <v/>
      </c>
      <c r="I62" s="14" t="n"/>
      <c r="J62" s="16" t="n"/>
      <c r="K62" s="124">
        <f>IF(J62="","",COUNTIFS($C$18:$C$2015,J$13,$D$18:$D$2015,"&gt;="&amp;J62,$D$18:$D$2015,"&lt;"&amp;J63))</f>
        <v/>
      </c>
      <c r="L62" s="14" t="n"/>
      <c r="M62" s="16" t="n"/>
      <c r="N62" s="124">
        <f>IF(M62="","",COUNTIFS($C$18:$C$2015,M$13,$D$18:$D$2015,"&gt;="&amp;M62,$D$18:$D$2015,"&lt;"&amp;M63))</f>
        <v/>
      </c>
      <c r="O62" s="14" t="n"/>
      <c r="P62" s="16" t="n">
        <v>57</v>
      </c>
      <c r="Q62" s="124">
        <f>IF(P62="","",COUNTIFS($C$18:$C$2015,P$13,$D$18:$D$2015,"&gt;="&amp;P62,$D$18:$D$2015,"&lt;"&amp;P63))</f>
        <v/>
      </c>
      <c r="R62" s="14" t="n"/>
      <c r="S62" s="16" t="n"/>
      <c r="T62" s="124">
        <f>IF(S62="","",COUNTIFS($C$18:$C$2015,S$13,$D$18:$D$2015,"&gt;="&amp;S62,$D$18:$D$2015,"&lt;"&amp;S63))</f>
        <v/>
      </c>
      <c r="U62" s="14" t="n"/>
      <c r="V62" s="16" t="n"/>
      <c r="W62" s="124">
        <f>IF(V62="","",COUNTIFS($C$18:$C$2015,V$13,$D$18:$D$2015,"&gt;="&amp;V62,$D$18:$D$2015,"&lt;"&amp;V63))</f>
        <v/>
      </c>
      <c r="X62" s="14" t="n"/>
      <c r="Y62" s="16" t="n"/>
      <c r="Z62" s="124">
        <f>IF(Y62="","",COUNTIFS($C$18:$C$2015,Y$13,$D$18:$D$2015,"&gt;="&amp;Y62,$D$18:$D$2015,"&lt;"&amp;Y63))</f>
        <v/>
      </c>
      <c r="AA62" s="14" t="n"/>
      <c r="AB62" s="16" t="n">
        <v>57</v>
      </c>
      <c r="AC62" s="124">
        <f>IF(AB62="","",COUNTIFS($C$18:$C$2015,AB$13,$D$18:$D$2015,"&gt;="&amp;AB62,$D$18:$D$2015,"&lt;"&amp;AB63))</f>
        <v/>
      </c>
      <c r="AD62" s="14" t="n"/>
    </row>
    <row r="63">
      <c r="A63" s="58" t="n"/>
      <c r="B63" s="59" t="n"/>
      <c r="C63" s="59" t="n"/>
      <c r="E63" s="16" t="n"/>
      <c r="F63" s="13" t="n"/>
      <c r="G63" s="16" t="n">
        <v>58</v>
      </c>
      <c r="H63" s="124">
        <f>IF(G63="","",COUNTIFS($C$18:$C$2015,G$13,$D$18:$D$2015,"&gt;="&amp;G63,$D$18:$D$2015,"&lt;"&amp;G64))</f>
        <v/>
      </c>
      <c r="I63" s="14" t="n"/>
      <c r="J63" s="16" t="n"/>
      <c r="K63" s="124">
        <f>IF(J63="","",COUNTIFS($C$18:$C$2015,J$13,$D$18:$D$2015,"&gt;="&amp;J63,$D$18:$D$2015,"&lt;"&amp;J64))</f>
        <v/>
      </c>
      <c r="L63" s="14" t="n"/>
      <c r="M63" s="16" t="n"/>
      <c r="N63" s="124">
        <f>IF(M63="","",COUNTIFS($C$18:$C$2015,M$13,$D$18:$D$2015,"&gt;="&amp;M63,$D$18:$D$2015,"&lt;"&amp;M64))</f>
        <v/>
      </c>
      <c r="O63" s="14" t="n"/>
      <c r="P63" s="16" t="n">
        <v>58</v>
      </c>
      <c r="Q63" s="124">
        <f>IF(P63="","",COUNTIFS($C$18:$C$2015,P$13,$D$18:$D$2015,"&gt;="&amp;P63,$D$18:$D$2015,"&lt;"&amp;P64))</f>
        <v/>
      </c>
      <c r="R63" s="14" t="n"/>
      <c r="S63" s="16" t="n"/>
      <c r="T63" s="124">
        <f>IF(S63="","",COUNTIFS($C$18:$C$2015,S$13,$D$18:$D$2015,"&gt;="&amp;S63,$D$18:$D$2015,"&lt;"&amp;S64))</f>
        <v/>
      </c>
      <c r="U63" s="14" t="n"/>
      <c r="V63" s="16" t="n"/>
      <c r="W63" s="124">
        <f>IF(V63="","",COUNTIFS($C$18:$C$2015,V$13,$D$18:$D$2015,"&gt;="&amp;V63,$D$18:$D$2015,"&lt;"&amp;V64))</f>
        <v/>
      </c>
      <c r="X63" s="14" t="n"/>
      <c r="Y63" s="16" t="n"/>
      <c r="Z63" s="124">
        <f>IF(Y63="","",COUNTIFS($C$18:$C$2015,Y$13,$D$18:$D$2015,"&gt;="&amp;Y63,$D$18:$D$2015,"&lt;"&amp;Y64))</f>
        <v/>
      </c>
      <c r="AA63" s="14" t="n"/>
      <c r="AB63" s="16" t="n">
        <v>58</v>
      </c>
      <c r="AC63" s="124">
        <f>IF(AB63="","",COUNTIFS($C$18:$C$2015,AB$13,$D$18:$D$2015,"&gt;="&amp;AB63,$D$18:$D$2015,"&lt;"&amp;AB64))</f>
        <v/>
      </c>
      <c r="AD63" s="14" t="n"/>
    </row>
    <row r="64">
      <c r="A64" s="56" t="n"/>
      <c r="B64" s="59" t="n"/>
      <c r="C64" s="59" t="n"/>
      <c r="E64" s="16" t="n"/>
      <c r="F64" s="13" t="n"/>
      <c r="G64" s="16" t="n">
        <v>59</v>
      </c>
      <c r="H64" s="124">
        <f>IF(G64="","",COUNTIFS($C$18:$C$2015,G$13,$D$18:$D$2015,"&gt;="&amp;G64,$D$18:$D$2015,"&lt;"&amp;G65))</f>
        <v/>
      </c>
      <c r="I64" s="14" t="n"/>
      <c r="J64" s="16" t="n"/>
      <c r="K64" s="124">
        <f>IF(J64="","",COUNTIFS($C$18:$C$2015,J$13,$D$18:$D$2015,"&gt;="&amp;J64,$D$18:$D$2015,"&lt;"&amp;J65))</f>
        <v/>
      </c>
      <c r="L64" s="14" t="n"/>
      <c r="M64" s="16" t="n"/>
      <c r="N64" s="124">
        <f>IF(M64="","",COUNTIFS($C$18:$C$2015,M$13,$D$18:$D$2015,"&gt;="&amp;M64,$D$18:$D$2015,"&lt;"&amp;M65))</f>
        <v/>
      </c>
      <c r="O64" s="14" t="n"/>
      <c r="P64" s="16" t="n">
        <v>59</v>
      </c>
      <c r="Q64" s="124">
        <f>IF(P64="","",COUNTIFS($C$18:$C$2015,P$13,$D$18:$D$2015,"&gt;="&amp;P64,$D$18:$D$2015,"&lt;"&amp;P65))</f>
        <v/>
      </c>
      <c r="R64" s="14" t="n"/>
      <c r="S64" s="16" t="n"/>
      <c r="T64" s="124">
        <f>IF(S64="","",COUNTIFS($C$18:$C$2015,S$13,$D$18:$D$2015,"&gt;="&amp;S64,$D$18:$D$2015,"&lt;"&amp;S65))</f>
        <v/>
      </c>
      <c r="U64" s="14" t="n"/>
      <c r="V64" s="16" t="n"/>
      <c r="W64" s="124">
        <f>IF(V64="","",COUNTIFS($C$18:$C$2015,V$13,$D$18:$D$2015,"&gt;="&amp;V64,$D$18:$D$2015,"&lt;"&amp;V65))</f>
        <v/>
      </c>
      <c r="X64" s="14" t="n"/>
      <c r="Y64" s="16" t="n"/>
      <c r="Z64" s="124">
        <f>IF(Y64="","",COUNTIFS($C$18:$C$2015,Y$13,$D$18:$D$2015,"&gt;="&amp;Y64,$D$18:$D$2015,"&lt;"&amp;Y65))</f>
        <v/>
      </c>
      <c r="AA64" s="14" t="n"/>
      <c r="AB64" s="16" t="n">
        <v>59</v>
      </c>
      <c r="AC64" s="124">
        <f>IF(AB64="","",COUNTIFS($C$18:$C$2015,AB$13,$D$18:$D$2015,"&gt;="&amp;AB64,$D$18:$D$2015,"&lt;"&amp;AB65))</f>
        <v/>
      </c>
      <c r="AD64" s="14" t="n"/>
    </row>
    <row r="65">
      <c r="A65" s="58" t="n"/>
      <c r="B65" s="59" t="n"/>
      <c r="C65" s="59" t="n"/>
      <c r="E65" s="16" t="n"/>
      <c r="F65" s="13" t="n"/>
      <c r="G65" s="16" t="n">
        <v>60</v>
      </c>
      <c r="H65" s="124">
        <f>IF(G65="","",COUNTIFS($C$18:$C$2015,G$13,$D$18:$D$2015,"&gt;="&amp;G65,$D$18:$D$2015,"&lt;"&amp;G66))</f>
        <v/>
      </c>
      <c r="I65" s="14" t="n"/>
      <c r="J65" s="16" t="n"/>
      <c r="K65" s="124">
        <f>IF(J65="","",COUNTIFS($C$18:$C$2015,J$13,$D$18:$D$2015,"&gt;="&amp;J65,$D$18:$D$2015,"&lt;"&amp;J66))</f>
        <v/>
      </c>
      <c r="L65" s="14" t="n"/>
      <c r="M65" s="16" t="n"/>
      <c r="N65" s="124">
        <f>IF(M65="","",COUNTIFS($C$18:$C$2015,M$13,$D$18:$D$2015,"&gt;="&amp;M65,$D$18:$D$2015,"&lt;"&amp;M66))</f>
        <v/>
      </c>
      <c r="O65" s="14" t="n"/>
      <c r="P65" s="16" t="n">
        <v>60</v>
      </c>
      <c r="Q65" s="124">
        <f>IF(P65="","",COUNTIFS($C$18:$C$2015,P$13,$D$18:$D$2015,"&gt;="&amp;P65,$D$18:$D$2015,"&lt;"&amp;P66))</f>
        <v/>
      </c>
      <c r="R65" s="14" t="n"/>
      <c r="S65" s="16" t="n"/>
      <c r="T65" s="124">
        <f>IF(S65="","",COUNTIFS($C$18:$C$2015,S$13,$D$18:$D$2015,"&gt;="&amp;S65,$D$18:$D$2015,"&lt;"&amp;S66))</f>
        <v/>
      </c>
      <c r="U65" s="14" t="n"/>
      <c r="V65" s="16" t="n"/>
      <c r="W65" s="124">
        <f>IF(V65="","",COUNTIFS($C$18:$C$2015,V$13,$D$18:$D$2015,"&gt;="&amp;V65,$D$18:$D$2015,"&lt;"&amp;V66))</f>
        <v/>
      </c>
      <c r="X65" s="14" t="n"/>
      <c r="Y65" s="16" t="n"/>
      <c r="Z65" s="124">
        <f>IF(Y65="","",COUNTIFS($C$18:$C$2015,Y$13,$D$18:$D$2015,"&gt;="&amp;Y65,$D$18:$D$2015,"&lt;"&amp;Y66))</f>
        <v/>
      </c>
      <c r="AA65" s="14" t="n"/>
      <c r="AB65" s="16" t="n">
        <v>60</v>
      </c>
      <c r="AC65" s="124">
        <f>IF(AB65="","",COUNTIFS($C$18:$C$2015,AB$13,$D$18:$D$2015,"&gt;="&amp;AB65,$D$18:$D$2015,"&lt;"&amp;AB66))</f>
        <v/>
      </c>
      <c r="AD65" s="14" t="n"/>
    </row>
    <row r="66">
      <c r="A66" s="56" t="n"/>
      <c r="B66" s="59" t="n"/>
      <c r="C66" s="59" t="n"/>
      <c r="E66" s="16" t="n"/>
      <c r="F66" s="13" t="n"/>
      <c r="G66" s="16" t="n">
        <v>61</v>
      </c>
      <c r="H66" s="124">
        <f>IF(G66="","",COUNTIFS($C$18:$C$2015,G$13,$D$18:$D$2015,"&gt;="&amp;G66,$D$18:$D$2015,"&lt;"&amp;G67))</f>
        <v/>
      </c>
      <c r="I66" s="14" t="n"/>
      <c r="J66" s="16" t="n"/>
      <c r="K66" s="124">
        <f>IF(J66="","",COUNTIFS($C$18:$C$2015,J$13,$D$18:$D$2015,"&gt;="&amp;J66,$D$18:$D$2015,"&lt;"&amp;J67))</f>
        <v/>
      </c>
      <c r="L66" s="14" t="n"/>
      <c r="M66" s="16" t="n"/>
      <c r="N66" s="124">
        <f>IF(M66="","",COUNTIFS($C$18:$C$2015,M$13,$D$18:$D$2015,"&gt;="&amp;M66,$D$18:$D$2015,"&lt;"&amp;M67))</f>
        <v/>
      </c>
      <c r="O66" s="14" t="n"/>
      <c r="P66" s="16" t="n">
        <v>61</v>
      </c>
      <c r="Q66" s="124">
        <f>IF(P66="","",COUNTIFS($C$18:$C$2015,P$13,$D$18:$D$2015,"&gt;="&amp;P66,$D$18:$D$2015,"&lt;"&amp;P67))</f>
        <v/>
      </c>
      <c r="R66" s="14" t="n"/>
      <c r="S66" s="16" t="n"/>
      <c r="T66" s="124">
        <f>IF(S66="","",COUNTIFS($C$18:$C$2015,S$13,$D$18:$D$2015,"&gt;="&amp;S66,$D$18:$D$2015,"&lt;"&amp;S67))</f>
        <v/>
      </c>
      <c r="U66" s="14" t="n"/>
      <c r="V66" s="16" t="n"/>
      <c r="W66" s="124">
        <f>IF(V66="","",COUNTIFS($C$18:$C$2015,V$13,$D$18:$D$2015,"&gt;="&amp;V66,$D$18:$D$2015,"&lt;"&amp;V67))</f>
        <v/>
      </c>
      <c r="X66" s="14" t="n"/>
      <c r="Y66" s="16" t="n"/>
      <c r="Z66" s="124">
        <f>IF(Y66="","",COUNTIFS($C$18:$C$2015,Y$13,$D$18:$D$2015,"&gt;="&amp;Y66,$D$18:$D$2015,"&lt;"&amp;Y67))</f>
        <v/>
      </c>
      <c r="AA66" s="14" t="n"/>
      <c r="AB66" s="16" t="n">
        <v>61</v>
      </c>
      <c r="AC66" s="124">
        <f>IF(AB66="","",COUNTIFS($C$18:$C$2015,AB$13,$D$18:$D$2015,"&gt;="&amp;AB66,$D$18:$D$2015,"&lt;"&amp;AB67))</f>
        <v/>
      </c>
      <c r="AD66" s="14" t="n"/>
    </row>
    <row r="67">
      <c r="A67" s="58" t="n"/>
      <c r="B67" s="59" t="n"/>
      <c r="C67" s="59" t="n"/>
      <c r="E67" s="16" t="n"/>
      <c r="F67" s="13" t="n"/>
      <c r="G67" s="16" t="n">
        <v>62</v>
      </c>
      <c r="H67" s="124">
        <f>IF(G67="","",COUNTIFS($C$18:$C$2015,G$13,$D$18:$D$2015,"&gt;="&amp;G67,$D$18:$D$2015,"&lt;"&amp;G68))</f>
        <v/>
      </c>
      <c r="I67" s="14" t="n"/>
      <c r="J67" s="16" t="n"/>
      <c r="K67" s="124">
        <f>IF(J67="","",COUNTIFS($C$18:$C$2015,J$13,$D$18:$D$2015,"&gt;="&amp;J67,$D$18:$D$2015,"&lt;"&amp;J68))</f>
        <v/>
      </c>
      <c r="L67" s="14" t="n"/>
      <c r="M67" s="16" t="n"/>
      <c r="N67" s="124">
        <f>IF(M67="","",COUNTIFS($C$18:$C$2015,M$13,$D$18:$D$2015,"&gt;="&amp;M67,$D$18:$D$2015,"&lt;"&amp;M68))</f>
        <v/>
      </c>
      <c r="O67" s="14" t="n"/>
      <c r="P67" s="16" t="n">
        <v>62</v>
      </c>
      <c r="Q67" s="124">
        <f>IF(P67="","",COUNTIFS($C$18:$C$2015,P$13,$D$18:$D$2015,"&gt;="&amp;P67,$D$18:$D$2015,"&lt;"&amp;P68))</f>
        <v/>
      </c>
      <c r="R67" s="14" t="n"/>
      <c r="S67" s="16" t="n"/>
      <c r="T67" s="124">
        <f>IF(S67="","",COUNTIFS($C$18:$C$2015,S$13,$D$18:$D$2015,"&gt;="&amp;S67,$D$18:$D$2015,"&lt;"&amp;S68))</f>
        <v/>
      </c>
      <c r="U67" s="14" t="n"/>
      <c r="V67" s="16" t="n"/>
      <c r="W67" s="124">
        <f>IF(V67="","",COUNTIFS($C$18:$C$2015,V$13,$D$18:$D$2015,"&gt;="&amp;V67,$D$18:$D$2015,"&lt;"&amp;V68))</f>
        <v/>
      </c>
      <c r="X67" s="14" t="n"/>
      <c r="Y67" s="16" t="n"/>
      <c r="Z67" s="124">
        <f>IF(Y67="","",COUNTIFS($C$18:$C$2015,Y$13,$D$18:$D$2015,"&gt;="&amp;Y67,$D$18:$D$2015,"&lt;"&amp;Y68))</f>
        <v/>
      </c>
      <c r="AA67" s="14" t="n"/>
      <c r="AB67" s="16" t="n">
        <v>62</v>
      </c>
      <c r="AC67" s="124">
        <f>IF(AB67="","",COUNTIFS($C$18:$C$2015,AB$13,$D$18:$D$2015,"&gt;="&amp;AB67,$D$18:$D$2015,"&lt;"&amp;AB68))</f>
        <v/>
      </c>
      <c r="AD67" s="14" t="n"/>
    </row>
    <row r="68">
      <c r="A68" s="56" t="n"/>
      <c r="B68" s="59" t="n"/>
      <c r="C68" s="59" t="n"/>
      <c r="E68" s="16" t="n"/>
      <c r="F68" s="13" t="n"/>
      <c r="G68" s="16" t="n">
        <v>63</v>
      </c>
      <c r="H68" s="124">
        <f>IF(G68="","",COUNTIFS($C$18:$C$2015,G$13,$D$18:$D$2015,"&gt;="&amp;G68,$D$18:$D$2015,"&lt;"&amp;G69))</f>
        <v/>
      </c>
      <c r="I68" s="14" t="n"/>
      <c r="J68" s="16" t="n"/>
      <c r="K68" s="124">
        <f>IF(J68="","",COUNTIFS($C$18:$C$2015,J$13,$D$18:$D$2015,"&gt;="&amp;J68,$D$18:$D$2015,"&lt;"&amp;J69))</f>
        <v/>
      </c>
      <c r="L68" s="14" t="n"/>
      <c r="M68" s="16" t="n"/>
      <c r="N68" s="124">
        <f>IF(M68="","",COUNTIFS($C$18:$C$2015,M$13,$D$18:$D$2015,"&gt;="&amp;M68,$D$18:$D$2015,"&lt;"&amp;M69))</f>
        <v/>
      </c>
      <c r="O68" s="14" t="n"/>
      <c r="P68" s="16" t="n">
        <v>63</v>
      </c>
      <c r="Q68" s="124">
        <f>IF(P68="","",COUNTIFS($C$18:$C$2015,P$13,$D$18:$D$2015,"&gt;="&amp;P68,$D$18:$D$2015,"&lt;"&amp;P69))</f>
        <v/>
      </c>
      <c r="R68" s="14" t="n"/>
      <c r="S68" s="16" t="n"/>
      <c r="T68" s="124">
        <f>IF(S68="","",COUNTIFS($C$18:$C$2015,S$13,$D$18:$D$2015,"&gt;="&amp;S68,$D$18:$D$2015,"&lt;"&amp;S69))</f>
        <v/>
      </c>
      <c r="U68" s="14" t="n"/>
      <c r="V68" s="16" t="n"/>
      <c r="W68" s="124">
        <f>IF(V68="","",COUNTIFS($C$18:$C$2015,V$13,$D$18:$D$2015,"&gt;="&amp;V68,$D$18:$D$2015,"&lt;"&amp;V69))</f>
        <v/>
      </c>
      <c r="X68" s="14" t="n"/>
      <c r="Y68" s="16" t="n"/>
      <c r="Z68" s="124">
        <f>IF(Y68="","",COUNTIFS($C$18:$C$2015,Y$13,$D$18:$D$2015,"&gt;="&amp;Y68,$D$18:$D$2015,"&lt;"&amp;Y69))</f>
        <v/>
      </c>
      <c r="AA68" s="14" t="n"/>
      <c r="AB68" s="16" t="n"/>
      <c r="AC68" s="124">
        <f>IF(AB68="","",COUNTIFS($C$18:$C$2015,AB$13,$D$18:$D$2015,"&gt;="&amp;AB68,$D$18:$D$2015,"&lt;"&amp;AB69))</f>
        <v/>
      </c>
      <c r="AD68" s="14" t="n"/>
    </row>
    <row r="69">
      <c r="A69" s="58" t="n"/>
      <c r="B69" s="59" t="n"/>
      <c r="C69" s="59" t="n"/>
      <c r="E69" s="16" t="n"/>
      <c r="F69" s="13" t="n"/>
      <c r="G69" s="16" t="n">
        <v>64</v>
      </c>
      <c r="H69" s="124">
        <f>IF(G69="","",COUNTIFS($C$18:$C$2015,G$13,$D$18:$D$2015,"&gt;="&amp;G69,$D$18:$D$2015,"&lt;"&amp;G70))</f>
        <v/>
      </c>
      <c r="I69" s="14" t="n"/>
      <c r="J69" s="16" t="n"/>
      <c r="K69" s="124">
        <f>IF(J69="","",COUNTIFS($C$18:$C$2015,J$13,$D$18:$D$2015,"&gt;="&amp;J69,$D$18:$D$2015,"&lt;"&amp;J70))</f>
        <v/>
      </c>
      <c r="L69" s="14" t="n"/>
      <c r="M69" s="16" t="n"/>
      <c r="N69" s="124">
        <f>IF(M69="","",COUNTIFS($C$18:$C$2015,M$13,$D$18:$D$2015,"&gt;="&amp;M69,$D$18:$D$2015,"&lt;"&amp;M70))</f>
        <v/>
      </c>
      <c r="O69" s="14" t="n"/>
      <c r="P69" s="16" t="n">
        <v>64</v>
      </c>
      <c r="Q69" s="124">
        <f>IF(P69="","",COUNTIFS($C$18:$C$2015,P$13,$D$18:$D$2015,"&gt;="&amp;P69,$D$18:$D$2015,"&lt;"&amp;P70))</f>
        <v/>
      </c>
      <c r="R69" s="14" t="n"/>
      <c r="S69" s="16" t="n"/>
      <c r="T69" s="124">
        <f>IF(S69="","",COUNTIFS($C$18:$C$2015,S$13,$D$18:$D$2015,"&gt;="&amp;S69,$D$18:$D$2015,"&lt;"&amp;S70))</f>
        <v/>
      </c>
      <c r="U69" s="14" t="n"/>
      <c r="V69" s="16" t="n"/>
      <c r="W69" s="124">
        <f>IF(V69="","",COUNTIFS($C$18:$C$2015,V$13,$D$18:$D$2015,"&gt;="&amp;V69,$D$18:$D$2015,"&lt;"&amp;V70))</f>
        <v/>
      </c>
      <c r="X69" s="14" t="n"/>
      <c r="Y69" s="16" t="n"/>
      <c r="Z69" s="124">
        <f>IF(Y69="","",COUNTIFS($C$18:$C$2015,Y$13,$D$18:$D$2015,"&gt;="&amp;Y69,$D$18:$D$2015,"&lt;"&amp;Y70))</f>
        <v/>
      </c>
      <c r="AA69" s="14" t="n"/>
      <c r="AB69" s="16" t="n"/>
      <c r="AC69" s="124">
        <f>IF(AB69="","",COUNTIFS($C$18:$C$2015,AB$13,$D$18:$D$2015,"&gt;="&amp;AB69,$D$18:$D$2015,"&lt;"&amp;AB70))</f>
        <v/>
      </c>
      <c r="AD69" s="14" t="n"/>
    </row>
    <row r="70">
      <c r="A70" s="56" t="n"/>
      <c r="B70" s="59" t="n"/>
      <c r="C70" s="59" t="n"/>
      <c r="E70" s="16" t="n"/>
      <c r="F70" s="13" t="n"/>
      <c r="G70" s="16" t="n">
        <v>65</v>
      </c>
      <c r="H70" s="124">
        <f>IF(G70="","",COUNTIFS($C$18:$C$2015,G$13,$D$18:$D$2015,"&gt;="&amp;G70,$D$18:$D$2015,"&lt;"&amp;G71))</f>
        <v/>
      </c>
      <c r="I70" s="14" t="n"/>
      <c r="J70" s="16" t="n"/>
      <c r="K70" s="124">
        <f>IF(J70="","",COUNTIFS($C$18:$C$2015,J$13,$D$18:$D$2015,"&gt;="&amp;J70,$D$18:$D$2015,"&lt;"&amp;J71))</f>
        <v/>
      </c>
      <c r="L70" s="14" t="n"/>
      <c r="M70" s="16" t="n"/>
      <c r="N70" s="124">
        <f>IF(M70="","",COUNTIFS($C$18:$C$2015,M$13,$D$18:$D$2015,"&gt;="&amp;M70,$D$18:$D$2015,"&lt;"&amp;M71))</f>
        <v/>
      </c>
      <c r="O70" s="14" t="n"/>
      <c r="P70" s="16" t="n">
        <v>65</v>
      </c>
      <c r="Q70" s="124">
        <f>IF(P70="","",COUNTIFS($C$18:$C$2015,P$13,$D$18:$D$2015,"&gt;="&amp;P70,$D$18:$D$2015,"&lt;"&amp;P71))</f>
        <v/>
      </c>
      <c r="R70" s="14" t="n"/>
      <c r="S70" s="16" t="n"/>
      <c r="T70" s="124">
        <f>IF(S70="","",COUNTIFS($C$18:$C$2015,S$13,$D$18:$D$2015,"&gt;="&amp;S70,$D$18:$D$2015,"&lt;"&amp;S71))</f>
        <v/>
      </c>
      <c r="U70" s="14" t="n"/>
      <c r="V70" s="16" t="n"/>
      <c r="W70" s="124">
        <f>IF(V70="","",COUNTIFS($C$18:$C$2015,V$13,$D$18:$D$2015,"&gt;="&amp;V70,$D$18:$D$2015,"&lt;"&amp;V71))</f>
        <v/>
      </c>
      <c r="X70" s="14" t="n"/>
      <c r="Y70" s="16" t="n"/>
      <c r="Z70" s="124">
        <f>IF(Y70="","",COUNTIFS($C$18:$C$2015,Y$13,$D$18:$D$2015,"&gt;="&amp;Y70,$D$18:$D$2015,"&lt;"&amp;Y71))</f>
        <v/>
      </c>
      <c r="AA70" s="14" t="n"/>
      <c r="AB70" s="16" t="n"/>
      <c r="AC70" s="124">
        <f>IF(AB70="","",COUNTIFS($C$18:$C$2015,AB$13,$D$18:$D$2015,"&gt;="&amp;AB70,$D$18:$D$2015,"&lt;"&amp;AB71))</f>
        <v/>
      </c>
      <c r="AD70" s="14" t="n"/>
    </row>
    <row r="71">
      <c r="A71" s="58" t="n"/>
      <c r="B71" s="59" t="n"/>
      <c r="C71" s="59" t="n"/>
      <c r="E71" s="16" t="n"/>
      <c r="F71" s="13" t="n"/>
      <c r="G71" s="16" t="n">
        <v>66</v>
      </c>
      <c r="H71" s="124">
        <f>IF(G71="","",COUNTIFS($C$18:$C$2015,G$13,$D$18:$D$2015,"&gt;="&amp;G71,$D$18:$D$2015,"&lt;"&amp;G72))</f>
        <v/>
      </c>
      <c r="I71" s="14" t="n"/>
      <c r="J71" s="16" t="n"/>
      <c r="K71" s="124">
        <f>IF(J71="","",COUNTIFS($C$18:$C$2015,J$13,$D$18:$D$2015,"&gt;="&amp;J71,$D$18:$D$2015,"&lt;"&amp;J72))</f>
        <v/>
      </c>
      <c r="L71" s="14" t="n"/>
      <c r="M71" s="16" t="n"/>
      <c r="N71" s="124">
        <f>IF(M71="","",COUNTIFS($C$18:$C$2015,M$13,$D$18:$D$2015,"&gt;="&amp;M71,$D$18:$D$2015,"&lt;"&amp;M72))</f>
        <v/>
      </c>
      <c r="O71" s="14" t="n"/>
      <c r="P71" s="16" t="n">
        <v>66</v>
      </c>
      <c r="Q71" s="124">
        <f>IF(P71="","",COUNTIFS($C$18:$C$2015,P$13,$D$18:$D$2015,"&gt;="&amp;P71,$D$18:$D$2015,"&lt;"&amp;P72))</f>
        <v/>
      </c>
      <c r="R71" s="14" t="n"/>
      <c r="S71" s="16" t="n"/>
      <c r="T71" s="124">
        <f>IF(S71="","",COUNTIFS($C$18:$C$2015,S$13,$D$18:$D$2015,"&gt;="&amp;S71,$D$18:$D$2015,"&lt;"&amp;S72))</f>
        <v/>
      </c>
      <c r="U71" s="14" t="n"/>
      <c r="V71" s="16" t="n"/>
      <c r="W71" s="124">
        <f>IF(V71="","",COUNTIFS($C$18:$C$2015,V$13,$D$18:$D$2015,"&gt;="&amp;V71,$D$18:$D$2015,"&lt;"&amp;V72))</f>
        <v/>
      </c>
      <c r="X71" s="14" t="n"/>
      <c r="Y71" s="16" t="n"/>
      <c r="Z71" s="124">
        <f>IF(Y71="","",COUNTIFS($C$18:$C$2015,Y$13,$D$18:$D$2015,"&gt;="&amp;Y71,$D$18:$D$2015,"&lt;"&amp;Y72))</f>
        <v/>
      </c>
      <c r="AA71" s="14" t="n"/>
      <c r="AB71" s="16" t="n"/>
      <c r="AC71" s="124">
        <f>IF(AB71="","",COUNTIFS($C$18:$C$2015,AB$13,$D$18:$D$2015,"&gt;="&amp;AB71,$D$18:$D$2015,"&lt;"&amp;AB72))</f>
        <v/>
      </c>
      <c r="AD71" s="14" t="n"/>
    </row>
    <row r="72">
      <c r="A72" s="56" t="n"/>
      <c r="B72" s="59" t="n"/>
      <c r="C72" s="59" t="n"/>
      <c r="E72" s="16" t="n"/>
      <c r="F72" s="13" t="n"/>
      <c r="G72" s="16" t="n">
        <v>67</v>
      </c>
      <c r="H72" s="124">
        <f>IF(G72="","",COUNTIFS($C$18:$C$2015,G$13,$D$18:$D$2015,"&gt;="&amp;G72,$D$18:$D$2015,"&lt;"&amp;G73))</f>
        <v/>
      </c>
      <c r="I72" s="14" t="n"/>
      <c r="J72" s="16" t="n"/>
      <c r="K72" s="124">
        <f>IF(J72="","",COUNTIFS($C$18:$C$2015,J$13,$D$18:$D$2015,"&gt;="&amp;J72,$D$18:$D$2015,"&lt;"&amp;J73))</f>
        <v/>
      </c>
      <c r="L72" s="14" t="n"/>
      <c r="M72" s="16" t="n"/>
      <c r="N72" s="124">
        <f>IF(M72="","",COUNTIFS($C$18:$C$2015,M$13,$D$18:$D$2015,"&gt;="&amp;M72,$D$18:$D$2015,"&lt;"&amp;M73))</f>
        <v/>
      </c>
      <c r="O72" s="14" t="n"/>
      <c r="P72" s="16" t="n">
        <v>67</v>
      </c>
      <c r="Q72" s="124">
        <f>IF(P72="","",COUNTIFS($C$18:$C$2015,P$13,$D$18:$D$2015,"&gt;="&amp;P72,$D$18:$D$2015,"&lt;"&amp;P73))</f>
        <v/>
      </c>
      <c r="R72" s="14" t="n"/>
      <c r="S72" s="16" t="n"/>
      <c r="T72" s="124">
        <f>IF(S72="","",COUNTIFS($C$18:$C$2015,S$13,$D$18:$D$2015,"&gt;="&amp;S72,$D$18:$D$2015,"&lt;"&amp;S73))</f>
        <v/>
      </c>
      <c r="U72" s="14" t="n"/>
      <c r="V72" s="16" t="n"/>
      <c r="W72" s="124">
        <f>IF(V72="","",COUNTIFS($C$18:$C$2015,V$13,$D$18:$D$2015,"&gt;="&amp;V72,$D$18:$D$2015,"&lt;"&amp;V73))</f>
        <v/>
      </c>
      <c r="X72" s="14" t="n"/>
      <c r="Y72" s="16" t="n"/>
      <c r="Z72" s="124">
        <f>IF(Y72="","",COUNTIFS($C$18:$C$2015,Y$13,$D$18:$D$2015,"&gt;="&amp;Y72,$D$18:$D$2015,"&lt;"&amp;Y73))</f>
        <v/>
      </c>
      <c r="AA72" s="14" t="n"/>
      <c r="AB72" s="16" t="n"/>
      <c r="AC72" s="124">
        <f>IF(AB72="","",COUNTIFS($C$18:$C$2015,AB$13,$D$18:$D$2015,"&gt;="&amp;AB72,$D$18:$D$2015,"&lt;"&amp;AB73))</f>
        <v/>
      </c>
      <c r="AD72" s="14" t="n"/>
    </row>
    <row r="73">
      <c r="A73" s="58" t="n"/>
      <c r="B73" s="59" t="n"/>
      <c r="C73" s="59" t="n"/>
      <c r="E73" s="16" t="n"/>
      <c r="F73" s="13" t="n"/>
      <c r="G73" s="16" t="n">
        <v>68</v>
      </c>
      <c r="H73" s="124">
        <f>IF(G73="","",COUNTIFS($C$18:$C$2015,G$13,$D$18:$D$2015,"&gt;="&amp;G73,$D$18:$D$2015,"&lt;"&amp;G74))</f>
        <v/>
      </c>
      <c r="I73" s="14" t="n"/>
      <c r="J73" s="16" t="n"/>
      <c r="K73" s="124">
        <f>IF(J73="","",COUNTIFS($C$18:$C$2015,J$13,$D$18:$D$2015,"&gt;="&amp;J73,$D$18:$D$2015,"&lt;"&amp;J74))</f>
        <v/>
      </c>
      <c r="L73" s="14" t="n"/>
      <c r="M73" s="16" t="n"/>
      <c r="N73" s="124">
        <f>IF(M73="","",COUNTIFS($C$18:$C$2015,M$13,$D$18:$D$2015,"&gt;="&amp;M73,$D$18:$D$2015,"&lt;"&amp;M74))</f>
        <v/>
      </c>
      <c r="O73" s="14" t="n"/>
      <c r="P73" s="16" t="n">
        <v>68</v>
      </c>
      <c r="Q73" s="124">
        <f>IF(P73="","",COUNTIFS($C$18:$C$2015,P$13,$D$18:$D$2015,"&gt;="&amp;P73,$D$18:$D$2015,"&lt;"&amp;P74))</f>
        <v/>
      </c>
      <c r="R73" s="14" t="n"/>
      <c r="S73" s="16" t="n"/>
      <c r="T73" s="124">
        <f>IF(S73="","",COUNTIFS($C$18:$C$2015,S$13,$D$18:$D$2015,"&gt;="&amp;S73,$D$18:$D$2015,"&lt;"&amp;S74))</f>
        <v/>
      </c>
      <c r="U73" s="14" t="n"/>
      <c r="V73" s="16" t="n"/>
      <c r="W73" s="124">
        <f>IF(V73="","",COUNTIFS($C$18:$C$2015,V$13,$D$18:$D$2015,"&gt;="&amp;V73,$D$18:$D$2015,"&lt;"&amp;V74))</f>
        <v/>
      </c>
      <c r="X73" s="14" t="n"/>
      <c r="Y73" s="16" t="n"/>
      <c r="Z73" s="124">
        <f>IF(Y73="","",COUNTIFS($C$18:$C$2015,Y$13,$D$18:$D$2015,"&gt;="&amp;Y73,$D$18:$D$2015,"&lt;"&amp;Y74))</f>
        <v/>
      </c>
      <c r="AA73" s="14" t="n"/>
      <c r="AB73" s="16" t="n"/>
      <c r="AC73" s="124">
        <f>IF(AB73="","",COUNTIFS($C$18:$C$2015,AB$13,$D$18:$D$2015,"&gt;="&amp;AB73,$D$18:$D$2015,"&lt;"&amp;AB74))</f>
        <v/>
      </c>
      <c r="AD73" s="14" t="n"/>
    </row>
    <row r="74">
      <c r="A74" s="56" t="n"/>
      <c r="B74" s="59" t="n"/>
      <c r="C74" s="59" t="n"/>
      <c r="E74" s="16" t="n"/>
      <c r="F74" s="13" t="n"/>
      <c r="G74" s="16" t="n">
        <v>69</v>
      </c>
      <c r="H74" s="124">
        <f>IF(G74="","",COUNTIFS($C$18:$C$2015,G$13,$D$18:$D$2015,"&gt;="&amp;G74,$D$18:$D$2015,"&lt;"&amp;G75))</f>
        <v/>
      </c>
      <c r="I74" s="14" t="n"/>
      <c r="J74" s="16" t="n"/>
      <c r="K74" s="124">
        <f>IF(J74="","",COUNTIFS($C$18:$C$2015,J$13,$D$18:$D$2015,"&gt;="&amp;J74,$D$18:$D$2015,"&lt;"&amp;J75))</f>
        <v/>
      </c>
      <c r="L74" s="14" t="n"/>
      <c r="M74" s="16" t="n"/>
      <c r="N74" s="124">
        <f>IF(M74="","",COUNTIFS($C$18:$C$2015,M$13,$D$18:$D$2015,"&gt;="&amp;M74,$D$18:$D$2015,"&lt;"&amp;M75))</f>
        <v/>
      </c>
      <c r="O74" s="14" t="n"/>
      <c r="P74" s="16" t="n">
        <v>69</v>
      </c>
      <c r="Q74" s="124">
        <f>IF(P74="","",COUNTIFS($C$18:$C$2015,P$13,$D$18:$D$2015,"&gt;="&amp;P74,$D$18:$D$2015,"&lt;"&amp;P75))</f>
        <v/>
      </c>
      <c r="R74" s="14" t="n"/>
      <c r="S74" s="16" t="n"/>
      <c r="T74" s="124">
        <f>IF(S74="","",COUNTIFS($C$18:$C$2015,S$13,$D$18:$D$2015,"&gt;="&amp;S74,$D$18:$D$2015,"&lt;"&amp;S75))</f>
        <v/>
      </c>
      <c r="U74" s="14" t="n"/>
      <c r="V74" s="16" t="n"/>
      <c r="W74" s="124">
        <f>IF(V74="","",COUNTIFS($C$18:$C$2015,V$13,$D$18:$D$2015,"&gt;="&amp;V74,$D$18:$D$2015,"&lt;"&amp;V75))</f>
        <v/>
      </c>
      <c r="X74" s="14" t="n"/>
      <c r="Y74" s="16" t="n"/>
      <c r="Z74" s="124">
        <f>IF(Y74="","",COUNTIFS($C$18:$C$2015,Y$13,$D$18:$D$2015,"&gt;="&amp;Y74,$D$18:$D$2015,"&lt;"&amp;Y75))</f>
        <v/>
      </c>
      <c r="AA74" s="14" t="n"/>
      <c r="AB74" s="16" t="n"/>
      <c r="AC74" s="124">
        <f>IF(AB74="","",COUNTIFS($C$18:$C$2015,AB$13,$D$18:$D$2015,"&gt;="&amp;AB74,$D$18:$D$2015,"&lt;"&amp;AB75))</f>
        <v/>
      </c>
      <c r="AD74" s="14" t="n"/>
    </row>
    <row r="75">
      <c r="A75" s="58" t="n"/>
      <c r="B75" s="59" t="n"/>
      <c r="C75" s="59" t="n"/>
      <c r="E75" s="16" t="n"/>
      <c r="F75" s="13" t="n"/>
      <c r="G75" s="16" t="n">
        <v>70</v>
      </c>
      <c r="H75" s="124">
        <f>IF(G75="","",COUNTIFS($C$18:$C$2015,G$13,$D$18:$D$2015,"&gt;="&amp;G75,$D$18:$D$2015,"&lt;"&amp;G76))</f>
        <v/>
      </c>
      <c r="I75" s="14" t="n"/>
      <c r="J75" s="16" t="n"/>
      <c r="K75" s="124">
        <f>IF(J75="","",COUNTIFS($C$18:$C$2015,J$13,$D$18:$D$2015,"&gt;="&amp;J75,$D$18:$D$2015,"&lt;"&amp;J76))</f>
        <v/>
      </c>
      <c r="L75" s="14" t="n"/>
      <c r="M75" s="16" t="n"/>
      <c r="N75" s="124">
        <f>IF(M75="","",COUNTIFS($C$18:$C$2015,M$13,$D$18:$D$2015,"&gt;="&amp;M75,$D$18:$D$2015,"&lt;"&amp;M76))</f>
        <v/>
      </c>
      <c r="O75" s="14" t="n"/>
      <c r="P75" s="16" t="n">
        <v>70</v>
      </c>
      <c r="Q75" s="124">
        <f>IF(P75="","",COUNTIFS($C$18:$C$2015,P$13,$D$18:$D$2015,"&gt;="&amp;P75,$D$18:$D$2015,"&lt;"&amp;P76))</f>
        <v/>
      </c>
      <c r="R75" s="14" t="n"/>
      <c r="S75" s="16" t="n"/>
      <c r="T75" s="124">
        <f>IF(S75="","",COUNTIFS($C$18:$C$2015,S$13,$D$18:$D$2015,"&gt;="&amp;S75,$D$18:$D$2015,"&lt;"&amp;S76))</f>
        <v/>
      </c>
      <c r="U75" s="14" t="n"/>
      <c r="V75" s="16" t="n"/>
      <c r="W75" s="124">
        <f>IF(V75="","",COUNTIFS($C$18:$C$2015,V$13,$D$18:$D$2015,"&gt;="&amp;V75,$D$18:$D$2015,"&lt;"&amp;V76))</f>
        <v/>
      </c>
      <c r="X75" s="14" t="n"/>
      <c r="Y75" s="16" t="n"/>
      <c r="Z75" s="124">
        <f>IF(Y75="","",COUNTIFS($C$18:$C$2015,Y$13,$D$18:$D$2015,"&gt;="&amp;Y75,$D$18:$D$2015,"&lt;"&amp;Y76))</f>
        <v/>
      </c>
      <c r="AA75" s="14" t="n"/>
      <c r="AB75" s="16" t="n"/>
      <c r="AC75" s="124">
        <f>IF(AB75="","",COUNTIFS($C$18:$C$2015,AB$13,$D$18:$D$2015,"&gt;="&amp;AB75,$D$18:$D$2015,"&lt;"&amp;AB76))</f>
        <v/>
      </c>
      <c r="AD75" s="14" t="n"/>
    </row>
    <row r="76">
      <c r="A76" s="56" t="n"/>
      <c r="B76" s="59" t="n"/>
      <c r="C76" s="59" t="n"/>
      <c r="E76" s="16" t="n"/>
      <c r="F76" s="13" t="n"/>
      <c r="G76" s="16" t="n">
        <v>71</v>
      </c>
      <c r="H76" s="124">
        <f>IF(G76="","",COUNTIFS($C$18:$C$2015,G$13,$D$18:$D$2015,"&gt;="&amp;G76,$D$18:$D$2015,"&lt;"&amp;G77))</f>
        <v/>
      </c>
      <c r="I76" s="14" t="n"/>
      <c r="J76" s="16" t="n"/>
      <c r="K76" s="124">
        <f>IF(J76="","",COUNTIFS($C$18:$C$2015,J$13,$D$18:$D$2015,"&gt;="&amp;J76,$D$18:$D$2015,"&lt;"&amp;J77))</f>
        <v/>
      </c>
      <c r="L76" s="14" t="n"/>
      <c r="M76" s="16" t="n"/>
      <c r="N76" s="124">
        <f>IF(M76="","",COUNTIFS($C$18:$C$2015,M$13,$D$18:$D$2015,"&gt;="&amp;M76,$D$18:$D$2015,"&lt;"&amp;M77))</f>
        <v/>
      </c>
      <c r="O76" s="14" t="n"/>
      <c r="P76" s="16" t="n">
        <v>71</v>
      </c>
      <c r="Q76" s="124">
        <f>IF(P76="","",COUNTIFS($C$18:$C$2015,P$13,$D$18:$D$2015,"&gt;="&amp;P76,$D$18:$D$2015,"&lt;"&amp;P77))</f>
        <v/>
      </c>
      <c r="R76" s="14" t="n"/>
      <c r="S76" s="16" t="n"/>
      <c r="T76" s="124">
        <f>IF(S76="","",COUNTIFS($C$18:$C$2015,S$13,$D$18:$D$2015,"&gt;="&amp;S76,$D$18:$D$2015,"&lt;"&amp;S77))</f>
        <v/>
      </c>
      <c r="U76" s="14" t="n"/>
      <c r="V76" s="16" t="n"/>
      <c r="W76" s="124">
        <f>IF(V76="","",COUNTIFS($C$18:$C$2015,V$13,$D$18:$D$2015,"&gt;="&amp;V76,$D$18:$D$2015,"&lt;"&amp;V77))</f>
        <v/>
      </c>
      <c r="X76" s="14" t="n"/>
      <c r="Y76" s="16" t="n"/>
      <c r="Z76" s="124">
        <f>IF(Y76="","",COUNTIFS($C$18:$C$2015,Y$13,$D$18:$D$2015,"&gt;="&amp;Y76,$D$18:$D$2015,"&lt;"&amp;Y77))</f>
        <v/>
      </c>
      <c r="AA76" s="14" t="n"/>
      <c r="AB76" s="16" t="n"/>
      <c r="AC76" s="124">
        <f>IF(AB76="","",COUNTIFS($C$18:$C$2015,AB$13,$D$18:$D$2015,"&gt;="&amp;AB76,$D$18:$D$2015,"&lt;"&amp;AB77))</f>
        <v/>
      </c>
      <c r="AD76" s="14" t="n"/>
    </row>
    <row r="77">
      <c r="A77" s="58" t="n"/>
      <c r="B77" s="59" t="n"/>
      <c r="C77" s="59" t="n"/>
      <c r="E77" s="16" t="n"/>
      <c r="F77" s="13" t="n"/>
      <c r="G77" s="16" t="n">
        <v>72</v>
      </c>
      <c r="H77" s="124">
        <f>IF(G77="","",COUNTIFS($C$18:$C$2015,G$13,$D$18:$D$2015,"&gt;="&amp;G77,$D$18:$D$2015,"&lt;"&amp;G78))</f>
        <v/>
      </c>
      <c r="I77" s="14" t="n"/>
      <c r="J77" s="16" t="n"/>
      <c r="K77" s="124">
        <f>IF(J77="","",COUNTIFS($C$18:$C$2015,J$13,$D$18:$D$2015,"&gt;="&amp;J77,$D$18:$D$2015,"&lt;"&amp;J78))</f>
        <v/>
      </c>
      <c r="L77" s="14" t="n"/>
      <c r="M77" s="16" t="n"/>
      <c r="N77" s="124">
        <f>IF(M77="","",COUNTIFS($C$18:$C$2015,M$13,$D$18:$D$2015,"&gt;="&amp;M77,$D$18:$D$2015,"&lt;"&amp;M78))</f>
        <v/>
      </c>
      <c r="O77" s="14" t="n"/>
      <c r="P77" s="16" t="n">
        <v>72</v>
      </c>
      <c r="Q77" s="124">
        <f>IF(P77="","",COUNTIFS($C$18:$C$2015,P$13,$D$18:$D$2015,"&gt;="&amp;P77,$D$18:$D$2015,"&lt;"&amp;P78))</f>
        <v/>
      </c>
      <c r="R77" s="14" t="n"/>
      <c r="S77" s="16" t="n"/>
      <c r="T77" s="124">
        <f>IF(S77="","",COUNTIFS($C$18:$C$2015,S$13,$D$18:$D$2015,"&gt;="&amp;S77,$D$18:$D$2015,"&lt;"&amp;S78))</f>
        <v/>
      </c>
      <c r="U77" s="14" t="n"/>
      <c r="V77" s="16" t="n"/>
      <c r="W77" s="124">
        <f>IF(V77="","",COUNTIFS($C$18:$C$2015,V$13,$D$18:$D$2015,"&gt;="&amp;V77,$D$18:$D$2015,"&lt;"&amp;V78))</f>
        <v/>
      </c>
      <c r="X77" s="14" t="n"/>
      <c r="Y77" s="16" t="n"/>
      <c r="Z77" s="124">
        <f>IF(Y77="","",COUNTIFS($C$18:$C$2015,Y$13,$D$18:$D$2015,"&gt;="&amp;Y77,$D$18:$D$2015,"&lt;"&amp;Y78))</f>
        <v/>
      </c>
      <c r="AA77" s="14" t="n"/>
      <c r="AB77" s="16" t="n"/>
      <c r="AC77" s="124">
        <f>IF(AB77="","",COUNTIFS($C$18:$C$2015,AB$13,$D$18:$D$2015,"&gt;="&amp;AB77,$D$18:$D$2015,"&lt;"&amp;AB78))</f>
        <v/>
      </c>
      <c r="AD77" s="14" t="n"/>
    </row>
    <row r="78">
      <c r="A78" s="56" t="n"/>
      <c r="B78" s="59" t="n"/>
      <c r="C78" s="59" t="n"/>
      <c r="E78" s="16" t="n"/>
      <c r="F78" s="13" t="n"/>
      <c r="G78" s="16" t="n">
        <v>73</v>
      </c>
      <c r="H78" s="124">
        <f>IF(G78="","",COUNTIFS($C$18:$C$2015,G$13,$D$18:$D$2015,"&gt;="&amp;G78,$D$18:$D$2015,"&lt;"&amp;G79))</f>
        <v/>
      </c>
      <c r="I78" s="14" t="n"/>
      <c r="J78" s="16" t="n"/>
      <c r="K78" s="124">
        <f>IF(J78="","",COUNTIFS($C$18:$C$2015,J$13,$D$18:$D$2015,"&gt;="&amp;J78,$D$18:$D$2015,"&lt;"&amp;J79))</f>
        <v/>
      </c>
      <c r="L78" s="14" t="n"/>
      <c r="M78" s="16" t="n"/>
      <c r="N78" s="124">
        <f>IF(M78="","",COUNTIFS($C$18:$C$2015,M$13,$D$18:$D$2015,"&gt;="&amp;M78,$D$18:$D$2015,"&lt;"&amp;M79))</f>
        <v/>
      </c>
      <c r="O78" s="14" t="n"/>
      <c r="P78" s="16" t="n">
        <v>73</v>
      </c>
      <c r="Q78" s="124">
        <f>IF(P78="","",COUNTIFS($C$18:$C$2015,P$13,$D$18:$D$2015,"&gt;="&amp;P78,$D$18:$D$2015,"&lt;"&amp;P79))</f>
        <v/>
      </c>
      <c r="R78" s="14" t="n"/>
      <c r="S78" s="16" t="n"/>
      <c r="T78" s="124">
        <f>IF(S78="","",COUNTIFS($C$18:$C$2015,S$13,$D$18:$D$2015,"&gt;="&amp;S78,$D$18:$D$2015,"&lt;"&amp;S79))</f>
        <v/>
      </c>
      <c r="U78" s="14" t="n"/>
      <c r="V78" s="16" t="n"/>
      <c r="W78" s="124">
        <f>IF(V78="","",COUNTIFS($C$18:$C$2015,V$13,$D$18:$D$2015,"&gt;="&amp;V78,$D$18:$D$2015,"&lt;"&amp;V79))</f>
        <v/>
      </c>
      <c r="X78" s="14" t="n"/>
      <c r="Y78" s="16" t="n"/>
      <c r="Z78" s="124">
        <f>IF(Y78="","",COUNTIFS($C$18:$C$2015,Y$13,$D$18:$D$2015,"&gt;="&amp;Y78,$D$18:$D$2015,"&lt;"&amp;Y79))</f>
        <v/>
      </c>
      <c r="AA78" s="14" t="n"/>
      <c r="AB78" s="16" t="n"/>
      <c r="AC78" s="124">
        <f>IF(AB78="","",COUNTIFS($C$18:$C$2015,AB$13,$D$18:$D$2015,"&gt;="&amp;AB78,$D$18:$D$2015,"&lt;"&amp;AB79))</f>
        <v/>
      </c>
      <c r="AD78" s="14" t="n"/>
    </row>
    <row r="79">
      <c r="A79" s="58" t="n"/>
      <c r="B79" s="59" t="n"/>
      <c r="C79" s="59" t="n"/>
      <c r="E79" s="16" t="n"/>
      <c r="F79" s="13" t="n"/>
      <c r="G79" s="16" t="n">
        <v>74</v>
      </c>
      <c r="H79" s="124">
        <f>IF(G79="","",COUNTIFS($C$18:$C$2015,G$13,$D$18:$D$2015,"&gt;="&amp;G79,$D$18:$D$2015,"&lt;"&amp;G80))</f>
        <v/>
      </c>
      <c r="I79" s="14" t="n"/>
      <c r="J79" s="16" t="n"/>
      <c r="K79" s="124">
        <f>IF(J79="","",COUNTIFS($C$18:$C$2015,J$13,$D$18:$D$2015,"&gt;="&amp;J79,$D$18:$D$2015,"&lt;"&amp;J80))</f>
        <v/>
      </c>
      <c r="L79" s="14" t="n"/>
      <c r="M79" s="16" t="n"/>
      <c r="N79" s="124">
        <f>IF(M79="","",COUNTIFS($C$18:$C$2015,M$13,$D$18:$D$2015,"&gt;="&amp;M79,$D$18:$D$2015,"&lt;"&amp;M80))</f>
        <v/>
      </c>
      <c r="O79" s="14" t="n"/>
      <c r="P79" s="16" t="n">
        <v>74</v>
      </c>
      <c r="Q79" s="124">
        <f>IF(P79="","",COUNTIFS($C$18:$C$2015,P$13,$D$18:$D$2015,"&gt;="&amp;P79,$D$18:$D$2015,"&lt;"&amp;P80))</f>
        <v/>
      </c>
      <c r="R79" s="14" t="n"/>
      <c r="S79" s="16" t="n"/>
      <c r="T79" s="124">
        <f>IF(S79="","",COUNTIFS($C$18:$C$2015,S$13,$D$18:$D$2015,"&gt;="&amp;S79,$D$18:$D$2015,"&lt;"&amp;S80))</f>
        <v/>
      </c>
      <c r="U79" s="14" t="n"/>
      <c r="V79" s="16" t="n"/>
      <c r="W79" s="124">
        <f>IF(V79="","",COUNTIFS($C$18:$C$2015,V$13,$D$18:$D$2015,"&gt;="&amp;V79,$D$18:$D$2015,"&lt;"&amp;V80))</f>
        <v/>
      </c>
      <c r="X79" s="14" t="n"/>
      <c r="Y79" s="16" t="n"/>
      <c r="Z79" s="124">
        <f>IF(Y79="","",COUNTIFS($C$18:$C$2015,Y$13,$D$18:$D$2015,"&gt;="&amp;Y79,$D$18:$D$2015,"&lt;"&amp;Y80))</f>
        <v/>
      </c>
      <c r="AA79" s="14" t="n"/>
      <c r="AB79" s="16" t="n"/>
      <c r="AC79" s="124">
        <f>IF(AB79="","",COUNTIFS($C$18:$C$2015,AB$13,$D$18:$D$2015,"&gt;="&amp;AB79,$D$18:$D$2015,"&lt;"&amp;AB80))</f>
        <v/>
      </c>
      <c r="AD79" s="14" t="n"/>
    </row>
    <row r="80">
      <c r="A80" s="56" t="n"/>
      <c r="B80" s="59" t="n"/>
      <c r="C80" s="59" t="n"/>
      <c r="E80" s="16" t="n"/>
      <c r="F80" s="13" t="n"/>
      <c r="G80" s="16" t="n">
        <v>75</v>
      </c>
      <c r="H80" s="124">
        <f>IF(G80="","",COUNTIFS($C$18:$C$2015,G$13,$D$18:$D$2015,"&gt;="&amp;G80,$D$18:$D$2015,"&lt;"&amp;G81))</f>
        <v/>
      </c>
      <c r="I80" s="14" t="n"/>
      <c r="J80" s="16" t="n"/>
      <c r="K80" s="124">
        <f>IF(J80="","",COUNTIFS($C$18:$C$2015,J$13,$D$18:$D$2015,"&gt;="&amp;J80,$D$18:$D$2015,"&lt;"&amp;J81))</f>
        <v/>
      </c>
      <c r="L80" s="14" t="n"/>
      <c r="M80" s="16" t="n"/>
      <c r="N80" s="124">
        <f>IF(M80="","",COUNTIFS($C$18:$C$2015,M$13,$D$18:$D$2015,"&gt;="&amp;M80,$D$18:$D$2015,"&lt;"&amp;M81))</f>
        <v/>
      </c>
      <c r="O80" s="14" t="n"/>
      <c r="P80" s="16" t="n">
        <v>75</v>
      </c>
      <c r="Q80" s="124">
        <f>IF(P80="","",COUNTIFS($C$18:$C$2015,P$13,$D$18:$D$2015,"&gt;="&amp;P80,$D$18:$D$2015,"&lt;"&amp;P81))</f>
        <v/>
      </c>
      <c r="R80" s="14" t="n"/>
      <c r="S80" s="16" t="n"/>
      <c r="T80" s="124">
        <f>IF(S80="","",COUNTIFS($C$18:$C$2015,S$13,$D$18:$D$2015,"&gt;="&amp;S80,$D$18:$D$2015,"&lt;"&amp;S81))</f>
        <v/>
      </c>
      <c r="U80" s="14" t="n"/>
      <c r="V80" s="16" t="n"/>
      <c r="W80" s="124">
        <f>IF(V80="","",COUNTIFS($C$18:$C$2015,V$13,$D$18:$D$2015,"&gt;="&amp;V80,$D$18:$D$2015,"&lt;"&amp;V81))</f>
        <v/>
      </c>
      <c r="X80" s="14" t="n"/>
      <c r="Y80" s="16" t="n"/>
      <c r="Z80" s="124">
        <f>IF(Y80="","",COUNTIFS($C$18:$C$2015,Y$13,$D$18:$D$2015,"&gt;="&amp;Y80,$D$18:$D$2015,"&lt;"&amp;Y81))</f>
        <v/>
      </c>
      <c r="AA80" s="14" t="n"/>
      <c r="AB80" s="16" t="n"/>
      <c r="AC80" s="124">
        <f>IF(AB80="","",COUNTIFS($C$18:$C$2015,AB$13,$D$18:$D$2015,"&gt;="&amp;AB80,$D$18:$D$2015,"&lt;"&amp;AB81))</f>
        <v/>
      </c>
      <c r="AD80" s="14" t="n"/>
    </row>
    <row r="81">
      <c r="A81" s="58" t="n"/>
      <c r="B81" s="59" t="n"/>
      <c r="C81" s="59" t="n"/>
      <c r="E81" s="16" t="n"/>
      <c r="F81" s="13" t="n"/>
      <c r="G81" s="16" t="n">
        <v>76</v>
      </c>
      <c r="H81" s="124">
        <f>IF(G81="","",COUNTIFS($C$18:$C$2015,G$13,$D$18:$D$2015,"&gt;="&amp;G81,$D$18:$D$2015,"&lt;"&amp;G82))</f>
        <v/>
      </c>
      <c r="I81" s="14" t="n"/>
      <c r="J81" s="16" t="n"/>
      <c r="K81" s="124">
        <f>IF(J81="","",COUNTIFS($C$18:$C$2015,J$13,$D$18:$D$2015,"&gt;="&amp;J81,$D$18:$D$2015,"&lt;"&amp;J82))</f>
        <v/>
      </c>
      <c r="L81" s="14" t="n"/>
      <c r="M81" s="16" t="n"/>
      <c r="N81" s="124">
        <f>IF(M81="","",COUNTIFS($C$18:$C$2015,M$13,$D$18:$D$2015,"&gt;="&amp;M81,$D$18:$D$2015,"&lt;"&amp;M82))</f>
        <v/>
      </c>
      <c r="O81" s="14" t="n"/>
      <c r="P81" s="16" t="n">
        <v>76</v>
      </c>
      <c r="Q81" s="124">
        <f>IF(P81="","",COUNTIFS($C$18:$C$2015,P$13,$D$18:$D$2015,"&gt;="&amp;P81,$D$18:$D$2015,"&lt;"&amp;P82))</f>
        <v/>
      </c>
      <c r="R81" s="14" t="n"/>
      <c r="S81" s="16" t="n"/>
      <c r="T81" s="124">
        <f>IF(S81="","",COUNTIFS($C$18:$C$2015,S$13,$D$18:$D$2015,"&gt;="&amp;S81,$D$18:$D$2015,"&lt;"&amp;S82))</f>
        <v/>
      </c>
      <c r="U81" s="14" t="n"/>
      <c r="V81" s="16" t="n"/>
      <c r="W81" s="124">
        <f>IF(V81="","",COUNTIFS($C$18:$C$2015,V$13,$D$18:$D$2015,"&gt;="&amp;V81,$D$18:$D$2015,"&lt;"&amp;V82))</f>
        <v/>
      </c>
      <c r="X81" s="14" t="n"/>
      <c r="Y81" s="16" t="n"/>
      <c r="Z81" s="124">
        <f>IF(Y81="","",COUNTIFS($C$18:$C$2015,Y$13,$D$18:$D$2015,"&gt;="&amp;Y81,$D$18:$D$2015,"&lt;"&amp;Y82))</f>
        <v/>
      </c>
      <c r="AA81" s="14" t="n"/>
      <c r="AB81" s="16" t="n"/>
      <c r="AC81" s="124">
        <f>IF(AB81="","",COUNTIFS($C$18:$C$2015,AB$13,$D$18:$D$2015,"&gt;="&amp;AB81,$D$18:$D$2015,"&lt;"&amp;AB82))</f>
        <v/>
      </c>
      <c r="AD81" s="14" t="n"/>
    </row>
    <row r="82">
      <c r="A82" s="56" t="n"/>
      <c r="B82" s="59" t="n"/>
      <c r="C82" s="59" t="n"/>
      <c r="E82" s="16" t="n"/>
      <c r="F82" s="13" t="n"/>
      <c r="G82" s="16" t="n">
        <v>77</v>
      </c>
      <c r="H82" s="124">
        <f>IF(G82="","",COUNTIFS($C$18:$C$2015,G$13,$D$18:$D$2015,"&gt;="&amp;G82,$D$18:$D$2015,"&lt;"&amp;G83))</f>
        <v/>
      </c>
      <c r="I82" s="14" t="n"/>
      <c r="J82" s="16" t="n"/>
      <c r="K82" s="124">
        <f>IF(J82="","",COUNTIFS($C$18:$C$2015,J$13,$D$18:$D$2015,"&gt;="&amp;J82,$D$18:$D$2015,"&lt;"&amp;J83))</f>
        <v/>
      </c>
      <c r="L82" s="14" t="n"/>
      <c r="M82" s="16" t="n"/>
      <c r="N82" s="124">
        <f>IF(M82="","",COUNTIFS($C$18:$C$2015,M$13,$D$18:$D$2015,"&gt;="&amp;M82,$D$18:$D$2015,"&lt;"&amp;M83))</f>
        <v/>
      </c>
      <c r="O82" s="14" t="n"/>
      <c r="P82" s="16" t="n">
        <v>77</v>
      </c>
      <c r="Q82" s="124">
        <f>IF(P82="","",COUNTIFS($C$18:$C$2015,P$13,$D$18:$D$2015,"&gt;="&amp;P82,$D$18:$D$2015,"&lt;"&amp;P83))</f>
        <v/>
      </c>
      <c r="R82" s="14" t="n"/>
      <c r="S82" s="16" t="n"/>
      <c r="T82" s="124">
        <f>IF(S82="","",COUNTIFS($C$18:$C$2015,S$13,$D$18:$D$2015,"&gt;="&amp;S82,$D$18:$D$2015,"&lt;"&amp;S83))</f>
        <v/>
      </c>
      <c r="U82" s="14" t="n"/>
      <c r="V82" s="16" t="n"/>
      <c r="W82" s="124">
        <f>IF(V82="","",COUNTIFS($C$18:$C$2015,V$13,$D$18:$D$2015,"&gt;="&amp;V82,$D$18:$D$2015,"&lt;"&amp;V83))</f>
        <v/>
      </c>
      <c r="X82" s="14" t="n"/>
      <c r="Y82" s="16" t="n"/>
      <c r="Z82" s="124">
        <f>IF(Y82="","",COUNTIFS($C$18:$C$2015,Y$13,$D$18:$D$2015,"&gt;="&amp;Y82,$D$18:$D$2015,"&lt;"&amp;Y83))</f>
        <v/>
      </c>
      <c r="AA82" s="14" t="n"/>
      <c r="AB82" s="16" t="n"/>
      <c r="AC82" s="124">
        <f>IF(AB82="","",COUNTIFS($C$18:$C$2015,AB$13,$D$18:$D$2015,"&gt;="&amp;AB82,$D$18:$D$2015,"&lt;"&amp;AB83))</f>
        <v/>
      </c>
      <c r="AD82" s="14" t="n"/>
    </row>
    <row r="83">
      <c r="A83" s="58" t="n"/>
      <c r="B83" s="59" t="n"/>
      <c r="C83" s="59" t="n"/>
      <c r="E83" s="16" t="n"/>
      <c r="F83" s="13" t="n"/>
      <c r="G83" s="16" t="n">
        <v>78</v>
      </c>
      <c r="H83" s="124">
        <f>IF(G83="","",COUNTIFS($C$18:$C$2015,G$13,$D$18:$D$2015,"&gt;="&amp;G83,$D$18:$D$2015,"&lt;"&amp;G84))</f>
        <v/>
      </c>
      <c r="I83" s="14" t="n"/>
      <c r="J83" s="16" t="n"/>
      <c r="K83" s="124">
        <f>IF(J83="","",COUNTIFS($C$18:$C$2015,J$13,$D$18:$D$2015,"&gt;="&amp;J83,$D$18:$D$2015,"&lt;"&amp;J84))</f>
        <v/>
      </c>
      <c r="L83" s="14" t="n"/>
      <c r="M83" s="16" t="n"/>
      <c r="N83" s="124">
        <f>IF(M83="","",COUNTIFS($C$18:$C$2015,M$13,$D$18:$D$2015,"&gt;="&amp;M83,$D$18:$D$2015,"&lt;"&amp;M84))</f>
        <v/>
      </c>
      <c r="O83" s="14" t="n"/>
      <c r="P83" s="16" t="n">
        <v>78</v>
      </c>
      <c r="Q83" s="124">
        <f>IF(P83="","",COUNTIFS($C$18:$C$2015,P$13,$D$18:$D$2015,"&gt;="&amp;P83,$D$18:$D$2015,"&lt;"&amp;P84))</f>
        <v/>
      </c>
      <c r="R83" s="14" t="n"/>
      <c r="S83" s="16" t="n"/>
      <c r="T83" s="124">
        <f>IF(S83="","",COUNTIFS($C$18:$C$2015,S$13,$D$18:$D$2015,"&gt;="&amp;S83,$D$18:$D$2015,"&lt;"&amp;S84))</f>
        <v/>
      </c>
      <c r="U83" s="14" t="n"/>
      <c r="V83" s="16" t="n"/>
      <c r="W83" s="124">
        <f>IF(V83="","",COUNTIFS($C$18:$C$2015,V$13,$D$18:$D$2015,"&gt;="&amp;V83,$D$18:$D$2015,"&lt;"&amp;V84))</f>
        <v/>
      </c>
      <c r="X83" s="14" t="n"/>
      <c r="Y83" s="16" t="n"/>
      <c r="Z83" s="124">
        <f>IF(Y83="","",COUNTIFS($C$18:$C$2015,Y$13,$D$18:$D$2015,"&gt;="&amp;Y83,$D$18:$D$2015,"&lt;"&amp;Y84))</f>
        <v/>
      </c>
      <c r="AA83" s="14" t="n"/>
      <c r="AB83" s="16" t="n"/>
      <c r="AC83" s="124">
        <f>IF(AB83="","",COUNTIFS($C$18:$C$2015,AB$13,$D$18:$D$2015,"&gt;="&amp;AB83,$D$18:$D$2015,"&lt;"&amp;AB84))</f>
        <v/>
      </c>
      <c r="AD83" s="14" t="n"/>
    </row>
    <row r="84">
      <c r="A84" s="56" t="n"/>
      <c r="B84" s="59" t="n"/>
      <c r="C84" s="59" t="n"/>
      <c r="E84" s="16" t="n"/>
      <c r="F84" s="13" t="n"/>
      <c r="G84" s="16" t="n">
        <v>79</v>
      </c>
      <c r="H84" s="124">
        <f>IF(G84="","",COUNTIFS($C$18:$C$2015,G$13,$D$18:$D$2015,"&gt;="&amp;G84,$D$18:$D$2015,"&lt;"&amp;G85))</f>
        <v/>
      </c>
      <c r="I84" s="14" t="n"/>
      <c r="J84" s="16" t="n"/>
      <c r="K84" s="124">
        <f>IF(J84="","",COUNTIFS($C$18:$C$2015,J$13,$D$18:$D$2015,"&gt;="&amp;J84,$D$18:$D$2015,"&lt;"&amp;J85))</f>
        <v/>
      </c>
      <c r="L84" s="14" t="n"/>
      <c r="M84" s="16" t="n"/>
      <c r="N84" s="124">
        <f>IF(M84="","",COUNTIFS($C$18:$C$2015,M$13,$D$18:$D$2015,"&gt;="&amp;M84,$D$18:$D$2015,"&lt;"&amp;M85))</f>
        <v/>
      </c>
      <c r="O84" s="14" t="n"/>
      <c r="P84" s="16" t="n">
        <v>79</v>
      </c>
      <c r="Q84" s="124">
        <f>IF(P84="","",COUNTIFS($C$18:$C$2015,P$13,$D$18:$D$2015,"&gt;="&amp;P84,$D$18:$D$2015,"&lt;"&amp;P85))</f>
        <v/>
      </c>
      <c r="R84" s="14" t="n"/>
      <c r="S84" s="16" t="n"/>
      <c r="T84" s="124">
        <f>IF(S84="","",COUNTIFS($C$18:$C$2015,S$13,$D$18:$D$2015,"&gt;="&amp;S84,$D$18:$D$2015,"&lt;"&amp;S85))</f>
        <v/>
      </c>
      <c r="U84" s="14" t="n"/>
      <c r="V84" s="16" t="n"/>
      <c r="W84" s="124">
        <f>IF(V84="","",COUNTIFS($C$18:$C$2015,V$13,$D$18:$D$2015,"&gt;="&amp;V84,$D$18:$D$2015,"&lt;"&amp;V85))</f>
        <v/>
      </c>
      <c r="X84" s="14" t="n"/>
      <c r="Y84" s="16" t="n"/>
      <c r="Z84" s="124">
        <f>IF(Y84="","",COUNTIFS($C$18:$C$2015,Y$13,$D$18:$D$2015,"&gt;="&amp;Y84,$D$18:$D$2015,"&lt;"&amp;Y85))</f>
        <v/>
      </c>
      <c r="AA84" s="14" t="n"/>
      <c r="AB84" s="16" t="n"/>
      <c r="AC84" s="124">
        <f>IF(AB84="","",COUNTIFS($C$18:$C$2015,AB$13,$D$18:$D$2015,"&gt;="&amp;AB84,$D$18:$D$2015,"&lt;"&amp;AB85))</f>
        <v/>
      </c>
      <c r="AD84" s="14" t="n"/>
    </row>
    <row r="85">
      <c r="A85" s="58" t="n"/>
      <c r="B85" s="59" t="n"/>
      <c r="C85" s="59" t="n"/>
      <c r="E85" s="16" t="n"/>
      <c r="F85" s="13" t="n"/>
      <c r="G85" s="16" t="n">
        <v>80</v>
      </c>
      <c r="H85" s="124">
        <f>IF(G85="","",COUNTIFS($C$18:$C$2015,G$13,$D$18:$D$2015,"&gt;="&amp;G85,$D$18:$D$2015,"&lt;"&amp;G86))</f>
        <v/>
      </c>
      <c r="I85" s="14" t="n"/>
      <c r="J85" s="16" t="n"/>
      <c r="K85" s="124">
        <f>IF(J85="","",COUNTIFS($C$18:$C$2015,J$13,$D$18:$D$2015,"&gt;="&amp;J85,$D$18:$D$2015,"&lt;"&amp;J86))</f>
        <v/>
      </c>
      <c r="L85" s="14" t="n"/>
      <c r="M85" s="16" t="n"/>
      <c r="N85" s="124">
        <f>IF(M85="","",COUNTIFS($C$18:$C$2015,M$13,$D$18:$D$2015,"&gt;="&amp;M85,$D$18:$D$2015,"&lt;"&amp;M86))</f>
        <v/>
      </c>
      <c r="O85" s="14" t="n"/>
      <c r="P85" s="16" t="n">
        <v>80</v>
      </c>
      <c r="Q85" s="124">
        <f>IF(P85="","",COUNTIFS($C$18:$C$2015,P$13,$D$18:$D$2015,"&gt;="&amp;P85,$D$18:$D$2015,"&lt;"&amp;P86))</f>
        <v/>
      </c>
      <c r="R85" s="14" t="n"/>
      <c r="S85" s="16" t="n"/>
      <c r="T85" s="124">
        <f>IF(S85="","",COUNTIFS($C$18:$C$2015,S$13,$D$18:$D$2015,"&gt;="&amp;S85,$D$18:$D$2015,"&lt;"&amp;S86))</f>
        <v/>
      </c>
      <c r="U85" s="14" t="n"/>
      <c r="V85" s="16" t="n"/>
      <c r="W85" s="124">
        <f>IF(V85="","",COUNTIFS($C$18:$C$2015,V$13,$D$18:$D$2015,"&gt;="&amp;V85,$D$18:$D$2015,"&lt;"&amp;V86))</f>
        <v/>
      </c>
      <c r="X85" s="14" t="n"/>
      <c r="Y85" s="16" t="n"/>
      <c r="Z85" s="124">
        <f>IF(Y85="","",COUNTIFS($C$18:$C$2015,Y$13,$D$18:$D$2015,"&gt;="&amp;Y85,$D$18:$D$2015,"&lt;"&amp;Y86))</f>
        <v/>
      </c>
      <c r="AA85" s="14" t="n"/>
      <c r="AB85" s="16" t="n"/>
      <c r="AC85" s="124">
        <f>IF(AB85="","",COUNTIFS($C$18:$C$2015,AB$13,$D$18:$D$2015,"&gt;="&amp;AB85,$D$18:$D$2015,"&lt;"&amp;AB86))</f>
        <v/>
      </c>
      <c r="AD85" s="14" t="n"/>
    </row>
    <row r="86">
      <c r="A86" s="56" t="n"/>
      <c r="B86" s="59" t="n"/>
      <c r="C86" s="59" t="n"/>
      <c r="E86" s="16" t="n"/>
      <c r="F86" s="13" t="n"/>
      <c r="G86" s="16" t="n"/>
      <c r="H86" s="124">
        <f>IF(G86="","",COUNTIFS($C$18:$C$2015,G$13,$D$18:$D$2015,"&gt;="&amp;G86,$D$18:$D$2015,"&lt;"&amp;G87))</f>
        <v/>
      </c>
      <c r="I86" s="14" t="n"/>
      <c r="J86" s="16" t="n"/>
      <c r="K86" s="124">
        <f>IF(J86="","",COUNTIFS($C$18:$C$2015,J$13,$D$18:$D$2015,"&gt;="&amp;J86,$D$18:$D$2015,"&lt;"&amp;J87))</f>
        <v/>
      </c>
      <c r="L86" s="14" t="n"/>
      <c r="M86" s="16" t="n"/>
      <c r="N86" s="124">
        <f>IF(M86="","",COUNTIFS($C$18:$C$2015,M$13,$D$18:$D$2015,"&gt;="&amp;M86,$D$18:$D$2015,"&lt;"&amp;M87))</f>
        <v/>
      </c>
      <c r="O86" s="14" t="n"/>
      <c r="P86" s="16" t="n"/>
      <c r="Q86" s="124">
        <f>IF(P86="","",COUNTIFS($C$18:$C$2015,P$13,$D$18:$D$2015,"&gt;="&amp;P86,$D$18:$D$2015,"&lt;"&amp;P87))</f>
        <v/>
      </c>
      <c r="R86" s="14" t="n"/>
      <c r="S86" s="16" t="n"/>
      <c r="T86" s="124">
        <f>IF(S86="","",COUNTIFS($C$18:$C$2015,S$13,$D$18:$D$2015,"&gt;="&amp;S86,$D$18:$D$2015,"&lt;"&amp;S87))</f>
        <v/>
      </c>
      <c r="U86" s="14" t="n"/>
      <c r="V86" s="16" t="n"/>
      <c r="W86" s="124">
        <f>IF(V86="","",COUNTIFS($C$18:$C$2015,V$13,$D$18:$D$2015,"&gt;="&amp;V86,$D$18:$D$2015,"&lt;"&amp;V87))</f>
        <v/>
      </c>
      <c r="X86" s="14" t="n"/>
      <c r="Y86" s="16" t="n"/>
      <c r="Z86" s="124">
        <f>IF(Y86="","",COUNTIFS($C$18:$C$2015,Y$13,$D$18:$D$2015,"&gt;="&amp;Y86,$D$18:$D$2015,"&lt;"&amp;Y87))</f>
        <v/>
      </c>
      <c r="AA86" s="14" t="n"/>
      <c r="AB86" s="16" t="n"/>
      <c r="AC86" s="124">
        <f>IF(AB86="","",COUNTIFS($C$18:$C$2015,AB$13,$D$18:$D$2015,"&gt;="&amp;AB86,$D$18:$D$2015,"&lt;"&amp;AB87))</f>
        <v/>
      </c>
      <c r="AD86" s="14" t="n"/>
    </row>
    <row r="87">
      <c r="A87" s="58" t="n"/>
      <c r="B87" s="59" t="n"/>
      <c r="C87" s="59" t="n"/>
      <c r="E87" s="16" t="n"/>
      <c r="F87" s="13" t="n"/>
      <c r="G87" s="16" t="n"/>
      <c r="H87" s="124">
        <f>IF(G87="","",COUNTIFS($C$18:$C$2015,G$13,$D$18:$D$2015,"&gt;="&amp;G87,$D$18:$D$2015,"&lt;"&amp;G88))</f>
        <v/>
      </c>
      <c r="I87" s="14" t="n"/>
      <c r="J87" s="16" t="n"/>
      <c r="K87" s="124">
        <f>IF(J87="","",COUNTIFS($C$18:$C$2015,J$13,$D$18:$D$2015,"&gt;="&amp;J87,$D$18:$D$2015,"&lt;"&amp;J88))</f>
        <v/>
      </c>
      <c r="L87" s="14" t="n"/>
      <c r="M87" s="16" t="n"/>
      <c r="N87" s="124">
        <f>IF(M87="","",COUNTIFS($C$18:$C$2015,M$13,$D$18:$D$2015,"&gt;="&amp;M87,$D$18:$D$2015,"&lt;"&amp;M88))</f>
        <v/>
      </c>
      <c r="O87" s="14" t="n"/>
      <c r="P87" s="16" t="n"/>
      <c r="Q87" s="124">
        <f>IF(P87="","",COUNTIFS($C$18:$C$2015,P$13,$D$18:$D$2015,"&gt;="&amp;P87,$D$18:$D$2015,"&lt;"&amp;P88))</f>
        <v/>
      </c>
      <c r="R87" s="14" t="n"/>
      <c r="S87" s="16" t="n"/>
      <c r="T87" s="124">
        <f>IF(S87="","",COUNTIFS($C$18:$C$2015,S$13,$D$18:$D$2015,"&gt;="&amp;S87,$D$18:$D$2015,"&lt;"&amp;S88))</f>
        <v/>
      </c>
      <c r="U87" s="14" t="n"/>
      <c r="V87" s="16" t="n"/>
      <c r="W87" s="124">
        <f>IF(V87="","",COUNTIFS($C$18:$C$2015,V$13,$D$18:$D$2015,"&gt;="&amp;V87,$D$18:$D$2015,"&lt;"&amp;V88))</f>
        <v/>
      </c>
      <c r="X87" s="14" t="n"/>
      <c r="Y87" s="16" t="n"/>
      <c r="Z87" s="124">
        <f>IF(Y87="","",COUNTIFS($C$18:$C$2015,Y$13,$D$18:$D$2015,"&gt;="&amp;Y87,$D$18:$D$2015,"&lt;"&amp;Y88))</f>
        <v/>
      </c>
      <c r="AA87" s="14" t="n"/>
      <c r="AB87" s="16" t="n"/>
      <c r="AC87" s="124">
        <f>IF(AB87="","",COUNTIFS($C$18:$C$2015,AB$13,$D$18:$D$2015,"&gt;="&amp;AB87,$D$18:$D$2015,"&lt;"&amp;AB88))</f>
        <v/>
      </c>
      <c r="AD87" s="14" t="n"/>
    </row>
    <row r="88">
      <c r="A88" s="56" t="n"/>
      <c r="B88" s="59" t="n"/>
      <c r="C88" s="59" t="n"/>
      <c r="E88" s="16" t="n"/>
      <c r="F88" s="13" t="n"/>
      <c r="G88" s="16" t="n"/>
      <c r="H88" s="124">
        <f>IF(G88="","",COUNTIFS($C$18:$C$2015,G$13,$D$18:$D$2015,"&gt;="&amp;G88,$D$18:$D$2015,"&lt;"&amp;G89))</f>
        <v/>
      </c>
      <c r="I88" s="14" t="n"/>
      <c r="J88" s="16" t="n"/>
      <c r="K88" s="124">
        <f>IF(J88="","",COUNTIFS($C$18:$C$2015,J$13,$D$18:$D$2015,"&gt;="&amp;J88,$D$18:$D$2015,"&lt;"&amp;J89))</f>
        <v/>
      </c>
      <c r="L88" s="14" t="n"/>
      <c r="M88" s="16" t="n"/>
      <c r="N88" s="124">
        <f>IF(M88="","",COUNTIFS($C$18:$C$2015,M$13,$D$18:$D$2015,"&gt;="&amp;M88,$D$18:$D$2015,"&lt;"&amp;M89))</f>
        <v/>
      </c>
      <c r="O88" s="14" t="n"/>
      <c r="P88" s="16" t="n"/>
      <c r="Q88" s="124">
        <f>IF(P88="","",COUNTIFS($C$18:$C$2015,P$13,$D$18:$D$2015,"&gt;="&amp;P88,$D$18:$D$2015,"&lt;"&amp;P89))</f>
        <v/>
      </c>
      <c r="R88" s="14" t="n"/>
      <c r="S88" s="16" t="n"/>
      <c r="T88" s="124">
        <f>IF(S88="","",COUNTIFS($C$18:$C$2015,S$13,$D$18:$D$2015,"&gt;="&amp;S88,$D$18:$D$2015,"&lt;"&amp;S89))</f>
        <v/>
      </c>
      <c r="U88" s="14" t="n"/>
      <c r="V88" s="16" t="n"/>
      <c r="W88" s="124">
        <f>IF(V88="","",COUNTIFS($C$18:$C$2015,V$13,$D$18:$D$2015,"&gt;="&amp;V88,$D$18:$D$2015,"&lt;"&amp;V89))</f>
        <v/>
      </c>
      <c r="X88" s="14" t="n"/>
      <c r="Y88" s="16" t="n"/>
      <c r="Z88" s="124">
        <f>IF(Y88="","",COUNTIFS($C$18:$C$2015,Y$13,$D$18:$D$2015,"&gt;="&amp;Y88,$D$18:$D$2015,"&lt;"&amp;Y89))</f>
        <v/>
      </c>
      <c r="AA88" s="14" t="n"/>
      <c r="AB88" s="16" t="n"/>
      <c r="AC88" s="124">
        <f>IF(AB88="","",COUNTIFS($C$18:$C$2015,AB$13,$D$18:$D$2015,"&gt;="&amp;AB88,$D$18:$D$2015,"&lt;"&amp;AB89))</f>
        <v/>
      </c>
      <c r="AD88" s="14" t="n"/>
    </row>
    <row r="89">
      <c r="A89" s="58" t="n"/>
      <c r="B89" s="59" t="n"/>
      <c r="C89" s="59" t="n"/>
      <c r="E89" s="16" t="n"/>
      <c r="F89" s="13" t="n"/>
      <c r="G89" s="16" t="n"/>
      <c r="H89" s="124">
        <f>IF(G89="","",COUNTIFS($C$18:$C$2015,G$13,$D$18:$D$2015,"&gt;="&amp;G89,$D$18:$D$2015,"&lt;"&amp;G90))</f>
        <v/>
      </c>
      <c r="I89" s="14" t="n"/>
      <c r="J89" s="16" t="n"/>
      <c r="K89" s="124">
        <f>IF(J89="","",COUNTIFS($C$18:$C$2015,J$13,$D$18:$D$2015,"&gt;="&amp;J89,$D$18:$D$2015,"&lt;"&amp;J90))</f>
        <v/>
      </c>
      <c r="L89" s="14" t="n"/>
      <c r="M89" s="16" t="n"/>
      <c r="N89" s="124">
        <f>IF(M89="","",COUNTIFS($C$18:$C$2015,M$13,$D$18:$D$2015,"&gt;="&amp;M89,$D$18:$D$2015,"&lt;"&amp;M90))</f>
        <v/>
      </c>
      <c r="O89" s="14" t="n"/>
      <c r="P89" s="16" t="n"/>
      <c r="Q89" s="124">
        <f>IF(P89="","",COUNTIFS($C$18:$C$2015,P$13,$D$18:$D$2015,"&gt;="&amp;P89,$D$18:$D$2015,"&lt;"&amp;P90))</f>
        <v/>
      </c>
      <c r="R89" s="14" t="n"/>
      <c r="S89" s="16" t="n"/>
      <c r="T89" s="124">
        <f>IF(S89="","",COUNTIFS($C$18:$C$2015,S$13,$D$18:$D$2015,"&gt;="&amp;S89,$D$18:$D$2015,"&lt;"&amp;S90))</f>
        <v/>
      </c>
      <c r="U89" s="14" t="n"/>
      <c r="V89" s="16" t="n"/>
      <c r="W89" s="124">
        <f>IF(V89="","",COUNTIFS($C$18:$C$2015,V$13,$D$18:$D$2015,"&gt;="&amp;V89,$D$18:$D$2015,"&lt;"&amp;V90))</f>
        <v/>
      </c>
      <c r="X89" s="14" t="n"/>
      <c r="Y89" s="16" t="n"/>
      <c r="Z89" s="124">
        <f>IF(Y89="","",COUNTIFS($C$18:$C$2015,Y$13,$D$18:$D$2015,"&gt;="&amp;Y89,$D$18:$D$2015,"&lt;"&amp;Y90))</f>
        <v/>
      </c>
      <c r="AA89" s="14" t="n"/>
      <c r="AB89" s="16" t="n"/>
      <c r="AC89" s="124">
        <f>IF(AB89="","",COUNTIFS($C$18:$C$2015,AB$13,$D$18:$D$2015,"&gt;="&amp;AB89,$D$18:$D$2015,"&lt;"&amp;AB90))</f>
        <v/>
      </c>
      <c r="AD89" s="14" t="n"/>
    </row>
    <row r="90">
      <c r="A90" s="56" t="n"/>
      <c r="B90" s="59" t="n"/>
      <c r="C90" s="59" t="n"/>
      <c r="E90" s="16" t="n"/>
      <c r="F90" s="13" t="n"/>
      <c r="G90" s="16" t="n"/>
      <c r="H90" s="124">
        <f>IF(G90="","",COUNTIFS($C$18:$C$2015,G$13,$D$18:$D$2015,"&gt;="&amp;G90,$D$18:$D$2015,"&lt;"&amp;G91))</f>
        <v/>
      </c>
      <c r="I90" s="14" t="n"/>
      <c r="J90" s="16" t="n"/>
      <c r="K90" s="124">
        <f>IF(J90="","",COUNTIFS($C$18:$C$2015,J$13,$D$18:$D$2015,"&gt;="&amp;J90,$D$18:$D$2015,"&lt;"&amp;J91))</f>
        <v/>
      </c>
      <c r="L90" s="14" t="n"/>
      <c r="M90" s="16" t="n"/>
      <c r="N90" s="124">
        <f>IF(M90="","",COUNTIFS($C$18:$C$2015,M$13,$D$18:$D$2015,"&gt;="&amp;M90,$D$18:$D$2015,"&lt;"&amp;M91))</f>
        <v/>
      </c>
      <c r="O90" s="14" t="n"/>
      <c r="P90" s="16" t="n"/>
      <c r="Q90" s="124">
        <f>IF(P90="","",COUNTIFS($C$18:$C$2015,P$13,$D$18:$D$2015,"&gt;="&amp;P90,$D$18:$D$2015,"&lt;"&amp;P91))</f>
        <v/>
      </c>
      <c r="R90" s="14" t="n"/>
      <c r="S90" s="16" t="n"/>
      <c r="T90" s="124">
        <f>IF(S90="","",COUNTIFS($C$18:$C$2015,S$13,$D$18:$D$2015,"&gt;="&amp;S90,$D$18:$D$2015,"&lt;"&amp;S91))</f>
        <v/>
      </c>
      <c r="U90" s="14" t="n"/>
      <c r="V90" s="16" t="n"/>
      <c r="W90" s="124">
        <f>IF(V90="","",COUNTIFS($C$18:$C$2015,V$13,$D$18:$D$2015,"&gt;="&amp;V90,$D$18:$D$2015,"&lt;"&amp;V91))</f>
        <v/>
      </c>
      <c r="X90" s="14" t="n"/>
      <c r="Y90" s="16" t="n"/>
      <c r="Z90" s="124">
        <f>IF(Y90="","",COUNTIFS($C$18:$C$2015,Y$13,$D$18:$D$2015,"&gt;="&amp;Y90,$D$18:$D$2015,"&lt;"&amp;Y91))</f>
        <v/>
      </c>
      <c r="AA90" s="14" t="n"/>
      <c r="AB90" s="16" t="n"/>
      <c r="AC90" s="124">
        <f>IF(AB90="","",COUNTIFS($C$18:$C$2015,AB$13,$D$18:$D$2015,"&gt;="&amp;AB90,$D$18:$D$2015,"&lt;"&amp;AB91))</f>
        <v/>
      </c>
      <c r="AD90" s="14" t="n"/>
    </row>
    <row r="91">
      <c r="A91" s="58" t="n"/>
      <c r="B91" s="59" t="n"/>
      <c r="C91" s="59" t="n"/>
      <c r="E91" s="16" t="n"/>
      <c r="F91" s="13" t="n"/>
      <c r="G91" s="16" t="n"/>
      <c r="H91" s="124">
        <f>IF(G91="","",COUNTIFS($C$18:$C$2015,G$13,$D$18:$D$2015,"&gt;="&amp;G91,$D$18:$D$2015,"&lt;"&amp;G92))</f>
        <v/>
      </c>
      <c r="I91" s="14" t="n"/>
      <c r="J91" s="16" t="n"/>
      <c r="K91" s="124">
        <f>IF(J91="","",COUNTIFS($C$18:$C$2015,J$13,$D$18:$D$2015,"&gt;="&amp;J91,$D$18:$D$2015,"&lt;"&amp;J92))</f>
        <v/>
      </c>
      <c r="L91" s="14" t="n"/>
      <c r="M91" s="16" t="n"/>
      <c r="N91" s="124">
        <f>IF(M91="","",COUNTIFS($C$18:$C$2015,M$13,$D$18:$D$2015,"&gt;="&amp;M91,$D$18:$D$2015,"&lt;"&amp;M92))</f>
        <v/>
      </c>
      <c r="O91" s="14" t="n"/>
      <c r="P91" s="16" t="n"/>
      <c r="Q91" s="124">
        <f>IF(P91="","",COUNTIFS($C$18:$C$2015,P$13,$D$18:$D$2015,"&gt;="&amp;P91,$D$18:$D$2015,"&lt;"&amp;P92))</f>
        <v/>
      </c>
      <c r="R91" s="14" t="n"/>
      <c r="S91" s="16" t="n"/>
      <c r="T91" s="124">
        <f>IF(S91="","",COUNTIFS($C$18:$C$2015,S$13,$D$18:$D$2015,"&gt;="&amp;S91,$D$18:$D$2015,"&lt;"&amp;S92))</f>
        <v/>
      </c>
      <c r="U91" s="14" t="n"/>
      <c r="V91" s="16" t="n"/>
      <c r="W91" s="124">
        <f>IF(V91="","",COUNTIFS($C$18:$C$2015,V$13,$D$18:$D$2015,"&gt;="&amp;V91,$D$18:$D$2015,"&lt;"&amp;V92))</f>
        <v/>
      </c>
      <c r="X91" s="14" t="n"/>
      <c r="Y91" s="16" t="n"/>
      <c r="Z91" s="124">
        <f>IF(Y91="","",COUNTIFS($C$18:$C$2015,Y$13,$D$18:$D$2015,"&gt;="&amp;Y91,$D$18:$D$2015,"&lt;"&amp;Y92))</f>
        <v/>
      </c>
      <c r="AA91" s="14" t="n"/>
      <c r="AB91" s="16" t="n"/>
      <c r="AC91" s="124">
        <f>IF(AB91="","",COUNTIFS($C$18:$C$2015,AB$13,$D$18:$D$2015,"&gt;="&amp;AB91,$D$18:$D$2015,"&lt;"&amp;AB92))</f>
        <v/>
      </c>
      <c r="AD91" s="14" t="n"/>
    </row>
    <row r="92">
      <c r="A92" s="56" t="n"/>
      <c r="B92" s="59" t="n"/>
      <c r="C92" s="59" t="n"/>
      <c r="E92" s="16" t="n"/>
      <c r="F92" s="13" t="n"/>
      <c r="G92" s="16" t="n"/>
      <c r="H92" s="124">
        <f>IF(G92="","",COUNTIFS($C$18:$C$2015,G$13,$D$18:$D$2015,"&gt;="&amp;G92,$D$18:$D$2015,"&lt;"&amp;G93))</f>
        <v/>
      </c>
      <c r="I92" s="14" t="n"/>
      <c r="J92" s="16" t="n"/>
      <c r="K92" s="124">
        <f>IF(J92="","",COUNTIFS($C$18:$C$2015,J$13,$D$18:$D$2015,"&gt;="&amp;J92,$D$18:$D$2015,"&lt;"&amp;J93))</f>
        <v/>
      </c>
      <c r="L92" s="14" t="n"/>
      <c r="M92" s="16" t="n"/>
      <c r="N92" s="124">
        <f>IF(M92="","",COUNTIFS($C$18:$C$2015,M$13,$D$18:$D$2015,"&gt;="&amp;M92,$D$18:$D$2015,"&lt;"&amp;M93))</f>
        <v/>
      </c>
      <c r="O92" s="14" t="n"/>
      <c r="P92" s="16" t="n"/>
      <c r="Q92" s="124">
        <f>IF(P92="","",COUNTIFS($C$18:$C$2015,P$13,$D$18:$D$2015,"&gt;="&amp;P92,$D$18:$D$2015,"&lt;"&amp;P93))</f>
        <v/>
      </c>
      <c r="R92" s="14" t="n"/>
      <c r="S92" s="16" t="n"/>
      <c r="T92" s="124">
        <f>IF(S92="","",COUNTIFS($C$18:$C$2015,S$13,$D$18:$D$2015,"&gt;="&amp;S92,$D$18:$D$2015,"&lt;"&amp;S93))</f>
        <v/>
      </c>
      <c r="U92" s="14" t="n"/>
      <c r="V92" s="16" t="n"/>
      <c r="W92" s="124">
        <f>IF(V92="","",COUNTIFS($C$18:$C$2015,V$13,$D$18:$D$2015,"&gt;="&amp;V92,$D$18:$D$2015,"&lt;"&amp;V93))</f>
        <v/>
      </c>
      <c r="X92" s="14" t="n"/>
      <c r="Y92" s="16" t="n"/>
      <c r="Z92" s="124">
        <f>IF(Y92="","",COUNTIFS($C$18:$C$2015,Y$13,$D$18:$D$2015,"&gt;="&amp;Y92,$D$18:$D$2015,"&lt;"&amp;Y93))</f>
        <v/>
      </c>
      <c r="AA92" s="14" t="n"/>
      <c r="AB92" s="16" t="n"/>
      <c r="AC92" s="124">
        <f>IF(AB92="","",COUNTIFS($C$18:$C$2015,AB$13,$D$18:$D$2015,"&gt;="&amp;AB92,$D$18:$D$2015,"&lt;"&amp;AB93))</f>
        <v/>
      </c>
      <c r="AD92" s="14" t="n"/>
    </row>
    <row r="93">
      <c r="A93" s="58" t="n"/>
      <c r="B93" s="59" t="n"/>
      <c r="C93" s="59" t="n"/>
      <c r="E93" s="16" t="n"/>
      <c r="F93" s="13" t="n"/>
      <c r="G93" s="16" t="n"/>
      <c r="H93" s="124">
        <f>IF(G93="","",COUNTIFS($C$18:$C$2015,G$13,$D$18:$D$2015,"&gt;="&amp;G93,$D$18:$D$2015,"&lt;"&amp;G94))</f>
        <v/>
      </c>
      <c r="I93" s="14" t="n"/>
      <c r="J93" s="16" t="n"/>
      <c r="K93" s="124">
        <f>IF(J93="","",COUNTIFS($C$18:$C$2015,J$13,$D$18:$D$2015,"&gt;="&amp;J93,$D$18:$D$2015,"&lt;"&amp;J94))</f>
        <v/>
      </c>
      <c r="L93" s="14" t="n"/>
      <c r="M93" s="16" t="n"/>
      <c r="N93" s="124">
        <f>IF(M93="","",COUNTIFS($C$18:$C$2015,M$13,$D$18:$D$2015,"&gt;="&amp;M93,$D$18:$D$2015,"&lt;"&amp;M94))</f>
        <v/>
      </c>
      <c r="O93" s="14" t="n"/>
      <c r="P93" s="16" t="n"/>
      <c r="Q93" s="124">
        <f>IF(P93="","",COUNTIFS($C$18:$C$2015,P$13,$D$18:$D$2015,"&gt;="&amp;P93,$D$18:$D$2015,"&lt;"&amp;P94))</f>
        <v/>
      </c>
      <c r="R93" s="14" t="n"/>
      <c r="S93" s="16" t="n"/>
      <c r="T93" s="124">
        <f>IF(S93="","",COUNTIFS($C$18:$C$2015,S$13,$D$18:$D$2015,"&gt;="&amp;S93,$D$18:$D$2015,"&lt;"&amp;S94))</f>
        <v/>
      </c>
      <c r="U93" s="14" t="n"/>
      <c r="V93" s="16" t="n"/>
      <c r="W93" s="124">
        <f>IF(V93="","",COUNTIFS($C$18:$C$2015,V$13,$D$18:$D$2015,"&gt;="&amp;V93,$D$18:$D$2015,"&lt;"&amp;V94))</f>
        <v/>
      </c>
      <c r="X93" s="14" t="n"/>
      <c r="Y93" s="16" t="n"/>
      <c r="Z93" s="124">
        <f>IF(Y93="","",COUNTIFS($C$18:$C$2015,Y$13,$D$18:$D$2015,"&gt;="&amp;Y93,$D$18:$D$2015,"&lt;"&amp;Y94))</f>
        <v/>
      </c>
      <c r="AA93" s="14" t="n"/>
      <c r="AB93" s="16" t="n"/>
      <c r="AC93" s="124">
        <f>IF(AB93="","",COUNTIFS($C$18:$C$2015,AB$13,$D$18:$D$2015,"&gt;="&amp;AB93,$D$18:$D$2015,"&lt;"&amp;AB94))</f>
        <v/>
      </c>
      <c r="AD93" s="14" t="n"/>
    </row>
    <row r="94">
      <c r="A94" s="56" t="n"/>
      <c r="B94" s="59" t="n"/>
      <c r="C94" s="59" t="n"/>
      <c r="E94" s="16" t="n"/>
      <c r="F94" s="13" t="n"/>
      <c r="G94" s="16" t="n"/>
      <c r="H94" s="124">
        <f>IF(G94="","",COUNTIFS($C$18:$C$2015,G$13,$D$18:$D$2015,"&gt;="&amp;G94,$D$18:$D$2015,"&lt;"&amp;G95))</f>
        <v/>
      </c>
      <c r="I94" s="14" t="n"/>
      <c r="J94" s="16" t="n"/>
      <c r="K94" s="124">
        <f>IF(J94="","",COUNTIFS($C$18:$C$2015,J$13,$D$18:$D$2015,"&gt;="&amp;J94,$D$18:$D$2015,"&lt;"&amp;J95))</f>
        <v/>
      </c>
      <c r="L94" s="14" t="n"/>
      <c r="M94" s="16" t="n"/>
      <c r="N94" s="124">
        <f>IF(M94="","",COUNTIFS($C$18:$C$2015,M$13,$D$18:$D$2015,"&gt;="&amp;M94,$D$18:$D$2015,"&lt;"&amp;M95))</f>
        <v/>
      </c>
      <c r="O94" s="14" t="n"/>
      <c r="P94" s="16" t="n"/>
      <c r="Q94" s="124">
        <f>IF(P94="","",COUNTIFS($C$18:$C$2015,P$13,$D$18:$D$2015,"&gt;="&amp;P94,$D$18:$D$2015,"&lt;"&amp;P95))</f>
        <v/>
      </c>
      <c r="R94" s="14" t="n"/>
      <c r="S94" s="16" t="n"/>
      <c r="T94" s="124">
        <f>IF(S94="","",COUNTIFS($C$18:$C$2015,S$13,$D$18:$D$2015,"&gt;="&amp;S94,$D$18:$D$2015,"&lt;"&amp;S95))</f>
        <v/>
      </c>
      <c r="U94" s="14" t="n"/>
      <c r="V94" s="16" t="n"/>
      <c r="W94" s="124">
        <f>IF(V94="","",COUNTIFS($C$18:$C$2015,V$13,$D$18:$D$2015,"&gt;="&amp;V94,$D$18:$D$2015,"&lt;"&amp;V95))</f>
        <v/>
      </c>
      <c r="X94" s="14" t="n"/>
      <c r="Y94" s="16" t="n"/>
      <c r="Z94" s="124">
        <f>IF(Y94="","",COUNTIFS($C$18:$C$2015,Y$13,$D$18:$D$2015,"&gt;="&amp;Y94,$D$18:$D$2015,"&lt;"&amp;Y95))</f>
        <v/>
      </c>
      <c r="AA94" s="14" t="n"/>
      <c r="AB94" s="16" t="n"/>
      <c r="AC94" s="124">
        <f>IF(AB94="","",COUNTIFS($C$18:$C$2015,AB$13,$D$18:$D$2015,"&gt;="&amp;AB94,$D$18:$D$2015,"&lt;"&amp;AB95))</f>
        <v/>
      </c>
      <c r="AD94" s="14" t="n"/>
    </row>
    <row r="95">
      <c r="A95" s="58" t="n"/>
      <c r="B95" s="59" t="n"/>
      <c r="C95" s="59" t="n"/>
      <c r="E95" s="16" t="n"/>
      <c r="F95" s="13" t="n"/>
      <c r="G95" s="16" t="n"/>
      <c r="H95" s="124">
        <f>IF(G95="","",COUNTIFS($C$18:$C$2015,G$13,$D$18:$D$2015,"&gt;="&amp;G95,$D$18:$D$2015,"&lt;"&amp;G96))</f>
        <v/>
      </c>
      <c r="I95" s="14" t="n"/>
      <c r="J95" s="16" t="n"/>
      <c r="K95" s="124">
        <f>IF(J95="","",COUNTIFS($C$18:$C$2015,J$13,$D$18:$D$2015,"&gt;="&amp;J95,$D$18:$D$2015,"&lt;"&amp;J96))</f>
        <v/>
      </c>
      <c r="L95" s="14" t="n"/>
      <c r="M95" s="16" t="n"/>
      <c r="N95" s="124">
        <f>IF(M95="","",COUNTIFS($C$18:$C$2015,M$13,$D$18:$D$2015,"&gt;="&amp;M95,$D$18:$D$2015,"&lt;"&amp;M96))</f>
        <v/>
      </c>
      <c r="O95" s="14" t="n"/>
      <c r="P95" s="16" t="n"/>
      <c r="Q95" s="124">
        <f>IF(P95="","",COUNTIFS($C$18:$C$2015,P$13,$D$18:$D$2015,"&gt;="&amp;P95,$D$18:$D$2015,"&lt;"&amp;P96))</f>
        <v/>
      </c>
      <c r="R95" s="14" t="n"/>
      <c r="S95" s="16" t="n"/>
      <c r="T95" s="124">
        <f>IF(S95="","",COUNTIFS($C$18:$C$2015,S$13,$D$18:$D$2015,"&gt;="&amp;S95,$D$18:$D$2015,"&lt;"&amp;S96))</f>
        <v/>
      </c>
      <c r="U95" s="14" t="n"/>
      <c r="V95" s="16" t="n"/>
      <c r="W95" s="124">
        <f>IF(V95="","",COUNTIFS($C$18:$C$2015,V$13,$D$18:$D$2015,"&gt;="&amp;V95,$D$18:$D$2015,"&lt;"&amp;V96))</f>
        <v/>
      </c>
      <c r="X95" s="14" t="n"/>
      <c r="Y95" s="16" t="n"/>
      <c r="Z95" s="124">
        <f>IF(Y95="","",COUNTIFS($C$18:$C$2015,Y$13,$D$18:$D$2015,"&gt;="&amp;Y95,$D$18:$D$2015,"&lt;"&amp;Y96))</f>
        <v/>
      </c>
      <c r="AA95" s="14" t="n"/>
      <c r="AB95" s="16" t="n"/>
      <c r="AC95" s="124">
        <f>IF(AB95="","",COUNTIFS($C$18:$C$2015,AB$13,$D$18:$D$2015,"&gt;="&amp;AB95,$D$18:$D$2015,"&lt;"&amp;AB96))</f>
        <v/>
      </c>
      <c r="AD95" s="14" t="n"/>
    </row>
    <row r="96">
      <c r="A96" s="56" t="n"/>
      <c r="B96" s="59" t="n"/>
      <c r="C96" s="59" t="n"/>
      <c r="E96" s="16" t="n"/>
      <c r="F96" s="13" t="n"/>
      <c r="G96" s="16" t="n"/>
      <c r="H96" s="124">
        <f>IF(G96="","",COUNTIFS($C$18:$C$2015,G$13,$D$18:$D$2015,"&gt;="&amp;G96,$D$18:$D$2015,"&lt;"&amp;G97))</f>
        <v/>
      </c>
      <c r="I96" s="14" t="n"/>
      <c r="J96" s="16" t="n"/>
      <c r="K96" s="124">
        <f>IF(J96="","",COUNTIFS($C$18:$C$2015,J$13,$D$18:$D$2015,"&gt;="&amp;J96,$D$18:$D$2015,"&lt;"&amp;J97))</f>
        <v/>
      </c>
      <c r="L96" s="14" t="n"/>
      <c r="M96" s="16" t="n"/>
      <c r="N96" s="124">
        <f>IF(M96="","",COUNTIFS($C$18:$C$2015,M$13,$D$18:$D$2015,"&gt;="&amp;M96,$D$18:$D$2015,"&lt;"&amp;M97))</f>
        <v/>
      </c>
      <c r="O96" s="14" t="n"/>
      <c r="P96" s="16" t="n"/>
      <c r="Q96" s="124">
        <f>IF(P96="","",COUNTIFS($C$18:$C$2015,P$13,$D$18:$D$2015,"&gt;="&amp;P96,$D$18:$D$2015,"&lt;"&amp;P97))</f>
        <v/>
      </c>
      <c r="R96" s="14" t="n"/>
      <c r="S96" s="16" t="n"/>
      <c r="T96" s="124">
        <f>IF(S96="","",COUNTIFS($C$18:$C$2015,S$13,$D$18:$D$2015,"&gt;="&amp;S96,$D$18:$D$2015,"&lt;"&amp;S97))</f>
        <v/>
      </c>
      <c r="U96" s="14" t="n"/>
      <c r="V96" s="16" t="n"/>
      <c r="W96" s="124">
        <f>IF(V96="","",COUNTIFS($C$18:$C$2015,V$13,$D$18:$D$2015,"&gt;="&amp;V96,$D$18:$D$2015,"&lt;"&amp;V97))</f>
        <v/>
      </c>
      <c r="X96" s="14" t="n"/>
      <c r="Y96" s="16" t="n"/>
      <c r="Z96" s="124">
        <f>IF(Y96="","",COUNTIFS($C$18:$C$2015,Y$13,$D$18:$D$2015,"&gt;="&amp;Y96,$D$18:$D$2015,"&lt;"&amp;Y97))</f>
        <v/>
      </c>
      <c r="AA96" s="14" t="n"/>
      <c r="AB96" s="16" t="n"/>
      <c r="AC96" s="124">
        <f>IF(AB96="","",COUNTIFS($C$18:$C$2015,AB$13,$D$18:$D$2015,"&gt;="&amp;AB96,$D$18:$D$2015,"&lt;"&amp;AB97))</f>
        <v/>
      </c>
      <c r="AD96" s="14" t="n"/>
    </row>
    <row r="97">
      <c r="A97" s="58" t="n"/>
      <c r="B97" s="59" t="n"/>
      <c r="C97" s="59" t="n"/>
      <c r="E97" s="16" t="n"/>
      <c r="F97" s="13" t="n"/>
      <c r="G97" s="16" t="n"/>
      <c r="H97" s="124">
        <f>IF(G97="","",COUNTIFS($C$18:$C$2015,G$13,$D$18:$D$2015,"&gt;="&amp;G97,$D$18:$D$2015,"&lt;"&amp;G98))</f>
        <v/>
      </c>
      <c r="I97" s="14" t="n"/>
      <c r="J97" s="16" t="n"/>
      <c r="K97" s="124">
        <f>IF(J97="","",COUNTIFS($C$18:$C$2015,J$13,$D$18:$D$2015,"&gt;="&amp;J97,$D$18:$D$2015,"&lt;"&amp;J98))</f>
        <v/>
      </c>
      <c r="L97" s="14" t="n"/>
      <c r="M97" s="16" t="n"/>
      <c r="N97" s="124">
        <f>IF(M97="","",COUNTIFS($C$18:$C$2015,M$13,$D$18:$D$2015,"&gt;="&amp;M97,$D$18:$D$2015,"&lt;"&amp;M98))</f>
        <v/>
      </c>
      <c r="O97" s="14" t="n"/>
      <c r="P97" s="16" t="n"/>
      <c r="Q97" s="124">
        <f>IF(P97="","",COUNTIFS($C$18:$C$2015,P$13,$D$18:$D$2015,"&gt;="&amp;P97,$D$18:$D$2015,"&lt;"&amp;P98))</f>
        <v/>
      </c>
      <c r="R97" s="14" t="n"/>
      <c r="S97" s="16" t="n"/>
      <c r="T97" s="124">
        <f>IF(S97="","",COUNTIFS($C$18:$C$2015,S$13,$D$18:$D$2015,"&gt;="&amp;S97,$D$18:$D$2015,"&lt;"&amp;S98))</f>
        <v/>
      </c>
      <c r="U97" s="14" t="n"/>
      <c r="V97" s="16" t="n"/>
      <c r="W97" s="124">
        <f>IF(V97="","",COUNTIFS($C$18:$C$2015,V$13,$D$18:$D$2015,"&gt;="&amp;V97,$D$18:$D$2015,"&lt;"&amp;V98))</f>
        <v/>
      </c>
      <c r="X97" s="14" t="n"/>
      <c r="Y97" s="16" t="n"/>
      <c r="Z97" s="124">
        <f>IF(Y97="","",COUNTIFS($C$18:$C$2015,Y$13,$D$18:$D$2015,"&gt;="&amp;Y97,$D$18:$D$2015,"&lt;"&amp;Y98))</f>
        <v/>
      </c>
      <c r="AA97" s="14" t="n"/>
      <c r="AB97" s="16" t="n"/>
      <c r="AC97" s="124">
        <f>IF(AB97="","",COUNTIFS($C$18:$C$2015,AB$13,$D$18:$D$2015,"&gt;="&amp;AB97,$D$18:$D$2015,"&lt;"&amp;AB98))</f>
        <v/>
      </c>
      <c r="AD97" s="14" t="n"/>
    </row>
    <row r="98">
      <c r="A98" s="56" t="n"/>
      <c r="B98" s="59" t="n"/>
      <c r="C98" s="59" t="n"/>
      <c r="E98" s="16" t="n"/>
      <c r="F98" s="13" t="n"/>
      <c r="G98" s="16" t="n"/>
      <c r="H98" s="124">
        <f>IF(G98="","",COUNTIFS($C$18:$C$2015,G$13,$D$18:$D$2015,"&gt;="&amp;G98,$D$18:$D$2015,"&lt;"&amp;G99))</f>
        <v/>
      </c>
      <c r="I98" s="14" t="n"/>
      <c r="J98" s="16" t="n"/>
      <c r="K98" s="124">
        <f>IF(J98="","",COUNTIFS($C$18:$C$2015,J$13,$D$18:$D$2015,"&gt;="&amp;J98,$D$18:$D$2015,"&lt;"&amp;J99))</f>
        <v/>
      </c>
      <c r="L98" s="14" t="n"/>
      <c r="M98" s="16" t="n"/>
      <c r="N98" s="124">
        <f>IF(M98="","",COUNTIFS($C$18:$C$2015,M$13,$D$18:$D$2015,"&gt;="&amp;M98,$D$18:$D$2015,"&lt;"&amp;M99))</f>
        <v/>
      </c>
      <c r="O98" s="14" t="n"/>
      <c r="P98" s="16" t="n"/>
      <c r="Q98" s="124">
        <f>IF(P98="","",COUNTIFS($C$18:$C$2015,P$13,$D$18:$D$2015,"&gt;="&amp;P98,$D$18:$D$2015,"&lt;"&amp;P99))</f>
        <v/>
      </c>
      <c r="R98" s="14" t="n"/>
      <c r="S98" s="16" t="n"/>
      <c r="T98" s="124">
        <f>IF(S98="","",COUNTIFS($C$18:$C$2015,S$13,$D$18:$D$2015,"&gt;="&amp;S98,$D$18:$D$2015,"&lt;"&amp;S99))</f>
        <v/>
      </c>
      <c r="U98" s="14" t="n"/>
      <c r="V98" s="16" t="n"/>
      <c r="W98" s="124">
        <f>IF(V98="","",COUNTIFS($C$18:$C$2015,V$13,$D$18:$D$2015,"&gt;="&amp;V98,$D$18:$D$2015,"&lt;"&amp;V99))</f>
        <v/>
      </c>
      <c r="X98" s="14" t="n"/>
      <c r="Y98" s="16" t="n"/>
      <c r="Z98" s="124">
        <f>IF(Y98="","",COUNTIFS($C$18:$C$2015,Y$13,$D$18:$D$2015,"&gt;="&amp;Y98,$D$18:$D$2015,"&lt;"&amp;Y99))</f>
        <v/>
      </c>
      <c r="AA98" s="14" t="n"/>
      <c r="AB98" s="16" t="n"/>
      <c r="AC98" s="124">
        <f>IF(AB98="","",COUNTIFS($C$18:$C$2015,AB$13,$D$18:$D$2015,"&gt;="&amp;AB98,$D$18:$D$2015,"&lt;"&amp;AB99))</f>
        <v/>
      </c>
      <c r="AD98" s="14" t="n"/>
    </row>
    <row r="99">
      <c r="A99" s="58" t="n"/>
      <c r="B99" s="59" t="n"/>
      <c r="C99" s="59" t="n"/>
      <c r="E99" s="16" t="n"/>
      <c r="F99" s="13" t="n"/>
      <c r="G99" s="16" t="n"/>
      <c r="H99" s="124">
        <f>IF(G99="","",COUNTIFS($C$18:$C$2015,G$13,$D$18:$D$2015,"&gt;="&amp;G99,$D$18:$D$2015,"&lt;"&amp;G100))</f>
        <v/>
      </c>
      <c r="I99" s="14" t="n"/>
      <c r="J99" s="16" t="n"/>
      <c r="K99" s="124">
        <f>IF(J99="","",COUNTIFS($C$18:$C$2015,J$13,$D$18:$D$2015,"&gt;="&amp;J99,$D$18:$D$2015,"&lt;"&amp;J100))</f>
        <v/>
      </c>
      <c r="L99" s="14" t="n"/>
      <c r="M99" s="16" t="n"/>
      <c r="N99" s="124">
        <f>IF(M99="","",COUNTIFS($C$18:$C$2015,M$13,$D$18:$D$2015,"&gt;="&amp;M99,$D$18:$D$2015,"&lt;"&amp;M100))</f>
        <v/>
      </c>
      <c r="O99" s="14" t="n"/>
      <c r="P99" s="16" t="n"/>
      <c r="Q99" s="124">
        <f>IF(P99="","",COUNTIFS($C$18:$C$2015,P$13,$D$18:$D$2015,"&gt;="&amp;P99,$D$18:$D$2015,"&lt;"&amp;P100))</f>
        <v/>
      </c>
      <c r="R99" s="14" t="n"/>
      <c r="S99" s="16" t="n"/>
      <c r="T99" s="124">
        <f>IF(S99="","",COUNTIFS($C$18:$C$2015,S$13,$D$18:$D$2015,"&gt;="&amp;S99,$D$18:$D$2015,"&lt;"&amp;S100))</f>
        <v/>
      </c>
      <c r="U99" s="14" t="n"/>
      <c r="V99" s="16" t="n"/>
      <c r="W99" s="124">
        <f>IF(V99="","",COUNTIFS($C$18:$C$2015,V$13,$D$18:$D$2015,"&gt;="&amp;V99,$D$18:$D$2015,"&lt;"&amp;V100))</f>
        <v/>
      </c>
      <c r="X99" s="14" t="n"/>
      <c r="Y99" s="16" t="n"/>
      <c r="Z99" s="124">
        <f>IF(Y99="","",COUNTIFS($C$18:$C$2015,Y$13,$D$18:$D$2015,"&gt;="&amp;Y99,$D$18:$D$2015,"&lt;"&amp;Y100))</f>
        <v/>
      </c>
      <c r="AA99" s="14" t="n"/>
      <c r="AB99" s="16" t="n"/>
      <c r="AC99" s="124">
        <f>IF(AB99="","",COUNTIFS($C$18:$C$2015,AB$13,$D$18:$D$2015,"&gt;="&amp;AB99,$D$18:$D$2015,"&lt;"&amp;AB100))</f>
        <v/>
      </c>
      <c r="AD99" s="14" t="n"/>
    </row>
    <row r="100">
      <c r="A100" s="56" t="n"/>
      <c r="B100" s="59" t="n"/>
      <c r="C100" s="59" t="n"/>
      <c r="E100" s="16" t="n"/>
      <c r="F100" s="13" t="n"/>
      <c r="G100" s="16" t="n"/>
      <c r="H100" s="124">
        <f>IF(G100="","",COUNTIFS($C$18:$C$2015,G$13,$D$18:$D$2015,"&gt;="&amp;G100,$D$18:$D$2015,"&lt;"&amp;G101))</f>
        <v/>
      </c>
      <c r="I100" s="14" t="n"/>
      <c r="J100" s="16" t="n"/>
      <c r="K100" s="124">
        <f>IF(J100="","",COUNTIFS($C$18:$C$2015,J$13,$D$18:$D$2015,"&gt;="&amp;J100,$D$18:$D$2015,"&lt;"&amp;J101))</f>
        <v/>
      </c>
      <c r="L100" s="14" t="n"/>
      <c r="M100" s="16" t="n"/>
      <c r="N100" s="124">
        <f>IF(M100="","",COUNTIFS($C$18:$C$2015,M$13,$D$18:$D$2015,"&gt;="&amp;M100,$D$18:$D$2015,"&lt;"&amp;M101))</f>
        <v/>
      </c>
      <c r="O100" s="14" t="n"/>
      <c r="P100" s="16" t="n"/>
      <c r="Q100" s="124">
        <f>IF(P100="","",COUNTIFS($C$18:$C$2015,P$13,$D$18:$D$2015,"&gt;="&amp;P100,$D$18:$D$2015,"&lt;"&amp;P101))</f>
        <v/>
      </c>
      <c r="R100" s="14" t="n"/>
      <c r="S100" s="16" t="n"/>
      <c r="T100" s="124">
        <f>IF(S100="","",COUNTIFS($C$18:$C$2015,S$13,$D$18:$D$2015,"&gt;="&amp;S100,$D$18:$D$2015,"&lt;"&amp;S101))</f>
        <v/>
      </c>
      <c r="U100" s="14" t="n"/>
      <c r="V100" s="16" t="n"/>
      <c r="W100" s="124">
        <f>IF(V100="","",COUNTIFS($C$18:$C$2015,V$13,$D$18:$D$2015,"&gt;="&amp;V100,$D$18:$D$2015,"&lt;"&amp;V101))</f>
        <v/>
      </c>
      <c r="X100" s="14" t="n"/>
      <c r="Y100" s="16" t="n"/>
      <c r="Z100" s="124">
        <f>IF(Y100="","",COUNTIFS($C$18:$C$2015,Y$13,$D$18:$D$2015,"&gt;="&amp;Y100,$D$18:$D$2015,"&lt;"&amp;Y101))</f>
        <v/>
      </c>
      <c r="AA100" s="14" t="n"/>
      <c r="AB100" s="16" t="n"/>
      <c r="AC100" s="124">
        <f>IF(AB100="","",COUNTIFS($C$18:$C$2015,AB$13,$D$18:$D$2015,"&gt;="&amp;AB100,$D$18:$D$2015,"&lt;"&amp;AB101))</f>
        <v/>
      </c>
      <c r="AD100" s="14" t="n"/>
    </row>
    <row r="101">
      <c r="A101" s="58" t="n"/>
      <c r="B101" s="59" t="n"/>
      <c r="C101" s="59" t="n"/>
      <c r="E101" s="16" t="n"/>
      <c r="F101" s="13" t="n"/>
      <c r="G101" s="16" t="n"/>
      <c r="H101" s="124">
        <f>IF(G101="","",COUNTIFS($C$18:$C$2015,G$13,$D$18:$D$2015,"&gt;="&amp;G101,$D$18:$D$2015,"&lt;"&amp;G102))</f>
        <v/>
      </c>
      <c r="I101" s="14" t="n"/>
      <c r="J101" s="16" t="n"/>
      <c r="K101" s="124">
        <f>IF(J101="","",COUNTIFS($C$18:$C$2015,J$13,$D$18:$D$2015,"&gt;="&amp;J101,$D$18:$D$2015,"&lt;"&amp;J102))</f>
        <v/>
      </c>
      <c r="L101" s="14" t="n"/>
      <c r="M101" s="16" t="n"/>
      <c r="N101" s="124">
        <f>IF(M101="","",COUNTIFS($C$18:$C$2015,M$13,$D$18:$D$2015,"&gt;="&amp;M101,$D$18:$D$2015,"&lt;"&amp;M102))</f>
        <v/>
      </c>
      <c r="O101" s="14" t="n"/>
      <c r="P101" s="16" t="n"/>
      <c r="Q101" s="124">
        <f>IF(P101="","",COUNTIFS($C$18:$C$2015,P$13,$D$18:$D$2015,"&gt;="&amp;P101,$D$18:$D$2015,"&lt;"&amp;P102))</f>
        <v/>
      </c>
      <c r="R101" s="14" t="n"/>
      <c r="S101" s="16" t="n"/>
      <c r="T101" s="124">
        <f>IF(S101="","",COUNTIFS($C$18:$C$2015,S$13,$D$18:$D$2015,"&gt;="&amp;S101,$D$18:$D$2015,"&lt;"&amp;S102))</f>
        <v/>
      </c>
      <c r="U101" s="14" t="n"/>
      <c r="V101" s="16" t="n"/>
      <c r="W101" s="124">
        <f>IF(V101="","",COUNTIFS($C$18:$C$2015,V$13,$D$18:$D$2015,"&gt;="&amp;V101,$D$18:$D$2015,"&lt;"&amp;V102))</f>
        <v/>
      </c>
      <c r="X101" s="14" t="n"/>
      <c r="Y101" s="16" t="n"/>
      <c r="Z101" s="124">
        <f>IF(Y101="","",COUNTIFS($C$18:$C$2015,Y$13,$D$18:$D$2015,"&gt;="&amp;Y101,$D$18:$D$2015,"&lt;"&amp;Y102))</f>
        <v/>
      </c>
      <c r="AA101" s="14" t="n"/>
      <c r="AB101" s="16" t="n"/>
      <c r="AC101" s="124">
        <f>IF(AB101="","",COUNTIFS($C$18:$C$2015,AB$13,$D$18:$D$2015,"&gt;="&amp;AB101,$D$18:$D$2015,"&lt;"&amp;AB102))</f>
        <v/>
      </c>
      <c r="AD101" s="14" t="n"/>
    </row>
    <row r="102">
      <c r="A102" s="56" t="n"/>
      <c r="B102" s="59" t="n"/>
      <c r="C102" s="59" t="n"/>
      <c r="E102" s="16" t="n"/>
      <c r="F102" s="13" t="n"/>
      <c r="G102" s="16" t="n"/>
      <c r="H102" s="124">
        <f>IF(G102="","",COUNTIFS($C$18:$C$2015,G$13,$D$18:$D$2015,"&gt;="&amp;G102,$D$18:$D$2015,"&lt;"&amp;G103))</f>
        <v/>
      </c>
      <c r="I102" s="14" t="n"/>
      <c r="J102" s="16" t="n"/>
      <c r="K102" s="124">
        <f>IF(J102="","",COUNTIFS($C$18:$C$2015,J$13,$D$18:$D$2015,"&gt;="&amp;J102,$D$18:$D$2015,"&lt;"&amp;J103))</f>
        <v/>
      </c>
      <c r="L102" s="14" t="n"/>
      <c r="M102" s="16" t="n"/>
      <c r="N102" s="124">
        <f>IF(M102="","",COUNTIFS($C$18:$C$2015,M$13,$D$18:$D$2015,"&gt;="&amp;M102,$D$18:$D$2015,"&lt;"&amp;M103))</f>
        <v/>
      </c>
      <c r="O102" s="14" t="n"/>
      <c r="P102" s="16" t="n"/>
      <c r="Q102" s="124">
        <f>IF(P102="","",COUNTIFS($C$18:$C$2015,P$13,$D$18:$D$2015,"&gt;="&amp;P102,$D$18:$D$2015,"&lt;"&amp;P103))</f>
        <v/>
      </c>
      <c r="R102" s="14" t="n"/>
      <c r="S102" s="16" t="n"/>
      <c r="T102" s="124">
        <f>IF(S102="","",COUNTIFS($C$18:$C$2015,S$13,$D$18:$D$2015,"&gt;="&amp;S102,$D$18:$D$2015,"&lt;"&amp;S103))</f>
        <v/>
      </c>
      <c r="U102" s="14" t="n"/>
      <c r="V102" s="16" t="n"/>
      <c r="W102" s="124">
        <f>IF(V102="","",COUNTIFS($C$18:$C$2015,V$13,$D$18:$D$2015,"&gt;="&amp;V102,$D$18:$D$2015,"&lt;"&amp;V103))</f>
        <v/>
      </c>
      <c r="X102" s="14" t="n"/>
      <c r="Y102" s="16" t="n"/>
      <c r="Z102" s="124">
        <f>IF(Y102="","",COUNTIFS($C$18:$C$2015,Y$13,$D$18:$D$2015,"&gt;="&amp;Y102,$D$18:$D$2015,"&lt;"&amp;Y103))</f>
        <v/>
      </c>
      <c r="AA102" s="14" t="n"/>
      <c r="AB102" s="16" t="n"/>
      <c r="AC102" s="124">
        <f>IF(AB102="","",COUNTIFS($C$18:$C$2015,AB$13,$D$18:$D$2015,"&gt;="&amp;AB102,$D$18:$D$2015,"&lt;"&amp;AB103))</f>
        <v/>
      </c>
      <c r="AD102" s="14" t="n"/>
    </row>
    <row r="103">
      <c r="A103" s="58" t="n"/>
      <c r="B103" s="59" t="n"/>
      <c r="C103" s="59" t="n"/>
      <c r="E103" s="16" t="n"/>
      <c r="F103" s="13" t="n"/>
      <c r="G103" s="16" t="n"/>
      <c r="H103" s="124">
        <f>IF(G103="","",COUNTIFS($C$18:$C$2015,G$13,$D$18:$D$2015,"&gt;="&amp;G103,$D$18:$D$2015,"&lt;"&amp;G104))</f>
        <v/>
      </c>
      <c r="I103" s="14" t="n"/>
      <c r="J103" s="16" t="n"/>
      <c r="K103" s="124">
        <f>IF(J103="","",COUNTIFS($C$18:$C$2015,J$13,$D$18:$D$2015,"&gt;="&amp;J103,$D$18:$D$2015,"&lt;"&amp;J104))</f>
        <v/>
      </c>
      <c r="L103" s="14" t="n"/>
      <c r="M103" s="16" t="n"/>
      <c r="N103" s="124">
        <f>IF(M103="","",COUNTIFS($C$18:$C$2015,M$13,$D$18:$D$2015,"&gt;="&amp;M103,$D$18:$D$2015,"&lt;"&amp;M104))</f>
        <v/>
      </c>
      <c r="O103" s="14" t="n"/>
      <c r="P103" s="16" t="n"/>
      <c r="Q103" s="124">
        <f>IF(P103="","",COUNTIFS($C$18:$C$2015,P$13,$D$18:$D$2015,"&gt;="&amp;P103,$D$18:$D$2015,"&lt;"&amp;P104))</f>
        <v/>
      </c>
      <c r="R103" s="14" t="n"/>
      <c r="S103" s="16" t="n"/>
      <c r="T103" s="124">
        <f>IF(S103="","",COUNTIFS($C$18:$C$2015,S$13,$D$18:$D$2015,"&gt;="&amp;S103,$D$18:$D$2015,"&lt;"&amp;S104))</f>
        <v/>
      </c>
      <c r="U103" s="14" t="n"/>
      <c r="V103" s="16" t="n"/>
      <c r="W103" s="124">
        <f>IF(V103="","",COUNTIFS($C$18:$C$2015,V$13,$D$18:$D$2015,"&gt;="&amp;V103,$D$18:$D$2015,"&lt;"&amp;V104))</f>
        <v/>
      </c>
      <c r="X103" s="14" t="n"/>
      <c r="Y103" s="16" t="n"/>
      <c r="Z103" s="124">
        <f>IF(Y103="","",COUNTIFS($C$18:$C$2015,Y$13,$D$18:$D$2015,"&gt;="&amp;Y103,$D$18:$D$2015,"&lt;"&amp;Y104))</f>
        <v/>
      </c>
      <c r="AA103" s="14" t="n"/>
      <c r="AB103" s="16" t="n"/>
      <c r="AC103" s="124">
        <f>IF(AB103="","",COUNTIFS($C$18:$C$2015,AB$13,$D$18:$D$2015,"&gt;="&amp;AB103,$D$18:$D$2015,"&lt;"&amp;AB104))</f>
        <v/>
      </c>
      <c r="AD103" s="14" t="n"/>
    </row>
    <row r="104">
      <c r="A104" s="56" t="n"/>
      <c r="B104" s="59" t="n"/>
      <c r="C104" s="59" t="n"/>
      <c r="E104" s="16" t="n"/>
      <c r="F104" s="13" t="n"/>
      <c r="G104" s="16" t="n"/>
      <c r="H104" s="124">
        <f>IF(G104="","",COUNTIFS($C$18:$C$2015,G$13,$D$18:$D$2015,"&gt;="&amp;G104,$D$18:$D$2015,"&lt;"&amp;G105))</f>
        <v/>
      </c>
      <c r="I104" s="14" t="n"/>
      <c r="J104" s="16" t="n"/>
      <c r="K104" s="124">
        <f>IF(J104="","",COUNTIFS($C$18:$C$2015,J$13,$D$18:$D$2015,"&gt;="&amp;J104,$D$18:$D$2015,"&lt;"&amp;J105))</f>
        <v/>
      </c>
      <c r="L104" s="14" t="n"/>
      <c r="M104" s="16" t="n"/>
      <c r="N104" s="124">
        <f>IF(M104="","",COUNTIFS($C$18:$C$2015,M$13,$D$18:$D$2015,"&gt;="&amp;M104,$D$18:$D$2015,"&lt;"&amp;M105))</f>
        <v/>
      </c>
      <c r="O104" s="14" t="n"/>
      <c r="P104" s="16" t="n"/>
      <c r="Q104" s="124">
        <f>IF(P104="","",COUNTIFS($C$18:$C$2015,P$13,$D$18:$D$2015,"&gt;="&amp;P104,$D$18:$D$2015,"&lt;"&amp;P105))</f>
        <v/>
      </c>
      <c r="R104" s="14" t="n"/>
      <c r="S104" s="16" t="n"/>
      <c r="T104" s="124">
        <f>IF(S104="","",COUNTIFS($C$18:$C$2015,S$13,$D$18:$D$2015,"&gt;="&amp;S104,$D$18:$D$2015,"&lt;"&amp;S105))</f>
        <v/>
      </c>
      <c r="U104" s="14" t="n"/>
      <c r="V104" s="16" t="n"/>
      <c r="W104" s="124">
        <f>IF(V104="","",COUNTIFS($C$18:$C$2015,V$13,$D$18:$D$2015,"&gt;="&amp;V104,$D$18:$D$2015,"&lt;"&amp;V105))</f>
        <v/>
      </c>
      <c r="X104" s="14" t="n"/>
      <c r="Y104" s="16" t="n"/>
      <c r="Z104" s="124">
        <f>IF(Y104="","",COUNTIFS($C$18:$C$2015,Y$13,$D$18:$D$2015,"&gt;="&amp;Y104,$D$18:$D$2015,"&lt;"&amp;Y105))</f>
        <v/>
      </c>
      <c r="AA104" s="14" t="n"/>
      <c r="AB104" s="16" t="n"/>
      <c r="AC104" s="124">
        <f>IF(AB104="","",COUNTIFS($C$18:$C$2015,AB$13,$D$18:$D$2015,"&gt;="&amp;AB104,$D$18:$D$2015,"&lt;"&amp;AB105))</f>
        <v/>
      </c>
      <c r="AD104" s="14" t="n"/>
    </row>
    <row r="105">
      <c r="A105" s="58" t="n"/>
      <c r="B105" s="59" t="n"/>
      <c r="C105" s="59" t="n"/>
      <c r="E105" s="16" t="n"/>
      <c r="F105" s="13" t="n"/>
      <c r="G105" s="16" t="n"/>
      <c r="H105" s="124">
        <f>IF(G105="","",COUNTIFS($C$18:$C$2015,G$13,$D$18:$D$2015,"&gt;="&amp;G105,$D$18:$D$2015,"&lt;"&amp;G106))</f>
        <v/>
      </c>
      <c r="I105" s="14" t="n"/>
      <c r="J105" s="16" t="n"/>
      <c r="K105" s="124">
        <f>IF(J105="","",COUNTIFS($C$18:$C$2015,J$13,$D$18:$D$2015,"&gt;="&amp;J105,$D$18:$D$2015,"&lt;"&amp;J106))</f>
        <v/>
      </c>
      <c r="L105" s="14" t="n"/>
      <c r="M105" s="16" t="n"/>
      <c r="N105" s="124">
        <f>IF(M105="","",COUNTIFS($C$18:$C$2015,M$13,$D$18:$D$2015,"&gt;="&amp;M105,$D$18:$D$2015,"&lt;"&amp;M106))</f>
        <v/>
      </c>
      <c r="O105" s="14" t="n"/>
      <c r="P105" s="16" t="n"/>
      <c r="Q105" s="124">
        <f>IF(P105="","",COUNTIFS($C$18:$C$2015,P$13,$D$18:$D$2015,"&gt;="&amp;P105,$D$18:$D$2015,"&lt;"&amp;P106))</f>
        <v/>
      </c>
      <c r="R105" s="14" t="n"/>
      <c r="S105" s="16" t="n"/>
      <c r="T105" s="124">
        <f>IF(S105="","",COUNTIFS($C$18:$C$2015,S$13,$D$18:$D$2015,"&gt;="&amp;S105,$D$18:$D$2015,"&lt;"&amp;S106))</f>
        <v/>
      </c>
      <c r="U105" s="14" t="n"/>
      <c r="V105" s="16" t="n"/>
      <c r="W105" s="124">
        <f>IF(V105="","",COUNTIFS($C$18:$C$2015,V$13,$D$18:$D$2015,"&gt;="&amp;V105,$D$18:$D$2015,"&lt;"&amp;V106))</f>
        <v/>
      </c>
      <c r="X105" s="14" t="n"/>
      <c r="Y105" s="16" t="n"/>
      <c r="Z105" s="124">
        <f>IF(Y105="","",COUNTIFS($C$18:$C$2015,Y$13,$D$18:$D$2015,"&gt;="&amp;Y105,$D$18:$D$2015,"&lt;"&amp;Y106))</f>
        <v/>
      </c>
      <c r="AA105" s="14" t="n"/>
      <c r="AB105" s="16" t="n"/>
      <c r="AC105" s="124">
        <f>IF(AB105="","",COUNTIFS($C$18:$C$2015,AB$13,$D$18:$D$2015,"&gt;="&amp;AB105,$D$18:$D$2015,"&lt;"&amp;AB106))</f>
        <v/>
      </c>
      <c r="AD105" s="14" t="n"/>
    </row>
    <row r="106">
      <c r="A106" s="56" t="n"/>
      <c r="B106" s="59" t="n"/>
      <c r="C106" s="59" t="n"/>
      <c r="E106" s="16" t="n"/>
      <c r="F106" s="13" t="n"/>
      <c r="G106" s="16" t="n"/>
      <c r="H106" s="124">
        <f>IF(G106="","",COUNTIFS($C$18:$C$2015,G$13,$D$18:$D$2015,"&gt;="&amp;G106,$D$18:$D$2015,"&lt;"&amp;G107))</f>
        <v/>
      </c>
      <c r="I106" s="14" t="n"/>
      <c r="J106" s="16" t="n"/>
      <c r="K106" s="124">
        <f>IF(J106="","",COUNTIFS($C$18:$C$2015,J$13,$D$18:$D$2015,"&gt;="&amp;J106,$D$18:$D$2015,"&lt;"&amp;J107))</f>
        <v/>
      </c>
      <c r="L106" s="14" t="n"/>
      <c r="M106" s="16" t="n"/>
      <c r="N106" s="124">
        <f>IF(M106="","",COUNTIFS($C$18:$C$2015,M$13,$D$18:$D$2015,"&gt;="&amp;M106,$D$18:$D$2015,"&lt;"&amp;M107))</f>
        <v/>
      </c>
      <c r="O106" s="14" t="n"/>
      <c r="P106" s="16" t="n"/>
      <c r="Q106" s="124">
        <f>IF(P106="","",COUNTIFS($C$18:$C$2015,P$13,$D$18:$D$2015,"&gt;="&amp;P106,$D$18:$D$2015,"&lt;"&amp;P107))</f>
        <v/>
      </c>
      <c r="R106" s="14" t="n"/>
      <c r="S106" s="16" t="n"/>
      <c r="T106" s="124">
        <f>IF(S106="","",COUNTIFS($C$18:$C$2015,S$13,$D$18:$D$2015,"&gt;="&amp;S106,$D$18:$D$2015,"&lt;"&amp;S107))</f>
        <v/>
      </c>
      <c r="U106" s="14" t="n"/>
      <c r="V106" s="16" t="n"/>
      <c r="W106" s="124">
        <f>IF(V106="","",COUNTIFS($C$18:$C$2015,V$13,$D$18:$D$2015,"&gt;="&amp;V106,$D$18:$D$2015,"&lt;"&amp;V107))</f>
        <v/>
      </c>
      <c r="X106" s="14" t="n"/>
      <c r="Y106" s="16" t="n"/>
      <c r="Z106" s="124">
        <f>IF(Y106="","",COUNTIFS($C$18:$C$2015,Y$13,$D$18:$D$2015,"&gt;="&amp;Y106,$D$18:$D$2015,"&lt;"&amp;Y107))</f>
        <v/>
      </c>
      <c r="AA106" s="14" t="n"/>
      <c r="AB106" s="16" t="n"/>
      <c r="AC106" s="124">
        <f>IF(AB106="","",COUNTIFS($C$18:$C$2015,AB$13,$D$18:$D$2015,"&gt;="&amp;AB106,$D$18:$D$2015,"&lt;"&amp;AB107))</f>
        <v/>
      </c>
      <c r="AD106" s="14" t="n"/>
    </row>
    <row r="107">
      <c r="A107" s="58" t="n"/>
      <c r="B107" s="59" t="n"/>
      <c r="C107" s="59" t="n"/>
      <c r="E107" s="16" t="n"/>
      <c r="F107" s="13" t="n"/>
      <c r="G107" s="16" t="n"/>
      <c r="H107" s="124">
        <f>IF(G107="","",COUNTIFS($C$18:$C$2015,G$13,$D$18:$D$2015,"&gt;="&amp;G107,$D$18:$D$2015,"&lt;"&amp;G108))</f>
        <v/>
      </c>
      <c r="I107" s="14" t="n"/>
      <c r="J107" s="16" t="n"/>
      <c r="K107" s="124">
        <f>IF(J107="","",COUNTIFS($C$18:$C$2015,J$13,$D$18:$D$2015,"&gt;="&amp;J107,$D$18:$D$2015,"&lt;"&amp;J108))</f>
        <v/>
      </c>
      <c r="L107" s="14" t="n"/>
      <c r="M107" s="16" t="n"/>
      <c r="N107" s="124">
        <f>IF(M107="","",COUNTIFS($C$18:$C$2015,M$13,$D$18:$D$2015,"&gt;="&amp;M107,$D$18:$D$2015,"&lt;"&amp;M108))</f>
        <v/>
      </c>
      <c r="O107" s="14" t="n"/>
      <c r="P107" s="16" t="n"/>
      <c r="Q107" s="124">
        <f>IF(P107="","",COUNTIFS($C$18:$C$2015,P$13,$D$18:$D$2015,"&gt;="&amp;P107,$D$18:$D$2015,"&lt;"&amp;P108))</f>
        <v/>
      </c>
      <c r="R107" s="14" t="n"/>
      <c r="S107" s="16" t="n"/>
      <c r="T107" s="124">
        <f>IF(S107="","",COUNTIFS($C$18:$C$2015,S$13,$D$18:$D$2015,"&gt;="&amp;S107,$D$18:$D$2015,"&lt;"&amp;S108))</f>
        <v/>
      </c>
      <c r="U107" s="14" t="n"/>
      <c r="V107" s="16" t="n"/>
      <c r="W107" s="124">
        <f>IF(V107="","",COUNTIFS($C$18:$C$2015,V$13,$D$18:$D$2015,"&gt;="&amp;V107,$D$18:$D$2015,"&lt;"&amp;V108))</f>
        <v/>
      </c>
      <c r="X107" s="14" t="n"/>
      <c r="Y107" s="16" t="n"/>
      <c r="Z107" s="124">
        <f>IF(Y107="","",COUNTIFS($C$18:$C$2015,Y$13,$D$18:$D$2015,"&gt;="&amp;Y107,$D$18:$D$2015,"&lt;"&amp;Y108))</f>
        <v/>
      </c>
      <c r="AA107" s="14" t="n"/>
      <c r="AB107" s="16" t="n"/>
      <c r="AC107" s="124">
        <f>IF(AB107="","",COUNTIFS($C$18:$C$2015,AB$13,$D$18:$D$2015,"&gt;="&amp;AB107,$D$18:$D$2015,"&lt;"&amp;AB108))</f>
        <v/>
      </c>
      <c r="AD107" s="14" t="n"/>
    </row>
    <row r="108">
      <c r="A108" s="56" t="n"/>
      <c r="B108" s="59" t="n"/>
      <c r="C108" s="59" t="n"/>
      <c r="E108" s="16" t="n"/>
      <c r="F108" s="13" t="n"/>
      <c r="G108" s="16" t="n"/>
      <c r="H108" s="124">
        <f>IF(G108="","",COUNTIFS($C$18:$C$2015,G$13,$D$18:$D$2015,"&gt;="&amp;G108,$D$18:$D$2015,"&lt;"&amp;G109))</f>
        <v/>
      </c>
      <c r="I108" s="14" t="n"/>
      <c r="J108" s="16" t="n"/>
      <c r="K108" s="124">
        <f>IF(J108="","",COUNTIFS($C$18:$C$2015,J$13,$D$18:$D$2015,"&gt;="&amp;J108,$D$18:$D$2015,"&lt;"&amp;J109))</f>
        <v/>
      </c>
      <c r="L108" s="14" t="n"/>
      <c r="M108" s="16" t="n"/>
      <c r="N108" s="124">
        <f>IF(M108="","",COUNTIFS($C$18:$C$2015,M$13,$D$18:$D$2015,"&gt;="&amp;M108,$D$18:$D$2015,"&lt;"&amp;M109))</f>
        <v/>
      </c>
      <c r="O108" s="14" t="n"/>
      <c r="P108" s="16" t="n"/>
      <c r="Q108" s="124">
        <f>IF(P108="","",COUNTIFS($C$18:$C$2015,P$13,$D$18:$D$2015,"&gt;="&amp;P108,$D$18:$D$2015,"&lt;"&amp;P109))</f>
        <v/>
      </c>
      <c r="R108" s="14" t="n"/>
      <c r="S108" s="16" t="n"/>
      <c r="T108" s="124">
        <f>IF(S108="","",COUNTIFS($C$18:$C$2015,S$13,$D$18:$D$2015,"&gt;="&amp;S108,$D$18:$D$2015,"&lt;"&amp;S109))</f>
        <v/>
      </c>
      <c r="U108" s="14" t="n"/>
      <c r="V108" s="16" t="n"/>
      <c r="W108" s="124">
        <f>IF(V108="","",COUNTIFS($C$18:$C$2015,V$13,$D$18:$D$2015,"&gt;="&amp;V108,$D$18:$D$2015,"&lt;"&amp;V109))</f>
        <v/>
      </c>
      <c r="X108" s="14" t="n"/>
      <c r="Y108" s="16" t="n"/>
      <c r="Z108" s="124">
        <f>IF(Y108="","",COUNTIFS($C$18:$C$2015,Y$13,$D$18:$D$2015,"&gt;="&amp;Y108,$D$18:$D$2015,"&lt;"&amp;Y109))</f>
        <v/>
      </c>
      <c r="AA108" s="14" t="n"/>
      <c r="AB108" s="16" t="n"/>
      <c r="AC108" s="124">
        <f>IF(AB108="","",COUNTIFS($C$18:$C$2015,AB$13,$D$18:$D$2015,"&gt;="&amp;AB108,$D$18:$D$2015,"&lt;"&amp;AB109))</f>
        <v/>
      </c>
      <c r="AD108" s="14" t="n"/>
    </row>
    <row r="109">
      <c r="A109" s="58" t="n"/>
      <c r="B109" s="59" t="n"/>
      <c r="C109" s="59" t="n"/>
      <c r="E109" s="16" t="n"/>
      <c r="F109" s="13" t="n"/>
      <c r="G109" s="16" t="n"/>
      <c r="H109" s="124">
        <f>IF(G109="","",COUNTIFS($C$18:$C$2015,G$13,$D$18:$D$2015,"&gt;="&amp;G109,$D$18:$D$2015,"&lt;"&amp;G110))</f>
        <v/>
      </c>
      <c r="I109" s="14" t="n"/>
      <c r="J109" s="16" t="n"/>
      <c r="K109" s="124">
        <f>IF(J109="","",COUNTIFS($C$18:$C$2015,J$13,$D$18:$D$2015,"&gt;="&amp;J109,$D$18:$D$2015,"&lt;"&amp;J110))</f>
        <v/>
      </c>
      <c r="L109" s="14" t="n"/>
      <c r="M109" s="16" t="n"/>
      <c r="N109" s="124">
        <f>IF(M109="","",COUNTIFS($C$18:$C$2015,M$13,$D$18:$D$2015,"&gt;="&amp;M109,$D$18:$D$2015,"&lt;"&amp;M110))</f>
        <v/>
      </c>
      <c r="O109" s="14" t="n"/>
      <c r="P109" s="16" t="n"/>
      <c r="Q109" s="124">
        <f>IF(P109="","",COUNTIFS($C$18:$C$2015,P$13,$D$18:$D$2015,"&gt;="&amp;P109,$D$18:$D$2015,"&lt;"&amp;P110))</f>
        <v/>
      </c>
      <c r="R109" s="14" t="n"/>
      <c r="S109" s="16" t="n"/>
      <c r="T109" s="124">
        <f>IF(S109="","",COUNTIFS($C$18:$C$2015,S$13,$D$18:$D$2015,"&gt;="&amp;S109,$D$18:$D$2015,"&lt;"&amp;S110))</f>
        <v/>
      </c>
      <c r="U109" s="14" t="n"/>
      <c r="V109" s="16" t="n"/>
      <c r="W109" s="124">
        <f>IF(V109="","",COUNTIFS($C$18:$C$2015,V$13,$D$18:$D$2015,"&gt;="&amp;V109,$D$18:$D$2015,"&lt;"&amp;V110))</f>
        <v/>
      </c>
      <c r="X109" s="14" t="n"/>
      <c r="Y109" s="16" t="n"/>
      <c r="Z109" s="124">
        <f>IF(Y109="","",COUNTIFS($C$18:$C$2015,Y$13,$D$18:$D$2015,"&gt;="&amp;Y109,$D$18:$D$2015,"&lt;"&amp;Y110))</f>
        <v/>
      </c>
      <c r="AA109" s="14" t="n"/>
      <c r="AB109" s="16" t="n"/>
      <c r="AC109" s="124">
        <f>IF(AB109="","",COUNTIFS($C$18:$C$2015,AB$13,$D$18:$D$2015,"&gt;="&amp;AB109,$D$18:$D$2015,"&lt;"&amp;AB110))</f>
        <v/>
      </c>
      <c r="AD109" s="14" t="n"/>
    </row>
    <row r="110">
      <c r="A110" s="56" t="n"/>
      <c r="B110" s="59" t="n"/>
      <c r="C110" s="59" t="n"/>
      <c r="E110" s="16" t="n"/>
      <c r="F110" s="13" t="n"/>
      <c r="G110" s="16" t="n"/>
      <c r="H110" s="124">
        <f>IF(G110="","",COUNTIFS($C$18:$C$2015,G$13,$D$18:$D$2015,"&gt;="&amp;G110,$D$18:$D$2015,"&lt;"&amp;G111))</f>
        <v/>
      </c>
      <c r="I110" s="14" t="n"/>
      <c r="J110" s="16" t="n"/>
      <c r="K110" s="124">
        <f>IF(J110="","",COUNTIFS($C$18:$C$2015,J$13,$D$18:$D$2015,"&gt;="&amp;J110,$D$18:$D$2015,"&lt;"&amp;J111))</f>
        <v/>
      </c>
      <c r="L110" s="14" t="n"/>
      <c r="M110" s="16" t="n"/>
      <c r="N110" s="124">
        <f>IF(M110="","",COUNTIFS($C$18:$C$2015,M$13,$D$18:$D$2015,"&gt;="&amp;M110,$D$18:$D$2015,"&lt;"&amp;M111))</f>
        <v/>
      </c>
      <c r="O110" s="14" t="n"/>
      <c r="P110" s="16" t="n"/>
      <c r="Q110" s="124">
        <f>IF(P110="","",COUNTIFS($C$18:$C$2015,P$13,$D$18:$D$2015,"&gt;="&amp;P110,$D$18:$D$2015,"&lt;"&amp;P111))</f>
        <v/>
      </c>
      <c r="R110" s="14" t="n"/>
      <c r="S110" s="16" t="n"/>
      <c r="T110" s="124">
        <f>IF(S110="","",COUNTIFS($C$18:$C$2015,S$13,$D$18:$D$2015,"&gt;="&amp;S110,$D$18:$D$2015,"&lt;"&amp;S111))</f>
        <v/>
      </c>
      <c r="U110" s="14" t="n"/>
      <c r="V110" s="16" t="n"/>
      <c r="W110" s="124">
        <f>IF(V110="","",COUNTIFS($C$18:$C$2015,V$13,$D$18:$D$2015,"&gt;="&amp;V110,$D$18:$D$2015,"&lt;"&amp;V111))</f>
        <v/>
      </c>
      <c r="X110" s="14" t="n"/>
      <c r="Y110" s="16" t="n"/>
      <c r="Z110" s="124">
        <f>IF(Y110="","",COUNTIFS($C$18:$C$2015,Y$13,$D$18:$D$2015,"&gt;="&amp;Y110,$D$18:$D$2015,"&lt;"&amp;Y111))</f>
        <v/>
      </c>
      <c r="AA110" s="14" t="n"/>
      <c r="AB110" s="16" t="n"/>
      <c r="AC110" s="124">
        <f>IF(AB110="","",COUNTIFS($C$18:$C$2015,AB$13,$D$18:$D$2015,"&gt;="&amp;AB110,$D$18:$D$2015,"&lt;"&amp;AB111))</f>
        <v/>
      </c>
      <c r="AD110" s="14" t="n"/>
    </row>
    <row r="111">
      <c r="A111" s="58" t="n"/>
      <c r="B111" s="59" t="n"/>
      <c r="C111" s="59" t="n"/>
      <c r="E111" s="16" t="n"/>
      <c r="F111" s="13" t="n"/>
      <c r="G111" s="16" t="n"/>
      <c r="H111" s="124">
        <f>IF(G111="","",COUNTIFS($C$18:$C$2015,G$13,$D$18:$D$2015,"&gt;="&amp;G111,$D$18:$D$2015,"&lt;"&amp;G112))</f>
        <v/>
      </c>
      <c r="I111" s="14" t="n"/>
      <c r="J111" s="16" t="n"/>
      <c r="K111" s="124">
        <f>IF(J111="","",COUNTIFS($C$18:$C$2015,J$13,$D$18:$D$2015,"&gt;="&amp;J111,$D$18:$D$2015,"&lt;"&amp;J112))</f>
        <v/>
      </c>
      <c r="L111" s="14" t="n"/>
      <c r="M111" s="16" t="n"/>
      <c r="N111" s="124">
        <f>IF(M111="","",COUNTIFS($C$18:$C$2015,M$13,$D$18:$D$2015,"&gt;="&amp;M111,$D$18:$D$2015,"&lt;"&amp;M112))</f>
        <v/>
      </c>
      <c r="O111" s="14" t="n"/>
      <c r="P111" s="16" t="n"/>
      <c r="Q111" s="124">
        <f>IF(P111="","",COUNTIFS($C$18:$C$2015,P$13,$D$18:$D$2015,"&gt;="&amp;P111,$D$18:$D$2015,"&lt;"&amp;P112))</f>
        <v/>
      </c>
      <c r="R111" s="14" t="n"/>
      <c r="S111" s="16" t="n"/>
      <c r="T111" s="124">
        <f>IF(S111="","",COUNTIFS($C$18:$C$2015,S$13,$D$18:$D$2015,"&gt;="&amp;S111,$D$18:$D$2015,"&lt;"&amp;S112))</f>
        <v/>
      </c>
      <c r="U111" s="14" t="n"/>
      <c r="V111" s="16" t="n"/>
      <c r="W111" s="124">
        <f>IF(V111="","",COUNTIFS($C$18:$C$2015,V$13,$D$18:$D$2015,"&gt;="&amp;V111,$D$18:$D$2015,"&lt;"&amp;V112))</f>
        <v/>
      </c>
      <c r="X111" s="14" t="n"/>
      <c r="Y111" s="16" t="n"/>
      <c r="Z111" s="124">
        <f>IF(Y111="","",COUNTIFS($C$18:$C$2015,Y$13,$D$18:$D$2015,"&gt;="&amp;Y111,$D$18:$D$2015,"&lt;"&amp;Y112))</f>
        <v/>
      </c>
      <c r="AA111" s="14" t="n"/>
      <c r="AB111" s="16" t="n"/>
      <c r="AC111" s="124">
        <f>IF(AB111="","",COUNTIFS($C$18:$C$2015,AB$13,$D$18:$D$2015,"&gt;="&amp;AB111,$D$18:$D$2015,"&lt;"&amp;AB112))</f>
        <v/>
      </c>
      <c r="AD111" s="14" t="n"/>
    </row>
    <row r="112">
      <c r="A112" s="56" t="n"/>
      <c r="B112" s="59" t="n"/>
      <c r="C112" s="59" t="n"/>
      <c r="E112" s="16" t="n"/>
      <c r="F112" s="13" t="n"/>
      <c r="G112" s="16" t="n"/>
      <c r="H112" s="124">
        <f>IF(G112="","",COUNTIFS($C$18:$C$2015,G$13,$D$18:$D$2015,"&gt;="&amp;G112,$D$18:$D$2015,"&lt;"&amp;G113))</f>
        <v/>
      </c>
      <c r="I112" s="14" t="n"/>
      <c r="J112" s="16" t="n"/>
      <c r="K112" s="124">
        <f>IF(J112="","",COUNTIFS($C$18:$C$2015,J$13,$D$18:$D$2015,"&gt;="&amp;J112,$D$18:$D$2015,"&lt;"&amp;J113))</f>
        <v/>
      </c>
      <c r="L112" s="14" t="n"/>
      <c r="M112" s="16" t="n"/>
      <c r="N112" s="124">
        <f>IF(M112="","",COUNTIFS($C$18:$C$2015,M$13,$D$18:$D$2015,"&gt;="&amp;M112,$D$18:$D$2015,"&lt;"&amp;M113))</f>
        <v/>
      </c>
      <c r="O112" s="14" t="n"/>
      <c r="P112" s="16" t="n"/>
      <c r="Q112" s="124">
        <f>IF(P112="","",COUNTIFS($C$18:$C$2015,P$13,$D$18:$D$2015,"&gt;="&amp;P112,$D$18:$D$2015,"&lt;"&amp;P113))</f>
        <v/>
      </c>
      <c r="R112" s="14" t="n"/>
      <c r="S112" s="16" t="n"/>
      <c r="T112" s="124">
        <f>IF(S112="","",COUNTIFS($C$18:$C$2015,S$13,$D$18:$D$2015,"&gt;="&amp;S112,$D$18:$D$2015,"&lt;"&amp;S113))</f>
        <v/>
      </c>
      <c r="U112" s="14" t="n"/>
      <c r="V112" s="16" t="n"/>
      <c r="W112" s="124">
        <f>IF(V112="","",COUNTIFS($C$18:$C$2015,V$13,$D$18:$D$2015,"&gt;="&amp;V112,$D$18:$D$2015,"&lt;"&amp;V113))</f>
        <v/>
      </c>
      <c r="X112" s="14" t="n"/>
      <c r="Y112" s="16" t="n"/>
      <c r="Z112" s="124">
        <f>IF(Y112="","",COUNTIFS($C$18:$C$2015,Y$13,$D$18:$D$2015,"&gt;="&amp;Y112,$D$18:$D$2015,"&lt;"&amp;Y113))</f>
        <v/>
      </c>
      <c r="AA112" s="14" t="n"/>
      <c r="AB112" s="16" t="n"/>
      <c r="AC112" s="124">
        <f>IF(AB112="","",COUNTIFS($C$18:$C$2015,AB$13,$D$18:$D$2015,"&gt;="&amp;AB112,$D$18:$D$2015,"&lt;"&amp;AB113))</f>
        <v/>
      </c>
      <c r="AD112" s="14" t="n"/>
    </row>
    <row r="113">
      <c r="A113" s="58" t="n"/>
      <c r="B113" s="59" t="n"/>
      <c r="C113" s="59" t="n"/>
      <c r="E113" s="16" t="n"/>
      <c r="F113" s="13" t="n"/>
      <c r="G113" s="16" t="n"/>
      <c r="H113" s="124">
        <f>IF(G113="","",COUNTIFS($C$18:$C$2015,G$13,$D$18:$D$2015,"&gt;="&amp;G113,$D$18:$D$2015,"&lt;"&amp;G114))</f>
        <v/>
      </c>
      <c r="I113" s="14" t="n"/>
      <c r="J113" s="16" t="n"/>
      <c r="K113" s="124">
        <f>IF(J113="","",COUNTIFS($C$18:$C$2015,J$13,$D$18:$D$2015,"&gt;="&amp;J113,$D$18:$D$2015,"&lt;"&amp;J114))</f>
        <v/>
      </c>
      <c r="L113" s="14" t="n"/>
      <c r="M113" s="16" t="n"/>
      <c r="N113" s="124">
        <f>IF(M113="","",COUNTIFS($C$18:$C$2015,M$13,$D$18:$D$2015,"&gt;="&amp;M113,$D$18:$D$2015,"&lt;"&amp;M114))</f>
        <v/>
      </c>
      <c r="O113" s="14" t="n"/>
      <c r="P113" s="16" t="n"/>
      <c r="Q113" s="124">
        <f>IF(P113="","",COUNTIFS($C$18:$C$2015,P$13,$D$18:$D$2015,"&gt;="&amp;P113,$D$18:$D$2015,"&lt;"&amp;P114))</f>
        <v/>
      </c>
      <c r="R113" s="14" t="n"/>
      <c r="S113" s="16" t="n"/>
      <c r="T113" s="124">
        <f>IF(S113="","",COUNTIFS($C$18:$C$2015,S$13,$D$18:$D$2015,"&gt;="&amp;S113,$D$18:$D$2015,"&lt;"&amp;S114))</f>
        <v/>
      </c>
      <c r="U113" s="14" t="n"/>
      <c r="V113" s="16" t="n"/>
      <c r="W113" s="124">
        <f>IF(V113="","",COUNTIFS($C$18:$C$2015,V$13,$D$18:$D$2015,"&gt;="&amp;V113,$D$18:$D$2015,"&lt;"&amp;V114))</f>
        <v/>
      </c>
      <c r="X113" s="14" t="n"/>
      <c r="Y113" s="16" t="n"/>
      <c r="Z113" s="124">
        <f>IF(Y113="","",COUNTIFS($C$18:$C$2015,Y$13,$D$18:$D$2015,"&gt;="&amp;Y113,$D$18:$D$2015,"&lt;"&amp;Y114))</f>
        <v/>
      </c>
      <c r="AA113" s="14" t="n"/>
      <c r="AB113" s="16" t="n"/>
      <c r="AC113" s="124">
        <f>IF(AB113="","",COUNTIFS($C$18:$C$2015,AB$13,$D$18:$D$2015,"&gt;="&amp;AB113,$D$18:$D$2015,"&lt;"&amp;AB114))</f>
        <v/>
      </c>
      <c r="AD113" s="14" t="n"/>
    </row>
    <row r="114">
      <c r="A114" s="56" t="n"/>
      <c r="B114" s="59" t="n"/>
      <c r="C114" s="59" t="n"/>
      <c r="E114" s="16" t="n"/>
      <c r="F114" s="13" t="n"/>
      <c r="G114" s="16" t="n"/>
      <c r="H114" s="124">
        <f>IF(G114="","",COUNTIFS($C$18:$C$2015,G$13,$D$18:$D$2015,"&gt;="&amp;G114,$D$18:$D$2015,"&lt;"&amp;G115))</f>
        <v/>
      </c>
      <c r="I114" s="14" t="n"/>
      <c r="J114" s="16" t="n"/>
      <c r="K114" s="124">
        <f>IF(J114="","",COUNTIFS($C$18:$C$2015,J$13,$D$18:$D$2015,"&gt;="&amp;J114,$D$18:$D$2015,"&lt;"&amp;J115))</f>
        <v/>
      </c>
      <c r="L114" s="14" t="n"/>
      <c r="M114" s="16" t="n"/>
      <c r="N114" s="124">
        <f>IF(M114="","",COUNTIFS($C$18:$C$2015,M$13,$D$18:$D$2015,"&gt;="&amp;M114,$D$18:$D$2015,"&lt;"&amp;M115))</f>
        <v/>
      </c>
      <c r="O114" s="14" t="n"/>
      <c r="P114" s="16" t="n"/>
      <c r="Q114" s="124">
        <f>IF(P114="","",COUNTIFS($C$18:$C$2015,P$13,$D$18:$D$2015,"&gt;="&amp;P114,$D$18:$D$2015,"&lt;"&amp;P115))</f>
        <v/>
      </c>
      <c r="R114" s="14" t="n"/>
      <c r="S114" s="16" t="n"/>
      <c r="T114" s="124">
        <f>IF(S114="","",COUNTIFS($C$18:$C$2015,S$13,$D$18:$D$2015,"&gt;="&amp;S114,$D$18:$D$2015,"&lt;"&amp;S115))</f>
        <v/>
      </c>
      <c r="U114" s="14" t="n"/>
      <c r="V114" s="16" t="n"/>
      <c r="W114" s="124">
        <f>IF(V114="","",COUNTIFS($C$18:$C$2015,V$13,$D$18:$D$2015,"&gt;="&amp;V114,$D$18:$D$2015,"&lt;"&amp;V115))</f>
        <v/>
      </c>
      <c r="X114" s="14" t="n"/>
      <c r="Y114" s="16" t="n"/>
      <c r="Z114" s="124">
        <f>IF(Y114="","",COUNTIFS($C$18:$C$2015,Y$13,$D$18:$D$2015,"&gt;="&amp;Y114,$D$18:$D$2015,"&lt;"&amp;Y115))</f>
        <v/>
      </c>
      <c r="AA114" s="14" t="n"/>
      <c r="AB114" s="16" t="n"/>
      <c r="AC114" s="124">
        <f>IF(AB114="","",COUNTIFS($C$18:$C$2015,AB$13,$D$18:$D$2015,"&gt;="&amp;AB114,$D$18:$D$2015,"&lt;"&amp;AB115))</f>
        <v/>
      </c>
      <c r="AD114" s="14" t="n"/>
    </row>
    <row r="115">
      <c r="A115" s="58" t="n"/>
      <c r="B115" s="59" t="n"/>
      <c r="C115" s="59" t="n"/>
      <c r="E115" s="16" t="n"/>
      <c r="F115" s="13" t="n"/>
      <c r="G115" s="16" t="n"/>
      <c r="H115" s="124">
        <f>IF(G115="","",COUNTIFS($C$18:$C$2015,G$13,$D$18:$D$2015,"&gt;="&amp;G115,$D$18:$D$2015,"&lt;"&amp;G116))</f>
        <v/>
      </c>
      <c r="I115" s="14" t="n"/>
      <c r="J115" s="16" t="n"/>
      <c r="K115" s="124">
        <f>IF(J115="","",COUNTIFS($C$18:$C$2015,J$13,$D$18:$D$2015,"&gt;="&amp;J115,$D$18:$D$2015,"&lt;"&amp;J116))</f>
        <v/>
      </c>
      <c r="L115" s="14" t="n"/>
      <c r="M115" s="16" t="n"/>
      <c r="N115" s="124">
        <f>IF(M115="","",COUNTIFS($C$18:$C$2015,M$13,$D$18:$D$2015,"&gt;="&amp;M115,$D$18:$D$2015,"&lt;"&amp;M116))</f>
        <v/>
      </c>
      <c r="O115" s="14" t="n"/>
      <c r="P115" s="16" t="n"/>
      <c r="Q115" s="124">
        <f>IF(P115="","",COUNTIFS($C$18:$C$2015,P$13,$D$18:$D$2015,"&gt;="&amp;P115,$D$18:$D$2015,"&lt;"&amp;P116))</f>
        <v/>
      </c>
      <c r="R115" s="14" t="n"/>
      <c r="S115" s="16" t="n"/>
      <c r="T115" s="124">
        <f>IF(S115="","",COUNTIFS($C$18:$C$2015,S$13,$D$18:$D$2015,"&gt;="&amp;S115,$D$18:$D$2015,"&lt;"&amp;S116))</f>
        <v/>
      </c>
      <c r="U115" s="14" t="n"/>
      <c r="V115" s="16" t="n"/>
      <c r="W115" s="124">
        <f>IF(V115="","",COUNTIFS($C$18:$C$2015,V$13,$D$18:$D$2015,"&gt;="&amp;V115,$D$18:$D$2015,"&lt;"&amp;V116))</f>
        <v/>
      </c>
      <c r="X115" s="14" t="n"/>
      <c r="Y115" s="16" t="n"/>
      <c r="Z115" s="124">
        <f>IF(Y115="","",COUNTIFS($C$18:$C$2015,Y$13,$D$18:$D$2015,"&gt;="&amp;Y115,$D$18:$D$2015,"&lt;"&amp;Y116))</f>
        <v/>
      </c>
      <c r="AA115" s="14" t="n"/>
      <c r="AB115" s="16" t="n"/>
      <c r="AC115" s="124">
        <f>IF(AB115="","",COUNTIFS($C$18:$C$2015,AB$13,$D$18:$D$2015,"&gt;="&amp;AB115,$D$18:$D$2015,"&lt;"&amp;AB116))</f>
        <v/>
      </c>
      <c r="AD115" s="14" t="n"/>
    </row>
    <row r="116">
      <c r="A116" s="56" t="n"/>
      <c r="B116" s="59" t="n"/>
      <c r="C116" s="59" t="n"/>
      <c r="E116" s="16" t="n"/>
      <c r="F116" s="13" t="n"/>
      <c r="G116" s="16" t="n"/>
      <c r="H116" s="124">
        <f>IF(G116="","",COUNTIFS($C$18:$C$2015,G$13,$D$18:$D$2015,"&gt;="&amp;G116,$D$18:$D$2015,"&lt;"&amp;G117))</f>
        <v/>
      </c>
      <c r="I116" s="14" t="n"/>
      <c r="J116" s="16" t="n"/>
      <c r="K116" s="124">
        <f>IF(J116="","",COUNTIFS($C$18:$C$2015,J$13,$D$18:$D$2015,"&gt;="&amp;J116,$D$18:$D$2015,"&lt;"&amp;J117))</f>
        <v/>
      </c>
      <c r="L116" s="14" t="n"/>
      <c r="M116" s="16" t="n"/>
      <c r="N116" s="124">
        <f>IF(M116="","",COUNTIFS($C$18:$C$2015,M$13,$D$18:$D$2015,"&gt;="&amp;M116,$D$18:$D$2015,"&lt;"&amp;M117))</f>
        <v/>
      </c>
      <c r="O116" s="14" t="n"/>
      <c r="P116" s="16" t="n"/>
      <c r="Q116" s="124">
        <f>IF(P116="","",COUNTIFS($C$18:$C$2015,P$13,$D$18:$D$2015,"&gt;="&amp;P116,$D$18:$D$2015,"&lt;"&amp;P117))</f>
        <v/>
      </c>
      <c r="R116" s="14" t="n"/>
      <c r="S116" s="16" t="n"/>
      <c r="T116" s="124">
        <f>IF(S116="","",COUNTIFS($C$18:$C$2015,S$13,$D$18:$D$2015,"&gt;="&amp;S116,$D$18:$D$2015,"&lt;"&amp;S117))</f>
        <v/>
      </c>
      <c r="U116" s="14" t="n"/>
      <c r="V116" s="16" t="n"/>
      <c r="W116" s="124">
        <f>IF(V116="","",COUNTIFS($C$18:$C$2015,V$13,$D$18:$D$2015,"&gt;="&amp;V116,$D$18:$D$2015,"&lt;"&amp;V117))</f>
        <v/>
      </c>
      <c r="X116" s="14" t="n"/>
      <c r="Y116" s="16" t="n"/>
      <c r="Z116" s="124">
        <f>IF(Y116="","",COUNTIFS($C$18:$C$2015,Y$13,$D$18:$D$2015,"&gt;="&amp;Y116,$D$18:$D$2015,"&lt;"&amp;Y117))</f>
        <v/>
      </c>
      <c r="AA116" s="14" t="n"/>
      <c r="AB116" s="16" t="n"/>
      <c r="AC116" s="124">
        <f>IF(AB116="","",COUNTIFS($C$18:$C$2015,AB$13,$D$18:$D$2015,"&gt;="&amp;AB116,$D$18:$D$2015,"&lt;"&amp;AB117))</f>
        <v/>
      </c>
      <c r="AD116" s="14" t="n"/>
    </row>
    <row r="117">
      <c r="A117" s="58" t="n"/>
      <c r="B117" s="59" t="n"/>
      <c r="C117" s="59" t="n"/>
      <c r="E117" s="16" t="n"/>
      <c r="F117" s="13" t="n"/>
      <c r="G117" s="16" t="n"/>
      <c r="H117" s="124">
        <f>IF(G117="","",COUNTIFS($C$18:$C$2015,G$13,$D$18:$D$2015,"&gt;="&amp;G117,$D$18:$D$2015,"&lt;"&amp;G118))</f>
        <v/>
      </c>
      <c r="I117" s="14" t="n"/>
      <c r="J117" s="16" t="n"/>
      <c r="K117" s="124">
        <f>IF(J117="","",COUNTIFS($C$18:$C$2015,J$13,$D$18:$D$2015,"&gt;="&amp;J117,$D$18:$D$2015,"&lt;"&amp;J118))</f>
        <v/>
      </c>
      <c r="L117" s="14" t="n"/>
      <c r="M117" s="16" t="n"/>
      <c r="N117" s="124">
        <f>IF(M117="","",COUNTIFS($C$18:$C$2015,M$13,$D$18:$D$2015,"&gt;="&amp;M117,$D$18:$D$2015,"&lt;"&amp;M118))</f>
        <v/>
      </c>
      <c r="O117" s="14" t="n"/>
      <c r="P117" s="16" t="n"/>
      <c r="Q117" s="124">
        <f>IF(P117="","",COUNTIFS($C$18:$C$2015,P$13,$D$18:$D$2015,"&gt;="&amp;P117,$D$18:$D$2015,"&lt;"&amp;P118))</f>
        <v/>
      </c>
      <c r="R117" s="14" t="n"/>
      <c r="S117" s="16" t="n"/>
      <c r="T117" s="124">
        <f>IF(S117="","",COUNTIFS($C$18:$C$2015,S$13,$D$18:$D$2015,"&gt;="&amp;S117,$D$18:$D$2015,"&lt;"&amp;S118))</f>
        <v/>
      </c>
      <c r="U117" s="14" t="n"/>
      <c r="V117" s="16" t="n"/>
      <c r="W117" s="124">
        <f>IF(V117="","",COUNTIFS($C$18:$C$2015,V$13,$D$18:$D$2015,"&gt;="&amp;V117,$D$18:$D$2015,"&lt;"&amp;V118))</f>
        <v/>
      </c>
      <c r="X117" s="14" t="n"/>
      <c r="Y117" s="16" t="n"/>
      <c r="Z117" s="124">
        <f>IF(Y117="","",COUNTIFS($C$18:$C$2015,Y$13,$D$18:$D$2015,"&gt;="&amp;Y117,$D$18:$D$2015,"&lt;"&amp;Y118))</f>
        <v/>
      </c>
      <c r="AA117" s="14" t="n"/>
      <c r="AB117" s="16" t="n"/>
      <c r="AC117" s="124">
        <f>IF(AB117="","",COUNTIFS($C$18:$C$2015,AB$13,$D$18:$D$2015,"&gt;="&amp;AB117,$D$18:$D$2015,"&lt;"&amp;AB118))</f>
        <v/>
      </c>
      <c r="AD117" s="14" t="n"/>
    </row>
    <row r="118">
      <c r="A118" s="56" t="n"/>
      <c r="B118" s="59" t="n"/>
      <c r="C118" s="59" t="n"/>
      <c r="E118" s="16" t="n"/>
      <c r="F118" s="13" t="n"/>
      <c r="G118" s="16" t="n"/>
      <c r="H118" s="124">
        <f>IF(G118="","",COUNTIFS($C$18:$C$2015,G$13,$D$18:$D$2015,"&gt;="&amp;G118,$D$18:$D$2015,"&lt;"&amp;G119))</f>
        <v/>
      </c>
      <c r="I118" s="14" t="n"/>
      <c r="J118" s="16" t="n"/>
      <c r="K118" s="124">
        <f>IF(J118="","",COUNTIFS($C$18:$C$2015,J$13,$D$18:$D$2015,"&gt;="&amp;J118,$D$18:$D$2015,"&lt;"&amp;J119))</f>
        <v/>
      </c>
      <c r="L118" s="14" t="n"/>
      <c r="M118" s="16" t="n"/>
      <c r="N118" s="124">
        <f>IF(M118="","",COUNTIFS($C$18:$C$2015,M$13,$D$18:$D$2015,"&gt;="&amp;M118,$D$18:$D$2015,"&lt;"&amp;M119))</f>
        <v/>
      </c>
      <c r="O118" s="14" t="n"/>
      <c r="P118" s="16" t="n"/>
      <c r="Q118" s="124">
        <f>IF(P118="","",COUNTIFS($C$18:$C$2015,P$13,$D$18:$D$2015,"&gt;="&amp;P118,$D$18:$D$2015,"&lt;"&amp;P119))</f>
        <v/>
      </c>
      <c r="R118" s="14" t="n"/>
      <c r="S118" s="16" t="n"/>
      <c r="T118" s="124">
        <f>IF(S118="","",COUNTIFS($C$18:$C$2015,S$13,$D$18:$D$2015,"&gt;="&amp;S118,$D$18:$D$2015,"&lt;"&amp;S119))</f>
        <v/>
      </c>
      <c r="U118" s="14" t="n"/>
      <c r="V118" s="16" t="n"/>
      <c r="W118" s="124">
        <f>IF(V118="","",COUNTIFS($C$18:$C$2015,V$13,$D$18:$D$2015,"&gt;="&amp;V118,$D$18:$D$2015,"&lt;"&amp;V119))</f>
        <v/>
      </c>
      <c r="X118" s="14" t="n"/>
      <c r="Y118" s="16" t="n"/>
      <c r="Z118" s="124">
        <f>IF(Y118="","",COUNTIFS($C$18:$C$2015,Y$13,$D$18:$D$2015,"&gt;="&amp;Y118,$D$18:$D$2015,"&lt;"&amp;Y119))</f>
        <v/>
      </c>
      <c r="AA118" s="14" t="n"/>
      <c r="AB118" s="16" t="n"/>
      <c r="AC118" s="124">
        <f>IF(AB118="","",COUNTIFS($C$18:$C$2015,AB$13,$D$18:$D$2015,"&gt;="&amp;AB118,$D$18:$D$2015,"&lt;"&amp;AB119))</f>
        <v/>
      </c>
      <c r="AD118" s="14" t="n"/>
    </row>
    <row r="119">
      <c r="A119" s="58" t="n"/>
      <c r="B119" s="59" t="n"/>
      <c r="C119" s="59" t="n"/>
      <c r="E119" s="16" t="n"/>
      <c r="F119" s="13" t="n"/>
      <c r="G119" s="16" t="n"/>
      <c r="H119" s="124">
        <f>IF(G119="","",COUNTIFS($C$18:$C$2015,G$13,$D$18:$D$2015,"&gt;="&amp;G119,$D$18:$D$2015,"&lt;"&amp;G120))</f>
        <v/>
      </c>
      <c r="I119" s="14" t="n"/>
      <c r="J119" s="16" t="n"/>
      <c r="K119" s="124">
        <f>IF(J119="","",COUNTIFS($C$18:$C$2015,J$13,$D$18:$D$2015,"&gt;="&amp;J119,$D$18:$D$2015,"&lt;"&amp;J120))</f>
        <v/>
      </c>
      <c r="L119" s="14" t="n"/>
      <c r="M119" s="16" t="n"/>
      <c r="N119" s="124">
        <f>IF(M119="","",COUNTIFS($C$18:$C$2015,M$13,$D$18:$D$2015,"&gt;="&amp;M119,$D$18:$D$2015,"&lt;"&amp;M120))</f>
        <v/>
      </c>
      <c r="O119" s="14" t="n"/>
      <c r="P119" s="16" t="n"/>
      <c r="Q119" s="124">
        <f>IF(P119="","",COUNTIFS($C$18:$C$2015,P$13,$D$18:$D$2015,"&gt;="&amp;P119,$D$18:$D$2015,"&lt;"&amp;P120))</f>
        <v/>
      </c>
      <c r="R119" s="14" t="n"/>
      <c r="S119" s="16" t="n"/>
      <c r="T119" s="124">
        <f>IF(S119="","",COUNTIFS($C$18:$C$2015,S$13,$D$18:$D$2015,"&gt;="&amp;S119,$D$18:$D$2015,"&lt;"&amp;S120))</f>
        <v/>
      </c>
      <c r="U119" s="14" t="n"/>
      <c r="V119" s="16" t="n"/>
      <c r="W119" s="124">
        <f>IF(V119="","",COUNTIFS($C$18:$C$2015,V$13,$D$18:$D$2015,"&gt;="&amp;V119,$D$18:$D$2015,"&lt;"&amp;V120))</f>
        <v/>
      </c>
      <c r="X119" s="14" t="n"/>
      <c r="Y119" s="16" t="n"/>
      <c r="Z119" s="124">
        <f>IF(Y119="","",COUNTIFS($C$18:$C$2015,Y$13,$D$18:$D$2015,"&gt;="&amp;Y119,$D$18:$D$2015,"&lt;"&amp;Y120))</f>
        <v/>
      </c>
      <c r="AA119" s="14" t="n"/>
      <c r="AB119" s="16" t="n"/>
      <c r="AC119" s="124">
        <f>IF(AB119="","",COUNTIFS($C$18:$C$2015,AB$13,$D$18:$D$2015,"&gt;="&amp;AB119,$D$18:$D$2015,"&lt;"&amp;AB120))</f>
        <v/>
      </c>
      <c r="AD119" s="14" t="n"/>
    </row>
    <row r="120">
      <c r="A120" s="56" t="n"/>
      <c r="B120" s="59" t="n"/>
      <c r="C120" s="59" t="n"/>
      <c r="E120" s="16" t="n"/>
      <c r="F120" s="13" t="n"/>
      <c r="G120" s="16" t="n"/>
      <c r="H120" s="124">
        <f>IF(G120="","",COUNTIFS($C$18:$C$2015,G$13,$D$18:$D$2015,"&gt;="&amp;G120,$D$18:$D$2015,"&lt;"&amp;G121))</f>
        <v/>
      </c>
      <c r="I120" s="14" t="n"/>
      <c r="J120" s="16" t="n"/>
      <c r="K120" s="124">
        <f>IF(J120="","",COUNTIFS($C$18:$C$2015,J$13,$D$18:$D$2015,"&gt;="&amp;J120,$D$18:$D$2015,"&lt;"&amp;J121))</f>
        <v/>
      </c>
      <c r="L120" s="14" t="n"/>
      <c r="M120" s="16" t="n"/>
      <c r="N120" s="124">
        <f>IF(M120="","",COUNTIFS($C$18:$C$2015,M$13,$D$18:$D$2015,"&gt;="&amp;M120,$D$18:$D$2015,"&lt;"&amp;M121))</f>
        <v/>
      </c>
      <c r="O120" s="14" t="n"/>
      <c r="P120" s="16" t="n"/>
      <c r="Q120" s="124">
        <f>IF(P120="","",COUNTIFS($C$18:$C$2015,P$13,$D$18:$D$2015,"&gt;="&amp;P120,$D$18:$D$2015,"&lt;"&amp;P121))</f>
        <v/>
      </c>
      <c r="R120" s="14" t="n"/>
      <c r="S120" s="16" t="n"/>
      <c r="T120" s="124">
        <f>IF(S120="","",COUNTIFS($C$18:$C$2015,S$13,$D$18:$D$2015,"&gt;="&amp;S120,$D$18:$D$2015,"&lt;"&amp;S121))</f>
        <v/>
      </c>
      <c r="U120" s="14" t="n"/>
      <c r="V120" s="16" t="n"/>
      <c r="W120" s="124">
        <f>IF(V120="","",COUNTIFS($C$18:$C$2015,V$13,$D$18:$D$2015,"&gt;="&amp;V120,$D$18:$D$2015,"&lt;"&amp;V121))</f>
        <v/>
      </c>
      <c r="X120" s="14" t="n"/>
      <c r="Y120" s="16" t="n"/>
      <c r="Z120" s="124">
        <f>IF(Y120="","",COUNTIFS($C$18:$C$2015,Y$13,$D$18:$D$2015,"&gt;="&amp;Y120,$D$18:$D$2015,"&lt;"&amp;Y121))</f>
        <v/>
      </c>
      <c r="AA120" s="14" t="n"/>
      <c r="AB120" s="16" t="n"/>
      <c r="AC120" s="124">
        <f>IF(AB120="","",COUNTIFS($C$18:$C$2015,AB$13,$D$18:$D$2015,"&gt;="&amp;AB120,$D$18:$D$2015,"&lt;"&amp;AB121))</f>
        <v/>
      </c>
      <c r="AD120" s="14" t="n"/>
    </row>
    <row r="121">
      <c r="A121" s="58" t="n"/>
      <c r="B121" s="59" t="n"/>
      <c r="C121" s="59" t="n"/>
      <c r="E121" s="16" t="n"/>
      <c r="F121" s="13" t="n"/>
      <c r="G121" s="16" t="n"/>
      <c r="H121" s="124">
        <f>IF(G121="","",COUNTIFS($C$18:$C$2015,G$13,$D$18:$D$2015,"&gt;="&amp;G121,$D$18:$D$2015,"&lt;"&amp;G122))</f>
        <v/>
      </c>
      <c r="I121" s="14" t="n"/>
      <c r="J121" s="16" t="n"/>
      <c r="K121" s="124">
        <f>IF(J121="","",COUNTIFS($C$18:$C$2015,J$13,$D$18:$D$2015,"&gt;="&amp;J121,$D$18:$D$2015,"&lt;"&amp;J122))</f>
        <v/>
      </c>
      <c r="L121" s="14" t="n"/>
      <c r="M121" s="16" t="n"/>
      <c r="N121" s="124">
        <f>IF(M121="","",COUNTIFS($C$18:$C$2015,M$13,$D$18:$D$2015,"&gt;="&amp;M121,$D$18:$D$2015,"&lt;"&amp;M122))</f>
        <v/>
      </c>
      <c r="O121" s="14" t="n"/>
      <c r="P121" s="16" t="n"/>
      <c r="Q121" s="124">
        <f>IF(P121="","",COUNTIFS($C$18:$C$2015,P$13,$D$18:$D$2015,"&gt;="&amp;P121,$D$18:$D$2015,"&lt;"&amp;P122))</f>
        <v/>
      </c>
      <c r="R121" s="14" t="n"/>
      <c r="S121" s="16" t="n"/>
      <c r="T121" s="124">
        <f>IF(S121="","",COUNTIFS($C$18:$C$2015,S$13,$D$18:$D$2015,"&gt;="&amp;S121,$D$18:$D$2015,"&lt;"&amp;S122))</f>
        <v/>
      </c>
      <c r="U121" s="14" t="n"/>
      <c r="V121" s="16" t="n"/>
      <c r="W121" s="124">
        <f>IF(V121="","",COUNTIFS($C$18:$C$2015,V$13,$D$18:$D$2015,"&gt;="&amp;V121,$D$18:$D$2015,"&lt;"&amp;V122))</f>
        <v/>
      </c>
      <c r="X121" s="14" t="n"/>
      <c r="Y121" s="16" t="n"/>
      <c r="Z121" s="124">
        <f>IF(Y121="","",COUNTIFS($C$18:$C$2015,Y$13,$D$18:$D$2015,"&gt;="&amp;Y121,$D$18:$D$2015,"&lt;"&amp;Y122))</f>
        <v/>
      </c>
      <c r="AA121" s="14" t="n"/>
      <c r="AB121" s="16" t="n"/>
      <c r="AC121" s="124">
        <f>IF(AB121="","",COUNTIFS($C$18:$C$2015,AB$13,$D$18:$D$2015,"&gt;="&amp;AB121,$D$18:$D$2015,"&lt;"&amp;AB122))</f>
        <v/>
      </c>
      <c r="AD121" s="14" t="n"/>
    </row>
    <row r="122">
      <c r="A122" s="56" t="n"/>
      <c r="B122" s="59" t="n"/>
      <c r="C122" s="59" t="n"/>
      <c r="E122" s="16" t="n"/>
      <c r="F122" s="13" t="n"/>
      <c r="G122" s="16" t="n"/>
      <c r="H122" s="124">
        <f>IF(G122="","",COUNTIFS($C$18:$C$2015,G$13,$D$18:$D$2015,"&gt;="&amp;G122,$D$18:$D$2015,"&lt;"&amp;G123))</f>
        <v/>
      </c>
      <c r="I122" s="14" t="n"/>
      <c r="J122" s="16" t="n"/>
      <c r="K122" s="124">
        <f>IF(J122="","",COUNTIFS($C$18:$C$2015,J$13,$D$18:$D$2015,"&gt;="&amp;J122,$D$18:$D$2015,"&lt;"&amp;J123))</f>
        <v/>
      </c>
      <c r="L122" s="14" t="n"/>
      <c r="M122" s="16" t="n"/>
      <c r="N122" s="124">
        <f>IF(M122="","",COUNTIFS($C$18:$C$2015,M$13,$D$18:$D$2015,"&gt;="&amp;M122,$D$18:$D$2015,"&lt;"&amp;M123))</f>
        <v/>
      </c>
      <c r="O122" s="14" t="n"/>
      <c r="P122" s="16" t="n"/>
      <c r="Q122" s="124">
        <f>IF(P122="","",COUNTIFS($C$18:$C$2015,P$13,$D$18:$D$2015,"&gt;="&amp;P122,$D$18:$D$2015,"&lt;"&amp;P123))</f>
        <v/>
      </c>
      <c r="R122" s="14" t="n"/>
      <c r="S122" s="16" t="n"/>
      <c r="T122" s="124">
        <f>IF(S122="","",COUNTIFS($C$18:$C$2015,S$13,$D$18:$D$2015,"&gt;="&amp;S122,$D$18:$D$2015,"&lt;"&amp;S123))</f>
        <v/>
      </c>
      <c r="U122" s="14" t="n"/>
      <c r="V122" s="16" t="n"/>
      <c r="W122" s="124">
        <f>IF(V122="","",COUNTIFS($C$18:$C$2015,V$13,$D$18:$D$2015,"&gt;="&amp;V122,$D$18:$D$2015,"&lt;"&amp;V123))</f>
        <v/>
      </c>
      <c r="X122" s="14" t="n"/>
      <c r="Y122" s="16" t="n"/>
      <c r="Z122" s="124">
        <f>IF(Y122="","",COUNTIFS($C$18:$C$2015,Y$13,$D$18:$D$2015,"&gt;="&amp;Y122,$D$18:$D$2015,"&lt;"&amp;Y123))</f>
        <v/>
      </c>
      <c r="AA122" s="14" t="n"/>
      <c r="AB122" s="16" t="n"/>
      <c r="AC122" s="124">
        <f>IF(AB122="","",COUNTIFS($C$18:$C$2015,AB$13,$D$18:$D$2015,"&gt;="&amp;AB122,$D$18:$D$2015,"&lt;"&amp;AB123))</f>
        <v/>
      </c>
      <c r="AD122" s="14" t="n"/>
    </row>
    <row r="123">
      <c r="A123" s="58" t="n"/>
      <c r="B123" s="59" t="n"/>
      <c r="C123" s="59" t="n"/>
      <c r="E123" s="16" t="n"/>
      <c r="F123" s="13" t="n"/>
      <c r="G123" s="16" t="n"/>
      <c r="H123" s="124">
        <f>IF(G123="","",COUNTIFS($C$18:$C$2015,G$13,$D$18:$D$2015,"&gt;="&amp;G123,$D$18:$D$2015,"&lt;"&amp;G124))</f>
        <v/>
      </c>
      <c r="I123" s="14" t="n"/>
      <c r="J123" s="16" t="n"/>
      <c r="K123" s="124">
        <f>IF(J123="","",COUNTIFS($C$18:$C$2015,J$13,$D$18:$D$2015,"&gt;="&amp;J123,$D$18:$D$2015,"&lt;"&amp;J124))</f>
        <v/>
      </c>
      <c r="L123" s="14" t="n"/>
      <c r="M123" s="16" t="n"/>
      <c r="N123" s="124">
        <f>IF(M123="","",COUNTIFS($C$18:$C$2015,M$13,$D$18:$D$2015,"&gt;="&amp;M123,$D$18:$D$2015,"&lt;"&amp;M124))</f>
        <v/>
      </c>
      <c r="O123" s="14" t="n"/>
      <c r="P123" s="16" t="n"/>
      <c r="Q123" s="124">
        <f>IF(P123="","",COUNTIFS($C$18:$C$2015,P$13,$D$18:$D$2015,"&gt;="&amp;P123,$D$18:$D$2015,"&lt;"&amp;P124))</f>
        <v/>
      </c>
      <c r="R123" s="14" t="n"/>
      <c r="S123" s="16" t="n"/>
      <c r="T123" s="124">
        <f>IF(S123="","",COUNTIFS($C$18:$C$2015,S$13,$D$18:$D$2015,"&gt;="&amp;S123,$D$18:$D$2015,"&lt;"&amp;S124))</f>
        <v/>
      </c>
      <c r="U123" s="14" t="n"/>
      <c r="V123" s="16" t="n"/>
      <c r="W123" s="124">
        <f>IF(V123="","",COUNTIFS($C$18:$C$2015,V$13,$D$18:$D$2015,"&gt;="&amp;V123,$D$18:$D$2015,"&lt;"&amp;V124))</f>
        <v/>
      </c>
      <c r="X123" s="14" t="n"/>
      <c r="Y123" s="16" t="n"/>
      <c r="Z123" s="124">
        <f>IF(Y123="","",COUNTIFS($C$18:$C$2015,Y$13,$D$18:$D$2015,"&gt;="&amp;Y123,$D$18:$D$2015,"&lt;"&amp;Y124))</f>
        <v/>
      </c>
      <c r="AA123" s="14" t="n"/>
      <c r="AB123" s="16" t="n"/>
      <c r="AC123" s="124">
        <f>IF(AB123="","",COUNTIFS($C$18:$C$2015,AB$13,$D$18:$D$2015,"&gt;="&amp;AB123,$D$18:$D$2015,"&lt;"&amp;AB124))</f>
        <v/>
      </c>
      <c r="AD123" s="14" t="n"/>
    </row>
    <row r="124">
      <c r="A124" s="56" t="n"/>
      <c r="B124" s="59" t="n"/>
      <c r="C124" s="59" t="n"/>
      <c r="E124" s="16" t="n"/>
      <c r="F124" s="13" t="n"/>
      <c r="G124" s="16" t="n"/>
      <c r="H124" s="124">
        <f>IF(G124="","",COUNTIFS($C$18:$C$2015,G$13,$D$18:$D$2015,"&gt;="&amp;G124,$D$18:$D$2015,"&lt;"&amp;G125))</f>
        <v/>
      </c>
      <c r="I124" s="14" t="n"/>
      <c r="J124" s="16" t="n"/>
      <c r="K124" s="124">
        <f>IF(J124="","",COUNTIFS($C$18:$C$2015,J$13,$D$18:$D$2015,"&gt;="&amp;J124,$D$18:$D$2015,"&lt;"&amp;J125))</f>
        <v/>
      </c>
      <c r="L124" s="14" t="n"/>
      <c r="M124" s="16" t="n"/>
      <c r="N124" s="124">
        <f>IF(M124="","",COUNTIFS($C$18:$C$2015,M$13,$D$18:$D$2015,"&gt;="&amp;M124,$D$18:$D$2015,"&lt;"&amp;M125))</f>
        <v/>
      </c>
      <c r="O124" s="14" t="n"/>
      <c r="P124" s="16" t="n"/>
      <c r="Q124" s="124">
        <f>IF(P124="","",COUNTIFS($C$18:$C$2015,P$13,$D$18:$D$2015,"&gt;="&amp;P124,$D$18:$D$2015,"&lt;"&amp;P125))</f>
        <v/>
      </c>
      <c r="R124" s="14" t="n"/>
      <c r="S124" s="16" t="n"/>
      <c r="T124" s="124">
        <f>IF(S124="","",COUNTIFS($C$18:$C$2015,S$13,$D$18:$D$2015,"&gt;="&amp;S124,$D$18:$D$2015,"&lt;"&amp;S125))</f>
        <v/>
      </c>
      <c r="U124" s="14" t="n"/>
      <c r="V124" s="16" t="n"/>
      <c r="W124" s="124">
        <f>IF(V124="","",COUNTIFS($C$18:$C$2015,V$13,$D$18:$D$2015,"&gt;="&amp;V124,$D$18:$D$2015,"&lt;"&amp;V125))</f>
        <v/>
      </c>
      <c r="X124" s="14" t="n"/>
      <c r="Y124" s="16" t="n"/>
      <c r="Z124" s="124">
        <f>IF(Y124="","",COUNTIFS($C$18:$C$2015,Y$13,$D$18:$D$2015,"&gt;="&amp;Y124,$D$18:$D$2015,"&lt;"&amp;Y125))</f>
        <v/>
      </c>
      <c r="AA124" s="14" t="n"/>
      <c r="AB124" s="16" t="n"/>
      <c r="AC124" s="124">
        <f>IF(AB124="","",COUNTIFS($C$18:$C$2015,AB$13,$D$18:$D$2015,"&gt;="&amp;AB124,$D$18:$D$2015,"&lt;"&amp;AB125))</f>
        <v/>
      </c>
      <c r="AD124" s="14" t="n"/>
    </row>
    <row r="125">
      <c r="A125" s="58" t="n"/>
      <c r="B125" s="59" t="n"/>
      <c r="C125" s="59" t="n"/>
      <c r="E125" s="16" t="n"/>
      <c r="F125" s="13" t="n"/>
      <c r="G125" s="16" t="n"/>
      <c r="H125" s="124">
        <f>IF(G125="","",COUNTIFS($C$18:$C$2015,G$13,$D$18:$D$2015,"&gt;="&amp;G125,$D$18:$D$2015,"&lt;"&amp;G126))</f>
        <v/>
      </c>
      <c r="I125" s="14" t="n"/>
      <c r="J125" s="16" t="n"/>
      <c r="K125" s="124">
        <f>IF(J125="","",COUNTIFS($C$18:$C$2015,J$13,$D$18:$D$2015,"&gt;="&amp;J125,$D$18:$D$2015,"&lt;"&amp;J126))</f>
        <v/>
      </c>
      <c r="L125" s="14" t="n"/>
      <c r="M125" s="16" t="n"/>
      <c r="N125" s="124">
        <f>IF(M125="","",COUNTIFS($C$18:$C$2015,M$13,$D$18:$D$2015,"&gt;="&amp;M125,$D$18:$D$2015,"&lt;"&amp;M126))</f>
        <v/>
      </c>
      <c r="O125" s="14" t="n"/>
      <c r="P125" s="16" t="n"/>
      <c r="Q125" s="124">
        <f>IF(P125="","",COUNTIFS($C$18:$C$2015,P$13,$D$18:$D$2015,"&gt;="&amp;P125,$D$18:$D$2015,"&lt;"&amp;P126))</f>
        <v/>
      </c>
      <c r="R125" s="14" t="n"/>
      <c r="S125" s="16" t="n"/>
      <c r="T125" s="124">
        <f>IF(S125="","",COUNTIFS($C$18:$C$2015,S$13,$D$18:$D$2015,"&gt;="&amp;S125,$D$18:$D$2015,"&lt;"&amp;S126))</f>
        <v/>
      </c>
      <c r="U125" s="14" t="n"/>
      <c r="V125" s="16" t="n"/>
      <c r="W125" s="124">
        <f>IF(V125="","",COUNTIFS($C$18:$C$2015,V$13,$D$18:$D$2015,"&gt;="&amp;V125,$D$18:$D$2015,"&lt;"&amp;V126))</f>
        <v/>
      </c>
      <c r="X125" s="14" t="n"/>
      <c r="Y125" s="16" t="n"/>
      <c r="Z125" s="124">
        <f>IF(Y125="","",COUNTIFS($C$18:$C$2015,Y$13,$D$18:$D$2015,"&gt;="&amp;Y125,$D$18:$D$2015,"&lt;"&amp;Y126))</f>
        <v/>
      </c>
      <c r="AA125" s="14" t="n"/>
      <c r="AB125" s="16" t="n"/>
      <c r="AC125" s="124">
        <f>IF(AB125="","",COUNTIFS($C$18:$C$2015,AB$13,$D$18:$D$2015,"&gt;="&amp;AB125,$D$18:$D$2015,"&lt;"&amp;AB126))</f>
        <v/>
      </c>
      <c r="AD125" s="14" t="n"/>
    </row>
    <row r="126">
      <c r="A126" s="56" t="n"/>
      <c r="B126" s="59" t="n"/>
      <c r="C126" s="59" t="n"/>
      <c r="E126" s="16" t="n"/>
      <c r="F126" s="13" t="n"/>
      <c r="G126" s="16" t="n"/>
      <c r="H126" s="124">
        <f>IF(G126="","",COUNTIFS($C$18:$C$2015,G$13,$D$18:$D$2015,"&gt;="&amp;G126,$D$18:$D$2015,"&lt;"&amp;G127))</f>
        <v/>
      </c>
      <c r="I126" s="14" t="n"/>
      <c r="J126" s="16" t="n"/>
      <c r="K126" s="124">
        <f>IF(J126="","",COUNTIFS($C$18:$C$2015,J$13,$D$18:$D$2015,"&gt;="&amp;J126,$D$18:$D$2015,"&lt;"&amp;J127))</f>
        <v/>
      </c>
      <c r="L126" s="14" t="n"/>
      <c r="M126" s="16" t="n"/>
      <c r="N126" s="124">
        <f>IF(M126="","",COUNTIFS($C$18:$C$2015,M$13,$D$18:$D$2015,"&gt;="&amp;M126,$D$18:$D$2015,"&lt;"&amp;M127))</f>
        <v/>
      </c>
      <c r="O126" s="14" t="n"/>
      <c r="P126" s="16" t="n"/>
      <c r="Q126" s="124">
        <f>IF(P126="","",COUNTIFS($C$18:$C$2015,P$13,$D$18:$D$2015,"&gt;="&amp;P126,$D$18:$D$2015,"&lt;"&amp;P127))</f>
        <v/>
      </c>
      <c r="R126" s="14" t="n"/>
      <c r="S126" s="16" t="n"/>
      <c r="T126" s="124">
        <f>IF(S126="","",COUNTIFS($C$18:$C$2015,S$13,$D$18:$D$2015,"&gt;="&amp;S126,$D$18:$D$2015,"&lt;"&amp;S127))</f>
        <v/>
      </c>
      <c r="U126" s="14" t="n"/>
      <c r="V126" s="16" t="n"/>
      <c r="W126" s="124">
        <f>IF(V126="","",COUNTIFS($C$18:$C$2015,V$13,$D$18:$D$2015,"&gt;="&amp;V126,$D$18:$D$2015,"&lt;"&amp;V127))</f>
        <v/>
      </c>
      <c r="X126" s="14" t="n"/>
      <c r="Y126" s="16" t="n"/>
      <c r="Z126" s="124">
        <f>IF(Y126="","",COUNTIFS($C$18:$C$2015,Y$13,$D$18:$D$2015,"&gt;="&amp;Y126,$D$18:$D$2015,"&lt;"&amp;Y127))</f>
        <v/>
      </c>
      <c r="AA126" s="14" t="n"/>
      <c r="AB126" s="16" t="n"/>
      <c r="AC126" s="124">
        <f>IF(AB126="","",COUNTIFS($C$18:$C$2015,AB$13,$D$18:$D$2015,"&gt;="&amp;AB126,$D$18:$D$2015,"&lt;"&amp;AB127))</f>
        <v/>
      </c>
      <c r="AD126" s="14" t="n"/>
    </row>
    <row r="127">
      <c r="A127" s="58" t="n"/>
      <c r="B127" s="59" t="n"/>
      <c r="C127" s="59" t="n"/>
      <c r="E127" s="16" t="n"/>
      <c r="F127" s="13" t="n"/>
      <c r="G127" s="16" t="n"/>
      <c r="H127" s="124">
        <f>IF(G127="","",COUNTIFS($C$18:$C$2015,G$13,$D$18:$D$2015,"&gt;="&amp;G127,$D$18:$D$2015,"&lt;"&amp;G128))</f>
        <v/>
      </c>
      <c r="I127" s="14" t="n"/>
      <c r="J127" s="16" t="n"/>
      <c r="K127" s="124">
        <f>IF(J127="","",COUNTIFS($C$18:$C$2015,J$13,$D$18:$D$2015,"&gt;="&amp;J127,$D$18:$D$2015,"&lt;"&amp;J128))</f>
        <v/>
      </c>
      <c r="L127" s="14" t="n"/>
      <c r="M127" s="16" t="n"/>
      <c r="N127" s="124">
        <f>IF(M127="","",COUNTIFS($C$18:$C$2015,M$13,$D$18:$D$2015,"&gt;="&amp;M127,$D$18:$D$2015,"&lt;"&amp;M128))</f>
        <v/>
      </c>
      <c r="O127" s="14" t="n"/>
      <c r="P127" s="16" t="n"/>
      <c r="Q127" s="124">
        <f>IF(P127="","",COUNTIFS($C$18:$C$2015,P$13,$D$18:$D$2015,"&gt;="&amp;P127,$D$18:$D$2015,"&lt;"&amp;P128))</f>
        <v/>
      </c>
      <c r="R127" s="14" t="n"/>
      <c r="S127" s="16" t="n"/>
      <c r="T127" s="124">
        <f>IF(S127="","",COUNTIFS($C$18:$C$2015,S$13,$D$18:$D$2015,"&gt;="&amp;S127,$D$18:$D$2015,"&lt;"&amp;S128))</f>
        <v/>
      </c>
      <c r="U127" s="14" t="n"/>
      <c r="V127" s="16" t="n"/>
      <c r="W127" s="124">
        <f>IF(V127="","",COUNTIFS($C$18:$C$2015,V$13,$D$18:$D$2015,"&gt;="&amp;V127,$D$18:$D$2015,"&lt;"&amp;V128))</f>
        <v/>
      </c>
      <c r="X127" s="14" t="n"/>
      <c r="Y127" s="16" t="n"/>
      <c r="Z127" s="124">
        <f>IF(Y127="","",COUNTIFS($C$18:$C$2015,Y$13,$D$18:$D$2015,"&gt;="&amp;Y127,$D$18:$D$2015,"&lt;"&amp;Y128))</f>
        <v/>
      </c>
      <c r="AA127" s="14" t="n"/>
      <c r="AB127" s="16" t="n"/>
      <c r="AC127" s="124">
        <f>IF(AB127="","",COUNTIFS($C$18:$C$2015,AB$13,$D$18:$D$2015,"&gt;="&amp;AB127,$D$18:$D$2015,"&lt;"&amp;AB128))</f>
        <v/>
      </c>
      <c r="AD127" s="14" t="n"/>
    </row>
    <row r="128">
      <c r="A128" s="56" t="n"/>
      <c r="B128" s="59" t="n"/>
      <c r="C128" s="59" t="n"/>
      <c r="E128" s="16" t="n"/>
      <c r="F128" s="13" t="n"/>
      <c r="G128" s="16" t="n"/>
      <c r="H128" s="124">
        <f>IF(G128="","",COUNTIFS($C$18:$C$2015,G$13,$D$18:$D$2015,"&gt;="&amp;G128,$D$18:$D$2015,"&lt;"&amp;G129))</f>
        <v/>
      </c>
      <c r="I128" s="14" t="n"/>
      <c r="J128" s="16" t="n"/>
      <c r="K128" s="124">
        <f>IF(J128="","",COUNTIFS($C$18:$C$2015,J$13,$D$18:$D$2015,"&gt;="&amp;J128,$D$18:$D$2015,"&lt;"&amp;J129))</f>
        <v/>
      </c>
      <c r="L128" s="14" t="n"/>
      <c r="M128" s="16" t="n"/>
      <c r="N128" s="124">
        <f>IF(M128="","",COUNTIFS($C$18:$C$2015,M$13,$D$18:$D$2015,"&gt;="&amp;M128,$D$18:$D$2015,"&lt;"&amp;M129))</f>
        <v/>
      </c>
      <c r="O128" s="14" t="n"/>
      <c r="P128" s="16" t="n"/>
      <c r="Q128" s="124">
        <f>IF(P128="","",COUNTIFS($C$18:$C$2015,P$13,$D$18:$D$2015,"&gt;="&amp;P128,$D$18:$D$2015,"&lt;"&amp;P129))</f>
        <v/>
      </c>
      <c r="R128" s="14" t="n"/>
      <c r="S128" s="16" t="n"/>
      <c r="T128" s="124">
        <f>IF(S128="","",COUNTIFS($C$18:$C$2015,S$13,$D$18:$D$2015,"&gt;="&amp;S128,$D$18:$D$2015,"&lt;"&amp;S129))</f>
        <v/>
      </c>
      <c r="U128" s="14" t="n"/>
      <c r="V128" s="16" t="n"/>
      <c r="W128" s="124">
        <f>IF(V128="","",COUNTIFS($C$18:$C$2015,V$13,$D$18:$D$2015,"&gt;="&amp;V128,$D$18:$D$2015,"&lt;"&amp;V129))</f>
        <v/>
      </c>
      <c r="X128" s="14" t="n"/>
      <c r="Y128" s="16" t="n"/>
      <c r="Z128" s="124">
        <f>IF(Y128="","",COUNTIFS($C$18:$C$2015,Y$13,$D$18:$D$2015,"&gt;="&amp;Y128,$D$18:$D$2015,"&lt;"&amp;Y129))</f>
        <v/>
      </c>
      <c r="AA128" s="14" t="n"/>
      <c r="AB128" s="16" t="n"/>
      <c r="AC128" s="124">
        <f>IF(AB128="","",COUNTIFS($C$18:$C$2015,AB$13,$D$18:$D$2015,"&gt;="&amp;AB128,$D$18:$D$2015,"&lt;"&amp;AB129))</f>
        <v/>
      </c>
      <c r="AD128" s="14" t="n"/>
    </row>
    <row r="129">
      <c r="A129" s="58" t="n"/>
      <c r="B129" s="59" t="n"/>
      <c r="C129" s="59" t="n"/>
      <c r="E129" s="16" t="n"/>
      <c r="F129" s="13" t="n"/>
      <c r="G129" s="16" t="n"/>
      <c r="H129" s="124">
        <f>IF(G129="","",COUNTIFS($C$18:$C$2015,G$13,$D$18:$D$2015,"&gt;="&amp;G129,$D$18:$D$2015,"&lt;"&amp;G130))</f>
        <v/>
      </c>
      <c r="I129" s="14" t="n"/>
      <c r="J129" s="16" t="n"/>
      <c r="K129" s="124">
        <f>IF(J129="","",COUNTIFS($C$18:$C$2015,J$13,$D$18:$D$2015,"&gt;="&amp;J129,$D$18:$D$2015,"&lt;"&amp;J130))</f>
        <v/>
      </c>
      <c r="L129" s="14" t="n"/>
      <c r="M129" s="16" t="n"/>
      <c r="N129" s="124">
        <f>IF(M129="","",COUNTIFS($C$18:$C$2015,M$13,$D$18:$D$2015,"&gt;="&amp;M129,$D$18:$D$2015,"&lt;"&amp;M130))</f>
        <v/>
      </c>
      <c r="O129" s="14" t="n"/>
      <c r="P129" s="16" t="n"/>
      <c r="Q129" s="124">
        <f>IF(P129="","",COUNTIFS($C$18:$C$2015,P$13,$D$18:$D$2015,"&gt;="&amp;P129,$D$18:$D$2015,"&lt;"&amp;P130))</f>
        <v/>
      </c>
      <c r="R129" s="14" t="n"/>
      <c r="S129" s="16" t="n"/>
      <c r="T129" s="124">
        <f>IF(S129="","",COUNTIFS($C$18:$C$2015,S$13,$D$18:$D$2015,"&gt;="&amp;S129,$D$18:$D$2015,"&lt;"&amp;S130))</f>
        <v/>
      </c>
      <c r="U129" s="14" t="n"/>
      <c r="V129" s="16" t="n"/>
      <c r="W129" s="124">
        <f>IF(V129="","",COUNTIFS($C$18:$C$2015,V$13,$D$18:$D$2015,"&gt;="&amp;V129,$D$18:$D$2015,"&lt;"&amp;V130))</f>
        <v/>
      </c>
      <c r="X129" s="14" t="n"/>
      <c r="Y129" s="16" t="n"/>
      <c r="Z129" s="124">
        <f>IF(Y129="","",COUNTIFS($C$18:$C$2015,Y$13,$D$18:$D$2015,"&gt;="&amp;Y129,$D$18:$D$2015,"&lt;"&amp;Y130))</f>
        <v/>
      </c>
      <c r="AA129" s="14" t="n"/>
      <c r="AB129" s="16" t="n"/>
      <c r="AC129" s="124">
        <f>IF(AB129="","",COUNTIFS($C$18:$C$2015,AB$13,$D$18:$D$2015,"&gt;="&amp;AB129,$D$18:$D$2015,"&lt;"&amp;AB130))</f>
        <v/>
      </c>
      <c r="AD129" s="14" t="n"/>
    </row>
    <row r="130">
      <c r="A130" s="56" t="n"/>
      <c r="B130" s="59" t="n"/>
      <c r="C130" s="59" t="n"/>
      <c r="E130" s="16" t="n"/>
      <c r="F130" s="13" t="n"/>
      <c r="G130" s="16" t="n"/>
      <c r="H130" s="124">
        <f>IF(G130="","",COUNTIFS($C$18:$C$2015,G$13,$D$18:$D$2015,"&gt;="&amp;G130,$D$18:$D$2015,"&lt;"&amp;G131))</f>
        <v/>
      </c>
      <c r="I130" s="14" t="n"/>
      <c r="J130" s="16" t="n"/>
      <c r="K130" s="124">
        <f>IF(J130="","",COUNTIFS($C$18:$C$2015,J$13,$D$18:$D$2015,"&gt;="&amp;J130,$D$18:$D$2015,"&lt;"&amp;J131))</f>
        <v/>
      </c>
      <c r="L130" s="14" t="n"/>
      <c r="M130" s="16" t="n"/>
      <c r="N130" s="124">
        <f>IF(M130="","",COUNTIFS($C$18:$C$2015,M$13,$D$18:$D$2015,"&gt;="&amp;M130,$D$18:$D$2015,"&lt;"&amp;M131))</f>
        <v/>
      </c>
      <c r="O130" s="14" t="n"/>
      <c r="P130" s="16" t="n"/>
      <c r="Q130" s="124">
        <f>IF(P130="","",COUNTIFS($C$18:$C$2015,P$13,$D$18:$D$2015,"&gt;="&amp;P130,$D$18:$D$2015,"&lt;"&amp;P131))</f>
        <v/>
      </c>
      <c r="R130" s="14" t="n"/>
      <c r="S130" s="16" t="n"/>
      <c r="T130" s="124">
        <f>IF(S130="","",COUNTIFS($C$18:$C$2015,S$13,$D$18:$D$2015,"&gt;="&amp;S130,$D$18:$D$2015,"&lt;"&amp;S131))</f>
        <v/>
      </c>
      <c r="U130" s="14" t="n"/>
      <c r="V130" s="16" t="n"/>
      <c r="W130" s="124">
        <f>IF(V130="","",COUNTIFS($C$18:$C$2015,V$13,$D$18:$D$2015,"&gt;="&amp;V130,$D$18:$D$2015,"&lt;"&amp;V131))</f>
        <v/>
      </c>
      <c r="X130" s="14" t="n"/>
      <c r="Y130" s="16" t="n"/>
      <c r="Z130" s="124">
        <f>IF(Y130="","",COUNTIFS($C$18:$C$2015,Y$13,$D$18:$D$2015,"&gt;="&amp;Y130,$D$18:$D$2015,"&lt;"&amp;Y131))</f>
        <v/>
      </c>
      <c r="AA130" s="14" t="n"/>
      <c r="AB130" s="16" t="n"/>
      <c r="AC130" s="124">
        <f>IF(AB130="","",COUNTIFS($C$18:$C$2015,AB$13,$D$18:$D$2015,"&gt;="&amp;AB130,$D$18:$D$2015,"&lt;"&amp;AB131))</f>
        <v/>
      </c>
      <c r="AD130" s="14" t="n"/>
    </row>
    <row r="131">
      <c r="A131" s="58" t="n"/>
      <c r="B131" s="59" t="n"/>
      <c r="C131" s="59" t="n"/>
      <c r="E131" s="16" t="n"/>
      <c r="F131" s="13" t="n"/>
      <c r="G131" s="16" t="n"/>
      <c r="H131" s="124">
        <f>IF(G131="","",COUNTIFS($C$18:$C$2015,G$13,$D$18:$D$2015,"&gt;="&amp;G131,$D$18:$D$2015,"&lt;"&amp;G132))</f>
        <v/>
      </c>
      <c r="I131" s="14" t="n"/>
      <c r="J131" s="16" t="n"/>
      <c r="K131" s="124">
        <f>IF(J131="","",COUNTIFS($C$18:$C$2015,J$13,$D$18:$D$2015,"&gt;="&amp;J131,$D$18:$D$2015,"&lt;"&amp;J132))</f>
        <v/>
      </c>
      <c r="L131" s="14" t="n"/>
      <c r="M131" s="16" t="n"/>
      <c r="N131" s="124">
        <f>IF(M131="","",COUNTIFS($C$18:$C$2015,M$13,$D$18:$D$2015,"&gt;="&amp;M131,$D$18:$D$2015,"&lt;"&amp;M132))</f>
        <v/>
      </c>
      <c r="O131" s="14" t="n"/>
      <c r="P131" s="16" t="n"/>
      <c r="Q131" s="124">
        <f>IF(P131="","",COUNTIFS($C$18:$C$2015,P$13,$D$18:$D$2015,"&gt;="&amp;P131,$D$18:$D$2015,"&lt;"&amp;P132))</f>
        <v/>
      </c>
      <c r="R131" s="14" t="n"/>
      <c r="S131" s="16" t="n"/>
      <c r="T131" s="124">
        <f>IF(S131="","",COUNTIFS($C$18:$C$2015,S$13,$D$18:$D$2015,"&gt;="&amp;S131,$D$18:$D$2015,"&lt;"&amp;S132))</f>
        <v/>
      </c>
      <c r="U131" s="14" t="n"/>
      <c r="V131" s="16" t="n"/>
      <c r="W131" s="124">
        <f>IF(V131="","",COUNTIFS($C$18:$C$2015,V$13,$D$18:$D$2015,"&gt;="&amp;V131,$D$18:$D$2015,"&lt;"&amp;V132))</f>
        <v/>
      </c>
      <c r="X131" s="14" t="n"/>
      <c r="Y131" s="16" t="n"/>
      <c r="Z131" s="124">
        <f>IF(Y131="","",COUNTIFS($C$18:$C$2015,Y$13,$D$18:$D$2015,"&gt;="&amp;Y131,$D$18:$D$2015,"&lt;"&amp;Y132))</f>
        <v/>
      </c>
      <c r="AA131" s="14" t="n"/>
      <c r="AB131" s="16" t="n"/>
      <c r="AC131" s="124">
        <f>IF(AB131="","",COUNTIFS($C$18:$C$2015,AB$13,$D$18:$D$2015,"&gt;="&amp;AB131,$D$18:$D$2015,"&lt;"&amp;AB132))</f>
        <v/>
      </c>
      <c r="AD131" s="14" t="n"/>
    </row>
    <row r="132">
      <c r="A132" s="56" t="n"/>
      <c r="B132" s="59" t="n"/>
      <c r="C132" s="59" t="n"/>
      <c r="E132" s="16" t="n"/>
      <c r="F132" s="13" t="n"/>
      <c r="G132" s="16" t="n"/>
      <c r="H132" s="124">
        <f>IF(G132="","",COUNTIFS($C$18:$C$2015,G$13,$D$18:$D$2015,"&gt;="&amp;G132,$D$18:$D$2015,"&lt;"&amp;G133))</f>
        <v/>
      </c>
      <c r="I132" s="14" t="n"/>
      <c r="J132" s="16" t="n"/>
      <c r="K132" s="124">
        <f>IF(J132="","",COUNTIFS($C$18:$C$2015,J$13,$D$18:$D$2015,"&gt;="&amp;J132,$D$18:$D$2015,"&lt;"&amp;J133))</f>
        <v/>
      </c>
      <c r="L132" s="14" t="n"/>
      <c r="M132" s="16" t="n"/>
      <c r="N132" s="124">
        <f>IF(M132="","",COUNTIFS($C$18:$C$2015,M$13,$D$18:$D$2015,"&gt;="&amp;M132,$D$18:$D$2015,"&lt;"&amp;M133))</f>
        <v/>
      </c>
      <c r="O132" s="14" t="n"/>
      <c r="P132" s="16" t="n"/>
      <c r="Q132" s="124">
        <f>IF(P132="","",COUNTIFS($C$18:$C$2015,P$13,$D$18:$D$2015,"&gt;="&amp;P132,$D$18:$D$2015,"&lt;"&amp;P133))</f>
        <v/>
      </c>
      <c r="R132" s="14" t="n"/>
      <c r="S132" s="16" t="n"/>
      <c r="T132" s="124">
        <f>IF(S132="","",COUNTIFS($C$18:$C$2015,S$13,$D$18:$D$2015,"&gt;="&amp;S132,$D$18:$D$2015,"&lt;"&amp;S133))</f>
        <v/>
      </c>
      <c r="U132" s="14" t="n"/>
      <c r="V132" s="16" t="n"/>
      <c r="W132" s="124">
        <f>IF(V132="","",COUNTIFS($C$18:$C$2015,V$13,$D$18:$D$2015,"&gt;="&amp;V132,$D$18:$D$2015,"&lt;"&amp;V133))</f>
        <v/>
      </c>
      <c r="X132" s="14" t="n"/>
      <c r="Y132" s="16" t="n"/>
      <c r="Z132" s="124">
        <f>IF(Y132="","",COUNTIFS($C$18:$C$2015,Y$13,$D$18:$D$2015,"&gt;="&amp;Y132,$D$18:$D$2015,"&lt;"&amp;Y133))</f>
        <v/>
      </c>
      <c r="AA132" s="14" t="n"/>
      <c r="AB132" s="16" t="n"/>
      <c r="AC132" s="124">
        <f>IF(AB132="","",COUNTIFS($C$18:$C$2015,AB$13,$D$18:$D$2015,"&gt;="&amp;AB132,$D$18:$D$2015,"&lt;"&amp;AB133))</f>
        <v/>
      </c>
      <c r="AD132" s="14" t="n"/>
    </row>
    <row r="133">
      <c r="A133" s="58" t="n"/>
      <c r="B133" s="59" t="n"/>
      <c r="C133" s="59" t="n"/>
      <c r="E133" s="16" t="n"/>
      <c r="F133" s="13" t="n"/>
      <c r="G133" s="16" t="n"/>
      <c r="H133" s="124">
        <f>IF(G133="","",COUNTIFS($C$18:$C$2015,G$13,$D$18:$D$2015,"&gt;="&amp;G133,$D$18:$D$2015,"&lt;"&amp;G134))</f>
        <v/>
      </c>
      <c r="I133" s="14" t="n"/>
      <c r="J133" s="16" t="n"/>
      <c r="K133" s="124">
        <f>IF(J133="","",COUNTIFS($C$18:$C$2015,J$13,$D$18:$D$2015,"&gt;="&amp;J133,$D$18:$D$2015,"&lt;"&amp;J134))</f>
        <v/>
      </c>
      <c r="L133" s="14" t="n"/>
      <c r="M133" s="16" t="n"/>
      <c r="N133" s="124">
        <f>IF(M133="","",COUNTIFS($C$18:$C$2015,M$13,$D$18:$D$2015,"&gt;="&amp;M133,$D$18:$D$2015,"&lt;"&amp;M134))</f>
        <v/>
      </c>
      <c r="O133" s="14" t="n"/>
      <c r="P133" s="16" t="n"/>
      <c r="Q133" s="124">
        <f>IF(P133="","",COUNTIFS($C$18:$C$2015,P$13,$D$18:$D$2015,"&gt;="&amp;P133,$D$18:$D$2015,"&lt;"&amp;P134))</f>
        <v/>
      </c>
      <c r="R133" s="14" t="n"/>
      <c r="S133" s="16" t="n"/>
      <c r="T133" s="124">
        <f>IF(S133="","",COUNTIFS($C$18:$C$2015,S$13,$D$18:$D$2015,"&gt;="&amp;S133,$D$18:$D$2015,"&lt;"&amp;S134))</f>
        <v/>
      </c>
      <c r="U133" s="14" t="n"/>
      <c r="V133" s="16" t="n"/>
      <c r="W133" s="124">
        <f>IF(V133="","",COUNTIFS($C$18:$C$2015,V$13,$D$18:$D$2015,"&gt;="&amp;V133,$D$18:$D$2015,"&lt;"&amp;V134))</f>
        <v/>
      </c>
      <c r="X133" s="14" t="n"/>
      <c r="Y133" s="16" t="n"/>
      <c r="Z133" s="124">
        <f>IF(Y133="","",COUNTIFS($C$18:$C$2015,Y$13,$D$18:$D$2015,"&gt;="&amp;Y133,$D$18:$D$2015,"&lt;"&amp;Y134))</f>
        <v/>
      </c>
      <c r="AA133" s="14" t="n"/>
      <c r="AB133" s="16" t="n"/>
      <c r="AC133" s="124">
        <f>IF(AB133="","",COUNTIFS($C$18:$C$2015,AB$13,$D$18:$D$2015,"&gt;="&amp;AB133,$D$18:$D$2015,"&lt;"&amp;AB134))</f>
        <v/>
      </c>
      <c r="AD133" s="14" t="n"/>
    </row>
    <row r="134">
      <c r="A134" s="56" t="n"/>
      <c r="B134" s="59" t="n"/>
      <c r="C134" s="59" t="n"/>
      <c r="E134" s="16" t="n"/>
      <c r="F134" s="13" t="n"/>
      <c r="G134" s="16" t="n"/>
      <c r="H134" s="124">
        <f>IF(G134="","",COUNTIFS($C$18:$C$2015,G$13,$D$18:$D$2015,"&gt;="&amp;G134,$D$18:$D$2015,"&lt;"&amp;G135))</f>
        <v/>
      </c>
      <c r="I134" s="14" t="n"/>
      <c r="J134" s="16" t="n"/>
      <c r="K134" s="124">
        <f>IF(J134="","",COUNTIFS($C$18:$C$2015,J$13,$D$18:$D$2015,"&gt;="&amp;J134,$D$18:$D$2015,"&lt;"&amp;J135))</f>
        <v/>
      </c>
      <c r="L134" s="14" t="n"/>
      <c r="M134" s="16" t="n"/>
      <c r="N134" s="124">
        <f>IF(M134="","",COUNTIFS($C$18:$C$2015,M$13,$D$18:$D$2015,"&gt;="&amp;M134,$D$18:$D$2015,"&lt;"&amp;M135))</f>
        <v/>
      </c>
      <c r="O134" s="14" t="n"/>
      <c r="P134" s="16" t="n"/>
      <c r="Q134" s="124">
        <f>IF(P134="","",COUNTIFS($C$18:$C$2015,P$13,$D$18:$D$2015,"&gt;="&amp;P134,$D$18:$D$2015,"&lt;"&amp;P135))</f>
        <v/>
      </c>
      <c r="R134" s="14" t="n"/>
      <c r="S134" s="16" t="n"/>
      <c r="T134" s="124">
        <f>IF(S134="","",COUNTIFS($C$18:$C$2015,S$13,$D$18:$D$2015,"&gt;="&amp;S134,$D$18:$D$2015,"&lt;"&amp;S135))</f>
        <v/>
      </c>
      <c r="U134" s="14" t="n"/>
      <c r="V134" s="16" t="n"/>
      <c r="W134" s="124">
        <f>IF(V134="","",COUNTIFS($C$18:$C$2015,V$13,$D$18:$D$2015,"&gt;="&amp;V134,$D$18:$D$2015,"&lt;"&amp;V135))</f>
        <v/>
      </c>
      <c r="X134" s="14" t="n"/>
      <c r="Y134" s="16" t="n"/>
      <c r="Z134" s="124">
        <f>IF(Y134="","",COUNTIFS($C$18:$C$2015,Y$13,$D$18:$D$2015,"&gt;="&amp;Y134,$D$18:$D$2015,"&lt;"&amp;Y135))</f>
        <v/>
      </c>
      <c r="AA134" s="14" t="n"/>
      <c r="AB134" s="16" t="n"/>
      <c r="AC134" s="124">
        <f>IF(AB134="","",COUNTIFS($C$18:$C$2015,AB$13,$D$18:$D$2015,"&gt;="&amp;AB134,$D$18:$D$2015,"&lt;"&amp;AB135))</f>
        <v/>
      </c>
      <c r="AD134" s="14" t="n"/>
    </row>
    <row r="135">
      <c r="A135" s="58" t="n"/>
      <c r="B135" s="59" t="n"/>
      <c r="C135" s="59" t="n"/>
      <c r="E135" s="16" t="n"/>
      <c r="F135" s="13" t="n"/>
      <c r="G135" s="16" t="n"/>
      <c r="H135" s="124">
        <f>IF(G135="","",COUNTIFS($C$18:$C$2015,G$13,$D$18:$D$2015,"&gt;="&amp;G135,$D$18:$D$2015,"&lt;"&amp;G136))</f>
        <v/>
      </c>
      <c r="I135" s="14" t="n"/>
      <c r="J135" s="16" t="n"/>
      <c r="K135" s="124">
        <f>IF(J135="","",COUNTIFS($C$18:$C$2015,J$13,$D$18:$D$2015,"&gt;="&amp;J135,$D$18:$D$2015,"&lt;"&amp;J136))</f>
        <v/>
      </c>
      <c r="L135" s="14" t="n"/>
      <c r="M135" s="16" t="n"/>
      <c r="N135" s="124">
        <f>IF(M135="","",COUNTIFS($C$18:$C$2015,M$13,$D$18:$D$2015,"&gt;="&amp;M135,$D$18:$D$2015,"&lt;"&amp;M136))</f>
        <v/>
      </c>
      <c r="O135" s="14" t="n"/>
      <c r="P135" s="16" t="n"/>
      <c r="Q135" s="124">
        <f>IF(P135="","",COUNTIFS($C$18:$C$2015,P$13,$D$18:$D$2015,"&gt;="&amp;P135,$D$18:$D$2015,"&lt;"&amp;P136))</f>
        <v/>
      </c>
      <c r="R135" s="14" t="n"/>
      <c r="S135" s="16" t="n"/>
      <c r="T135" s="124">
        <f>IF(S135="","",COUNTIFS($C$18:$C$2015,S$13,$D$18:$D$2015,"&gt;="&amp;S135,$D$18:$D$2015,"&lt;"&amp;S136))</f>
        <v/>
      </c>
      <c r="U135" s="14" t="n"/>
      <c r="V135" s="16" t="n"/>
      <c r="W135" s="124">
        <f>IF(V135="","",COUNTIFS($C$18:$C$2015,V$13,$D$18:$D$2015,"&gt;="&amp;V135,$D$18:$D$2015,"&lt;"&amp;V136))</f>
        <v/>
      </c>
      <c r="X135" s="14" t="n"/>
      <c r="Y135" s="16" t="n"/>
      <c r="Z135" s="124">
        <f>IF(Y135="","",COUNTIFS($C$18:$C$2015,Y$13,$D$18:$D$2015,"&gt;="&amp;Y135,$D$18:$D$2015,"&lt;"&amp;Y136))</f>
        <v/>
      </c>
      <c r="AA135" s="14" t="n"/>
      <c r="AB135" s="16" t="n"/>
      <c r="AC135" s="124">
        <f>IF(AB135="","",COUNTIFS($C$18:$C$2015,AB$13,$D$18:$D$2015,"&gt;="&amp;AB135,$D$18:$D$2015,"&lt;"&amp;AB136))</f>
        <v/>
      </c>
      <c r="AD135" s="14" t="n"/>
    </row>
    <row r="136">
      <c r="A136" s="56" t="n"/>
      <c r="B136" s="59" t="n"/>
      <c r="C136" s="59" t="n"/>
      <c r="E136" s="16" t="n"/>
      <c r="F136" s="13" t="n"/>
      <c r="G136" s="16" t="n"/>
      <c r="H136" s="124">
        <f>IF(G136="","",COUNTIFS($C$18:$C$2015,G$13,$D$18:$D$2015,"&gt;="&amp;G136,$D$18:$D$2015,"&lt;"&amp;G137))</f>
        <v/>
      </c>
      <c r="I136" s="14" t="n"/>
      <c r="J136" s="16" t="n"/>
      <c r="K136" s="124">
        <f>IF(J136="","",COUNTIFS($C$18:$C$2015,J$13,$D$18:$D$2015,"&gt;="&amp;J136,$D$18:$D$2015,"&lt;"&amp;J137))</f>
        <v/>
      </c>
      <c r="L136" s="14" t="n"/>
      <c r="M136" s="16" t="n"/>
      <c r="N136" s="124">
        <f>IF(M136="","",COUNTIFS($C$18:$C$2015,M$13,$D$18:$D$2015,"&gt;="&amp;M136,$D$18:$D$2015,"&lt;"&amp;M137))</f>
        <v/>
      </c>
      <c r="O136" s="14" t="n"/>
      <c r="P136" s="16" t="n"/>
      <c r="Q136" s="124">
        <f>IF(P136="","",COUNTIFS($C$18:$C$2015,P$13,$D$18:$D$2015,"&gt;="&amp;P136,$D$18:$D$2015,"&lt;"&amp;P137))</f>
        <v/>
      </c>
      <c r="R136" s="14" t="n"/>
      <c r="S136" s="16" t="n"/>
      <c r="T136" s="124">
        <f>IF(S136="","",COUNTIFS($C$18:$C$2015,S$13,$D$18:$D$2015,"&gt;="&amp;S136,$D$18:$D$2015,"&lt;"&amp;S137))</f>
        <v/>
      </c>
      <c r="U136" s="14" t="n"/>
      <c r="V136" s="16" t="n"/>
      <c r="W136" s="124">
        <f>IF(V136="","",COUNTIFS($C$18:$C$2015,V$13,$D$18:$D$2015,"&gt;="&amp;V136,$D$18:$D$2015,"&lt;"&amp;V137))</f>
        <v/>
      </c>
      <c r="X136" s="14" t="n"/>
      <c r="Y136" s="16" t="n"/>
      <c r="Z136" s="124">
        <f>IF(Y136="","",COUNTIFS($C$18:$C$2015,Y$13,$D$18:$D$2015,"&gt;="&amp;Y136,$D$18:$D$2015,"&lt;"&amp;Y137))</f>
        <v/>
      </c>
      <c r="AA136" s="14" t="n"/>
      <c r="AB136" s="16" t="n"/>
      <c r="AC136" s="124">
        <f>IF(AB136="","",COUNTIFS($C$18:$C$2015,AB$13,$D$18:$D$2015,"&gt;="&amp;AB136,$D$18:$D$2015,"&lt;"&amp;AB137))</f>
        <v/>
      </c>
      <c r="AD136" s="14" t="n"/>
    </row>
    <row r="137">
      <c r="A137" s="58" t="n"/>
      <c r="B137" s="59" t="n"/>
      <c r="C137" s="59" t="n"/>
      <c r="E137" s="16" t="n"/>
      <c r="F137" s="13" t="n"/>
      <c r="G137" s="16" t="n"/>
      <c r="H137" s="124">
        <f>IF(G137="","",COUNTIFS($C$18:$C$2015,G$13,$D$18:$D$2015,"&gt;="&amp;G137,$D$18:$D$2015,"&lt;"&amp;G138))</f>
        <v/>
      </c>
      <c r="I137" s="14" t="n"/>
      <c r="J137" s="16" t="n"/>
      <c r="K137" s="124">
        <f>IF(J137="","",COUNTIFS($C$18:$C$2015,J$13,$D$18:$D$2015,"&gt;="&amp;J137,$D$18:$D$2015,"&lt;"&amp;J138))</f>
        <v/>
      </c>
      <c r="L137" s="14" t="n"/>
      <c r="M137" s="16" t="n"/>
      <c r="N137" s="124">
        <f>IF(M137="","",COUNTIFS($C$18:$C$2015,M$13,$D$18:$D$2015,"&gt;="&amp;M137,$D$18:$D$2015,"&lt;"&amp;M138))</f>
        <v/>
      </c>
      <c r="O137" s="14" t="n"/>
      <c r="P137" s="16" t="n"/>
      <c r="Q137" s="124">
        <f>IF(P137="","",COUNTIFS($C$18:$C$2015,P$13,$D$18:$D$2015,"&gt;="&amp;P137,$D$18:$D$2015,"&lt;"&amp;P138))</f>
        <v/>
      </c>
      <c r="R137" s="14" t="n"/>
      <c r="S137" s="16" t="n"/>
      <c r="T137" s="124">
        <f>IF(S137="","",COUNTIFS($C$18:$C$2015,S$13,$D$18:$D$2015,"&gt;="&amp;S137,$D$18:$D$2015,"&lt;"&amp;S138))</f>
        <v/>
      </c>
      <c r="U137" s="14" t="n"/>
      <c r="V137" s="16" t="n"/>
      <c r="W137" s="124">
        <f>IF(V137="","",COUNTIFS($C$18:$C$2015,V$13,$D$18:$D$2015,"&gt;="&amp;V137,$D$18:$D$2015,"&lt;"&amp;V138))</f>
        <v/>
      </c>
      <c r="X137" s="14" t="n"/>
      <c r="Y137" s="16" t="n"/>
      <c r="Z137" s="124">
        <f>IF(Y137="","",COUNTIFS($C$18:$C$2015,Y$13,$D$18:$D$2015,"&gt;="&amp;Y137,$D$18:$D$2015,"&lt;"&amp;Y138))</f>
        <v/>
      </c>
      <c r="AA137" s="14" t="n"/>
      <c r="AB137" s="16" t="n"/>
      <c r="AC137" s="124">
        <f>IF(AB137="","",COUNTIFS($C$18:$C$2015,AB$13,$D$18:$D$2015,"&gt;="&amp;AB137,$D$18:$D$2015,"&lt;"&amp;AB138))</f>
        <v/>
      </c>
      <c r="AD137" s="14" t="n"/>
    </row>
    <row r="138">
      <c r="A138" s="56" t="n"/>
      <c r="B138" s="59" t="n"/>
      <c r="C138" s="59" t="n"/>
      <c r="E138" s="16" t="n"/>
      <c r="F138" s="13" t="n"/>
      <c r="G138" s="16" t="n"/>
      <c r="H138" s="124">
        <f>IF(G138="","",COUNTIFS($C$18:$C$2015,G$13,$D$18:$D$2015,"&gt;="&amp;G138,$D$18:$D$2015,"&lt;"&amp;G139))</f>
        <v/>
      </c>
      <c r="I138" s="14" t="n"/>
      <c r="J138" s="16" t="n"/>
      <c r="K138" s="124">
        <f>IF(J138="","",COUNTIFS($C$18:$C$2015,J$13,$D$18:$D$2015,"&gt;="&amp;J138,$D$18:$D$2015,"&lt;"&amp;J139))</f>
        <v/>
      </c>
      <c r="L138" s="14" t="n"/>
      <c r="M138" s="16" t="n"/>
      <c r="N138" s="124">
        <f>IF(M138="","",COUNTIFS($C$18:$C$2015,M$13,$D$18:$D$2015,"&gt;="&amp;M138,$D$18:$D$2015,"&lt;"&amp;M139))</f>
        <v/>
      </c>
      <c r="O138" s="14" t="n"/>
      <c r="P138" s="16" t="n"/>
      <c r="Q138" s="124">
        <f>IF(P138="","",COUNTIFS($C$18:$C$2015,P$13,$D$18:$D$2015,"&gt;="&amp;P138,$D$18:$D$2015,"&lt;"&amp;P139))</f>
        <v/>
      </c>
      <c r="R138" s="14" t="n"/>
      <c r="S138" s="16" t="n"/>
      <c r="T138" s="124">
        <f>IF(S138="","",COUNTIFS($C$18:$C$2015,S$13,$D$18:$D$2015,"&gt;="&amp;S138,$D$18:$D$2015,"&lt;"&amp;S139))</f>
        <v/>
      </c>
      <c r="U138" s="14" t="n"/>
      <c r="V138" s="16" t="n"/>
      <c r="W138" s="124">
        <f>IF(V138="","",COUNTIFS($C$18:$C$2015,V$13,$D$18:$D$2015,"&gt;="&amp;V138,$D$18:$D$2015,"&lt;"&amp;V139))</f>
        <v/>
      </c>
      <c r="X138" s="14" t="n"/>
      <c r="Y138" s="16" t="n"/>
      <c r="Z138" s="124">
        <f>IF(Y138="","",COUNTIFS($C$18:$C$2015,Y$13,$D$18:$D$2015,"&gt;="&amp;Y138,$D$18:$D$2015,"&lt;"&amp;Y139))</f>
        <v/>
      </c>
      <c r="AA138" s="14" t="n"/>
      <c r="AB138" s="16" t="n"/>
      <c r="AC138" s="124">
        <f>IF(AB138="","",COUNTIFS($C$18:$C$2015,AB$13,$D$18:$D$2015,"&gt;="&amp;AB138,$D$18:$D$2015,"&lt;"&amp;AB139))</f>
        <v/>
      </c>
      <c r="AD138" s="14" t="n"/>
    </row>
    <row r="139">
      <c r="A139" s="58" t="n"/>
      <c r="B139" s="59" t="n"/>
      <c r="C139" s="59" t="n"/>
      <c r="E139" s="16" t="n"/>
      <c r="F139" s="13" t="n"/>
      <c r="G139" s="16" t="n"/>
      <c r="H139" s="124">
        <f>IF(G139="","",COUNTIFS($C$18:$C$2015,G$13,$D$18:$D$2015,"&gt;="&amp;G139,$D$18:$D$2015,"&lt;"&amp;G140))</f>
        <v/>
      </c>
      <c r="I139" s="14" t="n"/>
      <c r="J139" s="16" t="n"/>
      <c r="K139" s="124">
        <f>IF(J139="","",COUNTIFS($C$18:$C$2015,J$13,$D$18:$D$2015,"&gt;="&amp;J139,$D$18:$D$2015,"&lt;"&amp;J140))</f>
        <v/>
      </c>
      <c r="L139" s="14" t="n"/>
      <c r="M139" s="16" t="n"/>
      <c r="N139" s="124">
        <f>IF(M139="","",COUNTIFS($C$18:$C$2015,M$13,$D$18:$D$2015,"&gt;="&amp;M139,$D$18:$D$2015,"&lt;"&amp;M140))</f>
        <v/>
      </c>
      <c r="O139" s="14" t="n"/>
      <c r="P139" s="16" t="n"/>
      <c r="Q139" s="124">
        <f>IF(P139="","",COUNTIFS($C$18:$C$2015,P$13,$D$18:$D$2015,"&gt;="&amp;P139,$D$18:$D$2015,"&lt;"&amp;P140))</f>
        <v/>
      </c>
      <c r="R139" s="14" t="n"/>
      <c r="S139" s="16" t="n"/>
      <c r="T139" s="124">
        <f>IF(S139="","",COUNTIFS($C$18:$C$2015,S$13,$D$18:$D$2015,"&gt;="&amp;S139,$D$18:$D$2015,"&lt;"&amp;S140))</f>
        <v/>
      </c>
      <c r="U139" s="14" t="n"/>
      <c r="V139" s="16" t="n"/>
      <c r="W139" s="124">
        <f>IF(V139="","",COUNTIFS($C$18:$C$2015,V$13,$D$18:$D$2015,"&gt;="&amp;V139,$D$18:$D$2015,"&lt;"&amp;V140))</f>
        <v/>
      </c>
      <c r="X139" s="14" t="n"/>
      <c r="Y139" s="16" t="n"/>
      <c r="Z139" s="124">
        <f>IF(Y139="","",COUNTIFS($C$18:$C$2015,Y$13,$D$18:$D$2015,"&gt;="&amp;Y139,$D$18:$D$2015,"&lt;"&amp;Y140))</f>
        <v/>
      </c>
      <c r="AA139" s="14" t="n"/>
      <c r="AB139" s="16" t="n"/>
      <c r="AC139" s="124">
        <f>IF(AB139="","",COUNTIFS($C$18:$C$2015,AB$13,$D$18:$D$2015,"&gt;="&amp;AB139,$D$18:$D$2015,"&lt;"&amp;AB140))</f>
        <v/>
      </c>
      <c r="AD139" s="14" t="n"/>
    </row>
    <row r="140">
      <c r="A140" s="56" t="n"/>
      <c r="B140" s="59" t="n"/>
      <c r="C140" s="59" t="n"/>
      <c r="E140" s="16" t="n"/>
      <c r="F140" s="13" t="n"/>
      <c r="G140" s="16" t="n"/>
      <c r="H140" s="124">
        <f>IF(G140="","",COUNTIFS($C$18:$C$2015,G$13,$D$18:$D$2015,"&gt;="&amp;G140,$D$18:$D$2015,"&lt;"&amp;G141))</f>
        <v/>
      </c>
      <c r="I140" s="14" t="n"/>
      <c r="J140" s="16" t="n"/>
      <c r="K140" s="124">
        <f>IF(J140="","",COUNTIFS($C$18:$C$2015,J$13,$D$18:$D$2015,"&gt;="&amp;J140,$D$18:$D$2015,"&lt;"&amp;J141))</f>
        <v/>
      </c>
      <c r="L140" s="14" t="n"/>
      <c r="M140" s="16" t="n"/>
      <c r="N140" s="124">
        <f>IF(M140="","",COUNTIFS($C$18:$C$2015,M$13,$D$18:$D$2015,"&gt;="&amp;M140,$D$18:$D$2015,"&lt;"&amp;M141))</f>
        <v/>
      </c>
      <c r="O140" s="14" t="n"/>
      <c r="P140" s="16" t="n"/>
      <c r="Q140" s="124">
        <f>IF(P140="","",COUNTIFS($C$18:$C$2015,P$13,$D$18:$D$2015,"&gt;="&amp;P140,$D$18:$D$2015,"&lt;"&amp;P141))</f>
        <v/>
      </c>
      <c r="R140" s="14" t="n"/>
      <c r="S140" s="16" t="n"/>
      <c r="T140" s="124">
        <f>IF(S140="","",COUNTIFS($C$18:$C$2015,S$13,$D$18:$D$2015,"&gt;="&amp;S140,$D$18:$D$2015,"&lt;"&amp;S141))</f>
        <v/>
      </c>
      <c r="U140" s="14" t="n"/>
      <c r="V140" s="16" t="n"/>
      <c r="W140" s="124">
        <f>IF(V140="","",COUNTIFS($C$18:$C$2015,V$13,$D$18:$D$2015,"&gt;="&amp;V140,$D$18:$D$2015,"&lt;"&amp;V141))</f>
        <v/>
      </c>
      <c r="X140" s="14" t="n"/>
      <c r="Y140" s="16" t="n"/>
      <c r="Z140" s="124">
        <f>IF(Y140="","",COUNTIFS($C$18:$C$2015,Y$13,$D$18:$D$2015,"&gt;="&amp;Y140,$D$18:$D$2015,"&lt;"&amp;Y141))</f>
        <v/>
      </c>
      <c r="AA140" s="14" t="n"/>
      <c r="AB140" s="16" t="n"/>
      <c r="AC140" s="124">
        <f>IF(AB140="","",COUNTIFS($C$18:$C$2015,AB$13,$D$18:$D$2015,"&gt;="&amp;AB140,$D$18:$D$2015,"&lt;"&amp;AB141))</f>
        <v/>
      </c>
      <c r="AD140" s="14" t="n"/>
    </row>
    <row r="141">
      <c r="A141" s="58" t="n"/>
      <c r="B141" s="59" t="n"/>
      <c r="C141" s="59" t="n"/>
      <c r="E141" s="16" t="n"/>
      <c r="F141" s="13" t="n"/>
      <c r="G141" s="16" t="n"/>
      <c r="H141" s="124">
        <f>IF(G141="","",COUNTIFS($C$18:$C$2015,G$13,$D$18:$D$2015,"&gt;="&amp;G141,$D$18:$D$2015,"&lt;"&amp;G142))</f>
        <v/>
      </c>
      <c r="I141" s="14" t="n"/>
      <c r="J141" s="16" t="n"/>
      <c r="K141" s="124">
        <f>IF(J141="","",COUNTIFS($C$18:$C$2015,J$13,$D$18:$D$2015,"&gt;="&amp;J141,$D$18:$D$2015,"&lt;"&amp;J142))</f>
        <v/>
      </c>
      <c r="L141" s="14" t="n"/>
      <c r="M141" s="16" t="n"/>
      <c r="N141" s="124">
        <f>IF(M141="","",COUNTIFS($C$18:$C$2015,M$13,$D$18:$D$2015,"&gt;="&amp;M141,$D$18:$D$2015,"&lt;"&amp;M142))</f>
        <v/>
      </c>
      <c r="O141" s="14" t="n"/>
      <c r="P141" s="16" t="n"/>
      <c r="Q141" s="124">
        <f>IF(P141="","",COUNTIFS($C$18:$C$2015,P$13,$D$18:$D$2015,"&gt;="&amp;P141,$D$18:$D$2015,"&lt;"&amp;P142))</f>
        <v/>
      </c>
      <c r="R141" s="14" t="n"/>
      <c r="S141" s="16" t="n"/>
      <c r="T141" s="124">
        <f>IF(S141="","",COUNTIFS($C$18:$C$2015,S$13,$D$18:$D$2015,"&gt;="&amp;S141,$D$18:$D$2015,"&lt;"&amp;S142))</f>
        <v/>
      </c>
      <c r="U141" s="14" t="n"/>
      <c r="V141" s="16" t="n"/>
      <c r="W141" s="124">
        <f>IF(V141="","",COUNTIFS($C$18:$C$2015,V$13,$D$18:$D$2015,"&gt;="&amp;V141,$D$18:$D$2015,"&lt;"&amp;V142))</f>
        <v/>
      </c>
      <c r="X141" s="14" t="n"/>
      <c r="Y141" s="16" t="n"/>
      <c r="Z141" s="124">
        <f>IF(Y141="","",COUNTIFS($C$18:$C$2015,Y$13,$D$18:$D$2015,"&gt;="&amp;Y141,$D$18:$D$2015,"&lt;"&amp;Y142))</f>
        <v/>
      </c>
      <c r="AA141" s="14" t="n"/>
      <c r="AB141" s="16" t="n"/>
      <c r="AC141" s="124">
        <f>IF(AB141="","",COUNTIFS($C$18:$C$2015,AB$13,$D$18:$D$2015,"&gt;="&amp;AB141,$D$18:$D$2015,"&lt;"&amp;AB142))</f>
        <v/>
      </c>
      <c r="AD141" s="14" t="n"/>
    </row>
    <row r="142">
      <c r="A142" s="56" t="n"/>
      <c r="B142" s="59" t="n"/>
      <c r="C142" s="59" t="n"/>
      <c r="E142" s="16" t="n"/>
      <c r="F142" s="13" t="n"/>
      <c r="G142" s="16" t="n"/>
      <c r="H142" s="124">
        <f>IF(G142="","",COUNTIFS($C$18:$C$2015,G$13,$D$18:$D$2015,"&gt;="&amp;G142,$D$18:$D$2015,"&lt;"&amp;G143))</f>
        <v/>
      </c>
      <c r="I142" s="14" t="n"/>
      <c r="J142" s="16" t="n"/>
      <c r="K142" s="124">
        <f>IF(J142="","",COUNTIFS($C$18:$C$2015,J$13,$D$18:$D$2015,"&gt;="&amp;J142,$D$18:$D$2015,"&lt;"&amp;J143))</f>
        <v/>
      </c>
      <c r="L142" s="14" t="n"/>
      <c r="M142" s="16" t="n"/>
      <c r="N142" s="124">
        <f>IF(M142="","",COUNTIFS($C$18:$C$2015,M$13,$D$18:$D$2015,"&gt;="&amp;M142,$D$18:$D$2015,"&lt;"&amp;M143))</f>
        <v/>
      </c>
      <c r="O142" s="14" t="n"/>
      <c r="P142" s="16" t="n"/>
      <c r="Q142" s="124">
        <f>IF(P142="","",COUNTIFS($C$18:$C$2015,P$13,$D$18:$D$2015,"&gt;="&amp;P142,$D$18:$D$2015,"&lt;"&amp;P143))</f>
        <v/>
      </c>
      <c r="R142" s="14" t="n"/>
      <c r="S142" s="16" t="n"/>
      <c r="T142" s="124">
        <f>IF(S142="","",COUNTIFS($C$18:$C$2015,S$13,$D$18:$D$2015,"&gt;="&amp;S142,$D$18:$D$2015,"&lt;"&amp;S143))</f>
        <v/>
      </c>
      <c r="U142" s="14" t="n"/>
      <c r="V142" s="16" t="n"/>
      <c r="W142" s="124">
        <f>IF(V142="","",COUNTIFS($C$18:$C$2015,V$13,$D$18:$D$2015,"&gt;="&amp;V142,$D$18:$D$2015,"&lt;"&amp;V143))</f>
        <v/>
      </c>
      <c r="X142" s="14" t="n"/>
      <c r="Y142" s="16" t="n"/>
      <c r="Z142" s="124">
        <f>IF(Y142="","",COUNTIFS($C$18:$C$2015,Y$13,$D$18:$D$2015,"&gt;="&amp;Y142,$D$18:$D$2015,"&lt;"&amp;Y143))</f>
        <v/>
      </c>
      <c r="AA142" s="14" t="n"/>
      <c r="AB142" s="16" t="n"/>
      <c r="AC142" s="124">
        <f>IF(AB142="","",COUNTIFS($C$18:$C$2015,AB$13,$D$18:$D$2015,"&gt;="&amp;AB142,$D$18:$D$2015,"&lt;"&amp;AB143))</f>
        <v/>
      </c>
      <c r="AD142" s="14" t="n"/>
    </row>
    <row r="143">
      <c r="A143" s="58" t="n"/>
      <c r="B143" s="59" t="n"/>
      <c r="C143" s="59" t="n"/>
      <c r="E143" s="16" t="n"/>
      <c r="F143" s="13" t="n"/>
      <c r="G143" s="16" t="n"/>
      <c r="H143" s="124">
        <f>IF(G143="","",COUNTIFS($C$18:$C$2015,G$13,$D$18:$D$2015,"&gt;="&amp;G143,$D$18:$D$2015,"&lt;"&amp;G144))</f>
        <v/>
      </c>
      <c r="I143" s="14" t="n"/>
      <c r="J143" s="16" t="n"/>
      <c r="K143" s="124">
        <f>IF(J143="","",COUNTIFS($C$18:$C$2015,J$13,$D$18:$D$2015,"&gt;="&amp;J143,$D$18:$D$2015,"&lt;"&amp;J144))</f>
        <v/>
      </c>
      <c r="L143" s="14" t="n"/>
      <c r="M143" s="16" t="n"/>
      <c r="N143" s="124">
        <f>IF(M143="","",COUNTIFS($C$18:$C$2015,M$13,$D$18:$D$2015,"&gt;="&amp;M143,$D$18:$D$2015,"&lt;"&amp;M144))</f>
        <v/>
      </c>
      <c r="O143" s="14" t="n"/>
      <c r="P143" s="16" t="n"/>
      <c r="Q143" s="124">
        <f>IF(P143="","",COUNTIFS($C$18:$C$2015,P$13,$D$18:$D$2015,"&gt;="&amp;P143,$D$18:$D$2015,"&lt;"&amp;P144))</f>
        <v/>
      </c>
      <c r="R143" s="14" t="n"/>
      <c r="S143" s="16" t="n"/>
      <c r="T143" s="124">
        <f>IF(S143="","",COUNTIFS($C$18:$C$2015,S$13,$D$18:$D$2015,"&gt;="&amp;S143,$D$18:$D$2015,"&lt;"&amp;S144))</f>
        <v/>
      </c>
      <c r="U143" s="14" t="n"/>
      <c r="V143" s="16" t="n"/>
      <c r="W143" s="124">
        <f>IF(V143="","",COUNTIFS($C$18:$C$2015,V$13,$D$18:$D$2015,"&gt;="&amp;V143,$D$18:$D$2015,"&lt;"&amp;V144))</f>
        <v/>
      </c>
      <c r="X143" s="14" t="n"/>
      <c r="Y143" s="16" t="n"/>
      <c r="Z143" s="124">
        <f>IF(Y143="","",COUNTIFS($C$18:$C$2015,Y$13,$D$18:$D$2015,"&gt;="&amp;Y143,$D$18:$D$2015,"&lt;"&amp;Y144))</f>
        <v/>
      </c>
      <c r="AA143" s="14" t="n"/>
      <c r="AB143" s="16" t="n"/>
      <c r="AC143" s="124">
        <f>IF(AB143="","",COUNTIFS($C$18:$C$2015,AB$13,$D$18:$D$2015,"&gt;="&amp;AB143,$D$18:$D$2015,"&lt;"&amp;AB144))</f>
        <v/>
      </c>
      <c r="AD143" s="14" t="n"/>
    </row>
    <row r="144">
      <c r="A144" s="56" t="n"/>
      <c r="B144" s="59" t="n"/>
      <c r="C144" s="59" t="n"/>
      <c r="E144" s="16" t="n"/>
      <c r="F144" s="13" t="n"/>
      <c r="G144" s="16" t="n"/>
      <c r="H144" s="124">
        <f>IF(G144="","",COUNTIFS($C$18:$C$2015,G$13,$D$18:$D$2015,"&gt;="&amp;G144,$D$18:$D$2015,"&lt;"&amp;G145))</f>
        <v/>
      </c>
      <c r="I144" s="14" t="n"/>
      <c r="J144" s="16" t="n"/>
      <c r="K144" s="124">
        <f>IF(J144="","",COUNTIFS($C$18:$C$2015,J$13,$D$18:$D$2015,"&gt;="&amp;J144,$D$18:$D$2015,"&lt;"&amp;J145))</f>
        <v/>
      </c>
      <c r="L144" s="14" t="n"/>
      <c r="M144" s="16" t="n"/>
      <c r="N144" s="124">
        <f>IF(M144="","",COUNTIFS($C$18:$C$2015,M$13,$D$18:$D$2015,"&gt;="&amp;M144,$D$18:$D$2015,"&lt;"&amp;M145))</f>
        <v/>
      </c>
      <c r="O144" s="14" t="n"/>
      <c r="P144" s="16" t="n"/>
      <c r="Q144" s="124">
        <f>IF(P144="","",COUNTIFS($C$18:$C$2015,P$13,$D$18:$D$2015,"&gt;="&amp;P144,$D$18:$D$2015,"&lt;"&amp;P145))</f>
        <v/>
      </c>
      <c r="R144" s="14" t="n"/>
      <c r="S144" s="16" t="n"/>
      <c r="T144" s="124">
        <f>IF(S144="","",COUNTIFS($C$18:$C$2015,S$13,$D$18:$D$2015,"&gt;="&amp;S144,$D$18:$D$2015,"&lt;"&amp;S145))</f>
        <v/>
      </c>
      <c r="U144" s="14" t="n"/>
      <c r="V144" s="16" t="n"/>
      <c r="W144" s="124">
        <f>IF(V144="","",COUNTIFS($C$18:$C$2015,V$13,$D$18:$D$2015,"&gt;="&amp;V144,$D$18:$D$2015,"&lt;"&amp;V145))</f>
        <v/>
      </c>
      <c r="X144" s="14" t="n"/>
      <c r="Y144" s="16" t="n"/>
      <c r="Z144" s="124">
        <f>IF(Y144="","",COUNTIFS($C$18:$C$2015,Y$13,$D$18:$D$2015,"&gt;="&amp;Y144,$D$18:$D$2015,"&lt;"&amp;Y145))</f>
        <v/>
      </c>
      <c r="AA144" s="14" t="n"/>
      <c r="AB144" s="16" t="n"/>
      <c r="AC144" s="124">
        <f>IF(AB144="","",COUNTIFS($C$18:$C$2015,AB$13,$D$18:$D$2015,"&gt;="&amp;AB144,$D$18:$D$2015,"&lt;"&amp;AB145))</f>
        <v/>
      </c>
      <c r="AD144" s="14" t="n"/>
    </row>
    <row r="145">
      <c r="A145" s="58" t="n"/>
      <c r="B145" s="59" t="n"/>
      <c r="C145" s="59" t="n"/>
      <c r="E145" s="16" t="n"/>
      <c r="F145" s="13" t="n"/>
      <c r="G145" s="16" t="n"/>
      <c r="H145" s="124">
        <f>IF(G145="","",COUNTIFS($C$18:$C$2015,G$13,$D$18:$D$2015,"&gt;="&amp;G145,$D$18:$D$2015,"&lt;"&amp;G146))</f>
        <v/>
      </c>
      <c r="I145" s="14" t="n"/>
      <c r="J145" s="16" t="n"/>
      <c r="K145" s="124">
        <f>IF(J145="","",COUNTIFS($C$18:$C$2015,J$13,$D$18:$D$2015,"&gt;="&amp;J145,$D$18:$D$2015,"&lt;"&amp;J146))</f>
        <v/>
      </c>
      <c r="L145" s="14" t="n"/>
      <c r="M145" s="16" t="n"/>
      <c r="N145" s="124">
        <f>IF(M145="","",COUNTIFS($C$18:$C$2015,M$13,$D$18:$D$2015,"&gt;="&amp;M145,$D$18:$D$2015,"&lt;"&amp;M146))</f>
        <v/>
      </c>
      <c r="O145" s="14" t="n"/>
      <c r="P145" s="16" t="n"/>
      <c r="Q145" s="124">
        <f>IF(P145="","",COUNTIFS($C$18:$C$2015,P$13,$D$18:$D$2015,"&gt;="&amp;P145,$D$18:$D$2015,"&lt;"&amp;P146))</f>
        <v/>
      </c>
      <c r="R145" s="14" t="n"/>
      <c r="S145" s="16" t="n"/>
      <c r="T145" s="124">
        <f>IF(S145="","",COUNTIFS($C$18:$C$2015,S$13,$D$18:$D$2015,"&gt;="&amp;S145,$D$18:$D$2015,"&lt;"&amp;S146))</f>
        <v/>
      </c>
      <c r="U145" s="14" t="n"/>
      <c r="V145" s="16" t="n"/>
      <c r="W145" s="124">
        <f>IF(V145="","",COUNTIFS($C$18:$C$2015,V$13,$D$18:$D$2015,"&gt;="&amp;V145,$D$18:$D$2015,"&lt;"&amp;V146))</f>
        <v/>
      </c>
      <c r="X145" s="14" t="n"/>
      <c r="Y145" s="16" t="n"/>
      <c r="Z145" s="124">
        <f>IF(Y145="","",COUNTIFS($C$18:$C$2015,Y$13,$D$18:$D$2015,"&gt;="&amp;Y145,$D$18:$D$2015,"&lt;"&amp;Y146))</f>
        <v/>
      </c>
      <c r="AA145" s="14" t="n"/>
      <c r="AB145" s="16" t="n"/>
      <c r="AC145" s="124">
        <f>IF(AB145="","",COUNTIFS($C$18:$C$2015,AB$13,$D$18:$D$2015,"&gt;="&amp;AB145,$D$18:$D$2015,"&lt;"&amp;AB146))</f>
        <v/>
      </c>
      <c r="AD145" s="14" t="n"/>
    </row>
    <row r="146">
      <c r="A146" s="56" t="n"/>
      <c r="B146" s="59" t="n"/>
      <c r="C146" s="59" t="n"/>
      <c r="E146" s="16" t="n"/>
      <c r="F146" s="13" t="n"/>
      <c r="G146" s="16" t="n"/>
      <c r="H146" s="124">
        <f>IF(G146="","",COUNTIFS($C$18:$C$2015,G$13,$D$18:$D$2015,"&gt;="&amp;G146,$D$18:$D$2015,"&lt;"&amp;G147))</f>
        <v/>
      </c>
      <c r="I146" s="14" t="n"/>
      <c r="J146" s="16" t="n"/>
      <c r="K146" s="124">
        <f>IF(J146="","",COUNTIFS($C$18:$C$2015,J$13,$D$18:$D$2015,"&gt;="&amp;J146,$D$18:$D$2015,"&lt;"&amp;J147))</f>
        <v/>
      </c>
      <c r="L146" s="14" t="n"/>
      <c r="M146" s="16" t="n"/>
      <c r="N146" s="124">
        <f>IF(M146="","",COUNTIFS($C$18:$C$2015,M$13,$D$18:$D$2015,"&gt;="&amp;M146,$D$18:$D$2015,"&lt;"&amp;M147))</f>
        <v/>
      </c>
      <c r="O146" s="14" t="n"/>
      <c r="P146" s="16" t="n"/>
      <c r="Q146" s="124">
        <f>IF(P146="","",COUNTIFS($C$18:$C$2015,P$13,$D$18:$D$2015,"&gt;="&amp;P146,$D$18:$D$2015,"&lt;"&amp;P147))</f>
        <v/>
      </c>
      <c r="R146" s="14" t="n"/>
      <c r="S146" s="16" t="n"/>
      <c r="T146" s="124">
        <f>IF(S146="","",COUNTIFS($C$18:$C$2015,S$13,$D$18:$D$2015,"&gt;="&amp;S146,$D$18:$D$2015,"&lt;"&amp;S147))</f>
        <v/>
      </c>
      <c r="U146" s="14" t="n"/>
      <c r="V146" s="16" t="n"/>
      <c r="W146" s="124">
        <f>IF(V146="","",COUNTIFS($C$18:$C$2015,V$13,$D$18:$D$2015,"&gt;="&amp;V146,$D$18:$D$2015,"&lt;"&amp;V147))</f>
        <v/>
      </c>
      <c r="X146" s="14" t="n"/>
      <c r="Y146" s="16" t="n"/>
      <c r="Z146" s="124">
        <f>IF(Y146="","",COUNTIFS($C$18:$C$2015,Y$13,$D$18:$D$2015,"&gt;="&amp;Y146,$D$18:$D$2015,"&lt;"&amp;Y147))</f>
        <v/>
      </c>
      <c r="AA146" s="14" t="n"/>
      <c r="AB146" s="16" t="n"/>
      <c r="AC146" s="124">
        <f>IF(AB146="","",COUNTIFS($C$18:$C$2015,AB$13,$D$18:$D$2015,"&gt;="&amp;AB146,$D$18:$D$2015,"&lt;"&amp;AB147))</f>
        <v/>
      </c>
      <c r="AD146" s="14" t="n"/>
    </row>
    <row r="147">
      <c r="A147" s="58" t="n"/>
      <c r="B147" s="59" t="n"/>
      <c r="C147" s="59" t="n"/>
      <c r="E147" s="16" t="n"/>
      <c r="F147" s="13" t="n"/>
      <c r="G147" s="16" t="n"/>
      <c r="H147" s="124">
        <f>IF(G147="","",COUNTIFS($C$18:$C$2015,G$13,$D$18:$D$2015,"&gt;="&amp;G147,$D$18:$D$2015,"&lt;"&amp;G148))</f>
        <v/>
      </c>
      <c r="I147" s="14" t="n"/>
      <c r="J147" s="16" t="n"/>
      <c r="K147" s="124">
        <f>IF(J147="","",COUNTIFS($C$18:$C$2015,J$13,$D$18:$D$2015,"&gt;="&amp;J147,$D$18:$D$2015,"&lt;"&amp;J148))</f>
        <v/>
      </c>
      <c r="L147" s="14" t="n"/>
      <c r="M147" s="16" t="n"/>
      <c r="N147" s="124">
        <f>IF(M147="","",COUNTIFS($C$18:$C$2015,M$13,$D$18:$D$2015,"&gt;="&amp;M147,$D$18:$D$2015,"&lt;"&amp;M148))</f>
        <v/>
      </c>
      <c r="O147" s="14" t="n"/>
      <c r="P147" s="16" t="n"/>
      <c r="Q147" s="124">
        <f>IF(P147="","",COUNTIFS($C$18:$C$2015,P$13,$D$18:$D$2015,"&gt;="&amp;P147,$D$18:$D$2015,"&lt;"&amp;P148))</f>
        <v/>
      </c>
      <c r="R147" s="14" t="n"/>
      <c r="S147" s="16" t="n"/>
      <c r="T147" s="124">
        <f>IF(S147="","",COUNTIFS($C$18:$C$2015,S$13,$D$18:$D$2015,"&gt;="&amp;S147,$D$18:$D$2015,"&lt;"&amp;S148))</f>
        <v/>
      </c>
      <c r="U147" s="14" t="n"/>
      <c r="V147" s="16" t="n"/>
      <c r="W147" s="124">
        <f>IF(V147="","",COUNTIFS($C$18:$C$2015,V$13,$D$18:$D$2015,"&gt;="&amp;V147,$D$18:$D$2015,"&lt;"&amp;V148))</f>
        <v/>
      </c>
      <c r="X147" s="14" t="n"/>
      <c r="Y147" s="16" t="n"/>
      <c r="Z147" s="124">
        <f>IF(Y147="","",COUNTIFS($C$18:$C$2015,Y$13,$D$18:$D$2015,"&gt;="&amp;Y147,$D$18:$D$2015,"&lt;"&amp;Y148))</f>
        <v/>
      </c>
      <c r="AA147" s="14" t="n"/>
      <c r="AB147" s="16" t="n"/>
      <c r="AC147" s="124">
        <f>IF(AB147="","",COUNTIFS($C$18:$C$2015,AB$13,$D$18:$D$2015,"&gt;="&amp;AB147,$D$18:$D$2015,"&lt;"&amp;AB148))</f>
        <v/>
      </c>
      <c r="AD147" s="14" t="n"/>
    </row>
    <row r="148">
      <c r="A148" s="56" t="n"/>
      <c r="B148" s="59" t="n"/>
      <c r="C148" s="59" t="n"/>
      <c r="E148" s="16" t="n"/>
      <c r="F148" s="13" t="n"/>
      <c r="G148" s="16" t="n"/>
      <c r="H148" s="124">
        <f>IF(G148="","",COUNTIFS($C$18:$C$2015,G$13,$D$18:$D$2015,"&gt;="&amp;G148,$D$18:$D$2015,"&lt;"&amp;G149))</f>
        <v/>
      </c>
      <c r="I148" s="14" t="n"/>
      <c r="J148" s="16" t="n"/>
      <c r="K148" s="124">
        <f>IF(J148="","",COUNTIFS($C$18:$C$2015,J$13,$D$18:$D$2015,"&gt;="&amp;J148,$D$18:$D$2015,"&lt;"&amp;J149))</f>
        <v/>
      </c>
      <c r="L148" s="14" t="n"/>
      <c r="M148" s="16" t="n"/>
      <c r="N148" s="124">
        <f>IF(M148="","",COUNTIFS($C$18:$C$2015,M$13,$D$18:$D$2015,"&gt;="&amp;M148,$D$18:$D$2015,"&lt;"&amp;M149))</f>
        <v/>
      </c>
      <c r="O148" s="14" t="n"/>
      <c r="P148" s="16" t="n"/>
      <c r="Q148" s="124">
        <f>IF(P148="","",COUNTIFS($C$18:$C$2015,P$13,$D$18:$D$2015,"&gt;="&amp;P148,$D$18:$D$2015,"&lt;"&amp;P149))</f>
        <v/>
      </c>
      <c r="R148" s="14" t="n"/>
      <c r="S148" s="16" t="n"/>
      <c r="T148" s="124">
        <f>IF(S148="","",COUNTIFS($C$18:$C$2015,S$13,$D$18:$D$2015,"&gt;="&amp;S148,$D$18:$D$2015,"&lt;"&amp;S149))</f>
        <v/>
      </c>
      <c r="U148" s="14" t="n"/>
      <c r="V148" s="16" t="n"/>
      <c r="W148" s="124">
        <f>IF(V148="","",COUNTIFS($C$18:$C$2015,V$13,$D$18:$D$2015,"&gt;="&amp;V148,$D$18:$D$2015,"&lt;"&amp;V149))</f>
        <v/>
      </c>
      <c r="X148" s="14" t="n"/>
      <c r="Y148" s="16" t="n"/>
      <c r="Z148" s="124">
        <f>IF(Y148="","",COUNTIFS($C$18:$C$2015,Y$13,$D$18:$D$2015,"&gt;="&amp;Y148,$D$18:$D$2015,"&lt;"&amp;Y149))</f>
        <v/>
      </c>
      <c r="AA148" s="14" t="n"/>
      <c r="AB148" s="16" t="n"/>
      <c r="AC148" s="124">
        <f>IF(AB148="","",COUNTIFS($C$18:$C$2015,AB$13,$D$18:$D$2015,"&gt;="&amp;AB148,$D$18:$D$2015,"&lt;"&amp;AB149))</f>
        <v/>
      </c>
      <c r="AD148" s="14" t="n"/>
    </row>
    <row r="149">
      <c r="A149" s="58" t="n"/>
      <c r="B149" s="59" t="n"/>
      <c r="C149" s="59" t="n"/>
      <c r="E149" s="16" t="n"/>
      <c r="F149" s="13" t="n"/>
      <c r="G149" s="16" t="n"/>
      <c r="H149" s="124">
        <f>IF(G149="","",COUNTIFS($C$18:$C$2015,G$13,$D$18:$D$2015,"&gt;="&amp;G149,$D$18:$D$2015,"&lt;"&amp;G150))</f>
        <v/>
      </c>
      <c r="I149" s="14" t="n"/>
      <c r="J149" s="16" t="n"/>
      <c r="K149" s="124">
        <f>IF(J149="","",COUNTIFS($C$18:$C$2015,J$13,$D$18:$D$2015,"&gt;="&amp;J149,$D$18:$D$2015,"&lt;"&amp;J150))</f>
        <v/>
      </c>
      <c r="L149" s="14" t="n"/>
      <c r="M149" s="16" t="n"/>
      <c r="N149" s="124">
        <f>IF(M149="","",COUNTIFS($C$18:$C$2015,M$13,$D$18:$D$2015,"&gt;="&amp;M149,$D$18:$D$2015,"&lt;"&amp;M150))</f>
        <v/>
      </c>
      <c r="O149" s="14" t="n"/>
      <c r="P149" s="16" t="n"/>
      <c r="Q149" s="124">
        <f>IF(P149="","",COUNTIFS($C$18:$C$2015,P$13,$D$18:$D$2015,"&gt;="&amp;P149,$D$18:$D$2015,"&lt;"&amp;P150))</f>
        <v/>
      </c>
      <c r="R149" s="14" t="n"/>
      <c r="S149" s="16" t="n"/>
      <c r="T149" s="124">
        <f>IF(S149="","",COUNTIFS($C$18:$C$2015,S$13,$D$18:$D$2015,"&gt;="&amp;S149,$D$18:$D$2015,"&lt;"&amp;S150))</f>
        <v/>
      </c>
      <c r="U149" s="14" t="n"/>
      <c r="V149" s="16" t="n"/>
      <c r="W149" s="124">
        <f>IF(V149="","",COUNTIFS($C$18:$C$2015,V$13,$D$18:$D$2015,"&gt;="&amp;V149,$D$18:$D$2015,"&lt;"&amp;V150))</f>
        <v/>
      </c>
      <c r="X149" s="14" t="n"/>
      <c r="Y149" s="16" t="n"/>
      <c r="Z149" s="124">
        <f>IF(Y149="","",COUNTIFS($C$18:$C$2015,Y$13,$D$18:$D$2015,"&gt;="&amp;Y149,$D$18:$D$2015,"&lt;"&amp;Y150))</f>
        <v/>
      </c>
      <c r="AA149" s="14" t="n"/>
      <c r="AB149" s="16" t="n"/>
      <c r="AC149" s="124">
        <f>IF(AB149="","",COUNTIFS($C$18:$C$2015,AB$13,$D$18:$D$2015,"&gt;="&amp;AB149,$D$18:$D$2015,"&lt;"&amp;AB150))</f>
        <v/>
      </c>
      <c r="AD149" s="14" t="n"/>
    </row>
    <row r="150">
      <c r="A150" s="56" t="n"/>
      <c r="B150" s="59" t="n"/>
      <c r="C150" s="59" t="n"/>
      <c r="E150" s="16" t="n"/>
      <c r="F150" s="13" t="n"/>
      <c r="G150" s="16" t="n"/>
      <c r="H150" s="124">
        <f>IF(G150="","",COUNTIFS($C$18:$C$2015,G$13,$D$18:$D$2015,"&gt;="&amp;G150,$D$18:$D$2015,"&lt;"&amp;G151))</f>
        <v/>
      </c>
      <c r="I150" s="14" t="n"/>
      <c r="J150" s="16" t="n"/>
      <c r="K150" s="124">
        <f>IF(J150="","",COUNTIFS($C$18:$C$2015,J$13,$D$18:$D$2015,"&gt;="&amp;J150,$D$18:$D$2015,"&lt;"&amp;J151))</f>
        <v/>
      </c>
      <c r="L150" s="14" t="n"/>
      <c r="M150" s="16" t="n"/>
      <c r="N150" s="124">
        <f>IF(M150="","",COUNTIFS($C$18:$C$2015,M$13,$D$18:$D$2015,"&gt;="&amp;M150,$D$18:$D$2015,"&lt;"&amp;M151))</f>
        <v/>
      </c>
      <c r="O150" s="14" t="n"/>
      <c r="P150" s="16" t="n"/>
      <c r="Q150" s="124">
        <f>IF(P150="","",COUNTIFS($C$18:$C$2015,P$13,$D$18:$D$2015,"&gt;="&amp;P150,$D$18:$D$2015,"&lt;"&amp;P151))</f>
        <v/>
      </c>
      <c r="R150" s="14" t="n"/>
      <c r="S150" s="16" t="n"/>
      <c r="T150" s="124">
        <f>IF(S150="","",COUNTIFS($C$18:$C$2015,S$13,$D$18:$D$2015,"&gt;="&amp;S150,$D$18:$D$2015,"&lt;"&amp;S151))</f>
        <v/>
      </c>
      <c r="U150" s="14" t="n"/>
      <c r="V150" s="16" t="n"/>
      <c r="W150" s="124">
        <f>IF(V150="","",COUNTIFS($C$18:$C$2015,V$13,$D$18:$D$2015,"&gt;="&amp;V150,$D$18:$D$2015,"&lt;"&amp;V151))</f>
        <v/>
      </c>
      <c r="X150" s="14" t="n"/>
      <c r="Y150" s="16" t="n"/>
      <c r="Z150" s="124">
        <f>IF(Y150="","",COUNTIFS($C$18:$C$2015,Y$13,$D$18:$D$2015,"&gt;="&amp;Y150,$D$18:$D$2015,"&lt;"&amp;Y151))</f>
        <v/>
      </c>
      <c r="AA150" s="14" t="n"/>
      <c r="AB150" s="16" t="n"/>
      <c r="AC150" s="124">
        <f>IF(AB150="","",COUNTIFS($C$18:$C$2015,AB$13,$D$18:$D$2015,"&gt;="&amp;AB150,$D$18:$D$2015,"&lt;"&amp;AB151))</f>
        <v/>
      </c>
      <c r="AD150" s="14" t="n"/>
    </row>
    <row r="151">
      <c r="A151" s="58" t="n"/>
      <c r="B151" s="59" t="n"/>
      <c r="C151" s="59" t="n"/>
      <c r="E151" s="16" t="n"/>
      <c r="F151" s="13" t="n"/>
      <c r="G151" s="16" t="n"/>
      <c r="H151" s="124">
        <f>IF(G151="","",COUNTIFS($C$18:$C$2015,G$13,$D$18:$D$2015,"&gt;="&amp;G151,$D$18:$D$2015,"&lt;"&amp;G152))</f>
        <v/>
      </c>
      <c r="I151" s="14" t="n"/>
      <c r="J151" s="16" t="n"/>
      <c r="K151" s="124">
        <f>IF(J151="","",COUNTIFS($C$18:$C$2015,J$13,$D$18:$D$2015,"&gt;="&amp;J151,$D$18:$D$2015,"&lt;"&amp;J152))</f>
        <v/>
      </c>
      <c r="L151" s="14" t="n"/>
      <c r="M151" s="16" t="n"/>
      <c r="N151" s="124">
        <f>IF(M151="","",COUNTIFS($C$18:$C$2015,M$13,$D$18:$D$2015,"&gt;="&amp;M151,$D$18:$D$2015,"&lt;"&amp;M152))</f>
        <v/>
      </c>
      <c r="O151" s="14" t="n"/>
      <c r="P151" s="16" t="n"/>
      <c r="Q151" s="124">
        <f>IF(P151="","",COUNTIFS($C$18:$C$2015,P$13,$D$18:$D$2015,"&gt;="&amp;P151,$D$18:$D$2015,"&lt;"&amp;P152))</f>
        <v/>
      </c>
      <c r="R151" s="14" t="n"/>
      <c r="S151" s="16" t="n"/>
      <c r="T151" s="124">
        <f>IF(S151="","",COUNTIFS($C$18:$C$2015,S$13,$D$18:$D$2015,"&gt;="&amp;S151,$D$18:$D$2015,"&lt;"&amp;S152))</f>
        <v/>
      </c>
      <c r="U151" s="14" t="n"/>
      <c r="V151" s="16" t="n"/>
      <c r="W151" s="124">
        <f>IF(V151="","",COUNTIFS($C$18:$C$2015,V$13,$D$18:$D$2015,"&gt;="&amp;V151,$D$18:$D$2015,"&lt;"&amp;V152))</f>
        <v/>
      </c>
      <c r="X151" s="14" t="n"/>
      <c r="Y151" s="16" t="n"/>
      <c r="Z151" s="124">
        <f>IF(Y151="","",COUNTIFS($C$18:$C$2015,Y$13,$D$18:$D$2015,"&gt;="&amp;Y151,$D$18:$D$2015,"&lt;"&amp;Y152))</f>
        <v/>
      </c>
      <c r="AA151" s="14" t="n"/>
      <c r="AB151" s="16" t="n"/>
      <c r="AC151" s="124">
        <f>IF(AB151="","",COUNTIFS($C$18:$C$2015,AB$13,$D$18:$D$2015,"&gt;="&amp;AB151,$D$18:$D$2015,"&lt;"&amp;AB152))</f>
        <v/>
      </c>
      <c r="AD151" s="14" t="n"/>
    </row>
    <row r="152">
      <c r="A152" s="56" t="n"/>
      <c r="B152" s="59" t="n"/>
      <c r="C152" s="59" t="n"/>
      <c r="E152" s="16" t="n"/>
      <c r="F152" s="13" t="n"/>
      <c r="G152" s="16" t="n"/>
      <c r="H152" s="124">
        <f>IF(G152="","",COUNTIFS($C$18:$C$2015,G$13,$D$18:$D$2015,"&gt;="&amp;G152,$D$18:$D$2015,"&lt;"&amp;G153))</f>
        <v/>
      </c>
      <c r="I152" s="14" t="n"/>
      <c r="J152" s="16" t="n"/>
      <c r="K152" s="124">
        <f>IF(J152="","",COUNTIFS($C$18:$C$2015,J$13,$D$18:$D$2015,"&gt;="&amp;J152,$D$18:$D$2015,"&lt;"&amp;J153))</f>
        <v/>
      </c>
      <c r="L152" s="14" t="n"/>
      <c r="M152" s="16" t="n"/>
      <c r="N152" s="124">
        <f>IF(M152="","",COUNTIFS($C$18:$C$2015,M$13,$D$18:$D$2015,"&gt;="&amp;M152,$D$18:$D$2015,"&lt;"&amp;M153))</f>
        <v/>
      </c>
      <c r="O152" s="14" t="n"/>
      <c r="P152" s="16" t="n"/>
      <c r="Q152" s="124">
        <f>IF(P152="","",COUNTIFS($C$18:$C$2015,P$13,$D$18:$D$2015,"&gt;="&amp;P152,$D$18:$D$2015,"&lt;"&amp;P153))</f>
        <v/>
      </c>
      <c r="R152" s="14" t="n"/>
      <c r="S152" s="16" t="n"/>
      <c r="T152" s="124">
        <f>IF(S152="","",COUNTIFS($C$18:$C$2015,S$13,$D$18:$D$2015,"&gt;="&amp;S152,$D$18:$D$2015,"&lt;"&amp;S153))</f>
        <v/>
      </c>
      <c r="U152" s="14" t="n"/>
      <c r="V152" s="16" t="n"/>
      <c r="W152" s="124">
        <f>IF(V152="","",COUNTIFS($C$18:$C$2015,V$13,$D$18:$D$2015,"&gt;="&amp;V152,$D$18:$D$2015,"&lt;"&amp;V153))</f>
        <v/>
      </c>
      <c r="X152" s="14" t="n"/>
      <c r="Y152" s="16" t="n"/>
      <c r="Z152" s="124">
        <f>IF(Y152="","",COUNTIFS($C$18:$C$2015,Y$13,$D$18:$D$2015,"&gt;="&amp;Y152,$D$18:$D$2015,"&lt;"&amp;Y153))</f>
        <v/>
      </c>
      <c r="AA152" s="14" t="n"/>
      <c r="AB152" s="16" t="n"/>
      <c r="AC152" s="124">
        <f>IF(AB152="","",COUNTIFS($C$18:$C$2015,AB$13,$D$18:$D$2015,"&gt;="&amp;AB152,$D$18:$D$2015,"&lt;"&amp;AB153))</f>
        <v/>
      </c>
      <c r="AD152" s="14" t="n"/>
    </row>
    <row r="153">
      <c r="A153" s="58" t="n"/>
      <c r="B153" s="59" t="n"/>
      <c r="C153" s="59" t="n"/>
      <c r="E153" s="16" t="n"/>
      <c r="F153" s="13" t="n"/>
      <c r="G153" s="16" t="n"/>
      <c r="H153" s="124">
        <f>IF(G153="","",COUNTIFS($C$18:$C$2015,G$13,$D$18:$D$2015,"&gt;="&amp;G153,$D$18:$D$2015,"&lt;"&amp;G154))</f>
        <v/>
      </c>
      <c r="I153" s="14" t="n"/>
      <c r="J153" s="16" t="n"/>
      <c r="K153" s="124">
        <f>IF(J153="","",COUNTIFS($C$18:$C$2015,J$13,$D$18:$D$2015,"&gt;="&amp;J153,$D$18:$D$2015,"&lt;"&amp;J154))</f>
        <v/>
      </c>
      <c r="L153" s="14" t="n"/>
      <c r="M153" s="16" t="n"/>
      <c r="N153" s="124">
        <f>IF(M153="","",COUNTIFS($C$18:$C$2015,M$13,$D$18:$D$2015,"&gt;="&amp;M153,$D$18:$D$2015,"&lt;"&amp;M154))</f>
        <v/>
      </c>
      <c r="O153" s="14" t="n"/>
      <c r="P153" s="16" t="n"/>
      <c r="Q153" s="124">
        <f>IF(P153="","",COUNTIFS($C$18:$C$2015,P$13,$D$18:$D$2015,"&gt;="&amp;P153,$D$18:$D$2015,"&lt;"&amp;P154))</f>
        <v/>
      </c>
      <c r="R153" s="14" t="n"/>
      <c r="S153" s="16" t="n"/>
      <c r="T153" s="124">
        <f>IF(S153="","",COUNTIFS($C$18:$C$2015,S$13,$D$18:$D$2015,"&gt;="&amp;S153,$D$18:$D$2015,"&lt;"&amp;S154))</f>
        <v/>
      </c>
      <c r="U153" s="14" t="n"/>
      <c r="V153" s="16" t="n"/>
      <c r="W153" s="124">
        <f>IF(V153="","",COUNTIFS($C$18:$C$2015,V$13,$D$18:$D$2015,"&gt;="&amp;V153,$D$18:$D$2015,"&lt;"&amp;V154))</f>
        <v/>
      </c>
      <c r="X153" s="14" t="n"/>
      <c r="Y153" s="16" t="n"/>
      <c r="Z153" s="124">
        <f>IF(Y153="","",COUNTIFS($C$18:$C$2015,Y$13,$D$18:$D$2015,"&gt;="&amp;Y153,$D$18:$D$2015,"&lt;"&amp;Y154))</f>
        <v/>
      </c>
      <c r="AA153" s="14" t="n"/>
      <c r="AB153" s="16" t="n"/>
      <c r="AC153" s="124">
        <f>IF(AB153="","",COUNTIFS($C$18:$C$2015,AB$13,$D$18:$D$2015,"&gt;="&amp;AB153,$D$18:$D$2015,"&lt;"&amp;AB154))</f>
        <v/>
      </c>
      <c r="AD153" s="14" t="n"/>
    </row>
    <row r="154">
      <c r="A154" s="56" t="n"/>
      <c r="B154" s="59" t="n"/>
      <c r="C154" s="59" t="n"/>
      <c r="E154" s="16" t="n"/>
      <c r="F154" s="13" t="n"/>
      <c r="G154" s="16" t="n"/>
      <c r="H154" s="124">
        <f>IF(G154="","",COUNTIFS($C$18:$C$2015,G$13,$D$18:$D$2015,"&gt;="&amp;G154,$D$18:$D$2015,"&lt;"&amp;G155))</f>
        <v/>
      </c>
      <c r="I154" s="14" t="n"/>
      <c r="J154" s="16" t="n"/>
      <c r="K154" s="124">
        <f>IF(J154="","",COUNTIFS($C$18:$C$2015,J$13,$D$18:$D$2015,"&gt;="&amp;J154,$D$18:$D$2015,"&lt;"&amp;J155))</f>
        <v/>
      </c>
      <c r="L154" s="14" t="n"/>
      <c r="M154" s="16" t="n"/>
      <c r="N154" s="124">
        <f>IF(M154="","",COUNTIFS($C$18:$C$2015,M$13,$D$18:$D$2015,"&gt;="&amp;M154,$D$18:$D$2015,"&lt;"&amp;M155))</f>
        <v/>
      </c>
      <c r="O154" s="14" t="n"/>
      <c r="P154" s="16" t="n"/>
      <c r="Q154" s="124">
        <f>IF(P154="","",COUNTIFS($C$18:$C$2015,P$13,$D$18:$D$2015,"&gt;="&amp;P154,$D$18:$D$2015,"&lt;"&amp;P155))</f>
        <v/>
      </c>
      <c r="R154" s="14" t="n"/>
      <c r="S154" s="16" t="n"/>
      <c r="T154" s="124">
        <f>IF(S154="","",COUNTIFS($C$18:$C$2015,S$13,$D$18:$D$2015,"&gt;="&amp;S154,$D$18:$D$2015,"&lt;"&amp;S155))</f>
        <v/>
      </c>
      <c r="U154" s="14" t="n"/>
      <c r="V154" s="16" t="n"/>
      <c r="W154" s="124">
        <f>IF(V154="","",COUNTIFS($C$18:$C$2015,V$13,$D$18:$D$2015,"&gt;="&amp;V154,$D$18:$D$2015,"&lt;"&amp;V155))</f>
        <v/>
      </c>
      <c r="X154" s="14" t="n"/>
      <c r="Y154" s="16" t="n"/>
      <c r="Z154" s="124">
        <f>IF(Y154="","",COUNTIFS($C$18:$C$2015,Y$13,$D$18:$D$2015,"&gt;="&amp;Y154,$D$18:$D$2015,"&lt;"&amp;Y155))</f>
        <v/>
      </c>
      <c r="AA154" s="14" t="n"/>
      <c r="AB154" s="16" t="n"/>
      <c r="AC154" s="124">
        <f>IF(AB154="","",COUNTIFS($C$18:$C$2015,AB$13,$D$18:$D$2015,"&gt;="&amp;AB154,$D$18:$D$2015,"&lt;"&amp;AB155))</f>
        <v/>
      </c>
      <c r="AD154" s="14" t="n"/>
    </row>
    <row r="155">
      <c r="A155" s="58" t="n"/>
      <c r="B155" s="59" t="n"/>
      <c r="C155" s="59" t="n"/>
      <c r="E155" s="16" t="n"/>
      <c r="F155" s="13" t="n"/>
      <c r="G155" s="16" t="n"/>
      <c r="H155" s="124">
        <f>IF(G155="","",COUNTIFS($C$18:$C$2015,G$13,$D$18:$D$2015,"&gt;="&amp;G155,$D$18:$D$2015,"&lt;"&amp;G156))</f>
        <v/>
      </c>
      <c r="I155" s="14" t="n"/>
      <c r="J155" s="16" t="n"/>
      <c r="K155" s="124">
        <f>IF(J155="","",COUNTIFS($C$18:$C$2015,J$13,$D$18:$D$2015,"&gt;="&amp;J155,$D$18:$D$2015,"&lt;"&amp;J156))</f>
        <v/>
      </c>
      <c r="L155" s="14" t="n"/>
      <c r="M155" s="16" t="n"/>
      <c r="N155" s="124">
        <f>IF(M155="","",COUNTIFS($C$18:$C$2015,M$13,$D$18:$D$2015,"&gt;="&amp;M155,$D$18:$D$2015,"&lt;"&amp;M156))</f>
        <v/>
      </c>
      <c r="O155" s="14" t="n"/>
      <c r="P155" s="16" t="n"/>
      <c r="Q155" s="124">
        <f>IF(P155="","",COUNTIFS($C$18:$C$2015,P$13,$D$18:$D$2015,"&gt;="&amp;P155,$D$18:$D$2015,"&lt;"&amp;P156))</f>
        <v/>
      </c>
      <c r="R155" s="14" t="n"/>
      <c r="S155" s="16" t="n"/>
      <c r="T155" s="124">
        <f>IF(S155="","",COUNTIFS($C$18:$C$2015,S$13,$D$18:$D$2015,"&gt;="&amp;S155,$D$18:$D$2015,"&lt;"&amp;S156))</f>
        <v/>
      </c>
      <c r="U155" s="14" t="n"/>
      <c r="V155" s="16" t="n"/>
      <c r="W155" s="124">
        <f>IF(V155="","",COUNTIFS($C$18:$C$2015,V$13,$D$18:$D$2015,"&gt;="&amp;V155,$D$18:$D$2015,"&lt;"&amp;V156))</f>
        <v/>
      </c>
      <c r="X155" s="14" t="n"/>
      <c r="Y155" s="16" t="n"/>
      <c r="Z155" s="124">
        <f>IF(Y155="","",COUNTIFS($C$18:$C$2015,Y$13,$D$18:$D$2015,"&gt;="&amp;Y155,$D$18:$D$2015,"&lt;"&amp;Y156))</f>
        <v/>
      </c>
      <c r="AA155" s="14" t="n"/>
      <c r="AB155" s="16" t="n"/>
      <c r="AC155" s="124">
        <f>IF(AB155="","",COUNTIFS($C$18:$C$2015,AB$13,$D$18:$D$2015,"&gt;="&amp;AB155,$D$18:$D$2015,"&lt;"&amp;AB156))</f>
        <v/>
      </c>
      <c r="AD155" s="14" t="n"/>
    </row>
    <row r="156">
      <c r="A156" s="56" t="n"/>
      <c r="B156" s="59" t="n"/>
      <c r="C156" s="59" t="n"/>
      <c r="E156" s="16" t="n"/>
      <c r="F156" s="13" t="n"/>
      <c r="G156" s="16" t="n"/>
      <c r="H156" s="124">
        <f>IF(G156="","",COUNTIFS($C$18:$C$2015,G$13,$D$18:$D$2015,"&gt;="&amp;G156,$D$18:$D$2015,"&lt;"&amp;G157))</f>
        <v/>
      </c>
      <c r="I156" s="14" t="n"/>
      <c r="J156" s="16" t="n"/>
      <c r="K156" s="124">
        <f>IF(J156="","",COUNTIFS($C$18:$C$2015,J$13,$D$18:$D$2015,"&gt;="&amp;J156,$D$18:$D$2015,"&lt;"&amp;J157))</f>
        <v/>
      </c>
      <c r="L156" s="14" t="n"/>
      <c r="M156" s="16" t="n"/>
      <c r="N156" s="124">
        <f>IF(M156="","",COUNTIFS($C$18:$C$2015,M$13,$D$18:$D$2015,"&gt;="&amp;M156,$D$18:$D$2015,"&lt;"&amp;M157))</f>
        <v/>
      </c>
      <c r="O156" s="14" t="n"/>
      <c r="P156" s="16" t="n"/>
      <c r="Q156" s="124">
        <f>IF(P156="","",COUNTIFS($C$18:$C$2015,P$13,$D$18:$D$2015,"&gt;="&amp;P156,$D$18:$D$2015,"&lt;"&amp;P157))</f>
        <v/>
      </c>
      <c r="R156" s="14" t="n"/>
      <c r="S156" s="16" t="n"/>
      <c r="T156" s="124">
        <f>IF(S156="","",COUNTIFS($C$18:$C$2015,S$13,$D$18:$D$2015,"&gt;="&amp;S156,$D$18:$D$2015,"&lt;"&amp;S157))</f>
        <v/>
      </c>
      <c r="U156" s="14" t="n"/>
      <c r="V156" s="16" t="n"/>
      <c r="W156" s="124">
        <f>IF(V156="","",COUNTIFS($C$18:$C$2015,V$13,$D$18:$D$2015,"&gt;="&amp;V156,$D$18:$D$2015,"&lt;"&amp;V157))</f>
        <v/>
      </c>
      <c r="X156" s="14" t="n"/>
      <c r="Y156" s="16" t="n"/>
      <c r="Z156" s="124">
        <f>IF(Y156="","",COUNTIFS($C$18:$C$2015,Y$13,$D$18:$D$2015,"&gt;="&amp;Y156,$D$18:$D$2015,"&lt;"&amp;Y157))</f>
        <v/>
      </c>
      <c r="AA156" s="14" t="n"/>
      <c r="AB156" s="16" t="n"/>
      <c r="AC156" s="124">
        <f>IF(AB156="","",COUNTIFS($C$18:$C$2015,AB$13,$D$18:$D$2015,"&gt;="&amp;AB156,$D$18:$D$2015,"&lt;"&amp;AB157))</f>
        <v/>
      </c>
      <c r="AD156" s="14" t="n"/>
    </row>
    <row r="157">
      <c r="A157" s="58" t="n"/>
      <c r="B157" s="59" t="n"/>
      <c r="C157" s="59" t="n"/>
      <c r="E157" s="16" t="n"/>
      <c r="F157" s="13" t="n"/>
      <c r="G157" s="16" t="n"/>
      <c r="H157" s="124">
        <f>IF(G157="","",COUNTIFS($C$18:$C$2015,G$13,$D$18:$D$2015,"&gt;="&amp;G157,$D$18:$D$2015,"&lt;"&amp;G158))</f>
        <v/>
      </c>
      <c r="I157" s="14" t="n"/>
      <c r="J157" s="16" t="n"/>
      <c r="K157" s="124">
        <f>IF(J157="","",COUNTIFS($C$18:$C$2015,J$13,$D$18:$D$2015,"&gt;="&amp;J157,$D$18:$D$2015,"&lt;"&amp;J158))</f>
        <v/>
      </c>
      <c r="L157" s="14" t="n"/>
      <c r="M157" s="16" t="n"/>
      <c r="N157" s="124">
        <f>IF(M157="","",COUNTIFS($C$18:$C$2015,M$13,$D$18:$D$2015,"&gt;="&amp;M157,$D$18:$D$2015,"&lt;"&amp;M158))</f>
        <v/>
      </c>
      <c r="O157" s="14" t="n"/>
      <c r="P157" s="16" t="n"/>
      <c r="Q157" s="124">
        <f>IF(P157="","",COUNTIFS($C$18:$C$2015,P$13,$D$18:$D$2015,"&gt;="&amp;P157,$D$18:$D$2015,"&lt;"&amp;P158))</f>
        <v/>
      </c>
      <c r="R157" s="14" t="n"/>
      <c r="S157" s="16" t="n"/>
      <c r="T157" s="124">
        <f>IF(S157="","",COUNTIFS($C$18:$C$2015,S$13,$D$18:$D$2015,"&gt;="&amp;S157,$D$18:$D$2015,"&lt;"&amp;S158))</f>
        <v/>
      </c>
      <c r="U157" s="14" t="n"/>
      <c r="V157" s="16" t="n"/>
      <c r="W157" s="124">
        <f>IF(V157="","",COUNTIFS($C$18:$C$2015,V$13,$D$18:$D$2015,"&gt;="&amp;V157,$D$18:$D$2015,"&lt;"&amp;V158))</f>
        <v/>
      </c>
      <c r="X157" s="14" t="n"/>
      <c r="Y157" s="16" t="n"/>
      <c r="Z157" s="124">
        <f>IF(Y157="","",COUNTIFS($C$18:$C$2015,Y$13,$D$18:$D$2015,"&gt;="&amp;Y157,$D$18:$D$2015,"&lt;"&amp;Y158))</f>
        <v/>
      </c>
      <c r="AA157" s="14" t="n"/>
      <c r="AB157" s="16" t="n"/>
      <c r="AC157" s="124">
        <f>IF(AB157="","",COUNTIFS($C$18:$C$2015,AB$13,$D$18:$D$2015,"&gt;="&amp;AB157,$D$18:$D$2015,"&lt;"&amp;AB158))</f>
        <v/>
      </c>
      <c r="AD157" s="14" t="n"/>
    </row>
    <row r="158">
      <c r="A158" s="56" t="n"/>
      <c r="B158" s="59" t="n"/>
      <c r="C158" s="59" t="n"/>
      <c r="E158" s="16" t="n"/>
      <c r="F158" s="13" t="n"/>
      <c r="G158" s="16" t="n"/>
      <c r="H158" s="124">
        <f>IF(G158="","",COUNTIFS($C$18:$C$2015,G$13,$D$18:$D$2015,"&gt;="&amp;G158,$D$18:$D$2015,"&lt;"&amp;G159))</f>
        <v/>
      </c>
      <c r="I158" s="14" t="n"/>
      <c r="J158" s="16" t="n"/>
      <c r="K158" s="124">
        <f>IF(J158="","",COUNTIFS($C$18:$C$2015,J$13,$D$18:$D$2015,"&gt;="&amp;J158,$D$18:$D$2015,"&lt;"&amp;J159))</f>
        <v/>
      </c>
      <c r="L158" s="14" t="n"/>
      <c r="M158" s="16" t="n"/>
      <c r="N158" s="124">
        <f>IF(M158="","",COUNTIFS($C$18:$C$2015,M$13,$D$18:$D$2015,"&gt;="&amp;M158,$D$18:$D$2015,"&lt;"&amp;M159))</f>
        <v/>
      </c>
      <c r="O158" s="14" t="n"/>
      <c r="P158" s="16" t="n"/>
      <c r="Q158" s="124">
        <f>IF(P158="","",COUNTIFS($C$18:$C$2015,P$13,$D$18:$D$2015,"&gt;="&amp;P158,$D$18:$D$2015,"&lt;"&amp;P159))</f>
        <v/>
      </c>
      <c r="R158" s="14" t="n"/>
      <c r="S158" s="16" t="n"/>
      <c r="T158" s="124">
        <f>IF(S158="","",COUNTIFS($C$18:$C$2015,S$13,$D$18:$D$2015,"&gt;="&amp;S158,$D$18:$D$2015,"&lt;"&amp;S159))</f>
        <v/>
      </c>
      <c r="U158" s="14" t="n"/>
      <c r="V158" s="16" t="n"/>
      <c r="W158" s="124">
        <f>IF(V158="","",COUNTIFS($C$18:$C$2015,V$13,$D$18:$D$2015,"&gt;="&amp;V158,$D$18:$D$2015,"&lt;"&amp;V159))</f>
        <v/>
      </c>
      <c r="X158" s="14" t="n"/>
      <c r="Y158" s="16" t="n"/>
      <c r="Z158" s="124">
        <f>IF(Y158="","",COUNTIFS($C$18:$C$2015,Y$13,$D$18:$D$2015,"&gt;="&amp;Y158,$D$18:$D$2015,"&lt;"&amp;Y159))</f>
        <v/>
      </c>
      <c r="AA158" s="14" t="n"/>
      <c r="AB158" s="16" t="n"/>
      <c r="AC158" s="124">
        <f>IF(AB158="","",COUNTIFS($C$18:$C$2015,AB$13,$D$18:$D$2015,"&gt;="&amp;AB158,$D$18:$D$2015,"&lt;"&amp;AB159))</f>
        <v/>
      </c>
      <c r="AD158" s="14" t="n"/>
    </row>
    <row r="159">
      <c r="A159" s="58" t="n"/>
      <c r="B159" s="59" t="n"/>
      <c r="C159" s="59" t="n"/>
      <c r="E159" s="16" t="n"/>
      <c r="F159" s="13" t="n"/>
      <c r="G159" s="16" t="n"/>
      <c r="H159" s="124">
        <f>IF(G159="","",COUNTIFS($C$18:$C$2015,G$13,$D$18:$D$2015,"&gt;="&amp;G159,$D$18:$D$2015,"&lt;"&amp;G160))</f>
        <v/>
      </c>
      <c r="I159" s="14" t="n"/>
      <c r="J159" s="16" t="n"/>
      <c r="K159" s="124">
        <f>IF(J159="","",COUNTIFS($C$18:$C$2015,J$13,$D$18:$D$2015,"&gt;="&amp;J159,$D$18:$D$2015,"&lt;"&amp;J160))</f>
        <v/>
      </c>
      <c r="L159" s="14" t="n"/>
      <c r="M159" s="16" t="n"/>
      <c r="N159" s="124">
        <f>IF(M159="","",COUNTIFS($C$18:$C$2015,M$13,$D$18:$D$2015,"&gt;="&amp;M159,$D$18:$D$2015,"&lt;"&amp;M160))</f>
        <v/>
      </c>
      <c r="O159" s="14" t="n"/>
      <c r="P159" s="16" t="n"/>
      <c r="Q159" s="124">
        <f>IF(P159="","",COUNTIFS($C$18:$C$2015,P$13,$D$18:$D$2015,"&gt;="&amp;P159,$D$18:$D$2015,"&lt;"&amp;P160))</f>
        <v/>
      </c>
      <c r="R159" s="14" t="n"/>
      <c r="S159" s="16" t="n"/>
      <c r="T159" s="124">
        <f>IF(S159="","",COUNTIFS($C$18:$C$2015,S$13,$D$18:$D$2015,"&gt;="&amp;S159,$D$18:$D$2015,"&lt;"&amp;S160))</f>
        <v/>
      </c>
      <c r="U159" s="14" t="n"/>
      <c r="V159" s="16" t="n"/>
      <c r="W159" s="124">
        <f>IF(V159="","",COUNTIFS($C$18:$C$2015,V$13,$D$18:$D$2015,"&gt;="&amp;V159,$D$18:$D$2015,"&lt;"&amp;V160))</f>
        <v/>
      </c>
      <c r="X159" s="14" t="n"/>
      <c r="Y159" s="16" t="n"/>
      <c r="Z159" s="124">
        <f>IF(Y159="","",COUNTIFS($C$18:$C$2015,Y$13,$D$18:$D$2015,"&gt;="&amp;Y159,$D$18:$D$2015,"&lt;"&amp;Y160))</f>
        <v/>
      </c>
      <c r="AA159" s="14" t="n"/>
      <c r="AB159" s="16" t="n"/>
      <c r="AC159" s="124">
        <f>IF(AB159="","",COUNTIFS($C$18:$C$2015,AB$13,$D$18:$D$2015,"&gt;="&amp;AB159,$D$18:$D$2015,"&lt;"&amp;AB160))</f>
        <v/>
      </c>
      <c r="AD159" s="14" t="n"/>
    </row>
    <row r="160">
      <c r="A160" s="56" t="n"/>
      <c r="B160" s="59" t="n"/>
      <c r="C160" s="59" t="n"/>
      <c r="E160" s="16" t="n"/>
      <c r="F160" s="13" t="n"/>
      <c r="G160" s="16" t="n"/>
      <c r="H160" s="124">
        <f>IF(G160="","",COUNTIFS($C$18:$C$2015,G$13,$D$18:$D$2015,"&gt;="&amp;G160,$D$18:$D$2015,"&lt;"&amp;G161))</f>
        <v/>
      </c>
      <c r="I160" s="14" t="n"/>
      <c r="J160" s="16" t="n"/>
      <c r="K160" s="124">
        <f>IF(J160="","",COUNTIFS($C$18:$C$2015,J$13,$D$18:$D$2015,"&gt;="&amp;J160,$D$18:$D$2015,"&lt;"&amp;J161))</f>
        <v/>
      </c>
      <c r="L160" s="14" t="n"/>
      <c r="M160" s="16" t="n"/>
      <c r="N160" s="124">
        <f>IF(M160="","",COUNTIFS($C$18:$C$2015,M$13,$D$18:$D$2015,"&gt;="&amp;M160,$D$18:$D$2015,"&lt;"&amp;M161))</f>
        <v/>
      </c>
      <c r="O160" s="14" t="n"/>
      <c r="P160" s="16" t="n"/>
      <c r="Q160" s="124">
        <f>IF(P160="","",COUNTIFS($C$18:$C$2015,P$13,$D$18:$D$2015,"&gt;="&amp;P160,$D$18:$D$2015,"&lt;"&amp;P161))</f>
        <v/>
      </c>
      <c r="R160" s="14" t="n"/>
      <c r="S160" s="16" t="n"/>
      <c r="T160" s="124">
        <f>IF(S160="","",COUNTIFS($C$18:$C$2015,S$13,$D$18:$D$2015,"&gt;="&amp;S160,$D$18:$D$2015,"&lt;"&amp;S161))</f>
        <v/>
      </c>
      <c r="U160" s="14" t="n"/>
      <c r="V160" s="16" t="n"/>
      <c r="W160" s="124">
        <f>IF(V160="","",COUNTIFS($C$18:$C$2015,V$13,$D$18:$D$2015,"&gt;="&amp;V160,$D$18:$D$2015,"&lt;"&amp;V161))</f>
        <v/>
      </c>
      <c r="X160" s="14" t="n"/>
      <c r="Y160" s="16" t="n"/>
      <c r="Z160" s="124">
        <f>IF(Y160="","",COUNTIFS($C$18:$C$2015,Y$13,$D$18:$D$2015,"&gt;="&amp;Y160,$D$18:$D$2015,"&lt;"&amp;Y161))</f>
        <v/>
      </c>
      <c r="AA160" s="14" t="n"/>
      <c r="AB160" s="16" t="n"/>
      <c r="AC160" s="124">
        <f>IF(AB160="","",COUNTIFS($C$18:$C$2015,AB$13,$D$18:$D$2015,"&gt;="&amp;AB160,$D$18:$D$2015,"&lt;"&amp;AB161))</f>
        <v/>
      </c>
      <c r="AD160" s="14" t="n"/>
    </row>
    <row r="161">
      <c r="A161" s="58" t="n"/>
      <c r="B161" s="59" t="n"/>
      <c r="C161" s="59" t="n"/>
      <c r="E161" s="16" t="n"/>
      <c r="F161" s="13" t="n"/>
      <c r="G161" s="16" t="n"/>
      <c r="H161" s="124">
        <f>IF(G161="","",COUNTIFS($C$18:$C$2015,G$13,$D$18:$D$2015,"&gt;="&amp;G161,$D$18:$D$2015,"&lt;"&amp;G162))</f>
        <v/>
      </c>
      <c r="I161" s="14" t="n"/>
      <c r="J161" s="16" t="n"/>
      <c r="K161" s="124">
        <f>IF(J161="","",COUNTIFS($C$18:$C$2015,J$13,$D$18:$D$2015,"&gt;="&amp;J161,$D$18:$D$2015,"&lt;"&amp;J162))</f>
        <v/>
      </c>
      <c r="L161" s="14" t="n"/>
      <c r="M161" s="16" t="n"/>
      <c r="N161" s="124">
        <f>IF(M161="","",COUNTIFS($C$18:$C$2015,M$13,$D$18:$D$2015,"&gt;="&amp;M161,$D$18:$D$2015,"&lt;"&amp;M162))</f>
        <v/>
      </c>
      <c r="O161" s="14" t="n"/>
      <c r="P161" s="16" t="n"/>
      <c r="Q161" s="124">
        <f>IF(P161="","",COUNTIFS($C$18:$C$2015,P$13,$D$18:$D$2015,"&gt;="&amp;P161,$D$18:$D$2015,"&lt;"&amp;P162))</f>
        <v/>
      </c>
      <c r="R161" s="14" t="n"/>
      <c r="S161" s="16" t="n"/>
      <c r="T161" s="124">
        <f>IF(S161="","",COUNTIFS($C$18:$C$2015,S$13,$D$18:$D$2015,"&gt;="&amp;S161,$D$18:$D$2015,"&lt;"&amp;S162))</f>
        <v/>
      </c>
      <c r="U161" s="14" t="n"/>
      <c r="V161" s="16" t="n"/>
      <c r="W161" s="124">
        <f>IF(V161="","",COUNTIFS($C$18:$C$2015,V$13,$D$18:$D$2015,"&gt;="&amp;V161,$D$18:$D$2015,"&lt;"&amp;V162))</f>
        <v/>
      </c>
      <c r="X161" s="14" t="n"/>
      <c r="Y161" s="16" t="n"/>
      <c r="Z161" s="124">
        <f>IF(Y161="","",COUNTIFS($C$18:$C$2015,Y$13,$D$18:$D$2015,"&gt;="&amp;Y161,$D$18:$D$2015,"&lt;"&amp;Y162))</f>
        <v/>
      </c>
      <c r="AA161" s="14" t="n"/>
      <c r="AB161" s="16" t="n"/>
      <c r="AC161" s="124">
        <f>IF(AB161="","",COUNTIFS($C$18:$C$2015,AB$13,$D$18:$D$2015,"&gt;="&amp;AB161,$D$18:$D$2015,"&lt;"&amp;AB162))</f>
        <v/>
      </c>
      <c r="AD161" s="14" t="n"/>
    </row>
    <row r="162">
      <c r="A162" s="56" t="n"/>
      <c r="B162" s="59" t="n"/>
      <c r="C162" s="59" t="n"/>
      <c r="E162" s="16" t="n"/>
      <c r="F162" s="13" t="n"/>
      <c r="G162" s="16" t="n"/>
      <c r="H162" s="124">
        <f>IF(G162="","",COUNTIFS($C$18:$C$2015,G$13,$D$18:$D$2015,"&gt;="&amp;G162,$D$18:$D$2015,"&lt;"&amp;G163))</f>
        <v/>
      </c>
      <c r="I162" s="14" t="n"/>
      <c r="J162" s="16" t="n"/>
      <c r="K162" s="124">
        <f>IF(J162="","",COUNTIFS($C$18:$C$2015,J$13,$D$18:$D$2015,"&gt;="&amp;J162,$D$18:$D$2015,"&lt;"&amp;J163))</f>
        <v/>
      </c>
      <c r="L162" s="14" t="n"/>
      <c r="M162" s="16" t="n"/>
      <c r="N162" s="124">
        <f>IF(M162="","",COUNTIFS($C$18:$C$2015,M$13,$D$18:$D$2015,"&gt;="&amp;M162,$D$18:$D$2015,"&lt;"&amp;M163))</f>
        <v/>
      </c>
      <c r="O162" s="14" t="n"/>
      <c r="P162" s="16" t="n"/>
      <c r="Q162" s="124">
        <f>IF(P162="","",COUNTIFS($C$18:$C$2015,P$13,$D$18:$D$2015,"&gt;="&amp;P162,$D$18:$D$2015,"&lt;"&amp;P163))</f>
        <v/>
      </c>
      <c r="R162" s="14" t="n"/>
      <c r="S162" s="16" t="n"/>
      <c r="T162" s="124">
        <f>IF(S162="","",COUNTIFS($C$18:$C$2015,S$13,$D$18:$D$2015,"&gt;="&amp;S162,$D$18:$D$2015,"&lt;"&amp;S163))</f>
        <v/>
      </c>
      <c r="U162" s="14" t="n"/>
      <c r="V162" s="16" t="n"/>
      <c r="W162" s="124">
        <f>IF(V162="","",COUNTIFS($C$18:$C$2015,V$13,$D$18:$D$2015,"&gt;="&amp;V162,$D$18:$D$2015,"&lt;"&amp;V163))</f>
        <v/>
      </c>
      <c r="X162" s="14" t="n"/>
      <c r="Y162" s="16" t="n"/>
      <c r="Z162" s="124">
        <f>IF(Y162="","",COUNTIFS($C$18:$C$2015,Y$13,$D$18:$D$2015,"&gt;="&amp;Y162,$D$18:$D$2015,"&lt;"&amp;Y163))</f>
        <v/>
      </c>
      <c r="AA162" s="14" t="n"/>
      <c r="AB162" s="16" t="n"/>
      <c r="AC162" s="124">
        <f>IF(AB162="","",COUNTIFS($C$18:$C$2015,AB$13,$D$18:$D$2015,"&gt;="&amp;AB162,$D$18:$D$2015,"&lt;"&amp;AB163))</f>
        <v/>
      </c>
      <c r="AD162" s="14" t="n"/>
    </row>
    <row r="163">
      <c r="A163" s="58" t="n"/>
      <c r="B163" s="59" t="n"/>
      <c r="C163" s="59" t="n"/>
      <c r="E163" s="16" t="n"/>
      <c r="F163" s="13" t="n"/>
      <c r="G163" s="16" t="n"/>
      <c r="H163" s="124">
        <f>IF(G163="","",COUNTIFS($C$18:$C$2015,G$13,$D$18:$D$2015,"&gt;="&amp;G163,$D$18:$D$2015,"&lt;"&amp;G164))</f>
        <v/>
      </c>
      <c r="I163" s="14" t="n"/>
      <c r="J163" s="16" t="n"/>
      <c r="K163" s="124">
        <f>IF(J163="","",COUNTIFS($C$18:$C$2015,J$13,$D$18:$D$2015,"&gt;="&amp;J163,$D$18:$D$2015,"&lt;"&amp;J164))</f>
        <v/>
      </c>
      <c r="L163" s="14" t="n"/>
      <c r="M163" s="16" t="n"/>
      <c r="N163" s="124">
        <f>IF(M163="","",COUNTIFS($C$18:$C$2015,M$13,$D$18:$D$2015,"&gt;="&amp;M163,$D$18:$D$2015,"&lt;"&amp;M164))</f>
        <v/>
      </c>
      <c r="O163" s="14" t="n"/>
      <c r="P163" s="16" t="n"/>
      <c r="Q163" s="124">
        <f>IF(P163="","",COUNTIFS($C$18:$C$2015,P$13,$D$18:$D$2015,"&gt;="&amp;P163,$D$18:$D$2015,"&lt;"&amp;P164))</f>
        <v/>
      </c>
      <c r="R163" s="14" t="n"/>
      <c r="S163" s="16" t="n"/>
      <c r="T163" s="124">
        <f>IF(S163="","",COUNTIFS($C$18:$C$2015,S$13,$D$18:$D$2015,"&gt;="&amp;S163,$D$18:$D$2015,"&lt;"&amp;S164))</f>
        <v/>
      </c>
      <c r="U163" s="14" t="n"/>
      <c r="V163" s="16" t="n"/>
      <c r="W163" s="124">
        <f>IF(V163="","",COUNTIFS($C$18:$C$2015,V$13,$D$18:$D$2015,"&gt;="&amp;V163,$D$18:$D$2015,"&lt;"&amp;V164))</f>
        <v/>
      </c>
      <c r="X163" s="14" t="n"/>
      <c r="Y163" s="16" t="n"/>
      <c r="Z163" s="124">
        <f>IF(Y163="","",COUNTIFS($C$18:$C$2015,Y$13,$D$18:$D$2015,"&gt;="&amp;Y163,$D$18:$D$2015,"&lt;"&amp;Y164))</f>
        <v/>
      </c>
      <c r="AA163" s="14" t="n"/>
      <c r="AB163" s="16" t="n"/>
      <c r="AC163" s="124">
        <f>IF(AB163="","",COUNTIFS($C$18:$C$2015,AB$13,$D$18:$D$2015,"&gt;="&amp;AB163,$D$18:$D$2015,"&lt;"&amp;AB164))</f>
        <v/>
      </c>
      <c r="AD163" s="14" t="n"/>
    </row>
    <row r="164">
      <c r="A164" s="56" t="n"/>
      <c r="B164" s="59" t="n"/>
      <c r="C164" s="59" t="n"/>
      <c r="E164" s="16" t="n"/>
      <c r="F164" s="13" t="n"/>
      <c r="G164" s="16" t="n"/>
      <c r="H164" s="124">
        <f>IF(G164="","",COUNTIFS($C$18:$C$2015,G$13,$D$18:$D$2015,"&gt;="&amp;G164,$D$18:$D$2015,"&lt;"&amp;G165))</f>
        <v/>
      </c>
      <c r="I164" s="14" t="n"/>
      <c r="J164" s="16" t="n"/>
      <c r="K164" s="124">
        <f>IF(J164="","",COUNTIFS($C$18:$C$2015,J$13,$D$18:$D$2015,"&gt;="&amp;J164,$D$18:$D$2015,"&lt;"&amp;J165))</f>
        <v/>
      </c>
      <c r="L164" s="14" t="n"/>
      <c r="M164" s="16" t="n"/>
      <c r="N164" s="124">
        <f>IF(M164="","",COUNTIFS($C$18:$C$2015,M$13,$D$18:$D$2015,"&gt;="&amp;M164,$D$18:$D$2015,"&lt;"&amp;M165))</f>
        <v/>
      </c>
      <c r="O164" s="14" t="n"/>
      <c r="P164" s="16" t="n"/>
      <c r="Q164" s="124">
        <f>IF(P164="","",COUNTIFS($C$18:$C$2015,P$13,$D$18:$D$2015,"&gt;="&amp;P164,$D$18:$D$2015,"&lt;"&amp;P165))</f>
        <v/>
      </c>
      <c r="R164" s="14" t="n"/>
      <c r="S164" s="16" t="n"/>
      <c r="T164" s="124">
        <f>IF(S164="","",COUNTIFS($C$18:$C$2015,S$13,$D$18:$D$2015,"&gt;="&amp;S164,$D$18:$D$2015,"&lt;"&amp;S165))</f>
        <v/>
      </c>
      <c r="U164" s="14" t="n"/>
      <c r="V164" s="16" t="n"/>
      <c r="W164" s="124">
        <f>IF(V164="","",COUNTIFS($C$18:$C$2015,V$13,$D$18:$D$2015,"&gt;="&amp;V164,$D$18:$D$2015,"&lt;"&amp;V165))</f>
        <v/>
      </c>
      <c r="X164" s="14" t="n"/>
      <c r="Y164" s="16" t="n"/>
      <c r="Z164" s="124">
        <f>IF(Y164="","",COUNTIFS($C$18:$C$2015,Y$13,$D$18:$D$2015,"&gt;="&amp;Y164,$D$18:$D$2015,"&lt;"&amp;Y165))</f>
        <v/>
      </c>
      <c r="AA164" s="14" t="n"/>
      <c r="AB164" s="16" t="n"/>
      <c r="AC164" s="124">
        <f>IF(AB164="","",COUNTIFS($C$18:$C$2015,AB$13,$D$18:$D$2015,"&gt;="&amp;AB164,$D$18:$D$2015,"&lt;"&amp;AB165))</f>
        <v/>
      </c>
      <c r="AD164" s="14" t="n"/>
    </row>
    <row r="165">
      <c r="A165" s="58" t="n"/>
      <c r="B165" s="59" t="n"/>
      <c r="C165" s="59" t="n"/>
      <c r="E165" s="16" t="n"/>
      <c r="F165" s="13" t="n"/>
      <c r="G165" s="16" t="n"/>
      <c r="H165" s="124">
        <f>IF(G165="","",COUNTIFS($C$18:$C$2015,G$13,$D$18:$D$2015,"&gt;="&amp;G165,$D$18:$D$2015,"&lt;"&amp;G166))</f>
        <v/>
      </c>
      <c r="I165" s="14" t="n"/>
      <c r="J165" s="16" t="n"/>
      <c r="K165" s="124">
        <f>IF(J165="","",COUNTIFS($C$18:$C$2015,J$13,$D$18:$D$2015,"&gt;="&amp;J165,$D$18:$D$2015,"&lt;"&amp;J166))</f>
        <v/>
      </c>
      <c r="L165" s="14" t="n"/>
      <c r="M165" s="16" t="n"/>
      <c r="N165" s="124">
        <f>IF(M165="","",COUNTIFS($C$18:$C$2015,M$13,$D$18:$D$2015,"&gt;="&amp;M165,$D$18:$D$2015,"&lt;"&amp;M166))</f>
        <v/>
      </c>
      <c r="O165" s="14" t="n"/>
      <c r="P165" s="16" t="n"/>
      <c r="Q165" s="124">
        <f>IF(P165="","",COUNTIFS($C$18:$C$2015,P$13,$D$18:$D$2015,"&gt;="&amp;P165,$D$18:$D$2015,"&lt;"&amp;P166))</f>
        <v/>
      </c>
      <c r="R165" s="14" t="n"/>
      <c r="S165" s="16" t="n"/>
      <c r="T165" s="124">
        <f>IF(S165="","",COUNTIFS($C$18:$C$2015,S$13,$D$18:$D$2015,"&gt;="&amp;S165,$D$18:$D$2015,"&lt;"&amp;S166))</f>
        <v/>
      </c>
      <c r="U165" s="14" t="n"/>
      <c r="V165" s="16" t="n"/>
      <c r="W165" s="124">
        <f>IF(V165="","",COUNTIFS($C$18:$C$2015,V$13,$D$18:$D$2015,"&gt;="&amp;V165,$D$18:$D$2015,"&lt;"&amp;V166))</f>
        <v/>
      </c>
      <c r="X165" s="14" t="n"/>
      <c r="Y165" s="16" t="n"/>
      <c r="Z165" s="124">
        <f>IF(Y165="","",COUNTIFS($C$18:$C$2015,Y$13,$D$18:$D$2015,"&gt;="&amp;Y165,$D$18:$D$2015,"&lt;"&amp;Y166))</f>
        <v/>
      </c>
      <c r="AA165" s="14" t="n"/>
      <c r="AB165" s="16" t="n"/>
      <c r="AC165" s="124">
        <f>IF(AB165="","",COUNTIFS($C$18:$C$2015,AB$13,$D$18:$D$2015,"&gt;="&amp;AB165,$D$18:$D$2015,"&lt;"&amp;AB166))</f>
        <v/>
      </c>
      <c r="AD165" s="14" t="n"/>
    </row>
    <row r="166">
      <c r="A166" s="56" t="n"/>
      <c r="B166" s="59" t="n"/>
      <c r="C166" s="59" t="n"/>
      <c r="E166" s="16" t="n"/>
      <c r="F166" s="13" t="n"/>
      <c r="G166" s="16" t="n"/>
      <c r="H166" s="124">
        <f>IF(G166="","",COUNTIFS($C$18:$C$2015,G$13,$D$18:$D$2015,"&gt;="&amp;G166,$D$18:$D$2015,"&lt;"&amp;G167))</f>
        <v/>
      </c>
      <c r="I166" s="14" t="n"/>
      <c r="J166" s="16" t="n"/>
      <c r="K166" s="124">
        <f>IF(J166="","",COUNTIFS($C$18:$C$2015,J$13,$D$18:$D$2015,"&gt;="&amp;J166,$D$18:$D$2015,"&lt;"&amp;J167))</f>
        <v/>
      </c>
      <c r="L166" s="14" t="n"/>
      <c r="M166" s="16" t="n"/>
      <c r="N166" s="124">
        <f>IF(M166="","",COUNTIFS($C$18:$C$2015,M$13,$D$18:$D$2015,"&gt;="&amp;M166,$D$18:$D$2015,"&lt;"&amp;M167))</f>
        <v/>
      </c>
      <c r="O166" s="14" t="n"/>
      <c r="P166" s="16" t="n"/>
      <c r="Q166" s="124">
        <f>IF(P166="","",COUNTIFS($C$18:$C$2015,P$13,$D$18:$D$2015,"&gt;="&amp;P166,$D$18:$D$2015,"&lt;"&amp;P167))</f>
        <v/>
      </c>
      <c r="R166" s="14" t="n"/>
      <c r="S166" s="16" t="n"/>
      <c r="T166" s="124">
        <f>IF(S166="","",COUNTIFS($C$18:$C$2015,S$13,$D$18:$D$2015,"&gt;="&amp;S166,$D$18:$D$2015,"&lt;"&amp;S167))</f>
        <v/>
      </c>
      <c r="U166" s="14" t="n"/>
      <c r="V166" s="16" t="n"/>
      <c r="W166" s="124">
        <f>IF(V166="","",COUNTIFS($C$18:$C$2015,V$13,$D$18:$D$2015,"&gt;="&amp;V166,$D$18:$D$2015,"&lt;"&amp;V167))</f>
        <v/>
      </c>
      <c r="X166" s="14" t="n"/>
      <c r="Y166" s="16" t="n"/>
      <c r="Z166" s="124">
        <f>IF(Y166="","",COUNTIFS($C$18:$C$2015,Y$13,$D$18:$D$2015,"&gt;="&amp;Y166,$D$18:$D$2015,"&lt;"&amp;Y167))</f>
        <v/>
      </c>
      <c r="AA166" s="14" t="n"/>
      <c r="AB166" s="16" t="n"/>
      <c r="AC166" s="124">
        <f>IF(AB166="","",COUNTIFS($C$18:$C$2015,AB$13,$D$18:$D$2015,"&gt;="&amp;AB166,$D$18:$D$2015,"&lt;"&amp;AB167))</f>
        <v/>
      </c>
      <c r="AD166" s="14" t="n"/>
    </row>
    <row r="167">
      <c r="A167" s="58" t="n"/>
      <c r="B167" s="59" t="n"/>
      <c r="C167" s="59" t="n"/>
      <c r="E167" s="16" t="n"/>
      <c r="F167" s="13" t="n"/>
      <c r="G167" s="16" t="n"/>
      <c r="H167" s="124">
        <f>IF(G167="","",COUNTIFS($C$18:$C$2015,G$13,$D$18:$D$2015,"&gt;="&amp;G167,$D$18:$D$2015,"&lt;"&amp;G168))</f>
        <v/>
      </c>
      <c r="I167" s="14" t="n"/>
      <c r="J167" s="16" t="n"/>
      <c r="K167" s="124">
        <f>IF(J167="","",COUNTIFS($C$18:$C$2015,J$13,$D$18:$D$2015,"&gt;="&amp;J167,$D$18:$D$2015,"&lt;"&amp;J168))</f>
        <v/>
      </c>
      <c r="L167" s="14" t="n"/>
      <c r="M167" s="16" t="n"/>
      <c r="N167" s="124">
        <f>IF(M167="","",COUNTIFS($C$18:$C$2015,M$13,$D$18:$D$2015,"&gt;="&amp;M167,$D$18:$D$2015,"&lt;"&amp;M168))</f>
        <v/>
      </c>
      <c r="O167" s="14" t="n"/>
      <c r="P167" s="16" t="n"/>
      <c r="Q167" s="124">
        <f>IF(P167="","",COUNTIFS($C$18:$C$2015,P$13,$D$18:$D$2015,"&gt;="&amp;P167,$D$18:$D$2015,"&lt;"&amp;P168))</f>
        <v/>
      </c>
      <c r="R167" s="14" t="n"/>
      <c r="S167" s="16" t="n"/>
      <c r="T167" s="124">
        <f>IF(S167="","",COUNTIFS($C$18:$C$2015,S$13,$D$18:$D$2015,"&gt;="&amp;S167,$D$18:$D$2015,"&lt;"&amp;S168))</f>
        <v/>
      </c>
      <c r="U167" s="14" t="n"/>
      <c r="V167" s="16" t="n"/>
      <c r="W167" s="124">
        <f>IF(V167="","",COUNTIFS($C$18:$C$2015,V$13,$D$18:$D$2015,"&gt;="&amp;V167,$D$18:$D$2015,"&lt;"&amp;V168))</f>
        <v/>
      </c>
      <c r="X167" s="14" t="n"/>
      <c r="Y167" s="16" t="n"/>
      <c r="Z167" s="124">
        <f>IF(Y167="","",COUNTIFS($C$18:$C$2015,Y$13,$D$18:$D$2015,"&gt;="&amp;Y167,$D$18:$D$2015,"&lt;"&amp;Y168))</f>
        <v/>
      </c>
      <c r="AA167" s="14" t="n"/>
      <c r="AB167" s="16" t="n"/>
      <c r="AC167" s="124">
        <f>IF(AB167="","",COUNTIFS($C$18:$C$2015,AB$13,$D$18:$D$2015,"&gt;="&amp;AB167,$D$18:$D$2015,"&lt;"&amp;AB168))</f>
        <v/>
      </c>
      <c r="AD167" s="14" t="n"/>
    </row>
    <row r="168">
      <c r="A168" s="56" t="n"/>
      <c r="B168" s="59" t="n"/>
      <c r="C168" s="59" t="n"/>
      <c r="E168" s="16" t="n"/>
      <c r="F168" s="13" t="n"/>
      <c r="G168" s="16" t="n"/>
      <c r="H168" s="124">
        <f>IF(G168="","",COUNTIFS($C$18:$C$2015,G$13,$D$18:$D$2015,"&gt;="&amp;G168,$D$18:$D$2015,"&lt;"&amp;G169))</f>
        <v/>
      </c>
      <c r="I168" s="14" t="n"/>
      <c r="J168" s="16" t="n"/>
      <c r="K168" s="124">
        <f>IF(J168="","",COUNTIFS($C$18:$C$2015,J$13,$D$18:$D$2015,"&gt;="&amp;J168,$D$18:$D$2015,"&lt;"&amp;J169))</f>
        <v/>
      </c>
      <c r="L168" s="14" t="n"/>
      <c r="M168" s="16" t="n"/>
      <c r="N168" s="124">
        <f>IF(M168="","",COUNTIFS($C$18:$C$2015,M$13,$D$18:$D$2015,"&gt;="&amp;M168,$D$18:$D$2015,"&lt;"&amp;M169))</f>
        <v/>
      </c>
      <c r="O168" s="14" t="n"/>
      <c r="P168" s="16" t="n"/>
      <c r="Q168" s="124">
        <f>IF(P168="","",COUNTIFS($C$18:$C$2015,P$13,$D$18:$D$2015,"&gt;="&amp;P168,$D$18:$D$2015,"&lt;"&amp;P169))</f>
        <v/>
      </c>
      <c r="R168" s="14" t="n"/>
      <c r="S168" s="16" t="n"/>
      <c r="T168" s="124">
        <f>IF(S168="","",COUNTIFS($C$18:$C$2015,S$13,$D$18:$D$2015,"&gt;="&amp;S168,$D$18:$D$2015,"&lt;"&amp;S169))</f>
        <v/>
      </c>
      <c r="U168" s="14" t="n"/>
      <c r="V168" s="16" t="n"/>
      <c r="W168" s="124">
        <f>IF(V168="","",COUNTIFS($C$18:$C$2015,V$13,$D$18:$D$2015,"&gt;="&amp;V168,$D$18:$D$2015,"&lt;"&amp;V169))</f>
        <v/>
      </c>
      <c r="X168" s="14" t="n"/>
      <c r="Y168" s="16" t="n"/>
      <c r="Z168" s="124">
        <f>IF(Y168="","",COUNTIFS($C$18:$C$2015,Y$13,$D$18:$D$2015,"&gt;="&amp;Y168,$D$18:$D$2015,"&lt;"&amp;Y169))</f>
        <v/>
      </c>
      <c r="AA168" s="14" t="n"/>
      <c r="AB168" s="16" t="n"/>
      <c r="AC168" s="124">
        <f>IF(AB168="","",COUNTIFS($C$18:$C$2015,AB$13,$D$18:$D$2015,"&gt;="&amp;AB168,$D$18:$D$2015,"&lt;"&amp;AB169))</f>
        <v/>
      </c>
      <c r="AD168" s="14" t="n"/>
    </row>
    <row r="169">
      <c r="A169" s="58" t="n"/>
      <c r="B169" s="59" t="n"/>
      <c r="C169" s="59" t="n"/>
      <c r="E169" s="16" t="n"/>
      <c r="F169" s="13" t="n"/>
      <c r="G169" s="16" t="n"/>
      <c r="H169" s="124">
        <f>IF(G169="","",COUNTIFS($C$18:$C$2015,G$13,$D$18:$D$2015,"&gt;="&amp;G169,$D$18:$D$2015,"&lt;"&amp;G170))</f>
        <v/>
      </c>
      <c r="I169" s="14" t="n"/>
      <c r="J169" s="16" t="n"/>
      <c r="K169" s="124">
        <f>IF(J169="","",COUNTIFS($C$18:$C$2015,J$13,$D$18:$D$2015,"&gt;="&amp;J169,$D$18:$D$2015,"&lt;"&amp;J170))</f>
        <v/>
      </c>
      <c r="L169" s="14" t="n"/>
      <c r="M169" s="16" t="n"/>
      <c r="N169" s="124">
        <f>IF(M169="","",COUNTIFS($C$18:$C$2015,M$13,$D$18:$D$2015,"&gt;="&amp;M169,$D$18:$D$2015,"&lt;"&amp;M170))</f>
        <v/>
      </c>
      <c r="O169" s="14" t="n"/>
      <c r="P169" s="16" t="n"/>
      <c r="Q169" s="124">
        <f>IF(P169="","",COUNTIFS($C$18:$C$2015,P$13,$D$18:$D$2015,"&gt;="&amp;P169,$D$18:$D$2015,"&lt;"&amp;P170))</f>
        <v/>
      </c>
      <c r="R169" s="14" t="n"/>
      <c r="S169" s="16" t="n"/>
      <c r="T169" s="124">
        <f>IF(S169="","",COUNTIFS($C$18:$C$2015,S$13,$D$18:$D$2015,"&gt;="&amp;S169,$D$18:$D$2015,"&lt;"&amp;S170))</f>
        <v/>
      </c>
      <c r="U169" s="14" t="n"/>
      <c r="V169" s="16" t="n"/>
      <c r="W169" s="124">
        <f>IF(V169="","",COUNTIFS($C$18:$C$2015,V$13,$D$18:$D$2015,"&gt;="&amp;V169,$D$18:$D$2015,"&lt;"&amp;V170))</f>
        <v/>
      </c>
      <c r="X169" s="14" t="n"/>
      <c r="Y169" s="16" t="n"/>
      <c r="Z169" s="124">
        <f>IF(Y169="","",COUNTIFS($C$18:$C$2015,Y$13,$D$18:$D$2015,"&gt;="&amp;Y169,$D$18:$D$2015,"&lt;"&amp;Y170))</f>
        <v/>
      </c>
      <c r="AA169" s="14" t="n"/>
      <c r="AB169" s="16" t="n"/>
      <c r="AC169" s="124">
        <f>IF(AB169="","",COUNTIFS($C$18:$C$2015,AB$13,$D$18:$D$2015,"&gt;="&amp;AB169,$D$18:$D$2015,"&lt;"&amp;AB170))</f>
        <v/>
      </c>
      <c r="AD169" s="14" t="n"/>
    </row>
    <row r="170">
      <c r="A170" s="56" t="n"/>
      <c r="B170" s="59" t="n"/>
      <c r="C170" s="59" t="n"/>
      <c r="E170" s="16" t="n"/>
      <c r="F170" s="13" t="n"/>
      <c r="G170" s="16" t="n"/>
      <c r="H170" s="124">
        <f>IF(G170="","",COUNTIFS($C$18:$C$2015,G$13,$D$18:$D$2015,"&gt;="&amp;G170,$D$18:$D$2015,"&lt;"&amp;G171))</f>
        <v/>
      </c>
      <c r="I170" s="14" t="n"/>
      <c r="J170" s="16" t="n"/>
      <c r="K170" s="124">
        <f>IF(J170="","",COUNTIFS($C$18:$C$2015,J$13,$D$18:$D$2015,"&gt;="&amp;J170,$D$18:$D$2015,"&lt;"&amp;J171))</f>
        <v/>
      </c>
      <c r="L170" s="14" t="n"/>
      <c r="M170" s="16" t="n"/>
      <c r="N170" s="124">
        <f>IF(M170="","",COUNTIFS($C$18:$C$2015,M$13,$D$18:$D$2015,"&gt;="&amp;M170,$D$18:$D$2015,"&lt;"&amp;M171))</f>
        <v/>
      </c>
      <c r="O170" s="14" t="n"/>
      <c r="P170" s="16" t="n"/>
      <c r="Q170" s="124">
        <f>IF(P170="","",COUNTIFS($C$18:$C$2015,P$13,$D$18:$D$2015,"&gt;="&amp;P170,$D$18:$D$2015,"&lt;"&amp;P171))</f>
        <v/>
      </c>
      <c r="R170" s="14" t="n"/>
      <c r="S170" s="16" t="n"/>
      <c r="T170" s="124">
        <f>IF(S170="","",COUNTIFS($C$18:$C$2015,S$13,$D$18:$D$2015,"&gt;="&amp;S170,$D$18:$D$2015,"&lt;"&amp;S171))</f>
        <v/>
      </c>
      <c r="U170" s="14" t="n"/>
      <c r="V170" s="16" t="n"/>
      <c r="W170" s="124">
        <f>IF(V170="","",COUNTIFS($C$18:$C$2015,V$13,$D$18:$D$2015,"&gt;="&amp;V170,$D$18:$D$2015,"&lt;"&amp;V171))</f>
        <v/>
      </c>
      <c r="X170" s="14" t="n"/>
      <c r="Y170" s="16" t="n"/>
      <c r="Z170" s="124">
        <f>IF(Y170="","",COUNTIFS($C$18:$C$2015,Y$13,$D$18:$D$2015,"&gt;="&amp;Y170,$D$18:$D$2015,"&lt;"&amp;Y171))</f>
        <v/>
      </c>
      <c r="AA170" s="14" t="n"/>
      <c r="AB170" s="16" t="n"/>
      <c r="AC170" s="124">
        <f>IF(AB170="","",COUNTIFS($C$18:$C$2015,AB$13,$D$18:$D$2015,"&gt;="&amp;AB170,$D$18:$D$2015,"&lt;"&amp;AB171))</f>
        <v/>
      </c>
      <c r="AD170" s="14" t="n"/>
    </row>
    <row r="171">
      <c r="A171" s="58" t="n"/>
      <c r="B171" s="59" t="n"/>
      <c r="C171" s="59" t="n"/>
      <c r="E171" s="16" t="n"/>
      <c r="F171" s="13" t="n"/>
      <c r="G171" s="16" t="n"/>
      <c r="H171" s="124">
        <f>IF(G171="","",COUNTIFS($C$18:$C$2015,G$13,$D$18:$D$2015,"&gt;="&amp;G171,$D$18:$D$2015,"&lt;"&amp;G172))</f>
        <v/>
      </c>
      <c r="I171" s="14" t="n"/>
      <c r="J171" s="16" t="n"/>
      <c r="K171" s="124">
        <f>IF(J171="","",COUNTIFS($C$18:$C$2015,J$13,$D$18:$D$2015,"&gt;="&amp;J171,$D$18:$D$2015,"&lt;"&amp;J172))</f>
        <v/>
      </c>
      <c r="L171" s="14" t="n"/>
      <c r="M171" s="16" t="n"/>
      <c r="N171" s="124">
        <f>IF(M171="","",COUNTIFS($C$18:$C$2015,M$13,$D$18:$D$2015,"&gt;="&amp;M171,$D$18:$D$2015,"&lt;"&amp;M172))</f>
        <v/>
      </c>
      <c r="O171" s="14" t="n"/>
      <c r="P171" s="16" t="n"/>
      <c r="Q171" s="124">
        <f>IF(P171="","",COUNTIFS($C$18:$C$2015,P$13,$D$18:$D$2015,"&gt;="&amp;P171,$D$18:$D$2015,"&lt;"&amp;P172))</f>
        <v/>
      </c>
      <c r="R171" s="14" t="n"/>
      <c r="S171" s="16" t="n"/>
      <c r="T171" s="124">
        <f>IF(S171="","",COUNTIFS($C$18:$C$2015,S$13,$D$18:$D$2015,"&gt;="&amp;S171,$D$18:$D$2015,"&lt;"&amp;S172))</f>
        <v/>
      </c>
      <c r="U171" s="14" t="n"/>
      <c r="V171" s="16" t="n"/>
      <c r="W171" s="124">
        <f>IF(V171="","",COUNTIFS($C$18:$C$2015,V$13,$D$18:$D$2015,"&gt;="&amp;V171,$D$18:$D$2015,"&lt;"&amp;V172))</f>
        <v/>
      </c>
      <c r="X171" s="14" t="n"/>
      <c r="Y171" s="16" t="n"/>
      <c r="Z171" s="124">
        <f>IF(Y171="","",COUNTIFS($C$18:$C$2015,Y$13,$D$18:$D$2015,"&gt;="&amp;Y171,$D$18:$D$2015,"&lt;"&amp;Y172))</f>
        <v/>
      </c>
      <c r="AA171" s="14" t="n"/>
      <c r="AB171" s="16" t="n"/>
      <c r="AC171" s="124">
        <f>IF(AB171="","",COUNTIFS($C$18:$C$2015,AB$13,$D$18:$D$2015,"&gt;="&amp;AB171,$D$18:$D$2015,"&lt;"&amp;AB172))</f>
        <v/>
      </c>
      <c r="AD171" s="14" t="n"/>
    </row>
    <row r="172">
      <c r="A172" s="56" t="n"/>
      <c r="B172" s="59" t="n"/>
      <c r="C172" s="59" t="n"/>
      <c r="E172" s="16" t="n"/>
      <c r="F172" s="13" t="n"/>
      <c r="G172" s="16" t="n"/>
      <c r="H172" s="124">
        <f>IF(G172="","",COUNTIFS($C$18:$C$2015,G$13,$D$18:$D$2015,"&gt;="&amp;G172,$D$18:$D$2015,"&lt;"&amp;G173))</f>
        <v/>
      </c>
      <c r="I172" s="14" t="n"/>
      <c r="J172" s="16" t="n"/>
      <c r="K172" s="124">
        <f>IF(J172="","",COUNTIFS($C$18:$C$2015,J$13,$D$18:$D$2015,"&gt;="&amp;J172,$D$18:$D$2015,"&lt;"&amp;J173))</f>
        <v/>
      </c>
      <c r="L172" s="14" t="n"/>
      <c r="M172" s="16" t="n"/>
      <c r="N172" s="124">
        <f>IF(M172="","",COUNTIFS($C$18:$C$2015,M$13,$D$18:$D$2015,"&gt;="&amp;M172,$D$18:$D$2015,"&lt;"&amp;M173))</f>
        <v/>
      </c>
      <c r="O172" s="14" t="n"/>
      <c r="P172" s="16" t="n"/>
      <c r="Q172" s="124">
        <f>IF(P172="","",COUNTIFS($C$18:$C$2015,P$13,$D$18:$D$2015,"&gt;="&amp;P172,$D$18:$D$2015,"&lt;"&amp;P173))</f>
        <v/>
      </c>
      <c r="R172" s="14" t="n"/>
      <c r="S172" s="16" t="n"/>
      <c r="T172" s="124">
        <f>IF(S172="","",COUNTIFS($C$18:$C$2015,S$13,$D$18:$D$2015,"&gt;="&amp;S172,$D$18:$D$2015,"&lt;"&amp;S173))</f>
        <v/>
      </c>
      <c r="U172" s="14" t="n"/>
      <c r="V172" s="16" t="n"/>
      <c r="W172" s="124">
        <f>IF(V172="","",COUNTIFS($C$18:$C$2015,V$13,$D$18:$D$2015,"&gt;="&amp;V172,$D$18:$D$2015,"&lt;"&amp;V173))</f>
        <v/>
      </c>
      <c r="X172" s="14" t="n"/>
      <c r="Y172" s="16" t="n"/>
      <c r="Z172" s="124">
        <f>IF(Y172="","",COUNTIFS($C$18:$C$2015,Y$13,$D$18:$D$2015,"&gt;="&amp;Y172,$D$18:$D$2015,"&lt;"&amp;Y173))</f>
        <v/>
      </c>
      <c r="AA172" s="14" t="n"/>
      <c r="AB172" s="16" t="n"/>
      <c r="AC172" s="124">
        <f>IF(AB172="","",COUNTIFS($C$18:$C$2015,AB$13,$D$18:$D$2015,"&gt;="&amp;AB172,$D$18:$D$2015,"&lt;"&amp;AB173))</f>
        <v/>
      </c>
      <c r="AD172" s="14" t="n"/>
    </row>
    <row r="173">
      <c r="A173" s="58" t="n"/>
      <c r="B173" s="59" t="n"/>
      <c r="C173" s="59" t="n"/>
      <c r="E173" s="16" t="n"/>
      <c r="F173" s="13" t="n"/>
      <c r="G173" s="16" t="n"/>
      <c r="H173" s="124">
        <f>IF(G173="","",COUNTIFS($C$18:$C$2015,G$13,$D$18:$D$2015,"&gt;="&amp;G173,$D$18:$D$2015,"&lt;"&amp;G174))</f>
        <v/>
      </c>
      <c r="I173" s="14" t="n"/>
      <c r="J173" s="16" t="n"/>
      <c r="K173" s="124">
        <f>IF(J173="","",COUNTIFS($C$18:$C$2015,J$13,$D$18:$D$2015,"&gt;="&amp;J173,$D$18:$D$2015,"&lt;"&amp;J174))</f>
        <v/>
      </c>
      <c r="L173" s="14" t="n"/>
      <c r="M173" s="16" t="n"/>
      <c r="N173" s="124">
        <f>IF(M173="","",COUNTIFS($C$18:$C$2015,M$13,$D$18:$D$2015,"&gt;="&amp;M173,$D$18:$D$2015,"&lt;"&amp;M174))</f>
        <v/>
      </c>
      <c r="O173" s="14" t="n"/>
      <c r="P173" s="16" t="n"/>
      <c r="Q173" s="124">
        <f>IF(P173="","",COUNTIFS($C$18:$C$2015,P$13,$D$18:$D$2015,"&gt;="&amp;P173,$D$18:$D$2015,"&lt;"&amp;P174))</f>
        <v/>
      </c>
      <c r="R173" s="14" t="n"/>
      <c r="S173" s="16" t="n"/>
      <c r="T173" s="124">
        <f>IF(S173="","",COUNTIFS($C$18:$C$2015,S$13,$D$18:$D$2015,"&gt;="&amp;S173,$D$18:$D$2015,"&lt;"&amp;S174))</f>
        <v/>
      </c>
      <c r="U173" s="14" t="n"/>
      <c r="V173" s="16" t="n"/>
      <c r="W173" s="124">
        <f>IF(V173="","",COUNTIFS($C$18:$C$2015,V$13,$D$18:$D$2015,"&gt;="&amp;V173,$D$18:$D$2015,"&lt;"&amp;V174))</f>
        <v/>
      </c>
      <c r="X173" s="14" t="n"/>
      <c r="Y173" s="16" t="n"/>
      <c r="Z173" s="124">
        <f>IF(Y173="","",COUNTIFS($C$18:$C$2015,Y$13,$D$18:$D$2015,"&gt;="&amp;Y173,$D$18:$D$2015,"&lt;"&amp;Y174))</f>
        <v/>
      </c>
      <c r="AA173" s="14" t="n"/>
      <c r="AB173" s="16" t="n"/>
      <c r="AC173" s="124">
        <f>IF(AB173="","",COUNTIFS($C$18:$C$2015,AB$13,$D$18:$D$2015,"&gt;="&amp;AB173,$D$18:$D$2015,"&lt;"&amp;AB174))</f>
        <v/>
      </c>
      <c r="AD173" s="14" t="n"/>
    </row>
    <row r="174">
      <c r="A174" s="56" t="n"/>
      <c r="B174" s="59" t="n"/>
      <c r="C174" s="59" t="n"/>
      <c r="E174" s="16" t="n"/>
      <c r="F174" s="13" t="n"/>
      <c r="G174" s="16" t="n"/>
      <c r="H174" s="124">
        <f>IF(G174="","",COUNTIFS($C$18:$C$2015,G$13,$D$18:$D$2015,"&gt;="&amp;G174,$D$18:$D$2015,"&lt;"&amp;G175))</f>
        <v/>
      </c>
      <c r="I174" s="14" t="n"/>
      <c r="J174" s="16" t="n"/>
      <c r="K174" s="124">
        <f>IF(J174="","",COUNTIFS($C$18:$C$2015,J$13,$D$18:$D$2015,"&gt;="&amp;J174,$D$18:$D$2015,"&lt;"&amp;J175))</f>
        <v/>
      </c>
      <c r="L174" s="14" t="n"/>
      <c r="M174" s="16" t="n"/>
      <c r="N174" s="124">
        <f>IF(M174="","",COUNTIFS($C$18:$C$2015,M$13,$D$18:$D$2015,"&gt;="&amp;M174,$D$18:$D$2015,"&lt;"&amp;M175))</f>
        <v/>
      </c>
      <c r="O174" s="14" t="n"/>
      <c r="P174" s="16" t="n"/>
      <c r="Q174" s="124">
        <f>IF(P174="","",COUNTIFS($C$18:$C$2015,P$13,$D$18:$D$2015,"&gt;="&amp;P174,$D$18:$D$2015,"&lt;"&amp;P175))</f>
        <v/>
      </c>
      <c r="R174" s="14" t="n"/>
      <c r="S174" s="16" t="n"/>
      <c r="T174" s="124">
        <f>IF(S174="","",COUNTIFS($C$18:$C$2015,S$13,$D$18:$D$2015,"&gt;="&amp;S174,$D$18:$D$2015,"&lt;"&amp;S175))</f>
        <v/>
      </c>
      <c r="U174" s="14" t="n"/>
      <c r="V174" s="16" t="n"/>
      <c r="W174" s="124">
        <f>IF(V174="","",COUNTIFS($C$18:$C$2015,V$13,$D$18:$D$2015,"&gt;="&amp;V174,$D$18:$D$2015,"&lt;"&amp;V175))</f>
        <v/>
      </c>
      <c r="X174" s="14" t="n"/>
      <c r="Y174" s="16" t="n"/>
      <c r="Z174" s="124">
        <f>IF(Y174="","",COUNTIFS($C$18:$C$2015,Y$13,$D$18:$D$2015,"&gt;="&amp;Y174,$D$18:$D$2015,"&lt;"&amp;Y175))</f>
        <v/>
      </c>
      <c r="AA174" s="14" t="n"/>
      <c r="AB174" s="16" t="n"/>
      <c r="AC174" s="124">
        <f>IF(AB174="","",COUNTIFS($C$18:$C$2015,AB$13,$D$18:$D$2015,"&gt;="&amp;AB174,$D$18:$D$2015,"&lt;"&amp;AB175))</f>
        <v/>
      </c>
      <c r="AD174" s="14" t="n"/>
    </row>
    <row r="175">
      <c r="A175" s="58" t="n"/>
      <c r="B175" s="59" t="n"/>
      <c r="C175" s="59" t="n"/>
      <c r="E175" s="16" t="n"/>
      <c r="F175" s="13" t="n"/>
      <c r="G175" s="16" t="n"/>
      <c r="H175" s="124">
        <f>IF(G175="","",COUNTIFS($C$18:$C$2015,G$13,$D$18:$D$2015,"&gt;="&amp;G175,$D$18:$D$2015,"&lt;"&amp;G176))</f>
        <v/>
      </c>
      <c r="I175" s="14" t="n"/>
      <c r="J175" s="16" t="n"/>
      <c r="K175" s="124">
        <f>IF(J175="","",COUNTIFS($C$18:$C$2015,J$13,$D$18:$D$2015,"&gt;="&amp;J175,$D$18:$D$2015,"&lt;"&amp;J176))</f>
        <v/>
      </c>
      <c r="L175" s="14" t="n"/>
      <c r="M175" s="16" t="n"/>
      <c r="N175" s="124">
        <f>IF(M175="","",COUNTIFS($C$18:$C$2015,M$13,$D$18:$D$2015,"&gt;="&amp;M175,$D$18:$D$2015,"&lt;"&amp;M176))</f>
        <v/>
      </c>
      <c r="O175" s="14" t="n"/>
      <c r="P175" s="16" t="n"/>
      <c r="Q175" s="124">
        <f>IF(P175="","",COUNTIFS($C$18:$C$2015,P$13,$D$18:$D$2015,"&gt;="&amp;P175,$D$18:$D$2015,"&lt;"&amp;P176))</f>
        <v/>
      </c>
      <c r="R175" s="14" t="n"/>
      <c r="S175" s="16" t="n"/>
      <c r="T175" s="124">
        <f>IF(S175="","",COUNTIFS($C$18:$C$2015,S$13,$D$18:$D$2015,"&gt;="&amp;S175,$D$18:$D$2015,"&lt;"&amp;S176))</f>
        <v/>
      </c>
      <c r="U175" s="14" t="n"/>
      <c r="V175" s="16" t="n"/>
      <c r="W175" s="124">
        <f>IF(V175="","",COUNTIFS($C$18:$C$2015,V$13,$D$18:$D$2015,"&gt;="&amp;V175,$D$18:$D$2015,"&lt;"&amp;V176))</f>
        <v/>
      </c>
      <c r="X175" s="14" t="n"/>
      <c r="Y175" s="16" t="n"/>
      <c r="Z175" s="124">
        <f>IF(Y175="","",COUNTIFS($C$18:$C$2015,Y$13,$D$18:$D$2015,"&gt;="&amp;Y175,$D$18:$D$2015,"&lt;"&amp;Y176))</f>
        <v/>
      </c>
      <c r="AA175" s="14" t="n"/>
      <c r="AB175" s="16" t="n"/>
      <c r="AC175" s="124">
        <f>IF(AB175="","",COUNTIFS($C$18:$C$2015,AB$13,$D$18:$D$2015,"&gt;="&amp;AB175,$D$18:$D$2015,"&lt;"&amp;AB176))</f>
        <v/>
      </c>
      <c r="AD175" s="14" t="n"/>
    </row>
    <row r="176">
      <c r="A176" s="56" t="n"/>
      <c r="B176" s="59" t="n"/>
      <c r="C176" s="59" t="n"/>
      <c r="E176" s="16" t="n"/>
      <c r="F176" s="13" t="n"/>
      <c r="G176" s="16" t="n"/>
      <c r="H176" s="124">
        <f>IF(G176="","",COUNTIFS($C$18:$C$2015,G$13,$D$18:$D$2015,"&gt;="&amp;G176,$D$18:$D$2015,"&lt;"&amp;G177))</f>
        <v/>
      </c>
      <c r="I176" s="14" t="n"/>
      <c r="J176" s="16" t="n"/>
      <c r="K176" s="124">
        <f>IF(J176="","",COUNTIFS($C$18:$C$2015,J$13,$D$18:$D$2015,"&gt;="&amp;J176,$D$18:$D$2015,"&lt;"&amp;J177))</f>
        <v/>
      </c>
      <c r="L176" s="14" t="n"/>
      <c r="M176" s="16" t="n"/>
      <c r="N176" s="124">
        <f>IF(M176="","",COUNTIFS($C$18:$C$2015,M$13,$D$18:$D$2015,"&gt;="&amp;M176,$D$18:$D$2015,"&lt;"&amp;M177))</f>
        <v/>
      </c>
      <c r="O176" s="14" t="n"/>
      <c r="P176" s="16" t="n"/>
      <c r="Q176" s="124">
        <f>IF(P176="","",COUNTIFS($C$18:$C$2015,P$13,$D$18:$D$2015,"&gt;="&amp;P176,$D$18:$D$2015,"&lt;"&amp;P177))</f>
        <v/>
      </c>
      <c r="R176" s="14" t="n"/>
      <c r="S176" s="16" t="n"/>
      <c r="T176" s="124">
        <f>IF(S176="","",COUNTIFS($C$18:$C$2015,S$13,$D$18:$D$2015,"&gt;="&amp;S176,$D$18:$D$2015,"&lt;"&amp;S177))</f>
        <v/>
      </c>
      <c r="U176" s="14" t="n"/>
      <c r="V176" s="16" t="n"/>
      <c r="W176" s="124">
        <f>IF(V176="","",COUNTIFS($C$18:$C$2015,V$13,$D$18:$D$2015,"&gt;="&amp;V176,$D$18:$D$2015,"&lt;"&amp;V177))</f>
        <v/>
      </c>
      <c r="X176" s="14" t="n"/>
      <c r="Y176" s="16" t="n"/>
      <c r="Z176" s="124">
        <f>IF(Y176="","",COUNTIFS($C$18:$C$2015,Y$13,$D$18:$D$2015,"&gt;="&amp;Y176,$D$18:$D$2015,"&lt;"&amp;Y177))</f>
        <v/>
      </c>
      <c r="AA176" s="14" t="n"/>
      <c r="AB176" s="16" t="n"/>
      <c r="AC176" s="124">
        <f>IF(AB176="","",COUNTIFS($C$18:$C$2015,AB$13,$D$18:$D$2015,"&gt;="&amp;AB176,$D$18:$D$2015,"&lt;"&amp;AB177))</f>
        <v/>
      </c>
      <c r="AD176" s="14" t="n"/>
    </row>
    <row r="177">
      <c r="A177" s="58" t="n"/>
      <c r="B177" s="59" t="n"/>
      <c r="C177" s="59" t="n"/>
      <c r="E177" s="16" t="n"/>
      <c r="F177" s="13" t="n"/>
      <c r="G177" s="16" t="n"/>
      <c r="H177" s="124">
        <f>IF(G177="","",COUNTIFS($C$18:$C$2015,G$13,$D$18:$D$2015,"&gt;="&amp;G177,$D$18:$D$2015,"&lt;"&amp;G178))</f>
        <v/>
      </c>
      <c r="I177" s="14" t="n"/>
      <c r="J177" s="16" t="n"/>
      <c r="K177" s="124">
        <f>IF(J177="","",COUNTIFS($C$18:$C$2015,J$13,$D$18:$D$2015,"&gt;="&amp;J177,$D$18:$D$2015,"&lt;"&amp;J178))</f>
        <v/>
      </c>
      <c r="L177" s="14" t="n"/>
      <c r="M177" s="16" t="n"/>
      <c r="N177" s="124">
        <f>IF(M177="","",COUNTIFS($C$18:$C$2015,M$13,$D$18:$D$2015,"&gt;="&amp;M177,$D$18:$D$2015,"&lt;"&amp;M178))</f>
        <v/>
      </c>
      <c r="O177" s="14" t="n"/>
      <c r="P177" s="16" t="n"/>
      <c r="Q177" s="124">
        <f>IF(P177="","",COUNTIFS($C$18:$C$2015,P$13,$D$18:$D$2015,"&gt;="&amp;P177,$D$18:$D$2015,"&lt;"&amp;P178))</f>
        <v/>
      </c>
      <c r="R177" s="14" t="n"/>
      <c r="S177" s="16" t="n"/>
      <c r="T177" s="124">
        <f>IF(S177="","",COUNTIFS($C$18:$C$2015,S$13,$D$18:$D$2015,"&gt;="&amp;S177,$D$18:$D$2015,"&lt;"&amp;S178))</f>
        <v/>
      </c>
      <c r="U177" s="14" t="n"/>
      <c r="V177" s="16" t="n"/>
      <c r="W177" s="124">
        <f>IF(V177="","",COUNTIFS($C$18:$C$2015,V$13,$D$18:$D$2015,"&gt;="&amp;V177,$D$18:$D$2015,"&lt;"&amp;V178))</f>
        <v/>
      </c>
      <c r="X177" s="14" t="n"/>
      <c r="Y177" s="16" t="n"/>
      <c r="Z177" s="124">
        <f>IF(Y177="","",COUNTIFS($C$18:$C$2015,Y$13,$D$18:$D$2015,"&gt;="&amp;Y177,$D$18:$D$2015,"&lt;"&amp;Y178))</f>
        <v/>
      </c>
      <c r="AA177" s="14" t="n"/>
      <c r="AB177" s="16" t="n"/>
      <c r="AC177" s="124">
        <f>IF(AB177="","",COUNTIFS($C$18:$C$2015,AB$13,$D$18:$D$2015,"&gt;="&amp;AB177,$D$18:$D$2015,"&lt;"&amp;AB178))</f>
        <v/>
      </c>
      <c r="AD177" s="14" t="n"/>
    </row>
    <row r="178">
      <c r="A178" s="56" t="n"/>
      <c r="B178" s="59" t="n"/>
      <c r="C178" s="59" t="n"/>
      <c r="E178" s="16" t="n"/>
      <c r="F178" s="13" t="n"/>
      <c r="G178" s="16" t="n"/>
      <c r="H178" s="124">
        <f>IF(G178="","",COUNTIFS($C$18:$C$2015,G$13,$D$18:$D$2015,"&gt;="&amp;G178,$D$18:$D$2015,"&lt;"&amp;G179))</f>
        <v/>
      </c>
      <c r="I178" s="14" t="n"/>
      <c r="J178" s="16" t="n"/>
      <c r="K178" s="124">
        <f>IF(J178="","",COUNTIFS($C$18:$C$2015,J$13,$D$18:$D$2015,"&gt;="&amp;J178,$D$18:$D$2015,"&lt;"&amp;J179))</f>
        <v/>
      </c>
      <c r="L178" s="14" t="n"/>
      <c r="M178" s="16" t="n"/>
      <c r="N178" s="124">
        <f>IF(M178="","",COUNTIFS($C$18:$C$2015,M$13,$D$18:$D$2015,"&gt;="&amp;M178,$D$18:$D$2015,"&lt;"&amp;M179))</f>
        <v/>
      </c>
      <c r="O178" s="14" t="n"/>
      <c r="P178" s="16" t="n"/>
      <c r="Q178" s="124">
        <f>IF(P178="","",COUNTIFS($C$18:$C$2015,P$13,$D$18:$D$2015,"&gt;="&amp;P178,$D$18:$D$2015,"&lt;"&amp;P179))</f>
        <v/>
      </c>
      <c r="R178" s="14" t="n"/>
      <c r="S178" s="16" t="n"/>
      <c r="T178" s="124">
        <f>IF(S178="","",COUNTIFS($C$18:$C$2015,S$13,$D$18:$D$2015,"&gt;="&amp;S178,$D$18:$D$2015,"&lt;"&amp;S179))</f>
        <v/>
      </c>
      <c r="U178" s="14" t="n"/>
      <c r="V178" s="16" t="n"/>
      <c r="W178" s="124">
        <f>IF(V178="","",COUNTIFS($C$18:$C$2015,V$13,$D$18:$D$2015,"&gt;="&amp;V178,$D$18:$D$2015,"&lt;"&amp;V179))</f>
        <v/>
      </c>
      <c r="X178" s="14" t="n"/>
      <c r="Y178" s="16" t="n"/>
      <c r="Z178" s="124">
        <f>IF(Y178="","",COUNTIFS($C$18:$C$2015,Y$13,$D$18:$D$2015,"&gt;="&amp;Y178,$D$18:$D$2015,"&lt;"&amp;Y179))</f>
        <v/>
      </c>
      <c r="AA178" s="14" t="n"/>
      <c r="AB178" s="16" t="n"/>
      <c r="AC178" s="124">
        <f>IF(AB178="","",COUNTIFS($C$18:$C$2015,AB$13,$D$18:$D$2015,"&gt;="&amp;AB178,$D$18:$D$2015,"&lt;"&amp;AB179))</f>
        <v/>
      </c>
      <c r="AD178" s="14" t="n"/>
    </row>
    <row r="179">
      <c r="A179" s="58" t="n"/>
      <c r="B179" s="59" t="n"/>
      <c r="C179" s="59" t="n"/>
      <c r="E179" s="16" t="n"/>
      <c r="F179" s="13" t="n"/>
      <c r="G179" s="16" t="n"/>
      <c r="H179" s="124">
        <f>IF(G179="","",COUNTIFS($C$18:$C$2015,G$13,$D$18:$D$2015,"&gt;="&amp;G179,$D$18:$D$2015,"&lt;"&amp;G180))</f>
        <v/>
      </c>
      <c r="I179" s="14" t="n"/>
      <c r="J179" s="16" t="n"/>
      <c r="K179" s="124">
        <f>IF(J179="","",COUNTIFS($C$18:$C$2015,J$13,$D$18:$D$2015,"&gt;="&amp;J179,$D$18:$D$2015,"&lt;"&amp;J180))</f>
        <v/>
      </c>
      <c r="L179" s="14" t="n"/>
      <c r="M179" s="16" t="n"/>
      <c r="N179" s="124">
        <f>IF(M179="","",COUNTIFS($C$18:$C$2015,M$13,$D$18:$D$2015,"&gt;="&amp;M179,$D$18:$D$2015,"&lt;"&amp;M180))</f>
        <v/>
      </c>
      <c r="O179" s="14" t="n"/>
      <c r="P179" s="16" t="n"/>
      <c r="Q179" s="124">
        <f>IF(P179="","",COUNTIFS($C$18:$C$2015,P$13,$D$18:$D$2015,"&gt;="&amp;P179,$D$18:$D$2015,"&lt;"&amp;P180))</f>
        <v/>
      </c>
      <c r="R179" s="14" t="n"/>
      <c r="S179" s="16" t="n"/>
      <c r="T179" s="124">
        <f>IF(S179="","",COUNTIFS($C$18:$C$2015,S$13,$D$18:$D$2015,"&gt;="&amp;S179,$D$18:$D$2015,"&lt;"&amp;S180))</f>
        <v/>
      </c>
      <c r="U179" s="14" t="n"/>
      <c r="V179" s="16" t="n"/>
      <c r="W179" s="124">
        <f>IF(V179="","",COUNTIFS($C$18:$C$2015,V$13,$D$18:$D$2015,"&gt;="&amp;V179,$D$18:$D$2015,"&lt;"&amp;V180))</f>
        <v/>
      </c>
      <c r="X179" s="14" t="n"/>
      <c r="Y179" s="16" t="n"/>
      <c r="Z179" s="124">
        <f>IF(Y179="","",COUNTIFS($C$18:$C$2015,Y$13,$D$18:$D$2015,"&gt;="&amp;Y179,$D$18:$D$2015,"&lt;"&amp;Y180))</f>
        <v/>
      </c>
      <c r="AA179" s="14" t="n"/>
      <c r="AB179" s="16" t="n"/>
      <c r="AC179" s="124">
        <f>IF(AB179="","",COUNTIFS($C$18:$C$2015,AB$13,$D$18:$D$2015,"&gt;="&amp;AB179,$D$18:$D$2015,"&lt;"&amp;AB180))</f>
        <v/>
      </c>
      <c r="AD179" s="14" t="n"/>
    </row>
    <row r="180">
      <c r="A180" s="56" t="n"/>
      <c r="B180" s="59" t="n"/>
      <c r="C180" s="59" t="n"/>
      <c r="E180" s="16" t="n"/>
      <c r="F180" s="13" t="n"/>
      <c r="G180" s="16" t="n"/>
      <c r="H180" s="124">
        <f>IF(G180="","",COUNTIFS($C$18:$C$2015,G$13,$D$18:$D$2015,"&gt;="&amp;G180,$D$18:$D$2015,"&lt;"&amp;G181))</f>
        <v/>
      </c>
      <c r="I180" s="14" t="n"/>
      <c r="J180" s="16" t="n"/>
      <c r="K180" s="124">
        <f>IF(J180="","",COUNTIFS($C$18:$C$2015,J$13,$D$18:$D$2015,"&gt;="&amp;J180,$D$18:$D$2015,"&lt;"&amp;J181))</f>
        <v/>
      </c>
      <c r="L180" s="14" t="n"/>
      <c r="M180" s="16" t="n"/>
      <c r="N180" s="124">
        <f>IF(M180="","",COUNTIFS($C$18:$C$2015,M$13,$D$18:$D$2015,"&gt;="&amp;M180,$D$18:$D$2015,"&lt;"&amp;M181))</f>
        <v/>
      </c>
      <c r="O180" s="14" t="n"/>
      <c r="P180" s="16" t="n"/>
      <c r="Q180" s="124">
        <f>IF(P180="","",COUNTIFS($C$18:$C$2015,P$13,$D$18:$D$2015,"&gt;="&amp;P180,$D$18:$D$2015,"&lt;"&amp;P181))</f>
        <v/>
      </c>
      <c r="R180" s="14" t="n"/>
      <c r="S180" s="16" t="n"/>
      <c r="T180" s="124">
        <f>IF(S180="","",COUNTIFS($C$18:$C$2015,S$13,$D$18:$D$2015,"&gt;="&amp;S180,$D$18:$D$2015,"&lt;"&amp;S181))</f>
        <v/>
      </c>
      <c r="U180" s="14" t="n"/>
      <c r="V180" s="16" t="n"/>
      <c r="W180" s="124">
        <f>IF(V180="","",COUNTIFS($C$18:$C$2015,V$13,$D$18:$D$2015,"&gt;="&amp;V180,$D$18:$D$2015,"&lt;"&amp;V181))</f>
        <v/>
      </c>
      <c r="X180" s="14" t="n"/>
      <c r="Y180" s="16" t="n"/>
      <c r="Z180" s="124">
        <f>IF(Y180="","",COUNTIFS($C$18:$C$2015,Y$13,$D$18:$D$2015,"&gt;="&amp;Y180,$D$18:$D$2015,"&lt;"&amp;Y181))</f>
        <v/>
      </c>
      <c r="AA180" s="14" t="n"/>
      <c r="AB180" s="16" t="n"/>
      <c r="AC180" s="124">
        <f>IF(AB180="","",COUNTIFS($C$18:$C$2015,AB$13,$D$18:$D$2015,"&gt;="&amp;AB180,$D$18:$D$2015,"&lt;"&amp;AB181))</f>
        <v/>
      </c>
      <c r="AD180" s="14" t="n"/>
    </row>
    <row r="181">
      <c r="A181" s="58" t="n"/>
      <c r="B181" s="59" t="n"/>
      <c r="C181" s="59" t="n"/>
      <c r="E181" s="16" t="n"/>
      <c r="F181" s="13" t="n"/>
      <c r="G181" s="16" t="n"/>
      <c r="H181" s="124">
        <f>IF(G181="","",COUNTIFS($C$18:$C$2015,G$13,$D$18:$D$2015,"&gt;="&amp;G181,$D$18:$D$2015,"&lt;"&amp;G182))</f>
        <v/>
      </c>
      <c r="I181" s="14" t="n"/>
      <c r="J181" s="16" t="n"/>
      <c r="K181" s="124">
        <f>IF(J181="","",COUNTIFS($C$18:$C$2015,J$13,$D$18:$D$2015,"&gt;="&amp;J181,$D$18:$D$2015,"&lt;"&amp;J182))</f>
        <v/>
      </c>
      <c r="L181" s="14" t="n"/>
      <c r="M181" s="16" t="n"/>
      <c r="N181" s="124">
        <f>IF(M181="","",COUNTIFS($C$18:$C$2015,M$13,$D$18:$D$2015,"&gt;="&amp;M181,$D$18:$D$2015,"&lt;"&amp;M182))</f>
        <v/>
      </c>
      <c r="O181" s="14" t="n"/>
      <c r="P181" s="16" t="n"/>
      <c r="Q181" s="124">
        <f>IF(P181="","",COUNTIFS($C$18:$C$2015,P$13,$D$18:$D$2015,"&gt;="&amp;P181,$D$18:$D$2015,"&lt;"&amp;P182))</f>
        <v/>
      </c>
      <c r="R181" s="14" t="n"/>
      <c r="S181" s="16" t="n"/>
      <c r="T181" s="124">
        <f>IF(S181="","",COUNTIFS($C$18:$C$2015,S$13,$D$18:$D$2015,"&gt;="&amp;S181,$D$18:$D$2015,"&lt;"&amp;S182))</f>
        <v/>
      </c>
      <c r="U181" s="14" t="n"/>
      <c r="V181" s="16" t="n"/>
      <c r="W181" s="124">
        <f>IF(V181="","",COUNTIFS($C$18:$C$2015,V$13,$D$18:$D$2015,"&gt;="&amp;V181,$D$18:$D$2015,"&lt;"&amp;V182))</f>
        <v/>
      </c>
      <c r="X181" s="14" t="n"/>
      <c r="Y181" s="16" t="n"/>
      <c r="Z181" s="124">
        <f>IF(Y181="","",COUNTIFS($C$18:$C$2015,Y$13,$D$18:$D$2015,"&gt;="&amp;Y181,$D$18:$D$2015,"&lt;"&amp;Y182))</f>
        <v/>
      </c>
      <c r="AA181" s="14" t="n"/>
      <c r="AB181" s="16" t="n"/>
      <c r="AC181" s="124">
        <f>IF(AB181="","",COUNTIFS($C$18:$C$2015,AB$13,$D$18:$D$2015,"&gt;="&amp;AB181,$D$18:$D$2015,"&lt;"&amp;AB182))</f>
        <v/>
      </c>
      <c r="AD181" s="14" t="n"/>
    </row>
    <row r="182">
      <c r="A182" s="56" t="n"/>
      <c r="B182" s="59" t="n"/>
      <c r="C182" s="59" t="n"/>
      <c r="E182" s="16" t="n"/>
      <c r="F182" s="13" t="n"/>
      <c r="G182" s="16" t="n"/>
      <c r="H182" s="124">
        <f>IF(G182="","",COUNTIFS($C$18:$C$2015,G$13,$D$18:$D$2015,"&gt;="&amp;G182,$D$18:$D$2015,"&lt;"&amp;G183))</f>
        <v/>
      </c>
      <c r="I182" s="14" t="n"/>
      <c r="J182" s="16" t="n"/>
      <c r="K182" s="124">
        <f>IF(J182="","",COUNTIFS($C$18:$C$2015,J$13,$D$18:$D$2015,"&gt;="&amp;J182,$D$18:$D$2015,"&lt;"&amp;J183))</f>
        <v/>
      </c>
      <c r="L182" s="14" t="n"/>
      <c r="M182" s="16" t="n"/>
      <c r="N182" s="124">
        <f>IF(M182="","",COUNTIFS($C$18:$C$2015,M$13,$D$18:$D$2015,"&gt;="&amp;M182,$D$18:$D$2015,"&lt;"&amp;M183))</f>
        <v/>
      </c>
      <c r="O182" s="14" t="n"/>
      <c r="P182" s="16" t="n"/>
      <c r="Q182" s="124">
        <f>IF(P182="","",COUNTIFS($C$18:$C$2015,P$13,$D$18:$D$2015,"&gt;="&amp;P182,$D$18:$D$2015,"&lt;"&amp;P183))</f>
        <v/>
      </c>
      <c r="R182" s="14" t="n"/>
      <c r="S182" s="16" t="n"/>
      <c r="T182" s="124">
        <f>IF(S182="","",COUNTIFS($C$18:$C$2015,S$13,$D$18:$D$2015,"&gt;="&amp;S182,$D$18:$D$2015,"&lt;"&amp;S183))</f>
        <v/>
      </c>
      <c r="U182" s="14" t="n"/>
      <c r="V182" s="16" t="n"/>
      <c r="W182" s="124">
        <f>IF(V182="","",COUNTIFS($C$18:$C$2015,V$13,$D$18:$D$2015,"&gt;="&amp;V182,$D$18:$D$2015,"&lt;"&amp;V183))</f>
        <v/>
      </c>
      <c r="X182" s="14" t="n"/>
      <c r="Y182" s="16" t="n"/>
      <c r="Z182" s="124">
        <f>IF(Y182="","",COUNTIFS($C$18:$C$2015,Y$13,$D$18:$D$2015,"&gt;="&amp;Y182,$D$18:$D$2015,"&lt;"&amp;Y183))</f>
        <v/>
      </c>
      <c r="AA182" s="14" t="n"/>
      <c r="AB182" s="16" t="n"/>
      <c r="AC182" s="124">
        <f>IF(AB182="","",COUNTIFS($C$18:$C$2015,AB$13,$D$18:$D$2015,"&gt;="&amp;AB182,$D$18:$D$2015,"&lt;"&amp;AB183))</f>
        <v/>
      </c>
      <c r="AD182" s="14" t="n"/>
    </row>
    <row r="183">
      <c r="A183" s="58" t="n"/>
      <c r="B183" s="59" t="n"/>
      <c r="C183" s="59" t="n"/>
      <c r="E183" s="16" t="n"/>
      <c r="F183" s="13" t="n"/>
      <c r="G183" s="16" t="n"/>
      <c r="H183" s="124">
        <f>IF(G183="","",COUNTIFS($C$18:$C$2015,G$13,$D$18:$D$2015,"&gt;="&amp;G183,$D$18:$D$2015,"&lt;"&amp;G184))</f>
        <v/>
      </c>
      <c r="I183" s="14" t="n"/>
      <c r="J183" s="16" t="n"/>
      <c r="K183" s="124">
        <f>IF(J183="","",COUNTIFS($C$18:$C$2015,J$13,$D$18:$D$2015,"&gt;="&amp;J183,$D$18:$D$2015,"&lt;"&amp;J184))</f>
        <v/>
      </c>
      <c r="L183" s="14" t="n"/>
      <c r="M183" s="16" t="n"/>
      <c r="N183" s="124">
        <f>IF(M183="","",COUNTIFS($C$18:$C$2015,M$13,$D$18:$D$2015,"&gt;="&amp;M183,$D$18:$D$2015,"&lt;"&amp;M184))</f>
        <v/>
      </c>
      <c r="O183" s="14" t="n"/>
      <c r="P183" s="16" t="n"/>
      <c r="Q183" s="124">
        <f>IF(P183="","",COUNTIFS($C$18:$C$2015,P$13,$D$18:$D$2015,"&gt;="&amp;P183,$D$18:$D$2015,"&lt;"&amp;P184))</f>
        <v/>
      </c>
      <c r="R183" s="14" t="n"/>
      <c r="S183" s="16" t="n"/>
      <c r="T183" s="124">
        <f>IF(S183="","",COUNTIFS($C$18:$C$2015,S$13,$D$18:$D$2015,"&gt;="&amp;S183,$D$18:$D$2015,"&lt;"&amp;S184))</f>
        <v/>
      </c>
      <c r="U183" s="14" t="n"/>
      <c r="V183" s="16" t="n"/>
      <c r="W183" s="124">
        <f>IF(V183="","",COUNTIFS($C$18:$C$2015,V$13,$D$18:$D$2015,"&gt;="&amp;V183,$D$18:$D$2015,"&lt;"&amp;V184))</f>
        <v/>
      </c>
      <c r="X183" s="14" t="n"/>
      <c r="Y183" s="16" t="n"/>
      <c r="Z183" s="124">
        <f>IF(Y183="","",COUNTIFS($C$18:$C$2015,Y$13,$D$18:$D$2015,"&gt;="&amp;Y183,$D$18:$D$2015,"&lt;"&amp;Y184))</f>
        <v/>
      </c>
      <c r="AA183" s="14" t="n"/>
      <c r="AB183" s="16" t="n"/>
      <c r="AC183" s="124">
        <f>IF(AB183="","",COUNTIFS($C$18:$C$2015,AB$13,$D$18:$D$2015,"&gt;="&amp;AB183,$D$18:$D$2015,"&lt;"&amp;AB184))</f>
        <v/>
      </c>
      <c r="AD183" s="14" t="n"/>
    </row>
    <row r="184">
      <c r="A184" s="56" t="n"/>
      <c r="B184" s="59" t="n"/>
      <c r="C184" s="59" t="n"/>
      <c r="E184" s="16" t="n"/>
      <c r="F184" s="13" t="n"/>
      <c r="G184" s="16" t="n"/>
      <c r="H184" s="124">
        <f>IF(G184="","",COUNTIFS($C$18:$C$2015,G$13,$D$18:$D$2015,"&gt;="&amp;G184,$D$18:$D$2015,"&lt;"&amp;G185))</f>
        <v/>
      </c>
      <c r="I184" s="14" t="n"/>
      <c r="J184" s="16" t="n"/>
      <c r="K184" s="124">
        <f>IF(J184="","",COUNTIFS($C$18:$C$2015,J$13,$D$18:$D$2015,"&gt;="&amp;J184,$D$18:$D$2015,"&lt;"&amp;J185))</f>
        <v/>
      </c>
      <c r="L184" s="14" t="n"/>
      <c r="M184" s="16" t="n"/>
      <c r="N184" s="124">
        <f>IF(M184="","",COUNTIFS($C$18:$C$2015,M$13,$D$18:$D$2015,"&gt;="&amp;M184,$D$18:$D$2015,"&lt;"&amp;M185))</f>
        <v/>
      </c>
      <c r="O184" s="14" t="n"/>
      <c r="P184" s="16" t="n"/>
      <c r="Q184" s="124">
        <f>IF(P184="","",COUNTIFS($C$18:$C$2015,P$13,$D$18:$D$2015,"&gt;="&amp;P184,$D$18:$D$2015,"&lt;"&amp;P185))</f>
        <v/>
      </c>
      <c r="R184" s="14" t="n"/>
      <c r="S184" s="16" t="n"/>
      <c r="T184" s="124">
        <f>IF(S184="","",COUNTIFS($C$18:$C$2015,S$13,$D$18:$D$2015,"&gt;="&amp;S184,$D$18:$D$2015,"&lt;"&amp;S185))</f>
        <v/>
      </c>
      <c r="U184" s="14" t="n"/>
      <c r="V184" s="16" t="n"/>
      <c r="W184" s="124">
        <f>IF(V184="","",COUNTIFS($C$18:$C$2015,V$13,$D$18:$D$2015,"&gt;="&amp;V184,$D$18:$D$2015,"&lt;"&amp;V185))</f>
        <v/>
      </c>
      <c r="X184" s="14" t="n"/>
      <c r="Y184" s="16" t="n"/>
      <c r="Z184" s="124">
        <f>IF(Y184="","",COUNTIFS($C$18:$C$2015,Y$13,$D$18:$D$2015,"&gt;="&amp;Y184,$D$18:$D$2015,"&lt;"&amp;Y185))</f>
        <v/>
      </c>
      <c r="AA184" s="14" t="n"/>
      <c r="AB184" s="16" t="n"/>
      <c r="AC184" s="124">
        <f>IF(AB184="","",COUNTIFS($C$18:$C$2015,AB$13,$D$18:$D$2015,"&gt;="&amp;AB184,$D$18:$D$2015,"&lt;"&amp;AB185))</f>
        <v/>
      </c>
      <c r="AD184" s="14" t="n"/>
    </row>
    <row r="185">
      <c r="A185" s="58" t="n"/>
      <c r="B185" s="59" t="n"/>
      <c r="C185" s="59" t="n"/>
      <c r="E185" s="16" t="n"/>
      <c r="F185" s="13" t="n"/>
      <c r="G185" s="16" t="n"/>
      <c r="H185" s="124">
        <f>IF(G185="","",COUNTIFS($C$18:$C$2015,G$13,$D$18:$D$2015,"&gt;="&amp;G185,$D$18:$D$2015,"&lt;"&amp;G186))</f>
        <v/>
      </c>
      <c r="I185" s="14" t="n"/>
      <c r="J185" s="16" t="n"/>
      <c r="K185" s="124">
        <f>IF(J185="","",COUNTIFS($C$18:$C$2015,J$13,$D$18:$D$2015,"&gt;="&amp;J185,$D$18:$D$2015,"&lt;"&amp;J186))</f>
        <v/>
      </c>
      <c r="L185" s="14" t="n"/>
      <c r="M185" s="16" t="n"/>
      <c r="N185" s="124">
        <f>IF(M185="","",COUNTIFS($C$18:$C$2015,M$13,$D$18:$D$2015,"&gt;="&amp;M185,$D$18:$D$2015,"&lt;"&amp;M186))</f>
        <v/>
      </c>
      <c r="O185" s="14" t="n"/>
      <c r="P185" s="16" t="n"/>
      <c r="Q185" s="124">
        <f>IF(P185="","",COUNTIFS($C$18:$C$2015,P$13,$D$18:$D$2015,"&gt;="&amp;P185,$D$18:$D$2015,"&lt;"&amp;P186))</f>
        <v/>
      </c>
      <c r="R185" s="14" t="n"/>
      <c r="S185" s="16" t="n"/>
      <c r="T185" s="124">
        <f>IF(S185="","",COUNTIFS($C$18:$C$2015,S$13,$D$18:$D$2015,"&gt;="&amp;S185,$D$18:$D$2015,"&lt;"&amp;S186))</f>
        <v/>
      </c>
      <c r="U185" s="14" t="n"/>
      <c r="V185" s="16" t="n"/>
      <c r="W185" s="124">
        <f>IF(V185="","",COUNTIFS($C$18:$C$2015,V$13,$D$18:$D$2015,"&gt;="&amp;V185,$D$18:$D$2015,"&lt;"&amp;V186))</f>
        <v/>
      </c>
      <c r="X185" s="14" t="n"/>
      <c r="Y185" s="16" t="n"/>
      <c r="Z185" s="124">
        <f>IF(Y185="","",COUNTIFS($C$18:$C$2015,Y$13,$D$18:$D$2015,"&gt;="&amp;Y185,$D$18:$D$2015,"&lt;"&amp;Y186))</f>
        <v/>
      </c>
      <c r="AA185" s="14" t="n"/>
      <c r="AB185" s="16" t="n"/>
      <c r="AC185" s="124">
        <f>IF(AB185="","",COUNTIFS($C$18:$C$2015,AB$13,$D$18:$D$2015,"&gt;="&amp;AB185,$D$18:$D$2015,"&lt;"&amp;AB186))</f>
        <v/>
      </c>
      <c r="AD185" s="14" t="n"/>
    </row>
    <row r="186">
      <c r="A186" s="56" t="n"/>
      <c r="B186" s="59" t="n"/>
      <c r="C186" s="59" t="n"/>
      <c r="E186" s="16" t="n"/>
      <c r="F186" s="13" t="n"/>
      <c r="G186" s="16" t="n"/>
      <c r="H186" s="124">
        <f>IF(G186="","",COUNTIFS($C$18:$C$2015,G$13,$D$18:$D$2015,"&gt;="&amp;G186,$D$18:$D$2015,"&lt;"&amp;G187))</f>
        <v/>
      </c>
      <c r="I186" s="14" t="n"/>
      <c r="J186" s="16" t="n"/>
      <c r="K186" s="124">
        <f>IF(J186="","",COUNTIFS($C$18:$C$2015,J$13,$D$18:$D$2015,"&gt;="&amp;J186,$D$18:$D$2015,"&lt;"&amp;J187))</f>
        <v/>
      </c>
      <c r="L186" s="14" t="n"/>
      <c r="M186" s="16" t="n"/>
      <c r="N186" s="124">
        <f>IF(M186="","",COUNTIFS($C$18:$C$2015,M$13,$D$18:$D$2015,"&gt;="&amp;M186,$D$18:$D$2015,"&lt;"&amp;M187))</f>
        <v/>
      </c>
      <c r="O186" s="14" t="n"/>
      <c r="P186" s="16" t="n"/>
      <c r="Q186" s="124">
        <f>IF(P186="","",COUNTIFS($C$18:$C$2015,P$13,$D$18:$D$2015,"&gt;="&amp;P186,$D$18:$D$2015,"&lt;"&amp;P187))</f>
        <v/>
      </c>
      <c r="R186" s="14" t="n"/>
      <c r="S186" s="16" t="n"/>
      <c r="T186" s="124">
        <f>IF(S186="","",COUNTIFS($C$18:$C$2015,S$13,$D$18:$D$2015,"&gt;="&amp;S186,$D$18:$D$2015,"&lt;"&amp;S187))</f>
        <v/>
      </c>
      <c r="U186" s="14" t="n"/>
      <c r="V186" s="16" t="n"/>
      <c r="W186" s="124">
        <f>IF(V186="","",COUNTIFS($C$18:$C$2015,V$13,$D$18:$D$2015,"&gt;="&amp;V186,$D$18:$D$2015,"&lt;"&amp;V187))</f>
        <v/>
      </c>
      <c r="X186" s="14" t="n"/>
      <c r="Y186" s="16" t="n"/>
      <c r="Z186" s="124">
        <f>IF(Y186="","",COUNTIFS($C$18:$C$2015,Y$13,$D$18:$D$2015,"&gt;="&amp;Y186,$D$18:$D$2015,"&lt;"&amp;Y187))</f>
        <v/>
      </c>
      <c r="AA186" s="14" t="n"/>
      <c r="AB186" s="16" t="n"/>
      <c r="AC186" s="124">
        <f>IF(AB186="","",COUNTIFS($C$18:$C$2015,AB$13,$D$18:$D$2015,"&gt;="&amp;AB186,$D$18:$D$2015,"&lt;"&amp;AB187))</f>
        <v/>
      </c>
      <c r="AD186" s="14" t="n"/>
    </row>
    <row r="187">
      <c r="A187" s="58" t="n"/>
      <c r="B187" s="59" t="n"/>
      <c r="C187" s="59" t="n"/>
      <c r="E187" s="16" t="n"/>
      <c r="F187" s="13" t="n"/>
      <c r="G187" s="16" t="n"/>
      <c r="H187" s="124">
        <f>IF(G187="","",COUNTIFS($C$18:$C$2015,G$13,$D$18:$D$2015,"&gt;="&amp;G187,$D$18:$D$2015,"&lt;"&amp;G188))</f>
        <v/>
      </c>
      <c r="I187" s="14" t="n"/>
      <c r="J187" s="16" t="n"/>
      <c r="K187" s="124">
        <f>IF(J187="","",COUNTIFS($C$18:$C$2015,J$13,$D$18:$D$2015,"&gt;="&amp;J187,$D$18:$D$2015,"&lt;"&amp;J188))</f>
        <v/>
      </c>
      <c r="L187" s="14" t="n"/>
      <c r="M187" s="16" t="n"/>
      <c r="N187" s="124">
        <f>IF(M187="","",COUNTIFS($C$18:$C$2015,M$13,$D$18:$D$2015,"&gt;="&amp;M187,$D$18:$D$2015,"&lt;"&amp;M188))</f>
        <v/>
      </c>
      <c r="O187" s="14" t="n"/>
      <c r="P187" s="16" t="n"/>
      <c r="Q187" s="124">
        <f>IF(P187="","",COUNTIFS($C$18:$C$2015,P$13,$D$18:$D$2015,"&gt;="&amp;P187,$D$18:$D$2015,"&lt;"&amp;P188))</f>
        <v/>
      </c>
      <c r="R187" s="14" t="n"/>
      <c r="S187" s="16" t="n"/>
      <c r="T187" s="124">
        <f>IF(S187="","",COUNTIFS($C$18:$C$2015,S$13,$D$18:$D$2015,"&gt;="&amp;S187,$D$18:$D$2015,"&lt;"&amp;S188))</f>
        <v/>
      </c>
      <c r="U187" s="14" t="n"/>
      <c r="V187" s="16" t="n"/>
      <c r="W187" s="124">
        <f>IF(V187="","",COUNTIFS($C$18:$C$2015,V$13,$D$18:$D$2015,"&gt;="&amp;V187,$D$18:$D$2015,"&lt;"&amp;V188))</f>
        <v/>
      </c>
      <c r="X187" s="14" t="n"/>
      <c r="Y187" s="16" t="n"/>
      <c r="Z187" s="124">
        <f>IF(Y187="","",COUNTIFS($C$18:$C$2015,Y$13,$D$18:$D$2015,"&gt;="&amp;Y187,$D$18:$D$2015,"&lt;"&amp;Y188))</f>
        <v/>
      </c>
      <c r="AA187" s="14" t="n"/>
      <c r="AB187" s="16" t="n"/>
      <c r="AC187" s="124">
        <f>IF(AB187="","",COUNTIFS($C$18:$C$2015,AB$13,$D$18:$D$2015,"&gt;="&amp;AB187,$D$18:$D$2015,"&lt;"&amp;AB188))</f>
        <v/>
      </c>
      <c r="AD187" s="14" t="n"/>
    </row>
    <row r="188">
      <c r="A188" s="56" t="n"/>
      <c r="B188" s="59" t="n"/>
      <c r="C188" s="59" t="n"/>
      <c r="E188" s="16" t="n"/>
      <c r="F188" s="13" t="n"/>
      <c r="G188" s="16" t="n"/>
      <c r="H188" s="124">
        <f>IF(G188="","",COUNTIFS($C$18:$C$2015,G$13,$D$18:$D$2015,"&gt;="&amp;G188,$D$18:$D$2015,"&lt;"&amp;G189))</f>
        <v/>
      </c>
      <c r="I188" s="14" t="n"/>
      <c r="J188" s="16" t="n"/>
      <c r="K188" s="124">
        <f>IF(J188="","",COUNTIFS($C$18:$C$2015,J$13,$D$18:$D$2015,"&gt;="&amp;J188,$D$18:$D$2015,"&lt;"&amp;J189))</f>
        <v/>
      </c>
      <c r="L188" s="14" t="n"/>
      <c r="M188" s="16" t="n"/>
      <c r="N188" s="124">
        <f>IF(M188="","",COUNTIFS($C$18:$C$2015,M$13,$D$18:$D$2015,"&gt;="&amp;M188,$D$18:$D$2015,"&lt;"&amp;M189))</f>
        <v/>
      </c>
      <c r="O188" s="14" t="n"/>
      <c r="P188" s="16" t="n"/>
      <c r="Q188" s="124">
        <f>IF(P188="","",COUNTIFS($C$18:$C$2015,P$13,$D$18:$D$2015,"&gt;="&amp;P188,$D$18:$D$2015,"&lt;"&amp;P189))</f>
        <v/>
      </c>
      <c r="R188" s="14" t="n"/>
      <c r="S188" s="16" t="n"/>
      <c r="T188" s="124">
        <f>IF(S188="","",COUNTIFS($C$18:$C$2015,S$13,$D$18:$D$2015,"&gt;="&amp;S188,$D$18:$D$2015,"&lt;"&amp;S189))</f>
        <v/>
      </c>
      <c r="U188" s="14" t="n"/>
      <c r="V188" s="16" t="n"/>
      <c r="W188" s="124">
        <f>IF(V188="","",COUNTIFS($C$18:$C$2015,V$13,$D$18:$D$2015,"&gt;="&amp;V188,$D$18:$D$2015,"&lt;"&amp;V189))</f>
        <v/>
      </c>
      <c r="X188" s="14" t="n"/>
      <c r="Y188" s="16" t="n"/>
      <c r="Z188" s="124">
        <f>IF(Y188="","",COUNTIFS($C$18:$C$2015,Y$13,$D$18:$D$2015,"&gt;="&amp;Y188,$D$18:$D$2015,"&lt;"&amp;Y189))</f>
        <v/>
      </c>
      <c r="AA188" s="14" t="n"/>
      <c r="AB188" s="16" t="n"/>
      <c r="AC188" s="124">
        <f>IF(AB188="","",COUNTIFS($C$18:$C$2015,AB$13,$D$18:$D$2015,"&gt;="&amp;AB188,$D$18:$D$2015,"&lt;"&amp;AB189))</f>
        <v/>
      </c>
      <c r="AD188" s="14" t="n"/>
    </row>
    <row r="189">
      <c r="A189" s="58" t="n"/>
      <c r="B189" s="59" t="n"/>
      <c r="C189" s="59" t="n"/>
      <c r="E189" s="16" t="n"/>
      <c r="F189" s="13" t="n"/>
      <c r="G189" s="16" t="n"/>
      <c r="H189" s="124">
        <f>IF(G189="","",COUNTIFS($C$18:$C$2015,G$13,$D$18:$D$2015,"&gt;="&amp;G189,$D$18:$D$2015,"&lt;"&amp;G190))</f>
        <v/>
      </c>
      <c r="I189" s="14" t="n"/>
      <c r="J189" s="16" t="n"/>
      <c r="K189" s="124">
        <f>IF(J189="","",COUNTIFS($C$18:$C$2015,J$13,$D$18:$D$2015,"&gt;="&amp;J189,$D$18:$D$2015,"&lt;"&amp;J190))</f>
        <v/>
      </c>
      <c r="L189" s="14" t="n"/>
      <c r="M189" s="16" t="n"/>
      <c r="N189" s="124">
        <f>IF(M189="","",COUNTIFS($C$18:$C$2015,M$13,$D$18:$D$2015,"&gt;="&amp;M189,$D$18:$D$2015,"&lt;"&amp;M190))</f>
        <v/>
      </c>
      <c r="O189" s="14" t="n"/>
      <c r="P189" s="16" t="n"/>
      <c r="Q189" s="124">
        <f>IF(P189="","",COUNTIFS($C$18:$C$2015,P$13,$D$18:$D$2015,"&gt;="&amp;P189,$D$18:$D$2015,"&lt;"&amp;P190))</f>
        <v/>
      </c>
      <c r="R189" s="14" t="n"/>
      <c r="S189" s="16" t="n"/>
      <c r="T189" s="124">
        <f>IF(S189="","",COUNTIFS($C$18:$C$2015,S$13,$D$18:$D$2015,"&gt;="&amp;S189,$D$18:$D$2015,"&lt;"&amp;S190))</f>
        <v/>
      </c>
      <c r="U189" s="14" t="n"/>
      <c r="V189" s="16" t="n"/>
      <c r="W189" s="124">
        <f>IF(V189="","",COUNTIFS($C$18:$C$2015,V$13,$D$18:$D$2015,"&gt;="&amp;V189,$D$18:$D$2015,"&lt;"&amp;V190))</f>
        <v/>
      </c>
      <c r="X189" s="14" t="n"/>
      <c r="Y189" s="16" t="n"/>
      <c r="Z189" s="124">
        <f>IF(Y189="","",COUNTIFS($C$18:$C$2015,Y$13,$D$18:$D$2015,"&gt;="&amp;Y189,$D$18:$D$2015,"&lt;"&amp;Y190))</f>
        <v/>
      </c>
      <c r="AA189" s="14" t="n"/>
      <c r="AB189" s="16" t="n"/>
      <c r="AC189" s="124">
        <f>IF(AB189="","",COUNTIFS($C$18:$C$2015,AB$13,$D$18:$D$2015,"&gt;="&amp;AB189,$D$18:$D$2015,"&lt;"&amp;AB190))</f>
        <v/>
      </c>
      <c r="AD189" s="14" t="n"/>
    </row>
    <row r="190">
      <c r="A190" s="56" t="n"/>
      <c r="B190" s="59" t="n"/>
      <c r="C190" s="59" t="n"/>
      <c r="E190" s="16" t="n"/>
      <c r="F190" s="13" t="n"/>
      <c r="G190" s="16" t="n"/>
      <c r="H190" s="124">
        <f>IF(G190="","",COUNTIFS($C$18:$C$2015,G$13,$D$18:$D$2015,"&gt;="&amp;G190,$D$18:$D$2015,"&lt;"&amp;G191))</f>
        <v/>
      </c>
      <c r="I190" s="14" t="n"/>
      <c r="J190" s="16" t="n"/>
      <c r="K190" s="124">
        <f>IF(J190="","",COUNTIFS($C$18:$C$2015,J$13,$D$18:$D$2015,"&gt;="&amp;J190,$D$18:$D$2015,"&lt;"&amp;J191))</f>
        <v/>
      </c>
      <c r="L190" s="14" t="n"/>
      <c r="M190" s="16" t="n"/>
      <c r="N190" s="124">
        <f>IF(M190="","",COUNTIFS($C$18:$C$2015,M$13,$D$18:$D$2015,"&gt;="&amp;M190,$D$18:$D$2015,"&lt;"&amp;M191))</f>
        <v/>
      </c>
      <c r="O190" s="14" t="n"/>
      <c r="P190" s="16" t="n"/>
      <c r="Q190" s="124">
        <f>IF(P190="","",COUNTIFS($C$18:$C$2015,P$13,$D$18:$D$2015,"&gt;="&amp;P190,$D$18:$D$2015,"&lt;"&amp;P191))</f>
        <v/>
      </c>
      <c r="R190" s="14" t="n"/>
      <c r="S190" s="16" t="n"/>
      <c r="T190" s="124">
        <f>IF(S190="","",COUNTIFS($C$18:$C$2015,S$13,$D$18:$D$2015,"&gt;="&amp;S190,$D$18:$D$2015,"&lt;"&amp;S191))</f>
        <v/>
      </c>
      <c r="U190" s="14" t="n"/>
      <c r="V190" s="16" t="n"/>
      <c r="W190" s="124">
        <f>IF(V190="","",COUNTIFS($C$18:$C$2015,V$13,$D$18:$D$2015,"&gt;="&amp;V190,$D$18:$D$2015,"&lt;"&amp;V191))</f>
        <v/>
      </c>
      <c r="X190" s="14" t="n"/>
      <c r="Y190" s="16" t="n"/>
      <c r="Z190" s="124">
        <f>IF(Y190="","",COUNTIFS($C$18:$C$2015,Y$13,$D$18:$D$2015,"&gt;="&amp;Y190,$D$18:$D$2015,"&lt;"&amp;Y191))</f>
        <v/>
      </c>
      <c r="AA190" s="14" t="n"/>
      <c r="AB190" s="16" t="n"/>
      <c r="AC190" s="124">
        <f>IF(AB190="","",COUNTIFS($C$18:$C$2015,AB$13,$D$18:$D$2015,"&gt;="&amp;AB190,$D$18:$D$2015,"&lt;"&amp;AB191))</f>
        <v/>
      </c>
      <c r="AD190" s="14" t="n"/>
    </row>
    <row r="191">
      <c r="A191" s="58" t="n"/>
      <c r="B191" s="59" t="n"/>
      <c r="C191" s="59" t="n"/>
      <c r="E191" s="16" t="n"/>
      <c r="F191" s="13" t="n"/>
      <c r="G191" s="16" t="n"/>
      <c r="H191" s="124">
        <f>IF(G191="","",COUNTIFS($C$18:$C$2015,G$13,$D$18:$D$2015,"&gt;="&amp;G191,$D$18:$D$2015,"&lt;"&amp;G192))</f>
        <v/>
      </c>
      <c r="I191" s="14" t="n"/>
      <c r="J191" s="16" t="n"/>
      <c r="K191" s="124">
        <f>IF(J191="","",COUNTIFS($C$18:$C$2015,J$13,$D$18:$D$2015,"&gt;="&amp;J191,$D$18:$D$2015,"&lt;"&amp;J192))</f>
        <v/>
      </c>
      <c r="L191" s="14" t="n"/>
      <c r="M191" s="16" t="n"/>
      <c r="N191" s="124">
        <f>IF(M191="","",COUNTIFS($C$18:$C$2015,M$13,$D$18:$D$2015,"&gt;="&amp;M191,$D$18:$D$2015,"&lt;"&amp;M192))</f>
        <v/>
      </c>
      <c r="O191" s="14" t="n"/>
      <c r="P191" s="16" t="n"/>
      <c r="Q191" s="124">
        <f>IF(P191="","",COUNTIFS($C$18:$C$2015,P$13,$D$18:$D$2015,"&gt;="&amp;P191,$D$18:$D$2015,"&lt;"&amp;P192))</f>
        <v/>
      </c>
      <c r="R191" s="14" t="n"/>
      <c r="S191" s="16" t="n"/>
      <c r="T191" s="124">
        <f>IF(S191="","",COUNTIFS($C$18:$C$2015,S$13,$D$18:$D$2015,"&gt;="&amp;S191,$D$18:$D$2015,"&lt;"&amp;S192))</f>
        <v/>
      </c>
      <c r="U191" s="14" t="n"/>
      <c r="V191" s="16" t="n"/>
      <c r="W191" s="124">
        <f>IF(V191="","",COUNTIFS($C$18:$C$2015,V$13,$D$18:$D$2015,"&gt;="&amp;V191,$D$18:$D$2015,"&lt;"&amp;V192))</f>
        <v/>
      </c>
      <c r="X191" s="14" t="n"/>
      <c r="Y191" s="16" t="n"/>
      <c r="Z191" s="124">
        <f>IF(Y191="","",COUNTIFS($C$18:$C$2015,Y$13,$D$18:$D$2015,"&gt;="&amp;Y191,$D$18:$D$2015,"&lt;"&amp;Y192))</f>
        <v/>
      </c>
      <c r="AA191" s="14" t="n"/>
      <c r="AB191" s="16" t="n"/>
      <c r="AC191" s="124">
        <f>IF(AB191="","",COUNTIFS($C$18:$C$2015,AB$13,$D$18:$D$2015,"&gt;="&amp;AB191,$D$18:$D$2015,"&lt;"&amp;AB192))</f>
        <v/>
      </c>
      <c r="AD191" s="14" t="n"/>
    </row>
    <row r="192">
      <c r="A192" s="56" t="n"/>
      <c r="B192" s="59" t="n"/>
      <c r="C192" s="59" t="n"/>
      <c r="E192" s="16" t="n"/>
      <c r="F192" s="13" t="n"/>
      <c r="G192" s="16" t="n"/>
      <c r="H192" s="124">
        <f>IF(G192="","",COUNTIFS($C$18:$C$2015,G$13,$D$18:$D$2015,"&gt;="&amp;G192,$D$18:$D$2015,"&lt;"&amp;G193))</f>
        <v/>
      </c>
      <c r="I192" s="14" t="n"/>
      <c r="J192" s="16" t="n"/>
      <c r="K192" s="124">
        <f>IF(J192="","",COUNTIFS($C$18:$C$2015,J$13,$D$18:$D$2015,"&gt;="&amp;J192,$D$18:$D$2015,"&lt;"&amp;J193))</f>
        <v/>
      </c>
      <c r="L192" s="14" t="n"/>
      <c r="M192" s="16" t="n"/>
      <c r="N192" s="124">
        <f>IF(M192="","",COUNTIFS($C$18:$C$2015,M$13,$D$18:$D$2015,"&gt;="&amp;M192,$D$18:$D$2015,"&lt;"&amp;M193))</f>
        <v/>
      </c>
      <c r="O192" s="14" t="n"/>
      <c r="P192" s="16" t="n"/>
      <c r="Q192" s="124">
        <f>IF(P192="","",COUNTIFS($C$18:$C$2015,P$13,$D$18:$D$2015,"&gt;="&amp;P192,$D$18:$D$2015,"&lt;"&amp;P193))</f>
        <v/>
      </c>
      <c r="R192" s="14" t="n"/>
      <c r="S192" s="16" t="n"/>
      <c r="T192" s="124">
        <f>IF(S192="","",COUNTIFS($C$18:$C$2015,S$13,$D$18:$D$2015,"&gt;="&amp;S192,$D$18:$D$2015,"&lt;"&amp;S193))</f>
        <v/>
      </c>
      <c r="U192" s="14" t="n"/>
      <c r="V192" s="16" t="n"/>
      <c r="W192" s="124">
        <f>IF(V192="","",COUNTIFS($C$18:$C$2015,V$13,$D$18:$D$2015,"&gt;="&amp;V192,$D$18:$D$2015,"&lt;"&amp;V193))</f>
        <v/>
      </c>
      <c r="X192" s="14" t="n"/>
      <c r="Y192" s="16" t="n"/>
      <c r="Z192" s="124">
        <f>IF(Y192="","",COUNTIFS($C$18:$C$2015,Y$13,$D$18:$D$2015,"&gt;="&amp;Y192,$D$18:$D$2015,"&lt;"&amp;Y193))</f>
        <v/>
      </c>
      <c r="AA192" s="14" t="n"/>
      <c r="AB192" s="16" t="n"/>
      <c r="AC192" s="124">
        <f>IF(AB192="","",COUNTIFS($C$18:$C$2015,AB$13,$D$18:$D$2015,"&gt;="&amp;AB192,$D$18:$D$2015,"&lt;"&amp;AB193))</f>
        <v/>
      </c>
      <c r="AD192" s="14" t="n"/>
    </row>
    <row r="193">
      <c r="A193" s="58" t="n"/>
      <c r="B193" s="59" t="n"/>
      <c r="C193" s="59" t="n"/>
      <c r="E193" s="16" t="n"/>
      <c r="F193" s="13" t="n"/>
      <c r="G193" s="16" t="n"/>
      <c r="H193" s="124">
        <f>IF(G193="","",COUNTIFS($C$18:$C$2015,G$13,$D$18:$D$2015,"&gt;="&amp;G193,$D$18:$D$2015,"&lt;"&amp;G194))</f>
        <v/>
      </c>
      <c r="I193" s="14" t="n"/>
      <c r="J193" s="16" t="n"/>
      <c r="K193" s="124">
        <f>IF(J193="","",COUNTIFS($C$18:$C$2015,J$13,$D$18:$D$2015,"&gt;="&amp;J193,$D$18:$D$2015,"&lt;"&amp;J194))</f>
        <v/>
      </c>
      <c r="L193" s="14" t="n"/>
      <c r="M193" s="16" t="n"/>
      <c r="N193" s="124">
        <f>IF(M193="","",COUNTIFS($C$18:$C$2015,M$13,$D$18:$D$2015,"&gt;="&amp;M193,$D$18:$D$2015,"&lt;"&amp;M194))</f>
        <v/>
      </c>
      <c r="O193" s="14" t="n"/>
      <c r="P193" s="16" t="n"/>
      <c r="Q193" s="124">
        <f>IF(P193="","",COUNTIFS($C$18:$C$2015,P$13,$D$18:$D$2015,"&gt;="&amp;P193,$D$18:$D$2015,"&lt;"&amp;P194))</f>
        <v/>
      </c>
      <c r="R193" s="14" t="n"/>
      <c r="S193" s="16" t="n"/>
      <c r="T193" s="124">
        <f>IF(S193="","",COUNTIFS($C$18:$C$2015,S$13,$D$18:$D$2015,"&gt;="&amp;S193,$D$18:$D$2015,"&lt;"&amp;S194))</f>
        <v/>
      </c>
      <c r="U193" s="14" t="n"/>
      <c r="V193" s="16" t="n"/>
      <c r="W193" s="124">
        <f>IF(V193="","",COUNTIFS($C$18:$C$2015,V$13,$D$18:$D$2015,"&gt;="&amp;V193,$D$18:$D$2015,"&lt;"&amp;V194))</f>
        <v/>
      </c>
      <c r="X193" s="14" t="n"/>
      <c r="Y193" s="16" t="n"/>
      <c r="Z193" s="124">
        <f>IF(Y193="","",COUNTIFS($C$18:$C$2015,Y$13,$D$18:$D$2015,"&gt;="&amp;Y193,$D$18:$D$2015,"&lt;"&amp;Y194))</f>
        <v/>
      </c>
      <c r="AA193" s="14" t="n"/>
      <c r="AB193" s="16" t="n"/>
      <c r="AC193" s="124">
        <f>IF(AB193="","",COUNTIFS($C$18:$C$2015,AB$13,$D$18:$D$2015,"&gt;="&amp;AB193,$D$18:$D$2015,"&lt;"&amp;AB194))</f>
        <v/>
      </c>
      <c r="AD193" s="14" t="n"/>
    </row>
    <row r="194">
      <c r="A194" s="56" t="n"/>
      <c r="B194" s="59" t="n"/>
      <c r="C194" s="59" t="n"/>
      <c r="E194" s="16" t="n"/>
      <c r="F194" s="13" t="n"/>
      <c r="G194" s="16" t="n"/>
      <c r="H194" s="124">
        <f>IF(G194="","",COUNTIFS($C$18:$C$2015,G$13,$D$18:$D$2015,"&gt;="&amp;G194,$D$18:$D$2015,"&lt;"&amp;G195))</f>
        <v/>
      </c>
      <c r="I194" s="14" t="n"/>
      <c r="J194" s="16" t="n"/>
      <c r="K194" s="124">
        <f>IF(J194="","",COUNTIFS($C$18:$C$2015,J$13,$D$18:$D$2015,"&gt;="&amp;J194,$D$18:$D$2015,"&lt;"&amp;J195))</f>
        <v/>
      </c>
      <c r="L194" s="14" t="n"/>
      <c r="M194" s="16" t="n"/>
      <c r="N194" s="124">
        <f>IF(M194="","",COUNTIFS($C$18:$C$2015,M$13,$D$18:$D$2015,"&gt;="&amp;M194,$D$18:$D$2015,"&lt;"&amp;M195))</f>
        <v/>
      </c>
      <c r="O194" s="14" t="n"/>
      <c r="P194" s="16" t="n"/>
      <c r="Q194" s="124">
        <f>IF(P194="","",COUNTIFS($C$18:$C$2015,P$13,$D$18:$D$2015,"&gt;="&amp;P194,$D$18:$D$2015,"&lt;"&amp;P195))</f>
        <v/>
      </c>
      <c r="R194" s="14" t="n"/>
      <c r="S194" s="16" t="n"/>
      <c r="T194" s="124">
        <f>IF(S194="","",COUNTIFS($C$18:$C$2015,S$13,$D$18:$D$2015,"&gt;="&amp;S194,$D$18:$D$2015,"&lt;"&amp;S195))</f>
        <v/>
      </c>
      <c r="U194" s="14" t="n"/>
      <c r="V194" s="16" t="n"/>
      <c r="W194" s="124">
        <f>IF(V194="","",COUNTIFS($C$18:$C$2015,V$13,$D$18:$D$2015,"&gt;="&amp;V194,$D$18:$D$2015,"&lt;"&amp;V195))</f>
        <v/>
      </c>
      <c r="X194" s="14" t="n"/>
      <c r="Y194" s="16" t="n"/>
      <c r="Z194" s="124">
        <f>IF(Y194="","",COUNTIFS($C$18:$C$2015,Y$13,$D$18:$D$2015,"&gt;="&amp;Y194,$D$18:$D$2015,"&lt;"&amp;Y195))</f>
        <v/>
      </c>
      <c r="AA194" s="14" t="n"/>
      <c r="AB194" s="16" t="n"/>
      <c r="AC194" s="124">
        <f>IF(AB194="","",COUNTIFS($C$18:$C$2015,AB$13,$D$18:$D$2015,"&gt;="&amp;AB194,$D$18:$D$2015,"&lt;"&amp;AB195))</f>
        <v/>
      </c>
      <c r="AD194" s="14" t="n"/>
    </row>
    <row r="195">
      <c r="A195" s="58" t="n"/>
      <c r="B195" s="59" t="n"/>
      <c r="C195" s="59" t="n"/>
      <c r="E195" s="16" t="n"/>
      <c r="F195" s="13" t="n"/>
      <c r="G195" s="16" t="n"/>
      <c r="H195" s="124">
        <f>IF(G195="","",COUNTIFS($C$18:$C$2015,G$13,$D$18:$D$2015,"&gt;="&amp;G195,$D$18:$D$2015,"&lt;"&amp;G196))</f>
        <v/>
      </c>
      <c r="I195" s="14" t="n"/>
      <c r="J195" s="16" t="n"/>
      <c r="K195" s="124">
        <f>IF(J195="","",COUNTIFS($C$18:$C$2015,J$13,$D$18:$D$2015,"&gt;="&amp;J195,$D$18:$D$2015,"&lt;"&amp;J196))</f>
        <v/>
      </c>
      <c r="L195" s="14" t="n"/>
      <c r="M195" s="16" t="n"/>
      <c r="N195" s="124">
        <f>IF(M195="","",COUNTIFS($C$18:$C$2015,M$13,$D$18:$D$2015,"&gt;="&amp;M195,$D$18:$D$2015,"&lt;"&amp;M196))</f>
        <v/>
      </c>
      <c r="O195" s="14" t="n"/>
      <c r="P195" s="16" t="n"/>
      <c r="Q195" s="124">
        <f>IF(P195="","",COUNTIFS($C$18:$C$2015,P$13,$D$18:$D$2015,"&gt;="&amp;P195,$D$18:$D$2015,"&lt;"&amp;P196))</f>
        <v/>
      </c>
      <c r="R195" s="14" t="n"/>
      <c r="S195" s="16" t="n"/>
      <c r="T195" s="124">
        <f>IF(S195="","",COUNTIFS($C$18:$C$2015,S$13,$D$18:$D$2015,"&gt;="&amp;S195,$D$18:$D$2015,"&lt;"&amp;S196))</f>
        <v/>
      </c>
      <c r="U195" s="14" t="n"/>
      <c r="V195" s="16" t="n"/>
      <c r="W195" s="124">
        <f>IF(V195="","",COUNTIFS($C$18:$C$2015,V$13,$D$18:$D$2015,"&gt;="&amp;V195,$D$18:$D$2015,"&lt;"&amp;V196))</f>
        <v/>
      </c>
      <c r="X195" s="14" t="n"/>
      <c r="Y195" s="16" t="n"/>
      <c r="Z195" s="124">
        <f>IF(Y195="","",COUNTIFS($C$18:$C$2015,Y$13,$D$18:$D$2015,"&gt;="&amp;Y195,$D$18:$D$2015,"&lt;"&amp;Y196))</f>
        <v/>
      </c>
      <c r="AA195" s="14" t="n"/>
      <c r="AB195" s="16" t="n"/>
      <c r="AC195" s="124">
        <f>IF(AB195="","",COUNTIFS($C$18:$C$2015,AB$13,$D$18:$D$2015,"&gt;="&amp;AB195,$D$18:$D$2015,"&lt;"&amp;AB196))</f>
        <v/>
      </c>
      <c r="AD195" s="14" t="n"/>
    </row>
    <row r="196">
      <c r="A196" s="56" t="n"/>
      <c r="B196" s="59" t="n"/>
      <c r="C196" s="59" t="n"/>
      <c r="E196" s="16" t="n"/>
      <c r="F196" s="13" t="n"/>
      <c r="G196" s="16" t="n"/>
      <c r="H196" s="124">
        <f>IF(G196="","",COUNTIFS($C$18:$C$2015,G$13,$D$18:$D$2015,"&gt;="&amp;G196,$D$18:$D$2015,"&lt;"&amp;G197))</f>
        <v/>
      </c>
      <c r="I196" s="14" t="n"/>
      <c r="J196" s="16" t="n"/>
      <c r="K196" s="124">
        <f>IF(J196="","",COUNTIFS($C$18:$C$2015,J$13,$D$18:$D$2015,"&gt;="&amp;J196,$D$18:$D$2015,"&lt;"&amp;J197))</f>
        <v/>
      </c>
      <c r="L196" s="14" t="n"/>
      <c r="M196" s="16" t="n"/>
      <c r="N196" s="124">
        <f>IF(M196="","",COUNTIFS($C$18:$C$2015,M$13,$D$18:$D$2015,"&gt;="&amp;M196,$D$18:$D$2015,"&lt;"&amp;M197))</f>
        <v/>
      </c>
      <c r="O196" s="14" t="n"/>
      <c r="P196" s="16" t="n"/>
      <c r="Q196" s="124">
        <f>IF(P196="","",COUNTIFS($C$18:$C$2015,P$13,$D$18:$D$2015,"&gt;="&amp;P196,$D$18:$D$2015,"&lt;"&amp;P197))</f>
        <v/>
      </c>
      <c r="R196" s="14" t="n"/>
      <c r="S196" s="16" t="n"/>
      <c r="T196" s="124">
        <f>IF(S196="","",COUNTIFS($C$18:$C$2015,S$13,$D$18:$D$2015,"&gt;="&amp;S196,$D$18:$D$2015,"&lt;"&amp;S197))</f>
        <v/>
      </c>
      <c r="U196" s="14" t="n"/>
      <c r="V196" s="16" t="n"/>
      <c r="W196" s="124">
        <f>IF(V196="","",COUNTIFS($C$18:$C$2015,V$13,$D$18:$D$2015,"&gt;="&amp;V196,$D$18:$D$2015,"&lt;"&amp;V197))</f>
        <v/>
      </c>
      <c r="X196" s="14" t="n"/>
      <c r="Y196" s="16" t="n"/>
      <c r="Z196" s="124">
        <f>IF(Y196="","",COUNTIFS($C$18:$C$2015,Y$13,$D$18:$D$2015,"&gt;="&amp;Y196,$D$18:$D$2015,"&lt;"&amp;Y197))</f>
        <v/>
      </c>
      <c r="AA196" s="14" t="n"/>
      <c r="AB196" s="16" t="n"/>
      <c r="AC196" s="124">
        <f>IF(AB196="","",COUNTIFS($C$18:$C$2015,AB$13,$D$18:$D$2015,"&gt;="&amp;AB196,$D$18:$D$2015,"&lt;"&amp;AB197))</f>
        <v/>
      </c>
      <c r="AD196" s="14" t="n"/>
    </row>
    <row r="197">
      <c r="A197" s="58" t="n"/>
      <c r="B197" s="59" t="n"/>
      <c r="C197" s="59" t="n"/>
      <c r="E197" s="16" t="n"/>
      <c r="F197" s="13" t="n"/>
      <c r="G197" s="16" t="n"/>
      <c r="H197" s="124">
        <f>IF(G197="","",COUNTIFS($C$18:$C$2015,G$13,$D$18:$D$2015,"&gt;="&amp;G197,$D$18:$D$2015,"&lt;"&amp;G198))</f>
        <v/>
      </c>
      <c r="I197" s="14" t="n"/>
      <c r="J197" s="16" t="n"/>
      <c r="K197" s="124">
        <f>IF(J197="","",COUNTIFS($C$18:$C$2015,J$13,$D$18:$D$2015,"&gt;="&amp;J197,$D$18:$D$2015,"&lt;"&amp;J198))</f>
        <v/>
      </c>
      <c r="L197" s="14" t="n"/>
      <c r="M197" s="16" t="n"/>
      <c r="N197" s="124">
        <f>IF(M197="","",COUNTIFS($C$18:$C$2015,M$13,$D$18:$D$2015,"&gt;="&amp;M197,$D$18:$D$2015,"&lt;"&amp;M198))</f>
        <v/>
      </c>
      <c r="O197" s="14" t="n"/>
      <c r="P197" s="16" t="n"/>
      <c r="Q197" s="124">
        <f>IF(P197="","",COUNTIFS($C$18:$C$2015,P$13,$D$18:$D$2015,"&gt;="&amp;P197,$D$18:$D$2015,"&lt;"&amp;P198))</f>
        <v/>
      </c>
      <c r="R197" s="14" t="n"/>
      <c r="S197" s="16" t="n"/>
      <c r="T197" s="124">
        <f>IF(S197="","",COUNTIFS($C$18:$C$2015,S$13,$D$18:$D$2015,"&gt;="&amp;S197,$D$18:$D$2015,"&lt;"&amp;S198))</f>
        <v/>
      </c>
      <c r="U197" s="14" t="n"/>
      <c r="V197" s="16" t="n"/>
      <c r="W197" s="124">
        <f>IF(V197="","",COUNTIFS($C$18:$C$2015,V$13,$D$18:$D$2015,"&gt;="&amp;V197,$D$18:$D$2015,"&lt;"&amp;V198))</f>
        <v/>
      </c>
      <c r="X197" s="14" t="n"/>
      <c r="Y197" s="16" t="n"/>
      <c r="Z197" s="124">
        <f>IF(Y197="","",COUNTIFS($C$18:$C$2015,Y$13,$D$18:$D$2015,"&gt;="&amp;Y197,$D$18:$D$2015,"&lt;"&amp;Y198))</f>
        <v/>
      </c>
      <c r="AA197" s="14" t="n"/>
      <c r="AB197" s="16" t="n"/>
      <c r="AC197" s="124">
        <f>IF(AB197="","",COUNTIFS($C$18:$C$2015,AB$13,$D$18:$D$2015,"&gt;="&amp;AB197,$D$18:$D$2015,"&lt;"&amp;AB198))</f>
        <v/>
      </c>
      <c r="AD197" s="14" t="n"/>
    </row>
    <row r="198">
      <c r="A198" s="56" t="n"/>
      <c r="B198" s="59" t="n"/>
      <c r="C198" s="59" t="n"/>
      <c r="E198" s="16" t="n"/>
      <c r="F198" s="13" t="n"/>
      <c r="G198" s="16" t="n"/>
      <c r="H198" s="124">
        <f>IF(G198="","",COUNTIFS($C$18:$C$2015,G$13,$D$18:$D$2015,"&gt;="&amp;G198,$D$18:$D$2015,"&lt;"&amp;G199))</f>
        <v/>
      </c>
      <c r="I198" s="14" t="n"/>
      <c r="J198" s="16" t="n"/>
      <c r="K198" s="124">
        <f>IF(J198="","",COUNTIFS($C$18:$C$2015,J$13,$D$18:$D$2015,"&gt;="&amp;J198,$D$18:$D$2015,"&lt;"&amp;J199))</f>
        <v/>
      </c>
      <c r="L198" s="14" t="n"/>
      <c r="M198" s="16" t="n"/>
      <c r="N198" s="124">
        <f>IF(M198="","",COUNTIFS($C$18:$C$2015,M$13,$D$18:$D$2015,"&gt;="&amp;M198,$D$18:$D$2015,"&lt;"&amp;M199))</f>
        <v/>
      </c>
      <c r="O198" s="14" t="n"/>
      <c r="P198" s="16" t="n"/>
      <c r="Q198" s="124">
        <f>IF(P198="","",COUNTIFS($C$18:$C$2015,P$13,$D$18:$D$2015,"&gt;="&amp;P198,$D$18:$D$2015,"&lt;"&amp;P199))</f>
        <v/>
      </c>
      <c r="R198" s="14" t="n"/>
      <c r="S198" s="16" t="n"/>
      <c r="T198" s="124">
        <f>IF(S198="","",COUNTIFS($C$18:$C$2015,S$13,$D$18:$D$2015,"&gt;="&amp;S198,$D$18:$D$2015,"&lt;"&amp;S199))</f>
        <v/>
      </c>
      <c r="U198" s="14" t="n"/>
      <c r="V198" s="16" t="n"/>
      <c r="W198" s="124">
        <f>IF(V198="","",COUNTIFS($C$18:$C$2015,V$13,$D$18:$D$2015,"&gt;="&amp;V198,$D$18:$D$2015,"&lt;"&amp;V199))</f>
        <v/>
      </c>
      <c r="X198" s="14" t="n"/>
      <c r="Y198" s="16" t="n"/>
      <c r="Z198" s="124">
        <f>IF(Y198="","",COUNTIFS($C$18:$C$2015,Y$13,$D$18:$D$2015,"&gt;="&amp;Y198,$D$18:$D$2015,"&lt;"&amp;Y199))</f>
        <v/>
      </c>
      <c r="AA198" s="14" t="n"/>
      <c r="AB198" s="16" t="n"/>
      <c r="AC198" s="124">
        <f>IF(AB198="","",COUNTIFS($C$18:$C$2015,AB$13,$D$18:$D$2015,"&gt;="&amp;AB198,$D$18:$D$2015,"&lt;"&amp;AB199))</f>
        <v/>
      </c>
      <c r="AD198" s="14" t="n"/>
    </row>
    <row r="199">
      <c r="A199" s="58" t="n"/>
      <c r="B199" s="59" t="n"/>
      <c r="C199" s="59" t="n"/>
      <c r="E199" s="16" t="n"/>
      <c r="F199" s="13" t="n"/>
      <c r="G199" s="16" t="n"/>
      <c r="H199" s="124">
        <f>IF(G199="","",COUNTIFS($C$18:$C$2015,G$13,$D$18:$D$2015,"&gt;="&amp;G199,$D$18:$D$2015,"&lt;"&amp;G200))</f>
        <v/>
      </c>
      <c r="I199" s="14" t="n"/>
      <c r="J199" s="16" t="n"/>
      <c r="K199" s="124">
        <f>IF(J199="","",COUNTIFS($C$18:$C$2015,J$13,$D$18:$D$2015,"&gt;="&amp;J199,$D$18:$D$2015,"&lt;"&amp;J200))</f>
        <v/>
      </c>
      <c r="L199" s="14" t="n"/>
      <c r="M199" s="16" t="n"/>
      <c r="N199" s="124">
        <f>IF(M199="","",COUNTIFS($C$18:$C$2015,M$13,$D$18:$D$2015,"&gt;="&amp;M199,$D$18:$D$2015,"&lt;"&amp;M200))</f>
        <v/>
      </c>
      <c r="O199" s="14" t="n"/>
      <c r="P199" s="16" t="n"/>
      <c r="Q199" s="124">
        <f>IF(P199="","",COUNTIFS($C$18:$C$2015,P$13,$D$18:$D$2015,"&gt;="&amp;P199,$D$18:$D$2015,"&lt;"&amp;P200))</f>
        <v/>
      </c>
      <c r="R199" s="14" t="n"/>
      <c r="S199" s="16" t="n"/>
      <c r="T199" s="124">
        <f>IF(S199="","",COUNTIFS($C$18:$C$2015,S$13,$D$18:$D$2015,"&gt;="&amp;S199,$D$18:$D$2015,"&lt;"&amp;S200))</f>
        <v/>
      </c>
      <c r="U199" s="14" t="n"/>
      <c r="V199" s="16" t="n"/>
      <c r="W199" s="124">
        <f>IF(V199="","",COUNTIFS($C$18:$C$2015,V$13,$D$18:$D$2015,"&gt;="&amp;V199,$D$18:$D$2015,"&lt;"&amp;V200))</f>
        <v/>
      </c>
      <c r="X199" s="14" t="n"/>
      <c r="Y199" s="16" t="n"/>
      <c r="Z199" s="124">
        <f>IF(Y199="","",COUNTIFS($C$18:$C$2015,Y$13,$D$18:$D$2015,"&gt;="&amp;Y199,$D$18:$D$2015,"&lt;"&amp;Y200))</f>
        <v/>
      </c>
      <c r="AA199" s="14" t="n"/>
      <c r="AB199" s="16" t="n"/>
      <c r="AC199" s="124">
        <f>IF(AB199="","",COUNTIFS($C$18:$C$2015,AB$13,$D$18:$D$2015,"&gt;="&amp;AB199,$D$18:$D$2015,"&lt;"&amp;AB200))</f>
        <v/>
      </c>
      <c r="AD199" s="14" t="n"/>
    </row>
    <row r="200">
      <c r="A200" s="56" t="n"/>
      <c r="B200" s="59" t="n"/>
      <c r="C200" s="59" t="n"/>
      <c r="E200" s="16" t="n"/>
      <c r="F200" s="13" t="n"/>
      <c r="G200" s="16" t="n"/>
      <c r="H200" s="124">
        <f>IF(G200="","",COUNTIFS($C$18:$C$2015,G$13,$D$18:$D$2015,"&gt;="&amp;G200,$D$18:$D$2015,"&lt;"&amp;G201))</f>
        <v/>
      </c>
      <c r="I200" s="14" t="n"/>
      <c r="J200" s="16" t="n"/>
      <c r="K200" s="124">
        <f>IF(J200="","",COUNTIFS($C$18:$C$2015,J$13,$D$18:$D$2015,"&gt;="&amp;J200,$D$18:$D$2015,"&lt;"&amp;J201))</f>
        <v/>
      </c>
      <c r="L200" s="14" t="n"/>
      <c r="M200" s="16" t="n"/>
      <c r="N200" s="124">
        <f>IF(M200="","",COUNTIFS($C$18:$C$2015,M$13,$D$18:$D$2015,"&gt;="&amp;M200,$D$18:$D$2015,"&lt;"&amp;M201))</f>
        <v/>
      </c>
      <c r="O200" s="14" t="n"/>
      <c r="P200" s="16" t="n"/>
      <c r="Q200" s="124">
        <f>IF(P200="","",COUNTIFS($C$18:$C$2015,P$13,$D$18:$D$2015,"&gt;="&amp;P200,$D$18:$D$2015,"&lt;"&amp;P201))</f>
        <v/>
      </c>
      <c r="R200" s="14" t="n"/>
      <c r="S200" s="16" t="n"/>
      <c r="T200" s="124">
        <f>IF(S200="","",COUNTIFS($C$18:$C$2015,S$13,$D$18:$D$2015,"&gt;="&amp;S200,$D$18:$D$2015,"&lt;"&amp;S201))</f>
        <v/>
      </c>
      <c r="U200" s="14" t="n"/>
      <c r="V200" s="16" t="n"/>
      <c r="W200" s="124">
        <f>IF(V200="","",COUNTIFS($C$18:$C$2015,V$13,$D$18:$D$2015,"&gt;="&amp;V200,$D$18:$D$2015,"&lt;"&amp;V201))</f>
        <v/>
      </c>
      <c r="X200" s="14" t="n"/>
      <c r="Y200" s="16" t="n"/>
      <c r="Z200" s="124">
        <f>IF(Y200="","",COUNTIFS($C$18:$C$2015,Y$13,$D$18:$D$2015,"&gt;="&amp;Y200,$D$18:$D$2015,"&lt;"&amp;Y201))</f>
        <v/>
      </c>
      <c r="AA200" s="14" t="n"/>
      <c r="AB200" s="16" t="n"/>
      <c r="AC200" s="124">
        <f>IF(AB200="","",COUNTIFS($C$18:$C$2015,AB$13,$D$18:$D$2015,"&gt;="&amp;AB200,$D$18:$D$2015,"&lt;"&amp;AB201))</f>
        <v/>
      </c>
      <c r="AD200" s="14" t="n"/>
    </row>
    <row r="201">
      <c r="A201" s="58" t="n"/>
      <c r="B201" s="59" t="n"/>
      <c r="C201" s="59" t="n"/>
      <c r="E201" s="16" t="n"/>
      <c r="F201" s="13" t="n"/>
      <c r="G201" s="16" t="n"/>
      <c r="H201" s="124">
        <f>IF(G201="","",COUNTIFS($C$18:$C$2015,G$13,$D$18:$D$2015,"&gt;="&amp;G201,$D$18:$D$2015,"&lt;"&amp;G202))</f>
        <v/>
      </c>
      <c r="I201" s="14" t="n"/>
      <c r="J201" s="16" t="n"/>
      <c r="K201" s="124">
        <f>IF(J201="","",COUNTIFS($C$18:$C$2015,J$13,$D$18:$D$2015,"&gt;="&amp;J201,$D$18:$D$2015,"&lt;"&amp;J202))</f>
        <v/>
      </c>
      <c r="L201" s="14" t="n"/>
      <c r="M201" s="16" t="n"/>
      <c r="N201" s="124">
        <f>IF(M201="","",COUNTIFS($C$18:$C$2015,M$13,$D$18:$D$2015,"&gt;="&amp;M201,$D$18:$D$2015,"&lt;"&amp;M202))</f>
        <v/>
      </c>
      <c r="O201" s="14" t="n"/>
      <c r="P201" s="16" t="n"/>
      <c r="Q201" s="124">
        <f>IF(P201="","",COUNTIFS($C$18:$C$2015,P$13,$D$18:$D$2015,"&gt;="&amp;P201,$D$18:$D$2015,"&lt;"&amp;P202))</f>
        <v/>
      </c>
      <c r="R201" s="14" t="n"/>
      <c r="S201" s="16" t="n"/>
      <c r="T201" s="124">
        <f>IF(S201="","",COUNTIFS($C$18:$C$2015,S$13,$D$18:$D$2015,"&gt;="&amp;S201,$D$18:$D$2015,"&lt;"&amp;S202))</f>
        <v/>
      </c>
      <c r="U201" s="14" t="n"/>
      <c r="V201" s="16" t="n"/>
      <c r="W201" s="124">
        <f>IF(V201="","",COUNTIFS($C$18:$C$2015,V$13,$D$18:$D$2015,"&gt;="&amp;V201,$D$18:$D$2015,"&lt;"&amp;V202))</f>
        <v/>
      </c>
      <c r="X201" s="14" t="n"/>
      <c r="Y201" s="16" t="n"/>
      <c r="Z201" s="124">
        <f>IF(Y201="","",COUNTIFS($C$18:$C$2015,Y$13,$D$18:$D$2015,"&gt;="&amp;Y201,$D$18:$D$2015,"&lt;"&amp;Y202))</f>
        <v/>
      </c>
      <c r="AA201" s="14" t="n"/>
      <c r="AB201" s="16" t="n"/>
      <c r="AC201" s="124">
        <f>IF(AB201="","",COUNTIFS($C$18:$C$2015,AB$13,$D$18:$D$2015,"&gt;="&amp;AB201,$D$18:$D$2015,"&lt;"&amp;AB202))</f>
        <v/>
      </c>
      <c r="AD201" s="14" t="n"/>
    </row>
    <row r="202">
      <c r="A202" s="56" t="n"/>
      <c r="B202" s="59" t="n"/>
      <c r="C202" s="59" t="n"/>
      <c r="E202" s="16" t="n"/>
      <c r="F202" s="13" t="n"/>
      <c r="G202" s="16" t="n"/>
      <c r="H202" s="124">
        <f>IF(G202="","",COUNTIFS($C$18:$C$2015,G$13,$D$18:$D$2015,"&gt;="&amp;G202,$D$18:$D$2015,"&lt;"&amp;G203))</f>
        <v/>
      </c>
      <c r="I202" s="14" t="n"/>
      <c r="J202" s="16" t="n"/>
      <c r="K202" s="124">
        <f>IF(J202="","",COUNTIFS($C$18:$C$2015,J$13,$D$18:$D$2015,"&gt;="&amp;J202,$D$18:$D$2015,"&lt;"&amp;J203))</f>
        <v/>
      </c>
      <c r="L202" s="14" t="n"/>
      <c r="M202" s="16" t="n"/>
      <c r="N202" s="124">
        <f>IF(M202="","",COUNTIFS($C$18:$C$2015,M$13,$D$18:$D$2015,"&gt;="&amp;M202,$D$18:$D$2015,"&lt;"&amp;M203))</f>
        <v/>
      </c>
      <c r="O202" s="14" t="n"/>
      <c r="P202" s="16" t="n"/>
      <c r="Q202" s="124">
        <f>IF(P202="","",COUNTIFS($C$18:$C$2015,P$13,$D$18:$D$2015,"&gt;="&amp;P202,$D$18:$D$2015,"&lt;"&amp;P203))</f>
        <v/>
      </c>
      <c r="R202" s="14" t="n"/>
      <c r="S202" s="16" t="n"/>
      <c r="T202" s="124">
        <f>IF(S202="","",COUNTIFS($C$18:$C$2015,S$13,$D$18:$D$2015,"&gt;="&amp;S202,$D$18:$D$2015,"&lt;"&amp;S203))</f>
        <v/>
      </c>
      <c r="U202" s="14" t="n"/>
      <c r="V202" s="16" t="n"/>
      <c r="W202" s="124">
        <f>IF(V202="","",COUNTIFS($C$18:$C$2015,V$13,$D$18:$D$2015,"&gt;="&amp;V202,$D$18:$D$2015,"&lt;"&amp;V203))</f>
        <v/>
      </c>
      <c r="X202" s="14" t="n"/>
      <c r="Y202" s="16" t="n"/>
      <c r="Z202" s="124">
        <f>IF(Y202="","",COUNTIFS($C$18:$C$2015,Y$13,$D$18:$D$2015,"&gt;="&amp;Y202,$D$18:$D$2015,"&lt;"&amp;Y203))</f>
        <v/>
      </c>
      <c r="AA202" s="14" t="n"/>
      <c r="AB202" s="16" t="n"/>
      <c r="AC202" s="124">
        <f>IF(AB202="","",COUNTIFS($C$18:$C$2015,AB$13,$D$18:$D$2015,"&gt;="&amp;AB202,$D$18:$D$2015,"&lt;"&amp;AB203))</f>
        <v/>
      </c>
      <c r="AD202" s="14" t="n"/>
    </row>
    <row r="203">
      <c r="A203" s="58" t="n"/>
      <c r="B203" s="59" t="n"/>
      <c r="C203" s="59" t="n"/>
      <c r="E203" s="16" t="n"/>
      <c r="F203" s="13" t="n"/>
      <c r="G203" s="16" t="n"/>
      <c r="H203" s="124">
        <f>IF(G203="","",COUNTIFS($C$18:$C$2015,G$13,$D$18:$D$2015,"&gt;="&amp;G203,$D$18:$D$2015,"&lt;"&amp;G204))</f>
        <v/>
      </c>
      <c r="I203" s="14" t="n"/>
      <c r="J203" s="16" t="n"/>
      <c r="K203" s="124">
        <f>IF(J203="","",COUNTIFS($C$18:$C$2015,J$13,$D$18:$D$2015,"&gt;="&amp;J203,$D$18:$D$2015,"&lt;"&amp;J204))</f>
        <v/>
      </c>
      <c r="L203" s="14" t="n"/>
      <c r="M203" s="16" t="n"/>
      <c r="N203" s="124">
        <f>IF(M203="","",COUNTIFS($C$18:$C$2015,M$13,$D$18:$D$2015,"&gt;="&amp;M203,$D$18:$D$2015,"&lt;"&amp;M204))</f>
        <v/>
      </c>
      <c r="O203" s="14" t="n"/>
      <c r="P203" s="16" t="n"/>
      <c r="Q203" s="124">
        <f>IF(P203="","",COUNTIFS($C$18:$C$2015,P$13,$D$18:$D$2015,"&gt;="&amp;P203,$D$18:$D$2015,"&lt;"&amp;P204))</f>
        <v/>
      </c>
      <c r="R203" s="14" t="n"/>
      <c r="S203" s="16" t="n"/>
      <c r="T203" s="124">
        <f>IF(S203="","",COUNTIFS($C$18:$C$2015,S$13,$D$18:$D$2015,"&gt;="&amp;S203,$D$18:$D$2015,"&lt;"&amp;S204))</f>
        <v/>
      </c>
      <c r="U203" s="14" t="n"/>
      <c r="V203" s="16" t="n"/>
      <c r="W203" s="124">
        <f>IF(V203="","",COUNTIFS($C$18:$C$2015,V$13,$D$18:$D$2015,"&gt;="&amp;V203,$D$18:$D$2015,"&lt;"&amp;V204))</f>
        <v/>
      </c>
      <c r="X203" s="14" t="n"/>
      <c r="Y203" s="16" t="n"/>
      <c r="Z203" s="124">
        <f>IF(Y203="","",COUNTIFS($C$18:$C$2015,Y$13,$D$18:$D$2015,"&gt;="&amp;Y203,$D$18:$D$2015,"&lt;"&amp;Y204))</f>
        <v/>
      </c>
      <c r="AA203" s="14" t="n"/>
      <c r="AB203" s="16" t="n"/>
      <c r="AC203" s="124">
        <f>IF(AB203="","",COUNTIFS($C$18:$C$2015,AB$13,$D$18:$D$2015,"&gt;="&amp;AB203,$D$18:$D$2015,"&lt;"&amp;AB204))</f>
        <v/>
      </c>
      <c r="AD203" s="14" t="n"/>
    </row>
    <row r="204">
      <c r="A204" s="56" t="n"/>
      <c r="B204" s="59" t="n"/>
      <c r="C204" s="59" t="n"/>
      <c r="E204" s="16" t="n"/>
      <c r="F204" s="13" t="n"/>
      <c r="G204" s="16" t="n"/>
      <c r="H204" s="124">
        <f>IF(G204="","",COUNTIFS($C$18:$C$2015,G$13,$D$18:$D$2015,"&gt;="&amp;G204,$D$18:$D$2015,"&lt;"&amp;G205))</f>
        <v/>
      </c>
      <c r="I204" s="14" t="n"/>
      <c r="J204" s="16" t="n"/>
      <c r="K204" s="124">
        <f>IF(J204="","",COUNTIFS($C$18:$C$2015,J$13,$D$18:$D$2015,"&gt;="&amp;J204,$D$18:$D$2015,"&lt;"&amp;J205))</f>
        <v/>
      </c>
      <c r="L204" s="14" t="n"/>
      <c r="M204" s="16" t="n"/>
      <c r="N204" s="124">
        <f>IF(M204="","",COUNTIFS($C$18:$C$2015,M$13,$D$18:$D$2015,"&gt;="&amp;M204,$D$18:$D$2015,"&lt;"&amp;M205))</f>
        <v/>
      </c>
      <c r="O204" s="14" t="n"/>
      <c r="P204" s="16" t="n"/>
      <c r="Q204" s="124">
        <f>IF(P204="","",COUNTIFS($C$18:$C$2015,P$13,$D$18:$D$2015,"&gt;="&amp;P204,$D$18:$D$2015,"&lt;"&amp;P205))</f>
        <v/>
      </c>
      <c r="R204" s="14" t="n"/>
      <c r="S204" s="16" t="n"/>
      <c r="T204" s="124">
        <f>IF(S204="","",COUNTIFS($C$18:$C$2015,S$13,$D$18:$D$2015,"&gt;="&amp;S204,$D$18:$D$2015,"&lt;"&amp;S205))</f>
        <v/>
      </c>
      <c r="U204" s="14" t="n"/>
      <c r="V204" s="16" t="n"/>
      <c r="W204" s="124">
        <f>IF(V204="","",COUNTIFS($C$18:$C$2015,V$13,$D$18:$D$2015,"&gt;="&amp;V204,$D$18:$D$2015,"&lt;"&amp;V205))</f>
        <v/>
      </c>
      <c r="X204" s="14" t="n"/>
      <c r="Y204" s="16" t="n"/>
      <c r="Z204" s="124">
        <f>IF(Y204="","",COUNTIFS($C$18:$C$2015,Y$13,$D$18:$D$2015,"&gt;="&amp;Y204,$D$18:$D$2015,"&lt;"&amp;Y205))</f>
        <v/>
      </c>
      <c r="AA204" s="14" t="n"/>
      <c r="AB204" s="16" t="n"/>
      <c r="AC204" s="124">
        <f>IF(AB204="","",COUNTIFS($C$18:$C$2015,AB$13,$D$18:$D$2015,"&gt;="&amp;AB204,$D$18:$D$2015,"&lt;"&amp;AB205))</f>
        <v/>
      </c>
      <c r="AD204" s="14" t="n"/>
    </row>
    <row r="205">
      <c r="A205" s="58" t="n"/>
      <c r="B205" s="59" t="n"/>
      <c r="C205" s="59" t="n"/>
      <c r="E205" s="16" t="n"/>
      <c r="F205" s="13" t="n"/>
      <c r="G205" s="16" t="n"/>
      <c r="H205" s="124">
        <f>IF(G205="","",COUNTIFS($C$18:$C$2015,G$13,$D$18:$D$2015,"&gt;="&amp;G205,$D$18:$D$2015,"&lt;"&amp;G206))</f>
        <v/>
      </c>
      <c r="I205" s="14" t="n"/>
      <c r="J205" s="16" t="n"/>
      <c r="K205" s="124">
        <f>IF(J205="","",COUNTIFS($C$18:$C$2015,J$13,$D$18:$D$2015,"&gt;="&amp;J205,$D$18:$D$2015,"&lt;"&amp;J206))</f>
        <v/>
      </c>
      <c r="L205" s="14" t="n"/>
      <c r="M205" s="16" t="n"/>
      <c r="N205" s="124">
        <f>IF(M205="","",COUNTIFS($C$18:$C$2015,M$13,$D$18:$D$2015,"&gt;="&amp;M205,$D$18:$D$2015,"&lt;"&amp;M206))</f>
        <v/>
      </c>
      <c r="O205" s="14" t="n"/>
      <c r="P205" s="16" t="n"/>
      <c r="Q205" s="124">
        <f>IF(P205="","",COUNTIFS($C$18:$C$2015,P$13,$D$18:$D$2015,"&gt;="&amp;P205,$D$18:$D$2015,"&lt;"&amp;P206))</f>
        <v/>
      </c>
      <c r="R205" s="14" t="n"/>
      <c r="S205" s="16" t="n"/>
      <c r="T205" s="124">
        <f>IF(S205="","",COUNTIFS($C$18:$C$2015,S$13,$D$18:$D$2015,"&gt;="&amp;S205,$D$18:$D$2015,"&lt;"&amp;S206))</f>
        <v/>
      </c>
      <c r="U205" s="14" t="n"/>
      <c r="V205" s="16" t="n"/>
      <c r="W205" s="124">
        <f>IF(V205="","",COUNTIFS($C$18:$C$2015,V$13,$D$18:$D$2015,"&gt;="&amp;V205,$D$18:$D$2015,"&lt;"&amp;V206))</f>
        <v/>
      </c>
      <c r="X205" s="14" t="n"/>
      <c r="Y205" s="16" t="n"/>
      <c r="Z205" s="124">
        <f>IF(Y205="","",COUNTIFS($C$18:$C$2015,Y$13,$D$18:$D$2015,"&gt;="&amp;Y205,$D$18:$D$2015,"&lt;"&amp;Y206))</f>
        <v/>
      </c>
      <c r="AA205" s="14" t="n"/>
      <c r="AB205" s="16" t="n"/>
      <c r="AC205" s="124">
        <f>IF(AB205="","",COUNTIFS($C$18:$C$2015,AB$13,$D$18:$D$2015,"&gt;="&amp;AB205,$D$18:$D$2015,"&lt;"&amp;AB206))</f>
        <v/>
      </c>
      <c r="AD205" s="14" t="n"/>
    </row>
    <row r="206">
      <c r="A206" s="56" t="n"/>
      <c r="B206" s="59" t="n"/>
      <c r="C206" s="59" t="n"/>
      <c r="E206" s="16" t="n"/>
      <c r="F206" s="13" t="n"/>
      <c r="G206" s="16" t="n"/>
      <c r="H206" s="124">
        <f>IF(G206="","",COUNTIFS($C$18:$C$2015,G$13,$D$18:$D$2015,"&gt;="&amp;G206,$D$18:$D$2015,"&lt;"&amp;G207))</f>
        <v/>
      </c>
      <c r="I206" s="14" t="n"/>
      <c r="J206" s="16" t="n"/>
      <c r="K206" s="124">
        <f>IF(J206="","",COUNTIFS($C$18:$C$2015,J$13,$D$18:$D$2015,"&gt;="&amp;J206,$D$18:$D$2015,"&lt;"&amp;J207))</f>
        <v/>
      </c>
      <c r="L206" s="14" t="n"/>
      <c r="M206" s="16" t="n"/>
      <c r="N206" s="124">
        <f>IF(M206="","",COUNTIFS($C$18:$C$2015,M$13,$D$18:$D$2015,"&gt;="&amp;M206,$D$18:$D$2015,"&lt;"&amp;M207))</f>
        <v/>
      </c>
      <c r="O206" s="14" t="n"/>
      <c r="P206" s="16" t="n"/>
      <c r="Q206" s="124">
        <f>IF(P206="","",COUNTIFS($C$18:$C$2015,P$13,$D$18:$D$2015,"&gt;="&amp;P206,$D$18:$D$2015,"&lt;"&amp;P207))</f>
        <v/>
      </c>
      <c r="R206" s="14" t="n"/>
      <c r="S206" s="16" t="n"/>
      <c r="T206" s="124">
        <f>IF(S206="","",COUNTIFS($C$18:$C$2015,S$13,$D$18:$D$2015,"&gt;="&amp;S206,$D$18:$D$2015,"&lt;"&amp;S207))</f>
        <v/>
      </c>
      <c r="U206" s="14" t="n"/>
      <c r="V206" s="16" t="n"/>
      <c r="W206" s="124">
        <f>IF(V206="","",COUNTIFS($C$18:$C$2015,V$13,$D$18:$D$2015,"&gt;="&amp;V206,$D$18:$D$2015,"&lt;"&amp;V207))</f>
        <v/>
      </c>
      <c r="X206" s="14" t="n"/>
      <c r="Y206" s="16" t="n"/>
      <c r="Z206" s="124">
        <f>IF(Y206="","",COUNTIFS($C$18:$C$2015,Y$13,$D$18:$D$2015,"&gt;="&amp;Y206,$D$18:$D$2015,"&lt;"&amp;Y207))</f>
        <v/>
      </c>
      <c r="AA206" s="14" t="n"/>
      <c r="AB206" s="16" t="n"/>
      <c r="AC206" s="124">
        <f>IF(AB206="","",COUNTIFS($C$18:$C$2015,AB$13,$D$18:$D$2015,"&gt;="&amp;AB206,$D$18:$D$2015,"&lt;"&amp;AB207))</f>
        <v/>
      </c>
      <c r="AD206" s="14" t="n"/>
    </row>
    <row r="207">
      <c r="A207" s="58" t="n"/>
      <c r="B207" s="59" t="n"/>
      <c r="C207" s="59" t="n"/>
      <c r="E207" s="16" t="n"/>
      <c r="F207" s="13" t="n"/>
      <c r="G207" s="16" t="n"/>
      <c r="H207" s="124">
        <f>IF(G207="","",COUNTIFS($C$18:$C$2015,G$13,$D$18:$D$2015,"&gt;="&amp;G207,$D$18:$D$2015,"&lt;"&amp;G208))</f>
        <v/>
      </c>
      <c r="I207" s="14" t="n"/>
      <c r="J207" s="16" t="n"/>
      <c r="K207" s="124">
        <f>IF(J207="","",COUNTIFS($C$18:$C$2015,J$13,$D$18:$D$2015,"&gt;="&amp;J207,$D$18:$D$2015,"&lt;"&amp;J208))</f>
        <v/>
      </c>
      <c r="L207" s="14" t="n"/>
      <c r="M207" s="16" t="n"/>
      <c r="N207" s="124">
        <f>IF(M207="","",COUNTIFS($C$18:$C$2015,M$13,$D$18:$D$2015,"&gt;="&amp;M207,$D$18:$D$2015,"&lt;"&amp;M208))</f>
        <v/>
      </c>
      <c r="O207" s="14" t="n"/>
      <c r="P207" s="16" t="n"/>
      <c r="Q207" s="124">
        <f>IF(P207="","",COUNTIFS($C$18:$C$2015,P$13,$D$18:$D$2015,"&gt;="&amp;P207,$D$18:$D$2015,"&lt;"&amp;P208))</f>
        <v/>
      </c>
      <c r="R207" s="14" t="n"/>
      <c r="S207" s="16" t="n"/>
      <c r="T207" s="124">
        <f>IF(S207="","",COUNTIFS($C$18:$C$2015,S$13,$D$18:$D$2015,"&gt;="&amp;S207,$D$18:$D$2015,"&lt;"&amp;S208))</f>
        <v/>
      </c>
      <c r="U207" s="14" t="n"/>
      <c r="V207" s="16" t="n"/>
      <c r="W207" s="124">
        <f>IF(V207="","",COUNTIFS($C$18:$C$2015,V$13,$D$18:$D$2015,"&gt;="&amp;V207,$D$18:$D$2015,"&lt;"&amp;V208))</f>
        <v/>
      </c>
      <c r="X207" s="14" t="n"/>
      <c r="Y207" s="16" t="n"/>
      <c r="Z207" s="124">
        <f>IF(Y207="","",COUNTIFS($C$18:$C$2015,Y$13,$D$18:$D$2015,"&gt;="&amp;Y207,$D$18:$D$2015,"&lt;"&amp;Y208))</f>
        <v/>
      </c>
      <c r="AA207" s="14" t="n"/>
      <c r="AB207" s="16" t="n"/>
      <c r="AC207" s="124">
        <f>IF(AB207="","",COUNTIFS($C$18:$C$2015,AB$13,$D$18:$D$2015,"&gt;="&amp;AB207,$D$18:$D$2015,"&lt;"&amp;AB208))</f>
        <v/>
      </c>
      <c r="AD207" s="14" t="n"/>
    </row>
    <row r="208">
      <c r="A208" s="56" t="n"/>
      <c r="B208" s="59" t="n"/>
      <c r="C208" s="59" t="n"/>
      <c r="E208" s="16" t="n"/>
      <c r="F208" s="13" t="n"/>
      <c r="G208" s="16" t="n"/>
      <c r="H208" s="124">
        <f>IF(G208="","",COUNTIFS($C$18:$C$2015,G$13,$D$18:$D$2015,"&gt;="&amp;G208,$D$18:$D$2015,"&lt;"&amp;G209))</f>
        <v/>
      </c>
      <c r="I208" s="14" t="n"/>
      <c r="J208" s="16" t="n"/>
      <c r="K208" s="124">
        <f>IF(J208="","",COUNTIFS($C$18:$C$2015,J$13,$D$18:$D$2015,"&gt;="&amp;J208,$D$18:$D$2015,"&lt;"&amp;J209))</f>
        <v/>
      </c>
      <c r="L208" s="14" t="n"/>
      <c r="M208" s="16" t="n"/>
      <c r="N208" s="124">
        <f>IF(M208="","",COUNTIFS($C$18:$C$2015,M$13,$D$18:$D$2015,"&gt;="&amp;M208,$D$18:$D$2015,"&lt;"&amp;M209))</f>
        <v/>
      </c>
      <c r="O208" s="14" t="n"/>
      <c r="P208" s="16" t="n"/>
      <c r="Q208" s="124">
        <f>IF(P208="","",COUNTIFS($C$18:$C$2015,P$13,$D$18:$D$2015,"&gt;="&amp;P208,$D$18:$D$2015,"&lt;"&amp;P209))</f>
        <v/>
      </c>
      <c r="R208" s="14" t="n"/>
      <c r="S208" s="16" t="n"/>
      <c r="T208" s="124">
        <f>IF(S208="","",COUNTIFS($C$18:$C$2015,S$13,$D$18:$D$2015,"&gt;="&amp;S208,$D$18:$D$2015,"&lt;"&amp;S209))</f>
        <v/>
      </c>
      <c r="U208" s="14" t="n"/>
      <c r="V208" s="16" t="n"/>
      <c r="W208" s="124">
        <f>IF(V208="","",COUNTIFS($C$18:$C$2015,V$13,$D$18:$D$2015,"&gt;="&amp;V208,$D$18:$D$2015,"&lt;"&amp;V209))</f>
        <v/>
      </c>
      <c r="X208" s="14" t="n"/>
      <c r="Y208" s="16" t="n"/>
      <c r="Z208" s="124">
        <f>IF(Y208="","",COUNTIFS($C$18:$C$2015,Y$13,$D$18:$D$2015,"&gt;="&amp;Y208,$D$18:$D$2015,"&lt;"&amp;Y209))</f>
        <v/>
      </c>
      <c r="AA208" s="14" t="n"/>
      <c r="AB208" s="16" t="n"/>
      <c r="AC208" s="124">
        <f>IF(AB208="","",COUNTIFS($C$18:$C$2015,AB$13,$D$18:$D$2015,"&gt;="&amp;AB208,$D$18:$D$2015,"&lt;"&amp;AB209))</f>
        <v/>
      </c>
      <c r="AD208" s="14" t="n"/>
    </row>
    <row r="209">
      <c r="A209" s="58" t="n"/>
      <c r="B209" s="59" t="n"/>
      <c r="C209" s="59" t="n"/>
      <c r="E209" s="16" t="n"/>
      <c r="F209" s="13" t="n"/>
      <c r="G209" s="16" t="n"/>
      <c r="H209" s="124">
        <f>IF(G209="","",COUNTIFS($C$18:$C$2015,G$13,$D$18:$D$2015,"&gt;="&amp;G209,$D$18:$D$2015,"&lt;"&amp;G210))</f>
        <v/>
      </c>
      <c r="I209" s="14" t="n"/>
      <c r="J209" s="16" t="n"/>
      <c r="K209" s="124">
        <f>IF(J209="","",COUNTIFS($C$18:$C$2015,J$13,$D$18:$D$2015,"&gt;="&amp;J209,$D$18:$D$2015,"&lt;"&amp;J210))</f>
        <v/>
      </c>
      <c r="L209" s="14" t="n"/>
      <c r="M209" s="16" t="n"/>
      <c r="N209" s="124">
        <f>IF(M209="","",COUNTIFS($C$18:$C$2015,M$13,$D$18:$D$2015,"&gt;="&amp;M209,$D$18:$D$2015,"&lt;"&amp;M210))</f>
        <v/>
      </c>
      <c r="O209" s="14" t="n"/>
      <c r="P209" s="16" t="n"/>
      <c r="Q209" s="124">
        <f>IF(P209="","",COUNTIFS($C$18:$C$2015,P$13,$D$18:$D$2015,"&gt;="&amp;P209,$D$18:$D$2015,"&lt;"&amp;P210))</f>
        <v/>
      </c>
      <c r="R209" s="14" t="n"/>
      <c r="S209" s="16" t="n"/>
      <c r="T209" s="124">
        <f>IF(S209="","",COUNTIFS($C$18:$C$2015,S$13,$D$18:$D$2015,"&gt;="&amp;S209,$D$18:$D$2015,"&lt;"&amp;S210))</f>
        <v/>
      </c>
      <c r="U209" s="14" t="n"/>
      <c r="V209" s="16" t="n"/>
      <c r="W209" s="124">
        <f>IF(V209="","",COUNTIFS($C$18:$C$2015,V$13,$D$18:$D$2015,"&gt;="&amp;V209,$D$18:$D$2015,"&lt;"&amp;V210))</f>
        <v/>
      </c>
      <c r="X209" s="14" t="n"/>
      <c r="Y209" s="16" t="n"/>
      <c r="Z209" s="124">
        <f>IF(Y209="","",COUNTIFS($C$18:$C$2015,Y$13,$D$18:$D$2015,"&gt;="&amp;Y209,$D$18:$D$2015,"&lt;"&amp;Y210))</f>
        <v/>
      </c>
      <c r="AA209" s="14" t="n"/>
      <c r="AB209" s="16" t="n"/>
      <c r="AC209" s="124">
        <f>IF(AB209="","",COUNTIFS($C$18:$C$2015,AB$13,$D$18:$D$2015,"&gt;="&amp;AB209,$D$18:$D$2015,"&lt;"&amp;AB210))</f>
        <v/>
      </c>
      <c r="AD209" s="14" t="n"/>
    </row>
    <row r="210">
      <c r="A210" s="56" t="n"/>
      <c r="B210" s="59" t="n"/>
      <c r="C210" s="59" t="n"/>
      <c r="E210" s="16" t="n"/>
      <c r="F210" s="13" t="n"/>
      <c r="G210" s="16" t="n"/>
      <c r="H210" s="124">
        <f>IF(G210="","",COUNTIFS($C$18:$C$2015,G$13,$D$18:$D$2015,"&gt;="&amp;G210,$D$18:$D$2015,"&lt;"&amp;G211))</f>
        <v/>
      </c>
      <c r="I210" s="14" t="n"/>
      <c r="J210" s="16" t="n"/>
      <c r="K210" s="124">
        <f>IF(J210="","",COUNTIFS($C$18:$C$2015,J$13,$D$18:$D$2015,"&gt;="&amp;J210,$D$18:$D$2015,"&lt;"&amp;J211))</f>
        <v/>
      </c>
      <c r="L210" s="14" t="n"/>
      <c r="M210" s="16" t="n"/>
      <c r="N210" s="124">
        <f>IF(M210="","",COUNTIFS($C$18:$C$2015,M$13,$D$18:$D$2015,"&gt;="&amp;M210,$D$18:$D$2015,"&lt;"&amp;M211))</f>
        <v/>
      </c>
      <c r="O210" s="14" t="n"/>
      <c r="P210" s="16" t="n"/>
      <c r="Q210" s="124">
        <f>IF(P210="","",COUNTIFS($C$18:$C$2015,P$13,$D$18:$D$2015,"&gt;="&amp;P210,$D$18:$D$2015,"&lt;"&amp;P211))</f>
        <v/>
      </c>
      <c r="R210" s="14" t="n"/>
      <c r="S210" s="16" t="n"/>
      <c r="T210" s="124">
        <f>IF(S210="","",COUNTIFS($C$18:$C$2015,S$13,$D$18:$D$2015,"&gt;="&amp;S210,$D$18:$D$2015,"&lt;"&amp;S211))</f>
        <v/>
      </c>
      <c r="U210" s="14" t="n"/>
      <c r="V210" s="16" t="n"/>
      <c r="W210" s="124">
        <f>IF(V210="","",COUNTIFS($C$18:$C$2015,V$13,$D$18:$D$2015,"&gt;="&amp;V210,$D$18:$D$2015,"&lt;"&amp;V211))</f>
        <v/>
      </c>
      <c r="X210" s="14" t="n"/>
      <c r="Y210" s="16" t="n"/>
      <c r="Z210" s="124">
        <f>IF(Y210="","",COUNTIFS($C$18:$C$2015,Y$13,$D$18:$D$2015,"&gt;="&amp;Y210,$D$18:$D$2015,"&lt;"&amp;Y211))</f>
        <v/>
      </c>
      <c r="AA210" s="14" t="n"/>
      <c r="AB210" s="16" t="n"/>
      <c r="AC210" s="124">
        <f>IF(AB210="","",COUNTIFS($C$18:$C$2015,AB$13,$D$18:$D$2015,"&gt;="&amp;AB210,$D$18:$D$2015,"&lt;"&amp;AB211))</f>
        <v/>
      </c>
      <c r="AD210" s="14" t="n"/>
    </row>
    <row r="211">
      <c r="A211" s="58" t="n"/>
      <c r="B211" s="59" t="n"/>
      <c r="C211" s="59" t="n"/>
      <c r="E211" s="16" t="n"/>
      <c r="F211" s="13" t="n"/>
      <c r="G211" s="16" t="n"/>
      <c r="H211" s="124">
        <f>IF(G211="","",COUNTIFS($C$18:$C$2015,G$13,$D$18:$D$2015,"&gt;="&amp;G211,$D$18:$D$2015,"&lt;"&amp;G212))</f>
        <v/>
      </c>
      <c r="I211" s="14" t="n"/>
      <c r="J211" s="16" t="n"/>
      <c r="K211" s="124">
        <f>IF(J211="","",COUNTIFS($C$18:$C$2015,J$13,$D$18:$D$2015,"&gt;="&amp;J211,$D$18:$D$2015,"&lt;"&amp;J212))</f>
        <v/>
      </c>
      <c r="L211" s="14" t="n"/>
      <c r="M211" s="16" t="n"/>
      <c r="N211" s="124">
        <f>IF(M211="","",COUNTIFS($C$18:$C$2015,M$13,$D$18:$D$2015,"&gt;="&amp;M211,$D$18:$D$2015,"&lt;"&amp;M212))</f>
        <v/>
      </c>
      <c r="O211" s="14" t="n"/>
      <c r="P211" s="16" t="n"/>
      <c r="Q211" s="124">
        <f>IF(P211="","",COUNTIFS($C$18:$C$2015,P$13,$D$18:$D$2015,"&gt;="&amp;P211,$D$18:$D$2015,"&lt;"&amp;P212))</f>
        <v/>
      </c>
      <c r="R211" s="14" t="n"/>
      <c r="S211" s="16" t="n"/>
      <c r="T211" s="124">
        <f>IF(S211="","",COUNTIFS($C$18:$C$2015,S$13,$D$18:$D$2015,"&gt;="&amp;S211,$D$18:$D$2015,"&lt;"&amp;S212))</f>
        <v/>
      </c>
      <c r="U211" s="14" t="n"/>
      <c r="V211" s="16" t="n"/>
      <c r="W211" s="124">
        <f>IF(V211="","",COUNTIFS($C$18:$C$2015,V$13,$D$18:$D$2015,"&gt;="&amp;V211,$D$18:$D$2015,"&lt;"&amp;V212))</f>
        <v/>
      </c>
      <c r="X211" s="14" t="n"/>
      <c r="Y211" s="16" t="n"/>
      <c r="Z211" s="124">
        <f>IF(Y211="","",COUNTIFS($C$18:$C$2015,Y$13,$D$18:$D$2015,"&gt;="&amp;Y211,$D$18:$D$2015,"&lt;"&amp;Y212))</f>
        <v/>
      </c>
      <c r="AA211" s="14" t="n"/>
      <c r="AB211" s="16" t="n"/>
      <c r="AC211" s="124">
        <f>IF(AB211="","",COUNTIFS($C$18:$C$2015,AB$13,$D$18:$D$2015,"&gt;="&amp;AB211,$D$18:$D$2015,"&lt;"&amp;AB212))</f>
        <v/>
      </c>
      <c r="AD211" s="14" t="n"/>
    </row>
    <row r="212">
      <c r="A212" s="56" t="n"/>
      <c r="B212" s="59" t="n"/>
      <c r="C212" s="59" t="n"/>
      <c r="E212" s="16" t="n"/>
      <c r="F212" s="13" t="n"/>
      <c r="G212" s="16" t="n"/>
      <c r="H212" s="124">
        <f>IF(G212="","",COUNTIFS($C$18:$C$2015,G$13,$D$18:$D$2015,"&gt;="&amp;G212,$D$18:$D$2015,"&lt;"&amp;G213))</f>
        <v/>
      </c>
      <c r="I212" s="14" t="n"/>
      <c r="J212" s="16" t="n"/>
      <c r="K212" s="124">
        <f>IF(J212="","",COUNTIFS($C$18:$C$2015,J$13,$D$18:$D$2015,"&gt;="&amp;J212,$D$18:$D$2015,"&lt;"&amp;J213))</f>
        <v/>
      </c>
      <c r="L212" s="14" t="n"/>
      <c r="M212" s="16" t="n"/>
      <c r="N212" s="124">
        <f>IF(M212="","",COUNTIFS($C$18:$C$2015,M$13,$D$18:$D$2015,"&gt;="&amp;M212,$D$18:$D$2015,"&lt;"&amp;M213))</f>
        <v/>
      </c>
      <c r="O212" s="14" t="n"/>
      <c r="P212" s="16" t="n"/>
      <c r="Q212" s="124">
        <f>IF(P212="","",COUNTIFS($C$18:$C$2015,P$13,$D$18:$D$2015,"&gt;="&amp;P212,$D$18:$D$2015,"&lt;"&amp;P213))</f>
        <v/>
      </c>
      <c r="R212" s="14" t="n"/>
      <c r="S212" s="16" t="n"/>
      <c r="T212" s="124">
        <f>IF(S212="","",COUNTIFS($C$18:$C$2015,S$13,$D$18:$D$2015,"&gt;="&amp;S212,$D$18:$D$2015,"&lt;"&amp;S213))</f>
        <v/>
      </c>
      <c r="U212" s="14" t="n"/>
      <c r="V212" s="16" t="n"/>
      <c r="W212" s="124">
        <f>IF(V212="","",COUNTIFS($C$18:$C$2015,V$13,$D$18:$D$2015,"&gt;="&amp;V212,$D$18:$D$2015,"&lt;"&amp;V213))</f>
        <v/>
      </c>
      <c r="X212" s="14" t="n"/>
      <c r="Y212" s="16" t="n"/>
      <c r="Z212" s="124">
        <f>IF(Y212="","",COUNTIFS($C$18:$C$2015,Y$13,$D$18:$D$2015,"&gt;="&amp;Y212,$D$18:$D$2015,"&lt;"&amp;Y213))</f>
        <v/>
      </c>
      <c r="AA212" s="14" t="n"/>
      <c r="AB212" s="16" t="n"/>
      <c r="AC212" s="124">
        <f>IF(AB212="","",COUNTIFS($C$18:$C$2015,AB$13,$D$18:$D$2015,"&gt;="&amp;AB212,$D$18:$D$2015,"&lt;"&amp;AB213))</f>
        <v/>
      </c>
      <c r="AD212" s="14" t="n"/>
    </row>
    <row r="213">
      <c r="A213" s="58" t="n"/>
      <c r="B213" s="59" t="n"/>
      <c r="C213" s="59" t="n"/>
      <c r="E213" s="16" t="n"/>
      <c r="F213" s="13" t="n"/>
      <c r="G213" s="16" t="n"/>
      <c r="H213" s="124">
        <f>IF(G213="","",COUNTIFS($C$18:$C$2015,G$13,$D$18:$D$2015,"&gt;="&amp;G213,$D$18:$D$2015,"&lt;"&amp;G214))</f>
        <v/>
      </c>
      <c r="I213" s="14" t="n"/>
      <c r="J213" s="16" t="n"/>
      <c r="K213" s="124">
        <f>IF(J213="","",COUNTIFS($C$18:$C$2015,J$13,$D$18:$D$2015,"&gt;="&amp;J213,$D$18:$D$2015,"&lt;"&amp;J214))</f>
        <v/>
      </c>
      <c r="L213" s="14" t="n"/>
      <c r="M213" s="16" t="n"/>
      <c r="N213" s="124">
        <f>IF(M213="","",COUNTIFS($C$18:$C$2015,M$13,$D$18:$D$2015,"&gt;="&amp;M213,$D$18:$D$2015,"&lt;"&amp;M214))</f>
        <v/>
      </c>
      <c r="O213" s="14" t="n"/>
      <c r="P213" s="16" t="n"/>
      <c r="Q213" s="124">
        <f>IF(P213="","",COUNTIFS($C$18:$C$2015,P$13,$D$18:$D$2015,"&gt;="&amp;P213,$D$18:$D$2015,"&lt;"&amp;P214))</f>
        <v/>
      </c>
      <c r="R213" s="14" t="n"/>
      <c r="S213" s="16" t="n"/>
      <c r="T213" s="124">
        <f>IF(S213="","",COUNTIFS($C$18:$C$2015,S$13,$D$18:$D$2015,"&gt;="&amp;S213,$D$18:$D$2015,"&lt;"&amp;S214))</f>
        <v/>
      </c>
      <c r="U213" s="14" t="n"/>
      <c r="V213" s="16" t="n"/>
      <c r="W213" s="124">
        <f>IF(V213="","",COUNTIFS($C$18:$C$2015,V$13,$D$18:$D$2015,"&gt;="&amp;V213,$D$18:$D$2015,"&lt;"&amp;V214))</f>
        <v/>
      </c>
      <c r="X213" s="14" t="n"/>
      <c r="Y213" s="16" t="n"/>
      <c r="Z213" s="124">
        <f>IF(Y213="","",COUNTIFS($C$18:$C$2015,Y$13,$D$18:$D$2015,"&gt;="&amp;Y213,$D$18:$D$2015,"&lt;"&amp;Y214))</f>
        <v/>
      </c>
      <c r="AA213" s="14" t="n"/>
      <c r="AB213" s="16" t="n"/>
      <c r="AC213" s="124">
        <f>IF(AB213="","",COUNTIFS($C$18:$C$2015,AB$13,$D$18:$D$2015,"&gt;="&amp;AB213,$D$18:$D$2015,"&lt;"&amp;AB214))</f>
        <v/>
      </c>
      <c r="AD213" s="14" t="n"/>
    </row>
    <row r="214">
      <c r="A214" s="56" t="n"/>
      <c r="B214" s="59" t="n"/>
      <c r="C214" s="59" t="n"/>
      <c r="E214" s="16" t="n"/>
      <c r="F214" s="13" t="n"/>
      <c r="G214" s="16" t="n"/>
      <c r="H214" s="124">
        <f>IF(G214="","",COUNTIFS($C$18:$C$2015,G$13,$D$18:$D$2015,"&gt;="&amp;G214,$D$18:$D$2015,"&lt;"&amp;G215))</f>
        <v/>
      </c>
      <c r="I214" s="14" t="n"/>
      <c r="J214" s="16" t="n"/>
      <c r="K214" s="124">
        <f>IF(J214="","",COUNTIFS($C$18:$C$2015,J$13,$D$18:$D$2015,"&gt;="&amp;J214,$D$18:$D$2015,"&lt;"&amp;J215))</f>
        <v/>
      </c>
      <c r="L214" s="14" t="n"/>
      <c r="M214" s="16" t="n"/>
      <c r="N214" s="124">
        <f>IF(M214="","",COUNTIFS($C$18:$C$2015,M$13,$D$18:$D$2015,"&gt;="&amp;M214,$D$18:$D$2015,"&lt;"&amp;M215))</f>
        <v/>
      </c>
      <c r="O214" s="14" t="n"/>
      <c r="P214" s="16" t="n"/>
      <c r="Q214" s="124">
        <f>IF(P214="","",COUNTIFS($C$18:$C$2015,P$13,$D$18:$D$2015,"&gt;="&amp;P214,$D$18:$D$2015,"&lt;"&amp;P215))</f>
        <v/>
      </c>
      <c r="R214" s="14" t="n"/>
      <c r="S214" s="16" t="n"/>
      <c r="T214" s="124">
        <f>IF(S214="","",COUNTIFS($C$18:$C$2015,S$13,$D$18:$D$2015,"&gt;="&amp;S214,$D$18:$D$2015,"&lt;"&amp;S215))</f>
        <v/>
      </c>
      <c r="U214" s="14" t="n"/>
      <c r="V214" s="16" t="n"/>
      <c r="W214" s="124">
        <f>IF(V214="","",COUNTIFS($C$18:$C$2015,V$13,$D$18:$D$2015,"&gt;="&amp;V214,$D$18:$D$2015,"&lt;"&amp;V215))</f>
        <v/>
      </c>
      <c r="X214" s="14" t="n"/>
      <c r="Y214" s="16" t="n"/>
      <c r="Z214" s="124">
        <f>IF(Y214="","",COUNTIFS($C$18:$C$2015,Y$13,$D$18:$D$2015,"&gt;="&amp;Y214,$D$18:$D$2015,"&lt;"&amp;Y215))</f>
        <v/>
      </c>
      <c r="AA214" s="14" t="n"/>
      <c r="AB214" s="16" t="n"/>
      <c r="AC214" s="124">
        <f>IF(AB214="","",COUNTIFS($C$18:$C$2015,AB$13,$D$18:$D$2015,"&gt;="&amp;AB214,$D$18:$D$2015,"&lt;"&amp;AB215))</f>
        <v/>
      </c>
      <c r="AD214" s="14" t="n"/>
    </row>
    <row r="215">
      <c r="A215" s="58" t="n"/>
      <c r="B215" s="59" t="n"/>
      <c r="C215" s="59" t="n"/>
      <c r="E215" s="16" t="n"/>
      <c r="F215" s="13" t="n"/>
      <c r="G215" s="16" t="n"/>
      <c r="H215" s="124">
        <f>IF(G215="","",COUNTIFS($C$18:$C$2015,G$13,$D$18:$D$2015,"&gt;="&amp;G215,$D$18:$D$2015,"&lt;"&amp;G216))</f>
        <v/>
      </c>
      <c r="I215" s="14" t="n"/>
      <c r="J215" s="16" t="n"/>
      <c r="K215" s="124">
        <f>IF(J215="","",COUNTIFS($C$18:$C$2015,J$13,$D$18:$D$2015,"&gt;="&amp;J215,$D$18:$D$2015,"&lt;"&amp;J216))</f>
        <v/>
      </c>
      <c r="L215" s="14" t="n"/>
      <c r="M215" s="16" t="n"/>
      <c r="N215" s="124">
        <f>IF(M215="","",COUNTIFS($C$18:$C$2015,M$13,$D$18:$D$2015,"&gt;="&amp;M215,$D$18:$D$2015,"&lt;"&amp;M216))</f>
        <v/>
      </c>
      <c r="O215" s="14" t="n"/>
      <c r="P215" s="16" t="n"/>
      <c r="Q215" s="124">
        <f>IF(P215="","",COUNTIFS($C$18:$C$2015,P$13,$D$18:$D$2015,"&gt;="&amp;P215,$D$18:$D$2015,"&lt;"&amp;P216))</f>
        <v/>
      </c>
      <c r="R215" s="14" t="n"/>
      <c r="S215" s="16" t="n"/>
      <c r="T215" s="124">
        <f>IF(S215="","",COUNTIFS($C$18:$C$2015,S$13,$D$18:$D$2015,"&gt;="&amp;S215,$D$18:$D$2015,"&lt;"&amp;S216))</f>
        <v/>
      </c>
      <c r="U215" s="14" t="n"/>
      <c r="V215" s="16" t="n"/>
      <c r="W215" s="124">
        <f>IF(V215="","",COUNTIFS($C$18:$C$2015,V$13,$D$18:$D$2015,"&gt;="&amp;V215,$D$18:$D$2015,"&lt;"&amp;V216))</f>
        <v/>
      </c>
      <c r="X215" s="14" t="n"/>
      <c r="Y215" s="16" t="n"/>
      <c r="Z215" s="124">
        <f>IF(Y215="","",COUNTIFS($C$18:$C$2015,Y$13,$D$18:$D$2015,"&gt;="&amp;Y215,$D$18:$D$2015,"&lt;"&amp;Y216))</f>
        <v/>
      </c>
      <c r="AA215" s="14" t="n"/>
      <c r="AB215" s="16" t="n"/>
      <c r="AC215" s="124">
        <f>IF(AB215="","",COUNTIFS($C$18:$C$2015,AB$13,$D$18:$D$2015,"&gt;="&amp;AB215,$D$18:$D$2015,"&lt;"&amp;AB216))</f>
        <v/>
      </c>
      <c r="AD215" s="14" t="n"/>
    </row>
    <row r="216">
      <c r="A216" s="56" t="n"/>
      <c r="B216" s="59" t="n"/>
      <c r="C216" s="59" t="n"/>
      <c r="E216" s="16" t="n"/>
      <c r="F216" s="13" t="n"/>
      <c r="G216" s="16" t="n"/>
      <c r="H216" s="124">
        <f>IF(G216="","",COUNTIFS($C$18:$C$2015,G$13,$D$18:$D$2015,"&gt;="&amp;G216,$D$18:$D$2015,"&lt;"&amp;G217))</f>
        <v/>
      </c>
      <c r="I216" s="14" t="n"/>
      <c r="J216" s="16" t="n"/>
      <c r="K216" s="124">
        <f>IF(J216="","",COUNTIFS($C$18:$C$2015,J$13,$D$18:$D$2015,"&gt;="&amp;J216,$D$18:$D$2015,"&lt;"&amp;J217))</f>
        <v/>
      </c>
      <c r="L216" s="14" t="n"/>
      <c r="M216" s="16" t="n"/>
      <c r="N216" s="124">
        <f>IF(M216="","",COUNTIFS($C$18:$C$2015,M$13,$D$18:$D$2015,"&gt;="&amp;M216,$D$18:$D$2015,"&lt;"&amp;M217))</f>
        <v/>
      </c>
      <c r="O216" s="14" t="n"/>
      <c r="P216" s="16" t="n"/>
      <c r="Q216" s="124">
        <f>IF(P216="","",COUNTIFS($C$18:$C$2015,P$13,$D$18:$D$2015,"&gt;="&amp;P216,$D$18:$D$2015,"&lt;"&amp;P217))</f>
        <v/>
      </c>
      <c r="R216" s="14" t="n"/>
      <c r="S216" s="16" t="n"/>
      <c r="T216" s="124">
        <f>IF(S216="","",COUNTIFS($C$18:$C$2015,S$13,$D$18:$D$2015,"&gt;="&amp;S216,$D$18:$D$2015,"&lt;"&amp;S217))</f>
        <v/>
      </c>
      <c r="U216" s="14" t="n"/>
      <c r="V216" s="16" t="n"/>
      <c r="W216" s="124">
        <f>IF(V216="","",COUNTIFS($C$18:$C$2015,V$13,$D$18:$D$2015,"&gt;="&amp;V216,$D$18:$D$2015,"&lt;"&amp;V217))</f>
        <v/>
      </c>
      <c r="X216" s="14" t="n"/>
      <c r="Y216" s="16" t="n"/>
      <c r="Z216" s="124">
        <f>IF(Y216="","",COUNTIFS($C$18:$C$2015,Y$13,$D$18:$D$2015,"&gt;="&amp;Y216,$D$18:$D$2015,"&lt;"&amp;Y217))</f>
        <v/>
      </c>
      <c r="AA216" s="14" t="n"/>
      <c r="AB216" s="16" t="n"/>
      <c r="AC216" s="124">
        <f>IF(AB216="","",COUNTIFS($C$18:$C$2015,AB$13,$D$18:$D$2015,"&gt;="&amp;AB216,$D$18:$D$2015,"&lt;"&amp;AB217))</f>
        <v/>
      </c>
      <c r="AD216" s="14" t="n"/>
    </row>
    <row r="217">
      <c r="A217" s="58" t="n"/>
      <c r="B217" s="59" t="n"/>
      <c r="C217" s="59" t="n"/>
      <c r="E217" s="16" t="n"/>
      <c r="F217" s="13" t="n"/>
      <c r="G217" s="16" t="n"/>
      <c r="H217" s="124">
        <f>IF(G217="","",COUNTIFS($C$18:$C$2015,G$13,$D$18:$D$2015,"&gt;="&amp;G217,$D$18:$D$2015,"&lt;"&amp;G218))</f>
        <v/>
      </c>
      <c r="I217" s="14" t="n"/>
      <c r="J217" s="16" t="n"/>
      <c r="K217" s="124">
        <f>IF(J217="","",COUNTIFS($C$18:$C$2015,J$13,$D$18:$D$2015,"&gt;="&amp;J217,$D$18:$D$2015,"&lt;"&amp;J218))</f>
        <v/>
      </c>
      <c r="L217" s="14" t="n"/>
      <c r="M217" s="16" t="n"/>
      <c r="N217" s="124">
        <f>IF(M217="","",COUNTIFS($C$18:$C$2015,M$13,$D$18:$D$2015,"&gt;="&amp;M217,$D$18:$D$2015,"&lt;"&amp;M218))</f>
        <v/>
      </c>
      <c r="O217" s="14" t="n"/>
      <c r="P217" s="16" t="n"/>
      <c r="Q217" s="124">
        <f>IF(P217="","",COUNTIFS($C$18:$C$2015,P$13,$D$18:$D$2015,"&gt;="&amp;P217,$D$18:$D$2015,"&lt;"&amp;P218))</f>
        <v/>
      </c>
      <c r="R217" s="14" t="n"/>
      <c r="S217" s="16" t="n"/>
      <c r="T217" s="124">
        <f>IF(S217="","",COUNTIFS($C$18:$C$2015,S$13,$D$18:$D$2015,"&gt;="&amp;S217,$D$18:$D$2015,"&lt;"&amp;S218))</f>
        <v/>
      </c>
      <c r="U217" s="14" t="n"/>
      <c r="V217" s="16" t="n"/>
      <c r="W217" s="124">
        <f>IF(V217="","",COUNTIFS($C$18:$C$2015,V$13,$D$18:$D$2015,"&gt;="&amp;V217,$D$18:$D$2015,"&lt;"&amp;V218))</f>
        <v/>
      </c>
      <c r="X217" s="14" t="n"/>
      <c r="Y217" s="16" t="n"/>
      <c r="Z217" s="124">
        <f>IF(Y217="","",COUNTIFS($C$18:$C$2015,Y$13,$D$18:$D$2015,"&gt;="&amp;Y217,$D$18:$D$2015,"&lt;"&amp;Y218))</f>
        <v/>
      </c>
      <c r="AA217" s="14" t="n"/>
      <c r="AB217" s="16" t="n"/>
      <c r="AC217" s="124">
        <f>IF(AB217="","",COUNTIFS($C$18:$C$2015,AB$13,$D$18:$D$2015,"&gt;="&amp;AB217,$D$18:$D$2015,"&lt;"&amp;AB218))</f>
        <v/>
      </c>
      <c r="AD217" s="14" t="n"/>
    </row>
    <row r="218">
      <c r="A218" s="56" t="n"/>
      <c r="B218" s="59" t="n"/>
      <c r="C218" s="59" t="n"/>
      <c r="E218" s="16" t="n"/>
      <c r="F218" s="13" t="n"/>
      <c r="G218" s="16" t="n"/>
      <c r="H218" s="124">
        <f>IF(G218="","",COUNTIFS($C$18:$C$2015,G$13,$D$18:$D$2015,"&gt;="&amp;G218,$D$18:$D$2015,"&lt;"&amp;G219))</f>
        <v/>
      </c>
      <c r="I218" s="14" t="n"/>
      <c r="J218" s="16" t="n"/>
      <c r="K218" s="124">
        <f>IF(J218="","",COUNTIFS($C$18:$C$2015,J$13,$D$18:$D$2015,"&gt;="&amp;J218,$D$18:$D$2015,"&lt;"&amp;J219))</f>
        <v/>
      </c>
      <c r="L218" s="14" t="n"/>
      <c r="M218" s="16" t="n"/>
      <c r="N218" s="124">
        <f>IF(M218="","",COUNTIFS($C$18:$C$2015,M$13,$D$18:$D$2015,"&gt;="&amp;M218,$D$18:$D$2015,"&lt;"&amp;M219))</f>
        <v/>
      </c>
      <c r="O218" s="14" t="n"/>
      <c r="P218" s="16" t="n"/>
      <c r="Q218" s="124">
        <f>IF(P218="","",COUNTIFS($C$18:$C$2015,P$13,$D$18:$D$2015,"&gt;="&amp;P218,$D$18:$D$2015,"&lt;"&amp;P219))</f>
        <v/>
      </c>
      <c r="R218" s="14" t="n"/>
      <c r="S218" s="16" t="n"/>
      <c r="T218" s="124">
        <f>IF(S218="","",COUNTIFS($C$18:$C$2015,S$13,$D$18:$D$2015,"&gt;="&amp;S218,$D$18:$D$2015,"&lt;"&amp;S219))</f>
        <v/>
      </c>
      <c r="U218" s="14" t="n"/>
      <c r="V218" s="16" t="n"/>
      <c r="W218" s="124">
        <f>IF(V218="","",COUNTIFS($C$18:$C$2015,V$13,$D$18:$D$2015,"&gt;="&amp;V218,$D$18:$D$2015,"&lt;"&amp;V219))</f>
        <v/>
      </c>
      <c r="X218" s="14" t="n"/>
      <c r="Y218" s="16" t="n"/>
      <c r="Z218" s="124">
        <f>IF(Y218="","",COUNTIFS($C$18:$C$2015,Y$13,$D$18:$D$2015,"&gt;="&amp;Y218,$D$18:$D$2015,"&lt;"&amp;Y219))</f>
        <v/>
      </c>
      <c r="AA218" s="14" t="n"/>
      <c r="AB218" s="16" t="n"/>
      <c r="AC218" s="124">
        <f>IF(AB218="","",COUNTIFS($C$18:$C$2015,AB$13,$D$18:$D$2015,"&gt;="&amp;AB218,$D$18:$D$2015,"&lt;"&amp;AB219))</f>
        <v/>
      </c>
      <c r="AD218" s="14" t="n"/>
    </row>
    <row r="219">
      <c r="A219" s="58" t="n"/>
      <c r="B219" s="59" t="n"/>
      <c r="C219" s="59" t="n"/>
      <c r="E219" s="16" t="n"/>
      <c r="F219" s="13" t="n"/>
      <c r="G219" s="16" t="n"/>
      <c r="H219" s="124">
        <f>IF(G219="","",COUNTIFS($C$18:$C$2015,G$13,$D$18:$D$2015,"&gt;="&amp;G219,$D$18:$D$2015,"&lt;"&amp;G220))</f>
        <v/>
      </c>
      <c r="I219" s="14" t="n"/>
      <c r="J219" s="16" t="n"/>
      <c r="K219" s="124">
        <f>IF(J219="","",COUNTIFS($C$18:$C$2015,J$13,$D$18:$D$2015,"&gt;="&amp;J219,$D$18:$D$2015,"&lt;"&amp;J220))</f>
        <v/>
      </c>
      <c r="L219" s="14" t="n"/>
      <c r="M219" s="16" t="n"/>
      <c r="N219" s="124">
        <f>IF(M219="","",COUNTIFS($C$18:$C$2015,M$13,$D$18:$D$2015,"&gt;="&amp;M219,$D$18:$D$2015,"&lt;"&amp;M220))</f>
        <v/>
      </c>
      <c r="O219" s="14" t="n"/>
      <c r="P219" s="16" t="n"/>
      <c r="Q219" s="124">
        <f>IF(P219="","",COUNTIFS($C$18:$C$2015,P$13,$D$18:$D$2015,"&gt;="&amp;P219,$D$18:$D$2015,"&lt;"&amp;P220))</f>
        <v/>
      </c>
      <c r="R219" s="14" t="n"/>
      <c r="S219" s="16" t="n"/>
      <c r="T219" s="124">
        <f>IF(S219="","",COUNTIFS($C$18:$C$2015,S$13,$D$18:$D$2015,"&gt;="&amp;S219,$D$18:$D$2015,"&lt;"&amp;S220))</f>
        <v/>
      </c>
      <c r="U219" s="14" t="n"/>
      <c r="V219" s="16" t="n"/>
      <c r="W219" s="124">
        <f>IF(V219="","",COUNTIFS($C$18:$C$2015,V$13,$D$18:$D$2015,"&gt;="&amp;V219,$D$18:$D$2015,"&lt;"&amp;V220))</f>
        <v/>
      </c>
      <c r="X219" s="14" t="n"/>
      <c r="Y219" s="16" t="n"/>
      <c r="Z219" s="124">
        <f>IF(Y219="","",COUNTIFS($C$18:$C$2015,Y$13,$D$18:$D$2015,"&gt;="&amp;Y219,$D$18:$D$2015,"&lt;"&amp;Y220))</f>
        <v/>
      </c>
      <c r="AA219" s="14" t="n"/>
      <c r="AB219" s="16" t="n"/>
      <c r="AC219" s="124">
        <f>IF(AB219="","",COUNTIFS($C$18:$C$2015,AB$13,$D$18:$D$2015,"&gt;="&amp;AB219,$D$18:$D$2015,"&lt;"&amp;AB220))</f>
        <v/>
      </c>
      <c r="AD219" s="14" t="n"/>
    </row>
    <row r="220">
      <c r="A220" s="56" t="n"/>
      <c r="B220" s="59" t="n"/>
      <c r="C220" s="59" t="n"/>
      <c r="E220" s="16" t="n"/>
      <c r="F220" s="13" t="n"/>
      <c r="G220" s="16" t="n"/>
      <c r="H220" s="124">
        <f>IF(G220="","",COUNTIFS($C$18:$C$2015,G$13,$D$18:$D$2015,"&gt;="&amp;G220,$D$18:$D$2015,"&lt;"&amp;G221))</f>
        <v/>
      </c>
      <c r="I220" s="14" t="n"/>
      <c r="J220" s="16" t="n"/>
      <c r="K220" s="124">
        <f>IF(J220="","",COUNTIFS($C$18:$C$2015,J$13,$D$18:$D$2015,"&gt;="&amp;J220,$D$18:$D$2015,"&lt;"&amp;J221))</f>
        <v/>
      </c>
      <c r="L220" s="14" t="n"/>
      <c r="M220" s="16" t="n"/>
      <c r="N220" s="124">
        <f>IF(M220="","",COUNTIFS($C$18:$C$2015,M$13,$D$18:$D$2015,"&gt;="&amp;M220,$D$18:$D$2015,"&lt;"&amp;M221))</f>
        <v/>
      </c>
      <c r="O220" s="14" t="n"/>
      <c r="P220" s="16" t="n"/>
      <c r="Q220" s="124">
        <f>IF(P220="","",COUNTIFS($C$18:$C$2015,P$13,$D$18:$D$2015,"&gt;="&amp;P220,$D$18:$D$2015,"&lt;"&amp;P221))</f>
        <v/>
      </c>
      <c r="R220" s="14" t="n"/>
      <c r="S220" s="16" t="n"/>
      <c r="T220" s="124">
        <f>IF(S220="","",COUNTIFS($C$18:$C$2015,S$13,$D$18:$D$2015,"&gt;="&amp;S220,$D$18:$D$2015,"&lt;"&amp;S221))</f>
        <v/>
      </c>
      <c r="U220" s="14" t="n"/>
      <c r="V220" s="16" t="n"/>
      <c r="W220" s="124">
        <f>IF(V220="","",COUNTIFS($C$18:$C$2015,V$13,$D$18:$D$2015,"&gt;="&amp;V220,$D$18:$D$2015,"&lt;"&amp;V221))</f>
        <v/>
      </c>
      <c r="X220" s="14" t="n"/>
      <c r="Y220" s="16" t="n"/>
      <c r="Z220" s="124">
        <f>IF(Y220="","",COUNTIFS($C$18:$C$2015,Y$13,$D$18:$D$2015,"&gt;="&amp;Y220,$D$18:$D$2015,"&lt;"&amp;Y221))</f>
        <v/>
      </c>
      <c r="AA220" s="14" t="n"/>
      <c r="AB220" s="16" t="n"/>
      <c r="AC220" s="124">
        <f>IF(AB220="","",COUNTIFS($C$18:$C$2015,AB$13,$D$18:$D$2015,"&gt;="&amp;AB220,$D$18:$D$2015,"&lt;"&amp;AB221))</f>
        <v/>
      </c>
      <c r="AD220" s="14" t="n"/>
    </row>
    <row r="221">
      <c r="A221" s="58" t="n"/>
      <c r="B221" s="59" t="n"/>
      <c r="C221" s="59" t="n"/>
      <c r="E221" s="16" t="n"/>
      <c r="F221" s="13" t="n"/>
      <c r="G221" s="16" t="n"/>
      <c r="H221" s="124">
        <f>IF(G221="","",COUNTIFS($C$18:$C$2015,G$13,$D$18:$D$2015,"&gt;="&amp;G221,$D$18:$D$2015,"&lt;"&amp;G222))</f>
        <v/>
      </c>
      <c r="I221" s="14" t="n"/>
      <c r="J221" s="16" t="n"/>
      <c r="K221" s="124">
        <f>IF(J221="","",COUNTIFS($C$18:$C$2015,J$13,$D$18:$D$2015,"&gt;="&amp;J221,$D$18:$D$2015,"&lt;"&amp;J222))</f>
        <v/>
      </c>
      <c r="L221" s="14" t="n"/>
      <c r="M221" s="16" t="n"/>
      <c r="N221" s="124">
        <f>IF(M221="","",COUNTIFS($C$18:$C$2015,M$13,$D$18:$D$2015,"&gt;="&amp;M221,$D$18:$D$2015,"&lt;"&amp;M222))</f>
        <v/>
      </c>
      <c r="O221" s="14" t="n"/>
      <c r="P221" s="16" t="n"/>
      <c r="Q221" s="124">
        <f>IF(P221="","",COUNTIFS($C$18:$C$2015,P$13,$D$18:$D$2015,"&gt;="&amp;P221,$D$18:$D$2015,"&lt;"&amp;P222))</f>
        <v/>
      </c>
      <c r="R221" s="14" t="n"/>
      <c r="S221" s="16" t="n"/>
      <c r="T221" s="124">
        <f>IF(S221="","",COUNTIFS($C$18:$C$2015,S$13,$D$18:$D$2015,"&gt;="&amp;S221,$D$18:$D$2015,"&lt;"&amp;S222))</f>
        <v/>
      </c>
      <c r="U221" s="14" t="n"/>
      <c r="V221" s="16" t="n"/>
      <c r="W221" s="124">
        <f>IF(V221="","",COUNTIFS($C$18:$C$2015,V$13,$D$18:$D$2015,"&gt;="&amp;V221,$D$18:$D$2015,"&lt;"&amp;V222))</f>
        <v/>
      </c>
      <c r="X221" s="14" t="n"/>
      <c r="Y221" s="16" t="n"/>
      <c r="Z221" s="124">
        <f>IF(Y221="","",COUNTIFS($C$18:$C$2015,Y$13,$D$18:$D$2015,"&gt;="&amp;Y221,$D$18:$D$2015,"&lt;"&amp;Y222))</f>
        <v/>
      </c>
      <c r="AA221" s="14" t="n"/>
      <c r="AB221" s="16" t="n"/>
      <c r="AC221" s="124">
        <f>IF(AB221="","",COUNTIFS($C$18:$C$2015,AB$13,$D$18:$D$2015,"&gt;="&amp;AB221,$D$18:$D$2015,"&lt;"&amp;AB222))</f>
        <v/>
      </c>
      <c r="AD221" s="14" t="n"/>
    </row>
    <row r="222">
      <c r="A222" s="56" t="n"/>
      <c r="B222" s="59" t="n"/>
      <c r="C222" s="59" t="n"/>
      <c r="E222" s="16" t="n"/>
      <c r="F222" s="13" t="n"/>
      <c r="G222" s="16" t="n"/>
      <c r="H222" s="124">
        <f>IF(G222="","",COUNTIFS($C$18:$C$2015,G$13,$D$18:$D$2015,"&gt;="&amp;G222,$D$18:$D$2015,"&lt;"&amp;G223))</f>
        <v/>
      </c>
      <c r="I222" s="14" t="n"/>
      <c r="J222" s="16" t="n"/>
      <c r="K222" s="124">
        <f>IF(J222="","",COUNTIFS($C$18:$C$2015,J$13,$D$18:$D$2015,"&gt;="&amp;J222,$D$18:$D$2015,"&lt;"&amp;J223))</f>
        <v/>
      </c>
      <c r="L222" s="14" t="n"/>
      <c r="M222" s="16" t="n"/>
      <c r="N222" s="124">
        <f>IF(M222="","",COUNTIFS($C$18:$C$2015,M$13,$D$18:$D$2015,"&gt;="&amp;M222,$D$18:$D$2015,"&lt;"&amp;M223))</f>
        <v/>
      </c>
      <c r="O222" s="14" t="n"/>
      <c r="P222" s="16" t="n"/>
      <c r="Q222" s="124">
        <f>IF(P222="","",COUNTIFS($C$18:$C$2015,P$13,$D$18:$D$2015,"&gt;="&amp;P222,$D$18:$D$2015,"&lt;"&amp;P223))</f>
        <v/>
      </c>
      <c r="R222" s="14" t="n"/>
      <c r="S222" s="16" t="n"/>
      <c r="T222" s="124">
        <f>IF(S222="","",COUNTIFS($C$18:$C$2015,S$13,$D$18:$D$2015,"&gt;="&amp;S222,$D$18:$D$2015,"&lt;"&amp;S223))</f>
        <v/>
      </c>
      <c r="U222" s="14" t="n"/>
      <c r="V222" s="16" t="n"/>
      <c r="W222" s="124">
        <f>IF(V222="","",COUNTIFS($C$18:$C$2015,V$13,$D$18:$D$2015,"&gt;="&amp;V222,$D$18:$D$2015,"&lt;"&amp;V223))</f>
        <v/>
      </c>
      <c r="X222" s="14" t="n"/>
      <c r="Y222" s="16" t="n"/>
      <c r="Z222" s="124">
        <f>IF(Y222="","",COUNTIFS($C$18:$C$2015,Y$13,$D$18:$D$2015,"&gt;="&amp;Y222,$D$18:$D$2015,"&lt;"&amp;Y223))</f>
        <v/>
      </c>
      <c r="AA222" s="14" t="n"/>
      <c r="AB222" s="16" t="n"/>
      <c r="AC222" s="124">
        <f>IF(AB222="","",COUNTIFS($C$18:$C$2015,AB$13,$D$18:$D$2015,"&gt;="&amp;AB222,$D$18:$D$2015,"&lt;"&amp;AB223))</f>
        <v/>
      </c>
      <c r="AD222" s="14" t="n"/>
    </row>
    <row r="223">
      <c r="A223" s="58" t="n"/>
      <c r="B223" s="59" t="n"/>
      <c r="C223" s="59" t="n"/>
      <c r="E223" s="16" t="n"/>
      <c r="F223" s="13" t="n"/>
      <c r="G223" s="16" t="n"/>
      <c r="H223" s="124">
        <f>IF(G223="","",COUNTIFS($C$18:$C$2015,G$13,$D$18:$D$2015,"&gt;="&amp;G223,$D$18:$D$2015,"&lt;"&amp;G224))</f>
        <v/>
      </c>
      <c r="I223" s="14" t="n"/>
      <c r="J223" s="16" t="n"/>
      <c r="K223" s="124">
        <f>IF(J223="","",COUNTIFS($C$18:$C$2015,J$13,$D$18:$D$2015,"&gt;="&amp;J223,$D$18:$D$2015,"&lt;"&amp;J224))</f>
        <v/>
      </c>
      <c r="L223" s="14" t="n"/>
      <c r="M223" s="16" t="n"/>
      <c r="N223" s="124">
        <f>IF(M223="","",COUNTIFS($C$18:$C$2015,M$13,$D$18:$D$2015,"&gt;="&amp;M223,$D$18:$D$2015,"&lt;"&amp;M224))</f>
        <v/>
      </c>
      <c r="O223" s="14" t="n"/>
      <c r="P223" s="16" t="n"/>
      <c r="Q223" s="124">
        <f>IF(P223="","",COUNTIFS($C$18:$C$2015,P$13,$D$18:$D$2015,"&gt;="&amp;P223,$D$18:$D$2015,"&lt;"&amp;P224))</f>
        <v/>
      </c>
      <c r="R223" s="14" t="n"/>
      <c r="S223" s="16" t="n"/>
      <c r="T223" s="124">
        <f>IF(S223="","",COUNTIFS($C$18:$C$2015,S$13,$D$18:$D$2015,"&gt;="&amp;S223,$D$18:$D$2015,"&lt;"&amp;S224))</f>
        <v/>
      </c>
      <c r="U223" s="14" t="n"/>
      <c r="V223" s="16" t="n"/>
      <c r="W223" s="124">
        <f>IF(V223="","",COUNTIFS($C$18:$C$2015,V$13,$D$18:$D$2015,"&gt;="&amp;V223,$D$18:$D$2015,"&lt;"&amp;V224))</f>
        <v/>
      </c>
      <c r="X223" s="14" t="n"/>
      <c r="Y223" s="16" t="n"/>
      <c r="Z223" s="124">
        <f>IF(Y223="","",COUNTIFS($C$18:$C$2015,Y$13,$D$18:$D$2015,"&gt;="&amp;Y223,$D$18:$D$2015,"&lt;"&amp;Y224))</f>
        <v/>
      </c>
      <c r="AA223" s="14" t="n"/>
      <c r="AB223" s="16" t="n"/>
      <c r="AC223" s="124">
        <f>IF(AB223="","",COUNTIFS($C$18:$C$2015,AB$13,$D$18:$D$2015,"&gt;="&amp;AB223,$D$18:$D$2015,"&lt;"&amp;AB224))</f>
        <v/>
      </c>
      <c r="AD223" s="14" t="n"/>
    </row>
    <row r="224">
      <c r="A224" s="56" t="n"/>
      <c r="B224" s="59" t="n"/>
      <c r="C224" s="59" t="n"/>
      <c r="E224" s="16" t="n"/>
      <c r="F224" s="13" t="n"/>
      <c r="G224" s="16" t="n"/>
      <c r="H224" s="124">
        <f>IF(G224="","",COUNTIFS($C$18:$C$2015,G$13,$D$18:$D$2015,"&gt;="&amp;G224,$D$18:$D$2015,"&lt;"&amp;G225))</f>
        <v/>
      </c>
      <c r="I224" s="14" t="n"/>
      <c r="J224" s="16" t="n"/>
      <c r="K224" s="124">
        <f>IF(J224="","",COUNTIFS($C$18:$C$2015,J$13,$D$18:$D$2015,"&gt;="&amp;J224,$D$18:$D$2015,"&lt;"&amp;J225))</f>
        <v/>
      </c>
      <c r="L224" s="14" t="n"/>
      <c r="M224" s="16" t="n"/>
      <c r="N224" s="124">
        <f>IF(M224="","",COUNTIFS($C$18:$C$2015,M$13,$D$18:$D$2015,"&gt;="&amp;M224,$D$18:$D$2015,"&lt;"&amp;M225))</f>
        <v/>
      </c>
      <c r="O224" s="14" t="n"/>
      <c r="P224" s="16" t="n"/>
      <c r="Q224" s="124">
        <f>IF(P224="","",COUNTIFS($C$18:$C$2015,P$13,$D$18:$D$2015,"&gt;="&amp;P224,$D$18:$D$2015,"&lt;"&amp;P225))</f>
        <v/>
      </c>
      <c r="R224" s="14" t="n"/>
      <c r="S224" s="16" t="n"/>
      <c r="T224" s="124">
        <f>IF(S224="","",COUNTIFS($C$18:$C$2015,S$13,$D$18:$D$2015,"&gt;="&amp;S224,$D$18:$D$2015,"&lt;"&amp;S225))</f>
        <v/>
      </c>
      <c r="U224" s="14" t="n"/>
      <c r="V224" s="16" t="n"/>
      <c r="W224" s="124">
        <f>IF(V224="","",COUNTIFS($C$18:$C$2015,V$13,$D$18:$D$2015,"&gt;="&amp;V224,$D$18:$D$2015,"&lt;"&amp;V225))</f>
        <v/>
      </c>
      <c r="X224" s="14" t="n"/>
      <c r="Y224" s="16" t="n"/>
      <c r="Z224" s="124">
        <f>IF(Y224="","",COUNTIFS($C$18:$C$2015,Y$13,$D$18:$D$2015,"&gt;="&amp;Y224,$D$18:$D$2015,"&lt;"&amp;Y225))</f>
        <v/>
      </c>
      <c r="AA224" s="14" t="n"/>
      <c r="AB224" s="16" t="n"/>
      <c r="AC224" s="124">
        <f>IF(AB224="","",COUNTIFS($C$18:$C$2015,AB$13,$D$18:$D$2015,"&gt;="&amp;AB224,$D$18:$D$2015,"&lt;"&amp;AB225))</f>
        <v/>
      </c>
      <c r="AD224" s="14" t="n"/>
    </row>
    <row r="225">
      <c r="A225" s="58" t="n"/>
      <c r="B225" s="59" t="n"/>
      <c r="C225" s="59" t="n"/>
      <c r="E225" s="16" t="n"/>
      <c r="F225" s="13" t="n"/>
      <c r="G225" s="16" t="n"/>
      <c r="H225" s="124">
        <f>IF(G225="","",COUNTIFS($C$18:$C$2015,G$13,$D$18:$D$2015,"&gt;="&amp;G225,$D$18:$D$2015,"&lt;"&amp;G226))</f>
        <v/>
      </c>
      <c r="I225" s="14" t="n"/>
      <c r="J225" s="16" t="n"/>
      <c r="K225" s="124">
        <f>IF(J225="","",COUNTIFS($C$18:$C$2015,J$13,$D$18:$D$2015,"&gt;="&amp;J225,$D$18:$D$2015,"&lt;"&amp;J226))</f>
        <v/>
      </c>
      <c r="L225" s="14" t="n"/>
      <c r="M225" s="16" t="n"/>
      <c r="N225" s="124">
        <f>IF(M225="","",COUNTIFS($C$18:$C$2015,M$13,$D$18:$D$2015,"&gt;="&amp;M225,$D$18:$D$2015,"&lt;"&amp;M226))</f>
        <v/>
      </c>
      <c r="O225" s="14" t="n"/>
      <c r="P225" s="16" t="n"/>
      <c r="Q225" s="124">
        <f>IF(P225="","",COUNTIFS($C$18:$C$2015,P$13,$D$18:$D$2015,"&gt;="&amp;P225,$D$18:$D$2015,"&lt;"&amp;P226))</f>
        <v/>
      </c>
      <c r="R225" s="14" t="n"/>
      <c r="S225" s="16" t="n"/>
      <c r="T225" s="124">
        <f>IF(S225="","",COUNTIFS($C$18:$C$2015,S$13,$D$18:$D$2015,"&gt;="&amp;S225,$D$18:$D$2015,"&lt;"&amp;S226))</f>
        <v/>
      </c>
      <c r="U225" s="14" t="n"/>
      <c r="V225" s="16" t="n"/>
      <c r="W225" s="124">
        <f>IF(V225="","",COUNTIFS($C$18:$C$2015,V$13,$D$18:$D$2015,"&gt;="&amp;V225,$D$18:$D$2015,"&lt;"&amp;V226))</f>
        <v/>
      </c>
      <c r="X225" s="14" t="n"/>
      <c r="Y225" s="16" t="n"/>
      <c r="Z225" s="124">
        <f>IF(Y225="","",COUNTIFS($C$18:$C$2015,Y$13,$D$18:$D$2015,"&gt;="&amp;Y225,$D$18:$D$2015,"&lt;"&amp;Y226))</f>
        <v/>
      </c>
      <c r="AA225" s="14" t="n"/>
      <c r="AB225" s="16" t="n"/>
      <c r="AC225" s="124">
        <f>IF(AB225="","",COUNTIFS($C$18:$C$2015,AB$13,$D$18:$D$2015,"&gt;="&amp;AB225,$D$18:$D$2015,"&lt;"&amp;AB226))</f>
        <v/>
      </c>
      <c r="AD225" s="14" t="n"/>
    </row>
    <row r="226">
      <c r="A226" s="56" t="n"/>
      <c r="B226" s="59" t="n"/>
      <c r="C226" s="59" t="n"/>
      <c r="E226" s="16" t="n"/>
      <c r="F226" s="13" t="n"/>
      <c r="G226" s="16" t="n"/>
      <c r="H226" s="124">
        <f>IF(G226="","",COUNTIFS($C$18:$C$2015,G$13,$D$18:$D$2015,"&gt;="&amp;G226,$D$18:$D$2015,"&lt;"&amp;G227))</f>
        <v/>
      </c>
      <c r="I226" s="14" t="n"/>
      <c r="J226" s="16" t="n"/>
      <c r="K226" s="124">
        <f>IF(J226="","",COUNTIFS($C$18:$C$2015,J$13,$D$18:$D$2015,"&gt;="&amp;J226,$D$18:$D$2015,"&lt;"&amp;J227))</f>
        <v/>
      </c>
      <c r="L226" s="14" t="n"/>
      <c r="M226" s="16" t="n"/>
      <c r="N226" s="124">
        <f>IF(M226="","",COUNTIFS($C$18:$C$2015,M$13,$D$18:$D$2015,"&gt;="&amp;M226,$D$18:$D$2015,"&lt;"&amp;M227))</f>
        <v/>
      </c>
      <c r="O226" s="14" t="n"/>
      <c r="P226" s="16" t="n"/>
      <c r="Q226" s="124">
        <f>IF(P226="","",COUNTIFS($C$18:$C$2015,P$13,$D$18:$D$2015,"&gt;="&amp;P226,$D$18:$D$2015,"&lt;"&amp;P227))</f>
        <v/>
      </c>
      <c r="R226" s="14" t="n"/>
      <c r="S226" s="16" t="n"/>
      <c r="T226" s="124">
        <f>IF(S226="","",COUNTIFS($C$18:$C$2015,S$13,$D$18:$D$2015,"&gt;="&amp;S226,$D$18:$D$2015,"&lt;"&amp;S227))</f>
        <v/>
      </c>
      <c r="U226" s="14" t="n"/>
      <c r="V226" s="16" t="n"/>
      <c r="W226" s="124">
        <f>IF(V226="","",COUNTIFS($C$18:$C$2015,V$13,$D$18:$D$2015,"&gt;="&amp;V226,$D$18:$D$2015,"&lt;"&amp;V227))</f>
        <v/>
      </c>
      <c r="X226" s="14" t="n"/>
      <c r="Y226" s="16" t="n"/>
      <c r="Z226" s="124">
        <f>IF(Y226="","",COUNTIFS($C$18:$C$2015,Y$13,$D$18:$D$2015,"&gt;="&amp;Y226,$D$18:$D$2015,"&lt;"&amp;Y227))</f>
        <v/>
      </c>
      <c r="AA226" s="14" t="n"/>
      <c r="AB226" s="16" t="n"/>
      <c r="AC226" s="124">
        <f>IF(AB226="","",COUNTIFS($C$18:$C$2015,AB$13,$D$18:$D$2015,"&gt;="&amp;AB226,$D$18:$D$2015,"&lt;"&amp;AB227))</f>
        <v/>
      </c>
      <c r="AD226" s="14" t="n"/>
    </row>
    <row r="227">
      <c r="A227" s="58" t="n"/>
      <c r="B227" s="59" t="n"/>
      <c r="C227" s="59" t="n"/>
      <c r="E227" s="16" t="n"/>
      <c r="F227" s="13" t="n"/>
      <c r="G227" s="16" t="n"/>
      <c r="H227" s="124">
        <f>IF(G227="","",COUNTIFS($C$18:$C$2015,G$13,$D$18:$D$2015,"&gt;="&amp;G227,$D$18:$D$2015,"&lt;"&amp;G228))</f>
        <v/>
      </c>
      <c r="I227" s="14" t="n"/>
      <c r="J227" s="16" t="n"/>
      <c r="K227" s="124">
        <f>IF(J227="","",COUNTIFS($C$18:$C$2015,J$13,$D$18:$D$2015,"&gt;="&amp;J227,$D$18:$D$2015,"&lt;"&amp;J228))</f>
        <v/>
      </c>
      <c r="L227" s="14" t="n"/>
      <c r="M227" s="16" t="n"/>
      <c r="N227" s="124">
        <f>IF(M227="","",COUNTIFS($C$18:$C$2015,M$13,$D$18:$D$2015,"&gt;="&amp;M227,$D$18:$D$2015,"&lt;"&amp;M228))</f>
        <v/>
      </c>
      <c r="O227" s="14" t="n"/>
      <c r="P227" s="16" t="n"/>
      <c r="Q227" s="124">
        <f>IF(P227="","",COUNTIFS($C$18:$C$2015,P$13,$D$18:$D$2015,"&gt;="&amp;P227,$D$18:$D$2015,"&lt;"&amp;P228))</f>
        <v/>
      </c>
      <c r="R227" s="14" t="n"/>
      <c r="S227" s="16" t="n"/>
      <c r="T227" s="124">
        <f>IF(S227="","",COUNTIFS($C$18:$C$2015,S$13,$D$18:$D$2015,"&gt;="&amp;S227,$D$18:$D$2015,"&lt;"&amp;S228))</f>
        <v/>
      </c>
      <c r="U227" s="14" t="n"/>
      <c r="V227" s="16" t="n"/>
      <c r="W227" s="124">
        <f>IF(V227="","",COUNTIFS($C$18:$C$2015,V$13,$D$18:$D$2015,"&gt;="&amp;V227,$D$18:$D$2015,"&lt;"&amp;V228))</f>
        <v/>
      </c>
      <c r="X227" s="14" t="n"/>
      <c r="Y227" s="16" t="n"/>
      <c r="Z227" s="124">
        <f>IF(Y227="","",COUNTIFS($C$18:$C$2015,Y$13,$D$18:$D$2015,"&gt;="&amp;Y227,$D$18:$D$2015,"&lt;"&amp;Y228))</f>
        <v/>
      </c>
      <c r="AA227" s="14" t="n"/>
      <c r="AB227" s="16" t="n"/>
      <c r="AC227" s="124">
        <f>IF(AB227="","",COUNTIFS($C$18:$C$2015,AB$13,$D$18:$D$2015,"&gt;="&amp;AB227,$D$18:$D$2015,"&lt;"&amp;AB228))</f>
        <v/>
      </c>
      <c r="AD227" s="14" t="n"/>
    </row>
    <row r="228">
      <c r="A228" s="56" t="n"/>
      <c r="B228" s="59" t="n"/>
      <c r="C228" s="59" t="n"/>
      <c r="E228" s="16" t="n"/>
      <c r="F228" s="13" t="n"/>
      <c r="G228" s="16" t="n"/>
      <c r="H228" s="124">
        <f>IF(G228="","",COUNTIFS($C$18:$C$2015,G$13,$D$18:$D$2015,"&gt;="&amp;G228,$D$18:$D$2015,"&lt;"&amp;G229))</f>
        <v/>
      </c>
      <c r="I228" s="14" t="n"/>
      <c r="J228" s="16" t="n"/>
      <c r="K228" s="124">
        <f>IF(J228="","",COUNTIFS($C$18:$C$2015,J$13,$D$18:$D$2015,"&gt;="&amp;J228,$D$18:$D$2015,"&lt;"&amp;J229))</f>
        <v/>
      </c>
      <c r="L228" s="14" t="n"/>
      <c r="M228" s="16" t="n"/>
      <c r="N228" s="124">
        <f>IF(M228="","",COUNTIFS($C$18:$C$2015,M$13,$D$18:$D$2015,"&gt;="&amp;M228,$D$18:$D$2015,"&lt;"&amp;M229))</f>
        <v/>
      </c>
      <c r="O228" s="14" t="n"/>
      <c r="P228" s="16" t="n"/>
      <c r="Q228" s="124">
        <f>IF(P228="","",COUNTIFS($C$18:$C$2015,P$13,$D$18:$D$2015,"&gt;="&amp;P228,$D$18:$D$2015,"&lt;"&amp;P229))</f>
        <v/>
      </c>
      <c r="R228" s="14" t="n"/>
      <c r="S228" s="16" t="n"/>
      <c r="T228" s="124">
        <f>IF(S228="","",COUNTIFS($C$18:$C$2015,S$13,$D$18:$D$2015,"&gt;="&amp;S228,$D$18:$D$2015,"&lt;"&amp;S229))</f>
        <v/>
      </c>
      <c r="U228" s="14" t="n"/>
      <c r="V228" s="16" t="n"/>
      <c r="W228" s="124">
        <f>IF(V228="","",COUNTIFS($C$18:$C$2015,V$13,$D$18:$D$2015,"&gt;="&amp;V228,$D$18:$D$2015,"&lt;"&amp;V229))</f>
        <v/>
      </c>
      <c r="X228" s="14" t="n"/>
      <c r="Y228" s="16" t="n"/>
      <c r="Z228" s="124">
        <f>IF(Y228="","",COUNTIFS($C$18:$C$2015,Y$13,$D$18:$D$2015,"&gt;="&amp;Y228,$D$18:$D$2015,"&lt;"&amp;Y229))</f>
        <v/>
      </c>
      <c r="AA228" s="14" t="n"/>
      <c r="AB228" s="16" t="n"/>
      <c r="AC228" s="124">
        <f>IF(AB228="","",COUNTIFS($C$18:$C$2015,AB$13,$D$18:$D$2015,"&gt;="&amp;AB228,$D$18:$D$2015,"&lt;"&amp;AB229))</f>
        <v/>
      </c>
      <c r="AD228" s="14" t="n"/>
    </row>
    <row r="229">
      <c r="A229" s="58" t="n"/>
      <c r="B229" s="59" t="n"/>
      <c r="C229" s="59" t="n"/>
      <c r="E229" s="16" t="n"/>
      <c r="F229" s="13" t="n"/>
      <c r="G229" s="16" t="n"/>
      <c r="H229" s="124">
        <f>IF(G229="","",COUNTIFS($C$18:$C$2015,G$13,$D$18:$D$2015,"&gt;="&amp;G229,$D$18:$D$2015,"&lt;"&amp;G230))</f>
        <v/>
      </c>
      <c r="I229" s="14" t="n"/>
      <c r="J229" s="16" t="n"/>
      <c r="K229" s="124">
        <f>IF(J229="","",COUNTIFS($C$18:$C$2015,J$13,$D$18:$D$2015,"&gt;="&amp;J229,$D$18:$D$2015,"&lt;"&amp;J230))</f>
        <v/>
      </c>
      <c r="L229" s="14" t="n"/>
      <c r="M229" s="16" t="n"/>
      <c r="N229" s="124">
        <f>IF(M229="","",COUNTIFS($C$18:$C$2015,M$13,$D$18:$D$2015,"&gt;="&amp;M229,$D$18:$D$2015,"&lt;"&amp;M230))</f>
        <v/>
      </c>
      <c r="O229" s="14" t="n"/>
      <c r="P229" s="16" t="n"/>
      <c r="Q229" s="124">
        <f>IF(P229="","",COUNTIFS($C$18:$C$2015,P$13,$D$18:$D$2015,"&gt;="&amp;P229,$D$18:$D$2015,"&lt;"&amp;P230))</f>
        <v/>
      </c>
      <c r="R229" s="14" t="n"/>
      <c r="S229" s="16" t="n"/>
      <c r="T229" s="124">
        <f>IF(S229="","",COUNTIFS($C$18:$C$2015,S$13,$D$18:$D$2015,"&gt;="&amp;S229,$D$18:$D$2015,"&lt;"&amp;S230))</f>
        <v/>
      </c>
      <c r="U229" s="14" t="n"/>
      <c r="V229" s="16" t="n"/>
      <c r="W229" s="124">
        <f>IF(V229="","",COUNTIFS($C$18:$C$2015,V$13,$D$18:$D$2015,"&gt;="&amp;V229,$D$18:$D$2015,"&lt;"&amp;V230))</f>
        <v/>
      </c>
      <c r="X229" s="14" t="n"/>
      <c r="Y229" s="16" t="n"/>
      <c r="Z229" s="124">
        <f>IF(Y229="","",COUNTIFS($C$18:$C$2015,Y$13,$D$18:$D$2015,"&gt;="&amp;Y229,$D$18:$D$2015,"&lt;"&amp;Y230))</f>
        <v/>
      </c>
      <c r="AA229" s="14" t="n"/>
      <c r="AB229" s="16" t="n"/>
      <c r="AC229" s="124">
        <f>IF(AB229="","",COUNTIFS($C$18:$C$2015,AB$13,$D$18:$D$2015,"&gt;="&amp;AB229,$D$18:$D$2015,"&lt;"&amp;AB230))</f>
        <v/>
      </c>
      <c r="AD229" s="14" t="n"/>
    </row>
    <row r="230">
      <c r="A230" s="56" t="n"/>
      <c r="B230" s="59" t="n"/>
      <c r="C230" s="59" t="n"/>
      <c r="E230" s="16" t="n"/>
      <c r="F230" s="13" t="n"/>
      <c r="G230" s="16" t="n"/>
      <c r="H230" s="124">
        <f>IF(G230="","",COUNTIFS($C$18:$C$2015,G$13,$D$18:$D$2015,"&gt;="&amp;G230,$D$18:$D$2015,"&lt;"&amp;G231))</f>
        <v/>
      </c>
      <c r="I230" s="14" t="n"/>
      <c r="J230" s="16" t="n"/>
      <c r="K230" s="124">
        <f>IF(J230="","",COUNTIFS($C$18:$C$2015,J$13,$D$18:$D$2015,"&gt;="&amp;J230,$D$18:$D$2015,"&lt;"&amp;J231))</f>
        <v/>
      </c>
      <c r="L230" s="14" t="n"/>
      <c r="M230" s="16" t="n"/>
      <c r="N230" s="124">
        <f>IF(M230="","",COUNTIFS($C$18:$C$2015,M$13,$D$18:$D$2015,"&gt;="&amp;M230,$D$18:$D$2015,"&lt;"&amp;M231))</f>
        <v/>
      </c>
      <c r="O230" s="14" t="n"/>
      <c r="P230" s="16" t="n"/>
      <c r="Q230" s="124">
        <f>IF(P230="","",COUNTIFS($C$18:$C$2015,P$13,$D$18:$D$2015,"&gt;="&amp;P230,$D$18:$D$2015,"&lt;"&amp;P231))</f>
        <v/>
      </c>
      <c r="R230" s="14" t="n"/>
      <c r="S230" s="16" t="n"/>
      <c r="T230" s="124">
        <f>IF(S230="","",COUNTIFS($C$18:$C$2015,S$13,$D$18:$D$2015,"&gt;="&amp;S230,$D$18:$D$2015,"&lt;"&amp;S231))</f>
        <v/>
      </c>
      <c r="U230" s="14" t="n"/>
      <c r="V230" s="16" t="n"/>
      <c r="W230" s="124">
        <f>IF(V230="","",COUNTIFS($C$18:$C$2015,V$13,$D$18:$D$2015,"&gt;="&amp;V230,$D$18:$D$2015,"&lt;"&amp;V231))</f>
        <v/>
      </c>
      <c r="X230" s="14" t="n"/>
      <c r="Y230" s="16" t="n"/>
      <c r="Z230" s="124">
        <f>IF(Y230="","",COUNTIFS($C$18:$C$2015,Y$13,$D$18:$D$2015,"&gt;="&amp;Y230,$D$18:$D$2015,"&lt;"&amp;Y231))</f>
        <v/>
      </c>
      <c r="AA230" s="14" t="n"/>
      <c r="AB230" s="16" t="n"/>
      <c r="AC230" s="124">
        <f>IF(AB230="","",COUNTIFS($C$18:$C$2015,AB$13,$D$18:$D$2015,"&gt;="&amp;AB230,$D$18:$D$2015,"&lt;"&amp;AB231))</f>
        <v/>
      </c>
      <c r="AD230" s="14" t="n"/>
    </row>
    <row r="231">
      <c r="A231" s="58" t="n"/>
      <c r="B231" s="59" t="n"/>
      <c r="C231" s="59" t="n"/>
      <c r="E231" s="16" t="n"/>
      <c r="F231" s="13" t="n"/>
      <c r="G231" s="16" t="n"/>
      <c r="H231" s="124">
        <f>IF(G231="","",COUNTIFS($C$18:$C$2015,G$13,$D$18:$D$2015,"&gt;="&amp;G231,$D$18:$D$2015,"&lt;"&amp;G232))</f>
        <v/>
      </c>
      <c r="I231" s="14" t="n"/>
      <c r="J231" s="16" t="n"/>
      <c r="K231" s="124">
        <f>IF(J231="","",COUNTIFS($C$18:$C$2015,J$13,$D$18:$D$2015,"&gt;="&amp;J231,$D$18:$D$2015,"&lt;"&amp;J232))</f>
        <v/>
      </c>
      <c r="L231" s="14" t="n"/>
      <c r="M231" s="16" t="n"/>
      <c r="N231" s="124">
        <f>IF(M231="","",COUNTIFS($C$18:$C$2015,M$13,$D$18:$D$2015,"&gt;="&amp;M231,$D$18:$D$2015,"&lt;"&amp;M232))</f>
        <v/>
      </c>
      <c r="O231" s="14" t="n"/>
      <c r="P231" s="16" t="n"/>
      <c r="Q231" s="124">
        <f>IF(P231="","",COUNTIFS($C$18:$C$2015,P$13,$D$18:$D$2015,"&gt;="&amp;P231,$D$18:$D$2015,"&lt;"&amp;P232))</f>
        <v/>
      </c>
      <c r="R231" s="14" t="n"/>
      <c r="S231" s="16" t="n"/>
      <c r="T231" s="124">
        <f>IF(S231="","",COUNTIFS($C$18:$C$2015,S$13,$D$18:$D$2015,"&gt;="&amp;S231,$D$18:$D$2015,"&lt;"&amp;S232))</f>
        <v/>
      </c>
      <c r="U231" s="14" t="n"/>
      <c r="V231" s="16" t="n"/>
      <c r="W231" s="124">
        <f>IF(V231="","",COUNTIFS($C$18:$C$2015,V$13,$D$18:$D$2015,"&gt;="&amp;V231,$D$18:$D$2015,"&lt;"&amp;V232))</f>
        <v/>
      </c>
      <c r="X231" s="14" t="n"/>
      <c r="Y231" s="16" t="n"/>
      <c r="Z231" s="124">
        <f>IF(Y231="","",COUNTIFS($C$18:$C$2015,Y$13,$D$18:$D$2015,"&gt;="&amp;Y231,$D$18:$D$2015,"&lt;"&amp;Y232))</f>
        <v/>
      </c>
      <c r="AA231" s="14" t="n"/>
      <c r="AB231" s="16" t="n"/>
      <c r="AC231" s="124">
        <f>IF(AB231="","",COUNTIFS($C$18:$C$2015,AB$13,$D$18:$D$2015,"&gt;="&amp;AB231,$D$18:$D$2015,"&lt;"&amp;AB232))</f>
        <v/>
      </c>
      <c r="AD231" s="14" t="n"/>
    </row>
    <row r="232">
      <c r="A232" s="56" t="n"/>
      <c r="B232" s="59" t="n"/>
      <c r="C232" s="59" t="n"/>
      <c r="E232" s="16" t="n"/>
      <c r="F232" s="13" t="n"/>
      <c r="G232" s="16" t="n"/>
      <c r="H232" s="124">
        <f>IF(G232="","",COUNTIFS($C$18:$C$2015,G$13,$D$18:$D$2015,"&gt;="&amp;G232,$D$18:$D$2015,"&lt;"&amp;G233))</f>
        <v/>
      </c>
      <c r="I232" s="14" t="n"/>
      <c r="J232" s="16" t="n"/>
      <c r="K232" s="124">
        <f>IF(J232="","",COUNTIFS($C$18:$C$2015,J$13,$D$18:$D$2015,"&gt;="&amp;J232,$D$18:$D$2015,"&lt;"&amp;J233))</f>
        <v/>
      </c>
      <c r="L232" s="14" t="n"/>
      <c r="M232" s="16" t="n"/>
      <c r="N232" s="124">
        <f>IF(M232="","",COUNTIFS($C$18:$C$2015,M$13,$D$18:$D$2015,"&gt;="&amp;M232,$D$18:$D$2015,"&lt;"&amp;M233))</f>
        <v/>
      </c>
      <c r="O232" s="14" t="n"/>
      <c r="P232" s="16" t="n"/>
      <c r="Q232" s="124">
        <f>IF(P232="","",COUNTIFS($C$18:$C$2015,P$13,$D$18:$D$2015,"&gt;="&amp;P232,$D$18:$D$2015,"&lt;"&amp;P233))</f>
        <v/>
      </c>
      <c r="R232" s="14" t="n"/>
      <c r="S232" s="16" t="n"/>
      <c r="T232" s="124">
        <f>IF(S232="","",COUNTIFS($C$18:$C$2015,S$13,$D$18:$D$2015,"&gt;="&amp;S232,$D$18:$D$2015,"&lt;"&amp;S233))</f>
        <v/>
      </c>
      <c r="U232" s="14" t="n"/>
      <c r="V232" s="16" t="n"/>
      <c r="W232" s="124">
        <f>IF(V232="","",COUNTIFS($C$18:$C$2015,V$13,$D$18:$D$2015,"&gt;="&amp;V232,$D$18:$D$2015,"&lt;"&amp;V233))</f>
        <v/>
      </c>
      <c r="X232" s="14" t="n"/>
      <c r="Y232" s="16" t="n"/>
      <c r="Z232" s="124">
        <f>IF(Y232="","",COUNTIFS($C$18:$C$2015,Y$13,$D$18:$D$2015,"&gt;="&amp;Y232,$D$18:$D$2015,"&lt;"&amp;Y233))</f>
        <v/>
      </c>
      <c r="AA232" s="14" t="n"/>
      <c r="AB232" s="16" t="n"/>
      <c r="AC232" s="124">
        <f>IF(AB232="","",COUNTIFS($C$18:$C$2015,AB$13,$D$18:$D$2015,"&gt;="&amp;AB232,$D$18:$D$2015,"&lt;"&amp;AB233))</f>
        <v/>
      </c>
      <c r="AD232" s="14" t="n"/>
    </row>
    <row r="233">
      <c r="A233" s="58" t="n"/>
      <c r="B233" s="59" t="n"/>
      <c r="C233" s="59" t="n"/>
      <c r="E233" s="16" t="n"/>
      <c r="F233" s="13" t="n"/>
      <c r="G233" s="16" t="n"/>
      <c r="H233" s="124">
        <f>IF(G233="","",COUNTIFS($C$18:$C$2015,G$13,$D$18:$D$2015,"&gt;="&amp;G233,$D$18:$D$2015,"&lt;"&amp;G234))</f>
        <v/>
      </c>
      <c r="I233" s="14" t="n"/>
      <c r="J233" s="16" t="n"/>
      <c r="K233" s="124">
        <f>IF(J233="","",COUNTIFS($C$18:$C$2015,J$13,$D$18:$D$2015,"&gt;="&amp;J233,$D$18:$D$2015,"&lt;"&amp;J234))</f>
        <v/>
      </c>
      <c r="L233" s="14" t="n"/>
      <c r="M233" s="16" t="n"/>
      <c r="N233" s="124">
        <f>IF(M233="","",COUNTIFS($C$18:$C$2015,M$13,$D$18:$D$2015,"&gt;="&amp;M233,$D$18:$D$2015,"&lt;"&amp;M234))</f>
        <v/>
      </c>
      <c r="O233" s="14" t="n"/>
      <c r="P233" s="16" t="n"/>
      <c r="Q233" s="124">
        <f>IF(P233="","",COUNTIFS($C$18:$C$2015,P$13,$D$18:$D$2015,"&gt;="&amp;P233,$D$18:$D$2015,"&lt;"&amp;P234))</f>
        <v/>
      </c>
      <c r="R233" s="14" t="n"/>
      <c r="S233" s="16" t="n"/>
      <c r="T233" s="124">
        <f>IF(S233="","",COUNTIFS($C$18:$C$2015,S$13,$D$18:$D$2015,"&gt;="&amp;S233,$D$18:$D$2015,"&lt;"&amp;S234))</f>
        <v/>
      </c>
      <c r="U233" s="14" t="n"/>
      <c r="V233" s="16" t="n"/>
      <c r="W233" s="124">
        <f>IF(V233="","",COUNTIFS($C$18:$C$2015,V$13,$D$18:$D$2015,"&gt;="&amp;V233,$D$18:$D$2015,"&lt;"&amp;V234))</f>
        <v/>
      </c>
      <c r="X233" s="14" t="n"/>
      <c r="Y233" s="16" t="n"/>
      <c r="Z233" s="124">
        <f>IF(Y233="","",COUNTIFS($C$18:$C$2015,Y$13,$D$18:$D$2015,"&gt;="&amp;Y233,$D$18:$D$2015,"&lt;"&amp;Y234))</f>
        <v/>
      </c>
      <c r="AA233" s="14" t="n"/>
      <c r="AB233" s="16" t="n"/>
      <c r="AC233" s="124">
        <f>IF(AB233="","",COUNTIFS($C$18:$C$2015,AB$13,$D$18:$D$2015,"&gt;="&amp;AB233,$D$18:$D$2015,"&lt;"&amp;AB234))</f>
        <v/>
      </c>
      <c r="AD233" s="14" t="n"/>
    </row>
    <row r="234">
      <c r="A234" s="56" t="n"/>
      <c r="B234" s="59" t="n"/>
      <c r="C234" s="59" t="n"/>
      <c r="E234" s="16" t="n"/>
      <c r="F234" s="13" t="n"/>
      <c r="G234" s="16" t="n"/>
      <c r="H234" s="124">
        <f>IF(G234="","",COUNTIFS($C$18:$C$2015,G$13,$D$18:$D$2015,"&gt;="&amp;G234,$D$18:$D$2015,"&lt;"&amp;G235))</f>
        <v/>
      </c>
      <c r="I234" s="14" t="n"/>
      <c r="J234" s="16" t="n"/>
      <c r="K234" s="124">
        <f>IF(J234="","",COUNTIFS($C$18:$C$2015,J$13,$D$18:$D$2015,"&gt;="&amp;J234,$D$18:$D$2015,"&lt;"&amp;J235))</f>
        <v/>
      </c>
      <c r="L234" s="14" t="n"/>
      <c r="M234" s="16" t="n"/>
      <c r="N234" s="124">
        <f>IF(M234="","",COUNTIFS($C$18:$C$2015,M$13,$D$18:$D$2015,"&gt;="&amp;M234,$D$18:$D$2015,"&lt;"&amp;M235))</f>
        <v/>
      </c>
      <c r="O234" s="14" t="n"/>
      <c r="P234" s="16" t="n"/>
      <c r="Q234" s="124">
        <f>IF(P234="","",COUNTIFS($C$18:$C$2015,P$13,$D$18:$D$2015,"&gt;="&amp;P234,$D$18:$D$2015,"&lt;"&amp;P235))</f>
        <v/>
      </c>
      <c r="R234" s="14" t="n"/>
      <c r="S234" s="16" t="n"/>
      <c r="T234" s="124">
        <f>IF(S234="","",COUNTIFS($C$18:$C$2015,S$13,$D$18:$D$2015,"&gt;="&amp;S234,$D$18:$D$2015,"&lt;"&amp;S235))</f>
        <v/>
      </c>
      <c r="U234" s="14" t="n"/>
      <c r="V234" s="16" t="n"/>
      <c r="W234" s="124">
        <f>IF(V234="","",COUNTIFS($C$18:$C$2015,V$13,$D$18:$D$2015,"&gt;="&amp;V234,$D$18:$D$2015,"&lt;"&amp;V235))</f>
        <v/>
      </c>
      <c r="X234" s="14" t="n"/>
      <c r="Y234" s="16" t="n"/>
      <c r="Z234" s="124">
        <f>IF(Y234="","",COUNTIFS($C$18:$C$2015,Y$13,$D$18:$D$2015,"&gt;="&amp;Y234,$D$18:$D$2015,"&lt;"&amp;Y235))</f>
        <v/>
      </c>
      <c r="AA234" s="14" t="n"/>
      <c r="AB234" s="16" t="n"/>
      <c r="AC234" s="124">
        <f>IF(AB234="","",COUNTIFS($C$18:$C$2015,AB$13,$D$18:$D$2015,"&gt;="&amp;AB234,$D$18:$D$2015,"&lt;"&amp;AB235))</f>
        <v/>
      </c>
      <c r="AD234" s="14" t="n"/>
    </row>
    <row r="235">
      <c r="A235" s="58" t="n"/>
      <c r="B235" s="59" t="n"/>
      <c r="C235" s="59" t="n"/>
      <c r="E235" s="16" t="n"/>
      <c r="F235" s="13" t="n"/>
      <c r="G235" s="16" t="n"/>
      <c r="H235" s="124">
        <f>IF(G235="","",COUNTIFS($C$18:$C$2015,G$13,$D$18:$D$2015,"&gt;="&amp;G235,$D$18:$D$2015,"&lt;"&amp;G236))</f>
        <v/>
      </c>
      <c r="I235" s="14" t="n"/>
      <c r="J235" s="16" t="n"/>
      <c r="K235" s="124">
        <f>IF(J235="","",COUNTIFS($C$18:$C$2015,J$13,$D$18:$D$2015,"&gt;="&amp;J235,$D$18:$D$2015,"&lt;"&amp;J236))</f>
        <v/>
      </c>
      <c r="L235" s="14" t="n"/>
      <c r="M235" s="16" t="n"/>
      <c r="N235" s="124">
        <f>IF(M235="","",COUNTIFS($C$18:$C$2015,M$13,$D$18:$D$2015,"&gt;="&amp;M235,$D$18:$D$2015,"&lt;"&amp;M236))</f>
        <v/>
      </c>
      <c r="O235" s="14" t="n"/>
      <c r="P235" s="16" t="n"/>
      <c r="Q235" s="124">
        <f>IF(P235="","",COUNTIFS($C$18:$C$2015,P$13,$D$18:$D$2015,"&gt;="&amp;P235,$D$18:$D$2015,"&lt;"&amp;P236))</f>
        <v/>
      </c>
      <c r="R235" s="14" t="n"/>
      <c r="S235" s="16" t="n"/>
      <c r="T235" s="124">
        <f>IF(S235="","",COUNTIFS($C$18:$C$2015,S$13,$D$18:$D$2015,"&gt;="&amp;S235,$D$18:$D$2015,"&lt;"&amp;S236))</f>
        <v/>
      </c>
      <c r="U235" s="14" t="n"/>
      <c r="V235" s="16" t="n"/>
      <c r="W235" s="124">
        <f>IF(V235="","",COUNTIFS($C$18:$C$2015,V$13,$D$18:$D$2015,"&gt;="&amp;V235,$D$18:$D$2015,"&lt;"&amp;V236))</f>
        <v/>
      </c>
      <c r="X235" s="14" t="n"/>
      <c r="Y235" s="16" t="n"/>
      <c r="Z235" s="124">
        <f>IF(Y235="","",COUNTIFS($C$18:$C$2015,Y$13,$D$18:$D$2015,"&gt;="&amp;Y235,$D$18:$D$2015,"&lt;"&amp;Y236))</f>
        <v/>
      </c>
      <c r="AA235" s="14" t="n"/>
      <c r="AB235" s="16" t="n"/>
      <c r="AC235" s="124">
        <f>IF(AB235="","",COUNTIFS($C$18:$C$2015,AB$13,$D$18:$D$2015,"&gt;="&amp;AB235,$D$18:$D$2015,"&lt;"&amp;AB236))</f>
        <v/>
      </c>
      <c r="AD235" s="14" t="n"/>
    </row>
    <row r="236">
      <c r="A236" s="56" t="n"/>
      <c r="B236" s="59" t="n"/>
      <c r="C236" s="59" t="n"/>
      <c r="E236" s="16" t="n"/>
      <c r="F236" s="13" t="n"/>
      <c r="G236" s="16" t="n"/>
      <c r="H236" s="124">
        <f>IF(G236="","",COUNTIFS($C$18:$C$2015,G$13,$D$18:$D$2015,"&gt;="&amp;G236,$D$18:$D$2015,"&lt;"&amp;G237))</f>
        <v/>
      </c>
      <c r="I236" s="14" t="n"/>
      <c r="J236" s="16" t="n"/>
      <c r="K236" s="124">
        <f>IF(J236="","",COUNTIFS($C$18:$C$2015,J$13,$D$18:$D$2015,"&gt;="&amp;J236,$D$18:$D$2015,"&lt;"&amp;J237))</f>
        <v/>
      </c>
      <c r="L236" s="14" t="n"/>
      <c r="M236" s="16" t="n"/>
      <c r="N236" s="124">
        <f>IF(M236="","",COUNTIFS($C$18:$C$2015,M$13,$D$18:$D$2015,"&gt;="&amp;M236,$D$18:$D$2015,"&lt;"&amp;M237))</f>
        <v/>
      </c>
      <c r="O236" s="14" t="n"/>
      <c r="P236" s="16" t="n"/>
      <c r="Q236" s="124">
        <f>IF(P236="","",COUNTIFS($C$18:$C$2015,P$13,$D$18:$D$2015,"&gt;="&amp;P236,$D$18:$D$2015,"&lt;"&amp;P237))</f>
        <v/>
      </c>
      <c r="R236" s="14" t="n"/>
      <c r="S236" s="16" t="n"/>
      <c r="T236" s="124">
        <f>IF(S236="","",COUNTIFS($C$18:$C$2015,S$13,$D$18:$D$2015,"&gt;="&amp;S236,$D$18:$D$2015,"&lt;"&amp;S237))</f>
        <v/>
      </c>
      <c r="U236" s="14" t="n"/>
      <c r="V236" s="16" t="n"/>
      <c r="W236" s="124">
        <f>IF(V236="","",COUNTIFS($C$18:$C$2015,V$13,$D$18:$D$2015,"&gt;="&amp;V236,$D$18:$D$2015,"&lt;"&amp;V237))</f>
        <v/>
      </c>
      <c r="X236" s="14" t="n"/>
      <c r="Y236" s="16" t="n"/>
      <c r="Z236" s="124">
        <f>IF(Y236="","",COUNTIFS($C$18:$C$2015,Y$13,$D$18:$D$2015,"&gt;="&amp;Y236,$D$18:$D$2015,"&lt;"&amp;Y237))</f>
        <v/>
      </c>
      <c r="AA236" s="14" t="n"/>
      <c r="AB236" s="16" t="n"/>
      <c r="AC236" s="124">
        <f>IF(AB236="","",COUNTIFS($C$18:$C$2015,AB$13,$D$18:$D$2015,"&gt;="&amp;AB236,$D$18:$D$2015,"&lt;"&amp;AB237))</f>
        <v/>
      </c>
      <c r="AD236" s="14" t="n"/>
    </row>
    <row r="237">
      <c r="A237" s="58" t="n"/>
      <c r="B237" s="59" t="n"/>
      <c r="C237" s="59" t="n"/>
      <c r="E237" s="16" t="n"/>
      <c r="F237" s="13" t="n"/>
      <c r="G237" s="16" t="n"/>
      <c r="H237" s="124">
        <f>IF(G237="","",COUNTIFS($C$18:$C$2015,G$13,$D$18:$D$2015,"&gt;="&amp;G237,$D$18:$D$2015,"&lt;"&amp;G238))</f>
        <v/>
      </c>
      <c r="I237" s="14" t="n"/>
      <c r="J237" s="16" t="n"/>
      <c r="K237" s="124">
        <f>IF(J237="","",COUNTIFS($C$18:$C$2015,J$13,$D$18:$D$2015,"&gt;="&amp;J237,$D$18:$D$2015,"&lt;"&amp;J238))</f>
        <v/>
      </c>
      <c r="L237" s="14" t="n"/>
      <c r="M237" s="16" t="n"/>
      <c r="N237" s="124">
        <f>IF(M237="","",COUNTIFS($C$18:$C$2015,M$13,$D$18:$D$2015,"&gt;="&amp;M237,$D$18:$D$2015,"&lt;"&amp;M238))</f>
        <v/>
      </c>
      <c r="O237" s="14" t="n"/>
      <c r="P237" s="16" t="n"/>
      <c r="Q237" s="124">
        <f>IF(P237="","",COUNTIFS($C$18:$C$2015,P$13,$D$18:$D$2015,"&gt;="&amp;P237,$D$18:$D$2015,"&lt;"&amp;P238))</f>
        <v/>
      </c>
      <c r="R237" s="14" t="n"/>
      <c r="S237" s="16" t="n"/>
      <c r="T237" s="124">
        <f>IF(S237="","",COUNTIFS($C$18:$C$2015,S$13,$D$18:$D$2015,"&gt;="&amp;S237,$D$18:$D$2015,"&lt;"&amp;S238))</f>
        <v/>
      </c>
      <c r="U237" s="14" t="n"/>
      <c r="V237" s="16" t="n"/>
      <c r="W237" s="124">
        <f>IF(V237="","",COUNTIFS($C$18:$C$2015,V$13,$D$18:$D$2015,"&gt;="&amp;V237,$D$18:$D$2015,"&lt;"&amp;V238))</f>
        <v/>
      </c>
      <c r="X237" s="14" t="n"/>
      <c r="Y237" s="16" t="n"/>
      <c r="Z237" s="124">
        <f>IF(Y237="","",COUNTIFS($C$18:$C$2015,Y$13,$D$18:$D$2015,"&gt;="&amp;Y237,$D$18:$D$2015,"&lt;"&amp;Y238))</f>
        <v/>
      </c>
      <c r="AA237" s="14" t="n"/>
      <c r="AB237" s="16" t="n"/>
      <c r="AC237" s="124">
        <f>IF(AB237="","",COUNTIFS($C$18:$C$2015,AB$13,$D$18:$D$2015,"&gt;="&amp;AB237,$D$18:$D$2015,"&lt;"&amp;AB238))</f>
        <v/>
      </c>
      <c r="AD237" s="14" t="n"/>
    </row>
    <row r="238">
      <c r="A238" s="56" t="n"/>
      <c r="B238" s="59" t="n"/>
      <c r="C238" s="59" t="n"/>
      <c r="E238" s="16" t="n"/>
      <c r="F238" s="13" t="n"/>
      <c r="G238" s="16" t="n"/>
      <c r="H238" s="124">
        <f>IF(G238="","",COUNTIFS($C$18:$C$2015,G$13,$D$18:$D$2015,"&gt;="&amp;G238,$D$18:$D$2015,"&lt;"&amp;G239))</f>
        <v/>
      </c>
      <c r="I238" s="14" t="n"/>
      <c r="J238" s="16" t="n"/>
      <c r="K238" s="124">
        <f>IF(J238="","",COUNTIFS($C$18:$C$2015,J$13,$D$18:$D$2015,"&gt;="&amp;J238,$D$18:$D$2015,"&lt;"&amp;J239))</f>
        <v/>
      </c>
      <c r="L238" s="14" t="n"/>
      <c r="M238" s="16" t="n"/>
      <c r="N238" s="124">
        <f>IF(M238="","",COUNTIFS($C$18:$C$2015,M$13,$D$18:$D$2015,"&gt;="&amp;M238,$D$18:$D$2015,"&lt;"&amp;M239))</f>
        <v/>
      </c>
      <c r="O238" s="14" t="n"/>
      <c r="P238" s="16" t="n"/>
      <c r="Q238" s="124">
        <f>IF(P238="","",COUNTIFS($C$18:$C$2015,P$13,$D$18:$D$2015,"&gt;="&amp;P238,$D$18:$D$2015,"&lt;"&amp;P239))</f>
        <v/>
      </c>
      <c r="R238" s="14" t="n"/>
      <c r="S238" s="16" t="n"/>
      <c r="T238" s="124">
        <f>IF(S238="","",COUNTIFS($C$18:$C$2015,S$13,$D$18:$D$2015,"&gt;="&amp;S238,$D$18:$D$2015,"&lt;"&amp;S239))</f>
        <v/>
      </c>
      <c r="U238" s="14" t="n"/>
      <c r="V238" s="16" t="n"/>
      <c r="W238" s="124">
        <f>IF(V238="","",COUNTIFS($C$18:$C$2015,V$13,$D$18:$D$2015,"&gt;="&amp;V238,$D$18:$D$2015,"&lt;"&amp;V239))</f>
        <v/>
      </c>
      <c r="X238" s="14" t="n"/>
      <c r="Y238" s="16" t="n"/>
      <c r="Z238" s="124">
        <f>IF(Y238="","",COUNTIFS($C$18:$C$2015,Y$13,$D$18:$D$2015,"&gt;="&amp;Y238,$D$18:$D$2015,"&lt;"&amp;Y239))</f>
        <v/>
      </c>
      <c r="AA238" s="14" t="n"/>
      <c r="AB238" s="16" t="n"/>
      <c r="AC238" s="124">
        <f>IF(AB238="","",COUNTIFS($C$18:$C$2015,AB$13,$D$18:$D$2015,"&gt;="&amp;AB238,$D$18:$D$2015,"&lt;"&amp;AB239))</f>
        <v/>
      </c>
      <c r="AD238" s="14" t="n"/>
    </row>
    <row r="239">
      <c r="A239" s="58" t="n"/>
      <c r="B239" s="59" t="n"/>
      <c r="C239" s="59" t="n"/>
      <c r="E239" s="16" t="n"/>
      <c r="F239" s="13" t="n"/>
      <c r="G239" s="16" t="n"/>
      <c r="H239" s="124">
        <f>IF(G239="","",COUNTIFS($C$18:$C$2015,G$13,$D$18:$D$2015,"&gt;="&amp;G239,$D$18:$D$2015,"&lt;"&amp;G240))</f>
        <v/>
      </c>
      <c r="I239" s="14" t="n"/>
      <c r="J239" s="16" t="n"/>
      <c r="K239" s="124">
        <f>IF(J239="","",COUNTIFS($C$18:$C$2015,J$13,$D$18:$D$2015,"&gt;="&amp;J239,$D$18:$D$2015,"&lt;"&amp;J240))</f>
        <v/>
      </c>
      <c r="L239" s="14" t="n"/>
      <c r="M239" s="16" t="n"/>
      <c r="N239" s="124">
        <f>IF(M239="","",COUNTIFS($C$18:$C$2015,M$13,$D$18:$D$2015,"&gt;="&amp;M239,$D$18:$D$2015,"&lt;"&amp;M240))</f>
        <v/>
      </c>
      <c r="O239" s="14" t="n"/>
      <c r="P239" s="16" t="n"/>
      <c r="Q239" s="124">
        <f>IF(P239="","",COUNTIFS($C$18:$C$2015,P$13,$D$18:$D$2015,"&gt;="&amp;P239,$D$18:$D$2015,"&lt;"&amp;P240))</f>
        <v/>
      </c>
      <c r="R239" s="14" t="n"/>
      <c r="S239" s="16" t="n"/>
      <c r="T239" s="124">
        <f>IF(S239="","",COUNTIFS($C$18:$C$2015,S$13,$D$18:$D$2015,"&gt;="&amp;S239,$D$18:$D$2015,"&lt;"&amp;S240))</f>
        <v/>
      </c>
      <c r="U239" s="14" t="n"/>
      <c r="V239" s="16" t="n"/>
      <c r="W239" s="124">
        <f>IF(V239="","",COUNTIFS($C$18:$C$2015,V$13,$D$18:$D$2015,"&gt;="&amp;V239,$D$18:$D$2015,"&lt;"&amp;V240))</f>
        <v/>
      </c>
      <c r="X239" s="14" t="n"/>
      <c r="Y239" s="16" t="n"/>
      <c r="Z239" s="124">
        <f>IF(Y239="","",COUNTIFS($C$18:$C$2015,Y$13,$D$18:$D$2015,"&gt;="&amp;Y239,$D$18:$D$2015,"&lt;"&amp;Y240))</f>
        <v/>
      </c>
      <c r="AA239" s="14" t="n"/>
      <c r="AB239" s="16" t="n"/>
      <c r="AC239" s="124">
        <f>IF(AB239="","",COUNTIFS($C$18:$C$2015,AB$13,$D$18:$D$2015,"&gt;="&amp;AB239,$D$18:$D$2015,"&lt;"&amp;AB240))</f>
        <v/>
      </c>
      <c r="AD239" s="14" t="n"/>
    </row>
    <row r="240">
      <c r="A240" s="56" t="n"/>
      <c r="B240" s="59" t="n"/>
      <c r="C240" s="59" t="n"/>
      <c r="E240" s="16" t="n"/>
      <c r="F240" s="13" t="n"/>
      <c r="G240" s="16" t="n"/>
      <c r="H240" s="124">
        <f>IF(G240="","",COUNTIFS($C$18:$C$2015,G$13,$D$18:$D$2015,"&gt;="&amp;G240,$D$18:$D$2015,"&lt;"&amp;G241))</f>
        <v/>
      </c>
      <c r="I240" s="14" t="n"/>
      <c r="J240" s="16" t="n"/>
      <c r="K240" s="124">
        <f>IF(J240="","",COUNTIFS($C$18:$C$2015,J$13,$D$18:$D$2015,"&gt;="&amp;J240,$D$18:$D$2015,"&lt;"&amp;J241))</f>
        <v/>
      </c>
      <c r="L240" s="14" t="n"/>
      <c r="M240" s="16" t="n"/>
      <c r="N240" s="124">
        <f>IF(M240="","",COUNTIFS($C$18:$C$2015,M$13,$D$18:$D$2015,"&gt;="&amp;M240,$D$18:$D$2015,"&lt;"&amp;M241))</f>
        <v/>
      </c>
      <c r="O240" s="14" t="n"/>
      <c r="P240" s="16" t="n"/>
      <c r="Q240" s="124">
        <f>IF(P240="","",COUNTIFS($C$18:$C$2015,P$13,$D$18:$D$2015,"&gt;="&amp;P240,$D$18:$D$2015,"&lt;"&amp;P241))</f>
        <v/>
      </c>
      <c r="R240" s="14" t="n"/>
      <c r="S240" s="16" t="n"/>
      <c r="T240" s="124">
        <f>IF(S240="","",COUNTIFS($C$18:$C$2015,S$13,$D$18:$D$2015,"&gt;="&amp;S240,$D$18:$D$2015,"&lt;"&amp;S241))</f>
        <v/>
      </c>
      <c r="U240" s="14" t="n"/>
      <c r="V240" s="16" t="n"/>
      <c r="W240" s="124">
        <f>IF(V240="","",COUNTIFS($C$18:$C$2015,V$13,$D$18:$D$2015,"&gt;="&amp;V240,$D$18:$D$2015,"&lt;"&amp;V241))</f>
        <v/>
      </c>
      <c r="X240" s="14" t="n"/>
      <c r="Y240" s="16" t="n"/>
      <c r="Z240" s="124">
        <f>IF(Y240="","",COUNTIFS($C$18:$C$2015,Y$13,$D$18:$D$2015,"&gt;="&amp;Y240,$D$18:$D$2015,"&lt;"&amp;Y241))</f>
        <v/>
      </c>
      <c r="AA240" s="14" t="n"/>
      <c r="AB240" s="16" t="n"/>
      <c r="AC240" s="124">
        <f>IF(AB240="","",COUNTIFS($C$18:$C$2015,AB$13,$D$18:$D$2015,"&gt;="&amp;AB240,$D$18:$D$2015,"&lt;"&amp;AB241))</f>
        <v/>
      </c>
      <c r="AD240" s="14" t="n"/>
    </row>
    <row r="241">
      <c r="A241" s="58" t="n"/>
      <c r="B241" s="59" t="n"/>
      <c r="C241" s="59" t="n"/>
      <c r="E241" s="16" t="n"/>
      <c r="F241" s="13" t="n"/>
      <c r="G241" s="16" t="n"/>
      <c r="H241" s="124">
        <f>IF(G241="","",COUNTIFS($C$18:$C$2015,G$13,$D$18:$D$2015,"&gt;="&amp;G241,$D$18:$D$2015,"&lt;"&amp;G242))</f>
        <v/>
      </c>
      <c r="I241" s="14" t="n"/>
      <c r="J241" s="16" t="n"/>
      <c r="K241" s="124">
        <f>IF(J241="","",COUNTIFS($C$18:$C$2015,J$13,$D$18:$D$2015,"&gt;="&amp;J241,$D$18:$D$2015,"&lt;"&amp;J242))</f>
        <v/>
      </c>
      <c r="L241" s="14" t="n"/>
      <c r="M241" s="16" t="n"/>
      <c r="N241" s="124">
        <f>IF(M241="","",COUNTIFS($C$18:$C$2015,M$13,$D$18:$D$2015,"&gt;="&amp;M241,$D$18:$D$2015,"&lt;"&amp;M242))</f>
        <v/>
      </c>
      <c r="O241" s="14" t="n"/>
      <c r="P241" s="16" t="n"/>
      <c r="Q241" s="124">
        <f>IF(P241="","",COUNTIFS($C$18:$C$2015,P$13,$D$18:$D$2015,"&gt;="&amp;P241,$D$18:$D$2015,"&lt;"&amp;P242))</f>
        <v/>
      </c>
      <c r="R241" s="14" t="n"/>
      <c r="S241" s="16" t="n"/>
      <c r="T241" s="124">
        <f>IF(S241="","",COUNTIFS($C$18:$C$2015,S$13,$D$18:$D$2015,"&gt;="&amp;S241,$D$18:$D$2015,"&lt;"&amp;S242))</f>
        <v/>
      </c>
      <c r="U241" s="14" t="n"/>
      <c r="V241" s="16" t="n"/>
      <c r="W241" s="124">
        <f>IF(V241="","",COUNTIFS($C$18:$C$2015,V$13,$D$18:$D$2015,"&gt;="&amp;V241,$D$18:$D$2015,"&lt;"&amp;V242))</f>
        <v/>
      </c>
      <c r="X241" s="14" t="n"/>
      <c r="Y241" s="16" t="n"/>
      <c r="Z241" s="124">
        <f>IF(Y241="","",COUNTIFS($C$18:$C$2015,Y$13,$D$18:$D$2015,"&gt;="&amp;Y241,$D$18:$D$2015,"&lt;"&amp;Y242))</f>
        <v/>
      </c>
      <c r="AA241" s="14" t="n"/>
      <c r="AB241" s="16" t="n"/>
      <c r="AC241" s="124">
        <f>IF(AB241="","",COUNTIFS($C$18:$C$2015,AB$13,$D$18:$D$2015,"&gt;="&amp;AB241,$D$18:$D$2015,"&lt;"&amp;AB242))</f>
        <v/>
      </c>
      <c r="AD241" s="14" t="n"/>
    </row>
    <row r="242">
      <c r="A242" s="56" t="n"/>
      <c r="B242" s="59" t="n"/>
      <c r="C242" s="59" t="n"/>
      <c r="E242" s="16" t="n"/>
      <c r="F242" s="13" t="n"/>
      <c r="G242" s="16" t="n"/>
      <c r="H242" s="124">
        <f>IF(G242="","",COUNTIFS($C$18:$C$2015,G$13,$D$18:$D$2015,"&gt;="&amp;G242,$D$18:$D$2015,"&lt;"&amp;G243))</f>
        <v/>
      </c>
      <c r="I242" s="14" t="n"/>
      <c r="J242" s="16" t="n"/>
      <c r="K242" s="124">
        <f>IF(J242="","",COUNTIFS($C$18:$C$2015,J$13,$D$18:$D$2015,"&gt;="&amp;J242,$D$18:$D$2015,"&lt;"&amp;J243))</f>
        <v/>
      </c>
      <c r="L242" s="14" t="n"/>
      <c r="M242" s="16" t="n"/>
      <c r="N242" s="124">
        <f>IF(M242="","",COUNTIFS($C$18:$C$2015,M$13,$D$18:$D$2015,"&gt;="&amp;M242,$D$18:$D$2015,"&lt;"&amp;M243))</f>
        <v/>
      </c>
      <c r="O242" s="14" t="n"/>
      <c r="P242" s="16" t="n"/>
      <c r="Q242" s="124">
        <f>IF(P242="","",COUNTIFS($C$18:$C$2015,P$13,$D$18:$D$2015,"&gt;="&amp;P242,$D$18:$D$2015,"&lt;"&amp;P243))</f>
        <v/>
      </c>
      <c r="R242" s="14" t="n"/>
      <c r="S242" s="16" t="n"/>
      <c r="T242" s="124">
        <f>IF(S242="","",COUNTIFS($C$18:$C$2015,S$13,$D$18:$D$2015,"&gt;="&amp;S242,$D$18:$D$2015,"&lt;"&amp;S243))</f>
        <v/>
      </c>
      <c r="U242" s="14" t="n"/>
      <c r="V242" s="16" t="n"/>
      <c r="W242" s="124">
        <f>IF(V242="","",COUNTIFS($C$18:$C$2015,V$13,$D$18:$D$2015,"&gt;="&amp;V242,$D$18:$D$2015,"&lt;"&amp;V243))</f>
        <v/>
      </c>
      <c r="X242" s="14" t="n"/>
      <c r="Y242" s="16" t="n"/>
      <c r="Z242" s="124">
        <f>IF(Y242="","",COUNTIFS($C$18:$C$2015,Y$13,$D$18:$D$2015,"&gt;="&amp;Y242,$D$18:$D$2015,"&lt;"&amp;Y243))</f>
        <v/>
      </c>
      <c r="AA242" s="14" t="n"/>
      <c r="AB242" s="16" t="n"/>
      <c r="AC242" s="124">
        <f>IF(AB242="","",COUNTIFS($C$18:$C$2015,AB$13,$D$18:$D$2015,"&gt;="&amp;AB242,$D$18:$D$2015,"&lt;"&amp;AB243))</f>
        <v/>
      </c>
      <c r="AD242" s="14" t="n"/>
    </row>
    <row r="243">
      <c r="A243" s="58" t="n"/>
      <c r="B243" s="59" t="n"/>
      <c r="C243" s="59" t="n"/>
      <c r="E243" s="16" t="n"/>
      <c r="F243" s="13" t="n"/>
      <c r="G243" s="16" t="n"/>
      <c r="H243" s="124">
        <f>IF(G243="","",COUNTIFS($C$18:$C$2015,G$13,$D$18:$D$2015,"&gt;="&amp;G243,$D$18:$D$2015,"&lt;"&amp;G244))</f>
        <v/>
      </c>
      <c r="I243" s="14" t="n"/>
      <c r="J243" s="16" t="n"/>
      <c r="K243" s="124">
        <f>IF(J243="","",COUNTIFS($C$18:$C$2015,J$13,$D$18:$D$2015,"&gt;="&amp;J243,$D$18:$D$2015,"&lt;"&amp;J244))</f>
        <v/>
      </c>
      <c r="L243" s="14" t="n"/>
      <c r="M243" s="16" t="n"/>
      <c r="N243" s="124">
        <f>IF(M243="","",COUNTIFS($C$18:$C$2015,M$13,$D$18:$D$2015,"&gt;="&amp;M243,$D$18:$D$2015,"&lt;"&amp;M244))</f>
        <v/>
      </c>
      <c r="O243" s="14" t="n"/>
      <c r="P243" s="16" t="n"/>
      <c r="Q243" s="124">
        <f>IF(P243="","",COUNTIFS($C$18:$C$2015,P$13,$D$18:$D$2015,"&gt;="&amp;P243,$D$18:$D$2015,"&lt;"&amp;P244))</f>
        <v/>
      </c>
      <c r="R243" s="14" t="n"/>
      <c r="S243" s="16" t="n"/>
      <c r="T243" s="124">
        <f>IF(S243="","",COUNTIFS($C$18:$C$2015,S$13,$D$18:$D$2015,"&gt;="&amp;S243,$D$18:$D$2015,"&lt;"&amp;S244))</f>
        <v/>
      </c>
      <c r="U243" s="14" t="n"/>
      <c r="V243" s="16" t="n"/>
      <c r="W243" s="124">
        <f>IF(V243="","",COUNTIFS($C$18:$C$2015,V$13,$D$18:$D$2015,"&gt;="&amp;V243,$D$18:$D$2015,"&lt;"&amp;V244))</f>
        <v/>
      </c>
      <c r="X243" s="14" t="n"/>
      <c r="Y243" s="16" t="n"/>
      <c r="Z243" s="124">
        <f>IF(Y243="","",COUNTIFS($C$18:$C$2015,Y$13,$D$18:$D$2015,"&gt;="&amp;Y243,$D$18:$D$2015,"&lt;"&amp;Y244))</f>
        <v/>
      </c>
      <c r="AA243" s="14" t="n"/>
      <c r="AB243" s="16" t="n"/>
      <c r="AC243" s="124">
        <f>IF(AB243="","",COUNTIFS($C$18:$C$2015,AB$13,$D$18:$D$2015,"&gt;="&amp;AB243,$D$18:$D$2015,"&lt;"&amp;AB244))</f>
        <v/>
      </c>
      <c r="AD243" s="14" t="n"/>
    </row>
    <row r="244">
      <c r="A244" s="56" t="n"/>
      <c r="B244" s="59" t="n"/>
      <c r="C244" s="59" t="n"/>
      <c r="E244" s="16" t="n"/>
      <c r="F244" s="13" t="n"/>
      <c r="G244" s="16" t="n"/>
      <c r="H244" s="124">
        <f>IF(G244="","",COUNTIFS($C$18:$C$2015,G$13,$D$18:$D$2015,"&gt;="&amp;G244,$D$18:$D$2015,"&lt;"&amp;G245))</f>
        <v/>
      </c>
      <c r="I244" s="14" t="n"/>
      <c r="J244" s="16" t="n"/>
      <c r="K244" s="124">
        <f>IF(J244="","",COUNTIFS($C$18:$C$2015,J$13,$D$18:$D$2015,"&gt;="&amp;J244,$D$18:$D$2015,"&lt;"&amp;J245))</f>
        <v/>
      </c>
      <c r="L244" s="14" t="n"/>
      <c r="M244" s="16" t="n"/>
      <c r="N244" s="124">
        <f>IF(M244="","",COUNTIFS($C$18:$C$2015,M$13,$D$18:$D$2015,"&gt;="&amp;M244,$D$18:$D$2015,"&lt;"&amp;M245))</f>
        <v/>
      </c>
      <c r="O244" s="14" t="n"/>
      <c r="P244" s="16" t="n"/>
      <c r="Q244" s="124">
        <f>IF(P244="","",COUNTIFS($C$18:$C$2015,P$13,$D$18:$D$2015,"&gt;="&amp;P244,$D$18:$D$2015,"&lt;"&amp;P245))</f>
        <v/>
      </c>
      <c r="R244" s="14" t="n"/>
      <c r="S244" s="16" t="n"/>
      <c r="T244" s="124">
        <f>IF(S244="","",COUNTIFS($C$18:$C$2015,S$13,$D$18:$D$2015,"&gt;="&amp;S244,$D$18:$D$2015,"&lt;"&amp;S245))</f>
        <v/>
      </c>
      <c r="U244" s="14" t="n"/>
      <c r="V244" s="16" t="n"/>
      <c r="W244" s="124">
        <f>IF(V244="","",COUNTIFS($C$18:$C$2015,V$13,$D$18:$D$2015,"&gt;="&amp;V244,$D$18:$D$2015,"&lt;"&amp;V245))</f>
        <v/>
      </c>
      <c r="X244" s="14" t="n"/>
      <c r="Y244" s="16" t="n"/>
      <c r="Z244" s="124">
        <f>IF(Y244="","",COUNTIFS($C$18:$C$2015,Y$13,$D$18:$D$2015,"&gt;="&amp;Y244,$D$18:$D$2015,"&lt;"&amp;Y245))</f>
        <v/>
      </c>
      <c r="AA244" s="14" t="n"/>
      <c r="AB244" s="16" t="n"/>
      <c r="AC244" s="124">
        <f>IF(AB244="","",COUNTIFS($C$18:$C$2015,AB$13,$D$18:$D$2015,"&gt;="&amp;AB244,$D$18:$D$2015,"&lt;"&amp;AB245))</f>
        <v/>
      </c>
      <c r="AD244" s="14" t="n"/>
    </row>
    <row r="245">
      <c r="A245" s="58" t="n"/>
      <c r="B245" s="59" t="n"/>
      <c r="C245" s="59" t="n"/>
      <c r="E245" s="16" t="n"/>
      <c r="F245" s="13" t="n"/>
      <c r="G245" s="16" t="n"/>
      <c r="H245" s="124">
        <f>IF(G245="","",COUNTIFS($C$18:$C$2015,G$13,$D$18:$D$2015,"&gt;="&amp;G245,$D$18:$D$2015,"&lt;"&amp;G246))</f>
        <v/>
      </c>
      <c r="I245" s="14" t="n"/>
      <c r="J245" s="16" t="n"/>
      <c r="K245" s="124">
        <f>IF(J245="","",COUNTIFS($C$18:$C$2015,J$13,$D$18:$D$2015,"&gt;="&amp;J245,$D$18:$D$2015,"&lt;"&amp;J246))</f>
        <v/>
      </c>
      <c r="L245" s="14" t="n"/>
      <c r="M245" s="16" t="n"/>
      <c r="N245" s="124">
        <f>IF(M245="","",COUNTIFS($C$18:$C$2015,M$13,$D$18:$D$2015,"&gt;="&amp;M245,$D$18:$D$2015,"&lt;"&amp;M246))</f>
        <v/>
      </c>
      <c r="O245" s="14" t="n"/>
      <c r="P245" s="16" t="n"/>
      <c r="Q245" s="124">
        <f>IF(P245="","",COUNTIFS($C$18:$C$2015,P$13,$D$18:$D$2015,"&gt;="&amp;P245,$D$18:$D$2015,"&lt;"&amp;P246))</f>
        <v/>
      </c>
      <c r="R245" s="14" t="n"/>
      <c r="S245" s="16" t="n"/>
      <c r="T245" s="124">
        <f>IF(S245="","",COUNTIFS($C$18:$C$2015,S$13,$D$18:$D$2015,"&gt;="&amp;S245,$D$18:$D$2015,"&lt;"&amp;S246))</f>
        <v/>
      </c>
      <c r="U245" s="14" t="n"/>
      <c r="V245" s="16" t="n"/>
      <c r="W245" s="124">
        <f>IF(V245="","",COUNTIFS($C$18:$C$2015,V$13,$D$18:$D$2015,"&gt;="&amp;V245,$D$18:$D$2015,"&lt;"&amp;V246))</f>
        <v/>
      </c>
      <c r="X245" s="14" t="n"/>
      <c r="Y245" s="16" t="n"/>
      <c r="Z245" s="124">
        <f>IF(Y245="","",COUNTIFS($C$18:$C$2015,Y$13,$D$18:$D$2015,"&gt;="&amp;Y245,$D$18:$D$2015,"&lt;"&amp;Y246))</f>
        <v/>
      </c>
      <c r="AA245" s="14" t="n"/>
      <c r="AB245" s="16" t="n"/>
      <c r="AC245" s="124">
        <f>IF(AB245="","",COUNTIFS($C$18:$C$2015,AB$13,$D$18:$D$2015,"&gt;="&amp;AB245,$D$18:$D$2015,"&lt;"&amp;AB246))</f>
        <v/>
      </c>
      <c r="AD245" s="14" t="n"/>
    </row>
    <row r="246">
      <c r="A246" s="56" t="n"/>
      <c r="B246" s="59" t="n"/>
      <c r="C246" s="59" t="n"/>
      <c r="E246" s="16" t="n"/>
      <c r="F246" s="13" t="n"/>
      <c r="G246" s="16" t="n"/>
      <c r="H246" s="124">
        <f>IF(G246="","",COUNTIFS($C$18:$C$2015,G$13,$D$18:$D$2015,"&gt;="&amp;G246,$D$18:$D$2015,"&lt;"&amp;G247))</f>
        <v/>
      </c>
      <c r="I246" s="14" t="n"/>
      <c r="J246" s="16" t="n"/>
      <c r="K246" s="124">
        <f>IF(J246="","",COUNTIFS($C$18:$C$2015,J$13,$D$18:$D$2015,"&gt;="&amp;J246,$D$18:$D$2015,"&lt;"&amp;J247))</f>
        <v/>
      </c>
      <c r="L246" s="14" t="n"/>
      <c r="M246" s="16" t="n"/>
      <c r="N246" s="124">
        <f>IF(M246="","",COUNTIFS($C$18:$C$2015,M$13,$D$18:$D$2015,"&gt;="&amp;M246,$D$18:$D$2015,"&lt;"&amp;M247))</f>
        <v/>
      </c>
      <c r="O246" s="14" t="n"/>
      <c r="P246" s="16" t="n"/>
      <c r="Q246" s="124">
        <f>IF(P246="","",COUNTIFS($C$18:$C$2015,P$13,$D$18:$D$2015,"&gt;="&amp;P246,$D$18:$D$2015,"&lt;"&amp;P247))</f>
        <v/>
      </c>
      <c r="R246" s="14" t="n"/>
      <c r="S246" s="16" t="n"/>
      <c r="T246" s="124">
        <f>IF(S246="","",COUNTIFS($C$18:$C$2015,S$13,$D$18:$D$2015,"&gt;="&amp;S246,$D$18:$D$2015,"&lt;"&amp;S247))</f>
        <v/>
      </c>
      <c r="U246" s="14" t="n"/>
      <c r="V246" s="16" t="n"/>
      <c r="W246" s="124">
        <f>IF(V246="","",COUNTIFS($C$18:$C$2015,V$13,$D$18:$D$2015,"&gt;="&amp;V246,$D$18:$D$2015,"&lt;"&amp;V247))</f>
        <v/>
      </c>
      <c r="X246" s="14" t="n"/>
      <c r="Y246" s="16" t="n"/>
      <c r="Z246" s="124">
        <f>IF(Y246="","",COUNTIFS($C$18:$C$2015,Y$13,$D$18:$D$2015,"&gt;="&amp;Y246,$D$18:$D$2015,"&lt;"&amp;Y247))</f>
        <v/>
      </c>
      <c r="AA246" s="14" t="n"/>
      <c r="AB246" s="16" t="n"/>
      <c r="AC246" s="124">
        <f>IF(AB246="","",COUNTIFS($C$18:$C$2015,AB$13,$D$18:$D$2015,"&gt;="&amp;AB246,$D$18:$D$2015,"&lt;"&amp;AB247))</f>
        <v/>
      </c>
      <c r="AD246" s="14" t="n"/>
    </row>
    <row r="247">
      <c r="A247" s="58" t="n"/>
      <c r="B247" s="59" t="n"/>
      <c r="C247" s="59" t="n"/>
      <c r="E247" s="16" t="n"/>
      <c r="F247" s="13" t="n"/>
      <c r="G247" s="16" t="n"/>
      <c r="H247" s="124">
        <f>IF(G247="","",COUNTIFS($C$18:$C$2015,G$13,$D$18:$D$2015,"&gt;="&amp;G247,$D$18:$D$2015,"&lt;"&amp;G248))</f>
        <v/>
      </c>
      <c r="I247" s="14" t="n"/>
      <c r="J247" s="16" t="n"/>
      <c r="K247" s="124">
        <f>IF(J247="","",COUNTIFS($C$18:$C$2015,J$13,$D$18:$D$2015,"&gt;="&amp;J247,$D$18:$D$2015,"&lt;"&amp;J248))</f>
        <v/>
      </c>
      <c r="L247" s="14" t="n"/>
      <c r="M247" s="16" t="n"/>
      <c r="N247" s="124">
        <f>IF(M247="","",COUNTIFS($C$18:$C$2015,M$13,$D$18:$D$2015,"&gt;="&amp;M247,$D$18:$D$2015,"&lt;"&amp;M248))</f>
        <v/>
      </c>
      <c r="O247" s="14" t="n"/>
      <c r="P247" s="16" t="n"/>
      <c r="Q247" s="124">
        <f>IF(P247="","",COUNTIFS($C$18:$C$2015,P$13,$D$18:$D$2015,"&gt;="&amp;P247,$D$18:$D$2015,"&lt;"&amp;P248))</f>
        <v/>
      </c>
      <c r="R247" s="14" t="n"/>
      <c r="S247" s="16" t="n"/>
      <c r="T247" s="124">
        <f>IF(S247="","",COUNTIFS($C$18:$C$2015,S$13,$D$18:$D$2015,"&gt;="&amp;S247,$D$18:$D$2015,"&lt;"&amp;S248))</f>
        <v/>
      </c>
      <c r="U247" s="14" t="n"/>
      <c r="V247" s="16" t="n"/>
      <c r="W247" s="124">
        <f>IF(V247="","",COUNTIFS($C$18:$C$2015,V$13,$D$18:$D$2015,"&gt;="&amp;V247,$D$18:$D$2015,"&lt;"&amp;V248))</f>
        <v/>
      </c>
      <c r="X247" s="14" t="n"/>
      <c r="Y247" s="16" t="n"/>
      <c r="Z247" s="124">
        <f>IF(Y247="","",COUNTIFS($C$18:$C$2015,Y$13,$D$18:$D$2015,"&gt;="&amp;Y247,$D$18:$D$2015,"&lt;"&amp;Y248))</f>
        <v/>
      </c>
      <c r="AA247" s="14" t="n"/>
      <c r="AB247" s="16" t="n"/>
      <c r="AC247" s="124">
        <f>IF(AB247="","",COUNTIFS($C$18:$C$2015,AB$13,$D$18:$D$2015,"&gt;="&amp;AB247,$D$18:$D$2015,"&lt;"&amp;AB248))</f>
        <v/>
      </c>
      <c r="AD247" s="14" t="n"/>
    </row>
    <row r="248">
      <c r="A248" s="56" t="n"/>
      <c r="B248" s="59" t="n"/>
      <c r="C248" s="59" t="n"/>
      <c r="E248" s="16" t="n"/>
      <c r="F248" s="13" t="n"/>
      <c r="G248" s="16" t="n"/>
      <c r="H248" s="124">
        <f>IF(G248="","",COUNTIFS($C$18:$C$2015,G$13,$D$18:$D$2015,"&gt;="&amp;G248,$D$18:$D$2015,"&lt;"&amp;G249))</f>
        <v/>
      </c>
      <c r="I248" s="14" t="n"/>
      <c r="J248" s="16" t="n"/>
      <c r="K248" s="124">
        <f>IF(J248="","",COUNTIFS($C$18:$C$2015,J$13,$D$18:$D$2015,"&gt;="&amp;J248,$D$18:$D$2015,"&lt;"&amp;J249))</f>
        <v/>
      </c>
      <c r="L248" s="14" t="n"/>
      <c r="M248" s="16" t="n"/>
      <c r="N248" s="124">
        <f>IF(M248="","",COUNTIFS($C$18:$C$2015,M$13,$D$18:$D$2015,"&gt;="&amp;M248,$D$18:$D$2015,"&lt;"&amp;M249))</f>
        <v/>
      </c>
      <c r="O248" s="14" t="n"/>
      <c r="P248" s="16" t="n"/>
      <c r="Q248" s="124">
        <f>IF(P248="","",COUNTIFS($C$18:$C$2015,P$13,$D$18:$D$2015,"&gt;="&amp;P248,$D$18:$D$2015,"&lt;"&amp;P249))</f>
        <v/>
      </c>
      <c r="R248" s="14" t="n"/>
      <c r="S248" s="16" t="n"/>
      <c r="T248" s="124">
        <f>IF(S248="","",COUNTIFS($C$18:$C$2015,S$13,$D$18:$D$2015,"&gt;="&amp;S248,$D$18:$D$2015,"&lt;"&amp;S249))</f>
        <v/>
      </c>
      <c r="U248" s="14" t="n"/>
      <c r="V248" s="16" t="n"/>
      <c r="W248" s="124">
        <f>IF(V248="","",COUNTIFS($C$18:$C$2015,V$13,$D$18:$D$2015,"&gt;="&amp;V248,$D$18:$D$2015,"&lt;"&amp;V249))</f>
        <v/>
      </c>
      <c r="X248" s="14" t="n"/>
      <c r="Y248" s="16" t="n"/>
      <c r="Z248" s="124">
        <f>IF(Y248="","",COUNTIFS($C$18:$C$2015,Y$13,$D$18:$D$2015,"&gt;="&amp;Y248,$D$18:$D$2015,"&lt;"&amp;Y249))</f>
        <v/>
      </c>
      <c r="AA248" s="14" t="n"/>
      <c r="AB248" s="16" t="n"/>
      <c r="AC248" s="124">
        <f>IF(AB248="","",COUNTIFS($C$18:$C$2015,AB$13,$D$18:$D$2015,"&gt;="&amp;AB248,$D$18:$D$2015,"&lt;"&amp;AB249))</f>
        <v/>
      </c>
      <c r="AD248" s="14" t="n"/>
    </row>
    <row r="249">
      <c r="A249" s="58" t="n"/>
      <c r="B249" s="59" t="n"/>
      <c r="C249" s="59" t="n"/>
      <c r="E249" s="16" t="n"/>
      <c r="F249" s="13" t="n"/>
      <c r="G249" s="16" t="n"/>
      <c r="H249" s="124">
        <f>IF(G249="","",COUNTIFS($C$18:$C$2015,G$13,$D$18:$D$2015,"&gt;="&amp;G249,$D$18:$D$2015,"&lt;"&amp;G250))</f>
        <v/>
      </c>
      <c r="I249" s="14" t="n"/>
      <c r="J249" s="16" t="n"/>
      <c r="K249" s="124">
        <f>IF(J249="","",COUNTIFS($C$18:$C$2015,J$13,$D$18:$D$2015,"&gt;="&amp;J249,$D$18:$D$2015,"&lt;"&amp;J250))</f>
        <v/>
      </c>
      <c r="L249" s="14" t="n"/>
      <c r="M249" s="16" t="n"/>
      <c r="N249" s="124">
        <f>IF(M249="","",COUNTIFS($C$18:$C$2015,M$13,$D$18:$D$2015,"&gt;="&amp;M249,$D$18:$D$2015,"&lt;"&amp;M250))</f>
        <v/>
      </c>
      <c r="O249" s="14" t="n"/>
      <c r="P249" s="16" t="n"/>
      <c r="Q249" s="124">
        <f>IF(P249="","",COUNTIFS($C$18:$C$2015,P$13,$D$18:$D$2015,"&gt;="&amp;P249,$D$18:$D$2015,"&lt;"&amp;P250))</f>
        <v/>
      </c>
      <c r="R249" s="14" t="n"/>
      <c r="S249" s="16" t="n"/>
      <c r="T249" s="124">
        <f>IF(S249="","",COUNTIFS($C$18:$C$2015,S$13,$D$18:$D$2015,"&gt;="&amp;S249,$D$18:$D$2015,"&lt;"&amp;S250))</f>
        <v/>
      </c>
      <c r="U249" s="14" t="n"/>
      <c r="V249" s="16" t="n"/>
      <c r="W249" s="124">
        <f>IF(V249="","",COUNTIFS($C$18:$C$2015,V$13,$D$18:$D$2015,"&gt;="&amp;V249,$D$18:$D$2015,"&lt;"&amp;V250))</f>
        <v/>
      </c>
      <c r="X249" s="14" t="n"/>
      <c r="Y249" s="16" t="n"/>
      <c r="Z249" s="124">
        <f>IF(Y249="","",COUNTIFS($C$18:$C$2015,Y$13,$D$18:$D$2015,"&gt;="&amp;Y249,$D$18:$D$2015,"&lt;"&amp;Y250))</f>
        <v/>
      </c>
      <c r="AA249" s="14" t="n"/>
      <c r="AB249" s="16" t="n"/>
      <c r="AC249" s="124">
        <f>IF(AB249="","",COUNTIFS($C$18:$C$2015,AB$13,$D$18:$D$2015,"&gt;="&amp;AB249,$D$18:$D$2015,"&lt;"&amp;AB250))</f>
        <v/>
      </c>
      <c r="AD249" s="14" t="n"/>
    </row>
    <row r="250">
      <c r="A250" s="56" t="n"/>
      <c r="B250" s="59" t="n"/>
      <c r="C250" s="59" t="n"/>
      <c r="E250" s="16" t="n"/>
      <c r="F250" s="13" t="n"/>
      <c r="G250" s="16" t="n"/>
      <c r="H250" s="124">
        <f>IF(G250="","",COUNTIFS($C$18:$C$2015,G$13,$D$18:$D$2015,"&gt;="&amp;G250,$D$18:$D$2015,"&lt;"&amp;G251))</f>
        <v/>
      </c>
      <c r="I250" s="14" t="n"/>
      <c r="J250" s="16" t="n"/>
      <c r="K250" s="124">
        <f>IF(J250="","",COUNTIFS($C$18:$C$2015,J$13,$D$18:$D$2015,"&gt;="&amp;J250,$D$18:$D$2015,"&lt;"&amp;J251))</f>
        <v/>
      </c>
      <c r="L250" s="14" t="n"/>
      <c r="M250" s="16" t="n"/>
      <c r="N250" s="124">
        <f>IF(M250="","",COUNTIFS($C$18:$C$2015,M$13,$D$18:$D$2015,"&gt;="&amp;M250,$D$18:$D$2015,"&lt;"&amp;M251))</f>
        <v/>
      </c>
      <c r="O250" s="14" t="n"/>
      <c r="P250" s="16" t="n"/>
      <c r="Q250" s="124">
        <f>IF(P250="","",COUNTIFS($C$18:$C$2015,P$13,$D$18:$D$2015,"&gt;="&amp;P250,$D$18:$D$2015,"&lt;"&amp;P251))</f>
        <v/>
      </c>
      <c r="R250" s="14" t="n"/>
      <c r="S250" s="16" t="n"/>
      <c r="T250" s="124">
        <f>IF(S250="","",COUNTIFS($C$18:$C$2015,S$13,$D$18:$D$2015,"&gt;="&amp;S250,$D$18:$D$2015,"&lt;"&amp;S251))</f>
        <v/>
      </c>
      <c r="U250" s="14" t="n"/>
      <c r="V250" s="16" t="n"/>
      <c r="W250" s="124">
        <f>IF(V250="","",COUNTIFS($C$18:$C$2015,V$13,$D$18:$D$2015,"&gt;="&amp;V250,$D$18:$D$2015,"&lt;"&amp;V251))</f>
        <v/>
      </c>
      <c r="X250" s="14" t="n"/>
      <c r="Y250" s="16" t="n"/>
      <c r="Z250" s="124">
        <f>IF(Y250="","",COUNTIFS($C$18:$C$2015,Y$13,$D$18:$D$2015,"&gt;="&amp;Y250,$D$18:$D$2015,"&lt;"&amp;Y251))</f>
        <v/>
      </c>
      <c r="AA250" s="14" t="n"/>
      <c r="AB250" s="16" t="n"/>
      <c r="AC250" s="124">
        <f>IF(AB250="","",COUNTIFS($C$18:$C$2015,AB$13,$D$18:$D$2015,"&gt;="&amp;AB250,$D$18:$D$2015,"&lt;"&amp;AB251))</f>
        <v/>
      </c>
      <c r="AD250" s="14" t="n"/>
    </row>
    <row r="251">
      <c r="A251" s="58" t="n"/>
      <c r="B251" s="59" t="n"/>
      <c r="C251" s="59" t="n"/>
      <c r="E251" s="16" t="n"/>
      <c r="F251" s="13" t="n"/>
      <c r="G251" s="16" t="n"/>
      <c r="H251" s="124">
        <f>IF(G251="","",COUNTIFS($C$18:$C$2015,G$13,$D$18:$D$2015,"&gt;="&amp;G251,$D$18:$D$2015,"&lt;"&amp;G252))</f>
        <v/>
      </c>
      <c r="I251" s="14" t="n"/>
      <c r="J251" s="16" t="n"/>
      <c r="K251" s="124">
        <f>IF(J251="","",COUNTIFS($C$18:$C$2015,J$13,$D$18:$D$2015,"&gt;="&amp;J251,$D$18:$D$2015,"&lt;"&amp;J252))</f>
        <v/>
      </c>
      <c r="L251" s="14" t="n"/>
      <c r="M251" s="16" t="n"/>
      <c r="N251" s="124">
        <f>IF(M251="","",COUNTIFS($C$18:$C$2015,M$13,$D$18:$D$2015,"&gt;="&amp;M251,$D$18:$D$2015,"&lt;"&amp;M252))</f>
        <v/>
      </c>
      <c r="O251" s="14" t="n"/>
      <c r="P251" s="16" t="n"/>
      <c r="Q251" s="124">
        <f>IF(P251="","",COUNTIFS($C$18:$C$2015,P$13,$D$18:$D$2015,"&gt;="&amp;P251,$D$18:$D$2015,"&lt;"&amp;P252))</f>
        <v/>
      </c>
      <c r="R251" s="14" t="n"/>
      <c r="S251" s="16" t="n"/>
      <c r="T251" s="124">
        <f>IF(S251="","",COUNTIFS($C$18:$C$2015,S$13,$D$18:$D$2015,"&gt;="&amp;S251,$D$18:$D$2015,"&lt;"&amp;S252))</f>
        <v/>
      </c>
      <c r="U251" s="14" t="n"/>
      <c r="V251" s="16" t="n"/>
      <c r="W251" s="124">
        <f>IF(V251="","",COUNTIFS($C$18:$C$2015,V$13,$D$18:$D$2015,"&gt;="&amp;V251,$D$18:$D$2015,"&lt;"&amp;V252))</f>
        <v/>
      </c>
      <c r="X251" s="14" t="n"/>
      <c r="Y251" s="16" t="n"/>
      <c r="Z251" s="124">
        <f>IF(Y251="","",COUNTIFS($C$18:$C$2015,Y$13,$D$18:$D$2015,"&gt;="&amp;Y251,$D$18:$D$2015,"&lt;"&amp;Y252))</f>
        <v/>
      </c>
      <c r="AA251" s="14" t="n"/>
      <c r="AB251" s="16" t="n"/>
      <c r="AC251" s="124">
        <f>IF(AB251="","",COUNTIFS($C$18:$C$2015,AB$13,$D$18:$D$2015,"&gt;="&amp;AB251,$D$18:$D$2015,"&lt;"&amp;AB252))</f>
        <v/>
      </c>
      <c r="AD251" s="14" t="n"/>
    </row>
    <row r="252">
      <c r="A252" s="56" t="n"/>
      <c r="B252" s="59" t="n"/>
      <c r="C252" s="59" t="n"/>
      <c r="E252" s="16" t="n"/>
      <c r="F252" s="13" t="n"/>
      <c r="G252" s="16" t="n"/>
      <c r="H252" s="124">
        <f>IF(G252="","",COUNTIFS($C$18:$C$2015,G$13,$D$18:$D$2015,"&gt;="&amp;G252,$D$18:$D$2015,"&lt;"&amp;G253))</f>
        <v/>
      </c>
      <c r="I252" s="14" t="n"/>
      <c r="J252" s="16" t="n"/>
      <c r="K252" s="124">
        <f>IF(J252="","",COUNTIFS($C$18:$C$2015,J$13,$D$18:$D$2015,"&gt;="&amp;J252,$D$18:$D$2015,"&lt;"&amp;J253))</f>
        <v/>
      </c>
      <c r="L252" s="14" t="n"/>
      <c r="M252" s="16" t="n"/>
      <c r="N252" s="124">
        <f>IF(M252="","",COUNTIFS($C$18:$C$2015,M$13,$D$18:$D$2015,"&gt;="&amp;M252,$D$18:$D$2015,"&lt;"&amp;M253))</f>
        <v/>
      </c>
      <c r="O252" s="14" t="n"/>
      <c r="P252" s="16" t="n"/>
      <c r="Q252" s="124">
        <f>IF(P252="","",COUNTIFS($C$18:$C$2015,P$13,$D$18:$D$2015,"&gt;="&amp;P252,$D$18:$D$2015,"&lt;"&amp;P253))</f>
        <v/>
      </c>
      <c r="R252" s="14" t="n"/>
      <c r="S252" s="16" t="n"/>
      <c r="T252" s="124">
        <f>IF(S252="","",COUNTIFS($C$18:$C$2015,S$13,$D$18:$D$2015,"&gt;="&amp;S252,$D$18:$D$2015,"&lt;"&amp;S253))</f>
        <v/>
      </c>
      <c r="U252" s="14" t="n"/>
      <c r="V252" s="16" t="n"/>
      <c r="W252" s="124">
        <f>IF(V252="","",COUNTIFS($C$18:$C$2015,V$13,$D$18:$D$2015,"&gt;="&amp;V252,$D$18:$D$2015,"&lt;"&amp;V253))</f>
        <v/>
      </c>
      <c r="X252" s="14" t="n"/>
      <c r="Y252" s="16" t="n"/>
      <c r="Z252" s="124">
        <f>IF(Y252="","",COUNTIFS($C$18:$C$2015,Y$13,$D$18:$D$2015,"&gt;="&amp;Y252,$D$18:$D$2015,"&lt;"&amp;Y253))</f>
        <v/>
      </c>
      <c r="AA252" s="14" t="n"/>
      <c r="AB252" s="16" t="n"/>
      <c r="AC252" s="124">
        <f>IF(AB252="","",COUNTIFS($C$18:$C$2015,AB$13,$D$18:$D$2015,"&gt;="&amp;AB252,$D$18:$D$2015,"&lt;"&amp;AB253))</f>
        <v/>
      </c>
      <c r="AD252" s="14" t="n"/>
    </row>
    <row r="253">
      <c r="A253" s="58" t="n"/>
      <c r="B253" s="59" t="n"/>
      <c r="C253" s="59" t="n"/>
      <c r="E253" s="16" t="n"/>
      <c r="F253" s="13" t="n"/>
      <c r="G253" s="16" t="n"/>
      <c r="H253" s="124">
        <f>IF(G253="","",COUNTIFS($C$18:$C$2015,G$13,$D$18:$D$2015,"&gt;="&amp;G253,$D$18:$D$2015,"&lt;"&amp;G254))</f>
        <v/>
      </c>
      <c r="I253" s="14" t="n"/>
      <c r="J253" s="16" t="n"/>
      <c r="K253" s="124">
        <f>IF(J253="","",COUNTIFS($C$18:$C$2015,J$13,$D$18:$D$2015,"&gt;="&amp;J253,$D$18:$D$2015,"&lt;"&amp;J254))</f>
        <v/>
      </c>
      <c r="L253" s="14" t="n"/>
      <c r="M253" s="16" t="n"/>
      <c r="N253" s="124">
        <f>IF(M253="","",COUNTIFS($C$18:$C$2015,M$13,$D$18:$D$2015,"&gt;="&amp;M253,$D$18:$D$2015,"&lt;"&amp;M254))</f>
        <v/>
      </c>
      <c r="O253" s="14" t="n"/>
      <c r="P253" s="16" t="n"/>
      <c r="Q253" s="124">
        <f>IF(P253="","",COUNTIFS($C$18:$C$2015,P$13,$D$18:$D$2015,"&gt;="&amp;P253,$D$18:$D$2015,"&lt;"&amp;P254))</f>
        <v/>
      </c>
      <c r="R253" s="14" t="n"/>
      <c r="S253" s="16" t="n"/>
      <c r="T253" s="124">
        <f>IF(S253="","",COUNTIFS($C$18:$C$2015,S$13,$D$18:$D$2015,"&gt;="&amp;S253,$D$18:$D$2015,"&lt;"&amp;S254))</f>
        <v/>
      </c>
      <c r="U253" s="14" t="n"/>
      <c r="V253" s="16" t="n"/>
      <c r="W253" s="124">
        <f>IF(V253="","",COUNTIFS($C$18:$C$2015,V$13,$D$18:$D$2015,"&gt;="&amp;V253,$D$18:$D$2015,"&lt;"&amp;V254))</f>
        <v/>
      </c>
      <c r="X253" s="14" t="n"/>
      <c r="Y253" s="16" t="n"/>
      <c r="Z253" s="124">
        <f>IF(Y253="","",COUNTIFS($C$18:$C$2015,Y$13,$D$18:$D$2015,"&gt;="&amp;Y253,$D$18:$D$2015,"&lt;"&amp;Y254))</f>
        <v/>
      </c>
      <c r="AA253" s="14" t="n"/>
      <c r="AB253" s="16" t="n"/>
      <c r="AC253" s="124">
        <f>IF(AB253="","",COUNTIFS($C$18:$C$2015,AB$13,$D$18:$D$2015,"&gt;="&amp;AB253,$D$18:$D$2015,"&lt;"&amp;AB254))</f>
        <v/>
      </c>
      <c r="AD253" s="14" t="n"/>
    </row>
    <row r="254">
      <c r="A254" s="56" t="n"/>
      <c r="B254" s="59" t="n"/>
      <c r="C254" s="59" t="n"/>
      <c r="E254" s="16" t="n"/>
      <c r="F254" s="13" t="n"/>
      <c r="G254" s="16" t="n"/>
      <c r="H254" s="124">
        <f>IF(G254="","",COUNTIFS($C$18:$C$2015,G$13,$D$18:$D$2015,"&gt;="&amp;G254,$D$18:$D$2015,"&lt;"&amp;G255))</f>
        <v/>
      </c>
      <c r="I254" s="14" t="n"/>
      <c r="J254" s="16" t="n"/>
      <c r="K254" s="124">
        <f>IF(J254="","",COUNTIFS($C$18:$C$2015,J$13,$D$18:$D$2015,"&gt;="&amp;J254,$D$18:$D$2015,"&lt;"&amp;J255))</f>
        <v/>
      </c>
      <c r="L254" s="14" t="n"/>
      <c r="M254" s="16" t="n"/>
      <c r="N254" s="124">
        <f>IF(M254="","",COUNTIFS($C$18:$C$2015,M$13,$D$18:$D$2015,"&gt;="&amp;M254,$D$18:$D$2015,"&lt;"&amp;M255))</f>
        <v/>
      </c>
      <c r="O254" s="14" t="n"/>
      <c r="P254" s="16" t="n"/>
      <c r="Q254" s="124">
        <f>IF(P254="","",COUNTIFS($C$18:$C$2015,P$13,$D$18:$D$2015,"&gt;="&amp;P254,$D$18:$D$2015,"&lt;"&amp;P255))</f>
        <v/>
      </c>
      <c r="R254" s="14" t="n"/>
      <c r="S254" s="16" t="n"/>
      <c r="T254" s="124">
        <f>IF(S254="","",COUNTIFS($C$18:$C$2015,S$13,$D$18:$D$2015,"&gt;="&amp;S254,$D$18:$D$2015,"&lt;"&amp;S255))</f>
        <v/>
      </c>
      <c r="U254" s="14" t="n"/>
      <c r="V254" s="16" t="n"/>
      <c r="W254" s="124">
        <f>IF(V254="","",COUNTIFS($C$18:$C$2015,V$13,$D$18:$D$2015,"&gt;="&amp;V254,$D$18:$D$2015,"&lt;"&amp;V255))</f>
        <v/>
      </c>
      <c r="X254" s="14" t="n"/>
      <c r="Y254" s="16" t="n"/>
      <c r="Z254" s="124">
        <f>IF(Y254="","",COUNTIFS($C$18:$C$2015,Y$13,$D$18:$D$2015,"&gt;="&amp;Y254,$D$18:$D$2015,"&lt;"&amp;Y255))</f>
        <v/>
      </c>
      <c r="AA254" s="14" t="n"/>
      <c r="AB254" s="16" t="n"/>
      <c r="AC254" s="124">
        <f>IF(AB254="","",COUNTIFS($C$18:$C$2015,AB$13,$D$18:$D$2015,"&gt;="&amp;AB254,$D$18:$D$2015,"&lt;"&amp;AB255))</f>
        <v/>
      </c>
      <c r="AD254" s="14" t="n"/>
    </row>
    <row r="255">
      <c r="A255" s="58" t="n"/>
      <c r="B255" s="59" t="n"/>
      <c r="C255" s="59" t="n"/>
      <c r="E255" s="16" t="n"/>
      <c r="F255" s="13" t="n"/>
      <c r="G255" s="16" t="n"/>
      <c r="H255" s="124">
        <f>IF(G255="","",COUNTIFS($C$18:$C$2015,G$13,$D$18:$D$2015,"&gt;="&amp;G255,$D$18:$D$2015,"&lt;"&amp;G256))</f>
        <v/>
      </c>
      <c r="I255" s="14" t="n"/>
      <c r="J255" s="16" t="n"/>
      <c r="K255" s="124">
        <f>IF(J255="","",COUNTIFS($C$18:$C$2015,J$13,$D$18:$D$2015,"&gt;="&amp;J255,$D$18:$D$2015,"&lt;"&amp;J256))</f>
        <v/>
      </c>
      <c r="L255" s="14" t="n"/>
      <c r="M255" s="16" t="n"/>
      <c r="N255" s="124">
        <f>IF(M255="","",COUNTIFS($C$18:$C$2015,M$13,$D$18:$D$2015,"&gt;="&amp;M255,$D$18:$D$2015,"&lt;"&amp;M256))</f>
        <v/>
      </c>
      <c r="O255" s="14" t="n"/>
      <c r="P255" s="16" t="n"/>
      <c r="Q255" s="124">
        <f>IF(P255="","",COUNTIFS($C$18:$C$2015,P$13,$D$18:$D$2015,"&gt;="&amp;P255,$D$18:$D$2015,"&lt;"&amp;P256))</f>
        <v/>
      </c>
      <c r="R255" s="14" t="n"/>
      <c r="S255" s="16" t="n"/>
      <c r="T255" s="124">
        <f>IF(S255="","",COUNTIFS($C$18:$C$2015,S$13,$D$18:$D$2015,"&gt;="&amp;S255,$D$18:$D$2015,"&lt;"&amp;S256))</f>
        <v/>
      </c>
      <c r="U255" s="14" t="n"/>
      <c r="V255" s="16" t="n"/>
      <c r="W255" s="124">
        <f>IF(V255="","",COUNTIFS($C$18:$C$2015,V$13,$D$18:$D$2015,"&gt;="&amp;V255,$D$18:$D$2015,"&lt;"&amp;V256))</f>
        <v/>
      </c>
      <c r="X255" s="14" t="n"/>
      <c r="Y255" s="16" t="n"/>
      <c r="Z255" s="124">
        <f>IF(Y255="","",COUNTIFS($C$18:$C$2015,Y$13,$D$18:$D$2015,"&gt;="&amp;Y255,$D$18:$D$2015,"&lt;"&amp;Y256))</f>
        <v/>
      </c>
      <c r="AA255" s="14" t="n"/>
      <c r="AB255" s="16" t="n"/>
      <c r="AC255" s="124">
        <f>IF(AB255="","",COUNTIFS($C$18:$C$2015,AB$13,$D$18:$D$2015,"&gt;="&amp;AB255,$D$18:$D$2015,"&lt;"&amp;AB256))</f>
        <v/>
      </c>
      <c r="AD255" s="14" t="n"/>
    </row>
    <row r="256">
      <c r="A256" s="56" t="n"/>
      <c r="B256" s="59" t="n"/>
      <c r="C256" s="59" t="n"/>
      <c r="E256" s="16" t="n"/>
      <c r="F256" s="13" t="n"/>
      <c r="G256" s="16" t="n"/>
      <c r="H256" s="124">
        <f>IF(G256="","",COUNTIFS($C$18:$C$2015,G$13,$D$18:$D$2015,"&gt;="&amp;G256,$D$18:$D$2015,"&lt;"&amp;G257))</f>
        <v/>
      </c>
      <c r="I256" s="14" t="n"/>
      <c r="J256" s="16" t="n"/>
      <c r="K256" s="124">
        <f>IF(J256="","",COUNTIFS($C$18:$C$2015,J$13,$D$18:$D$2015,"&gt;="&amp;J256,$D$18:$D$2015,"&lt;"&amp;J257))</f>
        <v/>
      </c>
      <c r="L256" s="14" t="n"/>
      <c r="M256" s="16" t="n"/>
      <c r="N256" s="124">
        <f>IF(M256="","",COUNTIFS($C$18:$C$2015,M$13,$D$18:$D$2015,"&gt;="&amp;M256,$D$18:$D$2015,"&lt;"&amp;M257))</f>
        <v/>
      </c>
      <c r="O256" s="14" t="n"/>
      <c r="P256" s="16" t="n"/>
      <c r="Q256" s="124">
        <f>IF(P256="","",COUNTIFS($C$18:$C$2015,P$13,$D$18:$D$2015,"&gt;="&amp;P256,$D$18:$D$2015,"&lt;"&amp;P257))</f>
        <v/>
      </c>
      <c r="R256" s="14" t="n"/>
      <c r="S256" s="16" t="n"/>
      <c r="T256" s="124">
        <f>IF(S256="","",COUNTIFS($C$18:$C$2015,S$13,$D$18:$D$2015,"&gt;="&amp;S256,$D$18:$D$2015,"&lt;"&amp;S257))</f>
        <v/>
      </c>
      <c r="U256" s="14" t="n"/>
      <c r="V256" s="16" t="n"/>
      <c r="W256" s="124">
        <f>IF(V256="","",COUNTIFS($C$18:$C$2015,V$13,$D$18:$D$2015,"&gt;="&amp;V256,$D$18:$D$2015,"&lt;"&amp;V257))</f>
        <v/>
      </c>
      <c r="X256" s="14" t="n"/>
      <c r="Y256" s="16" t="n"/>
      <c r="Z256" s="124">
        <f>IF(Y256="","",COUNTIFS($C$18:$C$2015,Y$13,$D$18:$D$2015,"&gt;="&amp;Y256,$D$18:$D$2015,"&lt;"&amp;Y257))</f>
        <v/>
      </c>
      <c r="AA256" s="14" t="n"/>
      <c r="AB256" s="16" t="n"/>
      <c r="AC256" s="124">
        <f>IF(AB256="","",COUNTIFS($C$18:$C$2015,AB$13,$D$18:$D$2015,"&gt;="&amp;AB256,$D$18:$D$2015,"&lt;"&amp;AB257))</f>
        <v/>
      </c>
      <c r="AD256" s="14" t="n"/>
    </row>
    <row r="257">
      <c r="A257" s="58" t="n"/>
      <c r="B257" s="59" t="n"/>
      <c r="C257" s="59" t="n"/>
      <c r="E257" s="16" t="n"/>
      <c r="F257" s="13" t="n"/>
      <c r="G257" s="16" t="n"/>
      <c r="H257" s="124">
        <f>IF(G257="","",COUNTIFS($C$18:$C$2015,G$13,$D$18:$D$2015,"&gt;="&amp;G257,$D$18:$D$2015,"&lt;"&amp;G258))</f>
        <v/>
      </c>
      <c r="I257" s="14" t="n"/>
      <c r="J257" s="16" t="n"/>
      <c r="K257" s="124">
        <f>IF(J257="","",COUNTIFS($C$18:$C$2015,J$13,$D$18:$D$2015,"&gt;="&amp;J257,$D$18:$D$2015,"&lt;"&amp;J258))</f>
        <v/>
      </c>
      <c r="L257" s="14" t="n"/>
      <c r="M257" s="16" t="n"/>
      <c r="N257" s="124">
        <f>IF(M257="","",COUNTIFS($C$18:$C$2015,M$13,$D$18:$D$2015,"&gt;="&amp;M257,$D$18:$D$2015,"&lt;"&amp;M258))</f>
        <v/>
      </c>
      <c r="O257" s="14" t="n"/>
      <c r="P257" s="16" t="n"/>
      <c r="Q257" s="124">
        <f>IF(P257="","",COUNTIFS($C$18:$C$2015,P$13,$D$18:$D$2015,"&gt;="&amp;P257,$D$18:$D$2015,"&lt;"&amp;P258))</f>
        <v/>
      </c>
      <c r="R257" s="14" t="n"/>
      <c r="S257" s="16" t="n"/>
      <c r="T257" s="124">
        <f>IF(S257="","",COUNTIFS($C$18:$C$2015,S$13,$D$18:$D$2015,"&gt;="&amp;S257,$D$18:$D$2015,"&lt;"&amp;S258))</f>
        <v/>
      </c>
      <c r="U257" s="14" t="n"/>
      <c r="V257" s="16" t="n"/>
      <c r="W257" s="124">
        <f>IF(V257="","",COUNTIFS($C$18:$C$2015,V$13,$D$18:$D$2015,"&gt;="&amp;V257,$D$18:$D$2015,"&lt;"&amp;V258))</f>
        <v/>
      </c>
      <c r="X257" s="14" t="n"/>
      <c r="Y257" s="16" t="n"/>
      <c r="Z257" s="124">
        <f>IF(Y257="","",COUNTIFS($C$18:$C$2015,Y$13,$D$18:$D$2015,"&gt;="&amp;Y257,$D$18:$D$2015,"&lt;"&amp;Y258))</f>
        <v/>
      </c>
      <c r="AA257" s="14" t="n"/>
      <c r="AB257" s="16" t="n"/>
      <c r="AC257" s="124">
        <f>IF(AB257="","",COUNTIFS($C$18:$C$2015,AB$13,$D$18:$D$2015,"&gt;="&amp;AB257,$D$18:$D$2015,"&lt;"&amp;AB258))</f>
        <v/>
      </c>
      <c r="AD257" s="14" t="n"/>
    </row>
    <row r="258">
      <c r="A258" s="56" t="n"/>
      <c r="B258" s="59" t="n"/>
      <c r="C258" s="59" t="n"/>
      <c r="E258" s="16" t="n"/>
      <c r="F258" s="13" t="n"/>
      <c r="G258" s="16" t="n"/>
      <c r="H258" s="124">
        <f>IF(G258="","",COUNTIFS($C$18:$C$2015,G$13,$D$18:$D$2015,"&gt;="&amp;G258,$D$18:$D$2015,"&lt;"&amp;G259))</f>
        <v/>
      </c>
      <c r="I258" s="14" t="n"/>
      <c r="J258" s="16" t="n"/>
      <c r="K258" s="124">
        <f>IF(J258="","",COUNTIFS($C$18:$C$2015,J$13,$D$18:$D$2015,"&gt;="&amp;J258,$D$18:$D$2015,"&lt;"&amp;J259))</f>
        <v/>
      </c>
      <c r="L258" s="14" t="n"/>
      <c r="M258" s="16" t="n"/>
      <c r="N258" s="124">
        <f>IF(M258="","",COUNTIFS($C$18:$C$2015,M$13,$D$18:$D$2015,"&gt;="&amp;M258,$D$18:$D$2015,"&lt;"&amp;M259))</f>
        <v/>
      </c>
      <c r="O258" s="14" t="n"/>
      <c r="P258" s="16" t="n"/>
      <c r="Q258" s="124">
        <f>IF(P258="","",COUNTIFS($C$18:$C$2015,P$13,$D$18:$D$2015,"&gt;="&amp;P258,$D$18:$D$2015,"&lt;"&amp;P259))</f>
        <v/>
      </c>
      <c r="R258" s="14" t="n"/>
      <c r="S258" s="16" t="n"/>
      <c r="T258" s="124">
        <f>IF(S258="","",COUNTIFS($C$18:$C$2015,S$13,$D$18:$D$2015,"&gt;="&amp;S258,$D$18:$D$2015,"&lt;"&amp;S259))</f>
        <v/>
      </c>
      <c r="U258" s="14" t="n"/>
      <c r="V258" s="16" t="n"/>
      <c r="W258" s="124">
        <f>IF(V258="","",COUNTIFS($C$18:$C$2015,V$13,$D$18:$D$2015,"&gt;="&amp;V258,$D$18:$D$2015,"&lt;"&amp;V259))</f>
        <v/>
      </c>
      <c r="X258" s="14" t="n"/>
      <c r="Y258" s="16" t="n"/>
      <c r="Z258" s="124">
        <f>IF(Y258="","",COUNTIFS($C$18:$C$2015,Y$13,$D$18:$D$2015,"&gt;="&amp;Y258,$D$18:$D$2015,"&lt;"&amp;Y259))</f>
        <v/>
      </c>
      <c r="AA258" s="14" t="n"/>
      <c r="AB258" s="16" t="n"/>
      <c r="AC258" s="124">
        <f>IF(AB258="","",COUNTIFS($C$18:$C$2015,AB$13,$D$18:$D$2015,"&gt;="&amp;AB258,$D$18:$D$2015,"&lt;"&amp;AB259))</f>
        <v/>
      </c>
      <c r="AD258" s="14" t="n"/>
    </row>
    <row r="259">
      <c r="A259" s="58" t="n"/>
      <c r="B259" s="59" t="n"/>
      <c r="C259" s="59" t="n"/>
      <c r="E259" s="16" t="n"/>
      <c r="F259" s="13" t="n"/>
      <c r="G259" s="16" t="n"/>
      <c r="H259" s="124">
        <f>IF(G259="","",COUNTIFS($C$18:$C$2015,G$13,$D$18:$D$2015,"&gt;="&amp;G259,$D$18:$D$2015,"&lt;"&amp;G260))</f>
        <v/>
      </c>
      <c r="I259" s="14" t="n"/>
      <c r="J259" s="16" t="n"/>
      <c r="K259" s="124">
        <f>IF(J259="","",COUNTIFS($C$18:$C$2015,J$13,$D$18:$D$2015,"&gt;="&amp;J259,$D$18:$D$2015,"&lt;"&amp;J260))</f>
        <v/>
      </c>
      <c r="L259" s="14" t="n"/>
      <c r="M259" s="16" t="n"/>
      <c r="N259" s="124">
        <f>IF(M259="","",COUNTIFS($C$18:$C$2015,M$13,$D$18:$D$2015,"&gt;="&amp;M259,$D$18:$D$2015,"&lt;"&amp;M260))</f>
        <v/>
      </c>
      <c r="O259" s="14" t="n"/>
      <c r="P259" s="16" t="n"/>
      <c r="Q259" s="124">
        <f>IF(P259="","",COUNTIFS($C$18:$C$2015,P$13,$D$18:$D$2015,"&gt;="&amp;P259,$D$18:$D$2015,"&lt;"&amp;P260))</f>
        <v/>
      </c>
      <c r="R259" s="14" t="n"/>
      <c r="S259" s="16" t="n"/>
      <c r="T259" s="124">
        <f>IF(S259="","",COUNTIFS($C$18:$C$2015,S$13,$D$18:$D$2015,"&gt;="&amp;S259,$D$18:$D$2015,"&lt;"&amp;S260))</f>
        <v/>
      </c>
      <c r="U259" s="14" t="n"/>
      <c r="V259" s="16" t="n"/>
      <c r="W259" s="124">
        <f>IF(V259="","",COUNTIFS($C$18:$C$2015,V$13,$D$18:$D$2015,"&gt;="&amp;V259,$D$18:$D$2015,"&lt;"&amp;V260))</f>
        <v/>
      </c>
      <c r="X259" s="14" t="n"/>
      <c r="Y259" s="16" t="n"/>
      <c r="Z259" s="124">
        <f>IF(Y259="","",COUNTIFS($C$18:$C$2015,Y$13,$D$18:$D$2015,"&gt;="&amp;Y259,$D$18:$D$2015,"&lt;"&amp;Y260))</f>
        <v/>
      </c>
      <c r="AA259" s="14" t="n"/>
      <c r="AB259" s="16" t="n"/>
      <c r="AC259" s="124">
        <f>IF(AB259="","",COUNTIFS($C$18:$C$2015,AB$13,$D$18:$D$2015,"&gt;="&amp;AB259,$D$18:$D$2015,"&lt;"&amp;AB260))</f>
        <v/>
      </c>
      <c r="AD259" s="14" t="n"/>
    </row>
    <row r="260">
      <c r="A260" s="56" t="n"/>
      <c r="B260" s="59" t="n"/>
      <c r="C260" s="59" t="n"/>
      <c r="E260" s="16" t="n"/>
      <c r="F260" s="13" t="n"/>
      <c r="G260" s="16" t="n"/>
      <c r="H260" s="124">
        <f>IF(G260="","",COUNTIFS($C$18:$C$2015,G$13,$D$18:$D$2015,"&gt;="&amp;G260,$D$18:$D$2015,"&lt;"&amp;G261))</f>
        <v/>
      </c>
      <c r="I260" s="14" t="n"/>
      <c r="J260" s="16" t="n"/>
      <c r="K260" s="124">
        <f>IF(J260="","",COUNTIFS($C$18:$C$2015,J$13,$D$18:$D$2015,"&gt;="&amp;J260,$D$18:$D$2015,"&lt;"&amp;J261))</f>
        <v/>
      </c>
      <c r="L260" s="14" t="n"/>
      <c r="M260" s="16" t="n"/>
      <c r="N260" s="124">
        <f>IF(M260="","",COUNTIFS($C$18:$C$2015,M$13,$D$18:$D$2015,"&gt;="&amp;M260,$D$18:$D$2015,"&lt;"&amp;M261))</f>
        <v/>
      </c>
      <c r="O260" s="14" t="n"/>
      <c r="P260" s="16" t="n"/>
      <c r="Q260" s="124">
        <f>IF(P260="","",COUNTIFS($C$18:$C$2015,P$13,$D$18:$D$2015,"&gt;="&amp;P260,$D$18:$D$2015,"&lt;"&amp;P261))</f>
        <v/>
      </c>
      <c r="R260" s="14" t="n"/>
      <c r="S260" s="16" t="n"/>
      <c r="T260" s="124">
        <f>IF(S260="","",COUNTIFS($C$18:$C$2015,S$13,$D$18:$D$2015,"&gt;="&amp;S260,$D$18:$D$2015,"&lt;"&amp;S261))</f>
        <v/>
      </c>
      <c r="U260" s="14" t="n"/>
      <c r="V260" s="16" t="n"/>
      <c r="W260" s="124">
        <f>IF(V260="","",COUNTIFS($C$18:$C$2015,V$13,$D$18:$D$2015,"&gt;="&amp;V260,$D$18:$D$2015,"&lt;"&amp;V261))</f>
        <v/>
      </c>
      <c r="X260" s="14" t="n"/>
      <c r="Y260" s="16" t="n"/>
      <c r="Z260" s="124">
        <f>IF(Y260="","",COUNTIFS($C$18:$C$2015,Y$13,$D$18:$D$2015,"&gt;="&amp;Y260,$D$18:$D$2015,"&lt;"&amp;Y261))</f>
        <v/>
      </c>
      <c r="AA260" s="14" t="n"/>
      <c r="AB260" s="16" t="n"/>
      <c r="AC260" s="124">
        <f>IF(AB260="","",COUNTIFS($C$18:$C$2015,AB$13,$D$18:$D$2015,"&gt;="&amp;AB260,$D$18:$D$2015,"&lt;"&amp;AB261))</f>
        <v/>
      </c>
      <c r="AD260" s="14" t="n"/>
    </row>
    <row r="261">
      <c r="A261" s="58" t="n"/>
      <c r="B261" s="59" t="n"/>
      <c r="C261" s="59" t="n"/>
      <c r="E261" s="16" t="n"/>
      <c r="F261" s="13" t="n"/>
      <c r="G261" s="16" t="n"/>
      <c r="H261" s="124">
        <f>IF(G261="","",COUNTIFS($C$18:$C$2015,G$13,$D$18:$D$2015,"&gt;="&amp;G261,$D$18:$D$2015,"&lt;"&amp;G262))</f>
        <v/>
      </c>
      <c r="I261" s="14" t="n"/>
      <c r="J261" s="16" t="n"/>
      <c r="K261" s="124">
        <f>IF(J261="","",COUNTIFS($C$18:$C$2015,J$13,$D$18:$D$2015,"&gt;="&amp;J261,$D$18:$D$2015,"&lt;"&amp;J262))</f>
        <v/>
      </c>
      <c r="L261" s="14" t="n"/>
      <c r="M261" s="16" t="n"/>
      <c r="N261" s="124">
        <f>IF(M261="","",COUNTIFS($C$18:$C$2015,M$13,$D$18:$D$2015,"&gt;="&amp;M261,$D$18:$D$2015,"&lt;"&amp;M262))</f>
        <v/>
      </c>
      <c r="O261" s="14" t="n"/>
      <c r="P261" s="16" t="n"/>
      <c r="Q261" s="124">
        <f>IF(P261="","",COUNTIFS($C$18:$C$2015,P$13,$D$18:$D$2015,"&gt;="&amp;P261,$D$18:$D$2015,"&lt;"&amp;P262))</f>
        <v/>
      </c>
      <c r="R261" s="14" t="n"/>
      <c r="S261" s="16" t="n"/>
      <c r="T261" s="124">
        <f>IF(S261="","",COUNTIFS($C$18:$C$2015,S$13,$D$18:$D$2015,"&gt;="&amp;S261,$D$18:$D$2015,"&lt;"&amp;S262))</f>
        <v/>
      </c>
      <c r="U261" s="14" t="n"/>
      <c r="V261" s="16" t="n"/>
      <c r="W261" s="124">
        <f>IF(V261="","",COUNTIFS($C$18:$C$2015,V$13,$D$18:$D$2015,"&gt;="&amp;V261,$D$18:$D$2015,"&lt;"&amp;V262))</f>
        <v/>
      </c>
      <c r="X261" s="14" t="n"/>
      <c r="Y261" s="16" t="n"/>
      <c r="Z261" s="124">
        <f>IF(Y261="","",COUNTIFS($C$18:$C$2015,Y$13,$D$18:$D$2015,"&gt;="&amp;Y261,$D$18:$D$2015,"&lt;"&amp;Y262))</f>
        <v/>
      </c>
      <c r="AA261" s="14" t="n"/>
      <c r="AB261" s="16" t="n"/>
      <c r="AC261" s="124">
        <f>IF(AB261="","",COUNTIFS($C$18:$C$2015,AB$13,$D$18:$D$2015,"&gt;="&amp;AB261,$D$18:$D$2015,"&lt;"&amp;AB262))</f>
        <v/>
      </c>
      <c r="AD261" s="14" t="n"/>
    </row>
    <row r="262">
      <c r="A262" s="56" t="n"/>
      <c r="B262" s="59" t="n"/>
      <c r="C262" s="59" t="n"/>
      <c r="E262" s="16" t="n"/>
      <c r="F262" s="13" t="n"/>
      <c r="G262" s="16" t="n"/>
      <c r="H262" s="124">
        <f>IF(G262="","",COUNTIFS($C$18:$C$2015,G$13,$D$18:$D$2015,"&gt;="&amp;G262,$D$18:$D$2015,"&lt;"&amp;G263))</f>
        <v/>
      </c>
      <c r="I262" s="14" t="n"/>
      <c r="J262" s="16" t="n"/>
      <c r="K262" s="124">
        <f>IF(J262="","",COUNTIFS($C$18:$C$2015,J$13,$D$18:$D$2015,"&gt;="&amp;J262,$D$18:$D$2015,"&lt;"&amp;J263))</f>
        <v/>
      </c>
      <c r="L262" s="14" t="n"/>
      <c r="M262" s="16" t="n"/>
      <c r="N262" s="124">
        <f>IF(M262="","",COUNTIFS($C$18:$C$2015,M$13,$D$18:$D$2015,"&gt;="&amp;M262,$D$18:$D$2015,"&lt;"&amp;M263))</f>
        <v/>
      </c>
      <c r="O262" s="14" t="n"/>
      <c r="P262" s="16" t="n"/>
      <c r="Q262" s="124">
        <f>IF(P262="","",COUNTIFS($C$18:$C$2015,P$13,$D$18:$D$2015,"&gt;="&amp;P262,$D$18:$D$2015,"&lt;"&amp;P263))</f>
        <v/>
      </c>
      <c r="R262" s="14" t="n"/>
      <c r="S262" s="16" t="n"/>
      <c r="T262" s="124">
        <f>IF(S262="","",COUNTIFS($C$18:$C$2015,S$13,$D$18:$D$2015,"&gt;="&amp;S262,$D$18:$D$2015,"&lt;"&amp;S263))</f>
        <v/>
      </c>
      <c r="U262" s="14" t="n"/>
      <c r="V262" s="16" t="n"/>
      <c r="W262" s="124">
        <f>IF(V262="","",COUNTIFS($C$18:$C$2015,V$13,$D$18:$D$2015,"&gt;="&amp;V262,$D$18:$D$2015,"&lt;"&amp;V263))</f>
        <v/>
      </c>
      <c r="X262" s="14" t="n"/>
      <c r="Y262" s="16" t="n"/>
      <c r="Z262" s="124">
        <f>IF(Y262="","",COUNTIFS($C$18:$C$2015,Y$13,$D$18:$D$2015,"&gt;="&amp;Y262,$D$18:$D$2015,"&lt;"&amp;Y263))</f>
        <v/>
      </c>
      <c r="AA262" s="14" t="n"/>
      <c r="AB262" s="16" t="n"/>
      <c r="AC262" s="124">
        <f>IF(AB262="","",COUNTIFS($C$18:$C$2015,AB$13,$D$18:$D$2015,"&gt;="&amp;AB262,$D$18:$D$2015,"&lt;"&amp;AB263))</f>
        <v/>
      </c>
      <c r="AD262" s="14" t="n"/>
    </row>
    <row r="263">
      <c r="A263" s="58" t="n"/>
      <c r="B263" s="59" t="n"/>
      <c r="C263" s="59" t="n"/>
      <c r="E263" s="16" t="n"/>
      <c r="F263" s="13" t="n"/>
      <c r="G263" s="16" t="n"/>
      <c r="H263" s="124">
        <f>IF(G263="","",COUNTIFS($C$18:$C$2015,G$13,$D$18:$D$2015,"&gt;="&amp;G263,$D$18:$D$2015,"&lt;"&amp;G264))</f>
        <v/>
      </c>
      <c r="I263" s="14" t="n"/>
      <c r="J263" s="16" t="n"/>
      <c r="K263" s="124">
        <f>IF(J263="","",COUNTIFS($C$18:$C$2015,J$13,$D$18:$D$2015,"&gt;="&amp;J263,$D$18:$D$2015,"&lt;"&amp;J264))</f>
        <v/>
      </c>
      <c r="L263" s="14" t="n"/>
      <c r="M263" s="16" t="n"/>
      <c r="N263" s="124">
        <f>IF(M263="","",COUNTIFS($C$18:$C$2015,M$13,$D$18:$D$2015,"&gt;="&amp;M263,$D$18:$D$2015,"&lt;"&amp;M264))</f>
        <v/>
      </c>
      <c r="O263" s="14" t="n"/>
      <c r="P263" s="16" t="n"/>
      <c r="Q263" s="124">
        <f>IF(P263="","",COUNTIFS($C$18:$C$2015,P$13,$D$18:$D$2015,"&gt;="&amp;P263,$D$18:$D$2015,"&lt;"&amp;P264))</f>
        <v/>
      </c>
      <c r="R263" s="14" t="n"/>
      <c r="S263" s="16" t="n"/>
      <c r="T263" s="124">
        <f>IF(S263="","",COUNTIFS($C$18:$C$2015,S$13,$D$18:$D$2015,"&gt;="&amp;S263,$D$18:$D$2015,"&lt;"&amp;S264))</f>
        <v/>
      </c>
      <c r="U263" s="14" t="n"/>
      <c r="V263" s="16" t="n"/>
      <c r="W263" s="124">
        <f>IF(V263="","",COUNTIFS($C$18:$C$2015,V$13,$D$18:$D$2015,"&gt;="&amp;V263,$D$18:$D$2015,"&lt;"&amp;V264))</f>
        <v/>
      </c>
      <c r="X263" s="14" t="n"/>
      <c r="Y263" s="16" t="n"/>
      <c r="Z263" s="124">
        <f>IF(Y263="","",COUNTIFS($C$18:$C$2015,Y$13,$D$18:$D$2015,"&gt;="&amp;Y263,$D$18:$D$2015,"&lt;"&amp;Y264))</f>
        <v/>
      </c>
      <c r="AA263" s="14" t="n"/>
      <c r="AB263" s="16" t="n"/>
      <c r="AC263" s="124">
        <f>IF(AB263="","",COUNTIFS($C$18:$C$2015,AB$13,$D$18:$D$2015,"&gt;="&amp;AB263,$D$18:$D$2015,"&lt;"&amp;AB264))</f>
        <v/>
      </c>
      <c r="AD263" s="14" t="n"/>
    </row>
    <row r="264">
      <c r="A264" s="56" t="n"/>
      <c r="B264" s="59" t="n"/>
      <c r="C264" s="59" t="n"/>
      <c r="E264" s="16" t="n"/>
      <c r="F264" s="13" t="n"/>
      <c r="G264" s="16" t="n"/>
      <c r="H264" s="124">
        <f>IF(G264="","",COUNTIFS($C$18:$C$2015,G$13,$D$18:$D$2015,"&gt;="&amp;G264,$D$18:$D$2015,"&lt;"&amp;G265))</f>
        <v/>
      </c>
      <c r="I264" s="14" t="n"/>
      <c r="J264" s="16" t="n"/>
      <c r="K264" s="124">
        <f>IF(J264="","",COUNTIFS($C$18:$C$2015,J$13,$D$18:$D$2015,"&gt;="&amp;J264,$D$18:$D$2015,"&lt;"&amp;J265))</f>
        <v/>
      </c>
      <c r="L264" s="14" t="n"/>
      <c r="M264" s="16" t="n"/>
      <c r="N264" s="124">
        <f>IF(M264="","",COUNTIFS($C$18:$C$2015,M$13,$D$18:$D$2015,"&gt;="&amp;M264,$D$18:$D$2015,"&lt;"&amp;M265))</f>
        <v/>
      </c>
      <c r="O264" s="14" t="n"/>
      <c r="P264" s="16" t="n"/>
      <c r="Q264" s="124">
        <f>IF(P264="","",COUNTIFS($C$18:$C$2015,P$13,$D$18:$D$2015,"&gt;="&amp;P264,$D$18:$D$2015,"&lt;"&amp;P265))</f>
        <v/>
      </c>
      <c r="R264" s="14" t="n"/>
      <c r="S264" s="16" t="n"/>
      <c r="T264" s="124">
        <f>IF(S264="","",COUNTIFS($C$18:$C$2015,S$13,$D$18:$D$2015,"&gt;="&amp;S264,$D$18:$D$2015,"&lt;"&amp;S265))</f>
        <v/>
      </c>
      <c r="U264" s="14" t="n"/>
      <c r="V264" s="16" t="n"/>
      <c r="W264" s="124">
        <f>IF(V264="","",COUNTIFS($C$18:$C$2015,V$13,$D$18:$D$2015,"&gt;="&amp;V264,$D$18:$D$2015,"&lt;"&amp;V265))</f>
        <v/>
      </c>
      <c r="X264" s="14" t="n"/>
      <c r="Y264" s="16" t="n"/>
      <c r="Z264" s="124">
        <f>IF(Y264="","",COUNTIFS($C$18:$C$2015,Y$13,$D$18:$D$2015,"&gt;="&amp;Y264,$D$18:$D$2015,"&lt;"&amp;Y265))</f>
        <v/>
      </c>
      <c r="AA264" s="14" t="n"/>
      <c r="AB264" s="16" t="n"/>
      <c r="AC264" s="124">
        <f>IF(AB264="","",COUNTIFS($C$18:$C$2015,AB$13,$D$18:$D$2015,"&gt;="&amp;AB264,$D$18:$D$2015,"&lt;"&amp;AB265))</f>
        <v/>
      </c>
      <c r="AD264" s="14" t="n"/>
    </row>
    <row r="265">
      <c r="A265" s="58" t="n"/>
      <c r="B265" s="59" t="n"/>
      <c r="C265" s="59" t="n"/>
      <c r="E265" s="16" t="n"/>
      <c r="F265" s="13" t="n"/>
      <c r="G265" s="16" t="n"/>
      <c r="H265" s="125" t="n"/>
      <c r="I265" s="14" t="n"/>
      <c r="J265" s="16" t="n"/>
      <c r="K265" s="125" t="n"/>
      <c r="L265" s="14" t="n"/>
      <c r="M265" s="16" t="n"/>
      <c r="N265" s="125" t="n"/>
      <c r="O265" s="14" t="n"/>
      <c r="P265" s="16" t="n"/>
      <c r="Q265" s="125" t="n"/>
      <c r="R265" s="14" t="n"/>
      <c r="S265" s="16" t="n"/>
      <c r="T265" s="125" t="n"/>
      <c r="U265" s="14" t="n"/>
      <c r="V265" s="16" t="n"/>
      <c r="W265" s="125" t="n"/>
      <c r="X265" s="14" t="n"/>
      <c r="Y265" s="16" t="n"/>
      <c r="Z265" s="125" t="n"/>
      <c r="AA265" s="14" t="n"/>
      <c r="AB265" s="16" t="n"/>
      <c r="AC265" s="125" t="n"/>
      <c r="AD265" s="14" t="n"/>
    </row>
    <row r="266">
      <c r="A266" s="56" t="n"/>
      <c r="B266" s="59" t="n"/>
      <c r="C266" s="59" t="n"/>
      <c r="E266" s="16" t="n"/>
      <c r="F266" s="13" t="n"/>
      <c r="G266" s="16" t="n"/>
      <c r="H266" s="125" t="n"/>
      <c r="I266" s="14" t="n"/>
      <c r="J266" s="16" t="n"/>
      <c r="K266" s="125" t="n"/>
      <c r="L266" s="14" t="n"/>
      <c r="M266" s="16" t="n"/>
      <c r="N266" s="125" t="n"/>
      <c r="O266" s="14" t="n"/>
      <c r="P266" s="16" t="n"/>
      <c r="Q266" s="125" t="n"/>
      <c r="R266" s="14" t="n"/>
      <c r="S266" s="16" t="n"/>
      <c r="T266" s="125" t="n"/>
      <c r="U266" s="14" t="n"/>
      <c r="V266" s="16" t="n"/>
      <c r="W266" s="125" t="n"/>
      <c r="X266" s="14" t="n"/>
      <c r="Y266" s="16" t="n"/>
      <c r="Z266" s="125" t="n"/>
      <c r="AA266" s="14" t="n"/>
      <c r="AB266" s="16" t="n"/>
      <c r="AC266" s="125" t="n"/>
      <c r="AD266" s="14" t="n"/>
    </row>
    <row r="267">
      <c r="A267" s="58" t="n"/>
      <c r="B267" s="59" t="n"/>
      <c r="C267" s="59" t="n"/>
      <c r="E267" s="16" t="n"/>
      <c r="F267" s="13" t="n"/>
      <c r="G267" s="16" t="n"/>
      <c r="H267" s="125" t="n"/>
      <c r="I267" s="14" t="n"/>
      <c r="J267" s="16" t="n"/>
      <c r="K267" s="125" t="n"/>
      <c r="L267" s="14" t="n"/>
      <c r="M267" s="16" t="n"/>
      <c r="N267" s="125" t="n"/>
      <c r="O267" s="14" t="n"/>
      <c r="P267" s="16" t="n"/>
      <c r="Q267" s="125" t="n"/>
      <c r="R267" s="14" t="n"/>
      <c r="S267" s="16" t="n"/>
      <c r="T267" s="125" t="n"/>
      <c r="U267" s="14" t="n"/>
      <c r="V267" s="16" t="n"/>
      <c r="W267" s="125" t="n"/>
      <c r="X267" s="14" t="n"/>
      <c r="Y267" s="16" t="n"/>
      <c r="Z267" s="125" t="n"/>
      <c r="AA267" s="14" t="n"/>
      <c r="AB267" s="16" t="n"/>
      <c r="AC267" s="125" t="n"/>
      <c r="AD267" s="14" t="n"/>
    </row>
    <row r="268">
      <c r="A268" s="56" t="n"/>
      <c r="B268" s="59" t="n"/>
      <c r="C268" s="59" t="n"/>
      <c r="E268" s="16" t="n"/>
      <c r="F268" s="13" t="n"/>
      <c r="G268" s="16" t="n"/>
      <c r="H268" s="125" t="n"/>
      <c r="I268" s="14" t="n"/>
      <c r="J268" s="16" t="n"/>
      <c r="K268" s="125" t="n"/>
      <c r="L268" s="14" t="n"/>
      <c r="M268" s="16" t="n"/>
      <c r="N268" s="125" t="n"/>
      <c r="O268" s="14" t="n"/>
      <c r="P268" s="16" t="n"/>
      <c r="Q268" s="125" t="n"/>
      <c r="R268" s="14" t="n"/>
      <c r="S268" s="16" t="n"/>
      <c r="T268" s="125" t="n"/>
      <c r="U268" s="14" t="n"/>
      <c r="V268" s="16" t="n"/>
      <c r="W268" s="125" t="n"/>
      <c r="X268" s="14" t="n"/>
      <c r="Y268" s="16" t="n"/>
      <c r="Z268" s="125" t="n"/>
      <c r="AA268" s="14" t="n"/>
      <c r="AB268" s="16" t="n"/>
      <c r="AC268" s="125" t="n"/>
      <c r="AD268" s="14" t="n"/>
    </row>
    <row r="269">
      <c r="A269" s="58" t="n"/>
      <c r="B269" s="59" t="n"/>
      <c r="C269" s="59" t="n"/>
      <c r="E269" s="16" t="n"/>
      <c r="F269" s="13" t="n"/>
      <c r="G269" s="16" t="n"/>
      <c r="H269" s="125" t="n"/>
      <c r="I269" s="14" t="n"/>
      <c r="J269" s="16" t="n"/>
      <c r="K269" s="125" t="n"/>
      <c r="L269" s="14" t="n"/>
      <c r="M269" s="16" t="n"/>
      <c r="N269" s="125" t="n"/>
      <c r="O269" s="14" t="n"/>
      <c r="P269" s="16" t="n"/>
      <c r="Q269" s="125" t="n"/>
      <c r="R269" s="14" t="n"/>
      <c r="S269" s="16" t="n"/>
      <c r="T269" s="125" t="n"/>
      <c r="U269" s="14" t="n"/>
      <c r="V269" s="16" t="n"/>
      <c r="W269" s="125" t="n"/>
      <c r="X269" s="14" t="n"/>
      <c r="Y269" s="16" t="n"/>
      <c r="Z269" s="125" t="n"/>
      <c r="AA269" s="14" t="n"/>
      <c r="AB269" s="16" t="n"/>
      <c r="AC269" s="125" t="n"/>
      <c r="AD269" s="14" t="n"/>
    </row>
    <row r="270">
      <c r="A270" s="56" t="n"/>
      <c r="B270" s="59" t="n"/>
      <c r="C270" s="59" t="n"/>
      <c r="E270" s="16" t="n"/>
      <c r="F270" s="13" t="n"/>
      <c r="G270" s="16" t="n"/>
      <c r="H270" s="125" t="n"/>
      <c r="I270" s="14" t="n"/>
      <c r="J270" s="16" t="n"/>
      <c r="K270" s="125" t="n"/>
      <c r="L270" s="14" t="n"/>
      <c r="M270" s="16" t="n"/>
      <c r="N270" s="125" t="n"/>
      <c r="O270" s="14" t="n"/>
      <c r="P270" s="16" t="n"/>
      <c r="Q270" s="125" t="n"/>
      <c r="R270" s="14" t="n"/>
      <c r="S270" s="16" t="n"/>
      <c r="T270" s="125" t="n"/>
      <c r="U270" s="14" t="n"/>
      <c r="V270" s="16" t="n"/>
      <c r="W270" s="125" t="n"/>
      <c r="X270" s="14" t="n"/>
      <c r="Y270" s="16" t="n"/>
      <c r="Z270" s="125" t="n"/>
      <c r="AA270" s="14" t="n"/>
      <c r="AB270" s="16" t="n"/>
      <c r="AC270" s="125" t="n"/>
      <c r="AD270" s="14" t="n"/>
    </row>
    <row r="271">
      <c r="A271" s="58" t="n"/>
      <c r="B271" s="59" t="n"/>
      <c r="C271" s="59" t="n"/>
      <c r="E271" s="16" t="n"/>
      <c r="F271" s="13" t="n"/>
      <c r="G271" s="16" t="n"/>
      <c r="H271" s="125" t="n"/>
      <c r="I271" s="14" t="n"/>
      <c r="J271" s="16" t="n"/>
      <c r="K271" s="125" t="n"/>
      <c r="L271" s="14" t="n"/>
      <c r="M271" s="16" t="n"/>
      <c r="N271" s="125" t="n"/>
      <c r="O271" s="14" t="n"/>
      <c r="P271" s="16" t="n"/>
      <c r="Q271" s="125" t="n"/>
      <c r="R271" s="14" t="n"/>
      <c r="S271" s="16" t="n"/>
      <c r="T271" s="125" t="n"/>
      <c r="U271" s="14" t="n"/>
      <c r="V271" s="16" t="n"/>
      <c r="W271" s="125" t="n"/>
      <c r="X271" s="14" t="n"/>
      <c r="Y271" s="16" t="n"/>
      <c r="Z271" s="125" t="n"/>
      <c r="AA271" s="14" t="n"/>
      <c r="AB271" s="16" t="n"/>
      <c r="AC271" s="125" t="n"/>
      <c r="AD271" s="14" t="n"/>
    </row>
    <row r="272">
      <c r="A272" s="56" t="n"/>
      <c r="B272" s="59" t="n"/>
      <c r="C272" s="59" t="n"/>
      <c r="E272" s="16" t="n"/>
      <c r="F272" s="13" t="n"/>
      <c r="G272" s="16" t="n"/>
      <c r="H272" s="125" t="n"/>
      <c r="I272" s="14" t="n"/>
      <c r="J272" s="16" t="n"/>
      <c r="K272" s="125" t="n"/>
      <c r="L272" s="14" t="n"/>
      <c r="M272" s="16" t="n"/>
      <c r="N272" s="125" t="n"/>
      <c r="O272" s="14" t="n"/>
      <c r="P272" s="16" t="n"/>
      <c r="Q272" s="125" t="n"/>
      <c r="R272" s="14" t="n"/>
      <c r="S272" s="16" t="n"/>
      <c r="T272" s="125" t="n"/>
      <c r="U272" s="14" t="n"/>
      <c r="V272" s="16" t="n"/>
      <c r="W272" s="125" t="n"/>
      <c r="X272" s="14" t="n"/>
      <c r="Y272" s="16" t="n"/>
      <c r="Z272" s="125" t="n"/>
      <c r="AA272" s="14" t="n"/>
      <c r="AB272" s="16" t="n"/>
      <c r="AC272" s="125" t="n"/>
      <c r="AD272" s="14" t="n"/>
    </row>
    <row r="273">
      <c r="A273" s="58" t="n"/>
      <c r="B273" s="59" t="n"/>
      <c r="C273" s="59" t="n"/>
      <c r="E273" s="16" t="n"/>
      <c r="F273" s="13" t="n"/>
      <c r="G273" s="16" t="n"/>
      <c r="H273" s="125" t="n"/>
      <c r="I273" s="14" t="n"/>
      <c r="J273" s="16" t="n"/>
      <c r="K273" s="125" t="n"/>
      <c r="L273" s="14" t="n"/>
      <c r="M273" s="16" t="n"/>
      <c r="N273" s="125" t="n"/>
      <c r="O273" s="14" t="n"/>
      <c r="P273" s="16" t="n"/>
      <c r="Q273" s="125" t="n"/>
      <c r="R273" s="14" t="n"/>
      <c r="S273" s="16" t="n"/>
      <c r="T273" s="125" t="n"/>
      <c r="U273" s="14" t="n"/>
      <c r="V273" s="16" t="n"/>
      <c r="W273" s="125" t="n"/>
      <c r="X273" s="14" t="n"/>
      <c r="Y273" s="16" t="n"/>
      <c r="Z273" s="125" t="n"/>
      <c r="AA273" s="14" t="n"/>
      <c r="AB273" s="16" t="n"/>
      <c r="AC273" s="125" t="n"/>
      <c r="AD273" s="14" t="n"/>
    </row>
    <row r="274">
      <c r="A274" s="56" t="n"/>
      <c r="B274" s="59" t="n"/>
      <c r="C274" s="59" t="n"/>
      <c r="E274" s="16" t="n"/>
      <c r="F274" s="13" t="n"/>
      <c r="G274" s="16" t="n"/>
      <c r="H274" s="125" t="n"/>
      <c r="I274" s="14" t="n"/>
      <c r="J274" s="16" t="n"/>
      <c r="K274" s="125" t="n"/>
      <c r="L274" s="14" t="n"/>
      <c r="M274" s="16" t="n"/>
      <c r="N274" s="125" t="n"/>
      <c r="O274" s="14" t="n"/>
      <c r="P274" s="16" t="n"/>
      <c r="Q274" s="125" t="n"/>
      <c r="R274" s="14" t="n"/>
      <c r="S274" s="16" t="n"/>
      <c r="T274" s="125" t="n"/>
      <c r="U274" s="14" t="n"/>
      <c r="V274" s="16" t="n"/>
      <c r="W274" s="125" t="n"/>
      <c r="X274" s="14" t="n"/>
      <c r="Y274" s="16" t="n"/>
      <c r="Z274" s="125" t="n"/>
      <c r="AA274" s="14" t="n"/>
      <c r="AB274" s="16" t="n"/>
      <c r="AC274" s="125" t="n"/>
      <c r="AD274" s="14" t="n"/>
    </row>
    <row r="275">
      <c r="A275" s="58" t="n"/>
      <c r="B275" s="59" t="n"/>
      <c r="C275" s="59" t="n"/>
      <c r="E275" s="16" t="n"/>
      <c r="F275" s="13" t="n"/>
      <c r="G275" s="16" t="n"/>
      <c r="H275" s="125" t="n"/>
      <c r="I275" s="14" t="n"/>
      <c r="J275" s="16" t="n"/>
      <c r="K275" s="125" t="n"/>
      <c r="L275" s="14" t="n"/>
      <c r="M275" s="16" t="n"/>
      <c r="N275" s="125" t="n"/>
      <c r="O275" s="14" t="n"/>
      <c r="P275" s="16" t="n"/>
      <c r="Q275" s="125" t="n"/>
      <c r="R275" s="14" t="n"/>
      <c r="S275" s="16" t="n"/>
      <c r="T275" s="125" t="n"/>
      <c r="U275" s="14" t="n"/>
      <c r="V275" s="16" t="n"/>
      <c r="W275" s="125" t="n"/>
      <c r="X275" s="14" t="n"/>
      <c r="Y275" s="16" t="n"/>
      <c r="Z275" s="125" t="n"/>
      <c r="AA275" s="14" t="n"/>
      <c r="AB275" s="16" t="n"/>
      <c r="AC275" s="125" t="n"/>
      <c r="AD275" s="14" t="n"/>
    </row>
    <row r="276">
      <c r="A276" s="56" t="n"/>
      <c r="B276" s="59" t="n"/>
      <c r="C276" s="59" t="n"/>
      <c r="E276" s="16" t="n"/>
      <c r="F276" s="13" t="n"/>
      <c r="G276" s="16" t="n"/>
      <c r="H276" s="125" t="n"/>
      <c r="I276" s="14" t="n"/>
      <c r="J276" s="16" t="n"/>
      <c r="K276" s="125" t="n"/>
      <c r="L276" s="14" t="n"/>
      <c r="M276" s="16" t="n"/>
      <c r="N276" s="125" t="n"/>
      <c r="O276" s="14" t="n"/>
      <c r="P276" s="16" t="n"/>
      <c r="Q276" s="125" t="n"/>
      <c r="R276" s="14" t="n"/>
      <c r="S276" s="16" t="n"/>
      <c r="T276" s="125" t="n"/>
      <c r="U276" s="14" t="n"/>
      <c r="V276" s="16" t="n"/>
      <c r="W276" s="125" t="n"/>
      <c r="X276" s="14" t="n"/>
      <c r="Y276" s="16" t="n"/>
      <c r="Z276" s="125" t="n"/>
      <c r="AA276" s="14" t="n"/>
      <c r="AB276" s="16" t="n"/>
      <c r="AC276" s="125" t="n"/>
      <c r="AD276" s="14" t="n"/>
    </row>
    <row r="277">
      <c r="A277" s="58" t="n"/>
      <c r="B277" s="59" t="n"/>
      <c r="C277" s="59" t="n"/>
      <c r="E277" s="16" t="n"/>
      <c r="F277" s="13" t="n"/>
      <c r="G277" s="16" t="n"/>
      <c r="H277" s="125" t="n"/>
      <c r="I277" s="14" t="n"/>
      <c r="J277" s="16" t="n"/>
      <c r="K277" s="125" t="n"/>
      <c r="L277" s="14" t="n"/>
      <c r="M277" s="16" t="n"/>
      <c r="N277" s="125" t="n"/>
      <c r="O277" s="14" t="n"/>
      <c r="P277" s="16" t="n"/>
      <c r="Q277" s="125" t="n"/>
      <c r="R277" s="14" t="n"/>
      <c r="S277" s="16" t="n"/>
      <c r="T277" s="125" t="n"/>
      <c r="U277" s="14" t="n"/>
      <c r="V277" s="16" t="n"/>
      <c r="W277" s="125" t="n"/>
      <c r="X277" s="14" t="n"/>
      <c r="Y277" s="16" t="n"/>
      <c r="Z277" s="125" t="n"/>
      <c r="AA277" s="14" t="n"/>
      <c r="AB277" s="16" t="n"/>
      <c r="AC277" s="125" t="n"/>
      <c r="AD277" s="14" t="n"/>
    </row>
    <row r="278">
      <c r="A278" s="56" t="n"/>
      <c r="B278" s="59" t="n"/>
      <c r="C278" s="59" t="n"/>
      <c r="E278" s="16" t="n"/>
      <c r="F278" s="13" t="n"/>
      <c r="G278" s="16" t="n"/>
      <c r="H278" s="125" t="n"/>
      <c r="I278" s="14" t="n"/>
      <c r="J278" s="16" t="n"/>
      <c r="K278" s="125" t="n"/>
      <c r="L278" s="14" t="n"/>
      <c r="M278" s="16" t="n"/>
      <c r="N278" s="125" t="n"/>
      <c r="O278" s="14" t="n"/>
      <c r="P278" s="16" t="n"/>
      <c r="Q278" s="125" t="n"/>
      <c r="R278" s="14" t="n"/>
      <c r="S278" s="16" t="n"/>
      <c r="T278" s="125" t="n"/>
      <c r="U278" s="14" t="n"/>
      <c r="V278" s="16" t="n"/>
      <c r="W278" s="125" t="n"/>
      <c r="X278" s="14" t="n"/>
      <c r="Y278" s="16" t="n"/>
      <c r="Z278" s="125" t="n"/>
      <c r="AA278" s="14" t="n"/>
      <c r="AB278" s="16" t="n"/>
      <c r="AC278" s="125" t="n"/>
      <c r="AD278" s="14" t="n"/>
    </row>
    <row r="279">
      <c r="A279" s="58" t="n"/>
      <c r="B279" s="59" t="n"/>
      <c r="C279" s="59" t="n"/>
      <c r="E279" s="16" t="n"/>
      <c r="F279" s="13" t="n"/>
      <c r="G279" s="16" t="n"/>
      <c r="H279" s="125" t="n"/>
      <c r="I279" s="14" t="n"/>
      <c r="J279" s="16" t="n"/>
      <c r="K279" s="125" t="n"/>
      <c r="L279" s="14" t="n"/>
      <c r="M279" s="16" t="n"/>
      <c r="N279" s="125" t="n"/>
      <c r="O279" s="14" t="n"/>
      <c r="P279" s="16" t="n"/>
      <c r="Q279" s="125" t="n"/>
      <c r="R279" s="14" t="n"/>
      <c r="S279" s="16" t="n"/>
      <c r="T279" s="125" t="n"/>
      <c r="U279" s="14" t="n"/>
      <c r="V279" s="16" t="n"/>
      <c r="W279" s="125" t="n"/>
      <c r="X279" s="14" t="n"/>
      <c r="Y279" s="16" t="n"/>
      <c r="Z279" s="125" t="n"/>
      <c r="AA279" s="14" t="n"/>
      <c r="AB279" s="16" t="n"/>
      <c r="AC279" s="125" t="n"/>
      <c r="AD279" s="14" t="n"/>
    </row>
    <row r="280">
      <c r="A280" s="56" t="n"/>
      <c r="B280" s="59" t="n"/>
      <c r="C280" s="59" t="n"/>
      <c r="E280" s="16" t="n"/>
      <c r="F280" s="13" t="n"/>
      <c r="G280" s="16" t="n"/>
      <c r="H280" s="125" t="n"/>
      <c r="I280" s="14" t="n"/>
      <c r="J280" s="16" t="n"/>
      <c r="K280" s="125" t="n"/>
      <c r="L280" s="14" t="n"/>
      <c r="M280" s="16" t="n"/>
      <c r="N280" s="125" t="n"/>
      <c r="O280" s="14" t="n"/>
      <c r="P280" s="16" t="n"/>
      <c r="Q280" s="125" t="n"/>
      <c r="R280" s="14" t="n"/>
      <c r="S280" s="16" t="n"/>
      <c r="T280" s="125" t="n"/>
      <c r="U280" s="14" t="n"/>
      <c r="V280" s="16" t="n"/>
      <c r="W280" s="125" t="n"/>
      <c r="X280" s="14" t="n"/>
      <c r="Y280" s="16" t="n"/>
      <c r="Z280" s="125" t="n"/>
      <c r="AA280" s="14" t="n"/>
      <c r="AB280" s="16" t="n"/>
      <c r="AC280" s="125" t="n"/>
      <c r="AD280" s="14" t="n"/>
    </row>
    <row r="281">
      <c r="A281" s="58" t="n"/>
      <c r="B281" s="59" t="n"/>
      <c r="C281" s="59" t="n"/>
      <c r="E281" s="16" t="n"/>
      <c r="F281" s="13" t="n"/>
      <c r="G281" s="16" t="n"/>
      <c r="H281" s="125" t="n"/>
      <c r="I281" s="14" t="n"/>
      <c r="J281" s="16" t="n"/>
      <c r="K281" s="125" t="n"/>
      <c r="L281" s="14" t="n"/>
      <c r="M281" s="16" t="n"/>
      <c r="N281" s="125" t="n"/>
      <c r="O281" s="14" t="n"/>
      <c r="P281" s="16" t="n"/>
      <c r="Q281" s="125" t="n"/>
      <c r="R281" s="14" t="n"/>
      <c r="S281" s="16" t="n"/>
      <c r="T281" s="125" t="n"/>
      <c r="U281" s="14" t="n"/>
      <c r="V281" s="16" t="n"/>
      <c r="W281" s="125" t="n"/>
      <c r="X281" s="14" t="n"/>
      <c r="Y281" s="16" t="n"/>
      <c r="Z281" s="125" t="n"/>
      <c r="AA281" s="14" t="n"/>
      <c r="AB281" s="16" t="n"/>
      <c r="AC281" s="125" t="n"/>
      <c r="AD281" s="14" t="n"/>
    </row>
    <row r="282">
      <c r="A282" s="56" t="n"/>
      <c r="B282" s="59" t="n"/>
      <c r="C282" s="59" t="n"/>
      <c r="E282" s="16" t="n"/>
      <c r="F282" s="13" t="n"/>
      <c r="G282" s="16" t="n"/>
      <c r="H282" s="125" t="n"/>
      <c r="I282" s="14" t="n"/>
      <c r="J282" s="16" t="n"/>
      <c r="K282" s="125" t="n"/>
      <c r="L282" s="14" t="n"/>
      <c r="M282" s="16" t="n"/>
      <c r="N282" s="125" t="n"/>
      <c r="O282" s="14" t="n"/>
      <c r="P282" s="16" t="n"/>
      <c r="Q282" s="125" t="n"/>
      <c r="R282" s="14" t="n"/>
      <c r="S282" s="16" t="n"/>
      <c r="T282" s="125" t="n"/>
      <c r="U282" s="14" t="n"/>
      <c r="V282" s="16" t="n"/>
      <c r="W282" s="125" t="n"/>
      <c r="X282" s="14" t="n"/>
      <c r="Y282" s="16" t="n"/>
      <c r="Z282" s="125" t="n"/>
      <c r="AA282" s="14" t="n"/>
      <c r="AB282" s="16" t="n"/>
      <c r="AC282" s="125" t="n"/>
      <c r="AD282" s="14" t="n"/>
    </row>
    <row r="283">
      <c r="A283" s="58" t="n"/>
      <c r="B283" s="59" t="n"/>
      <c r="C283" s="59" t="n"/>
      <c r="E283" s="16" t="n"/>
      <c r="F283" s="13" t="n"/>
      <c r="G283" s="16" t="n"/>
      <c r="H283" s="125" t="n"/>
      <c r="I283" s="14" t="n"/>
      <c r="J283" s="16" t="n"/>
      <c r="K283" s="125" t="n"/>
      <c r="L283" s="14" t="n"/>
      <c r="M283" s="16" t="n"/>
      <c r="N283" s="125" t="n"/>
      <c r="O283" s="14" t="n"/>
      <c r="P283" s="16" t="n"/>
      <c r="Q283" s="125" t="n"/>
      <c r="R283" s="14" t="n"/>
      <c r="S283" s="16" t="n"/>
      <c r="T283" s="125" t="n"/>
      <c r="U283" s="14" t="n"/>
      <c r="V283" s="16" t="n"/>
      <c r="W283" s="125" t="n"/>
      <c r="X283" s="14" t="n"/>
      <c r="Y283" s="16" t="n"/>
      <c r="Z283" s="125" t="n"/>
      <c r="AA283" s="14" t="n"/>
      <c r="AB283" s="16" t="n"/>
      <c r="AC283" s="125" t="n"/>
      <c r="AD283" s="14" t="n"/>
    </row>
    <row r="284">
      <c r="A284" s="56" t="n"/>
      <c r="B284" s="59" t="n"/>
      <c r="C284" s="59" t="n"/>
      <c r="E284" s="16" t="n"/>
      <c r="F284" s="13" t="n"/>
      <c r="G284" s="16" t="n"/>
      <c r="H284" s="125" t="n"/>
      <c r="I284" s="14" t="n"/>
      <c r="J284" s="16" t="n"/>
      <c r="K284" s="125" t="n"/>
      <c r="L284" s="14" t="n"/>
      <c r="M284" s="16" t="n"/>
      <c r="N284" s="125" t="n"/>
      <c r="O284" s="14" t="n"/>
      <c r="P284" s="16" t="n"/>
      <c r="Q284" s="125" t="n"/>
      <c r="R284" s="14" t="n"/>
      <c r="S284" s="16" t="n"/>
      <c r="T284" s="125" t="n"/>
      <c r="U284" s="14" t="n"/>
      <c r="V284" s="16" t="n"/>
      <c r="W284" s="125" t="n"/>
      <c r="X284" s="14" t="n"/>
      <c r="Y284" s="16" t="n"/>
      <c r="Z284" s="125" t="n"/>
      <c r="AA284" s="14" t="n"/>
      <c r="AB284" s="16" t="n"/>
      <c r="AC284" s="125" t="n"/>
      <c r="AD284" s="14" t="n"/>
    </row>
    <row r="285">
      <c r="A285" s="58" t="n"/>
      <c r="B285" s="59" t="n"/>
      <c r="C285" s="59" t="n"/>
      <c r="E285" s="16" t="n"/>
      <c r="F285" s="13" t="n"/>
      <c r="G285" s="16" t="n"/>
      <c r="H285" s="125" t="n"/>
      <c r="I285" s="14" t="n"/>
      <c r="J285" s="16" t="n"/>
      <c r="K285" s="125" t="n"/>
      <c r="L285" s="14" t="n"/>
      <c r="M285" s="16" t="n"/>
      <c r="N285" s="125" t="n"/>
      <c r="O285" s="14" t="n"/>
      <c r="P285" s="16" t="n"/>
      <c r="Q285" s="125" t="n"/>
      <c r="R285" s="14" t="n"/>
      <c r="S285" s="16" t="n"/>
      <c r="T285" s="125" t="n"/>
      <c r="U285" s="14" t="n"/>
      <c r="V285" s="16" t="n"/>
      <c r="W285" s="125" t="n"/>
      <c r="X285" s="14" t="n"/>
      <c r="Y285" s="16" t="n"/>
      <c r="Z285" s="125" t="n"/>
      <c r="AA285" s="14" t="n"/>
      <c r="AB285" s="16" t="n"/>
      <c r="AC285" s="125" t="n"/>
      <c r="AD285" s="14" t="n"/>
    </row>
    <row r="286">
      <c r="A286" s="56" t="n"/>
      <c r="B286" s="59" t="n"/>
      <c r="C286" s="59" t="n"/>
      <c r="E286" s="16" t="n"/>
      <c r="F286" s="13" t="n"/>
      <c r="G286" s="16" t="n"/>
      <c r="H286" s="125" t="n"/>
      <c r="I286" s="14" t="n"/>
      <c r="J286" s="16" t="n"/>
      <c r="K286" s="125" t="n"/>
      <c r="L286" s="14" t="n"/>
      <c r="M286" s="16" t="n"/>
      <c r="N286" s="125" t="n"/>
      <c r="O286" s="14" t="n"/>
      <c r="P286" s="16" t="n"/>
      <c r="Q286" s="125" t="n"/>
      <c r="R286" s="14" t="n"/>
      <c r="S286" s="16" t="n"/>
      <c r="T286" s="125" t="n"/>
      <c r="U286" s="14" t="n"/>
      <c r="V286" s="16" t="n"/>
      <c r="W286" s="125" t="n"/>
      <c r="X286" s="14" t="n"/>
      <c r="Y286" s="16" t="n"/>
      <c r="Z286" s="125" t="n"/>
      <c r="AA286" s="14" t="n"/>
      <c r="AB286" s="16" t="n"/>
      <c r="AC286" s="125" t="n"/>
      <c r="AD286" s="14" t="n"/>
    </row>
    <row r="287">
      <c r="A287" s="58" t="n"/>
      <c r="B287" s="59" t="n"/>
      <c r="C287" s="59" t="n"/>
      <c r="E287" s="16" t="n"/>
      <c r="F287" s="13" t="n"/>
      <c r="G287" s="16" t="n"/>
      <c r="H287" s="125" t="n"/>
      <c r="I287" s="14" t="n"/>
      <c r="J287" s="16" t="n"/>
      <c r="K287" s="125" t="n"/>
      <c r="L287" s="14" t="n"/>
      <c r="M287" s="16" t="n"/>
      <c r="N287" s="125" t="n"/>
      <c r="O287" s="14" t="n"/>
      <c r="P287" s="16" t="n"/>
      <c r="Q287" s="125" t="n"/>
      <c r="R287" s="14" t="n"/>
      <c r="S287" s="16" t="n"/>
      <c r="T287" s="125" t="n"/>
      <c r="U287" s="14" t="n"/>
      <c r="V287" s="16" t="n"/>
      <c r="W287" s="125" t="n"/>
      <c r="X287" s="14" t="n"/>
      <c r="Y287" s="16" t="n"/>
      <c r="Z287" s="125" t="n"/>
      <c r="AA287" s="14" t="n"/>
      <c r="AB287" s="16" t="n"/>
      <c r="AC287" s="125" t="n"/>
      <c r="AD287" s="14" t="n"/>
    </row>
    <row r="288">
      <c r="A288" s="56" t="n"/>
      <c r="B288" s="59" t="n"/>
      <c r="C288" s="59" t="n"/>
      <c r="E288" s="16" t="n"/>
      <c r="F288" s="13" t="n"/>
      <c r="G288" s="16" t="n"/>
      <c r="H288" s="125" t="n"/>
      <c r="I288" s="14" t="n"/>
      <c r="J288" s="16" t="n"/>
      <c r="K288" s="125" t="n"/>
      <c r="L288" s="14" t="n"/>
      <c r="M288" s="16" t="n"/>
      <c r="N288" s="125" t="n"/>
      <c r="O288" s="14" t="n"/>
      <c r="P288" s="16" t="n"/>
      <c r="Q288" s="125" t="n"/>
      <c r="R288" s="14" t="n"/>
      <c r="S288" s="16" t="n"/>
      <c r="T288" s="125" t="n"/>
      <c r="U288" s="14" t="n"/>
      <c r="V288" s="16" t="n"/>
      <c r="W288" s="125" t="n"/>
      <c r="X288" s="14" t="n"/>
      <c r="Y288" s="16" t="n"/>
      <c r="Z288" s="125" t="n"/>
      <c r="AA288" s="14" t="n"/>
      <c r="AB288" s="16" t="n"/>
      <c r="AC288" s="125" t="n"/>
      <c r="AD288" s="14" t="n"/>
    </row>
    <row r="289">
      <c r="A289" s="58" t="n"/>
      <c r="B289" s="59" t="n"/>
      <c r="C289" s="59" t="n"/>
      <c r="E289" s="16" t="n"/>
      <c r="F289" s="13" t="n"/>
      <c r="G289" s="16" t="n"/>
      <c r="H289" s="125" t="n"/>
      <c r="I289" s="14" t="n"/>
      <c r="J289" s="16" t="n"/>
      <c r="K289" s="125" t="n"/>
      <c r="L289" s="14" t="n"/>
      <c r="M289" s="16" t="n"/>
      <c r="N289" s="125" t="n"/>
      <c r="O289" s="14" t="n"/>
      <c r="P289" s="16" t="n"/>
      <c r="Q289" s="125" t="n"/>
      <c r="R289" s="14" t="n"/>
      <c r="S289" s="16" t="n"/>
      <c r="T289" s="125" t="n"/>
      <c r="U289" s="14" t="n"/>
      <c r="V289" s="16" t="n"/>
      <c r="W289" s="125" t="n"/>
      <c r="X289" s="14" t="n"/>
      <c r="Y289" s="16" t="n"/>
      <c r="Z289" s="125" t="n"/>
      <c r="AA289" s="14" t="n"/>
      <c r="AB289" s="16" t="n"/>
      <c r="AC289" s="125" t="n"/>
      <c r="AD289" s="14" t="n"/>
    </row>
    <row r="290">
      <c r="A290" s="56" t="n"/>
      <c r="B290" s="59" t="n"/>
      <c r="C290" s="59" t="n"/>
      <c r="E290" s="16" t="n"/>
      <c r="F290" s="13" t="n"/>
      <c r="G290" s="16" t="n"/>
      <c r="H290" s="125" t="n"/>
      <c r="I290" s="14" t="n"/>
      <c r="J290" s="16" t="n"/>
      <c r="K290" s="125" t="n"/>
      <c r="L290" s="14" t="n"/>
      <c r="M290" s="16" t="n"/>
      <c r="N290" s="125" t="n"/>
      <c r="O290" s="14" t="n"/>
      <c r="P290" s="16" t="n"/>
      <c r="Q290" s="125" t="n"/>
      <c r="R290" s="14" t="n"/>
      <c r="S290" s="16" t="n"/>
      <c r="T290" s="125" t="n"/>
      <c r="U290" s="14" t="n"/>
      <c r="V290" s="16" t="n"/>
      <c r="W290" s="125" t="n"/>
      <c r="X290" s="14" t="n"/>
      <c r="Y290" s="16" t="n"/>
      <c r="Z290" s="125" t="n"/>
      <c r="AA290" s="14" t="n"/>
      <c r="AB290" s="16" t="n"/>
      <c r="AC290" s="125" t="n"/>
      <c r="AD290" s="14" t="n"/>
    </row>
    <row r="291">
      <c r="A291" s="58" t="n"/>
      <c r="B291" s="59" t="n"/>
      <c r="C291" s="59" t="n"/>
      <c r="E291" s="16" t="n"/>
      <c r="F291" s="13" t="n"/>
      <c r="G291" s="16" t="n"/>
      <c r="H291" s="125" t="n"/>
      <c r="I291" s="14" t="n"/>
      <c r="J291" s="16" t="n"/>
      <c r="K291" s="125" t="n"/>
      <c r="L291" s="14" t="n"/>
      <c r="M291" s="16" t="n"/>
      <c r="N291" s="125" t="n"/>
      <c r="O291" s="14" t="n"/>
      <c r="P291" s="16" t="n"/>
      <c r="Q291" s="125" t="n"/>
      <c r="R291" s="14" t="n"/>
      <c r="S291" s="16" t="n"/>
      <c r="T291" s="125" t="n"/>
      <c r="U291" s="14" t="n"/>
      <c r="V291" s="16" t="n"/>
      <c r="W291" s="125" t="n"/>
      <c r="X291" s="14" t="n"/>
      <c r="Y291" s="16" t="n"/>
      <c r="Z291" s="125" t="n"/>
      <c r="AA291" s="14" t="n"/>
      <c r="AB291" s="16" t="n"/>
      <c r="AC291" s="125" t="n"/>
      <c r="AD291" s="14" t="n"/>
    </row>
    <row r="292">
      <c r="A292" s="56" t="n"/>
      <c r="B292" s="59" t="n"/>
      <c r="C292" s="59" t="n"/>
      <c r="E292" s="16" t="n"/>
      <c r="F292" s="13" t="n"/>
      <c r="G292" s="16" t="n"/>
      <c r="H292" s="125" t="n"/>
      <c r="I292" s="14" t="n"/>
      <c r="J292" s="16" t="n"/>
      <c r="K292" s="125" t="n"/>
      <c r="L292" s="14" t="n"/>
      <c r="M292" s="16" t="n"/>
      <c r="N292" s="125" t="n"/>
      <c r="O292" s="14" t="n"/>
      <c r="P292" s="16" t="n"/>
      <c r="Q292" s="125" t="n"/>
      <c r="R292" s="14" t="n"/>
      <c r="S292" s="16" t="n"/>
      <c r="T292" s="125" t="n"/>
      <c r="U292" s="14" t="n"/>
      <c r="V292" s="16" t="n"/>
      <c r="W292" s="125" t="n"/>
      <c r="X292" s="14" t="n"/>
      <c r="Y292" s="16" t="n"/>
      <c r="Z292" s="125" t="n"/>
      <c r="AA292" s="14" t="n"/>
      <c r="AB292" s="16" t="n"/>
      <c r="AC292" s="125" t="n"/>
      <c r="AD292" s="14" t="n"/>
    </row>
    <row r="293">
      <c r="A293" s="58" t="n"/>
      <c r="B293" s="59" t="n"/>
      <c r="C293" s="59" t="n"/>
      <c r="E293" s="16" t="n"/>
      <c r="F293" s="13" t="n"/>
      <c r="G293" s="16" t="n"/>
      <c r="H293" s="125" t="n"/>
      <c r="I293" s="14" t="n"/>
      <c r="J293" s="16" t="n"/>
      <c r="K293" s="125" t="n"/>
      <c r="L293" s="14" t="n"/>
      <c r="M293" s="16" t="n"/>
      <c r="N293" s="125" t="n"/>
      <c r="O293" s="14" t="n"/>
      <c r="P293" s="16" t="n"/>
      <c r="Q293" s="125" t="n"/>
      <c r="R293" s="14" t="n"/>
      <c r="S293" s="16" t="n"/>
      <c r="T293" s="125" t="n"/>
      <c r="U293" s="14" t="n"/>
      <c r="V293" s="16" t="n"/>
      <c r="W293" s="125" t="n"/>
      <c r="X293" s="14" t="n"/>
      <c r="Y293" s="16" t="n"/>
      <c r="Z293" s="125" t="n"/>
      <c r="AA293" s="14" t="n"/>
      <c r="AB293" s="16" t="n"/>
      <c r="AC293" s="125" t="n"/>
      <c r="AD293" s="14" t="n"/>
    </row>
    <row r="294">
      <c r="A294" s="56" t="n"/>
      <c r="B294" s="59" t="n"/>
      <c r="C294" s="59" t="n"/>
      <c r="E294" s="16" t="n"/>
      <c r="F294" s="13" t="n"/>
      <c r="G294" s="16" t="n"/>
      <c r="H294" s="125" t="n"/>
      <c r="I294" s="14" t="n"/>
      <c r="J294" s="16" t="n"/>
      <c r="K294" s="125" t="n"/>
      <c r="L294" s="14" t="n"/>
      <c r="M294" s="16" t="n"/>
      <c r="N294" s="125" t="n"/>
      <c r="O294" s="14" t="n"/>
      <c r="P294" s="16" t="n"/>
      <c r="Q294" s="125" t="n"/>
      <c r="R294" s="14" t="n"/>
      <c r="S294" s="16" t="n"/>
      <c r="T294" s="125" t="n"/>
      <c r="U294" s="14" t="n"/>
      <c r="V294" s="16" t="n"/>
      <c r="W294" s="125" t="n"/>
      <c r="X294" s="14" t="n"/>
      <c r="Y294" s="16" t="n"/>
      <c r="Z294" s="125" t="n"/>
      <c r="AA294" s="14" t="n"/>
      <c r="AB294" s="16" t="n"/>
      <c r="AC294" s="125" t="n"/>
      <c r="AD294" s="14" t="n"/>
    </row>
    <row r="295">
      <c r="A295" s="58" t="n"/>
      <c r="B295" s="59" t="n"/>
      <c r="C295" s="59" t="n"/>
      <c r="E295" s="16" t="n"/>
      <c r="F295" s="13" t="n"/>
      <c r="G295" s="16" t="n"/>
      <c r="H295" s="125" t="n"/>
      <c r="I295" s="14" t="n"/>
      <c r="J295" s="16" t="n"/>
      <c r="K295" s="125" t="n"/>
      <c r="L295" s="14" t="n"/>
      <c r="M295" s="16" t="n"/>
      <c r="N295" s="125" t="n"/>
      <c r="O295" s="14" t="n"/>
      <c r="P295" s="16" t="n"/>
      <c r="Q295" s="125" t="n"/>
      <c r="R295" s="14" t="n"/>
      <c r="S295" s="16" t="n"/>
      <c r="T295" s="125" t="n"/>
      <c r="U295" s="14" t="n"/>
      <c r="V295" s="16" t="n"/>
      <c r="W295" s="125" t="n"/>
      <c r="X295" s="14" t="n"/>
      <c r="Y295" s="16" t="n"/>
      <c r="Z295" s="125" t="n"/>
      <c r="AA295" s="14" t="n"/>
      <c r="AB295" s="16" t="n"/>
      <c r="AC295" s="125" t="n"/>
      <c r="AD295" s="14" t="n"/>
    </row>
    <row r="296">
      <c r="A296" s="56" t="n"/>
      <c r="B296" s="59" t="n"/>
      <c r="C296" s="59" t="n"/>
      <c r="E296" s="16" t="n"/>
      <c r="F296" s="13" t="n"/>
      <c r="G296" s="16" t="n"/>
      <c r="H296" s="125" t="n"/>
      <c r="I296" s="14" t="n"/>
      <c r="J296" s="16" t="n"/>
      <c r="K296" s="125" t="n"/>
      <c r="L296" s="14" t="n"/>
      <c r="M296" s="16" t="n"/>
      <c r="N296" s="125" t="n"/>
      <c r="O296" s="14" t="n"/>
      <c r="P296" s="16" t="n"/>
      <c r="Q296" s="125" t="n"/>
      <c r="R296" s="14" t="n"/>
      <c r="S296" s="16" t="n"/>
      <c r="T296" s="125" t="n"/>
      <c r="U296" s="14" t="n"/>
      <c r="V296" s="16" t="n"/>
      <c r="W296" s="125" t="n"/>
      <c r="X296" s="14" t="n"/>
      <c r="Y296" s="16" t="n"/>
      <c r="Z296" s="125" t="n"/>
      <c r="AA296" s="14" t="n"/>
      <c r="AB296" s="16" t="n"/>
      <c r="AC296" s="125" t="n"/>
      <c r="AD296" s="14" t="n"/>
    </row>
    <row r="297">
      <c r="A297" s="58" t="n"/>
      <c r="B297" s="59" t="n"/>
      <c r="C297" s="59" t="n"/>
      <c r="E297" s="16" t="n"/>
      <c r="F297" s="13" t="n"/>
      <c r="G297" s="16" t="n"/>
      <c r="H297" s="125" t="n"/>
      <c r="I297" s="14" t="n"/>
      <c r="J297" s="16" t="n"/>
      <c r="K297" s="125" t="n"/>
      <c r="L297" s="14" t="n"/>
      <c r="M297" s="16" t="n"/>
      <c r="N297" s="125" t="n"/>
      <c r="O297" s="14" t="n"/>
      <c r="P297" s="16" t="n"/>
      <c r="Q297" s="125" t="n"/>
      <c r="R297" s="14" t="n"/>
      <c r="S297" s="16" t="n"/>
      <c r="T297" s="125" t="n"/>
      <c r="U297" s="14" t="n"/>
      <c r="V297" s="16" t="n"/>
      <c r="W297" s="125" t="n"/>
      <c r="X297" s="14" t="n"/>
      <c r="Y297" s="16" t="n"/>
      <c r="Z297" s="125" t="n"/>
      <c r="AA297" s="14" t="n"/>
      <c r="AB297" s="16" t="n"/>
      <c r="AC297" s="125" t="n"/>
      <c r="AD297" s="14" t="n"/>
    </row>
    <row r="298">
      <c r="A298" s="56" t="n"/>
      <c r="B298" s="59" t="n"/>
      <c r="C298" s="59" t="n"/>
      <c r="E298" s="16" t="n"/>
      <c r="F298" s="13" t="n"/>
      <c r="G298" s="16" t="n"/>
      <c r="H298" s="125" t="n"/>
      <c r="I298" s="14" t="n"/>
      <c r="J298" s="16" t="n"/>
      <c r="K298" s="125" t="n"/>
      <c r="L298" s="14" t="n"/>
      <c r="M298" s="16" t="n"/>
      <c r="N298" s="125" t="n"/>
      <c r="O298" s="14" t="n"/>
      <c r="P298" s="16" t="n"/>
      <c r="Q298" s="125" t="n"/>
      <c r="R298" s="14" t="n"/>
      <c r="S298" s="16" t="n"/>
      <c r="T298" s="125" t="n"/>
      <c r="U298" s="14" t="n"/>
      <c r="V298" s="16" t="n"/>
      <c r="W298" s="125" t="n"/>
      <c r="X298" s="14" t="n"/>
      <c r="Y298" s="16" t="n"/>
      <c r="Z298" s="125" t="n"/>
      <c r="AA298" s="14" t="n"/>
      <c r="AB298" s="16" t="n"/>
      <c r="AC298" s="125" t="n"/>
      <c r="AD298" s="14" t="n"/>
    </row>
    <row r="299">
      <c r="A299" s="58" t="n"/>
      <c r="B299" s="59" t="n"/>
      <c r="C299" s="59" t="n"/>
      <c r="E299" s="16" t="n"/>
      <c r="F299" s="13" t="n"/>
      <c r="G299" s="16" t="n"/>
      <c r="H299" s="125" t="n"/>
      <c r="I299" s="14" t="n"/>
      <c r="J299" s="16" t="n"/>
      <c r="K299" s="125" t="n"/>
      <c r="L299" s="14" t="n"/>
      <c r="M299" s="16" t="n"/>
      <c r="N299" s="125" t="n"/>
      <c r="O299" s="14" t="n"/>
      <c r="P299" s="16" t="n"/>
      <c r="Q299" s="125" t="n"/>
      <c r="R299" s="14" t="n"/>
      <c r="S299" s="16" t="n"/>
      <c r="T299" s="125" t="n"/>
      <c r="U299" s="14" t="n"/>
      <c r="V299" s="16" t="n"/>
      <c r="W299" s="125" t="n"/>
      <c r="X299" s="14" t="n"/>
      <c r="Y299" s="16" t="n"/>
      <c r="Z299" s="125" t="n"/>
      <c r="AA299" s="14" t="n"/>
      <c r="AB299" s="16" t="n"/>
      <c r="AC299" s="125" t="n"/>
      <c r="AD299" s="14" t="n"/>
    </row>
    <row r="300">
      <c r="A300" s="56" t="n"/>
      <c r="B300" s="59" t="n"/>
      <c r="C300" s="59" t="n"/>
      <c r="E300" s="16" t="n"/>
      <c r="F300" s="13" t="n"/>
      <c r="G300" s="16" t="n"/>
      <c r="H300" s="125" t="n"/>
      <c r="I300" s="14" t="n"/>
      <c r="J300" s="16" t="n"/>
      <c r="K300" s="125" t="n"/>
      <c r="L300" s="14" t="n"/>
      <c r="M300" s="16" t="n"/>
      <c r="N300" s="125" t="n"/>
      <c r="O300" s="14" t="n"/>
      <c r="P300" s="16" t="n"/>
      <c r="Q300" s="125" t="n"/>
      <c r="R300" s="14" t="n"/>
      <c r="S300" s="16" t="n"/>
      <c r="T300" s="125" t="n"/>
      <c r="U300" s="14" t="n"/>
      <c r="V300" s="16" t="n"/>
      <c r="W300" s="125" t="n"/>
      <c r="X300" s="14" t="n"/>
      <c r="Y300" s="16" t="n"/>
      <c r="Z300" s="125" t="n"/>
      <c r="AA300" s="14" t="n"/>
      <c r="AB300" s="16" t="n"/>
      <c r="AC300" s="125" t="n"/>
      <c r="AD300" s="14" t="n"/>
    </row>
    <row r="301">
      <c r="A301" s="58" t="n"/>
      <c r="B301" s="59" t="n"/>
      <c r="C301" s="59" t="n"/>
      <c r="E301" s="16" t="n"/>
      <c r="F301" s="13" t="n"/>
      <c r="G301" s="16" t="n"/>
      <c r="H301" s="125" t="n"/>
      <c r="I301" s="14" t="n"/>
      <c r="J301" s="16" t="n"/>
      <c r="K301" s="125" t="n"/>
      <c r="L301" s="14" t="n"/>
      <c r="M301" s="16" t="n"/>
      <c r="N301" s="125" t="n"/>
      <c r="O301" s="14" t="n"/>
      <c r="P301" s="16" t="n"/>
      <c r="Q301" s="125" t="n"/>
      <c r="R301" s="14" t="n"/>
      <c r="S301" s="16" t="n"/>
      <c r="T301" s="125" t="n"/>
      <c r="U301" s="14" t="n"/>
      <c r="V301" s="16" t="n"/>
      <c r="W301" s="125" t="n"/>
      <c r="X301" s="14" t="n"/>
      <c r="Y301" s="16" t="n"/>
      <c r="Z301" s="125" t="n"/>
      <c r="AA301" s="14" t="n"/>
      <c r="AB301" s="16" t="n"/>
      <c r="AC301" s="125" t="n"/>
      <c r="AD301" s="14" t="n"/>
    </row>
    <row r="302">
      <c r="A302" s="56" t="n"/>
      <c r="B302" s="59" t="n"/>
      <c r="C302" s="59" t="n"/>
      <c r="E302" s="16" t="n"/>
      <c r="F302" s="13" t="n"/>
      <c r="G302" s="16" t="n"/>
      <c r="H302" s="125" t="n"/>
      <c r="I302" s="14" t="n"/>
      <c r="J302" s="16" t="n"/>
      <c r="K302" s="125" t="n"/>
      <c r="L302" s="14" t="n"/>
      <c r="M302" s="16" t="n"/>
      <c r="N302" s="125" t="n"/>
      <c r="O302" s="14" t="n"/>
      <c r="P302" s="16" t="n"/>
      <c r="Q302" s="125" t="n"/>
      <c r="R302" s="14" t="n"/>
      <c r="S302" s="16" t="n"/>
      <c r="T302" s="125" t="n"/>
      <c r="U302" s="14" t="n"/>
      <c r="V302" s="16" t="n"/>
      <c r="W302" s="125" t="n"/>
      <c r="X302" s="14" t="n"/>
      <c r="Y302" s="16" t="n"/>
      <c r="Z302" s="125" t="n"/>
      <c r="AA302" s="14" t="n"/>
      <c r="AB302" s="16" t="n"/>
      <c r="AC302" s="125" t="n"/>
      <c r="AD302" s="14" t="n"/>
    </row>
    <row r="303">
      <c r="A303" s="58" t="n"/>
      <c r="B303" s="59" t="n"/>
      <c r="C303" s="59" t="n"/>
      <c r="E303" s="16" t="n"/>
      <c r="F303" s="13" t="n"/>
      <c r="G303" s="16" t="n"/>
      <c r="H303" s="125" t="n"/>
      <c r="I303" s="14" t="n"/>
      <c r="J303" s="16" t="n"/>
      <c r="K303" s="125" t="n"/>
      <c r="L303" s="14" t="n"/>
      <c r="M303" s="16" t="n"/>
      <c r="N303" s="125" t="n"/>
      <c r="O303" s="14" t="n"/>
      <c r="P303" s="16" t="n"/>
      <c r="Q303" s="125" t="n"/>
      <c r="R303" s="14" t="n"/>
      <c r="S303" s="16" t="n"/>
      <c r="T303" s="125" t="n"/>
      <c r="U303" s="14" t="n"/>
      <c r="V303" s="16" t="n"/>
      <c r="W303" s="125" t="n"/>
      <c r="X303" s="14" t="n"/>
      <c r="Y303" s="16" t="n"/>
      <c r="Z303" s="125" t="n"/>
      <c r="AA303" s="14" t="n"/>
      <c r="AB303" s="16" t="n"/>
      <c r="AC303" s="125" t="n"/>
      <c r="AD303" s="14" t="n"/>
    </row>
    <row r="304">
      <c r="A304" s="56" t="n"/>
      <c r="B304" s="59" t="n"/>
      <c r="C304" s="59" t="n"/>
      <c r="E304" s="16" t="n"/>
      <c r="F304" s="13" t="n"/>
      <c r="G304" s="16" t="n"/>
      <c r="H304" s="125" t="n"/>
      <c r="I304" s="14" t="n"/>
      <c r="J304" s="16" t="n"/>
      <c r="K304" s="125" t="n"/>
      <c r="L304" s="14" t="n"/>
      <c r="M304" s="16" t="n"/>
      <c r="N304" s="125" t="n"/>
      <c r="O304" s="14" t="n"/>
      <c r="P304" s="16" t="n"/>
      <c r="Q304" s="125" t="n"/>
      <c r="R304" s="14" t="n"/>
      <c r="S304" s="16" t="n"/>
      <c r="T304" s="125" t="n"/>
      <c r="U304" s="14" t="n"/>
      <c r="V304" s="16" t="n"/>
      <c r="W304" s="125" t="n"/>
      <c r="X304" s="14" t="n"/>
      <c r="Y304" s="16" t="n"/>
      <c r="Z304" s="125" t="n"/>
      <c r="AA304" s="14" t="n"/>
      <c r="AB304" s="16" t="n"/>
      <c r="AC304" s="125" t="n"/>
      <c r="AD304" s="14" t="n"/>
    </row>
    <row r="305">
      <c r="A305" s="58" t="n"/>
      <c r="B305" s="59" t="n"/>
      <c r="C305" s="59" t="n"/>
      <c r="E305" s="16" t="n"/>
      <c r="F305" s="13" t="n"/>
      <c r="G305" s="16" t="n"/>
      <c r="H305" s="125" t="n"/>
      <c r="I305" s="14" t="n"/>
      <c r="J305" s="16" t="n"/>
      <c r="K305" s="125" t="n"/>
      <c r="L305" s="14" t="n"/>
      <c r="M305" s="16" t="n"/>
      <c r="N305" s="125" t="n"/>
      <c r="O305" s="14" t="n"/>
      <c r="P305" s="16" t="n"/>
      <c r="Q305" s="125" t="n"/>
      <c r="R305" s="14" t="n"/>
      <c r="S305" s="16" t="n"/>
      <c r="T305" s="125" t="n"/>
      <c r="U305" s="14" t="n"/>
      <c r="V305" s="16" t="n"/>
      <c r="W305" s="125" t="n"/>
      <c r="X305" s="14" t="n"/>
      <c r="Y305" s="16" t="n"/>
      <c r="Z305" s="125" t="n"/>
      <c r="AA305" s="14" t="n"/>
      <c r="AB305" s="16" t="n"/>
      <c r="AC305" s="125" t="n"/>
      <c r="AD305" s="14" t="n"/>
    </row>
    <row r="306">
      <c r="A306" s="56" t="n"/>
      <c r="B306" s="59" t="n"/>
      <c r="C306" s="59" t="n"/>
      <c r="E306" s="16" t="n"/>
      <c r="F306" s="13" t="n"/>
      <c r="G306" s="16" t="n"/>
      <c r="H306" s="125" t="n"/>
      <c r="I306" s="14" t="n"/>
      <c r="J306" s="16" t="n"/>
      <c r="K306" s="125" t="n"/>
      <c r="L306" s="14" t="n"/>
      <c r="M306" s="16" t="n"/>
      <c r="N306" s="125" t="n"/>
      <c r="O306" s="14" t="n"/>
      <c r="P306" s="16" t="n"/>
      <c r="Q306" s="125" t="n"/>
      <c r="R306" s="14" t="n"/>
      <c r="S306" s="16" t="n"/>
      <c r="T306" s="125" t="n"/>
      <c r="U306" s="14" t="n"/>
      <c r="V306" s="16" t="n"/>
      <c r="W306" s="125" t="n"/>
      <c r="X306" s="14" t="n"/>
      <c r="Y306" s="16" t="n"/>
      <c r="Z306" s="125" t="n"/>
      <c r="AA306" s="14" t="n"/>
      <c r="AB306" s="16" t="n"/>
      <c r="AC306" s="125" t="n"/>
      <c r="AD306" s="14" t="n"/>
    </row>
    <row r="307">
      <c r="A307" s="58" t="n"/>
      <c r="B307" s="59" t="n"/>
      <c r="C307" s="59" t="n"/>
      <c r="E307" s="16" t="n"/>
      <c r="F307" s="13" t="n"/>
      <c r="G307" s="16" t="n"/>
      <c r="H307" s="125" t="n"/>
      <c r="I307" s="14" t="n"/>
      <c r="J307" s="16" t="n"/>
      <c r="K307" s="125" t="n"/>
      <c r="L307" s="14" t="n"/>
      <c r="M307" s="16" t="n"/>
      <c r="N307" s="125" t="n"/>
      <c r="O307" s="14" t="n"/>
      <c r="P307" s="16" t="n"/>
      <c r="Q307" s="125" t="n"/>
      <c r="R307" s="14" t="n"/>
      <c r="S307" s="16" t="n"/>
      <c r="T307" s="125" t="n"/>
      <c r="U307" s="14" t="n"/>
      <c r="V307" s="16" t="n"/>
      <c r="W307" s="125" t="n"/>
      <c r="X307" s="14" t="n"/>
      <c r="Y307" s="16" t="n"/>
      <c r="Z307" s="125" t="n"/>
      <c r="AA307" s="14" t="n"/>
      <c r="AB307" s="16" t="n"/>
      <c r="AC307" s="125" t="n"/>
      <c r="AD307" s="14" t="n"/>
    </row>
    <row r="308">
      <c r="A308" s="56" t="n"/>
      <c r="B308" s="59" t="n"/>
      <c r="C308" s="59" t="n"/>
      <c r="E308" s="16" t="n"/>
      <c r="F308" s="13" t="n"/>
      <c r="G308" s="16" t="n"/>
      <c r="H308" s="125" t="n"/>
      <c r="I308" s="14" t="n"/>
      <c r="J308" s="16" t="n"/>
      <c r="K308" s="125" t="n"/>
      <c r="L308" s="14" t="n"/>
      <c r="M308" s="16" t="n"/>
      <c r="N308" s="125" t="n"/>
      <c r="O308" s="14" t="n"/>
      <c r="P308" s="16" t="n"/>
      <c r="Q308" s="125" t="n"/>
      <c r="R308" s="14" t="n"/>
      <c r="S308" s="16" t="n"/>
      <c r="T308" s="125" t="n"/>
      <c r="U308" s="14" t="n"/>
      <c r="V308" s="16" t="n"/>
      <c r="W308" s="125" t="n"/>
      <c r="X308" s="14" t="n"/>
      <c r="Y308" s="16" t="n"/>
      <c r="Z308" s="125" t="n"/>
      <c r="AA308" s="14" t="n"/>
      <c r="AB308" s="16" t="n"/>
      <c r="AC308" s="125" t="n"/>
      <c r="AD308" s="14" t="n"/>
    </row>
    <row r="309">
      <c r="A309" s="58" t="n"/>
      <c r="B309" s="59" t="n"/>
      <c r="C309" s="59" t="n"/>
      <c r="E309" s="16" t="n"/>
      <c r="F309" s="13" t="n"/>
      <c r="G309" s="16" t="n"/>
      <c r="H309" s="125" t="n"/>
      <c r="I309" s="14" t="n"/>
      <c r="J309" s="16" t="n"/>
      <c r="K309" s="125" t="n"/>
      <c r="L309" s="14" t="n"/>
      <c r="M309" s="16" t="n"/>
      <c r="N309" s="125" t="n"/>
      <c r="O309" s="14" t="n"/>
      <c r="P309" s="16" t="n"/>
      <c r="Q309" s="125" t="n"/>
      <c r="R309" s="14" t="n"/>
      <c r="S309" s="16" t="n"/>
      <c r="T309" s="125" t="n"/>
      <c r="U309" s="14" t="n"/>
      <c r="V309" s="16" t="n"/>
      <c r="W309" s="125" t="n"/>
      <c r="X309" s="14" t="n"/>
      <c r="Y309" s="16" t="n"/>
      <c r="Z309" s="125" t="n"/>
      <c r="AA309" s="14" t="n"/>
      <c r="AB309" s="16" t="n"/>
      <c r="AC309" s="125" t="n"/>
      <c r="AD309" s="14" t="n"/>
    </row>
    <row r="310">
      <c r="A310" s="56" t="n"/>
      <c r="B310" s="59" t="n"/>
      <c r="C310" s="59" t="n"/>
      <c r="E310" s="16" t="n"/>
      <c r="F310" s="13" t="n"/>
      <c r="G310" s="16" t="n"/>
      <c r="H310" s="125" t="n"/>
      <c r="I310" s="14" t="n"/>
      <c r="J310" s="16" t="n"/>
      <c r="K310" s="125" t="n"/>
      <c r="L310" s="14" t="n"/>
      <c r="M310" s="16" t="n"/>
      <c r="N310" s="125" t="n"/>
      <c r="O310" s="14" t="n"/>
      <c r="P310" s="16" t="n"/>
      <c r="Q310" s="125" t="n"/>
      <c r="R310" s="14" t="n"/>
      <c r="S310" s="16" t="n"/>
      <c r="T310" s="125" t="n"/>
      <c r="U310" s="14" t="n"/>
      <c r="V310" s="16" t="n"/>
      <c r="W310" s="125" t="n"/>
      <c r="X310" s="14" t="n"/>
      <c r="Y310" s="16" t="n"/>
      <c r="Z310" s="125" t="n"/>
      <c r="AA310" s="14" t="n"/>
      <c r="AB310" s="16" t="n"/>
      <c r="AC310" s="125" t="n"/>
      <c r="AD310" s="14" t="n"/>
    </row>
    <row r="311">
      <c r="A311" s="58" t="n"/>
      <c r="B311" s="59" t="n"/>
      <c r="C311" s="59" t="n"/>
      <c r="E311" s="16" t="n"/>
      <c r="F311" s="13" t="n"/>
      <c r="G311" s="16" t="n"/>
      <c r="H311" s="125" t="n"/>
      <c r="I311" s="14" t="n"/>
      <c r="J311" s="16" t="n"/>
      <c r="K311" s="125" t="n"/>
      <c r="L311" s="14" t="n"/>
      <c r="M311" s="16" t="n"/>
      <c r="N311" s="125" t="n"/>
      <c r="O311" s="14" t="n"/>
      <c r="P311" s="16" t="n"/>
      <c r="Q311" s="125" t="n"/>
      <c r="R311" s="14" t="n"/>
      <c r="S311" s="16" t="n"/>
      <c r="T311" s="125" t="n"/>
      <c r="U311" s="14" t="n"/>
      <c r="V311" s="16" t="n"/>
      <c r="W311" s="125" t="n"/>
      <c r="X311" s="14" t="n"/>
      <c r="Y311" s="16" t="n"/>
      <c r="Z311" s="125" t="n"/>
      <c r="AA311" s="14" t="n"/>
      <c r="AB311" s="16" t="n"/>
      <c r="AC311" s="125" t="n"/>
      <c r="AD311" s="14" t="n"/>
    </row>
    <row r="312">
      <c r="A312" s="56" t="n"/>
      <c r="B312" s="59" t="n"/>
      <c r="C312" s="59" t="n"/>
      <c r="E312" s="16" t="n"/>
      <c r="F312" s="13" t="n"/>
      <c r="G312" s="16" t="n"/>
      <c r="H312" s="125" t="n"/>
      <c r="I312" s="14" t="n"/>
      <c r="J312" s="16" t="n"/>
      <c r="K312" s="125" t="n"/>
      <c r="L312" s="14" t="n"/>
      <c r="M312" s="16" t="n"/>
      <c r="N312" s="125" t="n"/>
      <c r="O312" s="14" t="n"/>
      <c r="P312" s="16" t="n"/>
      <c r="Q312" s="125" t="n"/>
      <c r="R312" s="14" t="n"/>
      <c r="S312" s="16" t="n"/>
      <c r="T312" s="125" t="n"/>
      <c r="U312" s="14" t="n"/>
      <c r="V312" s="16" t="n"/>
      <c r="W312" s="125" t="n"/>
      <c r="X312" s="14" t="n"/>
      <c r="Y312" s="16" t="n"/>
      <c r="Z312" s="125" t="n"/>
      <c r="AA312" s="14" t="n"/>
      <c r="AB312" s="16" t="n"/>
      <c r="AC312" s="125" t="n"/>
      <c r="AD312" s="14" t="n"/>
    </row>
    <row r="313">
      <c r="A313" s="58" t="n"/>
      <c r="B313" s="59" t="n"/>
      <c r="C313" s="59" t="n"/>
      <c r="E313" s="16" t="n"/>
      <c r="F313" s="13" t="n"/>
      <c r="G313" s="16" t="n"/>
      <c r="H313" s="125" t="n"/>
      <c r="I313" s="14" t="n"/>
      <c r="J313" s="16" t="n"/>
      <c r="K313" s="125" t="n"/>
      <c r="L313" s="14" t="n"/>
      <c r="M313" s="16" t="n"/>
      <c r="N313" s="125" t="n"/>
      <c r="O313" s="14" t="n"/>
      <c r="P313" s="16" t="n"/>
      <c r="Q313" s="125" t="n"/>
      <c r="R313" s="14" t="n"/>
      <c r="S313" s="16" t="n"/>
      <c r="T313" s="125" t="n"/>
      <c r="U313" s="14" t="n"/>
      <c r="V313" s="16" t="n"/>
      <c r="W313" s="125" t="n"/>
      <c r="X313" s="14" t="n"/>
      <c r="Y313" s="16" t="n"/>
      <c r="Z313" s="125" t="n"/>
      <c r="AA313" s="14" t="n"/>
      <c r="AB313" s="16" t="n"/>
      <c r="AC313" s="125" t="n"/>
      <c r="AD313" s="14" t="n"/>
    </row>
    <row r="314">
      <c r="A314" s="56" t="n"/>
      <c r="B314" s="59" t="n"/>
      <c r="C314" s="59" t="n"/>
      <c r="E314" s="16" t="n"/>
      <c r="F314" s="13" t="n"/>
      <c r="G314" s="16" t="n"/>
      <c r="H314" s="125" t="n"/>
      <c r="I314" s="14" t="n"/>
      <c r="J314" s="16" t="n"/>
      <c r="K314" s="125" t="n"/>
      <c r="L314" s="14" t="n"/>
      <c r="M314" s="16" t="n"/>
      <c r="N314" s="125" t="n"/>
      <c r="O314" s="14" t="n"/>
      <c r="P314" s="16" t="n"/>
      <c r="Q314" s="125" t="n"/>
      <c r="R314" s="14" t="n"/>
      <c r="S314" s="16" t="n"/>
      <c r="T314" s="125" t="n"/>
      <c r="U314" s="14" t="n"/>
      <c r="V314" s="16" t="n"/>
      <c r="W314" s="125" t="n"/>
      <c r="X314" s="14" t="n"/>
      <c r="Y314" s="16" t="n"/>
      <c r="Z314" s="125" t="n"/>
      <c r="AA314" s="14" t="n"/>
      <c r="AB314" s="16" t="n"/>
      <c r="AC314" s="125" t="n"/>
      <c r="AD314" s="14" t="n"/>
    </row>
    <row r="315">
      <c r="A315" s="58" t="n"/>
      <c r="B315" s="59" t="n"/>
      <c r="C315" s="59" t="n"/>
      <c r="E315" s="16" t="n"/>
      <c r="F315" s="13" t="n"/>
      <c r="G315" s="16" t="n"/>
      <c r="H315" s="125" t="n"/>
      <c r="I315" s="14" t="n"/>
      <c r="J315" s="16" t="n"/>
      <c r="K315" s="125" t="n"/>
      <c r="L315" s="14" t="n"/>
      <c r="M315" s="16" t="n"/>
      <c r="N315" s="125" t="n"/>
      <c r="O315" s="14" t="n"/>
      <c r="P315" s="16" t="n"/>
      <c r="Q315" s="125" t="n"/>
      <c r="R315" s="14" t="n"/>
      <c r="S315" s="16" t="n"/>
      <c r="T315" s="125" t="n"/>
      <c r="U315" s="14" t="n"/>
      <c r="V315" s="16" t="n"/>
      <c r="W315" s="125" t="n"/>
      <c r="X315" s="14" t="n"/>
      <c r="Y315" s="16" t="n"/>
      <c r="Z315" s="125" t="n"/>
      <c r="AA315" s="14" t="n"/>
      <c r="AB315" s="16" t="n"/>
      <c r="AC315" s="125" t="n"/>
      <c r="AD315" s="14" t="n"/>
    </row>
    <row r="316">
      <c r="A316" s="56" t="n"/>
      <c r="B316" s="59" t="n"/>
      <c r="C316" s="59" t="n"/>
      <c r="E316" s="16" t="n"/>
      <c r="F316" s="13" t="n"/>
      <c r="G316" s="16" t="n"/>
      <c r="H316" s="125" t="n"/>
      <c r="I316" s="14" t="n"/>
      <c r="J316" s="16" t="n"/>
      <c r="K316" s="125" t="n"/>
      <c r="L316" s="14" t="n"/>
      <c r="M316" s="16" t="n"/>
      <c r="N316" s="125" t="n"/>
      <c r="O316" s="14" t="n"/>
      <c r="P316" s="16" t="n"/>
      <c r="Q316" s="125" t="n"/>
      <c r="R316" s="14" t="n"/>
      <c r="S316" s="16" t="n"/>
      <c r="T316" s="125" t="n"/>
      <c r="U316" s="14" t="n"/>
      <c r="V316" s="16" t="n"/>
      <c r="W316" s="125" t="n"/>
      <c r="X316" s="14" t="n"/>
      <c r="Y316" s="16" t="n"/>
      <c r="Z316" s="125" t="n"/>
      <c r="AA316" s="14" t="n"/>
      <c r="AB316" s="16" t="n"/>
      <c r="AC316" s="125" t="n"/>
      <c r="AD316" s="14" t="n"/>
    </row>
    <row r="317">
      <c r="A317" s="58" t="n"/>
      <c r="B317" s="59" t="n"/>
      <c r="C317" s="59" t="n"/>
      <c r="E317" s="16" t="n"/>
      <c r="F317" s="13" t="n"/>
      <c r="G317" s="16" t="n"/>
      <c r="H317" s="125" t="n"/>
      <c r="I317" s="14" t="n"/>
      <c r="J317" s="16" t="n"/>
      <c r="K317" s="125" t="n"/>
      <c r="L317" s="14" t="n"/>
      <c r="M317" s="16" t="n"/>
      <c r="N317" s="125" t="n"/>
      <c r="O317" s="14" t="n"/>
      <c r="P317" s="16" t="n"/>
      <c r="Q317" s="125" t="n"/>
      <c r="R317" s="14" t="n"/>
      <c r="S317" s="16" t="n"/>
      <c r="T317" s="125" t="n"/>
      <c r="U317" s="14" t="n"/>
      <c r="V317" s="16" t="n"/>
      <c r="W317" s="125" t="n"/>
      <c r="X317" s="14" t="n"/>
      <c r="Y317" s="16" t="n"/>
      <c r="Z317" s="125" t="n"/>
      <c r="AA317" s="14" t="n"/>
      <c r="AB317" s="16" t="n"/>
      <c r="AC317" s="125" t="n"/>
      <c r="AD317" s="14" t="n"/>
    </row>
    <row r="318">
      <c r="A318" s="56" t="n"/>
      <c r="B318" s="59" t="n"/>
      <c r="C318" s="59" t="n"/>
      <c r="E318" s="16" t="n"/>
      <c r="F318" s="13" t="n"/>
      <c r="G318" s="16" t="n"/>
      <c r="H318" s="125" t="n"/>
      <c r="I318" s="14" t="n"/>
      <c r="J318" s="16" t="n"/>
      <c r="K318" s="125" t="n"/>
      <c r="L318" s="14" t="n"/>
      <c r="M318" s="16" t="n"/>
      <c r="N318" s="125" t="n"/>
      <c r="O318" s="14" t="n"/>
      <c r="P318" s="16" t="n"/>
      <c r="Q318" s="125" t="n"/>
      <c r="R318" s="14" t="n"/>
      <c r="S318" s="16" t="n"/>
      <c r="T318" s="125" t="n"/>
      <c r="U318" s="14" t="n"/>
      <c r="V318" s="16" t="n"/>
      <c r="W318" s="125" t="n"/>
      <c r="X318" s="14" t="n"/>
      <c r="Y318" s="16" t="n"/>
      <c r="Z318" s="125" t="n"/>
      <c r="AA318" s="14" t="n"/>
      <c r="AB318" s="16" t="n"/>
      <c r="AC318" s="125" t="n"/>
      <c r="AD318" s="14" t="n"/>
    </row>
    <row r="319">
      <c r="A319" s="58" t="n"/>
      <c r="B319" s="59" t="n"/>
      <c r="C319" s="59" t="n"/>
      <c r="E319" s="16" t="n"/>
      <c r="F319" s="13" t="n"/>
      <c r="G319" s="16" t="n"/>
      <c r="H319" s="125" t="n"/>
      <c r="I319" s="14" t="n"/>
      <c r="J319" s="16" t="n"/>
      <c r="K319" s="125" t="n"/>
      <c r="L319" s="14" t="n"/>
      <c r="M319" s="16" t="n"/>
      <c r="N319" s="125" t="n"/>
      <c r="O319" s="14" t="n"/>
      <c r="P319" s="16" t="n"/>
      <c r="Q319" s="125" t="n"/>
      <c r="R319" s="14" t="n"/>
      <c r="S319" s="16" t="n"/>
      <c r="T319" s="125" t="n"/>
      <c r="U319" s="14" t="n"/>
      <c r="V319" s="16" t="n"/>
      <c r="W319" s="125" t="n"/>
      <c r="X319" s="14" t="n"/>
      <c r="Y319" s="16" t="n"/>
      <c r="Z319" s="125" t="n"/>
      <c r="AA319" s="14" t="n"/>
      <c r="AB319" s="16" t="n"/>
      <c r="AC319" s="125" t="n"/>
      <c r="AD319" s="14" t="n"/>
    </row>
    <row r="320">
      <c r="A320" s="56" t="n"/>
      <c r="B320" s="59" t="n"/>
      <c r="C320" s="59" t="n"/>
      <c r="E320" s="16" t="n"/>
      <c r="F320" s="13" t="n"/>
      <c r="G320" s="16" t="n"/>
      <c r="H320" s="125" t="n"/>
      <c r="I320" s="14" t="n"/>
      <c r="J320" s="16" t="n"/>
      <c r="K320" s="125" t="n"/>
      <c r="L320" s="14" t="n"/>
      <c r="M320" s="16" t="n"/>
      <c r="N320" s="125" t="n"/>
      <c r="O320" s="14" t="n"/>
      <c r="P320" s="16" t="n"/>
      <c r="Q320" s="125" t="n"/>
      <c r="R320" s="14" t="n"/>
      <c r="S320" s="16" t="n"/>
      <c r="T320" s="125" t="n"/>
      <c r="U320" s="14" t="n"/>
      <c r="V320" s="16" t="n"/>
      <c r="W320" s="125" t="n"/>
      <c r="X320" s="14" t="n"/>
      <c r="Y320" s="16" t="n"/>
      <c r="Z320" s="125" t="n"/>
      <c r="AA320" s="14" t="n"/>
      <c r="AB320" s="16" t="n"/>
      <c r="AC320" s="125" t="n"/>
      <c r="AD320" s="14" t="n"/>
    </row>
    <row r="321">
      <c r="A321" s="58" t="n"/>
      <c r="B321" s="59" t="n"/>
      <c r="C321" s="59" t="n"/>
      <c r="E321" s="16" t="n"/>
      <c r="F321" s="13" t="n"/>
      <c r="G321" s="16" t="n"/>
      <c r="H321" s="125" t="n"/>
      <c r="I321" s="14" t="n"/>
      <c r="J321" s="16" t="n"/>
      <c r="K321" s="125" t="n"/>
      <c r="L321" s="14" t="n"/>
      <c r="M321" s="16" t="n"/>
      <c r="N321" s="125" t="n"/>
      <c r="O321" s="14" t="n"/>
      <c r="P321" s="16" t="n"/>
      <c r="Q321" s="125" t="n"/>
      <c r="R321" s="14" t="n"/>
      <c r="S321" s="16" t="n"/>
      <c r="T321" s="125" t="n"/>
      <c r="U321" s="14" t="n"/>
      <c r="V321" s="16" t="n"/>
      <c r="W321" s="125" t="n"/>
      <c r="X321" s="14" t="n"/>
      <c r="Y321" s="16" t="n"/>
      <c r="Z321" s="125" t="n"/>
      <c r="AA321" s="14" t="n"/>
      <c r="AB321" s="16" t="n"/>
      <c r="AC321" s="125" t="n"/>
      <c r="AD321" s="14" t="n"/>
    </row>
    <row r="322">
      <c r="A322" s="56" t="n"/>
      <c r="B322" s="59" t="n"/>
      <c r="C322" s="59" t="n"/>
      <c r="E322" s="16" t="n"/>
      <c r="F322" s="13" t="n"/>
      <c r="G322" s="16" t="n"/>
      <c r="H322" s="125" t="n"/>
      <c r="I322" s="14" t="n"/>
      <c r="J322" s="16" t="n"/>
      <c r="K322" s="125" t="n"/>
      <c r="L322" s="14" t="n"/>
      <c r="M322" s="16" t="n"/>
      <c r="N322" s="125" t="n"/>
      <c r="O322" s="14" t="n"/>
      <c r="P322" s="16" t="n"/>
      <c r="Q322" s="125" t="n"/>
      <c r="R322" s="14" t="n"/>
      <c r="S322" s="16" t="n"/>
      <c r="T322" s="125" t="n"/>
      <c r="U322" s="14" t="n"/>
      <c r="V322" s="16" t="n"/>
      <c r="W322" s="125" t="n"/>
      <c r="X322" s="14" t="n"/>
      <c r="Y322" s="16" t="n"/>
      <c r="Z322" s="125" t="n"/>
      <c r="AA322" s="14" t="n"/>
      <c r="AB322" s="16" t="n"/>
      <c r="AC322" s="125" t="n"/>
      <c r="AD322" s="14" t="n"/>
    </row>
    <row r="323">
      <c r="A323" s="58" t="n"/>
      <c r="B323" s="59" t="n"/>
      <c r="C323" s="59" t="n"/>
      <c r="E323" s="16" t="n"/>
      <c r="F323" s="13" t="n"/>
      <c r="G323" s="16" t="n"/>
      <c r="H323" s="125" t="n"/>
      <c r="I323" s="14" t="n"/>
      <c r="J323" s="16" t="n"/>
      <c r="K323" s="125" t="n"/>
      <c r="L323" s="14" t="n"/>
      <c r="M323" s="16" t="n"/>
      <c r="N323" s="125" t="n"/>
      <c r="O323" s="14" t="n"/>
      <c r="P323" s="16" t="n"/>
      <c r="Q323" s="125" t="n"/>
      <c r="R323" s="14" t="n"/>
      <c r="S323" s="16" t="n"/>
      <c r="T323" s="125" t="n"/>
      <c r="U323" s="14" t="n"/>
      <c r="V323" s="16" t="n"/>
      <c r="W323" s="125" t="n"/>
      <c r="X323" s="14" t="n"/>
      <c r="Y323" s="16" t="n"/>
      <c r="Z323" s="125" t="n"/>
      <c r="AA323" s="14" t="n"/>
      <c r="AB323" s="16" t="n"/>
      <c r="AC323" s="125" t="n"/>
      <c r="AD323" s="14" t="n"/>
    </row>
    <row r="324">
      <c r="A324" s="56" t="n"/>
      <c r="B324" s="59" t="n"/>
      <c r="C324" s="59" t="n"/>
      <c r="E324" s="16" t="n"/>
      <c r="F324" s="13" t="n"/>
      <c r="G324" s="16" t="n"/>
      <c r="H324" s="125" t="n"/>
      <c r="I324" s="14" t="n"/>
      <c r="J324" s="16" t="n"/>
      <c r="K324" s="125" t="n"/>
      <c r="L324" s="14" t="n"/>
      <c r="M324" s="16" t="n"/>
      <c r="N324" s="125" t="n"/>
      <c r="O324" s="14" t="n"/>
      <c r="P324" s="16" t="n"/>
      <c r="Q324" s="125" t="n"/>
      <c r="R324" s="14" t="n"/>
      <c r="S324" s="16" t="n"/>
      <c r="T324" s="125" t="n"/>
      <c r="U324" s="14" t="n"/>
      <c r="V324" s="16" t="n"/>
      <c r="W324" s="125" t="n"/>
      <c r="X324" s="14" t="n"/>
      <c r="Y324" s="16" t="n"/>
      <c r="Z324" s="125" t="n"/>
      <c r="AA324" s="14" t="n"/>
      <c r="AB324" s="16" t="n"/>
      <c r="AC324" s="125" t="n"/>
      <c r="AD324" s="14" t="n"/>
    </row>
    <row r="325">
      <c r="A325" s="58" t="n"/>
      <c r="B325" s="59" t="n"/>
      <c r="C325" s="59" t="n"/>
      <c r="E325" s="16" t="n"/>
      <c r="F325" s="13" t="n"/>
      <c r="G325" s="16" t="n"/>
      <c r="H325" s="125" t="n"/>
      <c r="I325" s="14" t="n"/>
      <c r="J325" s="16" t="n"/>
      <c r="K325" s="125" t="n"/>
      <c r="L325" s="14" t="n"/>
      <c r="M325" s="16" t="n"/>
      <c r="N325" s="125" t="n"/>
      <c r="O325" s="14" t="n"/>
      <c r="P325" s="16" t="n"/>
      <c r="Q325" s="125" t="n"/>
      <c r="R325" s="14" t="n"/>
      <c r="S325" s="16" t="n"/>
      <c r="T325" s="125" t="n"/>
      <c r="U325" s="14" t="n"/>
      <c r="V325" s="16" t="n"/>
      <c r="W325" s="125" t="n"/>
      <c r="X325" s="14" t="n"/>
      <c r="Y325" s="16" t="n"/>
      <c r="Z325" s="125" t="n"/>
      <c r="AA325" s="14" t="n"/>
      <c r="AB325" s="16" t="n"/>
      <c r="AC325" s="125" t="n"/>
      <c r="AD325" s="14" t="n"/>
    </row>
    <row r="326">
      <c r="A326" s="56" t="n"/>
      <c r="B326" s="59" t="n"/>
      <c r="C326" s="59" t="n"/>
      <c r="E326" s="16" t="n"/>
      <c r="F326" s="13" t="n"/>
      <c r="G326" s="16" t="n"/>
      <c r="H326" s="125" t="n"/>
      <c r="I326" s="14" t="n"/>
      <c r="J326" s="16" t="n"/>
      <c r="K326" s="125" t="n"/>
      <c r="L326" s="14" t="n"/>
      <c r="M326" s="16" t="n"/>
      <c r="N326" s="125" t="n"/>
      <c r="O326" s="14" t="n"/>
      <c r="P326" s="16" t="n"/>
      <c r="Q326" s="125" t="n"/>
      <c r="R326" s="14" t="n"/>
      <c r="S326" s="16" t="n"/>
      <c r="T326" s="125" t="n"/>
      <c r="U326" s="14" t="n"/>
      <c r="V326" s="16" t="n"/>
      <c r="W326" s="125" t="n"/>
      <c r="X326" s="14" t="n"/>
      <c r="Y326" s="16" t="n"/>
      <c r="Z326" s="125" t="n"/>
      <c r="AA326" s="14" t="n"/>
      <c r="AB326" s="16" t="n"/>
      <c r="AC326" s="125" t="n"/>
      <c r="AD326" s="14" t="n"/>
    </row>
    <row r="327">
      <c r="A327" s="58" t="n"/>
      <c r="B327" s="59" t="n"/>
      <c r="C327" s="59" t="n"/>
      <c r="E327" s="16" t="n"/>
      <c r="F327" s="13" t="n"/>
      <c r="G327" s="16" t="n"/>
      <c r="H327" s="125" t="n"/>
      <c r="I327" s="14" t="n"/>
      <c r="J327" s="16" t="n"/>
      <c r="K327" s="125" t="n"/>
      <c r="L327" s="14" t="n"/>
      <c r="M327" s="16" t="n"/>
      <c r="N327" s="125" t="n"/>
      <c r="O327" s="14" t="n"/>
      <c r="P327" s="16" t="n"/>
      <c r="Q327" s="125" t="n"/>
      <c r="R327" s="14" t="n"/>
      <c r="S327" s="16" t="n"/>
      <c r="T327" s="125" t="n"/>
      <c r="U327" s="14" t="n"/>
      <c r="V327" s="16" t="n"/>
      <c r="W327" s="125" t="n"/>
      <c r="X327" s="14" t="n"/>
      <c r="Y327" s="16" t="n"/>
      <c r="Z327" s="125" t="n"/>
      <c r="AA327" s="14" t="n"/>
      <c r="AB327" s="16" t="n"/>
      <c r="AC327" s="125" t="n"/>
      <c r="AD327" s="14" t="n"/>
    </row>
    <row r="328">
      <c r="A328" s="56" t="n"/>
      <c r="B328" s="59" t="n"/>
      <c r="C328" s="59" t="n"/>
      <c r="E328" s="16" t="n"/>
      <c r="F328" s="13" t="n"/>
      <c r="G328" s="16" t="n"/>
      <c r="H328" s="125" t="n"/>
      <c r="I328" s="14" t="n"/>
      <c r="J328" s="16" t="n"/>
      <c r="K328" s="125" t="n"/>
      <c r="L328" s="14" t="n"/>
      <c r="M328" s="16" t="n"/>
      <c r="N328" s="125" t="n"/>
      <c r="O328" s="14" t="n"/>
      <c r="P328" s="16" t="n"/>
      <c r="Q328" s="125" t="n"/>
      <c r="R328" s="14" t="n"/>
      <c r="S328" s="16" t="n"/>
      <c r="T328" s="125" t="n"/>
      <c r="U328" s="14" t="n"/>
      <c r="V328" s="16" t="n"/>
      <c r="W328" s="125" t="n"/>
      <c r="X328" s="14" t="n"/>
      <c r="Y328" s="16" t="n"/>
      <c r="Z328" s="125" t="n"/>
      <c r="AA328" s="14" t="n"/>
      <c r="AB328" s="16" t="n"/>
      <c r="AC328" s="125" t="n"/>
      <c r="AD328" s="14" t="n"/>
    </row>
    <row r="329">
      <c r="A329" s="58" t="n"/>
      <c r="B329" s="59" t="n"/>
      <c r="C329" s="59" t="n"/>
      <c r="E329" s="16" t="n"/>
      <c r="F329" s="13" t="n"/>
      <c r="G329" s="16" t="n"/>
      <c r="H329" s="125" t="n"/>
      <c r="I329" s="14" t="n"/>
      <c r="J329" s="16" t="n"/>
      <c r="K329" s="125" t="n"/>
      <c r="L329" s="14" t="n"/>
      <c r="M329" s="16" t="n"/>
      <c r="N329" s="125" t="n"/>
      <c r="O329" s="14" t="n"/>
      <c r="P329" s="16" t="n"/>
      <c r="Q329" s="125" t="n"/>
      <c r="R329" s="14" t="n"/>
      <c r="S329" s="16" t="n"/>
      <c r="T329" s="125" t="n"/>
      <c r="U329" s="14" t="n"/>
      <c r="V329" s="16" t="n"/>
      <c r="W329" s="125" t="n"/>
      <c r="X329" s="14" t="n"/>
      <c r="Y329" s="16" t="n"/>
      <c r="Z329" s="125" t="n"/>
      <c r="AA329" s="14" t="n"/>
      <c r="AB329" s="16" t="n"/>
      <c r="AC329" s="125" t="n"/>
      <c r="AD329" s="14" t="n"/>
    </row>
    <row r="330">
      <c r="A330" s="56" t="n"/>
      <c r="B330" s="59" t="n"/>
      <c r="C330" s="59" t="n"/>
      <c r="E330" s="16" t="n"/>
      <c r="F330" s="13" t="n"/>
      <c r="G330" s="16" t="n"/>
      <c r="H330" s="125" t="n"/>
      <c r="I330" s="14" t="n"/>
      <c r="J330" s="16" t="n"/>
      <c r="K330" s="125" t="n"/>
      <c r="L330" s="14" t="n"/>
      <c r="M330" s="16" t="n"/>
      <c r="N330" s="125" t="n"/>
      <c r="O330" s="14" t="n"/>
      <c r="P330" s="16" t="n"/>
      <c r="Q330" s="125" t="n"/>
      <c r="R330" s="14" t="n"/>
      <c r="S330" s="16" t="n"/>
      <c r="T330" s="125" t="n"/>
      <c r="U330" s="14" t="n"/>
      <c r="V330" s="16" t="n"/>
      <c r="W330" s="125" t="n"/>
      <c r="X330" s="14" t="n"/>
      <c r="Y330" s="16" t="n"/>
      <c r="Z330" s="125" t="n"/>
      <c r="AA330" s="14" t="n"/>
      <c r="AB330" s="16" t="n"/>
      <c r="AC330" s="125" t="n"/>
      <c r="AD330" s="14" t="n"/>
    </row>
    <row r="331">
      <c r="A331" s="58" t="n"/>
      <c r="B331" s="59" t="n"/>
      <c r="C331" s="59" t="n"/>
      <c r="E331" s="16" t="n"/>
      <c r="F331" s="13" t="n"/>
      <c r="G331" s="16" t="n"/>
      <c r="H331" s="125" t="n"/>
      <c r="I331" s="14" t="n"/>
      <c r="J331" s="16" t="n"/>
      <c r="K331" s="125" t="n"/>
      <c r="L331" s="14" t="n"/>
      <c r="M331" s="16" t="n"/>
      <c r="N331" s="125" t="n"/>
      <c r="O331" s="14" t="n"/>
      <c r="P331" s="16" t="n"/>
      <c r="Q331" s="125" t="n"/>
      <c r="R331" s="14" t="n"/>
      <c r="S331" s="16" t="n"/>
      <c r="T331" s="125" t="n"/>
      <c r="U331" s="14" t="n"/>
      <c r="V331" s="16" t="n"/>
      <c r="W331" s="125" t="n"/>
      <c r="X331" s="14" t="n"/>
      <c r="Y331" s="16" t="n"/>
      <c r="Z331" s="125" t="n"/>
      <c r="AA331" s="14" t="n"/>
      <c r="AB331" s="16" t="n"/>
      <c r="AC331" s="125" t="n"/>
      <c r="AD331" s="14" t="n"/>
    </row>
    <row r="332">
      <c r="A332" s="56" t="n"/>
      <c r="B332" s="59" t="n"/>
      <c r="C332" s="59" t="n"/>
      <c r="E332" s="16" t="n"/>
      <c r="F332" s="13" t="n"/>
      <c r="G332" s="16" t="n"/>
      <c r="H332" s="125" t="n"/>
      <c r="I332" s="14" t="n"/>
      <c r="J332" s="16" t="n"/>
      <c r="K332" s="125" t="n"/>
      <c r="L332" s="14" t="n"/>
      <c r="M332" s="16" t="n"/>
      <c r="N332" s="125" t="n"/>
      <c r="O332" s="14" t="n"/>
      <c r="P332" s="16" t="n"/>
      <c r="Q332" s="125" t="n"/>
      <c r="R332" s="14" t="n"/>
      <c r="S332" s="16" t="n"/>
      <c r="T332" s="125" t="n"/>
      <c r="U332" s="14" t="n"/>
      <c r="V332" s="16" t="n"/>
      <c r="W332" s="125" t="n"/>
      <c r="X332" s="14" t="n"/>
      <c r="Y332" s="16" t="n"/>
      <c r="Z332" s="125" t="n"/>
      <c r="AA332" s="14" t="n"/>
      <c r="AB332" s="16" t="n"/>
      <c r="AC332" s="125" t="n"/>
      <c r="AD332" s="14" t="n"/>
    </row>
    <row r="333">
      <c r="A333" s="58" t="n"/>
      <c r="B333" s="59" t="n"/>
      <c r="C333" s="59" t="n"/>
      <c r="E333" s="16" t="n"/>
      <c r="F333" s="13" t="n"/>
      <c r="G333" s="16" t="n"/>
      <c r="H333" s="125" t="n"/>
      <c r="I333" s="14" t="n"/>
      <c r="J333" s="16" t="n"/>
      <c r="K333" s="125" t="n"/>
      <c r="L333" s="14" t="n"/>
      <c r="M333" s="16" t="n"/>
      <c r="N333" s="125" t="n"/>
      <c r="O333" s="14" t="n"/>
      <c r="P333" s="16" t="n"/>
      <c r="Q333" s="125" t="n"/>
      <c r="R333" s="14" t="n"/>
      <c r="S333" s="16" t="n"/>
      <c r="T333" s="125" t="n"/>
      <c r="U333" s="14" t="n"/>
      <c r="V333" s="16" t="n"/>
      <c r="W333" s="125" t="n"/>
      <c r="X333" s="14" t="n"/>
      <c r="Y333" s="16" t="n"/>
      <c r="Z333" s="125" t="n"/>
      <c r="AA333" s="14" t="n"/>
      <c r="AB333" s="16" t="n"/>
      <c r="AC333" s="125" t="n"/>
      <c r="AD333" s="14" t="n"/>
    </row>
    <row r="334">
      <c r="A334" s="56" t="n"/>
      <c r="B334" s="59" t="n"/>
      <c r="C334" s="59" t="n"/>
      <c r="E334" s="16" t="n"/>
      <c r="F334" s="13" t="n"/>
      <c r="G334" s="16" t="n"/>
      <c r="H334" s="125" t="n"/>
      <c r="I334" s="14" t="n"/>
      <c r="J334" s="16" t="n"/>
      <c r="K334" s="125" t="n"/>
      <c r="L334" s="14" t="n"/>
      <c r="M334" s="16" t="n"/>
      <c r="N334" s="125" t="n"/>
      <c r="O334" s="14" t="n"/>
      <c r="P334" s="16" t="n"/>
      <c r="Q334" s="125" t="n"/>
      <c r="R334" s="14" t="n"/>
      <c r="S334" s="16" t="n"/>
      <c r="T334" s="125" t="n"/>
      <c r="U334" s="14" t="n"/>
      <c r="V334" s="16" t="n"/>
      <c r="W334" s="125" t="n"/>
      <c r="X334" s="14" t="n"/>
      <c r="Y334" s="16" t="n"/>
      <c r="Z334" s="125" t="n"/>
      <c r="AA334" s="14" t="n"/>
      <c r="AB334" s="16" t="n"/>
      <c r="AC334" s="125" t="n"/>
      <c r="AD334" s="14" t="n"/>
    </row>
    <row r="335">
      <c r="A335" s="58" t="n"/>
      <c r="B335" s="59" t="n"/>
      <c r="C335" s="59" t="n"/>
      <c r="E335" s="16" t="n"/>
      <c r="F335" s="13" t="n"/>
      <c r="G335" s="16" t="n"/>
      <c r="H335" s="125" t="n"/>
      <c r="I335" s="14" t="n"/>
      <c r="J335" s="16" t="n"/>
      <c r="K335" s="125" t="n"/>
      <c r="L335" s="14" t="n"/>
      <c r="M335" s="16" t="n"/>
      <c r="N335" s="125" t="n"/>
      <c r="O335" s="14" t="n"/>
      <c r="P335" s="16" t="n"/>
      <c r="Q335" s="125" t="n"/>
      <c r="R335" s="14" t="n"/>
      <c r="S335" s="16" t="n"/>
      <c r="T335" s="125" t="n"/>
      <c r="U335" s="14" t="n"/>
      <c r="V335" s="16" t="n"/>
      <c r="W335" s="125" t="n"/>
      <c r="X335" s="14" t="n"/>
      <c r="Y335" s="16" t="n"/>
      <c r="Z335" s="125" t="n"/>
      <c r="AA335" s="14" t="n"/>
      <c r="AB335" s="16" t="n"/>
      <c r="AC335" s="125" t="n"/>
      <c r="AD335" s="14" t="n"/>
    </row>
    <row r="336">
      <c r="A336" s="56" t="n"/>
      <c r="B336" s="59" t="n"/>
      <c r="C336" s="59" t="n"/>
      <c r="E336" s="16" t="n"/>
      <c r="F336" s="13" t="n"/>
      <c r="G336" s="16" t="n"/>
      <c r="H336" s="125" t="n"/>
      <c r="I336" s="14" t="n"/>
      <c r="J336" s="16" t="n"/>
      <c r="K336" s="125" t="n"/>
      <c r="L336" s="14" t="n"/>
      <c r="M336" s="16" t="n"/>
      <c r="N336" s="125" t="n"/>
      <c r="O336" s="14" t="n"/>
      <c r="P336" s="16" t="n"/>
      <c r="Q336" s="125" t="n"/>
      <c r="R336" s="14" t="n"/>
      <c r="S336" s="16" t="n"/>
      <c r="T336" s="125" t="n"/>
      <c r="U336" s="14" t="n"/>
      <c r="V336" s="16" t="n"/>
      <c r="W336" s="125" t="n"/>
      <c r="X336" s="14" t="n"/>
      <c r="Y336" s="16" t="n"/>
      <c r="Z336" s="125" t="n"/>
      <c r="AA336" s="14" t="n"/>
      <c r="AB336" s="16" t="n"/>
      <c r="AC336" s="125" t="n"/>
      <c r="AD336" s="14" t="n"/>
    </row>
    <row r="337">
      <c r="A337" s="58" t="n"/>
      <c r="B337" s="59" t="n"/>
      <c r="C337" s="59" t="n"/>
      <c r="E337" s="16" t="n"/>
      <c r="F337" s="13" t="n"/>
      <c r="G337" s="16" t="n"/>
      <c r="H337" s="125" t="n"/>
      <c r="I337" s="14" t="n"/>
      <c r="J337" s="16" t="n"/>
      <c r="K337" s="125" t="n"/>
      <c r="L337" s="14" t="n"/>
      <c r="M337" s="16" t="n"/>
      <c r="N337" s="125" t="n"/>
      <c r="O337" s="14" t="n"/>
      <c r="P337" s="16" t="n"/>
      <c r="Q337" s="125" t="n"/>
      <c r="R337" s="14" t="n"/>
      <c r="S337" s="16" t="n"/>
      <c r="T337" s="125" t="n"/>
      <c r="U337" s="14" t="n"/>
      <c r="V337" s="16" t="n"/>
      <c r="W337" s="125" t="n"/>
      <c r="X337" s="14" t="n"/>
      <c r="Y337" s="16" t="n"/>
      <c r="Z337" s="125" t="n"/>
      <c r="AA337" s="14" t="n"/>
      <c r="AB337" s="16" t="n"/>
      <c r="AC337" s="125" t="n"/>
      <c r="AD337" s="14" t="n"/>
    </row>
    <row r="338">
      <c r="A338" s="56" t="n"/>
      <c r="B338" s="59" t="n"/>
      <c r="C338" s="59" t="n"/>
      <c r="E338" s="16" t="n"/>
      <c r="F338" s="13" t="n"/>
      <c r="G338" s="16" t="n"/>
      <c r="H338" s="125" t="n"/>
      <c r="I338" s="14" t="n"/>
      <c r="J338" s="16" t="n"/>
      <c r="K338" s="125" t="n"/>
      <c r="L338" s="14" t="n"/>
      <c r="M338" s="16" t="n"/>
      <c r="N338" s="125" t="n"/>
      <c r="O338" s="14" t="n"/>
      <c r="P338" s="16" t="n"/>
      <c r="Q338" s="125" t="n"/>
      <c r="R338" s="14" t="n"/>
      <c r="S338" s="16" t="n"/>
      <c r="T338" s="125" t="n"/>
      <c r="U338" s="14" t="n"/>
      <c r="V338" s="16" t="n"/>
      <c r="W338" s="125" t="n"/>
      <c r="X338" s="14" t="n"/>
      <c r="Y338" s="16" t="n"/>
      <c r="Z338" s="125" t="n"/>
      <c r="AA338" s="14" t="n"/>
      <c r="AB338" s="16" t="n"/>
      <c r="AC338" s="125" t="n"/>
      <c r="AD338" s="14" t="n"/>
    </row>
    <row r="339">
      <c r="A339" s="58" t="n"/>
      <c r="B339" s="59" t="n"/>
      <c r="C339" s="59" t="n"/>
      <c r="E339" s="16" t="n"/>
      <c r="F339" s="13" t="n"/>
      <c r="G339" s="16" t="n"/>
      <c r="H339" s="125" t="n"/>
      <c r="I339" s="14" t="n"/>
      <c r="J339" s="16" t="n"/>
      <c r="K339" s="125" t="n"/>
      <c r="L339" s="14" t="n"/>
      <c r="M339" s="16" t="n"/>
      <c r="N339" s="125" t="n"/>
      <c r="O339" s="14" t="n"/>
      <c r="P339" s="16" t="n"/>
      <c r="Q339" s="125" t="n"/>
      <c r="R339" s="14" t="n"/>
      <c r="S339" s="16" t="n"/>
      <c r="T339" s="125" t="n"/>
      <c r="U339" s="14" t="n"/>
      <c r="V339" s="16" t="n"/>
      <c r="W339" s="125" t="n"/>
      <c r="X339" s="14" t="n"/>
      <c r="Y339" s="16" t="n"/>
      <c r="Z339" s="125" t="n"/>
      <c r="AA339" s="14" t="n"/>
      <c r="AB339" s="16" t="n"/>
      <c r="AC339" s="125" t="n"/>
      <c r="AD339" s="14" t="n"/>
    </row>
    <row r="340">
      <c r="A340" s="56" t="n"/>
      <c r="B340" s="59" t="n"/>
      <c r="C340" s="59" t="n"/>
      <c r="E340" s="16" t="n"/>
      <c r="F340" s="13" t="n"/>
      <c r="G340" s="16" t="n"/>
      <c r="H340" s="125" t="n"/>
      <c r="I340" s="14" t="n"/>
      <c r="J340" s="16" t="n"/>
      <c r="K340" s="125" t="n"/>
      <c r="L340" s="14" t="n"/>
      <c r="M340" s="16" t="n"/>
      <c r="N340" s="125" t="n"/>
      <c r="O340" s="14" t="n"/>
      <c r="P340" s="16" t="n"/>
      <c r="Q340" s="125" t="n"/>
      <c r="R340" s="14" t="n"/>
      <c r="S340" s="16" t="n"/>
      <c r="T340" s="125" t="n"/>
      <c r="U340" s="14" t="n"/>
      <c r="V340" s="16" t="n"/>
      <c r="W340" s="125" t="n"/>
      <c r="X340" s="14" t="n"/>
      <c r="Y340" s="16" t="n"/>
      <c r="Z340" s="125" t="n"/>
      <c r="AA340" s="14" t="n"/>
      <c r="AB340" s="16" t="n"/>
      <c r="AC340" s="125" t="n"/>
      <c r="AD340" s="14" t="n"/>
    </row>
    <row r="341">
      <c r="A341" s="58" t="n"/>
      <c r="B341" s="59" t="n"/>
      <c r="C341" s="59" t="n"/>
      <c r="E341" s="16" t="n"/>
      <c r="F341" s="13" t="n"/>
      <c r="G341" s="16" t="n"/>
      <c r="H341" s="125" t="n"/>
      <c r="I341" s="14" t="n"/>
      <c r="J341" s="16" t="n"/>
      <c r="K341" s="125" t="n"/>
      <c r="L341" s="14" t="n"/>
      <c r="M341" s="16" t="n"/>
      <c r="N341" s="125" t="n"/>
      <c r="O341" s="14" t="n"/>
      <c r="P341" s="16" t="n"/>
      <c r="Q341" s="125" t="n"/>
      <c r="R341" s="14" t="n"/>
      <c r="S341" s="16" t="n"/>
      <c r="T341" s="125" t="n"/>
      <c r="U341" s="14" t="n"/>
      <c r="V341" s="16" t="n"/>
      <c r="W341" s="125" t="n"/>
      <c r="X341" s="14" t="n"/>
      <c r="Y341" s="16" t="n"/>
      <c r="Z341" s="125" t="n"/>
      <c r="AA341" s="14" t="n"/>
      <c r="AB341" s="16" t="n"/>
      <c r="AC341" s="125" t="n"/>
      <c r="AD341" s="14" t="n"/>
    </row>
    <row r="342">
      <c r="A342" s="56" t="n"/>
      <c r="B342" s="59" t="n"/>
      <c r="C342" s="59" t="n"/>
      <c r="E342" s="16" t="n"/>
      <c r="F342" s="13" t="n"/>
      <c r="G342" s="16" t="n"/>
      <c r="H342" s="125" t="n"/>
      <c r="I342" s="14" t="n"/>
      <c r="J342" s="16" t="n"/>
      <c r="K342" s="125" t="n"/>
      <c r="L342" s="14" t="n"/>
      <c r="M342" s="16" t="n"/>
      <c r="N342" s="125" t="n"/>
      <c r="O342" s="14" t="n"/>
      <c r="P342" s="16" t="n"/>
      <c r="Q342" s="125" t="n"/>
      <c r="R342" s="14" t="n"/>
      <c r="S342" s="16" t="n"/>
      <c r="T342" s="125" t="n"/>
      <c r="U342" s="14" t="n"/>
      <c r="V342" s="16" t="n"/>
      <c r="W342" s="125" t="n"/>
      <c r="X342" s="14" t="n"/>
      <c r="Y342" s="16" t="n"/>
      <c r="Z342" s="125" t="n"/>
      <c r="AA342" s="14" t="n"/>
      <c r="AB342" s="16" t="n"/>
      <c r="AC342" s="125" t="n"/>
      <c r="AD342" s="14" t="n"/>
    </row>
    <row r="343">
      <c r="A343" s="58" t="n"/>
      <c r="B343" s="59" t="n"/>
      <c r="C343" s="59" t="n"/>
      <c r="E343" s="16" t="n"/>
      <c r="F343" s="13" t="n"/>
      <c r="G343" s="16" t="n"/>
      <c r="H343" s="125" t="n"/>
      <c r="I343" s="14" t="n"/>
      <c r="J343" s="16" t="n"/>
      <c r="K343" s="125" t="n"/>
      <c r="L343" s="14" t="n"/>
      <c r="M343" s="16" t="n"/>
      <c r="N343" s="125" t="n"/>
      <c r="O343" s="14" t="n"/>
      <c r="P343" s="16" t="n"/>
      <c r="Q343" s="125" t="n"/>
      <c r="R343" s="14" t="n"/>
      <c r="S343" s="16" t="n"/>
      <c r="T343" s="125" t="n"/>
      <c r="U343" s="14" t="n"/>
      <c r="V343" s="16" t="n"/>
      <c r="W343" s="125" t="n"/>
      <c r="X343" s="14" t="n"/>
      <c r="Y343" s="16" t="n"/>
      <c r="Z343" s="125" t="n"/>
      <c r="AA343" s="14" t="n"/>
      <c r="AB343" s="16" t="n"/>
      <c r="AC343" s="125" t="n"/>
      <c r="AD343" s="14" t="n"/>
    </row>
    <row r="344">
      <c r="A344" s="56" t="n"/>
      <c r="B344" s="59" t="n"/>
      <c r="C344" s="59" t="n"/>
      <c r="E344" s="16" t="n"/>
      <c r="F344" s="13" t="n"/>
      <c r="G344" s="16" t="n"/>
      <c r="H344" s="125" t="n"/>
      <c r="I344" s="14" t="n"/>
      <c r="J344" s="16" t="n"/>
      <c r="K344" s="125" t="n"/>
      <c r="L344" s="14" t="n"/>
      <c r="M344" s="16" t="n"/>
      <c r="N344" s="125" t="n"/>
      <c r="O344" s="14" t="n"/>
      <c r="P344" s="16" t="n"/>
      <c r="Q344" s="125" t="n"/>
      <c r="R344" s="14" t="n"/>
      <c r="S344" s="16" t="n"/>
      <c r="T344" s="125" t="n"/>
      <c r="U344" s="14" t="n"/>
      <c r="V344" s="16" t="n"/>
      <c r="W344" s="125" t="n"/>
      <c r="X344" s="14" t="n"/>
      <c r="Y344" s="16" t="n"/>
      <c r="Z344" s="125" t="n"/>
      <c r="AA344" s="14" t="n"/>
      <c r="AB344" s="16" t="n"/>
      <c r="AC344" s="125" t="n"/>
      <c r="AD344" s="14" t="n"/>
    </row>
    <row r="345">
      <c r="A345" s="58" t="n"/>
      <c r="B345" s="59" t="n"/>
      <c r="C345" s="59" t="n"/>
      <c r="E345" s="16" t="n"/>
      <c r="F345" s="13" t="n"/>
      <c r="G345" s="16" t="n"/>
      <c r="H345" s="125" t="n"/>
      <c r="I345" s="14" t="n"/>
      <c r="J345" s="16" t="n"/>
      <c r="K345" s="125" t="n"/>
      <c r="L345" s="14" t="n"/>
      <c r="M345" s="16" t="n"/>
      <c r="N345" s="125" t="n"/>
      <c r="O345" s="14" t="n"/>
      <c r="P345" s="16" t="n"/>
      <c r="Q345" s="125" t="n"/>
      <c r="R345" s="14" t="n"/>
      <c r="S345" s="16" t="n"/>
      <c r="T345" s="125" t="n"/>
      <c r="U345" s="14" t="n"/>
      <c r="V345" s="16" t="n"/>
      <c r="W345" s="125" t="n"/>
      <c r="X345" s="14" t="n"/>
      <c r="Y345" s="16" t="n"/>
      <c r="Z345" s="125" t="n"/>
      <c r="AA345" s="14" t="n"/>
      <c r="AB345" s="16" t="n"/>
      <c r="AC345" s="125" t="n"/>
      <c r="AD345" s="14" t="n"/>
    </row>
    <row r="346">
      <c r="A346" s="56" t="n"/>
      <c r="B346" s="59" t="n"/>
      <c r="C346" s="59" t="n"/>
      <c r="E346" s="16" t="n"/>
      <c r="F346" s="13" t="n"/>
      <c r="G346" s="16" t="n"/>
      <c r="H346" s="125" t="n"/>
      <c r="I346" s="14" t="n"/>
      <c r="J346" s="16" t="n"/>
      <c r="K346" s="125" t="n"/>
      <c r="L346" s="14" t="n"/>
      <c r="M346" s="16" t="n"/>
      <c r="N346" s="125" t="n"/>
      <c r="O346" s="14" t="n"/>
      <c r="P346" s="16" t="n"/>
      <c r="Q346" s="125" t="n"/>
      <c r="R346" s="14" t="n"/>
      <c r="S346" s="16" t="n"/>
      <c r="T346" s="125" t="n"/>
      <c r="U346" s="14" t="n"/>
      <c r="V346" s="16" t="n"/>
      <c r="W346" s="125" t="n"/>
      <c r="X346" s="14" t="n"/>
      <c r="Y346" s="16" t="n"/>
      <c r="Z346" s="125" t="n"/>
      <c r="AA346" s="14" t="n"/>
      <c r="AB346" s="16" t="n"/>
      <c r="AC346" s="125" t="n"/>
      <c r="AD346" s="14" t="n"/>
    </row>
    <row r="347">
      <c r="A347" s="58" t="n"/>
      <c r="B347" s="59" t="n"/>
      <c r="C347" s="59" t="n"/>
      <c r="E347" s="16" t="n"/>
      <c r="F347" s="13" t="n"/>
      <c r="G347" s="16" t="n"/>
      <c r="H347" s="125" t="n"/>
      <c r="I347" s="14" t="n"/>
      <c r="J347" s="16" t="n"/>
      <c r="K347" s="125" t="n"/>
      <c r="L347" s="14" t="n"/>
      <c r="M347" s="16" t="n"/>
      <c r="N347" s="125" t="n"/>
      <c r="O347" s="14" t="n"/>
      <c r="P347" s="16" t="n"/>
      <c r="Q347" s="125" t="n"/>
      <c r="R347" s="14" t="n"/>
      <c r="S347" s="16" t="n"/>
      <c r="T347" s="125" t="n"/>
      <c r="U347" s="14" t="n"/>
      <c r="V347" s="16" t="n"/>
      <c r="W347" s="125" t="n"/>
      <c r="X347" s="14" t="n"/>
      <c r="Y347" s="16" t="n"/>
      <c r="Z347" s="125" t="n"/>
      <c r="AA347" s="14" t="n"/>
      <c r="AB347" s="16" t="n"/>
      <c r="AC347" s="125" t="n"/>
      <c r="AD347" s="14" t="n"/>
    </row>
    <row r="348">
      <c r="A348" s="56" t="n"/>
      <c r="B348" s="59" t="n"/>
      <c r="C348" s="59" t="n"/>
      <c r="E348" s="16" t="n"/>
      <c r="F348" s="13" t="n"/>
      <c r="G348" s="16" t="n"/>
      <c r="H348" s="125" t="n"/>
      <c r="I348" s="14" t="n"/>
      <c r="J348" s="16" t="n"/>
      <c r="K348" s="125" t="n"/>
      <c r="L348" s="14" t="n"/>
      <c r="M348" s="16" t="n"/>
      <c r="N348" s="125" t="n"/>
      <c r="O348" s="14" t="n"/>
      <c r="P348" s="16" t="n"/>
      <c r="Q348" s="125" t="n"/>
      <c r="R348" s="14" t="n"/>
      <c r="S348" s="16" t="n"/>
      <c r="T348" s="125" t="n"/>
      <c r="U348" s="14" t="n"/>
      <c r="V348" s="16" t="n"/>
      <c r="W348" s="125" t="n"/>
      <c r="X348" s="14" t="n"/>
      <c r="Y348" s="16" t="n"/>
      <c r="Z348" s="125" t="n"/>
      <c r="AA348" s="14" t="n"/>
      <c r="AB348" s="16" t="n"/>
      <c r="AC348" s="125" t="n"/>
      <c r="AD348" s="14" t="n"/>
    </row>
    <row r="349">
      <c r="A349" s="58" t="n"/>
      <c r="B349" s="59" t="n"/>
      <c r="C349" s="59" t="n"/>
      <c r="E349" s="16" t="n"/>
      <c r="F349" s="13" t="n"/>
      <c r="G349" s="16" t="n"/>
      <c r="H349" s="125" t="n"/>
      <c r="I349" s="14" t="n"/>
      <c r="J349" s="16" t="n"/>
      <c r="K349" s="125" t="n"/>
      <c r="L349" s="14" t="n"/>
      <c r="M349" s="16" t="n"/>
      <c r="N349" s="125" t="n"/>
      <c r="O349" s="14" t="n"/>
      <c r="P349" s="16" t="n"/>
      <c r="Q349" s="125" t="n"/>
      <c r="R349" s="14" t="n"/>
      <c r="S349" s="16" t="n"/>
      <c r="T349" s="125" t="n"/>
      <c r="U349" s="14" t="n"/>
      <c r="V349" s="16" t="n"/>
      <c r="W349" s="125" t="n"/>
      <c r="X349" s="14" t="n"/>
      <c r="Y349" s="16" t="n"/>
      <c r="Z349" s="125" t="n"/>
      <c r="AA349" s="14" t="n"/>
      <c r="AB349" s="16" t="n"/>
      <c r="AC349" s="125" t="n"/>
      <c r="AD349" s="14" t="n"/>
    </row>
    <row r="350">
      <c r="A350" s="56" t="n"/>
      <c r="B350" s="59" t="n"/>
      <c r="C350" s="59" t="n"/>
      <c r="E350" s="16" t="n"/>
      <c r="F350" s="13" t="n"/>
      <c r="G350" s="16" t="n"/>
      <c r="H350" s="125" t="n"/>
      <c r="I350" s="14" t="n"/>
      <c r="J350" s="16" t="n"/>
      <c r="K350" s="125" t="n"/>
      <c r="L350" s="14" t="n"/>
      <c r="M350" s="16" t="n"/>
      <c r="N350" s="125" t="n"/>
      <c r="O350" s="14" t="n"/>
      <c r="P350" s="16" t="n"/>
      <c r="Q350" s="125" t="n"/>
      <c r="R350" s="14" t="n"/>
      <c r="S350" s="16" t="n"/>
      <c r="T350" s="125" t="n"/>
      <c r="U350" s="14" t="n"/>
      <c r="V350" s="16" t="n"/>
      <c r="W350" s="125" t="n"/>
      <c r="X350" s="14" t="n"/>
      <c r="Y350" s="16" t="n"/>
      <c r="Z350" s="125" t="n"/>
      <c r="AA350" s="14" t="n"/>
      <c r="AB350" s="16" t="n"/>
      <c r="AC350" s="125" t="n"/>
      <c r="AD350" s="14" t="n"/>
    </row>
    <row r="351">
      <c r="A351" s="58" t="n"/>
      <c r="B351" s="59" t="n"/>
      <c r="C351" s="59" t="n"/>
      <c r="E351" s="16" t="n"/>
      <c r="F351" s="13" t="n"/>
      <c r="G351" s="16" t="n"/>
      <c r="H351" s="125" t="n"/>
      <c r="I351" s="14" t="n"/>
      <c r="J351" s="16" t="n"/>
      <c r="K351" s="125" t="n"/>
      <c r="L351" s="14" t="n"/>
      <c r="M351" s="16" t="n"/>
      <c r="N351" s="125" t="n"/>
      <c r="O351" s="14" t="n"/>
      <c r="P351" s="16" t="n"/>
      <c r="Q351" s="125" t="n"/>
      <c r="R351" s="14" t="n"/>
      <c r="S351" s="16" t="n"/>
      <c r="T351" s="125" t="n"/>
      <c r="U351" s="14" t="n"/>
      <c r="V351" s="16" t="n"/>
      <c r="W351" s="125" t="n"/>
      <c r="X351" s="14" t="n"/>
      <c r="Y351" s="16" t="n"/>
      <c r="Z351" s="125" t="n"/>
      <c r="AA351" s="14" t="n"/>
      <c r="AB351" s="16" t="n"/>
      <c r="AC351" s="125" t="n"/>
      <c r="AD351" s="14" t="n"/>
    </row>
    <row r="352">
      <c r="A352" s="56" t="n"/>
      <c r="B352" s="59" t="n"/>
      <c r="C352" s="59" t="n"/>
      <c r="E352" s="16" t="n"/>
      <c r="F352" s="13" t="n"/>
      <c r="G352" s="16" t="n"/>
      <c r="H352" s="125" t="n"/>
      <c r="I352" s="14" t="n"/>
      <c r="J352" s="16" t="n"/>
      <c r="K352" s="125" t="n"/>
      <c r="L352" s="14" t="n"/>
      <c r="M352" s="16" t="n"/>
      <c r="N352" s="125" t="n"/>
      <c r="O352" s="14" t="n"/>
      <c r="P352" s="16" t="n"/>
      <c r="Q352" s="125" t="n"/>
      <c r="R352" s="14" t="n"/>
      <c r="S352" s="16" t="n"/>
      <c r="T352" s="125" t="n"/>
      <c r="U352" s="14" t="n"/>
      <c r="V352" s="16" t="n"/>
      <c r="W352" s="125" t="n"/>
      <c r="X352" s="14" t="n"/>
      <c r="Y352" s="16" t="n"/>
      <c r="Z352" s="125" t="n"/>
      <c r="AA352" s="14" t="n"/>
      <c r="AB352" s="16" t="n"/>
      <c r="AC352" s="125" t="n"/>
      <c r="AD352" s="14" t="n"/>
    </row>
    <row r="353">
      <c r="A353" s="58" t="n"/>
      <c r="B353" s="59" t="n"/>
      <c r="C353" s="59" t="n"/>
      <c r="E353" s="16" t="n"/>
      <c r="F353" s="13" t="n"/>
      <c r="G353" s="16" t="n"/>
      <c r="H353" s="125" t="n"/>
      <c r="I353" s="14" t="n"/>
      <c r="J353" s="16" t="n"/>
      <c r="K353" s="125" t="n"/>
      <c r="L353" s="14" t="n"/>
      <c r="M353" s="16" t="n"/>
      <c r="N353" s="125" t="n"/>
      <c r="O353" s="14" t="n"/>
      <c r="P353" s="16" t="n"/>
      <c r="Q353" s="125" t="n"/>
      <c r="R353" s="14" t="n"/>
      <c r="S353" s="16" t="n"/>
      <c r="T353" s="125" t="n"/>
      <c r="U353" s="14" t="n"/>
      <c r="V353" s="16" t="n"/>
      <c r="W353" s="125" t="n"/>
      <c r="X353" s="14" t="n"/>
      <c r="Y353" s="16" t="n"/>
      <c r="Z353" s="125" t="n"/>
      <c r="AA353" s="14" t="n"/>
      <c r="AB353" s="16" t="n"/>
      <c r="AC353" s="125" t="n"/>
      <c r="AD353" s="14" t="n"/>
    </row>
    <row r="354">
      <c r="A354" s="56" t="n"/>
      <c r="B354" s="59" t="n"/>
      <c r="C354" s="59" t="n"/>
      <c r="E354" s="16" t="n"/>
      <c r="F354" s="13" t="n"/>
      <c r="G354" s="16" t="n"/>
      <c r="H354" s="125" t="n"/>
      <c r="I354" s="14" t="n"/>
      <c r="J354" s="16" t="n"/>
      <c r="K354" s="125" t="n"/>
      <c r="L354" s="14" t="n"/>
      <c r="M354" s="16" t="n"/>
      <c r="N354" s="125" t="n"/>
      <c r="O354" s="14" t="n"/>
      <c r="P354" s="16" t="n"/>
      <c r="Q354" s="125" t="n"/>
      <c r="R354" s="14" t="n"/>
      <c r="S354" s="16" t="n"/>
      <c r="T354" s="125" t="n"/>
      <c r="U354" s="14" t="n"/>
      <c r="V354" s="16" t="n"/>
      <c r="W354" s="125" t="n"/>
      <c r="X354" s="14" t="n"/>
      <c r="Y354" s="16" t="n"/>
      <c r="Z354" s="125" t="n"/>
      <c r="AA354" s="14" t="n"/>
      <c r="AB354" s="16" t="n"/>
      <c r="AC354" s="125" t="n"/>
      <c r="AD354" s="14" t="n"/>
    </row>
    <row r="355">
      <c r="A355" s="58" t="n"/>
      <c r="B355" s="59" t="n"/>
      <c r="C355" s="59" t="n"/>
      <c r="E355" s="16" t="n"/>
      <c r="F355" s="13" t="n"/>
      <c r="G355" s="16" t="n"/>
      <c r="H355" s="125" t="n"/>
      <c r="I355" s="14" t="n"/>
      <c r="J355" s="16" t="n"/>
      <c r="K355" s="125" t="n"/>
      <c r="L355" s="14" t="n"/>
      <c r="M355" s="16" t="n"/>
      <c r="N355" s="125" t="n"/>
      <c r="O355" s="14" t="n"/>
      <c r="P355" s="16" t="n"/>
      <c r="Q355" s="125" t="n"/>
      <c r="R355" s="14" t="n"/>
      <c r="S355" s="16" t="n"/>
      <c r="T355" s="125" t="n"/>
      <c r="U355" s="14" t="n"/>
      <c r="V355" s="16" t="n"/>
      <c r="W355" s="125" t="n"/>
      <c r="X355" s="14" t="n"/>
      <c r="Y355" s="16" t="n"/>
      <c r="Z355" s="125" t="n"/>
      <c r="AA355" s="14" t="n"/>
      <c r="AB355" s="16" t="n"/>
      <c r="AC355" s="125" t="n"/>
      <c r="AD355" s="14" t="n"/>
    </row>
    <row r="356">
      <c r="A356" s="56" t="n"/>
      <c r="B356" s="59" t="n"/>
      <c r="C356" s="59" t="n"/>
      <c r="E356" s="16" t="n"/>
      <c r="F356" s="13" t="n"/>
      <c r="G356" s="16" t="n"/>
      <c r="H356" s="125" t="n"/>
      <c r="I356" s="14" t="n"/>
      <c r="J356" s="16" t="n"/>
      <c r="K356" s="125" t="n"/>
      <c r="L356" s="14" t="n"/>
      <c r="M356" s="16" t="n"/>
      <c r="N356" s="125" t="n"/>
      <c r="O356" s="14" t="n"/>
      <c r="P356" s="16" t="n"/>
      <c r="Q356" s="125" t="n"/>
      <c r="R356" s="14" t="n"/>
      <c r="S356" s="16" t="n"/>
      <c r="T356" s="125" t="n"/>
      <c r="U356" s="14" t="n"/>
      <c r="V356" s="16" t="n"/>
      <c r="W356" s="125" t="n"/>
      <c r="X356" s="14" t="n"/>
      <c r="Y356" s="16" t="n"/>
      <c r="Z356" s="125" t="n"/>
      <c r="AA356" s="14" t="n"/>
      <c r="AB356" s="16" t="n"/>
      <c r="AC356" s="125" t="n"/>
      <c r="AD356" s="14" t="n"/>
    </row>
    <row r="357">
      <c r="A357" s="58" t="n"/>
      <c r="B357" s="59" t="n"/>
      <c r="C357" s="59" t="n"/>
      <c r="E357" s="16" t="n"/>
      <c r="F357" s="13" t="n"/>
      <c r="G357" s="16" t="n"/>
      <c r="H357" s="125" t="n"/>
      <c r="I357" s="14" t="n"/>
      <c r="J357" s="16" t="n"/>
      <c r="K357" s="125" t="n"/>
      <c r="L357" s="14" t="n"/>
      <c r="M357" s="16" t="n"/>
      <c r="N357" s="125" t="n"/>
      <c r="O357" s="14" t="n"/>
      <c r="P357" s="16" t="n"/>
      <c r="Q357" s="125" t="n"/>
      <c r="R357" s="14" t="n"/>
      <c r="S357" s="16" t="n"/>
      <c r="T357" s="125" t="n"/>
      <c r="U357" s="14" t="n"/>
      <c r="V357" s="16" t="n"/>
      <c r="W357" s="125" t="n"/>
      <c r="X357" s="14" t="n"/>
      <c r="Y357" s="16" t="n"/>
      <c r="Z357" s="125" t="n"/>
      <c r="AA357" s="14" t="n"/>
      <c r="AB357" s="16" t="n"/>
      <c r="AC357" s="125" t="n"/>
      <c r="AD357" s="14" t="n"/>
    </row>
    <row r="358">
      <c r="A358" s="56" t="n"/>
      <c r="B358" s="59" t="n"/>
      <c r="C358" s="59" t="n"/>
      <c r="E358" s="16" t="n"/>
      <c r="F358" s="13" t="n"/>
      <c r="G358" s="16" t="n"/>
      <c r="H358" s="125" t="n"/>
      <c r="I358" s="14" t="n"/>
      <c r="J358" s="16" t="n"/>
      <c r="K358" s="125" t="n"/>
      <c r="L358" s="14" t="n"/>
      <c r="M358" s="16" t="n"/>
      <c r="N358" s="125" t="n"/>
      <c r="O358" s="14" t="n"/>
      <c r="P358" s="16" t="n"/>
      <c r="Q358" s="125" t="n"/>
      <c r="R358" s="14" t="n"/>
      <c r="S358" s="16" t="n"/>
      <c r="T358" s="125" t="n"/>
      <c r="U358" s="14" t="n"/>
      <c r="V358" s="16" t="n"/>
      <c r="W358" s="125" t="n"/>
      <c r="X358" s="14" t="n"/>
      <c r="Y358" s="16" t="n"/>
      <c r="Z358" s="125" t="n"/>
      <c r="AA358" s="14" t="n"/>
      <c r="AB358" s="16" t="n"/>
      <c r="AC358" s="125" t="n"/>
      <c r="AD358" s="14" t="n"/>
    </row>
    <row r="359">
      <c r="A359" s="58" t="n"/>
      <c r="B359" s="59" t="n"/>
      <c r="C359" s="59" t="n"/>
      <c r="E359" s="16" t="n"/>
      <c r="F359" s="13" t="n"/>
      <c r="G359" s="16" t="n"/>
      <c r="H359" s="125" t="n"/>
      <c r="I359" s="14" t="n"/>
      <c r="J359" s="16" t="n"/>
      <c r="K359" s="125" t="n"/>
      <c r="L359" s="14" t="n"/>
      <c r="M359" s="16" t="n"/>
      <c r="N359" s="125" t="n"/>
      <c r="O359" s="14" t="n"/>
      <c r="P359" s="16" t="n"/>
      <c r="Q359" s="125" t="n"/>
      <c r="R359" s="14" t="n"/>
      <c r="S359" s="16" t="n"/>
      <c r="T359" s="125" t="n"/>
      <c r="U359" s="14" t="n"/>
      <c r="V359" s="16" t="n"/>
      <c r="W359" s="125" t="n"/>
      <c r="X359" s="14" t="n"/>
      <c r="Y359" s="16" t="n"/>
      <c r="Z359" s="125" t="n"/>
      <c r="AA359" s="14" t="n"/>
      <c r="AB359" s="16" t="n"/>
      <c r="AC359" s="125" t="n"/>
      <c r="AD359" s="14" t="n"/>
    </row>
    <row r="360">
      <c r="A360" s="56" t="n"/>
      <c r="B360" s="59" t="n"/>
      <c r="C360" s="59" t="n"/>
      <c r="E360" s="16" t="n"/>
      <c r="F360" s="13" t="n"/>
      <c r="G360" s="16" t="n"/>
      <c r="H360" s="125" t="n"/>
      <c r="I360" s="14" t="n"/>
      <c r="J360" s="16" t="n"/>
      <c r="K360" s="125" t="n"/>
      <c r="L360" s="14" t="n"/>
      <c r="M360" s="16" t="n"/>
      <c r="N360" s="125" t="n"/>
      <c r="O360" s="14" t="n"/>
      <c r="P360" s="16" t="n"/>
      <c r="Q360" s="125" t="n"/>
      <c r="R360" s="14" t="n"/>
      <c r="S360" s="16" t="n"/>
      <c r="T360" s="125" t="n"/>
      <c r="U360" s="14" t="n"/>
      <c r="V360" s="16" t="n"/>
      <c r="W360" s="125" t="n"/>
      <c r="X360" s="14" t="n"/>
      <c r="Y360" s="16" t="n"/>
      <c r="Z360" s="125" t="n"/>
      <c r="AA360" s="14" t="n"/>
      <c r="AB360" s="16" t="n"/>
      <c r="AC360" s="125" t="n"/>
      <c r="AD360" s="14" t="n"/>
    </row>
    <row r="361">
      <c r="A361" s="58" t="n"/>
      <c r="B361" s="59" t="n"/>
      <c r="C361" s="59" t="n"/>
      <c r="E361" s="16" t="n"/>
      <c r="F361" s="13" t="n"/>
      <c r="G361" s="16" t="n"/>
      <c r="H361" s="125" t="n"/>
      <c r="I361" s="14" t="n"/>
      <c r="J361" s="16" t="n"/>
      <c r="K361" s="125" t="n"/>
      <c r="L361" s="14" t="n"/>
      <c r="M361" s="16" t="n"/>
      <c r="N361" s="125" t="n"/>
      <c r="O361" s="14" t="n"/>
      <c r="P361" s="16" t="n"/>
      <c r="Q361" s="125" t="n"/>
      <c r="R361" s="14" t="n"/>
      <c r="S361" s="16" t="n"/>
      <c r="T361" s="125" t="n"/>
      <c r="U361" s="14" t="n"/>
      <c r="V361" s="16" t="n"/>
      <c r="W361" s="125" t="n"/>
      <c r="X361" s="14" t="n"/>
      <c r="Y361" s="16" t="n"/>
      <c r="Z361" s="125" t="n"/>
      <c r="AA361" s="14" t="n"/>
      <c r="AB361" s="16" t="n"/>
      <c r="AC361" s="125" t="n"/>
      <c r="AD361" s="14" t="n"/>
    </row>
    <row r="362">
      <c r="A362" s="56" t="n"/>
      <c r="B362" s="59" t="n"/>
      <c r="C362" s="59" t="n"/>
      <c r="E362" s="16" t="n"/>
      <c r="F362" s="13" t="n"/>
      <c r="G362" s="16" t="n"/>
      <c r="H362" s="125" t="n"/>
      <c r="I362" s="14" t="n"/>
      <c r="J362" s="16" t="n"/>
      <c r="K362" s="125" t="n"/>
      <c r="L362" s="14" t="n"/>
      <c r="M362" s="16" t="n"/>
      <c r="N362" s="125" t="n"/>
      <c r="O362" s="14" t="n"/>
      <c r="P362" s="16" t="n"/>
      <c r="Q362" s="125" t="n"/>
      <c r="R362" s="14" t="n"/>
      <c r="S362" s="16" t="n"/>
      <c r="T362" s="125" t="n"/>
      <c r="U362" s="14" t="n"/>
      <c r="V362" s="16" t="n"/>
      <c r="W362" s="125" t="n"/>
      <c r="X362" s="14" t="n"/>
      <c r="Y362" s="16" t="n"/>
      <c r="Z362" s="125" t="n"/>
      <c r="AA362" s="14" t="n"/>
      <c r="AB362" s="16" t="n"/>
      <c r="AC362" s="125" t="n"/>
      <c r="AD362" s="14" t="n"/>
    </row>
    <row r="363">
      <c r="A363" s="58" t="n"/>
      <c r="B363" s="59" t="n"/>
      <c r="C363" s="59" t="n"/>
      <c r="E363" s="16" t="n"/>
      <c r="F363" s="13" t="n"/>
      <c r="G363" s="16" t="n"/>
      <c r="H363" s="125" t="n"/>
      <c r="I363" s="14" t="n"/>
      <c r="J363" s="16" t="n"/>
      <c r="K363" s="125" t="n"/>
      <c r="L363" s="14" t="n"/>
      <c r="M363" s="16" t="n"/>
      <c r="N363" s="125" t="n"/>
      <c r="O363" s="14" t="n"/>
      <c r="P363" s="16" t="n"/>
      <c r="Q363" s="125" t="n"/>
      <c r="R363" s="14" t="n"/>
      <c r="S363" s="16" t="n"/>
      <c r="T363" s="125" t="n"/>
      <c r="U363" s="14" t="n"/>
      <c r="V363" s="16" t="n"/>
      <c r="W363" s="125" t="n"/>
      <c r="X363" s="14" t="n"/>
      <c r="Y363" s="16" t="n"/>
      <c r="Z363" s="125" t="n"/>
      <c r="AA363" s="14" t="n"/>
      <c r="AB363" s="16" t="n"/>
      <c r="AC363" s="125" t="n"/>
      <c r="AD363" s="14" t="n"/>
    </row>
    <row r="364">
      <c r="A364" s="56" t="n"/>
      <c r="B364" s="59" t="n"/>
      <c r="C364" s="59" t="n"/>
      <c r="E364" s="16" t="n"/>
      <c r="F364" s="13" t="n"/>
      <c r="G364" s="16" t="n"/>
      <c r="H364" s="125" t="n"/>
      <c r="I364" s="14" t="n"/>
      <c r="J364" s="16" t="n"/>
      <c r="K364" s="125" t="n"/>
      <c r="L364" s="14" t="n"/>
      <c r="M364" s="16" t="n"/>
      <c r="N364" s="125" t="n"/>
      <c r="O364" s="14" t="n"/>
      <c r="P364" s="16" t="n"/>
      <c r="Q364" s="125" t="n"/>
      <c r="R364" s="14" t="n"/>
      <c r="S364" s="16" t="n"/>
      <c r="T364" s="125" t="n"/>
      <c r="U364" s="14" t="n"/>
      <c r="V364" s="16" t="n"/>
      <c r="W364" s="125" t="n"/>
      <c r="X364" s="14" t="n"/>
      <c r="Y364" s="16" t="n"/>
      <c r="Z364" s="125" t="n"/>
      <c r="AA364" s="14" t="n"/>
      <c r="AB364" s="16" t="n"/>
      <c r="AC364" s="125" t="n"/>
      <c r="AD364" s="14" t="n"/>
    </row>
    <row r="365">
      <c r="A365" s="58" t="n"/>
      <c r="B365" s="59" t="n"/>
      <c r="C365" s="59" t="n"/>
      <c r="E365" s="16" t="n"/>
      <c r="F365" s="13" t="n"/>
      <c r="G365" s="16" t="n"/>
      <c r="H365" s="125" t="n"/>
      <c r="I365" s="14" t="n"/>
      <c r="J365" s="16" t="n"/>
      <c r="K365" s="125" t="n"/>
      <c r="L365" s="14" t="n"/>
      <c r="M365" s="16" t="n"/>
      <c r="N365" s="125" t="n"/>
      <c r="O365" s="14" t="n"/>
      <c r="P365" s="16" t="n"/>
      <c r="Q365" s="125" t="n"/>
      <c r="R365" s="14" t="n"/>
      <c r="S365" s="16" t="n"/>
      <c r="T365" s="125" t="n"/>
      <c r="U365" s="14" t="n"/>
      <c r="V365" s="16" t="n"/>
      <c r="W365" s="125" t="n"/>
      <c r="X365" s="14" t="n"/>
      <c r="Y365" s="16" t="n"/>
      <c r="Z365" s="125" t="n"/>
      <c r="AA365" s="14" t="n"/>
      <c r="AB365" s="16" t="n"/>
      <c r="AC365" s="125" t="n"/>
      <c r="AD365" s="14" t="n"/>
    </row>
    <row r="366">
      <c r="A366" s="56" t="n"/>
      <c r="B366" s="59" t="n"/>
      <c r="C366" s="59" t="n"/>
      <c r="E366" s="16" t="n"/>
      <c r="F366" s="13" t="n"/>
      <c r="G366" s="16" t="n"/>
      <c r="H366" s="125" t="n"/>
      <c r="I366" s="14" t="n"/>
      <c r="J366" s="16" t="n"/>
      <c r="K366" s="125" t="n"/>
      <c r="L366" s="14" t="n"/>
      <c r="M366" s="16" t="n"/>
      <c r="N366" s="125" t="n"/>
      <c r="O366" s="14" t="n"/>
      <c r="P366" s="16" t="n"/>
      <c r="Q366" s="125" t="n"/>
      <c r="R366" s="14" t="n"/>
      <c r="S366" s="16" t="n"/>
      <c r="T366" s="125" t="n"/>
      <c r="U366" s="14" t="n"/>
      <c r="V366" s="16" t="n"/>
      <c r="W366" s="125" t="n"/>
      <c r="X366" s="14" t="n"/>
      <c r="Y366" s="16" t="n"/>
      <c r="Z366" s="125" t="n"/>
      <c r="AA366" s="14" t="n"/>
      <c r="AB366" s="16" t="n"/>
      <c r="AC366" s="125" t="n"/>
      <c r="AD366" s="14" t="n"/>
    </row>
    <row r="367">
      <c r="A367" s="58" t="n"/>
      <c r="B367" s="59" t="n"/>
      <c r="C367" s="59" t="n"/>
      <c r="E367" s="16" t="n"/>
      <c r="F367" s="13" t="n"/>
      <c r="G367" s="16" t="n"/>
      <c r="H367" s="125" t="n"/>
      <c r="I367" s="14" t="n"/>
      <c r="J367" s="16" t="n"/>
      <c r="K367" s="125" t="n"/>
      <c r="L367" s="14" t="n"/>
      <c r="M367" s="16" t="n"/>
      <c r="N367" s="125" t="n"/>
      <c r="O367" s="14" t="n"/>
      <c r="P367" s="16" t="n"/>
      <c r="Q367" s="125" t="n"/>
      <c r="R367" s="14" t="n"/>
      <c r="S367" s="16" t="n"/>
      <c r="T367" s="125" t="n"/>
      <c r="U367" s="14" t="n"/>
      <c r="V367" s="16" t="n"/>
      <c r="W367" s="125" t="n"/>
      <c r="X367" s="14" t="n"/>
      <c r="Y367" s="16" t="n"/>
      <c r="Z367" s="125" t="n"/>
      <c r="AA367" s="14" t="n"/>
      <c r="AB367" s="16" t="n"/>
      <c r="AC367" s="125" t="n"/>
      <c r="AD367" s="14" t="n"/>
    </row>
    <row r="368">
      <c r="A368" s="56" t="n"/>
      <c r="B368" s="59" t="n"/>
      <c r="C368" s="59" t="n"/>
      <c r="E368" s="16" t="n"/>
      <c r="F368" s="13" t="n"/>
      <c r="G368" s="16" t="n"/>
      <c r="H368" s="125" t="n"/>
      <c r="I368" s="14" t="n"/>
      <c r="J368" s="16" t="n"/>
      <c r="K368" s="125" t="n"/>
      <c r="L368" s="14" t="n"/>
      <c r="M368" s="16" t="n"/>
      <c r="N368" s="125" t="n"/>
      <c r="O368" s="14" t="n"/>
      <c r="P368" s="16" t="n"/>
      <c r="Q368" s="125" t="n"/>
      <c r="R368" s="14" t="n"/>
      <c r="S368" s="16" t="n"/>
      <c r="T368" s="125" t="n"/>
      <c r="U368" s="14" t="n"/>
      <c r="V368" s="16" t="n"/>
      <c r="W368" s="125" t="n"/>
      <c r="X368" s="14" t="n"/>
      <c r="Y368" s="16" t="n"/>
      <c r="Z368" s="125" t="n"/>
      <c r="AA368" s="14" t="n"/>
      <c r="AB368" s="16" t="n"/>
      <c r="AC368" s="125" t="n"/>
      <c r="AD368" s="14" t="n"/>
    </row>
    <row r="369">
      <c r="A369" s="58" t="n"/>
      <c r="B369" s="59" t="n"/>
      <c r="C369" s="59" t="n"/>
      <c r="E369" s="16" t="n"/>
      <c r="F369" s="13" t="n"/>
      <c r="G369" s="16" t="n"/>
      <c r="H369" s="125" t="n"/>
      <c r="I369" s="14" t="n"/>
      <c r="J369" s="16" t="n"/>
      <c r="K369" s="125" t="n"/>
      <c r="L369" s="14" t="n"/>
      <c r="M369" s="16" t="n"/>
      <c r="N369" s="125" t="n"/>
      <c r="O369" s="14" t="n"/>
      <c r="P369" s="16" t="n"/>
      <c r="Q369" s="125" t="n"/>
      <c r="R369" s="14" t="n"/>
      <c r="S369" s="16" t="n"/>
      <c r="T369" s="125" t="n"/>
      <c r="U369" s="14" t="n"/>
      <c r="V369" s="16" t="n"/>
      <c r="W369" s="125" t="n"/>
      <c r="X369" s="14" t="n"/>
      <c r="Y369" s="16" t="n"/>
      <c r="Z369" s="125" t="n"/>
      <c r="AA369" s="14" t="n"/>
      <c r="AB369" s="16" t="n"/>
      <c r="AC369" s="125" t="n"/>
      <c r="AD369" s="14" t="n"/>
    </row>
    <row r="370">
      <c r="A370" s="56" t="n"/>
      <c r="B370" s="59" t="n"/>
      <c r="C370" s="59" t="n"/>
      <c r="E370" s="16" t="n"/>
      <c r="F370" s="13" t="n"/>
      <c r="G370" s="16" t="n"/>
      <c r="H370" s="125" t="n"/>
      <c r="I370" s="14" t="n"/>
      <c r="J370" s="16" t="n"/>
      <c r="K370" s="125" t="n"/>
      <c r="L370" s="14" t="n"/>
      <c r="M370" s="16" t="n"/>
      <c r="N370" s="125" t="n"/>
      <c r="O370" s="14" t="n"/>
      <c r="P370" s="16" t="n"/>
      <c r="Q370" s="125" t="n"/>
      <c r="R370" s="14" t="n"/>
      <c r="S370" s="16" t="n"/>
      <c r="T370" s="125" t="n"/>
      <c r="U370" s="14" t="n"/>
      <c r="V370" s="16" t="n"/>
      <c r="W370" s="125" t="n"/>
      <c r="X370" s="14" t="n"/>
      <c r="Y370" s="16" t="n"/>
      <c r="Z370" s="125" t="n"/>
      <c r="AA370" s="14" t="n"/>
      <c r="AB370" s="16" t="n"/>
      <c r="AC370" s="125" t="n"/>
      <c r="AD370" s="14" t="n"/>
    </row>
    <row r="371">
      <c r="A371" s="58" t="n"/>
      <c r="B371" s="59" t="n"/>
      <c r="C371" s="59" t="n"/>
      <c r="E371" s="16" t="n"/>
      <c r="F371" s="13" t="n"/>
      <c r="G371" s="16" t="n"/>
      <c r="H371" s="125" t="n"/>
      <c r="I371" s="14" t="n"/>
      <c r="J371" s="16" t="n"/>
      <c r="K371" s="125" t="n"/>
      <c r="L371" s="14" t="n"/>
      <c r="M371" s="16" t="n"/>
      <c r="N371" s="125" t="n"/>
      <c r="O371" s="14" t="n"/>
      <c r="P371" s="16" t="n"/>
      <c r="Q371" s="125" t="n"/>
      <c r="R371" s="14" t="n"/>
      <c r="S371" s="16" t="n"/>
      <c r="T371" s="125" t="n"/>
      <c r="U371" s="14" t="n"/>
      <c r="V371" s="16" t="n"/>
      <c r="W371" s="125" t="n"/>
      <c r="X371" s="14" t="n"/>
      <c r="Y371" s="16" t="n"/>
      <c r="Z371" s="125" t="n"/>
      <c r="AA371" s="14" t="n"/>
      <c r="AB371" s="16" t="n"/>
      <c r="AC371" s="125" t="n"/>
      <c r="AD371" s="14" t="n"/>
    </row>
    <row r="372">
      <c r="A372" s="56" t="n"/>
      <c r="B372" s="59" t="n"/>
      <c r="C372" s="59" t="n"/>
      <c r="E372" s="16" t="n"/>
      <c r="F372" s="13" t="n"/>
      <c r="G372" s="16" t="n"/>
      <c r="H372" s="125" t="n"/>
      <c r="I372" s="14" t="n"/>
      <c r="J372" s="16" t="n"/>
      <c r="K372" s="125" t="n"/>
      <c r="L372" s="14" t="n"/>
      <c r="M372" s="16" t="n"/>
      <c r="N372" s="125" t="n"/>
      <c r="O372" s="14" t="n"/>
      <c r="P372" s="16" t="n"/>
      <c r="Q372" s="125" t="n"/>
      <c r="R372" s="14" t="n"/>
      <c r="S372" s="16" t="n"/>
      <c r="T372" s="125" t="n"/>
      <c r="U372" s="14" t="n"/>
      <c r="V372" s="16" t="n"/>
      <c r="W372" s="125" t="n"/>
      <c r="X372" s="14" t="n"/>
      <c r="Y372" s="16" t="n"/>
      <c r="Z372" s="125" t="n"/>
      <c r="AA372" s="14" t="n"/>
      <c r="AB372" s="16" t="n"/>
      <c r="AC372" s="125" t="n"/>
      <c r="AD372" s="14" t="n"/>
    </row>
    <row r="373">
      <c r="A373" s="58" t="n"/>
      <c r="B373" s="59" t="n"/>
      <c r="C373" s="59" t="n"/>
      <c r="E373" s="16" t="n"/>
      <c r="F373" s="13" t="n"/>
      <c r="G373" s="16" t="n"/>
      <c r="H373" s="125" t="n"/>
      <c r="I373" s="14" t="n"/>
      <c r="J373" s="16" t="n"/>
      <c r="K373" s="125" t="n"/>
      <c r="L373" s="14" t="n"/>
      <c r="M373" s="16" t="n"/>
      <c r="N373" s="125" t="n"/>
      <c r="O373" s="14" t="n"/>
      <c r="P373" s="16" t="n"/>
      <c r="Q373" s="125" t="n"/>
      <c r="R373" s="14" t="n"/>
      <c r="S373" s="16" t="n"/>
      <c r="T373" s="125" t="n"/>
      <c r="U373" s="14" t="n"/>
      <c r="V373" s="16" t="n"/>
      <c r="W373" s="125" t="n"/>
      <c r="X373" s="14" t="n"/>
      <c r="Y373" s="16" t="n"/>
      <c r="Z373" s="125" t="n"/>
      <c r="AA373" s="14" t="n"/>
      <c r="AB373" s="16" t="n"/>
      <c r="AC373" s="125" t="n"/>
      <c r="AD373" s="14" t="n"/>
    </row>
    <row r="374">
      <c r="A374" s="56" t="n"/>
      <c r="B374" s="59" t="n"/>
      <c r="C374" s="59" t="n"/>
      <c r="E374" s="16" t="n"/>
      <c r="F374" s="13" t="n"/>
      <c r="G374" s="16" t="n"/>
      <c r="H374" s="125" t="n"/>
      <c r="I374" s="14" t="n"/>
      <c r="J374" s="16" t="n"/>
      <c r="K374" s="125" t="n"/>
      <c r="L374" s="14" t="n"/>
      <c r="M374" s="16" t="n"/>
      <c r="N374" s="125" t="n"/>
      <c r="O374" s="14" t="n"/>
      <c r="P374" s="16" t="n"/>
      <c r="Q374" s="125" t="n"/>
      <c r="R374" s="14" t="n"/>
      <c r="S374" s="16" t="n"/>
      <c r="T374" s="125" t="n"/>
      <c r="U374" s="14" t="n"/>
      <c r="V374" s="16" t="n"/>
      <c r="W374" s="125" t="n"/>
      <c r="X374" s="14" t="n"/>
      <c r="Y374" s="16" t="n"/>
      <c r="Z374" s="125" t="n"/>
      <c r="AA374" s="14" t="n"/>
      <c r="AB374" s="16" t="n"/>
      <c r="AC374" s="125" t="n"/>
      <c r="AD374" s="14" t="n"/>
    </row>
    <row r="375">
      <c r="A375" s="58" t="n"/>
      <c r="B375" s="59" t="n"/>
      <c r="C375" s="59" t="n"/>
      <c r="E375" s="16" t="n"/>
      <c r="F375" s="13" t="n"/>
      <c r="G375" s="16" t="n"/>
      <c r="H375" s="125" t="n"/>
      <c r="I375" s="14" t="n"/>
      <c r="J375" s="16" t="n"/>
      <c r="K375" s="125" t="n"/>
      <c r="L375" s="14" t="n"/>
      <c r="M375" s="16" t="n"/>
      <c r="N375" s="125" t="n"/>
      <c r="O375" s="14" t="n"/>
      <c r="P375" s="16" t="n"/>
      <c r="Q375" s="125" t="n"/>
      <c r="R375" s="14" t="n"/>
      <c r="S375" s="16" t="n"/>
      <c r="T375" s="125" t="n"/>
      <c r="U375" s="14" t="n"/>
      <c r="V375" s="16" t="n"/>
      <c r="W375" s="125" t="n"/>
      <c r="X375" s="14" t="n"/>
      <c r="Y375" s="16" t="n"/>
      <c r="Z375" s="125" t="n"/>
      <c r="AA375" s="14" t="n"/>
      <c r="AB375" s="16" t="n"/>
      <c r="AC375" s="125" t="n"/>
      <c r="AD375" s="14" t="n"/>
    </row>
    <row r="376">
      <c r="A376" s="56" t="n"/>
      <c r="B376" s="59" t="n"/>
      <c r="C376" s="59" t="n"/>
      <c r="E376" s="16" t="n"/>
      <c r="F376" s="13" t="n"/>
      <c r="G376" s="16" t="n"/>
      <c r="H376" s="125" t="n"/>
      <c r="I376" s="14" t="n"/>
      <c r="J376" s="16" t="n"/>
      <c r="K376" s="125" t="n"/>
      <c r="L376" s="14" t="n"/>
      <c r="M376" s="16" t="n"/>
      <c r="N376" s="125" t="n"/>
      <c r="O376" s="14" t="n"/>
      <c r="P376" s="16" t="n"/>
      <c r="Q376" s="125" t="n"/>
      <c r="R376" s="14" t="n"/>
      <c r="S376" s="16" t="n"/>
      <c r="T376" s="125" t="n"/>
      <c r="U376" s="14" t="n"/>
      <c r="V376" s="16" t="n"/>
      <c r="W376" s="125" t="n"/>
      <c r="X376" s="14" t="n"/>
      <c r="Y376" s="16" t="n"/>
      <c r="Z376" s="125" t="n"/>
      <c r="AA376" s="14" t="n"/>
      <c r="AB376" s="16" t="n"/>
      <c r="AC376" s="125" t="n"/>
      <c r="AD376" s="14" t="n"/>
    </row>
    <row r="377">
      <c r="A377" s="58" t="n"/>
      <c r="B377" s="59" t="n"/>
      <c r="C377" s="59" t="n"/>
      <c r="E377" s="16" t="n"/>
      <c r="F377" s="13" t="n"/>
      <c r="G377" s="16" t="n"/>
      <c r="H377" s="125" t="n"/>
      <c r="I377" s="14" t="n"/>
      <c r="J377" s="16" t="n"/>
      <c r="K377" s="125" t="n"/>
      <c r="L377" s="14" t="n"/>
      <c r="M377" s="16" t="n"/>
      <c r="N377" s="125" t="n"/>
      <c r="O377" s="14" t="n"/>
      <c r="P377" s="16" t="n"/>
      <c r="Q377" s="125" t="n"/>
      <c r="R377" s="14" t="n"/>
      <c r="S377" s="16" t="n"/>
      <c r="T377" s="125" t="n"/>
      <c r="U377" s="14" t="n"/>
      <c r="V377" s="16" t="n"/>
      <c r="W377" s="125" t="n"/>
      <c r="X377" s="14" t="n"/>
      <c r="Y377" s="16" t="n"/>
      <c r="Z377" s="125" t="n"/>
      <c r="AA377" s="14" t="n"/>
      <c r="AB377" s="16" t="n"/>
      <c r="AC377" s="125" t="n"/>
      <c r="AD377" s="14" t="n"/>
    </row>
    <row r="378">
      <c r="A378" s="56" t="n"/>
      <c r="B378" s="59" t="n"/>
      <c r="C378" s="59" t="n"/>
      <c r="E378" s="16" t="n"/>
      <c r="F378" s="13" t="n"/>
      <c r="G378" s="16" t="n"/>
      <c r="H378" s="125" t="n"/>
      <c r="I378" s="14" t="n"/>
      <c r="J378" s="16" t="n"/>
      <c r="K378" s="125" t="n"/>
      <c r="L378" s="14" t="n"/>
      <c r="M378" s="16" t="n"/>
      <c r="N378" s="125" t="n"/>
      <c r="O378" s="14" t="n"/>
      <c r="P378" s="16" t="n"/>
      <c r="Q378" s="125" t="n"/>
      <c r="R378" s="14" t="n"/>
      <c r="S378" s="16" t="n"/>
      <c r="T378" s="125" t="n"/>
      <c r="U378" s="14" t="n"/>
      <c r="V378" s="16" t="n"/>
      <c r="W378" s="125" t="n"/>
      <c r="X378" s="14" t="n"/>
      <c r="Y378" s="16" t="n"/>
      <c r="Z378" s="125" t="n"/>
      <c r="AA378" s="14" t="n"/>
      <c r="AB378" s="16" t="n"/>
      <c r="AC378" s="125" t="n"/>
      <c r="AD378" s="14" t="n"/>
    </row>
    <row r="379">
      <c r="A379" s="58" t="n"/>
      <c r="B379" s="59" t="n"/>
      <c r="C379" s="59" t="n"/>
      <c r="E379" s="16" t="n"/>
      <c r="F379" s="13" t="n"/>
      <c r="G379" s="16" t="n"/>
      <c r="H379" s="125" t="n"/>
      <c r="I379" s="14" t="n"/>
      <c r="J379" s="16" t="n"/>
      <c r="K379" s="125" t="n"/>
      <c r="L379" s="14" t="n"/>
      <c r="M379" s="16" t="n"/>
      <c r="N379" s="125" t="n"/>
      <c r="O379" s="14" t="n"/>
      <c r="P379" s="16" t="n"/>
      <c r="Q379" s="125" t="n"/>
      <c r="R379" s="14" t="n"/>
      <c r="S379" s="16" t="n"/>
      <c r="T379" s="125" t="n"/>
      <c r="U379" s="14" t="n"/>
      <c r="V379" s="16" t="n"/>
      <c r="W379" s="125" t="n"/>
      <c r="X379" s="14" t="n"/>
      <c r="Y379" s="16" t="n"/>
      <c r="Z379" s="125" t="n"/>
      <c r="AA379" s="14" t="n"/>
      <c r="AB379" s="16" t="n"/>
      <c r="AC379" s="125" t="n"/>
      <c r="AD379" s="14" t="n"/>
    </row>
    <row r="380">
      <c r="A380" s="56" t="n"/>
      <c r="B380" s="59" t="n"/>
      <c r="C380" s="59" t="n"/>
      <c r="E380" s="16" t="n"/>
      <c r="F380" s="13" t="n"/>
      <c r="G380" s="16" t="n"/>
      <c r="H380" s="125" t="n"/>
      <c r="I380" s="14" t="n"/>
      <c r="J380" s="16" t="n"/>
      <c r="K380" s="125" t="n"/>
      <c r="L380" s="14" t="n"/>
      <c r="M380" s="16" t="n"/>
      <c r="N380" s="125" t="n"/>
      <c r="O380" s="14" t="n"/>
      <c r="P380" s="16" t="n"/>
      <c r="Q380" s="125" t="n"/>
      <c r="R380" s="14" t="n"/>
      <c r="S380" s="16" t="n"/>
      <c r="T380" s="125" t="n"/>
      <c r="U380" s="14" t="n"/>
      <c r="V380" s="16" t="n"/>
      <c r="W380" s="125" t="n"/>
      <c r="X380" s="14" t="n"/>
      <c r="Y380" s="16" t="n"/>
      <c r="Z380" s="125" t="n"/>
      <c r="AA380" s="14" t="n"/>
      <c r="AB380" s="16" t="n"/>
      <c r="AC380" s="125" t="n"/>
      <c r="AD380" s="14" t="n"/>
    </row>
    <row r="381">
      <c r="A381" s="58" t="n"/>
      <c r="B381" s="59" t="n"/>
      <c r="C381" s="59" t="n"/>
      <c r="E381" s="16" t="n"/>
      <c r="F381" s="13" t="n"/>
      <c r="G381" s="16" t="n"/>
      <c r="H381" s="125" t="n"/>
      <c r="I381" s="14" t="n"/>
      <c r="J381" s="16" t="n"/>
      <c r="K381" s="125" t="n"/>
      <c r="L381" s="14" t="n"/>
      <c r="M381" s="16" t="n"/>
      <c r="N381" s="125" t="n"/>
      <c r="O381" s="14" t="n"/>
      <c r="P381" s="16" t="n"/>
      <c r="Q381" s="125" t="n"/>
      <c r="R381" s="14" t="n"/>
      <c r="S381" s="16" t="n"/>
      <c r="T381" s="125" t="n"/>
      <c r="U381" s="14" t="n"/>
      <c r="V381" s="16" t="n"/>
      <c r="W381" s="125" t="n"/>
      <c r="X381" s="14" t="n"/>
      <c r="Y381" s="16" t="n"/>
      <c r="Z381" s="125" t="n"/>
      <c r="AA381" s="14" t="n"/>
      <c r="AB381" s="16" t="n"/>
      <c r="AC381" s="125" t="n"/>
      <c r="AD381" s="14" t="n"/>
    </row>
    <row r="382">
      <c r="A382" s="56" t="n"/>
      <c r="B382" s="59" t="n"/>
      <c r="C382" s="59" t="n"/>
      <c r="E382" s="16" t="n"/>
      <c r="F382" s="13" t="n"/>
      <c r="G382" s="16" t="n"/>
      <c r="H382" s="125" t="n"/>
      <c r="I382" s="14" t="n"/>
      <c r="J382" s="16" t="n"/>
      <c r="K382" s="125" t="n"/>
      <c r="L382" s="14" t="n"/>
      <c r="M382" s="16" t="n"/>
      <c r="N382" s="125" t="n"/>
      <c r="O382" s="14" t="n"/>
      <c r="P382" s="16" t="n"/>
      <c r="Q382" s="125" t="n"/>
      <c r="R382" s="14" t="n"/>
      <c r="S382" s="16" t="n"/>
      <c r="T382" s="125" t="n"/>
      <c r="U382" s="14" t="n"/>
      <c r="V382" s="16" t="n"/>
      <c r="W382" s="125" t="n"/>
      <c r="X382" s="14" t="n"/>
      <c r="Y382" s="16" t="n"/>
      <c r="Z382" s="125" t="n"/>
      <c r="AA382" s="14" t="n"/>
      <c r="AB382" s="16" t="n"/>
      <c r="AC382" s="125" t="n"/>
      <c r="AD382" s="14" t="n"/>
    </row>
    <row r="383">
      <c r="A383" s="58" t="n"/>
      <c r="B383" s="59" t="n"/>
      <c r="C383" s="59" t="n"/>
      <c r="E383" s="16" t="n"/>
      <c r="F383" s="13" t="n"/>
      <c r="G383" s="16" t="n"/>
      <c r="H383" s="125" t="n"/>
      <c r="I383" s="14" t="n"/>
      <c r="J383" s="16" t="n"/>
      <c r="K383" s="125" t="n"/>
      <c r="L383" s="14" t="n"/>
      <c r="M383" s="16" t="n"/>
      <c r="N383" s="125" t="n"/>
      <c r="O383" s="14" t="n"/>
      <c r="P383" s="16" t="n"/>
      <c r="Q383" s="125" t="n"/>
      <c r="R383" s="14" t="n"/>
      <c r="S383" s="16" t="n"/>
      <c r="T383" s="125" t="n"/>
      <c r="U383" s="14" t="n"/>
      <c r="V383" s="16" t="n"/>
      <c r="W383" s="125" t="n"/>
      <c r="X383" s="14" t="n"/>
      <c r="Y383" s="16" t="n"/>
      <c r="Z383" s="125" t="n"/>
      <c r="AA383" s="14" t="n"/>
      <c r="AB383" s="16" t="n"/>
      <c r="AC383" s="125" t="n"/>
      <c r="AD383" s="14" t="n"/>
    </row>
    <row r="384">
      <c r="A384" s="56" t="n"/>
      <c r="B384" s="59" t="n"/>
      <c r="C384" s="59" t="n"/>
      <c r="E384" s="16" t="n"/>
      <c r="F384" s="13" t="n"/>
      <c r="G384" s="16" t="n"/>
      <c r="H384" s="125" t="n"/>
      <c r="I384" s="14" t="n"/>
      <c r="J384" s="16" t="n"/>
      <c r="K384" s="125" t="n"/>
      <c r="L384" s="14" t="n"/>
      <c r="M384" s="16" t="n"/>
      <c r="N384" s="125" t="n"/>
      <c r="O384" s="14" t="n"/>
      <c r="P384" s="16" t="n"/>
      <c r="Q384" s="125" t="n"/>
      <c r="R384" s="14" t="n"/>
      <c r="S384" s="16" t="n"/>
      <c r="T384" s="125" t="n"/>
      <c r="U384" s="14" t="n"/>
      <c r="V384" s="16" t="n"/>
      <c r="W384" s="125" t="n"/>
      <c r="X384" s="14" t="n"/>
      <c r="Y384" s="16" t="n"/>
      <c r="Z384" s="125" t="n"/>
      <c r="AA384" s="14" t="n"/>
      <c r="AB384" s="16" t="n"/>
      <c r="AC384" s="125" t="n"/>
      <c r="AD384" s="14" t="n"/>
    </row>
    <row r="385">
      <c r="A385" s="58" t="n"/>
      <c r="B385" s="59" t="n"/>
      <c r="C385" s="59" t="n"/>
      <c r="E385" s="16" t="n"/>
      <c r="F385" s="13" t="n"/>
      <c r="G385" s="16" t="n"/>
      <c r="H385" s="125" t="n"/>
      <c r="I385" s="14" t="n"/>
      <c r="J385" s="16" t="n"/>
      <c r="K385" s="125" t="n"/>
      <c r="L385" s="14" t="n"/>
      <c r="M385" s="16" t="n"/>
      <c r="N385" s="125" t="n"/>
      <c r="O385" s="14" t="n"/>
      <c r="P385" s="16" t="n"/>
      <c r="Q385" s="125" t="n"/>
      <c r="R385" s="14" t="n"/>
      <c r="S385" s="16" t="n"/>
      <c r="T385" s="125" t="n"/>
      <c r="U385" s="14" t="n"/>
      <c r="V385" s="16" t="n"/>
      <c r="W385" s="125" t="n"/>
      <c r="X385" s="14" t="n"/>
      <c r="Y385" s="16" t="n"/>
      <c r="Z385" s="125" t="n"/>
      <c r="AA385" s="14" t="n"/>
      <c r="AB385" s="16" t="n"/>
      <c r="AC385" s="125" t="n"/>
      <c r="AD385" s="14" t="n"/>
    </row>
    <row r="386">
      <c r="A386" s="56" t="n"/>
      <c r="B386" s="59" t="n"/>
      <c r="C386" s="59" t="n"/>
      <c r="E386" s="16" t="n"/>
      <c r="F386" s="13" t="n"/>
      <c r="G386" s="16" t="n"/>
      <c r="H386" s="125" t="n"/>
      <c r="I386" s="14" t="n"/>
      <c r="J386" s="16" t="n"/>
      <c r="K386" s="125" t="n"/>
      <c r="L386" s="14" t="n"/>
      <c r="M386" s="16" t="n"/>
      <c r="N386" s="125" t="n"/>
      <c r="O386" s="14" t="n"/>
      <c r="P386" s="16" t="n"/>
      <c r="Q386" s="125" t="n"/>
      <c r="R386" s="14" t="n"/>
      <c r="S386" s="16" t="n"/>
      <c r="T386" s="125" t="n"/>
      <c r="U386" s="14" t="n"/>
      <c r="V386" s="16" t="n"/>
      <c r="W386" s="125" t="n"/>
      <c r="X386" s="14" t="n"/>
      <c r="Y386" s="16" t="n"/>
      <c r="Z386" s="125" t="n"/>
      <c r="AA386" s="14" t="n"/>
      <c r="AB386" s="16" t="n"/>
      <c r="AC386" s="125" t="n"/>
      <c r="AD386" s="14" t="n"/>
    </row>
    <row r="387">
      <c r="A387" s="58" t="n"/>
      <c r="B387" s="59" t="n"/>
      <c r="C387" s="59" t="n"/>
      <c r="E387" s="16" t="n"/>
      <c r="F387" s="13" t="n"/>
      <c r="G387" s="16" t="n"/>
      <c r="H387" s="125" t="n"/>
      <c r="I387" s="14" t="n"/>
      <c r="J387" s="16" t="n"/>
      <c r="K387" s="125" t="n"/>
      <c r="L387" s="14" t="n"/>
      <c r="M387" s="16" t="n"/>
      <c r="N387" s="125" t="n"/>
      <c r="O387" s="14" t="n"/>
      <c r="P387" s="16" t="n"/>
      <c r="Q387" s="125" t="n"/>
      <c r="R387" s="14" t="n"/>
      <c r="S387" s="16" t="n"/>
      <c r="T387" s="125" t="n"/>
      <c r="U387" s="14" t="n"/>
      <c r="V387" s="16" t="n"/>
      <c r="W387" s="125" t="n"/>
      <c r="X387" s="14" t="n"/>
      <c r="Y387" s="16" t="n"/>
      <c r="Z387" s="125" t="n"/>
      <c r="AA387" s="14" t="n"/>
      <c r="AB387" s="16" t="n"/>
      <c r="AC387" s="125" t="n"/>
      <c r="AD387" s="14" t="n"/>
    </row>
    <row r="388">
      <c r="A388" s="56" t="n"/>
      <c r="B388" s="59" t="n"/>
      <c r="C388" s="59" t="n"/>
      <c r="E388" s="16" t="n"/>
      <c r="F388" s="13" t="n"/>
      <c r="G388" s="16" t="n"/>
      <c r="H388" s="125" t="n"/>
      <c r="I388" s="14" t="n"/>
      <c r="J388" s="16" t="n"/>
      <c r="K388" s="125" t="n"/>
      <c r="L388" s="14" t="n"/>
      <c r="M388" s="16" t="n"/>
      <c r="N388" s="125" t="n"/>
      <c r="O388" s="14" t="n"/>
      <c r="P388" s="16" t="n"/>
      <c r="Q388" s="125" t="n"/>
      <c r="R388" s="14" t="n"/>
      <c r="S388" s="16" t="n"/>
      <c r="T388" s="125" t="n"/>
      <c r="U388" s="14" t="n"/>
      <c r="V388" s="16" t="n"/>
      <c r="W388" s="125" t="n"/>
      <c r="X388" s="14" t="n"/>
      <c r="Y388" s="16" t="n"/>
      <c r="Z388" s="125" t="n"/>
      <c r="AA388" s="14" t="n"/>
      <c r="AB388" s="16" t="n"/>
      <c r="AC388" s="125" t="n"/>
      <c r="AD388" s="14" t="n"/>
    </row>
    <row r="389">
      <c r="A389" s="58" t="n"/>
      <c r="B389" s="59" t="n"/>
      <c r="C389" s="59" t="n"/>
      <c r="E389" s="16" t="n"/>
      <c r="F389" s="13" t="n"/>
      <c r="G389" s="16" t="n"/>
      <c r="H389" s="125" t="n"/>
      <c r="I389" s="14" t="n"/>
      <c r="J389" s="16" t="n"/>
      <c r="K389" s="125" t="n"/>
      <c r="L389" s="14" t="n"/>
      <c r="M389" s="16" t="n"/>
      <c r="N389" s="125" t="n"/>
      <c r="O389" s="14" t="n"/>
      <c r="P389" s="16" t="n"/>
      <c r="Q389" s="125" t="n"/>
      <c r="R389" s="14" t="n"/>
      <c r="S389" s="16" t="n"/>
      <c r="T389" s="125" t="n"/>
      <c r="U389" s="14" t="n"/>
      <c r="V389" s="16" t="n"/>
      <c r="W389" s="125" t="n"/>
      <c r="X389" s="14" t="n"/>
      <c r="Y389" s="16" t="n"/>
      <c r="Z389" s="125" t="n"/>
      <c r="AA389" s="14" t="n"/>
      <c r="AB389" s="16" t="n"/>
      <c r="AC389" s="125" t="n"/>
      <c r="AD389" s="14" t="n"/>
    </row>
    <row r="390">
      <c r="A390" s="56" t="n"/>
      <c r="B390" s="59" t="n"/>
      <c r="C390" s="59" t="n"/>
      <c r="E390" s="16" t="n"/>
      <c r="F390" s="13" t="n"/>
      <c r="G390" s="16" t="n"/>
      <c r="H390" s="125" t="n"/>
      <c r="I390" s="14" t="n"/>
      <c r="J390" s="16" t="n"/>
      <c r="K390" s="125" t="n"/>
      <c r="L390" s="14" t="n"/>
      <c r="M390" s="16" t="n"/>
      <c r="N390" s="125" t="n"/>
      <c r="O390" s="14" t="n"/>
      <c r="P390" s="16" t="n"/>
      <c r="Q390" s="125" t="n"/>
      <c r="R390" s="14" t="n"/>
      <c r="S390" s="16" t="n"/>
      <c r="T390" s="125" t="n"/>
      <c r="U390" s="14" t="n"/>
      <c r="V390" s="16" t="n"/>
      <c r="W390" s="125" t="n"/>
      <c r="X390" s="14" t="n"/>
      <c r="Y390" s="16" t="n"/>
      <c r="Z390" s="125" t="n"/>
      <c r="AA390" s="14" t="n"/>
      <c r="AB390" s="16" t="n"/>
      <c r="AC390" s="125" t="n"/>
      <c r="AD390" s="14" t="n"/>
    </row>
    <row r="391">
      <c r="A391" s="58" t="n"/>
      <c r="B391" s="59" t="n"/>
      <c r="C391" s="59" t="n"/>
      <c r="E391" s="16" t="n"/>
      <c r="F391" s="13" t="n"/>
      <c r="G391" s="16" t="n"/>
      <c r="H391" s="125" t="n"/>
      <c r="I391" s="14" t="n"/>
      <c r="J391" s="16" t="n"/>
      <c r="K391" s="125" t="n"/>
      <c r="L391" s="14" t="n"/>
      <c r="M391" s="16" t="n"/>
      <c r="N391" s="125" t="n"/>
      <c r="O391" s="14" t="n"/>
      <c r="P391" s="16" t="n"/>
      <c r="Q391" s="125" t="n"/>
      <c r="R391" s="14" t="n"/>
      <c r="S391" s="16" t="n"/>
      <c r="T391" s="125" t="n"/>
      <c r="U391" s="14" t="n"/>
      <c r="V391" s="16" t="n"/>
      <c r="W391" s="125" t="n"/>
      <c r="X391" s="14" t="n"/>
      <c r="Y391" s="16" t="n"/>
      <c r="Z391" s="125" t="n"/>
      <c r="AA391" s="14" t="n"/>
      <c r="AB391" s="16" t="n"/>
      <c r="AC391" s="125" t="n"/>
      <c r="AD391" s="14" t="n"/>
    </row>
    <row r="392">
      <c r="A392" s="56" t="n"/>
      <c r="B392" s="59" t="n"/>
      <c r="C392" s="59" t="n"/>
      <c r="E392" s="16" t="n"/>
      <c r="F392" s="13" t="n"/>
      <c r="G392" s="16" t="n"/>
      <c r="H392" s="125" t="n"/>
      <c r="I392" s="14" t="n"/>
      <c r="J392" s="16" t="n"/>
      <c r="K392" s="125" t="n"/>
      <c r="L392" s="14" t="n"/>
      <c r="M392" s="16" t="n"/>
      <c r="N392" s="125" t="n"/>
      <c r="O392" s="14" t="n"/>
      <c r="P392" s="16" t="n"/>
      <c r="Q392" s="125" t="n"/>
      <c r="R392" s="14" t="n"/>
      <c r="S392" s="16" t="n"/>
      <c r="T392" s="125" t="n"/>
      <c r="U392" s="14" t="n"/>
      <c r="V392" s="16" t="n"/>
      <c r="W392" s="125" t="n"/>
      <c r="X392" s="14" t="n"/>
      <c r="Y392" s="16" t="n"/>
      <c r="Z392" s="125" t="n"/>
      <c r="AA392" s="14" t="n"/>
      <c r="AB392" s="16" t="n"/>
      <c r="AC392" s="125" t="n"/>
      <c r="AD392" s="14" t="n"/>
    </row>
    <row r="393">
      <c r="A393" s="58" t="n"/>
      <c r="B393" s="59" t="n"/>
      <c r="C393" s="59" t="n"/>
      <c r="E393" s="16" t="n"/>
      <c r="F393" s="13" t="n"/>
      <c r="G393" s="16" t="n"/>
      <c r="H393" s="125" t="n"/>
      <c r="I393" s="14" t="n"/>
      <c r="J393" s="16" t="n"/>
      <c r="K393" s="125" t="n"/>
      <c r="L393" s="14" t="n"/>
      <c r="M393" s="16" t="n"/>
      <c r="N393" s="125" t="n"/>
      <c r="O393" s="14" t="n"/>
      <c r="P393" s="16" t="n"/>
      <c r="Q393" s="125" t="n"/>
      <c r="R393" s="14" t="n"/>
      <c r="S393" s="16" t="n"/>
      <c r="T393" s="125" t="n"/>
      <c r="U393" s="14" t="n"/>
      <c r="V393" s="16" t="n"/>
      <c r="W393" s="125" t="n"/>
      <c r="X393" s="14" t="n"/>
      <c r="Y393" s="16" t="n"/>
      <c r="Z393" s="125" t="n"/>
      <c r="AA393" s="14" t="n"/>
      <c r="AB393" s="16" t="n"/>
      <c r="AC393" s="125" t="n"/>
      <c r="AD393" s="14" t="n"/>
    </row>
    <row r="394">
      <c r="A394" s="56" t="n"/>
      <c r="B394" s="59" t="n"/>
      <c r="C394" s="59" t="n"/>
      <c r="E394" s="16" t="n"/>
      <c r="F394" s="13" t="n"/>
      <c r="G394" s="16" t="n"/>
      <c r="H394" s="125" t="n"/>
      <c r="I394" s="14" t="n"/>
      <c r="J394" s="16" t="n"/>
      <c r="K394" s="125" t="n"/>
      <c r="L394" s="14" t="n"/>
      <c r="M394" s="16" t="n"/>
      <c r="N394" s="125" t="n"/>
      <c r="O394" s="14" t="n"/>
      <c r="P394" s="16" t="n"/>
      <c r="Q394" s="125" t="n"/>
      <c r="R394" s="14" t="n"/>
      <c r="S394" s="16" t="n"/>
      <c r="T394" s="125" t="n"/>
      <c r="U394" s="14" t="n"/>
      <c r="V394" s="16" t="n"/>
      <c r="W394" s="125" t="n"/>
      <c r="X394" s="14" t="n"/>
      <c r="Y394" s="16" t="n"/>
      <c r="Z394" s="125" t="n"/>
      <c r="AA394" s="14" t="n"/>
      <c r="AB394" s="16" t="n"/>
      <c r="AC394" s="125" t="n"/>
      <c r="AD394" s="14" t="n"/>
    </row>
    <row r="395">
      <c r="A395" s="58" t="n"/>
      <c r="B395" s="59" t="n"/>
      <c r="C395" s="59" t="n"/>
      <c r="E395" s="16" t="n"/>
      <c r="F395" s="13" t="n"/>
      <c r="G395" s="16" t="n"/>
      <c r="H395" s="125" t="n"/>
      <c r="I395" s="14" t="n"/>
      <c r="J395" s="16" t="n"/>
      <c r="K395" s="125" t="n"/>
      <c r="L395" s="14" t="n"/>
      <c r="M395" s="16" t="n"/>
      <c r="N395" s="125" t="n"/>
      <c r="O395" s="14" t="n"/>
      <c r="P395" s="16" t="n"/>
      <c r="Q395" s="125" t="n"/>
      <c r="R395" s="14" t="n"/>
      <c r="S395" s="16" t="n"/>
      <c r="T395" s="125" t="n"/>
      <c r="U395" s="14" t="n"/>
      <c r="V395" s="16" t="n"/>
      <c r="W395" s="125" t="n"/>
      <c r="X395" s="14" t="n"/>
      <c r="Y395" s="16" t="n"/>
      <c r="Z395" s="125" t="n"/>
      <c r="AA395" s="14" t="n"/>
      <c r="AB395" s="16" t="n"/>
      <c r="AC395" s="125" t="n"/>
      <c r="AD395" s="14" t="n"/>
    </row>
    <row r="396">
      <c r="A396" s="56" t="n"/>
      <c r="B396" s="59" t="n"/>
      <c r="C396" s="59" t="n"/>
      <c r="E396" s="16" t="n"/>
      <c r="F396" s="13" t="n"/>
      <c r="G396" s="16" t="n"/>
      <c r="H396" s="125" t="n"/>
      <c r="I396" s="14" t="n"/>
      <c r="J396" s="16" t="n"/>
      <c r="K396" s="125" t="n"/>
      <c r="L396" s="14" t="n"/>
      <c r="M396" s="16" t="n"/>
      <c r="N396" s="125" t="n"/>
      <c r="O396" s="14" t="n"/>
      <c r="P396" s="16" t="n"/>
      <c r="Q396" s="125" t="n"/>
      <c r="R396" s="14" t="n"/>
      <c r="S396" s="16" t="n"/>
      <c r="T396" s="125" t="n"/>
      <c r="U396" s="14" t="n"/>
      <c r="V396" s="16" t="n"/>
      <c r="W396" s="125" t="n"/>
      <c r="X396" s="14" t="n"/>
      <c r="Y396" s="16" t="n"/>
      <c r="Z396" s="125" t="n"/>
      <c r="AA396" s="14" t="n"/>
      <c r="AB396" s="16" t="n"/>
      <c r="AC396" s="125" t="n"/>
      <c r="AD396" s="14" t="n"/>
    </row>
    <row r="397">
      <c r="A397" s="58" t="n"/>
      <c r="B397" s="59" t="n"/>
      <c r="C397" s="59" t="n"/>
      <c r="E397" s="16" t="n"/>
      <c r="F397" s="13" t="n"/>
      <c r="G397" s="16" t="n"/>
      <c r="H397" s="125" t="n"/>
      <c r="I397" s="14" t="n"/>
      <c r="J397" s="16" t="n"/>
      <c r="K397" s="125" t="n"/>
      <c r="L397" s="14" t="n"/>
      <c r="M397" s="16" t="n"/>
      <c r="N397" s="125" t="n"/>
      <c r="O397" s="14" t="n"/>
      <c r="P397" s="16" t="n"/>
      <c r="Q397" s="125" t="n"/>
      <c r="R397" s="14" t="n"/>
      <c r="S397" s="16" t="n"/>
      <c r="T397" s="125" t="n"/>
      <c r="U397" s="14" t="n"/>
      <c r="V397" s="16" t="n"/>
      <c r="W397" s="125" t="n"/>
      <c r="X397" s="14" t="n"/>
      <c r="Y397" s="16" t="n"/>
      <c r="Z397" s="125" t="n"/>
      <c r="AA397" s="14" t="n"/>
      <c r="AB397" s="16" t="n"/>
      <c r="AC397" s="125" t="n"/>
      <c r="AD397" s="14" t="n"/>
    </row>
    <row r="398">
      <c r="A398" s="56" t="n"/>
      <c r="B398" s="59" t="n"/>
      <c r="C398" s="59" t="n"/>
      <c r="E398" s="16" t="n"/>
      <c r="F398" s="13" t="n"/>
      <c r="G398" s="16" t="n"/>
      <c r="H398" s="125" t="n"/>
      <c r="I398" s="14" t="n"/>
      <c r="J398" s="16" t="n"/>
      <c r="K398" s="125" t="n"/>
      <c r="L398" s="14" t="n"/>
      <c r="M398" s="16" t="n"/>
      <c r="N398" s="125" t="n"/>
      <c r="O398" s="14" t="n"/>
      <c r="P398" s="16" t="n"/>
      <c r="Q398" s="125" t="n"/>
      <c r="R398" s="14" t="n"/>
      <c r="S398" s="16" t="n"/>
      <c r="T398" s="125" t="n"/>
      <c r="U398" s="14" t="n"/>
      <c r="V398" s="16" t="n"/>
      <c r="W398" s="125" t="n"/>
      <c r="X398" s="14" t="n"/>
      <c r="Y398" s="16" t="n"/>
      <c r="Z398" s="125" t="n"/>
      <c r="AA398" s="14" t="n"/>
      <c r="AB398" s="16" t="n"/>
      <c r="AC398" s="125" t="n"/>
      <c r="AD398" s="14" t="n"/>
    </row>
    <row r="399">
      <c r="A399" s="58" t="n"/>
      <c r="B399" s="59" t="n"/>
      <c r="C399" s="59" t="n"/>
      <c r="E399" s="16" t="n"/>
      <c r="F399" s="13" t="n"/>
      <c r="G399" s="16" t="n"/>
      <c r="H399" s="125" t="n"/>
      <c r="I399" s="14" t="n"/>
      <c r="J399" s="16" t="n"/>
      <c r="K399" s="125" t="n"/>
      <c r="L399" s="14" t="n"/>
      <c r="M399" s="16" t="n"/>
      <c r="N399" s="125" t="n"/>
      <c r="O399" s="14" t="n"/>
      <c r="P399" s="16" t="n"/>
      <c r="Q399" s="125" t="n"/>
      <c r="R399" s="14" t="n"/>
      <c r="S399" s="16" t="n"/>
      <c r="T399" s="125" t="n"/>
      <c r="U399" s="14" t="n"/>
      <c r="V399" s="16" t="n"/>
      <c r="W399" s="125" t="n"/>
      <c r="X399" s="14" t="n"/>
      <c r="Y399" s="16" t="n"/>
      <c r="Z399" s="125" t="n"/>
      <c r="AA399" s="14" t="n"/>
      <c r="AB399" s="16" t="n"/>
      <c r="AC399" s="125" t="n"/>
      <c r="AD399" s="14" t="n"/>
    </row>
    <row r="400">
      <c r="A400" s="56" t="n"/>
      <c r="B400" s="59" t="n"/>
      <c r="C400" s="59" t="n"/>
      <c r="E400" s="16" t="n"/>
      <c r="F400" s="13" t="n"/>
      <c r="G400" s="16" t="n"/>
      <c r="H400" s="125" t="n"/>
      <c r="I400" s="14" t="n"/>
      <c r="J400" s="16" t="n"/>
      <c r="K400" s="125" t="n"/>
      <c r="L400" s="14" t="n"/>
      <c r="M400" s="16" t="n"/>
      <c r="N400" s="125" t="n"/>
      <c r="O400" s="14" t="n"/>
      <c r="P400" s="16" t="n"/>
      <c r="Q400" s="125" t="n"/>
      <c r="R400" s="14" t="n"/>
      <c r="S400" s="16" t="n"/>
      <c r="T400" s="125" t="n"/>
      <c r="U400" s="14" t="n"/>
      <c r="V400" s="16" t="n"/>
      <c r="W400" s="125" t="n"/>
      <c r="X400" s="14" t="n"/>
      <c r="Y400" s="16" t="n"/>
      <c r="Z400" s="125" t="n"/>
      <c r="AA400" s="14" t="n"/>
      <c r="AB400" s="16" t="n"/>
      <c r="AC400" s="125" t="n"/>
      <c r="AD400" s="14" t="n"/>
    </row>
    <row r="401">
      <c r="A401" s="58" t="n"/>
      <c r="B401" s="59" t="n"/>
      <c r="C401" s="59" t="n"/>
      <c r="E401" s="16" t="n"/>
      <c r="F401" s="13" t="n"/>
      <c r="G401" s="16" t="n"/>
      <c r="H401" s="125" t="n"/>
      <c r="I401" s="14" t="n"/>
      <c r="J401" s="16" t="n"/>
      <c r="K401" s="125" t="n"/>
      <c r="L401" s="14" t="n"/>
      <c r="M401" s="16" t="n"/>
      <c r="N401" s="125" t="n"/>
      <c r="O401" s="14" t="n"/>
      <c r="P401" s="16" t="n"/>
      <c r="Q401" s="125" t="n"/>
      <c r="R401" s="14" t="n"/>
      <c r="S401" s="16" t="n"/>
      <c r="T401" s="125" t="n"/>
      <c r="U401" s="14" t="n"/>
      <c r="V401" s="16" t="n"/>
      <c r="W401" s="125" t="n"/>
      <c r="X401" s="14" t="n"/>
      <c r="Y401" s="16" t="n"/>
      <c r="Z401" s="125" t="n"/>
      <c r="AA401" s="14" t="n"/>
      <c r="AB401" s="16" t="n"/>
      <c r="AC401" s="125" t="n"/>
      <c r="AD401" s="14" t="n"/>
    </row>
    <row r="402">
      <c r="A402" s="56" t="n"/>
      <c r="B402" s="59" t="n"/>
      <c r="C402" s="59" t="n"/>
      <c r="E402" s="16" t="n"/>
      <c r="F402" s="13" t="n"/>
      <c r="G402" s="16" t="n"/>
      <c r="H402" s="125" t="n"/>
      <c r="I402" s="14" t="n"/>
      <c r="J402" s="16" t="n"/>
      <c r="K402" s="125" t="n"/>
      <c r="L402" s="14" t="n"/>
      <c r="M402" s="16" t="n"/>
      <c r="N402" s="125" t="n"/>
      <c r="O402" s="14" t="n"/>
      <c r="P402" s="16" t="n"/>
      <c r="Q402" s="125" t="n"/>
      <c r="R402" s="14" t="n"/>
      <c r="S402" s="16" t="n"/>
      <c r="T402" s="125" t="n"/>
      <c r="U402" s="14" t="n"/>
      <c r="V402" s="16" t="n"/>
      <c r="W402" s="125" t="n"/>
      <c r="X402" s="14" t="n"/>
      <c r="Y402" s="16" t="n"/>
      <c r="Z402" s="125" t="n"/>
      <c r="AA402" s="14" t="n"/>
      <c r="AB402" s="16" t="n"/>
      <c r="AC402" s="125" t="n"/>
      <c r="AD402" s="14" t="n"/>
    </row>
    <row r="403">
      <c r="A403" s="58" t="n"/>
      <c r="B403" s="59" t="n"/>
      <c r="C403" s="59" t="n"/>
      <c r="E403" s="16" t="n"/>
      <c r="F403" s="13" t="n"/>
      <c r="G403" s="16" t="n"/>
      <c r="H403" s="125" t="n"/>
      <c r="I403" s="14" t="n"/>
      <c r="J403" s="16" t="n"/>
      <c r="K403" s="125" t="n"/>
      <c r="L403" s="14" t="n"/>
      <c r="M403" s="16" t="n"/>
      <c r="N403" s="125" t="n"/>
      <c r="O403" s="14" t="n"/>
      <c r="P403" s="16" t="n"/>
      <c r="Q403" s="125" t="n"/>
      <c r="R403" s="14" t="n"/>
      <c r="S403" s="16" t="n"/>
      <c r="T403" s="125" t="n"/>
      <c r="U403" s="14" t="n"/>
      <c r="V403" s="16" t="n"/>
      <c r="W403" s="125" t="n"/>
      <c r="X403" s="14" t="n"/>
      <c r="Y403" s="16" t="n"/>
      <c r="Z403" s="125" t="n"/>
      <c r="AA403" s="14" t="n"/>
      <c r="AB403" s="16" t="n"/>
      <c r="AC403" s="125" t="n"/>
      <c r="AD403" s="14" t="n"/>
    </row>
    <row r="404">
      <c r="A404" s="56" t="n"/>
      <c r="B404" s="59" t="n"/>
      <c r="C404" s="59" t="n"/>
      <c r="E404" s="16" t="n"/>
      <c r="F404" s="13" t="n"/>
      <c r="G404" s="16" t="n"/>
      <c r="H404" s="125" t="n"/>
      <c r="I404" s="14" t="n"/>
      <c r="J404" s="16" t="n"/>
      <c r="K404" s="125" t="n"/>
      <c r="L404" s="14" t="n"/>
      <c r="M404" s="16" t="n"/>
      <c r="N404" s="125" t="n"/>
      <c r="O404" s="14" t="n"/>
      <c r="P404" s="16" t="n"/>
      <c r="Q404" s="125" t="n"/>
      <c r="R404" s="14" t="n"/>
      <c r="S404" s="16" t="n"/>
      <c r="T404" s="125" t="n"/>
      <c r="U404" s="14" t="n"/>
      <c r="V404" s="16" t="n"/>
      <c r="W404" s="125" t="n"/>
      <c r="X404" s="14" t="n"/>
      <c r="Y404" s="16" t="n"/>
      <c r="Z404" s="125" t="n"/>
      <c r="AA404" s="14" t="n"/>
      <c r="AB404" s="16" t="n"/>
      <c r="AC404" s="125" t="n"/>
      <c r="AD404" s="14" t="n"/>
    </row>
    <row r="405">
      <c r="A405" s="58" t="n"/>
      <c r="B405" s="59" t="n"/>
      <c r="C405" s="59" t="n"/>
      <c r="E405" s="16" t="n"/>
      <c r="F405" s="13" t="n"/>
      <c r="G405" s="16" t="n"/>
      <c r="H405" s="125" t="n"/>
      <c r="I405" s="14" t="n"/>
      <c r="J405" s="16" t="n"/>
      <c r="K405" s="125" t="n"/>
      <c r="L405" s="14" t="n"/>
      <c r="M405" s="16" t="n"/>
      <c r="N405" s="125" t="n"/>
      <c r="O405" s="14" t="n"/>
      <c r="P405" s="16" t="n"/>
      <c r="Q405" s="125" t="n"/>
      <c r="R405" s="14" t="n"/>
      <c r="S405" s="16" t="n"/>
      <c r="T405" s="125" t="n"/>
      <c r="U405" s="14" t="n"/>
      <c r="V405" s="16" t="n"/>
      <c r="W405" s="125" t="n"/>
      <c r="X405" s="14" t="n"/>
      <c r="Y405" s="16" t="n"/>
      <c r="Z405" s="125" t="n"/>
      <c r="AA405" s="14" t="n"/>
      <c r="AB405" s="16" t="n"/>
      <c r="AC405" s="125" t="n"/>
      <c r="AD405" s="14" t="n"/>
    </row>
    <row r="406">
      <c r="A406" s="56" t="n"/>
      <c r="B406" s="59" t="n"/>
      <c r="C406" s="59" t="n"/>
      <c r="E406" s="16" t="n"/>
      <c r="F406" s="13" t="n"/>
      <c r="G406" s="16" t="n"/>
      <c r="H406" s="125" t="n"/>
      <c r="I406" s="14" t="n"/>
      <c r="J406" s="16" t="n"/>
      <c r="K406" s="125" t="n"/>
      <c r="L406" s="14" t="n"/>
      <c r="M406" s="16" t="n"/>
      <c r="N406" s="125" t="n"/>
      <c r="O406" s="14" t="n"/>
      <c r="P406" s="16" t="n"/>
      <c r="Q406" s="125" t="n"/>
      <c r="R406" s="14" t="n"/>
      <c r="S406" s="16" t="n"/>
      <c r="T406" s="125" t="n"/>
      <c r="U406" s="14" t="n"/>
      <c r="V406" s="16" t="n"/>
      <c r="W406" s="125" t="n"/>
      <c r="X406" s="14" t="n"/>
      <c r="Y406" s="16" t="n"/>
      <c r="Z406" s="125" t="n"/>
      <c r="AA406" s="14" t="n"/>
      <c r="AB406" s="16" t="n"/>
      <c r="AC406" s="125" t="n"/>
      <c r="AD406" s="14" t="n"/>
    </row>
    <row r="407">
      <c r="A407" s="58" t="n"/>
      <c r="B407" s="59" t="n"/>
      <c r="C407" s="59" t="n"/>
      <c r="E407" s="16" t="n"/>
      <c r="F407" s="13" t="n"/>
      <c r="G407" s="16" t="n"/>
      <c r="H407" s="125" t="n"/>
      <c r="I407" s="14" t="n"/>
      <c r="J407" s="16" t="n"/>
      <c r="K407" s="125" t="n"/>
      <c r="L407" s="14" t="n"/>
      <c r="M407" s="16" t="n"/>
      <c r="N407" s="125" t="n"/>
      <c r="O407" s="14" t="n"/>
      <c r="P407" s="16" t="n"/>
      <c r="Q407" s="125" t="n"/>
      <c r="R407" s="14" t="n"/>
      <c r="S407" s="16" t="n"/>
      <c r="T407" s="125" t="n"/>
      <c r="U407" s="14" t="n"/>
      <c r="V407" s="16" t="n"/>
      <c r="W407" s="125" t="n"/>
      <c r="X407" s="14" t="n"/>
      <c r="Y407" s="16" t="n"/>
      <c r="Z407" s="125" t="n"/>
      <c r="AA407" s="14" t="n"/>
      <c r="AB407" s="16" t="n"/>
      <c r="AC407" s="125" t="n"/>
      <c r="AD407" s="14" t="n"/>
    </row>
    <row r="408">
      <c r="A408" s="56" t="n"/>
      <c r="B408" s="59" t="n"/>
      <c r="C408" s="59" t="n"/>
      <c r="E408" s="16" t="n"/>
      <c r="F408" s="13" t="n"/>
      <c r="G408" s="16" t="n"/>
      <c r="H408" s="125" t="n"/>
      <c r="I408" s="14" t="n"/>
      <c r="J408" s="16" t="n"/>
      <c r="K408" s="125" t="n"/>
      <c r="L408" s="14" t="n"/>
      <c r="M408" s="16" t="n"/>
      <c r="N408" s="125" t="n"/>
      <c r="O408" s="14" t="n"/>
      <c r="P408" s="16" t="n"/>
      <c r="Q408" s="125" t="n"/>
      <c r="R408" s="14" t="n"/>
      <c r="S408" s="16" t="n"/>
      <c r="T408" s="125" t="n"/>
      <c r="U408" s="14" t="n"/>
      <c r="V408" s="16" t="n"/>
      <c r="W408" s="125" t="n"/>
      <c r="X408" s="14" t="n"/>
      <c r="Y408" s="16" t="n"/>
      <c r="Z408" s="125" t="n"/>
      <c r="AA408" s="14" t="n"/>
      <c r="AB408" s="16" t="n"/>
      <c r="AC408" s="125" t="n"/>
      <c r="AD408" s="14" t="n"/>
    </row>
    <row r="409">
      <c r="A409" s="58" t="n"/>
      <c r="B409" s="59" t="n"/>
      <c r="C409" s="59" t="n"/>
      <c r="E409" s="16" t="n"/>
      <c r="F409" s="13" t="n"/>
      <c r="G409" s="16" t="n"/>
      <c r="H409" s="125" t="n"/>
      <c r="I409" s="14" t="n"/>
      <c r="J409" s="16" t="n"/>
      <c r="K409" s="125" t="n"/>
      <c r="L409" s="14" t="n"/>
      <c r="M409" s="16" t="n"/>
      <c r="N409" s="125" t="n"/>
      <c r="O409" s="14" t="n"/>
      <c r="P409" s="16" t="n"/>
      <c r="Q409" s="125" t="n"/>
      <c r="R409" s="14" t="n"/>
      <c r="S409" s="16" t="n"/>
      <c r="T409" s="125" t="n"/>
      <c r="U409" s="14" t="n"/>
      <c r="V409" s="16" t="n"/>
      <c r="W409" s="125" t="n"/>
      <c r="X409" s="14" t="n"/>
      <c r="Y409" s="16" t="n"/>
      <c r="Z409" s="125" t="n"/>
      <c r="AA409" s="14" t="n"/>
      <c r="AB409" s="16" t="n"/>
      <c r="AC409" s="125" t="n"/>
      <c r="AD409" s="14" t="n"/>
    </row>
    <row r="410">
      <c r="A410" s="56" t="n"/>
      <c r="B410" s="59" t="n"/>
      <c r="C410" s="59" t="n"/>
      <c r="E410" s="16" t="n"/>
      <c r="F410" s="13" t="n"/>
      <c r="G410" s="16" t="n"/>
      <c r="H410" s="125" t="n"/>
      <c r="I410" s="14" t="n"/>
      <c r="J410" s="16" t="n"/>
      <c r="K410" s="125" t="n"/>
      <c r="L410" s="14" t="n"/>
      <c r="M410" s="16" t="n"/>
      <c r="N410" s="125" t="n"/>
      <c r="O410" s="14" t="n"/>
      <c r="P410" s="16" t="n"/>
      <c r="Q410" s="125" t="n"/>
      <c r="R410" s="14" t="n"/>
      <c r="S410" s="16" t="n"/>
      <c r="T410" s="125" t="n"/>
      <c r="U410" s="14" t="n"/>
      <c r="V410" s="16" t="n"/>
      <c r="W410" s="125" t="n"/>
      <c r="X410" s="14" t="n"/>
      <c r="Y410" s="16" t="n"/>
      <c r="Z410" s="125" t="n"/>
      <c r="AA410" s="14" t="n"/>
      <c r="AB410" s="16" t="n"/>
      <c r="AC410" s="125" t="n"/>
      <c r="AD410" s="14" t="n"/>
    </row>
    <row r="411">
      <c r="A411" s="58" t="n"/>
      <c r="B411" s="59" t="n"/>
      <c r="C411" s="59" t="n"/>
      <c r="E411" s="16" t="n"/>
      <c r="F411" s="13" t="n"/>
      <c r="G411" s="16" t="n"/>
      <c r="H411" s="125" t="n"/>
      <c r="I411" s="14" t="n"/>
      <c r="J411" s="16" t="n"/>
      <c r="K411" s="125" t="n"/>
      <c r="L411" s="14" t="n"/>
      <c r="M411" s="16" t="n"/>
      <c r="N411" s="125" t="n"/>
      <c r="O411" s="14" t="n"/>
      <c r="P411" s="16" t="n"/>
      <c r="Q411" s="125" t="n"/>
      <c r="R411" s="14" t="n"/>
      <c r="S411" s="16" t="n"/>
      <c r="T411" s="125" t="n"/>
      <c r="U411" s="14" t="n"/>
      <c r="V411" s="16" t="n"/>
      <c r="W411" s="125" t="n"/>
      <c r="X411" s="14" t="n"/>
      <c r="Y411" s="16" t="n"/>
      <c r="Z411" s="125" t="n"/>
      <c r="AA411" s="14" t="n"/>
      <c r="AB411" s="16" t="n"/>
      <c r="AC411" s="125" t="n"/>
      <c r="AD411" s="14" t="n"/>
    </row>
    <row r="412">
      <c r="A412" s="56" t="n"/>
      <c r="B412" s="59" t="n"/>
      <c r="C412" s="59" t="n"/>
      <c r="E412" s="16" t="n"/>
      <c r="F412" s="13" t="n"/>
      <c r="G412" s="16" t="n"/>
      <c r="H412" s="125" t="n"/>
      <c r="I412" s="14" t="n"/>
      <c r="J412" s="16" t="n"/>
      <c r="K412" s="125" t="n"/>
      <c r="L412" s="14" t="n"/>
      <c r="M412" s="16" t="n"/>
      <c r="N412" s="125" t="n"/>
      <c r="O412" s="14" t="n"/>
      <c r="P412" s="16" t="n"/>
      <c r="Q412" s="125" t="n"/>
      <c r="R412" s="14" t="n"/>
      <c r="S412" s="16" t="n"/>
      <c r="T412" s="125" t="n"/>
      <c r="U412" s="14" t="n"/>
      <c r="V412" s="16" t="n"/>
      <c r="W412" s="125" t="n"/>
      <c r="X412" s="14" t="n"/>
      <c r="Y412" s="16" t="n"/>
      <c r="Z412" s="125" t="n"/>
      <c r="AA412" s="14" t="n"/>
      <c r="AB412" s="16" t="n"/>
      <c r="AC412" s="125" t="n"/>
      <c r="AD412" s="14" t="n"/>
    </row>
    <row r="413">
      <c r="A413" s="58" t="n"/>
      <c r="B413" s="59" t="n"/>
      <c r="C413" s="59" t="n"/>
      <c r="E413" s="16" t="n"/>
      <c r="F413" s="13" t="n"/>
      <c r="G413" s="16" t="n"/>
      <c r="H413" s="125" t="n"/>
      <c r="I413" s="14" t="n"/>
      <c r="J413" s="16" t="n"/>
      <c r="K413" s="125" t="n"/>
      <c r="L413" s="14" t="n"/>
      <c r="M413" s="16" t="n"/>
      <c r="N413" s="125" t="n"/>
      <c r="O413" s="14" t="n"/>
      <c r="P413" s="16" t="n"/>
      <c r="Q413" s="125" t="n"/>
      <c r="R413" s="14" t="n"/>
      <c r="S413" s="16" t="n"/>
      <c r="T413" s="125" t="n"/>
      <c r="U413" s="14" t="n"/>
      <c r="V413" s="16" t="n"/>
      <c r="W413" s="125" t="n"/>
      <c r="X413" s="14" t="n"/>
      <c r="Y413" s="16" t="n"/>
      <c r="Z413" s="125" t="n"/>
      <c r="AA413" s="14" t="n"/>
      <c r="AB413" s="16" t="n"/>
      <c r="AC413" s="125" t="n"/>
      <c r="AD413" s="14" t="n"/>
    </row>
    <row r="414">
      <c r="A414" s="56" t="n"/>
      <c r="B414" s="59" t="n"/>
      <c r="C414" s="59" t="n"/>
      <c r="E414" s="16" t="n"/>
      <c r="F414" s="13" t="n"/>
      <c r="G414" s="16" t="n"/>
      <c r="H414" s="125" t="n"/>
      <c r="I414" s="14" t="n"/>
      <c r="J414" s="16" t="n"/>
      <c r="K414" s="125" t="n"/>
      <c r="L414" s="14" t="n"/>
      <c r="M414" s="16" t="n"/>
      <c r="N414" s="125" t="n"/>
      <c r="O414" s="14" t="n"/>
      <c r="P414" s="16" t="n"/>
      <c r="Q414" s="125" t="n"/>
      <c r="R414" s="14" t="n"/>
      <c r="S414" s="16" t="n"/>
      <c r="T414" s="125" t="n"/>
      <c r="U414" s="14" t="n"/>
      <c r="V414" s="16" t="n"/>
      <c r="W414" s="125" t="n"/>
      <c r="X414" s="14" t="n"/>
      <c r="Y414" s="16" t="n"/>
      <c r="Z414" s="125" t="n"/>
      <c r="AA414" s="14" t="n"/>
      <c r="AB414" s="16" t="n"/>
      <c r="AC414" s="125" t="n"/>
      <c r="AD414" s="14" t="n"/>
    </row>
    <row r="415">
      <c r="A415" s="58" t="n"/>
      <c r="B415" s="59" t="n"/>
      <c r="C415" s="59" t="n"/>
      <c r="E415" s="16" t="n"/>
      <c r="F415" s="13" t="n"/>
      <c r="G415" s="16" t="n"/>
      <c r="H415" s="125" t="n"/>
      <c r="I415" s="14" t="n"/>
      <c r="J415" s="16" t="n"/>
      <c r="K415" s="125" t="n"/>
      <c r="L415" s="14" t="n"/>
      <c r="M415" s="16" t="n"/>
      <c r="N415" s="125" t="n"/>
      <c r="O415" s="14" t="n"/>
      <c r="P415" s="16" t="n"/>
      <c r="Q415" s="125" t="n"/>
      <c r="R415" s="14" t="n"/>
      <c r="S415" s="16" t="n"/>
      <c r="T415" s="125" t="n"/>
      <c r="U415" s="14" t="n"/>
      <c r="V415" s="16" t="n"/>
      <c r="W415" s="125" t="n"/>
      <c r="X415" s="14" t="n"/>
      <c r="Y415" s="16" t="n"/>
      <c r="Z415" s="125" t="n"/>
      <c r="AA415" s="14" t="n"/>
      <c r="AB415" s="16" t="n"/>
      <c r="AC415" s="125" t="n"/>
      <c r="AD415" s="14" t="n"/>
    </row>
    <row r="416">
      <c r="A416" s="56" t="n"/>
      <c r="B416" s="59" t="n"/>
      <c r="C416" s="59" t="n"/>
      <c r="E416" s="16" t="n"/>
      <c r="F416" s="13" t="n"/>
      <c r="G416" s="16" t="n"/>
      <c r="H416" s="125" t="n"/>
      <c r="I416" s="14" t="n"/>
      <c r="J416" s="16" t="n"/>
      <c r="K416" s="125" t="n"/>
      <c r="L416" s="14" t="n"/>
      <c r="M416" s="16" t="n"/>
      <c r="N416" s="125" t="n"/>
      <c r="O416" s="14" t="n"/>
      <c r="P416" s="16" t="n"/>
      <c r="Q416" s="125" t="n"/>
      <c r="R416" s="14" t="n"/>
      <c r="S416" s="16" t="n"/>
      <c r="T416" s="125" t="n"/>
      <c r="U416" s="14" t="n"/>
      <c r="V416" s="16" t="n"/>
      <c r="W416" s="125" t="n"/>
      <c r="X416" s="14" t="n"/>
      <c r="Y416" s="16" t="n"/>
      <c r="Z416" s="125" t="n"/>
      <c r="AA416" s="14" t="n"/>
      <c r="AB416" s="16" t="n"/>
      <c r="AC416" s="125" t="n"/>
      <c r="AD416" s="14" t="n"/>
    </row>
    <row r="417">
      <c r="A417" s="58" t="n"/>
      <c r="B417" s="59" t="n"/>
      <c r="C417" s="59" t="n"/>
      <c r="E417" s="16" t="n"/>
      <c r="F417" s="13" t="n"/>
      <c r="G417" s="16" t="n"/>
      <c r="H417" s="125" t="n"/>
      <c r="I417" s="14" t="n"/>
      <c r="J417" s="16" t="n"/>
      <c r="K417" s="125" t="n"/>
      <c r="L417" s="14" t="n"/>
      <c r="M417" s="16" t="n"/>
      <c r="N417" s="125" t="n"/>
      <c r="O417" s="14" t="n"/>
      <c r="P417" s="16" t="n"/>
      <c r="Q417" s="125" t="n"/>
      <c r="R417" s="14" t="n"/>
      <c r="S417" s="16" t="n"/>
      <c r="T417" s="125" t="n"/>
      <c r="U417" s="14" t="n"/>
      <c r="V417" s="16" t="n"/>
      <c r="W417" s="125" t="n"/>
      <c r="X417" s="14" t="n"/>
      <c r="Y417" s="16" t="n"/>
      <c r="Z417" s="125" t="n"/>
      <c r="AA417" s="14" t="n"/>
      <c r="AB417" s="16" t="n"/>
      <c r="AC417" s="125" t="n"/>
      <c r="AD417" s="14" t="n"/>
    </row>
    <row r="418">
      <c r="A418" s="56" t="n"/>
      <c r="B418" s="59" t="n"/>
      <c r="C418" s="59" t="n"/>
      <c r="E418" s="16" t="n"/>
      <c r="F418" s="13" t="n"/>
      <c r="G418" s="16" t="n"/>
      <c r="H418" s="125" t="n"/>
      <c r="I418" s="14" t="n"/>
      <c r="J418" s="16" t="n"/>
      <c r="K418" s="125" t="n"/>
      <c r="L418" s="14" t="n"/>
      <c r="M418" s="16" t="n"/>
      <c r="N418" s="125" t="n"/>
      <c r="O418" s="14" t="n"/>
      <c r="P418" s="16" t="n"/>
      <c r="Q418" s="125" t="n"/>
      <c r="R418" s="14" t="n"/>
      <c r="S418" s="16" t="n"/>
      <c r="T418" s="125" t="n"/>
      <c r="U418" s="14" t="n"/>
      <c r="V418" s="16" t="n"/>
      <c r="W418" s="125" t="n"/>
      <c r="X418" s="14" t="n"/>
      <c r="Y418" s="16" t="n"/>
      <c r="Z418" s="125" t="n"/>
      <c r="AA418" s="14" t="n"/>
      <c r="AB418" s="16" t="n"/>
      <c r="AC418" s="125" t="n"/>
      <c r="AD418" s="14" t="n"/>
    </row>
    <row r="419">
      <c r="A419" s="58" t="n"/>
      <c r="B419" s="59" t="n"/>
      <c r="C419" s="59" t="n"/>
      <c r="E419" s="16" t="n"/>
      <c r="F419" s="13" t="n"/>
      <c r="G419" s="16" t="n"/>
      <c r="H419" s="125" t="n"/>
      <c r="I419" s="14" t="n"/>
      <c r="J419" s="16" t="n"/>
      <c r="K419" s="125" t="n"/>
      <c r="L419" s="14" t="n"/>
      <c r="M419" s="16" t="n"/>
      <c r="N419" s="125" t="n"/>
      <c r="O419" s="14" t="n"/>
      <c r="P419" s="16" t="n"/>
      <c r="Q419" s="125" t="n"/>
      <c r="R419" s="14" t="n"/>
      <c r="S419" s="16" t="n"/>
      <c r="T419" s="125" t="n"/>
      <c r="U419" s="14" t="n"/>
      <c r="V419" s="16" t="n"/>
      <c r="W419" s="125" t="n"/>
      <c r="X419" s="14" t="n"/>
      <c r="Y419" s="16" t="n"/>
      <c r="Z419" s="125" t="n"/>
      <c r="AA419" s="14" t="n"/>
      <c r="AB419" s="16" t="n"/>
      <c r="AC419" s="125" t="n"/>
      <c r="AD419" s="14" t="n"/>
    </row>
    <row r="420">
      <c r="A420" s="56" t="n"/>
      <c r="B420" s="59" t="n"/>
      <c r="C420" s="59" t="n"/>
      <c r="E420" s="16" t="n"/>
      <c r="F420" s="13" t="n"/>
      <c r="G420" s="16" t="n"/>
      <c r="H420" s="125" t="n"/>
      <c r="I420" s="14" t="n"/>
      <c r="J420" s="16" t="n"/>
      <c r="K420" s="125" t="n"/>
      <c r="L420" s="14" t="n"/>
      <c r="M420" s="16" t="n"/>
      <c r="N420" s="125" t="n"/>
      <c r="O420" s="14" t="n"/>
      <c r="P420" s="16" t="n"/>
      <c r="Q420" s="125" t="n"/>
      <c r="R420" s="14" t="n"/>
      <c r="S420" s="16" t="n"/>
      <c r="T420" s="125" t="n"/>
      <c r="U420" s="14" t="n"/>
      <c r="V420" s="16" t="n"/>
      <c r="W420" s="125" t="n"/>
      <c r="X420" s="14" t="n"/>
      <c r="Y420" s="16" t="n"/>
      <c r="Z420" s="125" t="n"/>
      <c r="AA420" s="14" t="n"/>
      <c r="AB420" s="16" t="n"/>
      <c r="AC420" s="125" t="n"/>
      <c r="AD420" s="14" t="n"/>
    </row>
    <row r="421">
      <c r="A421" s="58" t="n"/>
      <c r="B421" s="59" t="n"/>
      <c r="C421" s="59" t="n"/>
      <c r="E421" s="16" t="n"/>
      <c r="F421" s="13" t="n"/>
      <c r="G421" s="16" t="n"/>
      <c r="H421" s="125" t="n"/>
      <c r="I421" s="14" t="n"/>
      <c r="J421" s="16" t="n"/>
      <c r="K421" s="125" t="n"/>
      <c r="L421" s="14" t="n"/>
      <c r="M421" s="16" t="n"/>
      <c r="N421" s="125" t="n"/>
      <c r="O421" s="14" t="n"/>
      <c r="P421" s="16" t="n"/>
      <c r="Q421" s="125" t="n"/>
      <c r="R421" s="14" t="n"/>
      <c r="S421" s="16" t="n"/>
      <c r="T421" s="125" t="n"/>
      <c r="U421" s="14" t="n"/>
      <c r="V421" s="16" t="n"/>
      <c r="W421" s="125" t="n"/>
      <c r="X421" s="14" t="n"/>
      <c r="Y421" s="16" t="n"/>
      <c r="Z421" s="125" t="n"/>
      <c r="AA421" s="14" t="n"/>
      <c r="AB421" s="16" t="n"/>
      <c r="AC421" s="125" t="n"/>
      <c r="AD421" s="14" t="n"/>
    </row>
    <row r="422">
      <c r="A422" s="56" t="n"/>
      <c r="B422" s="59" t="n"/>
      <c r="C422" s="59" t="n"/>
      <c r="E422" s="16" t="n"/>
      <c r="F422" s="13" t="n"/>
      <c r="G422" s="16" t="n"/>
      <c r="H422" s="125" t="n"/>
      <c r="I422" s="14" t="n"/>
      <c r="J422" s="16" t="n"/>
      <c r="K422" s="125" t="n"/>
      <c r="L422" s="14" t="n"/>
      <c r="M422" s="16" t="n"/>
      <c r="N422" s="125" t="n"/>
      <c r="O422" s="14" t="n"/>
      <c r="P422" s="16" t="n"/>
      <c r="Q422" s="125" t="n"/>
      <c r="R422" s="14" t="n"/>
      <c r="S422" s="16" t="n"/>
      <c r="T422" s="125" t="n"/>
      <c r="U422" s="14" t="n"/>
      <c r="V422" s="16" t="n"/>
      <c r="W422" s="125" t="n"/>
      <c r="X422" s="14" t="n"/>
      <c r="Y422" s="16" t="n"/>
      <c r="Z422" s="125" t="n"/>
      <c r="AA422" s="14" t="n"/>
      <c r="AB422" s="16" t="n"/>
      <c r="AC422" s="125" t="n"/>
      <c r="AD422" s="14" t="n"/>
    </row>
    <row r="423">
      <c r="A423" s="58" t="n"/>
      <c r="B423" s="59" t="n"/>
      <c r="C423" s="59" t="n"/>
      <c r="E423" s="16" t="n"/>
      <c r="F423" s="13" t="n"/>
      <c r="G423" s="16" t="n"/>
      <c r="H423" s="125" t="n"/>
      <c r="I423" s="14" t="n"/>
      <c r="J423" s="16" t="n"/>
      <c r="K423" s="125" t="n"/>
      <c r="L423" s="14" t="n"/>
      <c r="M423" s="16" t="n"/>
      <c r="N423" s="125" t="n"/>
      <c r="O423" s="14" t="n"/>
      <c r="P423" s="16" t="n"/>
      <c r="Q423" s="125" t="n"/>
      <c r="R423" s="14" t="n"/>
      <c r="S423" s="16" t="n"/>
      <c r="T423" s="125" t="n"/>
      <c r="U423" s="14" t="n"/>
      <c r="V423" s="16" t="n"/>
      <c r="W423" s="125" t="n"/>
      <c r="X423" s="14" t="n"/>
      <c r="Y423" s="16" t="n"/>
      <c r="Z423" s="125" t="n"/>
      <c r="AA423" s="14" t="n"/>
      <c r="AB423" s="16" t="n"/>
      <c r="AC423" s="125" t="n"/>
      <c r="AD423" s="14" t="n"/>
    </row>
    <row r="424">
      <c r="A424" s="56" t="n"/>
      <c r="B424" s="59" t="n"/>
      <c r="C424" s="59" t="n"/>
      <c r="E424" s="16" t="n"/>
      <c r="F424" s="13" t="n"/>
      <c r="G424" s="16" t="n"/>
      <c r="H424" s="125" t="n"/>
      <c r="I424" s="14" t="n"/>
      <c r="J424" s="16" t="n"/>
      <c r="K424" s="125" t="n"/>
      <c r="L424" s="14" t="n"/>
      <c r="M424" s="16" t="n"/>
      <c r="N424" s="125" t="n"/>
      <c r="O424" s="14" t="n"/>
      <c r="P424" s="16" t="n"/>
      <c r="Q424" s="125" t="n"/>
      <c r="R424" s="14" t="n"/>
      <c r="S424" s="16" t="n"/>
      <c r="T424" s="125" t="n"/>
      <c r="U424" s="14" t="n"/>
      <c r="V424" s="16" t="n"/>
      <c r="W424" s="125" t="n"/>
      <c r="X424" s="14" t="n"/>
      <c r="Y424" s="16" t="n"/>
      <c r="Z424" s="125" t="n"/>
      <c r="AA424" s="14" t="n"/>
      <c r="AB424" s="16" t="n"/>
      <c r="AC424" s="125" t="n"/>
      <c r="AD424" s="14" t="n"/>
    </row>
    <row r="425">
      <c r="A425" s="58" t="n"/>
      <c r="B425" s="59" t="n"/>
      <c r="C425" s="59" t="n"/>
      <c r="E425" s="16" t="n"/>
      <c r="F425" s="13" t="n"/>
      <c r="G425" s="16" t="n"/>
      <c r="H425" s="125" t="n"/>
      <c r="I425" s="14" t="n"/>
      <c r="J425" s="16" t="n"/>
      <c r="K425" s="125" t="n"/>
      <c r="L425" s="14" t="n"/>
      <c r="M425" s="16" t="n"/>
      <c r="N425" s="125" t="n"/>
      <c r="O425" s="14" t="n"/>
      <c r="P425" s="16" t="n"/>
      <c r="Q425" s="125" t="n"/>
      <c r="R425" s="14" t="n"/>
      <c r="S425" s="16" t="n"/>
      <c r="T425" s="125" t="n"/>
      <c r="U425" s="14" t="n"/>
      <c r="V425" s="16" t="n"/>
      <c r="W425" s="125" t="n"/>
      <c r="X425" s="14" t="n"/>
      <c r="Y425" s="16" t="n"/>
      <c r="Z425" s="125" t="n"/>
      <c r="AA425" s="14" t="n"/>
      <c r="AB425" s="16" t="n"/>
      <c r="AC425" s="125" t="n"/>
      <c r="AD425" s="14" t="n"/>
    </row>
    <row r="426">
      <c r="A426" s="56" t="n"/>
      <c r="B426" s="59" t="n"/>
      <c r="C426" s="59" t="n"/>
      <c r="E426" s="16" t="n"/>
      <c r="F426" s="13" t="n"/>
      <c r="G426" s="16" t="n"/>
      <c r="H426" s="125" t="n"/>
      <c r="I426" s="14" t="n"/>
      <c r="J426" s="16" t="n"/>
      <c r="K426" s="125" t="n"/>
      <c r="L426" s="14" t="n"/>
      <c r="M426" s="16" t="n"/>
      <c r="N426" s="125" t="n"/>
      <c r="O426" s="14" t="n"/>
      <c r="P426" s="16" t="n"/>
      <c r="Q426" s="125" t="n"/>
      <c r="R426" s="14" t="n"/>
      <c r="S426" s="16" t="n"/>
      <c r="T426" s="125" t="n"/>
      <c r="U426" s="14" t="n"/>
      <c r="V426" s="16" t="n"/>
      <c r="W426" s="125" t="n"/>
      <c r="X426" s="14" t="n"/>
      <c r="Y426" s="16" t="n"/>
      <c r="Z426" s="125" t="n"/>
      <c r="AA426" s="14" t="n"/>
      <c r="AB426" s="16" t="n"/>
      <c r="AC426" s="125" t="n"/>
      <c r="AD426" s="14" t="n"/>
    </row>
    <row r="427">
      <c r="A427" s="58" t="n"/>
      <c r="B427" s="59" t="n"/>
      <c r="C427" s="59" t="n"/>
      <c r="E427" s="16" t="n"/>
      <c r="F427" s="13" t="n"/>
      <c r="G427" s="16" t="n"/>
      <c r="H427" s="125" t="n"/>
      <c r="I427" s="14" t="n"/>
      <c r="J427" s="16" t="n"/>
      <c r="K427" s="125" t="n"/>
      <c r="L427" s="14" t="n"/>
      <c r="M427" s="16" t="n"/>
      <c r="N427" s="125" t="n"/>
      <c r="O427" s="14" t="n"/>
      <c r="P427" s="16" t="n"/>
      <c r="Q427" s="125" t="n"/>
      <c r="R427" s="14" t="n"/>
      <c r="S427" s="16" t="n"/>
      <c r="T427" s="125" t="n"/>
      <c r="U427" s="14" t="n"/>
      <c r="V427" s="16" t="n"/>
      <c r="W427" s="125" t="n"/>
      <c r="X427" s="14" t="n"/>
      <c r="Y427" s="16" t="n"/>
      <c r="Z427" s="125" t="n"/>
      <c r="AA427" s="14" t="n"/>
      <c r="AB427" s="16" t="n"/>
      <c r="AC427" s="125" t="n"/>
      <c r="AD427" s="14" t="n"/>
    </row>
    <row r="428">
      <c r="A428" s="56" t="n"/>
      <c r="B428" s="59" t="n"/>
      <c r="C428" s="59" t="n"/>
      <c r="E428" s="16" t="n"/>
      <c r="F428" s="13" t="n"/>
      <c r="G428" s="16" t="n"/>
      <c r="H428" s="125" t="n"/>
      <c r="I428" s="14" t="n"/>
      <c r="J428" s="16" t="n"/>
      <c r="K428" s="125" t="n"/>
      <c r="L428" s="14" t="n"/>
      <c r="M428" s="16" t="n"/>
      <c r="N428" s="125" t="n"/>
      <c r="O428" s="14" t="n"/>
      <c r="P428" s="16" t="n"/>
      <c r="Q428" s="125" t="n"/>
      <c r="R428" s="14" t="n"/>
      <c r="S428" s="16" t="n"/>
      <c r="T428" s="125" t="n"/>
      <c r="U428" s="14" t="n"/>
      <c r="V428" s="16" t="n"/>
      <c r="W428" s="125" t="n"/>
      <c r="X428" s="14" t="n"/>
      <c r="Y428" s="16" t="n"/>
      <c r="Z428" s="125" t="n"/>
      <c r="AA428" s="14" t="n"/>
      <c r="AB428" s="16" t="n"/>
      <c r="AC428" s="125" t="n"/>
      <c r="AD428" s="14" t="n"/>
    </row>
    <row r="429">
      <c r="A429" s="58" t="n"/>
      <c r="B429" s="59" t="n"/>
      <c r="C429" s="59" t="n"/>
      <c r="E429" s="16" t="n"/>
      <c r="F429" s="13" t="n"/>
      <c r="G429" s="16" t="n"/>
      <c r="H429" s="125" t="n"/>
      <c r="I429" s="14" t="n"/>
      <c r="J429" s="16" t="n"/>
      <c r="K429" s="125" t="n"/>
      <c r="L429" s="14" t="n"/>
      <c r="M429" s="16" t="n"/>
      <c r="N429" s="125" t="n"/>
      <c r="O429" s="14" t="n"/>
      <c r="P429" s="16" t="n"/>
      <c r="Q429" s="125" t="n"/>
      <c r="R429" s="14" t="n"/>
      <c r="S429" s="16" t="n"/>
      <c r="T429" s="125" t="n"/>
      <c r="U429" s="14" t="n"/>
      <c r="V429" s="16" t="n"/>
      <c r="W429" s="125" t="n"/>
      <c r="X429" s="14" t="n"/>
      <c r="Y429" s="16" t="n"/>
      <c r="Z429" s="125" t="n"/>
      <c r="AA429" s="14" t="n"/>
      <c r="AB429" s="16" t="n"/>
      <c r="AC429" s="125" t="n"/>
      <c r="AD429" s="14" t="n"/>
    </row>
    <row r="430">
      <c r="A430" s="56" t="n"/>
      <c r="B430" s="59" t="n"/>
      <c r="C430" s="59" t="n"/>
      <c r="E430" s="16" t="n"/>
      <c r="F430" s="13" t="n"/>
      <c r="G430" s="16" t="n"/>
      <c r="H430" s="125" t="n"/>
      <c r="I430" s="14" t="n"/>
      <c r="J430" s="16" t="n"/>
      <c r="K430" s="125" t="n"/>
      <c r="L430" s="14" t="n"/>
      <c r="M430" s="16" t="n"/>
      <c r="N430" s="125" t="n"/>
      <c r="O430" s="14" t="n"/>
      <c r="P430" s="16" t="n"/>
      <c r="Q430" s="125" t="n"/>
      <c r="R430" s="14" t="n"/>
      <c r="S430" s="16" t="n"/>
      <c r="T430" s="125" t="n"/>
      <c r="U430" s="14" t="n"/>
      <c r="V430" s="16" t="n"/>
      <c r="W430" s="125" t="n"/>
      <c r="X430" s="14" t="n"/>
      <c r="Y430" s="16" t="n"/>
      <c r="Z430" s="125" t="n"/>
      <c r="AA430" s="14" t="n"/>
      <c r="AB430" s="16" t="n"/>
      <c r="AC430" s="125" t="n"/>
      <c r="AD430" s="14" t="n"/>
    </row>
    <row r="431">
      <c r="A431" s="58" t="n"/>
      <c r="B431" s="59" t="n"/>
      <c r="C431" s="59" t="n"/>
      <c r="E431" s="16" t="n"/>
      <c r="F431" s="13" t="n"/>
      <c r="G431" s="16" t="n"/>
      <c r="H431" s="125" t="n"/>
      <c r="I431" s="14" t="n"/>
      <c r="J431" s="16" t="n"/>
      <c r="K431" s="125" t="n"/>
      <c r="L431" s="14" t="n"/>
      <c r="M431" s="16" t="n"/>
      <c r="N431" s="125" t="n"/>
      <c r="O431" s="14" t="n"/>
      <c r="P431" s="16" t="n"/>
      <c r="Q431" s="125" t="n"/>
      <c r="R431" s="14" t="n"/>
      <c r="S431" s="16" t="n"/>
      <c r="T431" s="125" t="n"/>
      <c r="U431" s="14" t="n"/>
      <c r="V431" s="16" t="n"/>
      <c r="W431" s="125" t="n"/>
      <c r="X431" s="14" t="n"/>
      <c r="Y431" s="16" t="n"/>
      <c r="Z431" s="125" t="n"/>
      <c r="AA431" s="14" t="n"/>
      <c r="AB431" s="16" t="n"/>
      <c r="AC431" s="125" t="n"/>
      <c r="AD431" s="14" t="n"/>
    </row>
    <row r="432">
      <c r="A432" s="56" t="n"/>
      <c r="B432" s="59" t="n"/>
      <c r="C432" s="59" t="n"/>
      <c r="E432" s="16" t="n"/>
      <c r="F432" s="13" t="n"/>
      <c r="G432" s="16" t="n"/>
      <c r="H432" s="125" t="n"/>
      <c r="I432" s="14" t="n"/>
      <c r="J432" s="16" t="n"/>
      <c r="K432" s="125" t="n"/>
      <c r="L432" s="14" t="n"/>
      <c r="M432" s="16" t="n"/>
      <c r="N432" s="125" t="n"/>
      <c r="O432" s="14" t="n"/>
      <c r="P432" s="16" t="n"/>
      <c r="Q432" s="125" t="n"/>
      <c r="R432" s="14" t="n"/>
      <c r="S432" s="16" t="n"/>
      <c r="T432" s="125" t="n"/>
      <c r="U432" s="14" t="n"/>
      <c r="V432" s="16" t="n"/>
      <c r="W432" s="125" t="n"/>
      <c r="X432" s="14" t="n"/>
      <c r="Y432" s="16" t="n"/>
      <c r="Z432" s="125" t="n"/>
      <c r="AA432" s="14" t="n"/>
      <c r="AB432" s="16" t="n"/>
      <c r="AC432" s="125" t="n"/>
      <c r="AD432" s="14" t="n"/>
    </row>
    <row r="433">
      <c r="A433" s="58" t="n"/>
      <c r="B433" s="59" t="n"/>
      <c r="C433" s="59" t="n"/>
      <c r="E433" s="16" t="n"/>
      <c r="F433" s="13" t="n"/>
      <c r="G433" s="16" t="n"/>
      <c r="H433" s="125" t="n"/>
      <c r="I433" s="14" t="n"/>
      <c r="J433" s="16" t="n"/>
      <c r="K433" s="125" t="n"/>
      <c r="L433" s="14" t="n"/>
      <c r="M433" s="16" t="n"/>
      <c r="N433" s="125" t="n"/>
      <c r="O433" s="14" t="n"/>
      <c r="P433" s="16" t="n"/>
      <c r="Q433" s="125" t="n"/>
      <c r="R433" s="14" t="n"/>
      <c r="S433" s="16" t="n"/>
      <c r="T433" s="125" t="n"/>
      <c r="U433" s="14" t="n"/>
      <c r="V433" s="16" t="n"/>
      <c r="W433" s="125" t="n"/>
      <c r="X433" s="14" t="n"/>
      <c r="Y433" s="16" t="n"/>
      <c r="Z433" s="125" t="n"/>
      <c r="AA433" s="14" t="n"/>
      <c r="AB433" s="16" t="n"/>
      <c r="AC433" s="125" t="n"/>
      <c r="AD433" s="14" t="n"/>
    </row>
    <row r="434">
      <c r="A434" s="56" t="n"/>
      <c r="B434" s="59" t="n"/>
      <c r="C434" s="59" t="n"/>
      <c r="E434" s="16" t="n"/>
      <c r="F434" s="13" t="n"/>
      <c r="G434" s="16" t="n"/>
      <c r="H434" s="125" t="n"/>
      <c r="I434" s="14" t="n"/>
      <c r="J434" s="16" t="n"/>
      <c r="K434" s="125" t="n"/>
      <c r="L434" s="14" t="n"/>
      <c r="M434" s="16" t="n"/>
      <c r="N434" s="125" t="n"/>
      <c r="O434" s="14" t="n"/>
      <c r="P434" s="16" t="n"/>
      <c r="Q434" s="125" t="n"/>
      <c r="R434" s="14" t="n"/>
      <c r="S434" s="16" t="n"/>
      <c r="T434" s="125" t="n"/>
      <c r="U434" s="14" t="n"/>
      <c r="V434" s="16" t="n"/>
      <c r="W434" s="125" t="n"/>
      <c r="X434" s="14" t="n"/>
      <c r="Y434" s="16" t="n"/>
      <c r="Z434" s="125" t="n"/>
      <c r="AA434" s="14" t="n"/>
      <c r="AB434" s="16" t="n"/>
      <c r="AC434" s="125" t="n"/>
      <c r="AD434" s="14" t="n"/>
    </row>
    <row r="435">
      <c r="A435" s="58" t="n"/>
      <c r="B435" s="59" t="n"/>
      <c r="C435" s="59" t="n"/>
      <c r="E435" s="16" t="n"/>
      <c r="F435" s="13" t="n"/>
      <c r="G435" s="16" t="n"/>
      <c r="H435" s="125" t="n"/>
      <c r="I435" s="14" t="n"/>
      <c r="J435" s="16" t="n"/>
      <c r="K435" s="125" t="n"/>
      <c r="L435" s="14" t="n"/>
      <c r="M435" s="16" t="n"/>
      <c r="N435" s="125" t="n"/>
      <c r="O435" s="14" t="n"/>
      <c r="P435" s="16" t="n"/>
      <c r="Q435" s="125" t="n"/>
      <c r="R435" s="14" t="n"/>
      <c r="S435" s="16" t="n"/>
      <c r="T435" s="125" t="n"/>
      <c r="U435" s="14" t="n"/>
      <c r="V435" s="16" t="n"/>
      <c r="W435" s="125" t="n"/>
      <c r="X435" s="14" t="n"/>
      <c r="Y435" s="16" t="n"/>
      <c r="Z435" s="125" t="n"/>
      <c r="AA435" s="14" t="n"/>
      <c r="AB435" s="16" t="n"/>
      <c r="AC435" s="125" t="n"/>
      <c r="AD435" s="14" t="n"/>
    </row>
    <row r="436">
      <c r="A436" s="56" t="n"/>
      <c r="B436" s="59" t="n"/>
      <c r="C436" s="59" t="n"/>
      <c r="E436" s="16" t="n"/>
      <c r="F436" s="13" t="n"/>
      <c r="G436" s="16" t="n"/>
      <c r="H436" s="125" t="n"/>
      <c r="I436" s="14" t="n"/>
      <c r="J436" s="16" t="n"/>
      <c r="K436" s="125" t="n"/>
      <c r="L436" s="14" t="n"/>
      <c r="M436" s="16" t="n"/>
      <c r="N436" s="125" t="n"/>
      <c r="O436" s="14" t="n"/>
      <c r="P436" s="16" t="n"/>
      <c r="Q436" s="125" t="n"/>
      <c r="R436" s="14" t="n"/>
      <c r="S436" s="16" t="n"/>
      <c r="T436" s="125" t="n"/>
      <c r="U436" s="14" t="n"/>
      <c r="V436" s="16" t="n"/>
      <c r="W436" s="125" t="n"/>
      <c r="X436" s="14" t="n"/>
      <c r="Y436" s="16" t="n"/>
      <c r="Z436" s="125" t="n"/>
      <c r="AA436" s="14" t="n"/>
      <c r="AB436" s="16" t="n"/>
      <c r="AC436" s="125" t="n"/>
      <c r="AD436" s="14" t="n"/>
    </row>
    <row r="437">
      <c r="A437" s="58" t="n"/>
      <c r="B437" s="59" t="n"/>
      <c r="C437" s="59" t="n"/>
      <c r="E437" s="16" t="n"/>
      <c r="F437" s="13" t="n"/>
      <c r="G437" s="16" t="n"/>
      <c r="H437" s="125" t="n"/>
      <c r="I437" s="14" t="n"/>
      <c r="J437" s="16" t="n"/>
      <c r="K437" s="125" t="n"/>
      <c r="L437" s="14" t="n"/>
      <c r="M437" s="16" t="n"/>
      <c r="N437" s="125" t="n"/>
      <c r="O437" s="14" t="n"/>
      <c r="P437" s="16" t="n"/>
      <c r="Q437" s="125" t="n"/>
      <c r="R437" s="14" t="n"/>
      <c r="S437" s="16" t="n"/>
      <c r="T437" s="125" t="n"/>
      <c r="U437" s="14" t="n"/>
      <c r="V437" s="16" t="n"/>
      <c r="W437" s="125" t="n"/>
      <c r="X437" s="14" t="n"/>
      <c r="Y437" s="16" t="n"/>
      <c r="Z437" s="125" t="n"/>
      <c r="AA437" s="14" t="n"/>
      <c r="AB437" s="16" t="n"/>
      <c r="AC437" s="125" t="n"/>
      <c r="AD437" s="14" t="n"/>
    </row>
    <row r="438">
      <c r="A438" s="56" t="n"/>
      <c r="B438" s="59" t="n"/>
      <c r="C438" s="59" t="n"/>
      <c r="E438" s="16" t="n"/>
      <c r="F438" s="13" t="n"/>
      <c r="G438" s="16" t="n"/>
      <c r="H438" s="125" t="n"/>
      <c r="I438" s="14" t="n"/>
      <c r="J438" s="16" t="n"/>
      <c r="K438" s="125" t="n"/>
      <c r="L438" s="14" t="n"/>
      <c r="M438" s="16" t="n"/>
      <c r="N438" s="125" t="n"/>
      <c r="O438" s="14" t="n"/>
      <c r="P438" s="16" t="n"/>
      <c r="Q438" s="125" t="n"/>
      <c r="R438" s="14" t="n"/>
      <c r="S438" s="16" t="n"/>
      <c r="T438" s="125" t="n"/>
      <c r="U438" s="14" t="n"/>
      <c r="V438" s="16" t="n"/>
      <c r="W438" s="125" t="n"/>
      <c r="X438" s="14" t="n"/>
      <c r="Y438" s="16" t="n"/>
      <c r="Z438" s="125" t="n"/>
      <c r="AA438" s="14" t="n"/>
      <c r="AB438" s="16" t="n"/>
      <c r="AC438" s="125" t="n"/>
      <c r="AD438" s="14" t="n"/>
    </row>
    <row r="439">
      <c r="A439" s="58" t="n"/>
      <c r="B439" s="59" t="n"/>
      <c r="C439" s="59" t="n"/>
      <c r="E439" s="16" t="n"/>
      <c r="F439" s="13" t="n"/>
      <c r="G439" s="16" t="n"/>
      <c r="H439" s="125" t="n"/>
      <c r="I439" s="14" t="n"/>
      <c r="J439" s="16" t="n"/>
      <c r="K439" s="125" t="n"/>
      <c r="L439" s="14" t="n"/>
      <c r="M439" s="16" t="n"/>
      <c r="N439" s="125" t="n"/>
      <c r="O439" s="14" t="n"/>
      <c r="P439" s="16" t="n"/>
      <c r="Q439" s="125" t="n"/>
      <c r="R439" s="14" t="n"/>
      <c r="S439" s="16" t="n"/>
      <c r="T439" s="125" t="n"/>
      <c r="U439" s="14" t="n"/>
      <c r="V439" s="16" t="n"/>
      <c r="W439" s="125" t="n"/>
      <c r="X439" s="14" t="n"/>
      <c r="Y439" s="16" t="n"/>
      <c r="Z439" s="125" t="n"/>
      <c r="AA439" s="14" t="n"/>
      <c r="AB439" s="16" t="n"/>
      <c r="AC439" s="125" t="n"/>
      <c r="AD439" s="14" t="n"/>
    </row>
    <row r="440">
      <c r="A440" s="56" t="n"/>
      <c r="B440" s="59" t="n"/>
      <c r="C440" s="59" t="n"/>
      <c r="E440" s="16" t="n"/>
      <c r="F440" s="13" t="n"/>
      <c r="G440" s="16" t="n"/>
      <c r="H440" s="125" t="n"/>
      <c r="I440" s="14" t="n"/>
      <c r="J440" s="16" t="n"/>
      <c r="K440" s="125" t="n"/>
      <c r="L440" s="14" t="n"/>
      <c r="M440" s="16" t="n"/>
      <c r="N440" s="125" t="n"/>
      <c r="O440" s="14" t="n"/>
      <c r="P440" s="16" t="n"/>
      <c r="Q440" s="125" t="n"/>
      <c r="R440" s="14" t="n"/>
      <c r="S440" s="16" t="n"/>
      <c r="T440" s="125" t="n"/>
      <c r="U440" s="14" t="n"/>
      <c r="V440" s="16" t="n"/>
      <c r="W440" s="125" t="n"/>
      <c r="X440" s="14" t="n"/>
      <c r="Y440" s="16" t="n"/>
      <c r="Z440" s="125" t="n"/>
      <c r="AA440" s="14" t="n"/>
      <c r="AB440" s="16" t="n"/>
      <c r="AC440" s="125" t="n"/>
      <c r="AD440" s="14" t="n"/>
    </row>
    <row r="441">
      <c r="A441" s="58" t="n"/>
      <c r="B441" s="59" t="n"/>
      <c r="C441" s="59" t="n"/>
      <c r="E441" s="16" t="n"/>
      <c r="F441" s="13" t="n"/>
      <c r="G441" s="16" t="n"/>
      <c r="H441" s="125" t="n"/>
      <c r="I441" s="14" t="n"/>
      <c r="J441" s="16" t="n"/>
      <c r="K441" s="125" t="n"/>
      <c r="L441" s="14" t="n"/>
      <c r="M441" s="16" t="n"/>
      <c r="N441" s="125" t="n"/>
      <c r="O441" s="14" t="n"/>
      <c r="P441" s="16" t="n"/>
      <c r="Q441" s="125" t="n"/>
      <c r="R441" s="14" t="n"/>
      <c r="S441" s="16" t="n"/>
      <c r="T441" s="125" t="n"/>
      <c r="U441" s="14" t="n"/>
      <c r="V441" s="16" t="n"/>
      <c r="W441" s="125" t="n"/>
      <c r="X441" s="14" t="n"/>
      <c r="Y441" s="16" t="n"/>
      <c r="Z441" s="125" t="n"/>
      <c r="AA441" s="14" t="n"/>
      <c r="AB441" s="16" t="n"/>
      <c r="AC441" s="125" t="n"/>
      <c r="AD441" s="14" t="n"/>
    </row>
    <row r="442">
      <c r="A442" s="56" t="n"/>
      <c r="B442" s="59" t="n"/>
      <c r="C442" s="59" t="n"/>
      <c r="E442" s="16" t="n"/>
      <c r="F442" s="13" t="n"/>
      <c r="G442" s="16" t="n"/>
      <c r="H442" s="125" t="n"/>
      <c r="I442" s="14" t="n"/>
      <c r="J442" s="16" t="n"/>
      <c r="K442" s="125" t="n"/>
      <c r="L442" s="14" t="n"/>
      <c r="M442" s="16" t="n"/>
      <c r="N442" s="125" t="n"/>
      <c r="O442" s="14" t="n"/>
      <c r="P442" s="16" t="n"/>
      <c r="Q442" s="125" t="n"/>
      <c r="R442" s="14" t="n"/>
      <c r="S442" s="16" t="n"/>
      <c r="T442" s="125" t="n"/>
      <c r="U442" s="14" t="n"/>
      <c r="V442" s="16" t="n"/>
      <c r="W442" s="125" t="n"/>
      <c r="X442" s="14" t="n"/>
      <c r="Y442" s="16" t="n"/>
      <c r="Z442" s="125" t="n"/>
      <c r="AA442" s="14" t="n"/>
      <c r="AB442" s="16" t="n"/>
      <c r="AC442" s="125" t="n"/>
      <c r="AD442" s="14" t="n"/>
    </row>
    <row r="443">
      <c r="A443" s="58" t="n"/>
      <c r="B443" s="59" t="n"/>
      <c r="C443" s="59" t="n"/>
      <c r="E443" s="16" t="n"/>
      <c r="F443" s="13" t="n"/>
      <c r="G443" s="16" t="n"/>
      <c r="H443" s="125" t="n"/>
      <c r="I443" s="14" t="n"/>
      <c r="J443" s="16" t="n"/>
      <c r="K443" s="125" t="n"/>
      <c r="L443" s="14" t="n"/>
      <c r="M443" s="16" t="n"/>
      <c r="N443" s="125" t="n"/>
      <c r="O443" s="14" t="n"/>
      <c r="P443" s="16" t="n"/>
      <c r="Q443" s="125" t="n"/>
      <c r="R443" s="14" t="n"/>
      <c r="S443" s="16" t="n"/>
      <c r="T443" s="125" t="n"/>
      <c r="U443" s="14" t="n"/>
      <c r="V443" s="16" t="n"/>
      <c r="W443" s="125" t="n"/>
      <c r="X443" s="14" t="n"/>
      <c r="Y443" s="16" t="n"/>
      <c r="Z443" s="125" t="n"/>
      <c r="AA443" s="14" t="n"/>
      <c r="AB443" s="16" t="n"/>
      <c r="AC443" s="125" t="n"/>
      <c r="AD443" s="14" t="n"/>
    </row>
    <row r="444">
      <c r="A444" s="56" t="n"/>
      <c r="B444" s="59" t="n"/>
      <c r="C444" s="59" t="n"/>
      <c r="E444" s="16" t="n"/>
      <c r="F444" s="13" t="n"/>
      <c r="G444" s="16" t="n"/>
      <c r="H444" s="125" t="n"/>
      <c r="I444" s="14" t="n"/>
      <c r="J444" s="16" t="n"/>
      <c r="K444" s="125" t="n"/>
      <c r="L444" s="14" t="n"/>
      <c r="M444" s="16" t="n"/>
      <c r="N444" s="125" t="n"/>
      <c r="O444" s="14" t="n"/>
      <c r="P444" s="16" t="n"/>
      <c r="Q444" s="125" t="n"/>
      <c r="R444" s="14" t="n"/>
      <c r="S444" s="16" t="n"/>
      <c r="T444" s="125" t="n"/>
      <c r="U444" s="14" t="n"/>
      <c r="V444" s="16" t="n"/>
      <c r="W444" s="125" t="n"/>
      <c r="X444" s="14" t="n"/>
      <c r="Y444" s="16" t="n"/>
      <c r="Z444" s="125" t="n"/>
      <c r="AA444" s="14" t="n"/>
      <c r="AB444" s="16" t="n"/>
      <c r="AC444" s="125" t="n"/>
      <c r="AD444" s="14" t="n"/>
    </row>
    <row r="445">
      <c r="A445" s="58" t="n"/>
      <c r="B445" s="59" t="n"/>
      <c r="C445" s="59" t="n"/>
      <c r="E445" s="16" t="n"/>
      <c r="F445" s="13" t="n"/>
      <c r="G445" s="16" t="n"/>
      <c r="H445" s="125" t="n"/>
      <c r="I445" s="14" t="n"/>
      <c r="J445" s="16" t="n"/>
      <c r="K445" s="125" t="n"/>
      <c r="L445" s="14" t="n"/>
      <c r="M445" s="16" t="n"/>
      <c r="N445" s="125" t="n"/>
      <c r="O445" s="14" t="n"/>
      <c r="P445" s="16" t="n"/>
      <c r="Q445" s="125" t="n"/>
      <c r="R445" s="14" t="n"/>
      <c r="S445" s="16" t="n"/>
      <c r="T445" s="125" t="n"/>
      <c r="U445" s="14" t="n"/>
      <c r="V445" s="16" t="n"/>
      <c r="W445" s="125" t="n"/>
      <c r="X445" s="14" t="n"/>
      <c r="Y445" s="16" t="n"/>
      <c r="Z445" s="125" t="n"/>
      <c r="AA445" s="14" t="n"/>
      <c r="AB445" s="16" t="n"/>
      <c r="AC445" s="125" t="n"/>
      <c r="AD445" s="14" t="n"/>
    </row>
    <row r="446">
      <c r="A446" s="56" t="n"/>
      <c r="B446" s="59" t="n"/>
      <c r="C446" s="59" t="n"/>
      <c r="E446" s="16" t="n"/>
      <c r="F446" s="13" t="n"/>
      <c r="G446" s="16" t="n"/>
      <c r="H446" s="125" t="n"/>
      <c r="I446" s="14" t="n"/>
      <c r="J446" s="16" t="n"/>
      <c r="K446" s="125" t="n"/>
      <c r="L446" s="14" t="n"/>
      <c r="M446" s="16" t="n"/>
      <c r="N446" s="125" t="n"/>
      <c r="O446" s="14" t="n"/>
      <c r="P446" s="16" t="n"/>
      <c r="Q446" s="125" t="n"/>
      <c r="R446" s="14" t="n"/>
      <c r="S446" s="16" t="n"/>
      <c r="T446" s="125" t="n"/>
      <c r="U446" s="14" t="n"/>
      <c r="V446" s="16" t="n"/>
      <c r="W446" s="125" t="n"/>
      <c r="X446" s="14" t="n"/>
      <c r="Y446" s="16" t="n"/>
      <c r="Z446" s="125" t="n"/>
      <c r="AA446" s="14" t="n"/>
      <c r="AB446" s="16" t="n"/>
      <c r="AC446" s="125" t="n"/>
      <c r="AD446" s="14" t="n"/>
    </row>
    <row r="447">
      <c r="A447" s="58" t="n"/>
      <c r="B447" s="59" t="n"/>
      <c r="C447" s="59" t="n"/>
      <c r="E447" s="16" t="n"/>
      <c r="F447" s="13" t="n"/>
      <c r="G447" s="16" t="n"/>
      <c r="H447" s="125" t="n"/>
      <c r="I447" s="14" t="n"/>
      <c r="J447" s="16" t="n"/>
      <c r="K447" s="125" t="n"/>
      <c r="L447" s="14" t="n"/>
      <c r="M447" s="16" t="n"/>
      <c r="N447" s="125" t="n"/>
      <c r="O447" s="14" t="n"/>
      <c r="P447" s="16" t="n"/>
      <c r="Q447" s="125" t="n"/>
      <c r="R447" s="14" t="n"/>
      <c r="S447" s="16" t="n"/>
      <c r="T447" s="125" t="n"/>
      <c r="U447" s="14" t="n"/>
      <c r="V447" s="16" t="n"/>
      <c r="W447" s="125" t="n"/>
      <c r="X447" s="14" t="n"/>
      <c r="Y447" s="16" t="n"/>
      <c r="Z447" s="125" t="n"/>
      <c r="AA447" s="14" t="n"/>
      <c r="AB447" s="16" t="n"/>
      <c r="AC447" s="125" t="n"/>
      <c r="AD447" s="14" t="n"/>
    </row>
    <row r="448">
      <c r="A448" s="56" t="n"/>
      <c r="B448" s="59" t="n"/>
      <c r="C448" s="59" t="n"/>
      <c r="E448" s="16" t="n"/>
      <c r="F448" s="13" t="n"/>
      <c r="G448" s="16" t="n"/>
      <c r="H448" s="125" t="n"/>
      <c r="I448" s="14" t="n"/>
      <c r="J448" s="16" t="n"/>
      <c r="K448" s="125" t="n"/>
      <c r="L448" s="14" t="n"/>
      <c r="M448" s="16" t="n"/>
      <c r="N448" s="125" t="n"/>
      <c r="O448" s="14" t="n"/>
      <c r="P448" s="16" t="n"/>
      <c r="Q448" s="125" t="n"/>
      <c r="R448" s="14" t="n"/>
      <c r="S448" s="16" t="n"/>
      <c r="T448" s="125" t="n"/>
      <c r="U448" s="14" t="n"/>
      <c r="V448" s="16" t="n"/>
      <c r="W448" s="125" t="n"/>
      <c r="X448" s="14" t="n"/>
      <c r="Y448" s="16" t="n"/>
      <c r="Z448" s="125" t="n"/>
      <c r="AA448" s="14" t="n"/>
      <c r="AB448" s="16" t="n"/>
      <c r="AC448" s="125" t="n"/>
      <c r="AD448" s="14" t="n"/>
    </row>
    <row r="449">
      <c r="A449" s="58" t="n"/>
      <c r="B449" s="59" t="n"/>
      <c r="C449" s="59" t="n"/>
      <c r="E449" s="16" t="n"/>
      <c r="F449" s="13" t="n"/>
      <c r="G449" s="16" t="n"/>
      <c r="H449" s="125" t="n"/>
      <c r="I449" s="14" t="n"/>
      <c r="J449" s="16" t="n"/>
      <c r="K449" s="125" t="n"/>
      <c r="L449" s="14" t="n"/>
      <c r="M449" s="16" t="n"/>
      <c r="N449" s="125" t="n"/>
      <c r="O449" s="14" t="n"/>
      <c r="P449" s="16" t="n"/>
      <c r="Q449" s="125" t="n"/>
      <c r="R449" s="14" t="n"/>
      <c r="S449" s="16" t="n"/>
      <c r="T449" s="125" t="n"/>
      <c r="U449" s="14" t="n"/>
      <c r="V449" s="16" t="n"/>
      <c r="W449" s="125" t="n"/>
      <c r="X449" s="14" t="n"/>
      <c r="Y449" s="16" t="n"/>
      <c r="Z449" s="125" t="n"/>
      <c r="AA449" s="14" t="n"/>
      <c r="AB449" s="16" t="n"/>
      <c r="AC449" s="125" t="n"/>
      <c r="AD449" s="14" t="n"/>
    </row>
    <row r="450">
      <c r="A450" s="56" t="n"/>
      <c r="B450" s="59" t="n"/>
      <c r="C450" s="59" t="n"/>
      <c r="E450" s="16" t="n"/>
      <c r="F450" s="13" t="n"/>
      <c r="G450" s="16" t="n"/>
      <c r="H450" s="125" t="n"/>
      <c r="I450" s="14" t="n"/>
      <c r="J450" s="16" t="n"/>
      <c r="K450" s="125" t="n"/>
      <c r="L450" s="14" t="n"/>
      <c r="M450" s="16" t="n"/>
      <c r="N450" s="125" t="n"/>
      <c r="O450" s="14" t="n"/>
      <c r="P450" s="16" t="n"/>
      <c r="Q450" s="125" t="n"/>
      <c r="R450" s="14" t="n"/>
      <c r="S450" s="16" t="n"/>
      <c r="T450" s="125" t="n"/>
      <c r="U450" s="14" t="n"/>
      <c r="V450" s="16" t="n"/>
      <c r="W450" s="125" t="n"/>
      <c r="X450" s="14" t="n"/>
      <c r="Y450" s="16" t="n"/>
      <c r="Z450" s="125" t="n"/>
      <c r="AA450" s="14" t="n"/>
      <c r="AB450" s="16" t="n"/>
      <c r="AC450" s="125" t="n"/>
      <c r="AD450" s="14" t="n"/>
    </row>
    <row r="451">
      <c r="A451" s="58" t="n"/>
      <c r="B451" s="59" t="n"/>
      <c r="C451" s="59" t="n"/>
      <c r="E451" s="16" t="n"/>
      <c r="F451" s="13" t="n"/>
      <c r="G451" s="16" t="n"/>
      <c r="H451" s="125" t="n"/>
      <c r="I451" s="14" t="n"/>
      <c r="J451" s="16" t="n"/>
      <c r="K451" s="125" t="n"/>
      <c r="L451" s="14" t="n"/>
      <c r="M451" s="16" t="n"/>
      <c r="N451" s="125" t="n"/>
      <c r="O451" s="14" t="n"/>
      <c r="P451" s="16" t="n"/>
      <c r="Q451" s="125" t="n"/>
      <c r="R451" s="14" t="n"/>
      <c r="S451" s="16" t="n"/>
      <c r="T451" s="125" t="n"/>
      <c r="U451" s="14" t="n"/>
      <c r="V451" s="16" t="n"/>
      <c r="W451" s="125" t="n"/>
      <c r="X451" s="14" t="n"/>
      <c r="Y451" s="16" t="n"/>
      <c r="Z451" s="125" t="n"/>
      <c r="AA451" s="14" t="n"/>
      <c r="AB451" s="16" t="n"/>
      <c r="AC451" s="125" t="n"/>
      <c r="AD451" s="14" t="n"/>
    </row>
    <row r="452">
      <c r="A452" s="56" t="n"/>
      <c r="B452" s="59" t="n"/>
      <c r="C452" s="59" t="n"/>
      <c r="E452" s="16" t="n"/>
      <c r="F452" s="13" t="n"/>
      <c r="G452" s="16" t="n"/>
      <c r="H452" s="125" t="n"/>
      <c r="I452" s="14" t="n"/>
      <c r="J452" s="16" t="n"/>
      <c r="K452" s="125" t="n"/>
      <c r="L452" s="14" t="n"/>
      <c r="M452" s="16" t="n"/>
      <c r="N452" s="125" t="n"/>
      <c r="O452" s="14" t="n"/>
      <c r="P452" s="16" t="n"/>
      <c r="Q452" s="125" t="n"/>
      <c r="R452" s="14" t="n"/>
      <c r="S452" s="16" t="n"/>
      <c r="T452" s="125" t="n"/>
      <c r="U452" s="14" t="n"/>
      <c r="V452" s="16" t="n"/>
      <c r="W452" s="125" t="n"/>
      <c r="X452" s="14" t="n"/>
      <c r="Y452" s="16" t="n"/>
      <c r="Z452" s="125" t="n"/>
      <c r="AA452" s="14" t="n"/>
      <c r="AB452" s="16" t="n"/>
      <c r="AC452" s="125" t="n"/>
      <c r="AD452" s="14" t="n"/>
    </row>
    <row r="453">
      <c r="A453" s="58" t="n"/>
      <c r="B453" s="59" t="n"/>
      <c r="C453" s="59" t="n"/>
      <c r="E453" s="16" t="n"/>
      <c r="F453" s="13" t="n"/>
      <c r="G453" s="16" t="n"/>
      <c r="H453" s="125" t="n"/>
      <c r="I453" s="14" t="n"/>
      <c r="J453" s="16" t="n"/>
      <c r="K453" s="125" t="n"/>
      <c r="L453" s="14" t="n"/>
      <c r="M453" s="16" t="n"/>
      <c r="N453" s="125" t="n"/>
      <c r="O453" s="14" t="n"/>
      <c r="P453" s="16" t="n"/>
      <c r="Q453" s="125" t="n"/>
      <c r="R453" s="14" t="n"/>
      <c r="S453" s="16" t="n"/>
      <c r="T453" s="125" t="n"/>
      <c r="U453" s="14" t="n"/>
      <c r="V453" s="16" t="n"/>
      <c r="W453" s="125" t="n"/>
      <c r="X453" s="14" t="n"/>
      <c r="Y453" s="16" t="n"/>
      <c r="Z453" s="125" t="n"/>
      <c r="AA453" s="14" t="n"/>
      <c r="AB453" s="16" t="n"/>
      <c r="AC453" s="125" t="n"/>
      <c r="AD453" s="14" t="n"/>
    </row>
    <row r="454">
      <c r="A454" s="56" t="n"/>
      <c r="B454" s="59" t="n"/>
      <c r="C454" s="59" t="n"/>
      <c r="E454" s="16" t="n"/>
      <c r="F454" s="13" t="n"/>
      <c r="G454" s="16" t="n"/>
      <c r="H454" s="125" t="n"/>
      <c r="I454" s="14" t="n"/>
      <c r="J454" s="16" t="n"/>
      <c r="K454" s="125" t="n"/>
      <c r="L454" s="14" t="n"/>
      <c r="M454" s="16" t="n"/>
      <c r="N454" s="125" t="n"/>
      <c r="O454" s="14" t="n"/>
      <c r="P454" s="16" t="n"/>
      <c r="Q454" s="125" t="n"/>
      <c r="R454" s="14" t="n"/>
      <c r="S454" s="16" t="n"/>
      <c r="T454" s="125" t="n"/>
      <c r="U454" s="14" t="n"/>
      <c r="V454" s="16" t="n"/>
      <c r="W454" s="125" t="n"/>
      <c r="X454" s="14" t="n"/>
      <c r="Y454" s="16" t="n"/>
      <c r="Z454" s="125" t="n"/>
      <c r="AA454" s="14" t="n"/>
      <c r="AB454" s="16" t="n"/>
      <c r="AC454" s="125" t="n"/>
      <c r="AD454" s="14" t="n"/>
    </row>
    <row r="455">
      <c r="A455" s="58" t="n"/>
      <c r="B455" s="59" t="n"/>
      <c r="C455" s="59" t="n"/>
      <c r="E455" s="16" t="n"/>
      <c r="F455" s="13" t="n"/>
      <c r="G455" s="16" t="n"/>
      <c r="H455" s="125" t="n"/>
      <c r="I455" s="14" t="n"/>
      <c r="J455" s="16" t="n"/>
      <c r="K455" s="125" t="n"/>
      <c r="L455" s="14" t="n"/>
      <c r="M455" s="16" t="n"/>
      <c r="N455" s="125" t="n"/>
      <c r="O455" s="14" t="n"/>
      <c r="P455" s="16" t="n"/>
      <c r="Q455" s="125" t="n"/>
      <c r="R455" s="14" t="n"/>
      <c r="S455" s="16" t="n"/>
      <c r="T455" s="125" t="n"/>
      <c r="U455" s="14" t="n"/>
      <c r="V455" s="16" t="n"/>
      <c r="W455" s="125" t="n"/>
      <c r="X455" s="14" t="n"/>
      <c r="Y455" s="16" t="n"/>
      <c r="Z455" s="125" t="n"/>
      <c r="AA455" s="14" t="n"/>
      <c r="AB455" s="16" t="n"/>
      <c r="AC455" s="125" t="n"/>
      <c r="AD455" s="14" t="n"/>
    </row>
    <row r="456">
      <c r="A456" s="56" t="n"/>
      <c r="B456" s="59" t="n"/>
      <c r="C456" s="59" t="n"/>
      <c r="E456" s="16" t="n"/>
      <c r="F456" s="13" t="n"/>
      <c r="G456" s="16" t="n"/>
      <c r="H456" s="125" t="n"/>
      <c r="I456" s="14" t="n"/>
      <c r="J456" s="16" t="n"/>
      <c r="K456" s="125" t="n"/>
      <c r="L456" s="14" t="n"/>
      <c r="M456" s="16" t="n"/>
      <c r="N456" s="125" t="n"/>
      <c r="O456" s="14" t="n"/>
      <c r="P456" s="16" t="n"/>
      <c r="Q456" s="125" t="n"/>
      <c r="R456" s="14" t="n"/>
      <c r="S456" s="16" t="n"/>
      <c r="T456" s="125" t="n"/>
      <c r="U456" s="14" t="n"/>
      <c r="V456" s="16" t="n"/>
      <c r="W456" s="125" t="n"/>
      <c r="X456" s="14" t="n"/>
      <c r="Y456" s="16" t="n"/>
      <c r="Z456" s="125" t="n"/>
      <c r="AA456" s="14" t="n"/>
      <c r="AB456" s="16" t="n"/>
      <c r="AC456" s="125" t="n"/>
      <c r="AD456" s="14" t="n"/>
    </row>
    <row r="457">
      <c r="A457" s="58" t="n"/>
      <c r="B457" s="59" t="n"/>
      <c r="C457" s="59" t="n"/>
      <c r="E457" s="16" t="n"/>
      <c r="F457" s="13" t="n"/>
      <c r="G457" s="16" t="n"/>
      <c r="H457" s="125" t="n"/>
      <c r="I457" s="14" t="n"/>
      <c r="J457" s="16" t="n"/>
      <c r="K457" s="125" t="n"/>
      <c r="L457" s="14" t="n"/>
      <c r="M457" s="16" t="n"/>
      <c r="N457" s="125" t="n"/>
      <c r="O457" s="14" t="n"/>
      <c r="P457" s="16" t="n"/>
      <c r="Q457" s="125" t="n"/>
      <c r="R457" s="14" t="n"/>
      <c r="S457" s="16" t="n"/>
      <c r="T457" s="125" t="n"/>
      <c r="U457" s="14" t="n"/>
      <c r="V457" s="16" t="n"/>
      <c r="W457" s="125" t="n"/>
      <c r="X457" s="14" t="n"/>
      <c r="Y457" s="16" t="n"/>
      <c r="Z457" s="125" t="n"/>
      <c r="AA457" s="14" t="n"/>
      <c r="AB457" s="16" t="n"/>
      <c r="AC457" s="125" t="n"/>
      <c r="AD457" s="14" t="n"/>
    </row>
    <row r="458">
      <c r="A458" s="56" t="n"/>
      <c r="B458" s="59" t="n"/>
      <c r="C458" s="59" t="n"/>
      <c r="E458" s="16" t="n"/>
      <c r="F458" s="13" t="n"/>
      <c r="G458" s="16" t="n"/>
      <c r="H458" s="125" t="n"/>
      <c r="I458" s="14" t="n"/>
      <c r="J458" s="16" t="n"/>
      <c r="K458" s="125" t="n"/>
      <c r="L458" s="14" t="n"/>
      <c r="M458" s="16" t="n"/>
      <c r="N458" s="125" t="n"/>
      <c r="O458" s="14" t="n"/>
      <c r="P458" s="16" t="n"/>
      <c r="Q458" s="125" t="n"/>
      <c r="R458" s="14" t="n"/>
      <c r="S458" s="16" t="n"/>
      <c r="T458" s="125" t="n"/>
      <c r="U458" s="14" t="n"/>
      <c r="V458" s="16" t="n"/>
      <c r="W458" s="125" t="n"/>
      <c r="X458" s="14" t="n"/>
      <c r="Y458" s="16" t="n"/>
      <c r="Z458" s="125" t="n"/>
      <c r="AA458" s="14" t="n"/>
      <c r="AB458" s="16" t="n"/>
      <c r="AC458" s="125" t="n"/>
      <c r="AD458" s="14" t="n"/>
    </row>
    <row r="459">
      <c r="A459" s="58" t="n"/>
      <c r="B459" s="59" t="n"/>
      <c r="C459" s="59" t="n"/>
      <c r="E459" s="16" t="n"/>
      <c r="F459" s="13" t="n"/>
      <c r="G459" s="16" t="n"/>
      <c r="H459" s="125" t="n"/>
      <c r="I459" s="14" t="n"/>
      <c r="J459" s="16" t="n"/>
      <c r="K459" s="125" t="n"/>
      <c r="L459" s="14" t="n"/>
      <c r="M459" s="16" t="n"/>
      <c r="N459" s="125" t="n"/>
      <c r="O459" s="14" t="n"/>
      <c r="P459" s="16" t="n"/>
      <c r="Q459" s="125" t="n"/>
      <c r="R459" s="14" t="n"/>
      <c r="S459" s="16" t="n"/>
      <c r="T459" s="125" t="n"/>
      <c r="U459" s="14" t="n"/>
      <c r="V459" s="16" t="n"/>
      <c r="W459" s="125" t="n"/>
      <c r="X459" s="14" t="n"/>
      <c r="Y459" s="16" t="n"/>
      <c r="Z459" s="125" t="n"/>
      <c r="AA459" s="14" t="n"/>
      <c r="AB459" s="16" t="n"/>
      <c r="AC459" s="125" t="n"/>
      <c r="AD459" s="14" t="n"/>
    </row>
    <row r="460">
      <c r="A460" s="56" t="n"/>
      <c r="B460" s="59" t="n"/>
      <c r="C460" s="59" t="n"/>
      <c r="E460" s="16" t="n"/>
      <c r="F460" s="13" t="n"/>
      <c r="G460" s="16" t="n"/>
      <c r="H460" s="125" t="n"/>
      <c r="I460" s="14" t="n"/>
      <c r="J460" s="16" t="n"/>
      <c r="K460" s="125" t="n"/>
      <c r="L460" s="14" t="n"/>
      <c r="M460" s="16" t="n"/>
      <c r="N460" s="125" t="n"/>
      <c r="O460" s="14" t="n"/>
      <c r="P460" s="16" t="n"/>
      <c r="Q460" s="125" t="n"/>
      <c r="R460" s="14" t="n"/>
      <c r="S460" s="16" t="n"/>
      <c r="T460" s="125" t="n"/>
      <c r="U460" s="14" t="n"/>
      <c r="V460" s="16" t="n"/>
      <c r="W460" s="125" t="n"/>
      <c r="X460" s="14" t="n"/>
      <c r="Y460" s="16" t="n"/>
      <c r="Z460" s="125" t="n"/>
      <c r="AA460" s="14" t="n"/>
      <c r="AB460" s="16" t="n"/>
      <c r="AC460" s="125" t="n"/>
      <c r="AD460" s="14" t="n"/>
    </row>
    <row r="461">
      <c r="A461" s="58" t="n"/>
      <c r="B461" s="59" t="n"/>
      <c r="C461" s="59" t="n"/>
      <c r="E461" s="16" t="n"/>
      <c r="F461" s="13" t="n"/>
      <c r="G461" s="16" t="n"/>
      <c r="H461" s="125" t="n"/>
      <c r="I461" s="14" t="n"/>
      <c r="J461" s="16" t="n"/>
      <c r="K461" s="125" t="n"/>
      <c r="L461" s="14" t="n"/>
      <c r="M461" s="16" t="n"/>
      <c r="N461" s="125" t="n"/>
      <c r="O461" s="14" t="n"/>
      <c r="P461" s="16" t="n"/>
      <c r="Q461" s="125" t="n"/>
      <c r="R461" s="14" t="n"/>
      <c r="S461" s="16" t="n"/>
      <c r="T461" s="125" t="n"/>
      <c r="U461" s="14" t="n"/>
      <c r="V461" s="16" t="n"/>
      <c r="W461" s="125" t="n"/>
      <c r="X461" s="14" t="n"/>
      <c r="Y461" s="16" t="n"/>
      <c r="Z461" s="125" t="n"/>
      <c r="AA461" s="14" t="n"/>
      <c r="AB461" s="16" t="n"/>
      <c r="AC461" s="125" t="n"/>
      <c r="AD461" s="14" t="n"/>
    </row>
    <row r="462">
      <c r="A462" s="56" t="n"/>
      <c r="B462" s="59" t="n"/>
      <c r="C462" s="59" t="n"/>
      <c r="E462" s="16" t="n"/>
      <c r="F462" s="13" t="n"/>
      <c r="G462" s="16" t="n"/>
      <c r="H462" s="125" t="n"/>
      <c r="I462" s="14" t="n"/>
      <c r="J462" s="16" t="n"/>
      <c r="K462" s="125" t="n"/>
      <c r="L462" s="14" t="n"/>
      <c r="M462" s="16" t="n"/>
      <c r="N462" s="125" t="n"/>
      <c r="O462" s="14" t="n"/>
      <c r="P462" s="16" t="n"/>
      <c r="Q462" s="125" t="n"/>
      <c r="R462" s="14" t="n"/>
      <c r="S462" s="16" t="n"/>
      <c r="T462" s="125" t="n"/>
      <c r="U462" s="14" t="n"/>
      <c r="V462" s="16" t="n"/>
      <c r="W462" s="125" t="n"/>
      <c r="X462" s="14" t="n"/>
      <c r="Y462" s="16" t="n"/>
      <c r="Z462" s="125" t="n"/>
      <c r="AA462" s="14" t="n"/>
      <c r="AB462" s="16" t="n"/>
      <c r="AC462" s="125" t="n"/>
      <c r="AD462" s="14" t="n"/>
    </row>
    <row r="463">
      <c r="A463" s="58" t="n"/>
      <c r="B463" s="59" t="n"/>
      <c r="C463" s="59" t="n"/>
      <c r="E463" s="16" t="n"/>
      <c r="F463" s="13" t="n"/>
      <c r="G463" s="16" t="n"/>
      <c r="H463" s="125" t="n"/>
      <c r="I463" s="14" t="n"/>
      <c r="J463" s="16" t="n"/>
      <c r="K463" s="125" t="n"/>
      <c r="L463" s="14" t="n"/>
      <c r="M463" s="16" t="n"/>
      <c r="N463" s="125" t="n"/>
      <c r="O463" s="14" t="n"/>
      <c r="P463" s="16" t="n"/>
      <c r="Q463" s="125" t="n"/>
      <c r="R463" s="14" t="n"/>
      <c r="S463" s="16" t="n"/>
      <c r="T463" s="125" t="n"/>
      <c r="U463" s="14" t="n"/>
      <c r="V463" s="16" t="n"/>
      <c r="W463" s="125" t="n"/>
      <c r="X463" s="14" t="n"/>
      <c r="Y463" s="16" t="n"/>
      <c r="Z463" s="125" t="n"/>
      <c r="AA463" s="14" t="n"/>
      <c r="AB463" s="16" t="n"/>
      <c r="AC463" s="125" t="n"/>
      <c r="AD463" s="14" t="n"/>
    </row>
    <row r="464">
      <c r="A464" s="56" t="n"/>
      <c r="B464" s="59" t="n"/>
      <c r="C464" s="59" t="n"/>
      <c r="E464" s="16" t="n"/>
      <c r="F464" s="13" t="n"/>
      <c r="G464" s="16" t="n"/>
      <c r="H464" s="125" t="n"/>
      <c r="I464" s="14" t="n"/>
      <c r="J464" s="16" t="n"/>
      <c r="K464" s="125" t="n"/>
      <c r="L464" s="14" t="n"/>
      <c r="M464" s="16" t="n"/>
      <c r="N464" s="125" t="n"/>
      <c r="O464" s="14" t="n"/>
      <c r="P464" s="16" t="n"/>
      <c r="Q464" s="125" t="n"/>
      <c r="R464" s="14" t="n"/>
      <c r="S464" s="16" t="n"/>
      <c r="T464" s="125" t="n"/>
      <c r="U464" s="14" t="n"/>
      <c r="V464" s="16" t="n"/>
      <c r="W464" s="125" t="n"/>
      <c r="X464" s="14" t="n"/>
      <c r="Y464" s="16" t="n"/>
      <c r="Z464" s="125" t="n"/>
      <c r="AA464" s="14" t="n"/>
      <c r="AB464" s="16" t="n"/>
      <c r="AC464" s="125" t="n"/>
      <c r="AD464" s="14" t="n"/>
    </row>
    <row r="465">
      <c r="A465" s="58" t="n"/>
      <c r="B465" s="59" t="n"/>
      <c r="C465" s="59" t="n"/>
      <c r="E465" s="16" t="n"/>
      <c r="F465" s="13" t="n"/>
      <c r="G465" s="16" t="n"/>
      <c r="H465" s="125" t="n"/>
      <c r="I465" s="14" t="n"/>
      <c r="J465" s="16" t="n"/>
      <c r="K465" s="125" t="n"/>
      <c r="L465" s="14" t="n"/>
      <c r="M465" s="16" t="n"/>
      <c r="N465" s="125" t="n"/>
      <c r="O465" s="14" t="n"/>
      <c r="P465" s="16" t="n"/>
      <c r="Q465" s="125" t="n"/>
      <c r="R465" s="14" t="n"/>
      <c r="S465" s="16" t="n"/>
      <c r="T465" s="125" t="n"/>
      <c r="U465" s="14" t="n"/>
      <c r="V465" s="16" t="n"/>
      <c r="W465" s="125" t="n"/>
      <c r="X465" s="14" t="n"/>
      <c r="Y465" s="16" t="n"/>
      <c r="Z465" s="125" t="n"/>
      <c r="AA465" s="14" t="n"/>
      <c r="AB465" s="16" t="n"/>
      <c r="AC465" s="125" t="n"/>
      <c r="AD465" s="14" t="n"/>
    </row>
    <row r="466">
      <c r="A466" s="56" t="n"/>
      <c r="B466" s="59" t="n"/>
      <c r="C466" s="59" t="n"/>
      <c r="E466" s="16" t="n"/>
      <c r="F466" s="13" t="n"/>
      <c r="G466" s="16" t="n"/>
      <c r="H466" s="125" t="n"/>
      <c r="I466" s="14" t="n"/>
      <c r="J466" s="16" t="n"/>
      <c r="K466" s="125" t="n"/>
      <c r="L466" s="14" t="n"/>
      <c r="M466" s="16" t="n"/>
      <c r="N466" s="125" t="n"/>
      <c r="O466" s="14" t="n"/>
      <c r="P466" s="16" t="n"/>
      <c r="Q466" s="125" t="n"/>
      <c r="R466" s="14" t="n"/>
      <c r="S466" s="16" t="n"/>
      <c r="T466" s="125" t="n"/>
      <c r="U466" s="14" t="n"/>
      <c r="V466" s="16" t="n"/>
      <c r="W466" s="125" t="n"/>
      <c r="X466" s="14" t="n"/>
      <c r="Y466" s="16" t="n"/>
      <c r="Z466" s="125" t="n"/>
      <c r="AA466" s="14" t="n"/>
      <c r="AB466" s="16" t="n"/>
      <c r="AC466" s="125" t="n"/>
      <c r="AD466" s="14" t="n"/>
    </row>
    <row r="467">
      <c r="A467" s="58" t="n"/>
      <c r="B467" s="59" t="n"/>
      <c r="C467" s="59" t="n"/>
      <c r="E467" s="16" t="n"/>
      <c r="F467" s="13" t="n"/>
      <c r="G467" s="16" t="n"/>
      <c r="H467" s="125" t="n"/>
      <c r="I467" s="14" t="n"/>
      <c r="J467" s="16" t="n"/>
      <c r="K467" s="125" t="n"/>
      <c r="L467" s="14" t="n"/>
      <c r="M467" s="16" t="n"/>
      <c r="N467" s="125" t="n"/>
      <c r="O467" s="14" t="n"/>
      <c r="P467" s="16" t="n"/>
      <c r="Q467" s="125" t="n"/>
      <c r="R467" s="14" t="n"/>
      <c r="S467" s="16" t="n"/>
      <c r="T467" s="125" t="n"/>
      <c r="U467" s="14" t="n"/>
      <c r="V467" s="16" t="n"/>
      <c r="W467" s="125" t="n"/>
      <c r="X467" s="14" t="n"/>
      <c r="Y467" s="16" t="n"/>
      <c r="Z467" s="125" t="n"/>
      <c r="AA467" s="14" t="n"/>
      <c r="AB467" s="16" t="n"/>
      <c r="AC467" s="125" t="n"/>
      <c r="AD467" s="14" t="n"/>
    </row>
    <row r="468">
      <c r="A468" s="56" t="n"/>
      <c r="B468" s="59" t="n"/>
      <c r="C468" s="59" t="n"/>
      <c r="E468" s="16" t="n"/>
      <c r="F468" s="13" t="n"/>
      <c r="G468" s="16" t="n"/>
      <c r="H468" s="125" t="n"/>
      <c r="I468" s="14" t="n"/>
      <c r="J468" s="16" t="n"/>
      <c r="K468" s="125" t="n"/>
      <c r="L468" s="14" t="n"/>
      <c r="M468" s="16" t="n"/>
      <c r="N468" s="125" t="n"/>
      <c r="O468" s="14" t="n"/>
      <c r="P468" s="16" t="n"/>
      <c r="Q468" s="125" t="n"/>
      <c r="R468" s="14" t="n"/>
      <c r="S468" s="16" t="n"/>
      <c r="T468" s="125" t="n"/>
      <c r="U468" s="14" t="n"/>
      <c r="V468" s="16" t="n"/>
      <c r="W468" s="125" t="n"/>
      <c r="X468" s="14" t="n"/>
      <c r="Y468" s="16" t="n"/>
      <c r="Z468" s="125" t="n"/>
      <c r="AA468" s="14" t="n"/>
      <c r="AB468" s="16" t="n"/>
      <c r="AC468" s="125" t="n"/>
      <c r="AD468" s="14" t="n"/>
    </row>
    <row r="469">
      <c r="A469" s="58" t="n"/>
      <c r="B469" s="59" t="n"/>
      <c r="C469" s="59" t="n"/>
      <c r="E469" s="16" t="n"/>
      <c r="F469" s="13" t="n"/>
      <c r="G469" s="16" t="n"/>
      <c r="H469" s="125" t="n"/>
      <c r="I469" s="14" t="n"/>
      <c r="J469" s="16" t="n"/>
      <c r="K469" s="125" t="n"/>
      <c r="L469" s="14" t="n"/>
      <c r="M469" s="16" t="n"/>
      <c r="N469" s="125" t="n"/>
      <c r="O469" s="14" t="n"/>
      <c r="P469" s="16" t="n"/>
      <c r="Q469" s="125" t="n"/>
      <c r="R469" s="14" t="n"/>
      <c r="S469" s="16" t="n"/>
      <c r="T469" s="125" t="n"/>
      <c r="U469" s="14" t="n"/>
      <c r="V469" s="16" t="n"/>
      <c r="W469" s="125" t="n"/>
      <c r="X469" s="14" t="n"/>
      <c r="Y469" s="16" t="n"/>
      <c r="Z469" s="125" t="n"/>
      <c r="AA469" s="14" t="n"/>
      <c r="AB469" s="16" t="n"/>
      <c r="AC469" s="125" t="n"/>
      <c r="AD469" s="14" t="n"/>
    </row>
    <row r="470">
      <c r="A470" s="56" t="n"/>
      <c r="B470" s="59" t="n"/>
      <c r="C470" s="59" t="n"/>
      <c r="E470" s="16" t="n"/>
      <c r="F470" s="13" t="n"/>
      <c r="G470" s="16" t="n"/>
      <c r="H470" s="125" t="n"/>
      <c r="I470" s="14" t="n"/>
      <c r="J470" s="16" t="n"/>
      <c r="K470" s="125" t="n"/>
      <c r="L470" s="14" t="n"/>
      <c r="M470" s="16" t="n"/>
      <c r="N470" s="125" t="n"/>
      <c r="O470" s="14" t="n"/>
      <c r="P470" s="16" t="n"/>
      <c r="Q470" s="125" t="n"/>
      <c r="R470" s="14" t="n"/>
      <c r="S470" s="16" t="n"/>
      <c r="T470" s="125" t="n"/>
      <c r="U470" s="14" t="n"/>
      <c r="V470" s="16" t="n"/>
      <c r="W470" s="125" t="n"/>
      <c r="X470" s="14" t="n"/>
      <c r="Y470" s="16" t="n"/>
      <c r="Z470" s="125" t="n"/>
      <c r="AA470" s="14" t="n"/>
      <c r="AB470" s="16" t="n"/>
      <c r="AC470" s="125" t="n"/>
      <c r="AD470" s="14" t="n"/>
    </row>
    <row r="471">
      <c r="A471" s="58" t="n"/>
      <c r="B471" s="59" t="n"/>
      <c r="C471" s="59" t="n"/>
      <c r="E471" s="16" t="n"/>
      <c r="F471" s="13" t="n"/>
      <c r="G471" s="16" t="n"/>
      <c r="H471" s="125" t="n"/>
      <c r="I471" s="14" t="n"/>
      <c r="J471" s="16" t="n"/>
      <c r="K471" s="125" t="n"/>
      <c r="L471" s="14" t="n"/>
      <c r="M471" s="16" t="n"/>
      <c r="N471" s="125" t="n"/>
      <c r="O471" s="14" t="n"/>
      <c r="P471" s="16" t="n"/>
      <c r="Q471" s="125" t="n"/>
      <c r="R471" s="14" t="n"/>
      <c r="S471" s="16" t="n"/>
      <c r="T471" s="125" t="n"/>
      <c r="U471" s="14" t="n"/>
      <c r="V471" s="16" t="n"/>
      <c r="W471" s="125" t="n"/>
      <c r="X471" s="14" t="n"/>
      <c r="Y471" s="16" t="n"/>
      <c r="Z471" s="125" t="n"/>
      <c r="AA471" s="14" t="n"/>
      <c r="AB471" s="16" t="n"/>
      <c r="AC471" s="125" t="n"/>
      <c r="AD471" s="14" t="n"/>
    </row>
    <row r="472">
      <c r="A472" s="56" t="n"/>
      <c r="B472" s="59" t="n"/>
      <c r="C472" s="59" t="n"/>
      <c r="E472" s="16" t="n"/>
      <c r="F472" s="13" t="n"/>
      <c r="G472" s="16" t="n"/>
      <c r="H472" s="125" t="n"/>
      <c r="I472" s="14" t="n"/>
      <c r="J472" s="16" t="n"/>
      <c r="K472" s="125" t="n"/>
      <c r="L472" s="14" t="n"/>
      <c r="M472" s="16" t="n"/>
      <c r="N472" s="125" t="n"/>
      <c r="O472" s="14" t="n"/>
      <c r="P472" s="16" t="n"/>
      <c r="Q472" s="125" t="n"/>
      <c r="R472" s="14" t="n"/>
      <c r="S472" s="16" t="n"/>
      <c r="T472" s="125" t="n"/>
      <c r="U472" s="14" t="n"/>
      <c r="V472" s="16" t="n"/>
      <c r="W472" s="125" t="n"/>
      <c r="X472" s="14" t="n"/>
      <c r="Y472" s="16" t="n"/>
      <c r="Z472" s="125" t="n"/>
      <c r="AA472" s="14" t="n"/>
      <c r="AB472" s="16" t="n"/>
      <c r="AC472" s="125" t="n"/>
      <c r="AD472" s="14" t="n"/>
    </row>
    <row r="473">
      <c r="A473" s="58" t="n"/>
      <c r="B473" s="59" t="n"/>
      <c r="C473" s="59" t="n"/>
      <c r="E473" s="16" t="n"/>
      <c r="F473" s="13" t="n"/>
      <c r="G473" s="16" t="n"/>
      <c r="H473" s="125" t="n"/>
      <c r="I473" s="14" t="n"/>
      <c r="J473" s="16" t="n"/>
      <c r="K473" s="125" t="n"/>
      <c r="L473" s="14" t="n"/>
      <c r="M473" s="16" t="n"/>
      <c r="N473" s="125" t="n"/>
      <c r="O473" s="14" t="n"/>
      <c r="P473" s="16" t="n"/>
      <c r="Q473" s="125" t="n"/>
      <c r="R473" s="14" t="n"/>
      <c r="S473" s="16" t="n"/>
      <c r="T473" s="125" t="n"/>
      <c r="U473" s="14" t="n"/>
      <c r="V473" s="16" t="n"/>
      <c r="W473" s="125" t="n"/>
      <c r="X473" s="14" t="n"/>
      <c r="Y473" s="16" t="n"/>
      <c r="Z473" s="125" t="n"/>
      <c r="AA473" s="14" t="n"/>
      <c r="AB473" s="16" t="n"/>
      <c r="AC473" s="125" t="n"/>
      <c r="AD473" s="14" t="n"/>
    </row>
    <row r="474">
      <c r="A474" s="56" t="n"/>
      <c r="B474" s="59" t="n"/>
      <c r="C474" s="59" t="n"/>
      <c r="E474" s="16" t="n"/>
      <c r="F474" s="13" t="n"/>
      <c r="G474" s="16" t="n"/>
      <c r="H474" s="125" t="n"/>
      <c r="I474" s="14" t="n"/>
      <c r="J474" s="16" t="n"/>
      <c r="K474" s="125" t="n"/>
      <c r="L474" s="14" t="n"/>
      <c r="M474" s="16" t="n"/>
      <c r="N474" s="125" t="n"/>
      <c r="O474" s="14" t="n"/>
      <c r="P474" s="16" t="n"/>
      <c r="Q474" s="125" t="n"/>
      <c r="R474" s="14" t="n"/>
      <c r="S474" s="16" t="n"/>
      <c r="T474" s="125" t="n"/>
      <c r="U474" s="14" t="n"/>
      <c r="V474" s="16" t="n"/>
      <c r="W474" s="125" t="n"/>
      <c r="X474" s="14" t="n"/>
      <c r="Y474" s="16" t="n"/>
      <c r="Z474" s="125" t="n"/>
      <c r="AA474" s="14" t="n"/>
      <c r="AB474" s="16" t="n"/>
      <c r="AC474" s="125" t="n"/>
      <c r="AD474" s="14" t="n"/>
    </row>
    <row r="475">
      <c r="A475" s="58" t="n"/>
      <c r="B475" s="59" t="n"/>
      <c r="C475" s="59" t="n"/>
      <c r="E475" s="16" t="n"/>
      <c r="F475" s="13" t="n"/>
      <c r="G475" s="16" t="n"/>
      <c r="H475" s="125" t="n"/>
      <c r="I475" s="14" t="n"/>
      <c r="J475" s="16" t="n"/>
      <c r="K475" s="125" t="n"/>
      <c r="L475" s="14" t="n"/>
      <c r="M475" s="16" t="n"/>
      <c r="N475" s="125" t="n"/>
      <c r="O475" s="14" t="n"/>
      <c r="P475" s="16" t="n"/>
      <c r="Q475" s="125" t="n"/>
      <c r="R475" s="14" t="n"/>
      <c r="S475" s="16" t="n"/>
      <c r="T475" s="125" t="n"/>
      <c r="U475" s="14" t="n"/>
      <c r="V475" s="16" t="n"/>
      <c r="W475" s="125" t="n"/>
      <c r="X475" s="14" t="n"/>
      <c r="Y475" s="16" t="n"/>
      <c r="Z475" s="125" t="n"/>
      <c r="AA475" s="14" t="n"/>
      <c r="AB475" s="16" t="n"/>
      <c r="AC475" s="125" t="n"/>
      <c r="AD475" s="14" t="n"/>
    </row>
    <row r="476">
      <c r="A476" s="56" t="n"/>
      <c r="B476" s="59" t="n"/>
      <c r="C476" s="59" t="n"/>
      <c r="E476" s="16" t="n"/>
      <c r="F476" s="13" t="n"/>
      <c r="G476" s="16" t="n"/>
      <c r="H476" s="125" t="n"/>
      <c r="I476" s="14" t="n"/>
      <c r="J476" s="16" t="n"/>
      <c r="K476" s="125" t="n"/>
      <c r="L476" s="14" t="n"/>
      <c r="M476" s="16" t="n"/>
      <c r="N476" s="125" t="n"/>
      <c r="O476" s="14" t="n"/>
      <c r="P476" s="16" t="n"/>
      <c r="Q476" s="125" t="n"/>
      <c r="R476" s="14" t="n"/>
      <c r="S476" s="16" t="n"/>
      <c r="T476" s="125" t="n"/>
      <c r="U476" s="14" t="n"/>
      <c r="V476" s="16" t="n"/>
      <c r="W476" s="125" t="n"/>
      <c r="X476" s="14" t="n"/>
      <c r="Y476" s="16" t="n"/>
      <c r="Z476" s="125" t="n"/>
      <c r="AA476" s="14" t="n"/>
      <c r="AB476" s="16" t="n"/>
      <c r="AC476" s="125" t="n"/>
      <c r="AD476" s="14" t="n"/>
    </row>
    <row r="477">
      <c r="A477" s="58" t="n"/>
      <c r="B477" s="59" t="n"/>
      <c r="C477" s="59" t="n"/>
      <c r="E477" s="16" t="n"/>
      <c r="F477" s="13" t="n"/>
      <c r="G477" s="16" t="n"/>
      <c r="H477" s="125" t="n"/>
      <c r="I477" s="14" t="n"/>
      <c r="J477" s="16" t="n"/>
      <c r="K477" s="125" t="n"/>
      <c r="L477" s="14" t="n"/>
      <c r="M477" s="16" t="n"/>
      <c r="N477" s="125" t="n"/>
      <c r="O477" s="14" t="n"/>
      <c r="P477" s="16" t="n"/>
      <c r="Q477" s="125" t="n"/>
      <c r="R477" s="14" t="n"/>
      <c r="S477" s="16" t="n"/>
      <c r="T477" s="125" t="n"/>
      <c r="U477" s="14" t="n"/>
      <c r="V477" s="16" t="n"/>
      <c r="W477" s="125" t="n"/>
      <c r="X477" s="14" t="n"/>
      <c r="Y477" s="16" t="n"/>
      <c r="Z477" s="125" t="n"/>
      <c r="AA477" s="14" t="n"/>
      <c r="AB477" s="16" t="n"/>
      <c r="AC477" s="125" t="n"/>
      <c r="AD477" s="14" t="n"/>
    </row>
    <row r="478">
      <c r="A478" s="56" t="n"/>
      <c r="B478" s="59" t="n"/>
      <c r="C478" s="59" t="n"/>
      <c r="E478" s="16" t="n"/>
      <c r="F478" s="13" t="n"/>
      <c r="G478" s="16" t="n"/>
      <c r="H478" s="125" t="n"/>
      <c r="I478" s="14" t="n"/>
      <c r="J478" s="16" t="n"/>
      <c r="K478" s="125" t="n"/>
      <c r="L478" s="14" t="n"/>
      <c r="M478" s="16" t="n"/>
      <c r="N478" s="125" t="n"/>
      <c r="O478" s="14" t="n"/>
      <c r="P478" s="16" t="n"/>
      <c r="Q478" s="125" t="n"/>
      <c r="R478" s="14" t="n"/>
      <c r="S478" s="16" t="n"/>
      <c r="T478" s="125" t="n"/>
      <c r="U478" s="14" t="n"/>
      <c r="V478" s="16" t="n"/>
      <c r="W478" s="125" t="n"/>
      <c r="X478" s="14" t="n"/>
      <c r="Y478" s="16" t="n"/>
      <c r="Z478" s="125" t="n"/>
      <c r="AA478" s="14" t="n"/>
      <c r="AB478" s="16" t="n"/>
      <c r="AC478" s="125" t="n"/>
      <c r="AD478" s="14" t="n"/>
    </row>
    <row r="479">
      <c r="A479" s="58" t="n"/>
      <c r="B479" s="59" t="n"/>
      <c r="C479" s="59" t="n"/>
      <c r="E479" s="16" t="n"/>
      <c r="F479" s="13" t="n"/>
      <c r="G479" s="16" t="n"/>
      <c r="H479" s="125" t="n"/>
      <c r="I479" s="14" t="n"/>
      <c r="J479" s="16" t="n"/>
      <c r="K479" s="125" t="n"/>
      <c r="L479" s="14" t="n"/>
      <c r="M479" s="16" t="n"/>
      <c r="N479" s="125" t="n"/>
      <c r="O479" s="14" t="n"/>
      <c r="P479" s="16" t="n"/>
      <c r="Q479" s="125" t="n"/>
      <c r="R479" s="14" t="n"/>
      <c r="S479" s="16" t="n"/>
      <c r="T479" s="125" t="n"/>
      <c r="U479" s="14" t="n"/>
      <c r="V479" s="16" t="n"/>
      <c r="W479" s="125" t="n"/>
      <c r="X479" s="14" t="n"/>
      <c r="Y479" s="16" t="n"/>
      <c r="Z479" s="125" t="n"/>
      <c r="AA479" s="14" t="n"/>
      <c r="AB479" s="16" t="n"/>
      <c r="AC479" s="125" t="n"/>
      <c r="AD479" s="14" t="n"/>
    </row>
    <row r="480">
      <c r="A480" s="56" t="n"/>
      <c r="B480" s="59" t="n"/>
      <c r="C480" s="59" t="n"/>
      <c r="E480" s="16" t="n"/>
      <c r="F480" s="13" t="n"/>
      <c r="G480" s="16" t="n"/>
      <c r="H480" s="125" t="n"/>
      <c r="I480" s="14" t="n"/>
      <c r="J480" s="16" t="n"/>
      <c r="K480" s="125" t="n"/>
      <c r="L480" s="14" t="n"/>
      <c r="M480" s="16" t="n"/>
      <c r="N480" s="125" t="n"/>
      <c r="O480" s="14" t="n"/>
      <c r="P480" s="16" t="n"/>
      <c r="Q480" s="125" t="n"/>
      <c r="R480" s="14" t="n"/>
      <c r="S480" s="16" t="n"/>
      <c r="T480" s="125" t="n"/>
      <c r="U480" s="14" t="n"/>
      <c r="V480" s="16" t="n"/>
      <c r="W480" s="125" t="n"/>
      <c r="X480" s="14" t="n"/>
      <c r="Y480" s="16" t="n"/>
      <c r="Z480" s="125" t="n"/>
      <c r="AA480" s="14" t="n"/>
      <c r="AB480" s="16" t="n"/>
      <c r="AC480" s="125" t="n"/>
      <c r="AD480" s="14" t="n"/>
    </row>
    <row r="481">
      <c r="A481" s="58" t="n"/>
      <c r="B481" s="59" t="n"/>
      <c r="C481" s="59" t="n"/>
      <c r="E481" s="16" t="n"/>
      <c r="F481" s="13" t="n"/>
      <c r="G481" s="16" t="n"/>
      <c r="H481" s="125" t="n"/>
      <c r="I481" s="14" t="n"/>
      <c r="J481" s="16" t="n"/>
      <c r="K481" s="125" t="n"/>
      <c r="L481" s="14" t="n"/>
      <c r="M481" s="16" t="n"/>
      <c r="N481" s="125" t="n"/>
      <c r="O481" s="14" t="n"/>
      <c r="P481" s="16" t="n"/>
      <c r="Q481" s="125" t="n"/>
      <c r="R481" s="14" t="n"/>
      <c r="S481" s="16" t="n"/>
      <c r="T481" s="125" t="n"/>
      <c r="U481" s="14" t="n"/>
      <c r="V481" s="16" t="n"/>
      <c r="W481" s="125" t="n"/>
      <c r="X481" s="14" t="n"/>
      <c r="Y481" s="16" t="n"/>
      <c r="Z481" s="125" t="n"/>
      <c r="AA481" s="14" t="n"/>
      <c r="AB481" s="16" t="n"/>
      <c r="AC481" s="125" t="n"/>
      <c r="AD481" s="14" t="n"/>
    </row>
    <row r="482">
      <c r="A482" s="56" t="n"/>
      <c r="B482" s="59" t="n"/>
      <c r="C482" s="59" t="n"/>
      <c r="E482" s="16" t="n"/>
      <c r="F482" s="13" t="n"/>
      <c r="G482" s="16" t="n"/>
      <c r="H482" s="125" t="n"/>
      <c r="I482" s="14" t="n"/>
      <c r="J482" s="16" t="n"/>
      <c r="K482" s="125" t="n"/>
      <c r="L482" s="14" t="n"/>
      <c r="M482" s="16" t="n"/>
      <c r="N482" s="125" t="n"/>
      <c r="O482" s="14" t="n"/>
      <c r="P482" s="16" t="n"/>
      <c r="Q482" s="125" t="n"/>
      <c r="R482" s="14" t="n"/>
      <c r="S482" s="16" t="n"/>
      <c r="T482" s="125" t="n"/>
      <c r="U482" s="14" t="n"/>
      <c r="V482" s="16" t="n"/>
      <c r="W482" s="125" t="n"/>
      <c r="X482" s="14" t="n"/>
      <c r="Y482" s="16" t="n"/>
      <c r="Z482" s="125" t="n"/>
      <c r="AA482" s="14" t="n"/>
      <c r="AB482" s="16" t="n"/>
      <c r="AC482" s="125" t="n"/>
      <c r="AD482" s="14" t="n"/>
    </row>
    <row r="483">
      <c r="A483" s="58" t="n"/>
      <c r="B483" s="59" t="n"/>
      <c r="C483" s="59" t="n"/>
      <c r="E483" s="16" t="n"/>
      <c r="F483" s="13" t="n"/>
      <c r="G483" s="16" t="n"/>
      <c r="H483" s="125" t="n"/>
      <c r="I483" s="14" t="n"/>
      <c r="J483" s="16" t="n"/>
      <c r="K483" s="125" t="n"/>
      <c r="L483" s="14" t="n"/>
      <c r="M483" s="16" t="n"/>
      <c r="N483" s="125" t="n"/>
      <c r="O483" s="14" t="n"/>
      <c r="P483" s="16" t="n"/>
      <c r="Q483" s="125" t="n"/>
      <c r="R483" s="14" t="n"/>
      <c r="S483" s="16" t="n"/>
      <c r="T483" s="125" t="n"/>
      <c r="U483" s="14" t="n"/>
      <c r="V483" s="16" t="n"/>
      <c r="W483" s="125" t="n"/>
      <c r="X483" s="14" t="n"/>
      <c r="Y483" s="16" t="n"/>
      <c r="Z483" s="125" t="n"/>
      <c r="AA483" s="14" t="n"/>
      <c r="AB483" s="16" t="n"/>
      <c r="AC483" s="125" t="n"/>
      <c r="AD483" s="14" t="n"/>
    </row>
    <row r="484">
      <c r="A484" s="56" t="n"/>
      <c r="B484" s="59" t="n"/>
      <c r="C484" s="59" t="n"/>
      <c r="E484" s="16" t="n"/>
      <c r="F484" s="13" t="n"/>
      <c r="G484" s="16" t="n"/>
      <c r="H484" s="125" t="n"/>
      <c r="I484" s="14" t="n"/>
      <c r="J484" s="16" t="n"/>
      <c r="K484" s="125" t="n"/>
      <c r="L484" s="14" t="n"/>
      <c r="M484" s="16" t="n"/>
      <c r="N484" s="125" t="n"/>
      <c r="O484" s="14" t="n"/>
      <c r="P484" s="16" t="n"/>
      <c r="Q484" s="125" t="n"/>
      <c r="R484" s="14" t="n"/>
      <c r="S484" s="16" t="n"/>
      <c r="T484" s="125" t="n"/>
      <c r="U484" s="14" t="n"/>
      <c r="V484" s="16" t="n"/>
      <c r="W484" s="125" t="n"/>
      <c r="X484" s="14" t="n"/>
      <c r="Y484" s="16" t="n"/>
      <c r="Z484" s="125" t="n"/>
      <c r="AA484" s="14" t="n"/>
      <c r="AB484" s="16" t="n"/>
      <c r="AC484" s="125" t="n"/>
      <c r="AD484" s="14" t="n"/>
    </row>
    <row r="485">
      <c r="A485" s="58" t="n"/>
      <c r="B485" s="59" t="n"/>
      <c r="C485" s="59" t="n"/>
      <c r="E485" s="16" t="n"/>
      <c r="F485" s="13" t="n"/>
      <c r="G485" s="16" t="n"/>
      <c r="H485" s="125" t="n"/>
      <c r="I485" s="14" t="n"/>
      <c r="J485" s="16" t="n"/>
      <c r="K485" s="125" t="n"/>
      <c r="L485" s="14" t="n"/>
      <c r="M485" s="16" t="n"/>
      <c r="N485" s="125" t="n"/>
      <c r="O485" s="14" t="n"/>
      <c r="P485" s="16" t="n"/>
      <c r="Q485" s="125" t="n"/>
      <c r="R485" s="14" t="n"/>
      <c r="S485" s="16" t="n"/>
      <c r="T485" s="125" t="n"/>
      <c r="U485" s="14" t="n"/>
      <c r="V485" s="16" t="n"/>
      <c r="W485" s="125" t="n"/>
      <c r="X485" s="14" t="n"/>
      <c r="Y485" s="16" t="n"/>
      <c r="Z485" s="125" t="n"/>
      <c r="AA485" s="14" t="n"/>
      <c r="AB485" s="16" t="n"/>
      <c r="AC485" s="125" t="n"/>
      <c r="AD485" s="14" t="n"/>
    </row>
    <row r="486">
      <c r="A486" s="56" t="n"/>
      <c r="B486" s="59" t="n"/>
      <c r="C486" s="59" t="n"/>
      <c r="E486" s="16" t="n"/>
      <c r="F486" s="13" t="n"/>
      <c r="G486" s="16" t="n"/>
      <c r="H486" s="125" t="n"/>
      <c r="I486" s="14" t="n"/>
      <c r="J486" s="16" t="n"/>
      <c r="K486" s="125" t="n"/>
      <c r="L486" s="14" t="n"/>
      <c r="M486" s="16" t="n"/>
      <c r="N486" s="125" t="n"/>
      <c r="O486" s="14" t="n"/>
      <c r="P486" s="16" t="n"/>
      <c r="Q486" s="125" t="n"/>
      <c r="R486" s="14" t="n"/>
      <c r="S486" s="16" t="n"/>
      <c r="T486" s="125" t="n"/>
      <c r="U486" s="14" t="n"/>
      <c r="V486" s="16" t="n"/>
      <c r="W486" s="125" t="n"/>
      <c r="X486" s="14" t="n"/>
      <c r="Y486" s="16" t="n"/>
      <c r="Z486" s="125" t="n"/>
      <c r="AA486" s="14" t="n"/>
      <c r="AB486" s="16" t="n"/>
      <c r="AC486" s="125" t="n"/>
      <c r="AD486" s="14" t="n"/>
    </row>
    <row r="487">
      <c r="A487" s="58" t="n"/>
      <c r="B487" s="59" t="n"/>
      <c r="C487" s="59" t="n"/>
      <c r="E487" s="16" t="n"/>
      <c r="F487" s="13" t="n"/>
      <c r="G487" s="16" t="n"/>
      <c r="H487" s="125" t="n"/>
      <c r="I487" s="14" t="n"/>
      <c r="J487" s="16" t="n"/>
      <c r="K487" s="125" t="n"/>
      <c r="L487" s="14" t="n"/>
      <c r="M487" s="16" t="n"/>
      <c r="N487" s="125" t="n"/>
      <c r="O487" s="14" t="n"/>
      <c r="P487" s="16" t="n"/>
      <c r="Q487" s="125" t="n"/>
      <c r="R487" s="14" t="n"/>
      <c r="S487" s="16" t="n"/>
      <c r="T487" s="125" t="n"/>
      <c r="U487" s="14" t="n"/>
      <c r="V487" s="16" t="n"/>
      <c r="W487" s="125" t="n"/>
      <c r="X487" s="14" t="n"/>
      <c r="Y487" s="16" t="n"/>
      <c r="Z487" s="125" t="n"/>
      <c r="AA487" s="14" t="n"/>
      <c r="AB487" s="16" t="n"/>
      <c r="AC487" s="125" t="n"/>
      <c r="AD487" s="14" t="n"/>
    </row>
    <row r="488">
      <c r="A488" s="56" t="n"/>
      <c r="B488" s="59" t="n"/>
      <c r="C488" s="59" t="n"/>
      <c r="E488" s="16" t="n"/>
      <c r="F488" s="13" t="n"/>
      <c r="G488" s="16" t="n"/>
      <c r="H488" s="125" t="n"/>
      <c r="I488" s="14" t="n"/>
      <c r="J488" s="16" t="n"/>
      <c r="K488" s="125" t="n"/>
      <c r="L488" s="14" t="n"/>
      <c r="M488" s="16" t="n"/>
      <c r="N488" s="125" t="n"/>
      <c r="O488" s="14" t="n"/>
      <c r="P488" s="16" t="n"/>
      <c r="Q488" s="125" t="n"/>
      <c r="R488" s="14" t="n"/>
      <c r="S488" s="16" t="n"/>
      <c r="T488" s="125" t="n"/>
      <c r="U488" s="14" t="n"/>
      <c r="V488" s="16" t="n"/>
      <c r="W488" s="125" t="n"/>
      <c r="X488" s="14" t="n"/>
      <c r="Y488" s="16" t="n"/>
      <c r="Z488" s="125" t="n"/>
      <c r="AA488" s="14" t="n"/>
      <c r="AB488" s="16" t="n"/>
      <c r="AC488" s="125" t="n"/>
      <c r="AD488" s="14" t="n"/>
    </row>
    <row r="489">
      <c r="A489" s="58" t="n"/>
      <c r="B489" s="59" t="n"/>
      <c r="C489" s="59" t="n"/>
      <c r="E489" s="16" t="n"/>
      <c r="F489" s="13" t="n"/>
      <c r="G489" s="16" t="n"/>
      <c r="H489" s="125" t="n"/>
      <c r="I489" s="14" t="n"/>
      <c r="J489" s="16" t="n"/>
      <c r="K489" s="125" t="n"/>
      <c r="L489" s="14" t="n"/>
      <c r="M489" s="16" t="n"/>
      <c r="N489" s="125" t="n"/>
      <c r="O489" s="14" t="n"/>
      <c r="P489" s="16" t="n"/>
      <c r="Q489" s="125" t="n"/>
      <c r="R489" s="14" t="n"/>
      <c r="S489" s="16" t="n"/>
      <c r="T489" s="125" t="n"/>
      <c r="U489" s="14" t="n"/>
      <c r="V489" s="16" t="n"/>
      <c r="W489" s="125" t="n"/>
      <c r="X489" s="14" t="n"/>
      <c r="Y489" s="16" t="n"/>
      <c r="Z489" s="125" t="n"/>
      <c r="AA489" s="14" t="n"/>
      <c r="AB489" s="16" t="n"/>
      <c r="AC489" s="125" t="n"/>
      <c r="AD489" s="14" t="n"/>
    </row>
    <row r="490">
      <c r="A490" s="56" t="n"/>
      <c r="B490" s="59" t="n"/>
      <c r="C490" s="59" t="n"/>
      <c r="E490" s="16" t="n"/>
      <c r="F490" s="13" t="n"/>
      <c r="G490" s="16" t="n"/>
      <c r="H490" s="125" t="n"/>
      <c r="I490" s="14" t="n"/>
      <c r="J490" s="16" t="n"/>
      <c r="K490" s="125" t="n"/>
      <c r="L490" s="14" t="n"/>
      <c r="M490" s="16" t="n"/>
      <c r="N490" s="125" t="n"/>
      <c r="O490" s="14" t="n"/>
      <c r="P490" s="16" t="n"/>
      <c r="Q490" s="125" t="n"/>
      <c r="R490" s="14" t="n"/>
      <c r="S490" s="16" t="n"/>
      <c r="T490" s="125" t="n"/>
      <c r="U490" s="14" t="n"/>
      <c r="V490" s="16" t="n"/>
      <c r="W490" s="125" t="n"/>
      <c r="X490" s="14" t="n"/>
      <c r="Y490" s="16" t="n"/>
      <c r="Z490" s="125" t="n"/>
      <c r="AA490" s="14" t="n"/>
      <c r="AB490" s="16" t="n"/>
      <c r="AC490" s="125" t="n"/>
      <c r="AD490" s="14" t="n"/>
    </row>
    <row r="491">
      <c r="A491" s="58" t="n"/>
      <c r="B491" s="59" t="n"/>
      <c r="C491" s="59" t="n"/>
      <c r="E491" s="16" t="n"/>
      <c r="F491" s="13" t="n"/>
      <c r="G491" s="16" t="n"/>
      <c r="H491" s="125" t="n"/>
      <c r="I491" s="14" t="n"/>
      <c r="J491" s="16" t="n"/>
      <c r="K491" s="125" t="n"/>
      <c r="L491" s="14" t="n"/>
      <c r="M491" s="16" t="n"/>
      <c r="N491" s="125" t="n"/>
      <c r="O491" s="14" t="n"/>
      <c r="P491" s="16" t="n"/>
      <c r="Q491" s="125" t="n"/>
      <c r="R491" s="14" t="n"/>
      <c r="S491" s="16" t="n"/>
      <c r="T491" s="125" t="n"/>
      <c r="U491" s="14" t="n"/>
      <c r="V491" s="16" t="n"/>
      <c r="W491" s="125" t="n"/>
      <c r="X491" s="14" t="n"/>
      <c r="Y491" s="16" t="n"/>
      <c r="Z491" s="125" t="n"/>
      <c r="AA491" s="14" t="n"/>
      <c r="AB491" s="16" t="n"/>
      <c r="AC491" s="125" t="n"/>
      <c r="AD491" s="14" t="n"/>
    </row>
    <row r="492">
      <c r="A492" s="56" t="n"/>
      <c r="B492" s="59" t="n"/>
      <c r="C492" s="59" t="n"/>
      <c r="E492" s="16" t="n"/>
      <c r="F492" s="13" t="n"/>
      <c r="G492" s="16" t="n"/>
      <c r="H492" s="125" t="n"/>
      <c r="I492" s="14" t="n"/>
      <c r="J492" s="16" t="n"/>
      <c r="K492" s="125" t="n"/>
      <c r="L492" s="14" t="n"/>
      <c r="M492" s="16" t="n"/>
      <c r="N492" s="125" t="n"/>
      <c r="O492" s="14" t="n"/>
      <c r="P492" s="16" t="n"/>
      <c r="Q492" s="125" t="n"/>
      <c r="R492" s="14" t="n"/>
      <c r="S492" s="16" t="n"/>
      <c r="T492" s="125" t="n"/>
      <c r="U492" s="14" t="n"/>
      <c r="V492" s="16" t="n"/>
      <c r="W492" s="125" t="n"/>
      <c r="X492" s="14" t="n"/>
      <c r="Y492" s="16" t="n"/>
      <c r="Z492" s="125" t="n"/>
      <c r="AA492" s="14" t="n"/>
      <c r="AB492" s="16" t="n"/>
      <c r="AC492" s="125" t="n"/>
      <c r="AD492" s="14" t="n"/>
    </row>
    <row r="493">
      <c r="A493" s="58" t="n"/>
      <c r="B493" s="59" t="n"/>
      <c r="C493" s="59" t="n"/>
      <c r="E493" s="16" t="n"/>
      <c r="F493" s="13" t="n"/>
      <c r="G493" s="16" t="n"/>
      <c r="H493" s="125" t="n"/>
      <c r="I493" s="14" t="n"/>
      <c r="J493" s="16" t="n"/>
      <c r="K493" s="125" t="n"/>
      <c r="L493" s="14" t="n"/>
      <c r="M493" s="16" t="n"/>
      <c r="N493" s="125" t="n"/>
      <c r="O493" s="14" t="n"/>
      <c r="P493" s="16" t="n"/>
      <c r="Q493" s="125" t="n"/>
      <c r="R493" s="14" t="n"/>
      <c r="S493" s="16" t="n"/>
      <c r="T493" s="125" t="n"/>
      <c r="U493" s="14" t="n"/>
      <c r="V493" s="16" t="n"/>
      <c r="W493" s="125" t="n"/>
      <c r="X493" s="14" t="n"/>
      <c r="Y493" s="16" t="n"/>
      <c r="Z493" s="125" t="n"/>
      <c r="AA493" s="14" t="n"/>
      <c r="AB493" s="16" t="n"/>
      <c r="AC493" s="125" t="n"/>
      <c r="AD493" s="14" t="n"/>
    </row>
    <row r="494">
      <c r="A494" s="56" t="n"/>
      <c r="B494" s="59" t="n"/>
      <c r="C494" s="59" t="n"/>
      <c r="E494" s="16" t="n"/>
      <c r="F494" s="13" t="n"/>
      <c r="G494" s="16" t="n"/>
      <c r="H494" s="125" t="n"/>
      <c r="I494" s="14" t="n"/>
      <c r="J494" s="16" t="n"/>
      <c r="K494" s="125" t="n"/>
      <c r="L494" s="14" t="n"/>
      <c r="M494" s="16" t="n"/>
      <c r="N494" s="125" t="n"/>
      <c r="O494" s="14" t="n"/>
      <c r="P494" s="16" t="n"/>
      <c r="Q494" s="125" t="n"/>
      <c r="R494" s="14" t="n"/>
      <c r="S494" s="16" t="n"/>
      <c r="T494" s="125" t="n"/>
      <c r="U494" s="14" t="n"/>
      <c r="V494" s="16" t="n"/>
      <c r="W494" s="125" t="n"/>
      <c r="X494" s="14" t="n"/>
      <c r="Y494" s="16" t="n"/>
      <c r="Z494" s="125" t="n"/>
      <c r="AA494" s="14" t="n"/>
      <c r="AB494" s="16" t="n"/>
      <c r="AC494" s="125" t="n"/>
      <c r="AD494" s="14" t="n"/>
    </row>
    <row r="495">
      <c r="A495" s="58" t="n"/>
      <c r="B495" s="59" t="n"/>
      <c r="C495" s="59" t="n"/>
      <c r="E495" s="16" t="n"/>
      <c r="F495" s="13" t="n"/>
      <c r="G495" s="16" t="n"/>
      <c r="H495" s="125" t="n"/>
      <c r="I495" s="14" t="n"/>
      <c r="J495" s="16" t="n"/>
      <c r="K495" s="125" t="n"/>
      <c r="L495" s="14" t="n"/>
      <c r="M495" s="16" t="n"/>
      <c r="N495" s="125" t="n"/>
      <c r="O495" s="14" t="n"/>
      <c r="P495" s="16" t="n"/>
      <c r="Q495" s="125" t="n"/>
      <c r="R495" s="14" t="n"/>
      <c r="S495" s="16" t="n"/>
      <c r="T495" s="125" t="n"/>
      <c r="U495" s="14" t="n"/>
      <c r="V495" s="16" t="n"/>
      <c r="W495" s="125" t="n"/>
      <c r="X495" s="14" t="n"/>
      <c r="Y495" s="16" t="n"/>
      <c r="Z495" s="125" t="n"/>
      <c r="AA495" s="14" t="n"/>
      <c r="AB495" s="16" t="n"/>
      <c r="AC495" s="125" t="n"/>
      <c r="AD495" s="14" t="n"/>
    </row>
    <row r="496">
      <c r="A496" s="56" t="n"/>
      <c r="B496" s="59" t="n"/>
      <c r="C496" s="59" t="n"/>
      <c r="E496" s="16" t="n"/>
      <c r="F496" s="13" t="n"/>
      <c r="G496" s="16" t="n"/>
      <c r="H496" s="125" t="n"/>
      <c r="I496" s="14" t="n"/>
      <c r="J496" s="16" t="n"/>
      <c r="K496" s="125" t="n"/>
      <c r="L496" s="14" t="n"/>
      <c r="M496" s="16" t="n"/>
      <c r="N496" s="125" t="n"/>
      <c r="O496" s="14" t="n"/>
      <c r="P496" s="16" t="n"/>
      <c r="Q496" s="125" t="n"/>
      <c r="R496" s="14" t="n"/>
      <c r="S496" s="16" t="n"/>
      <c r="T496" s="125" t="n"/>
      <c r="U496" s="14" t="n"/>
      <c r="V496" s="16" t="n"/>
      <c r="W496" s="125" t="n"/>
      <c r="X496" s="14" t="n"/>
      <c r="Y496" s="16" t="n"/>
      <c r="Z496" s="125" t="n"/>
      <c r="AA496" s="14" t="n"/>
      <c r="AB496" s="16" t="n"/>
      <c r="AC496" s="125" t="n"/>
      <c r="AD496" s="14" t="n"/>
    </row>
    <row r="497">
      <c r="A497" s="58" t="n"/>
      <c r="B497" s="59" t="n"/>
      <c r="C497" s="59" t="n"/>
      <c r="E497" s="16" t="n"/>
      <c r="F497" s="13" t="n"/>
      <c r="G497" s="16" t="n"/>
      <c r="H497" s="125" t="n"/>
      <c r="I497" s="14" t="n"/>
      <c r="J497" s="16" t="n"/>
      <c r="K497" s="125" t="n"/>
      <c r="L497" s="14" t="n"/>
      <c r="M497" s="16" t="n"/>
      <c r="N497" s="125" t="n"/>
      <c r="O497" s="14" t="n"/>
      <c r="P497" s="16" t="n"/>
      <c r="Q497" s="125" t="n"/>
      <c r="R497" s="14" t="n"/>
      <c r="S497" s="16" t="n"/>
      <c r="T497" s="125" t="n"/>
      <c r="U497" s="14" t="n"/>
      <c r="V497" s="16" t="n"/>
      <c r="W497" s="125" t="n"/>
      <c r="X497" s="14" t="n"/>
      <c r="Y497" s="16" t="n"/>
      <c r="Z497" s="125" t="n"/>
      <c r="AA497" s="14" t="n"/>
      <c r="AB497" s="16" t="n"/>
      <c r="AC497" s="125" t="n"/>
      <c r="AD497" s="14" t="n"/>
    </row>
    <row r="498">
      <c r="A498" s="56" t="n"/>
      <c r="B498" s="59" t="n"/>
      <c r="C498" s="59" t="n"/>
      <c r="E498" s="16" t="n"/>
      <c r="F498" s="13" t="n"/>
      <c r="G498" s="16" t="n"/>
      <c r="H498" s="125" t="n"/>
      <c r="I498" s="14" t="n"/>
      <c r="J498" s="16" t="n"/>
      <c r="K498" s="125" t="n"/>
      <c r="L498" s="14" t="n"/>
      <c r="M498" s="16" t="n"/>
      <c r="N498" s="125" t="n"/>
      <c r="O498" s="14" t="n"/>
      <c r="P498" s="16" t="n"/>
      <c r="Q498" s="125" t="n"/>
      <c r="R498" s="14" t="n"/>
      <c r="S498" s="16" t="n"/>
      <c r="T498" s="125" t="n"/>
      <c r="U498" s="14" t="n"/>
      <c r="V498" s="16" t="n"/>
      <c r="W498" s="125" t="n"/>
      <c r="X498" s="14" t="n"/>
      <c r="Y498" s="16" t="n"/>
      <c r="Z498" s="125" t="n"/>
      <c r="AA498" s="14" t="n"/>
      <c r="AB498" s="16" t="n"/>
      <c r="AC498" s="125" t="n"/>
      <c r="AD498" s="14" t="n"/>
    </row>
    <row r="499">
      <c r="A499" s="58" t="n"/>
      <c r="B499" s="59" t="n"/>
      <c r="C499" s="59" t="n"/>
      <c r="E499" s="16" t="n"/>
      <c r="F499" s="13" t="n"/>
      <c r="G499" s="16" t="n"/>
      <c r="H499" s="125" t="n"/>
      <c r="I499" s="14" t="n"/>
      <c r="J499" s="16" t="n"/>
      <c r="K499" s="125" t="n"/>
      <c r="L499" s="14" t="n"/>
      <c r="M499" s="16" t="n"/>
      <c r="N499" s="125" t="n"/>
      <c r="O499" s="14" t="n"/>
      <c r="P499" s="16" t="n"/>
      <c r="Q499" s="125" t="n"/>
      <c r="R499" s="14" t="n"/>
      <c r="S499" s="16" t="n"/>
      <c r="T499" s="125" t="n"/>
      <c r="U499" s="14" t="n"/>
      <c r="V499" s="16" t="n"/>
      <c r="W499" s="125" t="n"/>
      <c r="X499" s="14" t="n"/>
      <c r="Y499" s="16" t="n"/>
      <c r="Z499" s="125" t="n"/>
      <c r="AA499" s="14" t="n"/>
      <c r="AB499" s="16" t="n"/>
      <c r="AC499" s="125" t="n"/>
      <c r="AD499" s="14" t="n"/>
    </row>
    <row r="500">
      <c r="A500" s="56" t="n"/>
      <c r="B500" s="59" t="n"/>
      <c r="C500" s="59" t="n"/>
      <c r="E500" s="16" t="n"/>
      <c r="F500" s="13" t="n"/>
      <c r="G500" s="16" t="n"/>
      <c r="H500" s="125" t="n"/>
      <c r="I500" s="14" t="n"/>
      <c r="J500" s="16" t="n"/>
      <c r="K500" s="125" t="n"/>
      <c r="L500" s="14" t="n"/>
      <c r="M500" s="16" t="n"/>
      <c r="N500" s="125" t="n"/>
      <c r="O500" s="14" t="n"/>
      <c r="P500" s="16" t="n"/>
      <c r="Q500" s="125" t="n"/>
      <c r="R500" s="14" t="n"/>
      <c r="S500" s="16" t="n"/>
      <c r="T500" s="125" t="n"/>
      <c r="U500" s="14" t="n"/>
      <c r="V500" s="16" t="n"/>
      <c r="W500" s="125" t="n"/>
      <c r="X500" s="14" t="n"/>
      <c r="Y500" s="16" t="n"/>
      <c r="Z500" s="125" t="n"/>
      <c r="AA500" s="14" t="n"/>
      <c r="AB500" s="16" t="n"/>
      <c r="AC500" s="125" t="n"/>
      <c r="AD500" s="14" t="n"/>
    </row>
    <row r="501">
      <c r="A501" s="58" t="n"/>
      <c r="B501" s="59" t="n"/>
      <c r="C501" s="59" t="n"/>
      <c r="E501" s="16" t="n"/>
      <c r="F501" s="13" t="n"/>
      <c r="G501" s="16" t="n"/>
      <c r="H501" s="125" t="n"/>
      <c r="I501" s="14" t="n"/>
      <c r="J501" s="16" t="n"/>
      <c r="K501" s="125" t="n"/>
      <c r="L501" s="14" t="n"/>
      <c r="M501" s="16" t="n"/>
      <c r="N501" s="125" t="n"/>
      <c r="O501" s="14" t="n"/>
      <c r="P501" s="16" t="n"/>
      <c r="Q501" s="125" t="n"/>
      <c r="R501" s="14" t="n"/>
      <c r="S501" s="16" t="n"/>
      <c r="T501" s="125" t="n"/>
      <c r="U501" s="14" t="n"/>
      <c r="V501" s="16" t="n"/>
      <c r="W501" s="125" t="n"/>
      <c r="X501" s="14" t="n"/>
      <c r="Y501" s="16" t="n"/>
      <c r="Z501" s="125" t="n"/>
      <c r="AA501" s="14" t="n"/>
      <c r="AB501" s="16" t="n"/>
      <c r="AC501" s="125" t="n"/>
      <c r="AD501" s="14" t="n"/>
    </row>
    <row r="502">
      <c r="A502" s="56" t="n"/>
      <c r="B502" s="59" t="n"/>
      <c r="C502" s="59" t="n"/>
      <c r="E502" s="16" t="n"/>
      <c r="F502" s="13" t="n"/>
      <c r="G502" s="16" t="n"/>
      <c r="H502" s="125" t="n"/>
      <c r="I502" s="14" t="n"/>
      <c r="J502" s="16" t="n"/>
      <c r="K502" s="125" t="n"/>
      <c r="L502" s="14" t="n"/>
      <c r="M502" s="16" t="n"/>
      <c r="N502" s="125" t="n"/>
      <c r="O502" s="14" t="n"/>
      <c r="P502" s="16" t="n"/>
      <c r="Q502" s="125" t="n"/>
      <c r="R502" s="14" t="n"/>
      <c r="S502" s="16" t="n"/>
      <c r="T502" s="125" t="n"/>
      <c r="U502" s="14" t="n"/>
      <c r="V502" s="16" t="n"/>
      <c r="W502" s="125" t="n"/>
      <c r="X502" s="14" t="n"/>
      <c r="Y502" s="16" t="n"/>
      <c r="Z502" s="125" t="n"/>
      <c r="AA502" s="14" t="n"/>
      <c r="AB502" s="16" t="n"/>
      <c r="AC502" s="125" t="n"/>
      <c r="AD502" s="14" t="n"/>
    </row>
    <row r="503">
      <c r="A503" s="58" t="n"/>
      <c r="B503" s="59" t="n"/>
      <c r="C503" s="59" t="n"/>
      <c r="E503" s="16" t="n"/>
      <c r="F503" s="13" t="n"/>
      <c r="G503" s="16" t="n"/>
      <c r="H503" s="125" t="n"/>
      <c r="I503" s="14" t="n"/>
      <c r="J503" s="16" t="n"/>
      <c r="K503" s="125" t="n"/>
      <c r="L503" s="14" t="n"/>
      <c r="M503" s="16" t="n"/>
      <c r="N503" s="125" t="n"/>
      <c r="O503" s="14" t="n"/>
      <c r="P503" s="16" t="n"/>
      <c r="Q503" s="125" t="n"/>
      <c r="R503" s="14" t="n"/>
      <c r="S503" s="16" t="n"/>
      <c r="T503" s="125" t="n"/>
      <c r="U503" s="14" t="n"/>
      <c r="V503" s="16" t="n"/>
      <c r="W503" s="125" t="n"/>
      <c r="X503" s="14" t="n"/>
      <c r="Y503" s="16" t="n"/>
      <c r="Z503" s="125" t="n"/>
      <c r="AA503" s="14" t="n"/>
      <c r="AB503" s="16" t="n"/>
      <c r="AC503" s="125" t="n"/>
      <c r="AD503" s="14" t="n"/>
    </row>
    <row r="504">
      <c r="A504" s="56" t="n"/>
      <c r="B504" s="59" t="n"/>
      <c r="C504" s="59" t="n"/>
      <c r="E504" s="16" t="n"/>
      <c r="F504" s="13" t="n"/>
      <c r="G504" s="16" t="n"/>
      <c r="H504" s="125" t="n"/>
      <c r="I504" s="14" t="n"/>
      <c r="J504" s="16" t="n"/>
      <c r="K504" s="125" t="n"/>
      <c r="L504" s="14" t="n"/>
      <c r="M504" s="16" t="n"/>
      <c r="N504" s="125" t="n"/>
      <c r="O504" s="14" t="n"/>
      <c r="P504" s="16" t="n"/>
      <c r="Q504" s="125" t="n"/>
      <c r="R504" s="14" t="n"/>
      <c r="S504" s="16" t="n"/>
      <c r="T504" s="125" t="n"/>
      <c r="U504" s="14" t="n"/>
      <c r="V504" s="16" t="n"/>
      <c r="W504" s="125" t="n"/>
      <c r="X504" s="14" t="n"/>
      <c r="Y504" s="16" t="n"/>
      <c r="Z504" s="125" t="n"/>
      <c r="AA504" s="14" t="n"/>
      <c r="AB504" s="16" t="n"/>
      <c r="AC504" s="125" t="n"/>
      <c r="AD504" s="14" t="n"/>
    </row>
    <row r="505">
      <c r="A505" s="58" t="n"/>
      <c r="B505" s="59" t="n"/>
      <c r="C505" s="59" t="n"/>
      <c r="E505" s="16" t="n"/>
      <c r="F505" s="13" t="n"/>
      <c r="G505" s="16" t="n"/>
      <c r="H505" s="125" t="n"/>
      <c r="I505" s="14" t="n"/>
      <c r="J505" s="16" t="n"/>
      <c r="K505" s="125" t="n"/>
      <c r="L505" s="14" t="n"/>
      <c r="M505" s="16" t="n"/>
      <c r="N505" s="125" t="n"/>
      <c r="O505" s="14" t="n"/>
      <c r="P505" s="16" t="n"/>
      <c r="Q505" s="125" t="n"/>
      <c r="R505" s="14" t="n"/>
      <c r="S505" s="16" t="n"/>
      <c r="T505" s="125" t="n"/>
      <c r="U505" s="14" t="n"/>
      <c r="V505" s="16" t="n"/>
      <c r="W505" s="125" t="n"/>
      <c r="X505" s="14" t="n"/>
      <c r="Y505" s="16" t="n"/>
      <c r="Z505" s="125" t="n"/>
      <c r="AA505" s="14" t="n"/>
      <c r="AB505" s="16" t="n"/>
      <c r="AC505" s="125" t="n"/>
      <c r="AD505" s="14" t="n"/>
    </row>
    <row r="506">
      <c r="A506" s="56" t="n"/>
      <c r="B506" s="59" t="n"/>
      <c r="C506" s="59" t="n"/>
      <c r="E506" s="16" t="n"/>
      <c r="F506" s="13" t="n"/>
      <c r="G506" s="16" t="n"/>
      <c r="H506" s="125" t="n"/>
      <c r="I506" s="14" t="n"/>
      <c r="J506" s="16" t="n"/>
      <c r="K506" s="125" t="n"/>
      <c r="L506" s="14" t="n"/>
      <c r="M506" s="16" t="n"/>
      <c r="N506" s="125" t="n"/>
      <c r="O506" s="14" t="n"/>
      <c r="P506" s="16" t="n"/>
      <c r="Q506" s="125" t="n"/>
      <c r="R506" s="14" t="n"/>
      <c r="S506" s="16" t="n"/>
      <c r="T506" s="125" t="n"/>
      <c r="U506" s="14" t="n"/>
      <c r="V506" s="16" t="n"/>
      <c r="W506" s="125" t="n"/>
      <c r="X506" s="14" t="n"/>
      <c r="Y506" s="16" t="n"/>
      <c r="Z506" s="125" t="n"/>
      <c r="AA506" s="14" t="n"/>
      <c r="AB506" s="16" t="n"/>
      <c r="AC506" s="125" t="n"/>
      <c r="AD506" s="14" t="n"/>
    </row>
    <row r="507">
      <c r="A507" s="58" t="n"/>
      <c r="B507" s="59" t="n"/>
      <c r="C507" s="59" t="n"/>
      <c r="E507" s="16" t="n"/>
      <c r="F507" s="13" t="n"/>
      <c r="G507" s="16" t="n"/>
      <c r="H507" s="125" t="n"/>
      <c r="I507" s="14" t="n"/>
      <c r="J507" s="16" t="n"/>
      <c r="K507" s="125" t="n"/>
      <c r="L507" s="14" t="n"/>
      <c r="M507" s="16" t="n"/>
      <c r="N507" s="125" t="n"/>
      <c r="O507" s="14" t="n"/>
      <c r="P507" s="16" t="n"/>
      <c r="Q507" s="125" t="n"/>
      <c r="R507" s="14" t="n"/>
      <c r="S507" s="16" t="n"/>
      <c r="T507" s="125" t="n"/>
      <c r="U507" s="14" t="n"/>
      <c r="V507" s="16" t="n"/>
      <c r="W507" s="125" t="n"/>
      <c r="X507" s="14" t="n"/>
      <c r="Y507" s="16" t="n"/>
      <c r="Z507" s="125" t="n"/>
      <c r="AA507" s="14" t="n"/>
      <c r="AB507" s="16" t="n"/>
      <c r="AC507" s="125" t="n"/>
      <c r="AD507" s="14" t="n"/>
    </row>
    <row r="508">
      <c r="A508" s="56" t="n"/>
      <c r="B508" s="59" t="n"/>
      <c r="C508" s="59" t="n"/>
      <c r="E508" s="16" t="n"/>
      <c r="F508" s="13" t="n"/>
      <c r="G508" s="16" t="n"/>
      <c r="H508" s="125" t="n"/>
      <c r="I508" s="14" t="n"/>
      <c r="J508" s="16" t="n"/>
      <c r="K508" s="125" t="n"/>
      <c r="L508" s="14" t="n"/>
      <c r="M508" s="16" t="n"/>
      <c r="N508" s="125" t="n"/>
      <c r="O508" s="14" t="n"/>
      <c r="P508" s="16" t="n"/>
      <c r="Q508" s="125" t="n"/>
      <c r="R508" s="14" t="n"/>
      <c r="S508" s="16" t="n"/>
      <c r="T508" s="125" t="n"/>
      <c r="U508" s="14" t="n"/>
      <c r="V508" s="16" t="n"/>
      <c r="W508" s="125" t="n"/>
      <c r="X508" s="14" t="n"/>
      <c r="Y508" s="16" t="n"/>
      <c r="Z508" s="125" t="n"/>
      <c r="AA508" s="14" t="n"/>
      <c r="AB508" s="16" t="n"/>
      <c r="AC508" s="125" t="n"/>
      <c r="AD508" s="14" t="n"/>
    </row>
    <row r="509">
      <c r="A509" s="58" t="n"/>
      <c r="B509" s="59" t="n"/>
      <c r="C509" s="59" t="n"/>
      <c r="E509" s="16" t="n"/>
      <c r="F509" s="13" t="n"/>
      <c r="G509" s="16" t="n"/>
      <c r="H509" s="125" t="n"/>
      <c r="I509" s="14" t="n"/>
      <c r="J509" s="16" t="n"/>
      <c r="K509" s="125" t="n"/>
      <c r="L509" s="14" t="n"/>
      <c r="M509" s="16" t="n"/>
      <c r="N509" s="125" t="n"/>
      <c r="O509" s="14" t="n"/>
      <c r="P509" s="16" t="n"/>
      <c r="Q509" s="125" t="n"/>
      <c r="R509" s="14" t="n"/>
      <c r="S509" s="16" t="n"/>
      <c r="T509" s="125" t="n"/>
      <c r="U509" s="14" t="n"/>
      <c r="V509" s="16" t="n"/>
      <c r="W509" s="125" t="n"/>
      <c r="X509" s="14" t="n"/>
      <c r="Y509" s="16" t="n"/>
      <c r="Z509" s="125" t="n"/>
      <c r="AA509" s="14" t="n"/>
      <c r="AB509" s="16" t="n"/>
      <c r="AC509" s="125" t="n"/>
      <c r="AD509" s="14" t="n"/>
    </row>
    <row r="510">
      <c r="A510" s="56" t="n"/>
      <c r="B510" s="59" t="n"/>
      <c r="C510" s="59" t="n"/>
      <c r="E510" s="16" t="n"/>
      <c r="F510" s="13" t="n"/>
      <c r="G510" s="16" t="n"/>
      <c r="H510" s="125" t="n"/>
      <c r="I510" s="14" t="n"/>
      <c r="J510" s="16" t="n"/>
      <c r="K510" s="125" t="n"/>
      <c r="L510" s="14" t="n"/>
      <c r="M510" s="16" t="n"/>
      <c r="N510" s="125" t="n"/>
      <c r="O510" s="14" t="n"/>
      <c r="P510" s="16" t="n"/>
      <c r="Q510" s="125" t="n"/>
      <c r="R510" s="14" t="n"/>
      <c r="S510" s="16" t="n"/>
      <c r="T510" s="125" t="n"/>
      <c r="U510" s="14" t="n"/>
      <c r="V510" s="16" t="n"/>
      <c r="W510" s="125" t="n"/>
      <c r="X510" s="14" t="n"/>
      <c r="Y510" s="16" t="n"/>
      <c r="Z510" s="125" t="n"/>
      <c r="AA510" s="14" t="n"/>
      <c r="AB510" s="16" t="n"/>
      <c r="AC510" s="125" t="n"/>
      <c r="AD510" s="14" t="n"/>
    </row>
    <row r="511">
      <c r="A511" s="58" t="n"/>
      <c r="B511" s="59" t="n"/>
      <c r="C511" s="59" t="n"/>
      <c r="E511" s="16" t="n"/>
      <c r="F511" s="13" t="n"/>
      <c r="G511" s="16" t="n"/>
      <c r="H511" s="125" t="n"/>
      <c r="I511" s="14" t="n"/>
      <c r="J511" s="16" t="n"/>
      <c r="K511" s="125" t="n"/>
      <c r="L511" s="14" t="n"/>
      <c r="M511" s="16" t="n"/>
      <c r="N511" s="125" t="n"/>
      <c r="O511" s="14" t="n"/>
      <c r="P511" s="16" t="n"/>
      <c r="Q511" s="125" t="n"/>
      <c r="R511" s="14" t="n"/>
      <c r="S511" s="16" t="n"/>
      <c r="T511" s="125" t="n"/>
      <c r="U511" s="14" t="n"/>
      <c r="V511" s="16" t="n"/>
      <c r="W511" s="125" t="n"/>
      <c r="X511" s="14" t="n"/>
      <c r="Y511" s="16" t="n"/>
      <c r="Z511" s="125" t="n"/>
      <c r="AA511" s="14" t="n"/>
      <c r="AB511" s="16" t="n"/>
      <c r="AC511" s="125" t="n"/>
      <c r="AD511" s="14" t="n"/>
    </row>
    <row r="512">
      <c r="A512" s="56" t="n"/>
      <c r="B512" s="59" t="n"/>
      <c r="C512" s="59" t="n"/>
      <c r="E512" s="16" t="n"/>
      <c r="F512" s="13" t="n"/>
      <c r="G512" s="16" t="n"/>
      <c r="H512" s="125" t="n"/>
      <c r="I512" s="14" t="n"/>
      <c r="J512" s="16" t="n"/>
      <c r="K512" s="125" t="n"/>
      <c r="L512" s="14" t="n"/>
      <c r="M512" s="16" t="n"/>
      <c r="N512" s="125" t="n"/>
      <c r="O512" s="14" t="n"/>
      <c r="P512" s="16" t="n"/>
      <c r="Q512" s="125" t="n"/>
      <c r="R512" s="14" t="n"/>
      <c r="S512" s="16" t="n"/>
      <c r="T512" s="125" t="n"/>
      <c r="U512" s="14" t="n"/>
      <c r="V512" s="16" t="n"/>
      <c r="W512" s="125" t="n"/>
      <c r="X512" s="14" t="n"/>
      <c r="Y512" s="16" t="n"/>
      <c r="Z512" s="125" t="n"/>
      <c r="AA512" s="14" t="n"/>
      <c r="AB512" s="16" t="n"/>
      <c r="AC512" s="125" t="n"/>
      <c r="AD512" s="14" t="n"/>
    </row>
    <row r="513">
      <c r="A513" s="58" t="n"/>
      <c r="B513" s="59" t="n"/>
      <c r="C513" s="59" t="n"/>
      <c r="E513" s="16" t="n"/>
      <c r="F513" s="13" t="n"/>
      <c r="G513" s="16" t="n"/>
      <c r="H513" s="125" t="n"/>
      <c r="I513" s="14" t="n"/>
      <c r="J513" s="16" t="n"/>
      <c r="K513" s="125" t="n"/>
      <c r="L513" s="14" t="n"/>
      <c r="M513" s="16" t="n"/>
      <c r="N513" s="125" t="n"/>
      <c r="O513" s="14" t="n"/>
      <c r="P513" s="16" t="n"/>
      <c r="Q513" s="125" t="n"/>
      <c r="R513" s="14" t="n"/>
      <c r="S513" s="16" t="n"/>
      <c r="T513" s="125" t="n"/>
      <c r="U513" s="14" t="n"/>
      <c r="V513" s="16" t="n"/>
      <c r="W513" s="125" t="n"/>
      <c r="X513" s="14" t="n"/>
      <c r="Y513" s="16" t="n"/>
      <c r="Z513" s="125" t="n"/>
      <c r="AA513" s="14" t="n"/>
      <c r="AB513" s="16" t="n"/>
      <c r="AC513" s="125" t="n"/>
      <c r="AD513" s="14" t="n"/>
    </row>
    <row r="514">
      <c r="A514" s="56" t="n"/>
      <c r="B514" s="59" t="n"/>
      <c r="C514" s="59" t="n"/>
      <c r="E514" s="16" t="n"/>
      <c r="F514" s="13" t="n"/>
      <c r="G514" s="16" t="n"/>
      <c r="H514" s="125" t="n"/>
      <c r="I514" s="14" t="n"/>
      <c r="J514" s="16" t="n"/>
      <c r="K514" s="125" t="n"/>
      <c r="L514" s="14" t="n"/>
      <c r="M514" s="16" t="n"/>
      <c r="N514" s="125" t="n"/>
      <c r="O514" s="14" t="n"/>
      <c r="P514" s="16" t="n"/>
      <c r="Q514" s="125" t="n"/>
      <c r="R514" s="14" t="n"/>
      <c r="S514" s="16" t="n"/>
      <c r="T514" s="125" t="n"/>
      <c r="U514" s="14" t="n"/>
      <c r="V514" s="16" t="n"/>
      <c r="W514" s="125" t="n"/>
      <c r="X514" s="14" t="n"/>
      <c r="Y514" s="16" t="n"/>
      <c r="Z514" s="125" t="n"/>
      <c r="AA514" s="14" t="n"/>
      <c r="AB514" s="16" t="n"/>
      <c r="AC514" s="125" t="n"/>
      <c r="AD514" s="14" t="n"/>
    </row>
    <row r="515">
      <c r="A515" s="58" t="n"/>
      <c r="B515" s="59" t="n"/>
      <c r="C515" s="59" t="n"/>
      <c r="E515" s="16" t="n"/>
      <c r="F515" s="13" t="n"/>
      <c r="G515" s="16" t="n"/>
      <c r="H515" s="125" t="n"/>
      <c r="I515" s="14" t="n"/>
      <c r="J515" s="16" t="n"/>
      <c r="K515" s="125" t="n"/>
      <c r="L515" s="14" t="n"/>
      <c r="M515" s="16" t="n"/>
      <c r="N515" s="125" t="n"/>
      <c r="O515" s="14" t="n"/>
      <c r="P515" s="16" t="n"/>
      <c r="Q515" s="125" t="n"/>
      <c r="R515" s="14" t="n"/>
      <c r="S515" s="16" t="n"/>
      <c r="T515" s="125" t="n"/>
      <c r="U515" s="14" t="n"/>
      <c r="V515" s="16" t="n"/>
      <c r="W515" s="125" t="n"/>
      <c r="X515" s="14" t="n"/>
      <c r="Y515" s="16" t="n"/>
      <c r="Z515" s="125" t="n"/>
      <c r="AA515" s="14" t="n"/>
      <c r="AB515" s="16" t="n"/>
      <c r="AC515" s="125" t="n"/>
      <c r="AD515" s="14" t="n"/>
    </row>
    <row r="516">
      <c r="A516" s="56" t="n"/>
      <c r="B516" s="59" t="n"/>
      <c r="C516" s="59" t="n"/>
      <c r="E516" s="16" t="n"/>
      <c r="F516" s="13" t="n"/>
      <c r="G516" s="16" t="n"/>
      <c r="H516" s="125" t="n"/>
      <c r="I516" s="14" t="n"/>
      <c r="J516" s="16" t="n"/>
      <c r="K516" s="125" t="n"/>
      <c r="L516" s="14" t="n"/>
      <c r="M516" s="16" t="n"/>
      <c r="N516" s="125" t="n"/>
      <c r="O516" s="14" t="n"/>
      <c r="P516" s="16" t="n"/>
      <c r="Q516" s="125" t="n"/>
      <c r="R516" s="14" t="n"/>
      <c r="S516" s="16" t="n"/>
      <c r="T516" s="125" t="n"/>
      <c r="U516" s="14" t="n"/>
      <c r="V516" s="16" t="n"/>
      <c r="W516" s="125" t="n"/>
      <c r="X516" s="14" t="n"/>
      <c r="Y516" s="16" t="n"/>
      <c r="Z516" s="125" t="n"/>
      <c r="AA516" s="14" t="n"/>
      <c r="AB516" s="16" t="n"/>
      <c r="AC516" s="125" t="n"/>
      <c r="AD516" s="14" t="n"/>
    </row>
    <row r="517">
      <c r="A517" s="58" t="n"/>
      <c r="B517" s="59" t="n"/>
      <c r="C517" s="59" t="n"/>
      <c r="E517" s="16" t="n"/>
      <c r="F517" s="13" t="n"/>
      <c r="G517" s="16" t="n"/>
      <c r="H517" s="125" t="n"/>
      <c r="I517" s="14" t="n"/>
      <c r="J517" s="16" t="n"/>
      <c r="K517" s="125" t="n"/>
      <c r="L517" s="14" t="n"/>
      <c r="M517" s="16" t="n"/>
      <c r="N517" s="125" t="n"/>
      <c r="O517" s="14" t="n"/>
      <c r="P517" s="16" t="n"/>
      <c r="Q517" s="125" t="n"/>
      <c r="R517" s="14" t="n"/>
      <c r="S517" s="16" t="n"/>
      <c r="T517" s="125" t="n"/>
      <c r="U517" s="14" t="n"/>
      <c r="V517" s="16" t="n"/>
      <c r="W517" s="125" t="n"/>
      <c r="X517" s="14" t="n"/>
      <c r="Y517" s="16" t="n"/>
      <c r="Z517" s="125" t="n"/>
      <c r="AA517" s="14" t="n"/>
      <c r="AB517" s="16" t="n"/>
      <c r="AC517" s="125" t="n"/>
      <c r="AD517" s="14" t="n"/>
    </row>
    <row r="518">
      <c r="A518" s="56" t="n"/>
      <c r="B518" s="59" t="n"/>
      <c r="C518" s="59" t="n"/>
      <c r="E518" s="16" t="n"/>
      <c r="F518" s="13" t="n"/>
      <c r="G518" s="16" t="n"/>
      <c r="H518" s="125" t="n"/>
      <c r="I518" s="14" t="n"/>
      <c r="J518" s="16" t="n"/>
      <c r="K518" s="125" t="n"/>
      <c r="L518" s="14" t="n"/>
      <c r="M518" s="16" t="n"/>
      <c r="N518" s="125" t="n"/>
      <c r="O518" s="14" t="n"/>
      <c r="P518" s="16" t="n"/>
      <c r="Q518" s="125" t="n"/>
      <c r="R518" s="14" t="n"/>
      <c r="S518" s="16" t="n"/>
      <c r="T518" s="125" t="n"/>
      <c r="U518" s="14" t="n"/>
      <c r="V518" s="16" t="n"/>
      <c r="W518" s="125" t="n"/>
      <c r="X518" s="14" t="n"/>
      <c r="Y518" s="16" t="n"/>
      <c r="Z518" s="125" t="n"/>
      <c r="AA518" s="14" t="n"/>
      <c r="AB518" s="16" t="n"/>
      <c r="AC518" s="125" t="n"/>
      <c r="AD518" s="14" t="n"/>
    </row>
    <row r="519">
      <c r="A519" s="58" t="n"/>
      <c r="B519" s="59" t="n"/>
      <c r="C519" s="59" t="n"/>
      <c r="E519" s="16" t="n"/>
      <c r="F519" s="13" t="n"/>
      <c r="G519" s="16" t="n"/>
      <c r="H519" s="125" t="n"/>
      <c r="I519" s="14" t="n"/>
      <c r="J519" s="16" t="n"/>
      <c r="K519" s="125" t="n"/>
      <c r="L519" s="14" t="n"/>
      <c r="M519" s="16" t="n"/>
      <c r="N519" s="125" t="n"/>
      <c r="O519" s="14" t="n"/>
      <c r="P519" s="16" t="n"/>
      <c r="Q519" s="125" t="n"/>
      <c r="R519" s="14" t="n"/>
      <c r="S519" s="16" t="n"/>
      <c r="T519" s="125" t="n"/>
      <c r="U519" s="14" t="n"/>
      <c r="V519" s="16" t="n"/>
      <c r="W519" s="125" t="n"/>
      <c r="X519" s="14" t="n"/>
      <c r="Y519" s="16" t="n"/>
      <c r="Z519" s="125" t="n"/>
      <c r="AA519" s="14" t="n"/>
      <c r="AB519" s="16" t="n"/>
      <c r="AC519" s="125" t="n"/>
      <c r="AD519" s="14" t="n"/>
    </row>
    <row r="520">
      <c r="A520" s="56" t="n"/>
      <c r="B520" s="59" t="n"/>
      <c r="C520" s="59" t="n"/>
      <c r="E520" s="16" t="n"/>
      <c r="F520" s="13" t="n"/>
      <c r="G520" s="16" t="n"/>
      <c r="H520" s="125" t="n"/>
      <c r="I520" s="14" t="n"/>
      <c r="J520" s="16" t="n"/>
      <c r="K520" s="125" t="n"/>
      <c r="L520" s="14" t="n"/>
      <c r="M520" s="16" t="n"/>
      <c r="N520" s="125" t="n"/>
      <c r="O520" s="14" t="n"/>
      <c r="P520" s="16" t="n"/>
      <c r="Q520" s="125" t="n"/>
      <c r="R520" s="14" t="n"/>
      <c r="S520" s="16" t="n"/>
      <c r="T520" s="125" t="n"/>
      <c r="U520" s="14" t="n"/>
      <c r="V520" s="16" t="n"/>
      <c r="W520" s="125" t="n"/>
      <c r="X520" s="14" t="n"/>
      <c r="Y520" s="16" t="n"/>
      <c r="Z520" s="125" t="n"/>
      <c r="AA520" s="14" t="n"/>
      <c r="AB520" s="16" t="n"/>
      <c r="AC520" s="125" t="n"/>
      <c r="AD520" s="14" t="n"/>
    </row>
    <row r="521">
      <c r="A521" s="58" t="n"/>
      <c r="B521" s="59" t="n"/>
      <c r="C521" s="59" t="n"/>
      <c r="E521" s="16" t="n"/>
      <c r="F521" s="13" t="n"/>
      <c r="G521" s="16" t="n"/>
      <c r="H521" s="125" t="n"/>
      <c r="I521" s="14" t="n"/>
      <c r="J521" s="16" t="n"/>
      <c r="K521" s="125" t="n"/>
      <c r="L521" s="14" t="n"/>
      <c r="M521" s="16" t="n"/>
      <c r="N521" s="125" t="n"/>
      <c r="O521" s="14" t="n"/>
      <c r="P521" s="16" t="n"/>
      <c r="Q521" s="125" t="n"/>
      <c r="R521" s="14" t="n"/>
      <c r="S521" s="16" t="n"/>
      <c r="T521" s="125" t="n"/>
      <c r="U521" s="14" t="n"/>
      <c r="V521" s="16" t="n"/>
      <c r="W521" s="125" t="n"/>
      <c r="X521" s="14" t="n"/>
      <c r="Y521" s="16" t="n"/>
      <c r="Z521" s="125" t="n"/>
      <c r="AA521" s="14" t="n"/>
      <c r="AB521" s="16" t="n"/>
      <c r="AC521" s="125" t="n"/>
      <c r="AD521" s="14" t="n"/>
    </row>
    <row r="522">
      <c r="A522" s="56" t="n"/>
      <c r="B522" s="59" t="n"/>
      <c r="C522" s="59" t="n"/>
      <c r="E522" s="16" t="n"/>
      <c r="F522" s="13" t="n"/>
      <c r="G522" s="16" t="n"/>
      <c r="H522" s="125" t="n"/>
      <c r="I522" s="14" t="n"/>
      <c r="J522" s="16" t="n"/>
      <c r="K522" s="125" t="n"/>
      <c r="L522" s="14" t="n"/>
      <c r="M522" s="16" t="n"/>
      <c r="N522" s="125" t="n"/>
      <c r="O522" s="14" t="n"/>
      <c r="P522" s="16" t="n"/>
      <c r="Q522" s="125" t="n"/>
      <c r="R522" s="14" t="n"/>
      <c r="S522" s="16" t="n"/>
      <c r="T522" s="125" t="n"/>
      <c r="U522" s="14" t="n"/>
      <c r="V522" s="16" t="n"/>
      <c r="W522" s="125" t="n"/>
      <c r="X522" s="14" t="n"/>
      <c r="Y522" s="16" t="n"/>
      <c r="Z522" s="125" t="n"/>
      <c r="AA522" s="14" t="n"/>
      <c r="AB522" s="16" t="n"/>
      <c r="AC522" s="125" t="n"/>
      <c r="AD522" s="14" t="n"/>
    </row>
    <row r="523">
      <c r="A523" s="58" t="n"/>
      <c r="B523" s="59" t="n"/>
      <c r="C523" s="59" t="n"/>
      <c r="E523" s="16" t="n"/>
      <c r="F523" s="13" t="n"/>
      <c r="G523" s="16" t="n"/>
      <c r="H523" s="125" t="n"/>
      <c r="I523" s="14" t="n"/>
      <c r="J523" s="16" t="n"/>
      <c r="K523" s="125" t="n"/>
      <c r="L523" s="14" t="n"/>
      <c r="M523" s="16" t="n"/>
      <c r="N523" s="125" t="n"/>
      <c r="O523" s="14" t="n"/>
      <c r="P523" s="16" t="n"/>
      <c r="Q523" s="125" t="n"/>
      <c r="R523" s="14" t="n"/>
      <c r="S523" s="16" t="n"/>
      <c r="T523" s="125" t="n"/>
      <c r="U523" s="14" t="n"/>
      <c r="V523" s="16" t="n"/>
      <c r="W523" s="125" t="n"/>
      <c r="X523" s="14" t="n"/>
      <c r="Y523" s="16" t="n"/>
      <c r="Z523" s="125" t="n"/>
      <c r="AA523" s="14" t="n"/>
      <c r="AB523" s="16" t="n"/>
      <c r="AC523" s="125" t="n"/>
      <c r="AD523" s="14" t="n"/>
    </row>
    <row r="524">
      <c r="A524" s="56" t="n"/>
      <c r="B524" s="59" t="n"/>
      <c r="C524" s="59" t="n"/>
      <c r="E524" s="16" t="n"/>
      <c r="F524" s="13" t="n"/>
      <c r="G524" s="16" t="n"/>
      <c r="H524" s="125" t="n"/>
      <c r="I524" s="14" t="n"/>
      <c r="J524" s="16" t="n"/>
      <c r="K524" s="125" t="n"/>
      <c r="L524" s="14" t="n"/>
      <c r="M524" s="16" t="n"/>
      <c r="N524" s="125" t="n"/>
      <c r="O524" s="14" t="n"/>
      <c r="P524" s="16" t="n"/>
      <c r="Q524" s="125" t="n"/>
      <c r="R524" s="14" t="n"/>
      <c r="S524" s="16" t="n"/>
      <c r="T524" s="125" t="n"/>
      <c r="U524" s="14" t="n"/>
      <c r="V524" s="16" t="n"/>
      <c r="W524" s="125" t="n"/>
      <c r="X524" s="14" t="n"/>
      <c r="Y524" s="16" t="n"/>
      <c r="Z524" s="125" t="n"/>
      <c r="AA524" s="14" t="n"/>
      <c r="AB524" s="16" t="n"/>
      <c r="AC524" s="125" t="n"/>
      <c r="AD524" s="14" t="n"/>
    </row>
    <row r="525">
      <c r="A525" s="58" t="n"/>
      <c r="B525" s="59" t="n"/>
      <c r="C525" s="59" t="n"/>
      <c r="E525" s="16" t="n"/>
      <c r="F525" s="13" t="n"/>
      <c r="G525" s="16" t="n"/>
      <c r="H525" s="125" t="n"/>
      <c r="I525" s="14" t="n"/>
      <c r="J525" s="16" t="n"/>
      <c r="K525" s="125" t="n"/>
      <c r="L525" s="14" t="n"/>
      <c r="M525" s="16" t="n"/>
      <c r="N525" s="125" t="n"/>
      <c r="O525" s="14" t="n"/>
      <c r="P525" s="16" t="n"/>
      <c r="Q525" s="125" t="n"/>
      <c r="R525" s="14" t="n"/>
      <c r="S525" s="16" t="n"/>
      <c r="T525" s="125" t="n"/>
      <c r="U525" s="14" t="n"/>
      <c r="V525" s="16" t="n"/>
      <c r="W525" s="125" t="n"/>
      <c r="X525" s="14" t="n"/>
      <c r="Y525" s="16" t="n"/>
      <c r="Z525" s="125" t="n"/>
      <c r="AA525" s="14" t="n"/>
      <c r="AB525" s="16" t="n"/>
      <c r="AC525" s="125" t="n"/>
      <c r="AD525" s="14" t="n"/>
    </row>
    <row r="526">
      <c r="A526" s="56" t="n"/>
      <c r="B526" s="59" t="n"/>
      <c r="C526" s="59" t="n"/>
      <c r="E526" s="16" t="n"/>
      <c r="F526" s="13" t="n"/>
      <c r="G526" s="16" t="n"/>
      <c r="H526" s="125" t="n"/>
      <c r="I526" s="14" t="n"/>
      <c r="J526" s="16" t="n"/>
      <c r="K526" s="125" t="n"/>
      <c r="L526" s="14" t="n"/>
      <c r="M526" s="16" t="n"/>
      <c r="N526" s="125" t="n"/>
      <c r="O526" s="14" t="n"/>
      <c r="P526" s="16" t="n"/>
      <c r="Q526" s="125" t="n"/>
      <c r="R526" s="14" t="n"/>
      <c r="S526" s="16" t="n"/>
      <c r="T526" s="125" t="n"/>
      <c r="U526" s="14" t="n"/>
      <c r="V526" s="16" t="n"/>
      <c r="W526" s="125" t="n"/>
      <c r="X526" s="14" t="n"/>
      <c r="Y526" s="16" t="n"/>
      <c r="Z526" s="125" t="n"/>
      <c r="AA526" s="14" t="n"/>
      <c r="AB526" s="16" t="n"/>
      <c r="AC526" s="125" t="n"/>
      <c r="AD526" s="14" t="n"/>
    </row>
    <row r="527">
      <c r="A527" s="58" t="n"/>
      <c r="B527" s="59" t="n"/>
      <c r="C527" s="59" t="n"/>
      <c r="E527" s="16" t="n"/>
      <c r="F527" s="13" t="n"/>
      <c r="G527" s="16" t="n"/>
      <c r="H527" s="125" t="n"/>
      <c r="I527" s="14" t="n"/>
      <c r="J527" s="16" t="n"/>
      <c r="K527" s="125" t="n"/>
      <c r="L527" s="14" t="n"/>
      <c r="M527" s="16" t="n"/>
      <c r="N527" s="125" t="n"/>
      <c r="O527" s="14" t="n"/>
      <c r="P527" s="16" t="n"/>
      <c r="Q527" s="125" t="n"/>
      <c r="R527" s="14" t="n"/>
      <c r="S527" s="16" t="n"/>
      <c r="T527" s="125" t="n"/>
      <c r="U527" s="14" t="n"/>
      <c r="V527" s="16" t="n"/>
      <c r="W527" s="125" t="n"/>
      <c r="X527" s="14" t="n"/>
      <c r="Y527" s="16" t="n"/>
      <c r="Z527" s="125" t="n"/>
      <c r="AA527" s="14" t="n"/>
      <c r="AB527" s="16" t="n"/>
      <c r="AC527" s="125" t="n"/>
      <c r="AD527" s="14" t="n"/>
    </row>
    <row r="528">
      <c r="A528" s="56" t="n"/>
      <c r="B528" s="59" t="n"/>
      <c r="C528" s="59" t="n"/>
      <c r="E528" s="16" t="n"/>
      <c r="F528" s="13" t="n"/>
      <c r="G528" s="16" t="n"/>
      <c r="H528" s="125" t="n"/>
      <c r="I528" s="14" t="n"/>
      <c r="J528" s="16" t="n"/>
      <c r="K528" s="125" t="n"/>
      <c r="L528" s="14" t="n"/>
      <c r="M528" s="16" t="n"/>
      <c r="N528" s="125" t="n"/>
      <c r="O528" s="14" t="n"/>
      <c r="P528" s="16" t="n"/>
      <c r="Q528" s="125" t="n"/>
      <c r="R528" s="14" t="n"/>
      <c r="S528" s="16" t="n"/>
      <c r="T528" s="125" t="n"/>
      <c r="U528" s="14" t="n"/>
      <c r="V528" s="16" t="n"/>
      <c r="W528" s="125" t="n"/>
      <c r="X528" s="14" t="n"/>
      <c r="Y528" s="16" t="n"/>
      <c r="Z528" s="125" t="n"/>
      <c r="AA528" s="14" t="n"/>
      <c r="AB528" s="16" t="n"/>
      <c r="AC528" s="125" t="n"/>
      <c r="AD528" s="14" t="n"/>
    </row>
    <row r="529">
      <c r="A529" s="58" t="n"/>
      <c r="B529" s="59" t="n"/>
      <c r="C529" s="59" t="n"/>
      <c r="E529" s="16" t="n"/>
      <c r="F529" s="13" t="n"/>
      <c r="G529" s="16" t="n"/>
      <c r="H529" s="125" t="n"/>
      <c r="I529" s="14" t="n"/>
      <c r="J529" s="16" t="n"/>
      <c r="K529" s="125" t="n"/>
      <c r="L529" s="14" t="n"/>
      <c r="M529" s="16" t="n"/>
      <c r="N529" s="125" t="n"/>
      <c r="O529" s="14" t="n"/>
      <c r="P529" s="16" t="n"/>
      <c r="Q529" s="125" t="n"/>
      <c r="R529" s="14" t="n"/>
      <c r="S529" s="16" t="n"/>
      <c r="T529" s="125" t="n"/>
      <c r="U529" s="14" t="n"/>
      <c r="V529" s="16" t="n"/>
      <c r="W529" s="125" t="n"/>
      <c r="X529" s="14" t="n"/>
      <c r="Y529" s="16" t="n"/>
      <c r="Z529" s="125" t="n"/>
      <c r="AA529" s="14" t="n"/>
      <c r="AB529" s="16" t="n"/>
      <c r="AC529" s="125" t="n"/>
      <c r="AD529" s="14" t="n"/>
    </row>
    <row r="530">
      <c r="A530" s="56" t="n"/>
      <c r="B530" s="59" t="n"/>
      <c r="C530" s="59" t="n"/>
      <c r="E530" s="16" t="n"/>
      <c r="F530" s="13" t="n"/>
      <c r="G530" s="16" t="n"/>
      <c r="H530" s="125" t="n"/>
      <c r="I530" s="14" t="n"/>
      <c r="J530" s="16" t="n"/>
      <c r="K530" s="125" t="n"/>
      <c r="L530" s="14" t="n"/>
      <c r="M530" s="16" t="n"/>
      <c r="N530" s="125" t="n"/>
      <c r="O530" s="14" t="n"/>
      <c r="P530" s="16" t="n"/>
      <c r="Q530" s="125" t="n"/>
      <c r="R530" s="14" t="n"/>
      <c r="S530" s="16" t="n"/>
      <c r="T530" s="125" t="n"/>
      <c r="U530" s="14" t="n"/>
      <c r="V530" s="16" t="n"/>
      <c r="W530" s="125" t="n"/>
      <c r="X530" s="14" t="n"/>
      <c r="Y530" s="16" t="n"/>
      <c r="Z530" s="125" t="n"/>
      <c r="AA530" s="14" t="n"/>
      <c r="AB530" s="16" t="n"/>
      <c r="AC530" s="125" t="n"/>
      <c r="AD530" s="14" t="n"/>
    </row>
    <row r="531">
      <c r="A531" s="58" t="n"/>
      <c r="B531" s="59" t="n"/>
      <c r="C531" s="59" t="n"/>
      <c r="E531" s="16" t="n"/>
      <c r="F531" s="13" t="n"/>
      <c r="G531" s="16" t="n"/>
      <c r="H531" s="125" t="n"/>
      <c r="I531" s="14" t="n"/>
      <c r="J531" s="16" t="n"/>
      <c r="K531" s="125" t="n"/>
      <c r="L531" s="14" t="n"/>
      <c r="M531" s="16" t="n"/>
      <c r="N531" s="125" t="n"/>
      <c r="O531" s="14" t="n"/>
      <c r="P531" s="16" t="n"/>
      <c r="Q531" s="125" t="n"/>
      <c r="R531" s="14" t="n"/>
      <c r="S531" s="16" t="n"/>
      <c r="T531" s="125" t="n"/>
      <c r="U531" s="14" t="n"/>
      <c r="V531" s="16" t="n"/>
      <c r="W531" s="125" t="n"/>
      <c r="X531" s="14" t="n"/>
      <c r="Y531" s="16" t="n"/>
      <c r="Z531" s="125" t="n"/>
      <c r="AA531" s="14" t="n"/>
      <c r="AB531" s="16" t="n"/>
      <c r="AC531" s="125" t="n"/>
      <c r="AD531" s="14" t="n"/>
    </row>
    <row r="532">
      <c r="A532" s="56" t="n"/>
      <c r="B532" s="59" t="n"/>
      <c r="C532" s="59" t="n"/>
      <c r="E532" s="16" t="n"/>
      <c r="F532" s="13" t="n"/>
      <c r="G532" s="16" t="n"/>
      <c r="H532" s="125" t="n"/>
      <c r="I532" s="14" t="n"/>
      <c r="J532" s="16" t="n"/>
      <c r="K532" s="125" t="n"/>
      <c r="L532" s="14" t="n"/>
      <c r="M532" s="16" t="n"/>
      <c r="N532" s="125" t="n"/>
      <c r="O532" s="14" t="n"/>
      <c r="P532" s="16" t="n"/>
      <c r="Q532" s="125" t="n"/>
      <c r="R532" s="14" t="n"/>
      <c r="S532" s="16" t="n"/>
      <c r="T532" s="125" t="n"/>
      <c r="U532" s="14" t="n"/>
      <c r="V532" s="16" t="n"/>
      <c r="W532" s="125" t="n"/>
      <c r="X532" s="14" t="n"/>
      <c r="Y532" s="16" t="n"/>
      <c r="Z532" s="125" t="n"/>
      <c r="AA532" s="14" t="n"/>
      <c r="AB532" s="16" t="n"/>
      <c r="AC532" s="125" t="n"/>
      <c r="AD532" s="14" t="n"/>
    </row>
    <row r="533">
      <c r="A533" s="58" t="n"/>
      <c r="B533" s="59" t="n"/>
      <c r="C533" s="59" t="n"/>
      <c r="E533" s="16" t="n"/>
      <c r="F533" s="13" t="n"/>
      <c r="G533" s="16" t="n"/>
      <c r="H533" s="125" t="n"/>
      <c r="I533" s="14" t="n"/>
      <c r="J533" s="16" t="n"/>
      <c r="K533" s="125" t="n"/>
      <c r="L533" s="14" t="n"/>
      <c r="M533" s="16" t="n"/>
      <c r="N533" s="125" t="n"/>
      <c r="O533" s="14" t="n"/>
      <c r="P533" s="16" t="n"/>
      <c r="Q533" s="125" t="n"/>
      <c r="R533" s="14" t="n"/>
      <c r="S533" s="16" t="n"/>
      <c r="T533" s="125" t="n"/>
      <c r="U533" s="14" t="n"/>
      <c r="V533" s="16" t="n"/>
      <c r="W533" s="125" t="n"/>
      <c r="X533" s="14" t="n"/>
      <c r="Y533" s="16" t="n"/>
      <c r="Z533" s="125" t="n"/>
      <c r="AA533" s="14" t="n"/>
      <c r="AB533" s="16" t="n"/>
      <c r="AC533" s="125" t="n"/>
      <c r="AD533" s="14" t="n"/>
    </row>
    <row r="534">
      <c r="A534" s="56" t="n"/>
      <c r="B534" s="59" t="n"/>
      <c r="C534" s="59" t="n"/>
      <c r="E534" s="16" t="n"/>
      <c r="F534" s="13" t="n"/>
      <c r="G534" s="16" t="n"/>
      <c r="H534" s="125" t="n"/>
      <c r="I534" s="14" t="n"/>
      <c r="J534" s="16" t="n"/>
      <c r="K534" s="125" t="n"/>
      <c r="L534" s="14" t="n"/>
      <c r="M534" s="16" t="n"/>
      <c r="N534" s="125" t="n"/>
      <c r="O534" s="14" t="n"/>
      <c r="P534" s="16" t="n"/>
      <c r="Q534" s="125" t="n"/>
      <c r="R534" s="14" t="n"/>
      <c r="S534" s="16" t="n"/>
      <c r="T534" s="125" t="n"/>
      <c r="U534" s="14" t="n"/>
      <c r="V534" s="16" t="n"/>
      <c r="W534" s="125" t="n"/>
      <c r="X534" s="14" t="n"/>
      <c r="Y534" s="16" t="n"/>
      <c r="Z534" s="125" t="n"/>
      <c r="AA534" s="14" t="n"/>
      <c r="AB534" s="16" t="n"/>
      <c r="AC534" s="125" t="n"/>
      <c r="AD534" s="14" t="n"/>
    </row>
    <row r="535">
      <c r="A535" s="58" t="n"/>
      <c r="B535" s="59" t="n"/>
      <c r="C535" s="59" t="n"/>
      <c r="E535" s="16" t="n"/>
      <c r="F535" s="13" t="n"/>
      <c r="G535" s="16" t="n"/>
      <c r="H535" s="125" t="n"/>
      <c r="I535" s="14" t="n"/>
      <c r="J535" s="16" t="n"/>
      <c r="K535" s="125" t="n"/>
      <c r="L535" s="14" t="n"/>
      <c r="M535" s="16" t="n"/>
      <c r="N535" s="125" t="n"/>
      <c r="O535" s="14" t="n"/>
      <c r="P535" s="16" t="n"/>
      <c r="Q535" s="125" t="n"/>
      <c r="R535" s="14" t="n"/>
      <c r="S535" s="16" t="n"/>
      <c r="T535" s="125" t="n"/>
      <c r="U535" s="14" t="n"/>
      <c r="V535" s="16" t="n"/>
      <c r="W535" s="125" t="n"/>
      <c r="X535" s="14" t="n"/>
      <c r="Y535" s="16" t="n"/>
      <c r="Z535" s="125" t="n"/>
      <c r="AA535" s="14" t="n"/>
      <c r="AB535" s="16" t="n"/>
      <c r="AC535" s="125" t="n"/>
      <c r="AD535" s="14" t="n"/>
    </row>
    <row r="536">
      <c r="A536" s="56" t="n"/>
      <c r="B536" s="59" t="n"/>
      <c r="C536" s="59" t="n"/>
      <c r="E536" s="16" t="n"/>
      <c r="F536" s="13" t="n"/>
      <c r="G536" s="16" t="n"/>
      <c r="H536" s="125" t="n"/>
      <c r="I536" s="14" t="n"/>
      <c r="J536" s="16" t="n"/>
      <c r="K536" s="125" t="n"/>
      <c r="L536" s="14" t="n"/>
      <c r="M536" s="16" t="n"/>
      <c r="N536" s="125" t="n"/>
      <c r="O536" s="14" t="n"/>
      <c r="P536" s="16" t="n"/>
      <c r="Q536" s="125" t="n"/>
      <c r="R536" s="14" t="n"/>
      <c r="S536" s="16" t="n"/>
      <c r="T536" s="125" t="n"/>
      <c r="U536" s="14" t="n"/>
      <c r="V536" s="16" t="n"/>
      <c r="W536" s="125" t="n"/>
      <c r="X536" s="14" t="n"/>
      <c r="Y536" s="16" t="n"/>
      <c r="Z536" s="125" t="n"/>
      <c r="AA536" s="14" t="n"/>
      <c r="AB536" s="16" t="n"/>
      <c r="AC536" s="125" t="n"/>
      <c r="AD536" s="14" t="n"/>
    </row>
    <row r="537">
      <c r="A537" s="58" t="n"/>
      <c r="B537" s="59" t="n"/>
      <c r="C537" s="59" t="n"/>
      <c r="E537" s="16" t="n"/>
      <c r="F537" s="13" t="n"/>
      <c r="G537" s="16" t="n"/>
      <c r="H537" s="125" t="n"/>
      <c r="I537" s="14" t="n"/>
      <c r="J537" s="16" t="n"/>
      <c r="K537" s="125" t="n"/>
      <c r="L537" s="14" t="n"/>
      <c r="M537" s="16" t="n"/>
      <c r="N537" s="125" t="n"/>
      <c r="O537" s="14" t="n"/>
      <c r="P537" s="16" t="n"/>
      <c r="Q537" s="125" t="n"/>
      <c r="R537" s="14" t="n"/>
      <c r="S537" s="16" t="n"/>
      <c r="T537" s="125" t="n"/>
      <c r="U537" s="14" t="n"/>
      <c r="V537" s="16" t="n"/>
      <c r="W537" s="125" t="n"/>
      <c r="X537" s="14" t="n"/>
      <c r="Y537" s="16" t="n"/>
      <c r="Z537" s="125" t="n"/>
      <c r="AA537" s="14" t="n"/>
      <c r="AB537" s="16" t="n"/>
      <c r="AC537" s="125" t="n"/>
      <c r="AD537" s="14" t="n"/>
    </row>
    <row r="538">
      <c r="A538" s="56" t="n"/>
      <c r="B538" s="59" t="n"/>
      <c r="C538" s="59" t="n"/>
      <c r="E538" s="16" t="n"/>
      <c r="F538" s="13" t="n"/>
      <c r="G538" s="16" t="n"/>
      <c r="H538" s="125" t="n"/>
      <c r="I538" s="14" t="n"/>
      <c r="J538" s="16" t="n"/>
      <c r="K538" s="125" t="n"/>
      <c r="L538" s="14" t="n"/>
      <c r="M538" s="16" t="n"/>
      <c r="N538" s="125" t="n"/>
      <c r="O538" s="14" t="n"/>
      <c r="P538" s="16" t="n"/>
      <c r="Q538" s="125" t="n"/>
      <c r="R538" s="14" t="n"/>
      <c r="S538" s="16" t="n"/>
      <c r="T538" s="125" t="n"/>
      <c r="U538" s="14" t="n"/>
      <c r="V538" s="16" t="n"/>
      <c r="W538" s="125" t="n"/>
      <c r="X538" s="14" t="n"/>
      <c r="Y538" s="16" t="n"/>
      <c r="Z538" s="125" t="n"/>
      <c r="AA538" s="14" t="n"/>
      <c r="AB538" s="16" t="n"/>
      <c r="AC538" s="125" t="n"/>
      <c r="AD538" s="14" t="n"/>
    </row>
    <row r="539">
      <c r="A539" s="58" t="n"/>
      <c r="B539" s="59" t="n"/>
      <c r="C539" s="59" t="n"/>
      <c r="E539" s="16" t="n"/>
      <c r="F539" s="13" t="n"/>
      <c r="G539" s="16" t="n"/>
      <c r="H539" s="125" t="n"/>
      <c r="I539" s="14" t="n"/>
      <c r="J539" s="16" t="n"/>
      <c r="K539" s="125" t="n"/>
      <c r="L539" s="14" t="n"/>
      <c r="M539" s="16" t="n"/>
      <c r="N539" s="125" t="n"/>
      <c r="O539" s="14" t="n"/>
      <c r="P539" s="16" t="n"/>
      <c r="Q539" s="125" t="n"/>
      <c r="R539" s="14" t="n"/>
      <c r="S539" s="16" t="n"/>
      <c r="T539" s="125" t="n"/>
      <c r="U539" s="14" t="n"/>
      <c r="V539" s="16" t="n"/>
      <c r="W539" s="125" t="n"/>
      <c r="X539" s="14" t="n"/>
      <c r="Y539" s="16" t="n"/>
      <c r="Z539" s="125" t="n"/>
      <c r="AA539" s="14" t="n"/>
      <c r="AB539" s="16" t="n"/>
      <c r="AC539" s="125" t="n"/>
      <c r="AD539" s="14" t="n"/>
    </row>
    <row r="540">
      <c r="A540" s="56" t="n"/>
      <c r="B540" s="59" t="n"/>
      <c r="C540" s="59" t="n"/>
      <c r="E540" s="16" t="n"/>
      <c r="F540" s="13" t="n"/>
      <c r="G540" s="16" t="n"/>
      <c r="H540" s="125" t="n"/>
      <c r="I540" s="14" t="n"/>
      <c r="J540" s="16" t="n"/>
      <c r="K540" s="125" t="n"/>
      <c r="L540" s="14" t="n"/>
      <c r="M540" s="16" t="n"/>
      <c r="N540" s="125" t="n"/>
      <c r="O540" s="14" t="n"/>
      <c r="P540" s="16" t="n"/>
      <c r="Q540" s="125" t="n"/>
      <c r="R540" s="14" t="n"/>
      <c r="S540" s="16" t="n"/>
      <c r="T540" s="125" t="n"/>
      <c r="U540" s="14" t="n"/>
      <c r="V540" s="16" t="n"/>
      <c r="W540" s="125" t="n"/>
      <c r="X540" s="14" t="n"/>
      <c r="Y540" s="16" t="n"/>
      <c r="Z540" s="125" t="n"/>
      <c r="AA540" s="14" t="n"/>
      <c r="AB540" s="16" t="n"/>
      <c r="AC540" s="125" t="n"/>
      <c r="AD540" s="14" t="n"/>
    </row>
    <row r="541">
      <c r="A541" s="58" t="n"/>
      <c r="B541" s="59" t="n"/>
      <c r="C541" s="59" t="n"/>
      <c r="E541" s="16" t="n"/>
      <c r="F541" s="13" t="n"/>
      <c r="G541" s="16" t="n"/>
      <c r="H541" s="125" t="n"/>
      <c r="I541" s="14" t="n"/>
      <c r="J541" s="16" t="n"/>
      <c r="K541" s="125" t="n"/>
      <c r="L541" s="14" t="n"/>
      <c r="M541" s="16" t="n"/>
      <c r="N541" s="125" t="n"/>
      <c r="O541" s="14" t="n"/>
      <c r="P541" s="16" t="n"/>
      <c r="Q541" s="125" t="n"/>
      <c r="R541" s="14" t="n"/>
      <c r="S541" s="16" t="n"/>
      <c r="T541" s="125" t="n"/>
      <c r="U541" s="14" t="n"/>
      <c r="V541" s="16" t="n"/>
      <c r="W541" s="125" t="n"/>
      <c r="X541" s="14" t="n"/>
      <c r="Y541" s="16" t="n"/>
      <c r="Z541" s="125" t="n"/>
      <c r="AA541" s="14" t="n"/>
      <c r="AB541" s="16" t="n"/>
      <c r="AC541" s="125" t="n"/>
      <c r="AD541" s="14" t="n"/>
    </row>
    <row r="542">
      <c r="A542" s="56" t="n"/>
      <c r="B542" s="59" t="n"/>
      <c r="C542" s="59" t="n"/>
      <c r="E542" s="16" t="n"/>
      <c r="F542" s="13" t="n"/>
      <c r="G542" s="16" t="n"/>
      <c r="H542" s="125" t="n"/>
      <c r="I542" s="14" t="n"/>
      <c r="J542" s="16" t="n"/>
      <c r="K542" s="125" t="n"/>
      <c r="L542" s="14" t="n"/>
      <c r="M542" s="16" t="n"/>
      <c r="N542" s="125" t="n"/>
      <c r="O542" s="14" t="n"/>
      <c r="P542" s="16" t="n"/>
      <c r="Q542" s="125" t="n"/>
      <c r="R542" s="14" t="n"/>
      <c r="S542" s="16" t="n"/>
      <c r="T542" s="125" t="n"/>
      <c r="U542" s="14" t="n"/>
      <c r="V542" s="16" t="n"/>
      <c r="W542" s="125" t="n"/>
      <c r="X542" s="14" t="n"/>
      <c r="Y542" s="16" t="n"/>
      <c r="Z542" s="125" t="n"/>
      <c r="AA542" s="14" t="n"/>
      <c r="AB542" s="16" t="n"/>
      <c r="AC542" s="125" t="n"/>
      <c r="AD542" s="14" t="n"/>
    </row>
    <row r="543">
      <c r="A543" s="58" t="n"/>
      <c r="B543" s="59" t="n"/>
      <c r="C543" s="59" t="n"/>
      <c r="E543" s="16" t="n"/>
      <c r="F543" s="13" t="n"/>
      <c r="G543" s="16" t="n"/>
      <c r="H543" s="125" t="n"/>
      <c r="I543" s="14" t="n"/>
      <c r="J543" s="16" t="n"/>
      <c r="K543" s="125" t="n"/>
      <c r="L543" s="14" t="n"/>
      <c r="M543" s="16" t="n"/>
      <c r="N543" s="125" t="n"/>
      <c r="O543" s="14" t="n"/>
      <c r="P543" s="16" t="n"/>
      <c r="Q543" s="125" t="n"/>
      <c r="R543" s="14" t="n"/>
      <c r="S543" s="16" t="n"/>
      <c r="T543" s="125" t="n"/>
      <c r="U543" s="14" t="n"/>
      <c r="V543" s="16" t="n"/>
      <c r="W543" s="125" t="n"/>
      <c r="X543" s="14" t="n"/>
      <c r="Y543" s="16" t="n"/>
      <c r="Z543" s="125" t="n"/>
      <c r="AA543" s="14" t="n"/>
      <c r="AB543" s="16" t="n"/>
      <c r="AC543" s="125" t="n"/>
      <c r="AD543" s="14" t="n"/>
    </row>
    <row r="544">
      <c r="A544" s="56" t="n"/>
      <c r="B544" s="59" t="n"/>
      <c r="C544" s="59" t="n"/>
      <c r="E544" s="16" t="n"/>
      <c r="F544" s="13" t="n"/>
      <c r="G544" s="16" t="n"/>
      <c r="H544" s="125" t="n"/>
      <c r="I544" s="14" t="n"/>
      <c r="J544" s="16" t="n"/>
      <c r="K544" s="125" t="n"/>
      <c r="L544" s="14" t="n"/>
      <c r="M544" s="16" t="n"/>
      <c r="N544" s="125" t="n"/>
      <c r="O544" s="14" t="n"/>
      <c r="P544" s="16" t="n"/>
      <c r="Q544" s="125" t="n"/>
      <c r="R544" s="14" t="n"/>
      <c r="S544" s="16" t="n"/>
      <c r="T544" s="125" t="n"/>
      <c r="U544" s="14" t="n"/>
      <c r="V544" s="16" t="n"/>
      <c r="W544" s="125" t="n"/>
      <c r="X544" s="14" t="n"/>
      <c r="Y544" s="16" t="n"/>
      <c r="Z544" s="125" t="n"/>
      <c r="AA544" s="14" t="n"/>
      <c r="AB544" s="16" t="n"/>
      <c r="AC544" s="125" t="n"/>
      <c r="AD544" s="14" t="n"/>
    </row>
    <row r="545">
      <c r="A545" s="58" t="n"/>
      <c r="B545" s="59" t="n"/>
      <c r="C545" s="59" t="n"/>
      <c r="E545" s="16" t="n"/>
      <c r="F545" s="13" t="n"/>
      <c r="G545" s="16" t="n"/>
      <c r="H545" s="125" t="n"/>
      <c r="I545" s="14" t="n"/>
      <c r="J545" s="16" t="n"/>
      <c r="K545" s="125" t="n"/>
      <c r="L545" s="14" t="n"/>
      <c r="M545" s="16" t="n"/>
      <c r="N545" s="125" t="n"/>
      <c r="O545" s="14" t="n"/>
      <c r="P545" s="16" t="n"/>
      <c r="Q545" s="125" t="n"/>
      <c r="R545" s="14" t="n"/>
      <c r="S545" s="16" t="n"/>
      <c r="T545" s="125" t="n"/>
      <c r="U545" s="14" t="n"/>
      <c r="V545" s="16" t="n"/>
      <c r="W545" s="125" t="n"/>
      <c r="X545" s="14" t="n"/>
      <c r="Y545" s="16" t="n"/>
      <c r="Z545" s="125" t="n"/>
      <c r="AA545" s="14" t="n"/>
      <c r="AB545" s="16" t="n"/>
      <c r="AC545" s="125" t="n"/>
      <c r="AD545" s="14" t="n"/>
    </row>
    <row r="546">
      <c r="A546" s="56" t="n"/>
      <c r="B546" s="59" t="n"/>
      <c r="C546" s="59" t="n"/>
      <c r="E546" s="16" t="n"/>
      <c r="F546" s="13" t="n"/>
      <c r="G546" s="16" t="n"/>
      <c r="H546" s="125" t="n"/>
      <c r="I546" s="14" t="n"/>
      <c r="J546" s="16" t="n"/>
      <c r="K546" s="125" t="n"/>
      <c r="L546" s="14" t="n"/>
      <c r="M546" s="16" t="n"/>
      <c r="N546" s="125" t="n"/>
      <c r="O546" s="14" t="n"/>
      <c r="P546" s="16" t="n"/>
      <c r="Q546" s="125" t="n"/>
      <c r="R546" s="14" t="n"/>
      <c r="S546" s="16" t="n"/>
      <c r="T546" s="125" t="n"/>
      <c r="U546" s="14" t="n"/>
      <c r="V546" s="16" t="n"/>
      <c r="W546" s="125" t="n"/>
      <c r="X546" s="14" t="n"/>
      <c r="Y546" s="16" t="n"/>
      <c r="Z546" s="125" t="n"/>
      <c r="AA546" s="14" t="n"/>
      <c r="AB546" s="16" t="n"/>
      <c r="AC546" s="125" t="n"/>
      <c r="AD546" s="14" t="n"/>
    </row>
    <row r="547">
      <c r="A547" s="58" t="n"/>
      <c r="B547" s="59" t="n"/>
      <c r="C547" s="59" t="n"/>
      <c r="E547" s="16" t="n"/>
      <c r="F547" s="13" t="n"/>
      <c r="G547" s="16" t="n"/>
      <c r="H547" s="125" t="n"/>
      <c r="I547" s="14" t="n"/>
      <c r="J547" s="16" t="n"/>
      <c r="K547" s="125" t="n"/>
      <c r="L547" s="14" t="n"/>
      <c r="M547" s="16" t="n"/>
      <c r="N547" s="125" t="n"/>
      <c r="O547" s="14" t="n"/>
      <c r="P547" s="16" t="n"/>
      <c r="Q547" s="125" t="n"/>
      <c r="R547" s="14" t="n"/>
      <c r="S547" s="16" t="n"/>
      <c r="T547" s="125" t="n"/>
      <c r="U547" s="14" t="n"/>
      <c r="V547" s="16" t="n"/>
      <c r="W547" s="125" t="n"/>
      <c r="X547" s="14" t="n"/>
      <c r="Y547" s="16" t="n"/>
      <c r="Z547" s="125" t="n"/>
      <c r="AA547" s="14" t="n"/>
      <c r="AB547" s="16" t="n"/>
      <c r="AC547" s="125" t="n"/>
      <c r="AD547" s="14" t="n"/>
    </row>
    <row r="548">
      <c r="A548" s="56" t="n"/>
      <c r="B548" s="59" t="n"/>
      <c r="C548" s="59" t="n"/>
      <c r="E548" s="16" t="n"/>
      <c r="F548" s="13" t="n"/>
      <c r="G548" s="16" t="n"/>
      <c r="H548" s="125" t="n"/>
      <c r="I548" s="14" t="n"/>
      <c r="J548" s="16" t="n"/>
      <c r="K548" s="125" t="n"/>
      <c r="L548" s="14" t="n"/>
      <c r="M548" s="16" t="n"/>
      <c r="N548" s="125" t="n"/>
      <c r="O548" s="14" t="n"/>
      <c r="P548" s="16" t="n"/>
      <c r="Q548" s="125" t="n"/>
      <c r="R548" s="14" t="n"/>
      <c r="S548" s="16" t="n"/>
      <c r="T548" s="125" t="n"/>
      <c r="U548" s="14" t="n"/>
      <c r="V548" s="16" t="n"/>
      <c r="W548" s="125" t="n"/>
      <c r="X548" s="14" t="n"/>
      <c r="Y548" s="16" t="n"/>
      <c r="Z548" s="125" t="n"/>
      <c r="AA548" s="14" t="n"/>
      <c r="AB548" s="16" t="n"/>
      <c r="AC548" s="125" t="n"/>
      <c r="AD548" s="14" t="n"/>
    </row>
    <row r="549">
      <c r="A549" s="58" t="n"/>
      <c r="B549" s="59" t="n"/>
      <c r="C549" s="59" t="n"/>
      <c r="E549" s="16" t="n"/>
      <c r="F549" s="13" t="n"/>
      <c r="G549" s="16" t="n"/>
      <c r="H549" s="125" t="n"/>
      <c r="I549" s="14" t="n"/>
      <c r="J549" s="16" t="n"/>
      <c r="K549" s="125" t="n"/>
      <c r="L549" s="14" t="n"/>
      <c r="M549" s="16" t="n"/>
      <c r="N549" s="125" t="n"/>
      <c r="O549" s="14" t="n"/>
      <c r="P549" s="16" t="n"/>
      <c r="Q549" s="125" t="n"/>
      <c r="R549" s="14" t="n"/>
      <c r="S549" s="16" t="n"/>
      <c r="T549" s="125" t="n"/>
      <c r="U549" s="14" t="n"/>
      <c r="V549" s="16" t="n"/>
      <c r="W549" s="125" t="n"/>
      <c r="X549" s="14" t="n"/>
      <c r="Y549" s="16" t="n"/>
      <c r="Z549" s="125" t="n"/>
      <c r="AA549" s="14" t="n"/>
      <c r="AB549" s="16" t="n"/>
      <c r="AC549" s="125" t="n"/>
      <c r="AD549" s="14" t="n"/>
    </row>
    <row r="550">
      <c r="A550" s="56" t="n"/>
      <c r="B550" s="59" t="n"/>
      <c r="C550" s="59" t="n"/>
      <c r="E550" s="16" t="n"/>
      <c r="F550" s="13" t="n"/>
      <c r="G550" s="16" t="n"/>
      <c r="H550" s="125" t="n"/>
      <c r="I550" s="14" t="n"/>
      <c r="J550" s="16" t="n"/>
      <c r="K550" s="125" t="n"/>
      <c r="L550" s="14" t="n"/>
      <c r="M550" s="16" t="n"/>
      <c r="N550" s="125" t="n"/>
      <c r="O550" s="14" t="n"/>
      <c r="P550" s="16" t="n"/>
      <c r="Q550" s="125" t="n"/>
      <c r="R550" s="14" t="n"/>
      <c r="S550" s="16" t="n"/>
      <c r="T550" s="125" t="n"/>
      <c r="U550" s="14" t="n"/>
      <c r="V550" s="16" t="n"/>
      <c r="W550" s="125" t="n"/>
      <c r="X550" s="14" t="n"/>
      <c r="Y550" s="16" t="n"/>
      <c r="Z550" s="125" t="n"/>
      <c r="AA550" s="14" t="n"/>
      <c r="AB550" s="16" t="n"/>
      <c r="AC550" s="125" t="n"/>
      <c r="AD550" s="14" t="n"/>
    </row>
    <row r="551">
      <c r="A551" s="58" t="n"/>
      <c r="B551" s="59" t="n"/>
      <c r="C551" s="59" t="n"/>
      <c r="E551" s="16" t="n"/>
      <c r="F551" s="13" t="n"/>
      <c r="G551" s="16" t="n"/>
      <c r="H551" s="125" t="n"/>
      <c r="I551" s="14" t="n"/>
      <c r="J551" s="16" t="n"/>
      <c r="K551" s="125" t="n"/>
      <c r="L551" s="14" t="n"/>
      <c r="M551" s="16" t="n"/>
      <c r="N551" s="125" t="n"/>
      <c r="O551" s="14" t="n"/>
      <c r="P551" s="16" t="n"/>
      <c r="Q551" s="125" t="n"/>
      <c r="R551" s="14" t="n"/>
      <c r="S551" s="16" t="n"/>
      <c r="T551" s="125" t="n"/>
      <c r="U551" s="14" t="n"/>
      <c r="V551" s="16" t="n"/>
      <c r="W551" s="125" t="n"/>
      <c r="X551" s="14" t="n"/>
      <c r="Y551" s="16" t="n"/>
      <c r="Z551" s="125" t="n"/>
      <c r="AA551" s="14" t="n"/>
      <c r="AB551" s="16" t="n"/>
      <c r="AC551" s="125" t="n"/>
      <c r="AD551" s="14" t="n"/>
    </row>
    <row r="552">
      <c r="A552" s="56" t="n"/>
      <c r="B552" s="59" t="n"/>
      <c r="C552" s="59" t="n"/>
      <c r="E552" s="16" t="n"/>
      <c r="F552" s="13" t="n"/>
      <c r="G552" s="16" t="n"/>
      <c r="H552" s="125" t="n"/>
      <c r="I552" s="14" t="n"/>
      <c r="J552" s="16" t="n"/>
      <c r="K552" s="125" t="n"/>
      <c r="L552" s="14" t="n"/>
      <c r="M552" s="16" t="n"/>
      <c r="N552" s="125" t="n"/>
      <c r="O552" s="14" t="n"/>
      <c r="P552" s="16" t="n"/>
      <c r="Q552" s="125" t="n"/>
      <c r="R552" s="14" t="n"/>
      <c r="S552" s="16" t="n"/>
      <c r="T552" s="125" t="n"/>
      <c r="U552" s="14" t="n"/>
      <c r="V552" s="16" t="n"/>
      <c r="W552" s="125" t="n"/>
      <c r="X552" s="14" t="n"/>
      <c r="Y552" s="16" t="n"/>
      <c r="Z552" s="125" t="n"/>
      <c r="AA552" s="14" t="n"/>
      <c r="AB552" s="16" t="n"/>
      <c r="AC552" s="125" t="n"/>
      <c r="AD552" s="14" t="n"/>
    </row>
    <row r="553">
      <c r="A553" s="58" t="n"/>
      <c r="B553" s="59" t="n"/>
      <c r="C553" s="59" t="n"/>
      <c r="E553" s="16" t="n"/>
      <c r="F553" s="13" t="n"/>
      <c r="G553" s="16" t="n"/>
      <c r="H553" s="125" t="n"/>
      <c r="I553" s="14" t="n"/>
      <c r="J553" s="16" t="n"/>
      <c r="K553" s="125" t="n"/>
      <c r="L553" s="14" t="n"/>
      <c r="M553" s="16" t="n"/>
      <c r="N553" s="125" t="n"/>
      <c r="O553" s="14" t="n"/>
      <c r="P553" s="16" t="n"/>
      <c r="Q553" s="125" t="n"/>
      <c r="R553" s="14" t="n"/>
      <c r="S553" s="16" t="n"/>
      <c r="T553" s="125" t="n"/>
      <c r="U553" s="14" t="n"/>
      <c r="V553" s="16" t="n"/>
      <c r="W553" s="125" t="n"/>
      <c r="X553" s="14" t="n"/>
      <c r="Y553" s="16" t="n"/>
      <c r="Z553" s="125" t="n"/>
      <c r="AA553" s="14" t="n"/>
      <c r="AB553" s="16" t="n"/>
      <c r="AC553" s="125" t="n"/>
      <c r="AD553" s="14" t="n"/>
    </row>
    <row r="554">
      <c r="A554" s="56" t="n"/>
      <c r="B554" s="59" t="n"/>
      <c r="C554" s="59" t="n"/>
      <c r="E554" s="16" t="n"/>
      <c r="F554" s="13" t="n"/>
      <c r="G554" s="16" t="n"/>
      <c r="H554" s="125" t="n"/>
      <c r="I554" s="14" t="n"/>
      <c r="J554" s="16" t="n"/>
      <c r="K554" s="125" t="n"/>
      <c r="L554" s="14" t="n"/>
      <c r="M554" s="16" t="n"/>
      <c r="N554" s="125" t="n"/>
      <c r="O554" s="14" t="n"/>
      <c r="P554" s="16" t="n"/>
      <c r="Q554" s="125" t="n"/>
      <c r="R554" s="14" t="n"/>
      <c r="S554" s="16" t="n"/>
      <c r="T554" s="125" t="n"/>
      <c r="U554" s="14" t="n"/>
      <c r="V554" s="16" t="n"/>
      <c r="W554" s="125" t="n"/>
      <c r="X554" s="14" t="n"/>
      <c r="Y554" s="16" t="n"/>
      <c r="Z554" s="125" t="n"/>
      <c r="AA554" s="14" t="n"/>
      <c r="AB554" s="16" t="n"/>
      <c r="AC554" s="125" t="n"/>
      <c r="AD554" s="14" t="n"/>
    </row>
    <row r="555">
      <c r="A555" s="58" t="n"/>
      <c r="B555" s="59" t="n"/>
      <c r="C555" s="59" t="n"/>
      <c r="E555" s="16" t="n"/>
      <c r="F555" s="13" t="n"/>
      <c r="G555" s="16" t="n"/>
      <c r="H555" s="125" t="n"/>
      <c r="I555" s="14" t="n"/>
      <c r="J555" s="16" t="n"/>
      <c r="K555" s="125" t="n"/>
      <c r="L555" s="14" t="n"/>
      <c r="M555" s="16" t="n"/>
      <c r="N555" s="125" t="n"/>
      <c r="O555" s="14" t="n"/>
      <c r="P555" s="16" t="n"/>
      <c r="Q555" s="125" t="n"/>
      <c r="R555" s="14" t="n"/>
      <c r="S555" s="16" t="n"/>
      <c r="T555" s="125" t="n"/>
      <c r="U555" s="14" t="n"/>
      <c r="V555" s="16" t="n"/>
      <c r="W555" s="125" t="n"/>
      <c r="X555" s="14" t="n"/>
      <c r="Y555" s="16" t="n"/>
      <c r="Z555" s="125" t="n"/>
      <c r="AA555" s="14" t="n"/>
      <c r="AB555" s="16" t="n"/>
      <c r="AC555" s="125" t="n"/>
      <c r="AD555" s="14" t="n"/>
    </row>
    <row r="556">
      <c r="A556" s="56" t="n"/>
      <c r="B556" s="59" t="n"/>
      <c r="C556" s="59" t="n"/>
      <c r="E556" s="16" t="n"/>
      <c r="F556" s="13" t="n"/>
      <c r="G556" s="16" t="n"/>
      <c r="H556" s="125" t="n"/>
      <c r="I556" s="14" t="n"/>
      <c r="J556" s="16" t="n"/>
      <c r="K556" s="125" t="n"/>
      <c r="L556" s="14" t="n"/>
      <c r="M556" s="16" t="n"/>
      <c r="N556" s="125" t="n"/>
      <c r="O556" s="14" t="n"/>
      <c r="P556" s="16" t="n"/>
      <c r="Q556" s="125" t="n"/>
      <c r="R556" s="14" t="n"/>
      <c r="S556" s="16" t="n"/>
      <c r="T556" s="125" t="n"/>
      <c r="U556" s="14" t="n"/>
      <c r="V556" s="16" t="n"/>
      <c r="W556" s="125" t="n"/>
      <c r="X556" s="14" t="n"/>
      <c r="Y556" s="16" t="n"/>
      <c r="Z556" s="125" t="n"/>
      <c r="AA556" s="14" t="n"/>
      <c r="AB556" s="16" t="n"/>
      <c r="AC556" s="125" t="n"/>
      <c r="AD556" s="14" t="n"/>
    </row>
    <row r="557">
      <c r="A557" s="58" t="n"/>
      <c r="B557" s="59" t="n"/>
      <c r="C557" s="59" t="n"/>
      <c r="E557" s="16" t="n"/>
      <c r="F557" s="13" t="n"/>
      <c r="G557" s="16" t="n"/>
      <c r="H557" s="125" t="n"/>
      <c r="I557" s="14" t="n"/>
      <c r="J557" s="16" t="n"/>
      <c r="K557" s="125" t="n"/>
      <c r="L557" s="14" t="n"/>
      <c r="M557" s="16" t="n"/>
      <c r="N557" s="125" t="n"/>
      <c r="O557" s="14" t="n"/>
      <c r="P557" s="16" t="n"/>
      <c r="Q557" s="125" t="n"/>
      <c r="R557" s="14" t="n"/>
      <c r="S557" s="16" t="n"/>
      <c r="T557" s="125" t="n"/>
      <c r="U557" s="14" t="n"/>
      <c r="V557" s="16" t="n"/>
      <c r="W557" s="125" t="n"/>
      <c r="X557" s="14" t="n"/>
      <c r="Y557" s="16" t="n"/>
      <c r="Z557" s="125" t="n"/>
      <c r="AA557" s="14" t="n"/>
      <c r="AB557" s="16" t="n"/>
      <c r="AC557" s="125" t="n"/>
      <c r="AD557" s="14" t="n"/>
    </row>
    <row r="558">
      <c r="A558" s="56" t="n"/>
      <c r="B558" s="59" t="n"/>
      <c r="C558" s="59" t="n"/>
      <c r="E558" s="16" t="n"/>
      <c r="F558" s="13" t="n"/>
      <c r="G558" s="16" t="n"/>
      <c r="H558" s="125" t="n"/>
      <c r="I558" s="14" t="n"/>
      <c r="J558" s="16" t="n"/>
      <c r="K558" s="125" t="n"/>
      <c r="L558" s="14" t="n"/>
      <c r="M558" s="16" t="n"/>
      <c r="N558" s="125" t="n"/>
      <c r="O558" s="14" t="n"/>
      <c r="P558" s="16" t="n"/>
      <c r="Q558" s="125" t="n"/>
      <c r="R558" s="14" t="n"/>
      <c r="S558" s="16" t="n"/>
      <c r="T558" s="125" t="n"/>
      <c r="U558" s="14" t="n"/>
      <c r="V558" s="16" t="n"/>
      <c r="W558" s="125" t="n"/>
      <c r="X558" s="14" t="n"/>
      <c r="Y558" s="16" t="n"/>
      <c r="Z558" s="125" t="n"/>
      <c r="AA558" s="14" t="n"/>
      <c r="AB558" s="16" t="n"/>
      <c r="AC558" s="125" t="n"/>
      <c r="AD558" s="14" t="n"/>
    </row>
    <row r="559">
      <c r="A559" s="58" t="n"/>
      <c r="B559" s="59" t="n"/>
      <c r="C559" s="59" t="n"/>
      <c r="E559" s="16" t="n"/>
      <c r="F559" s="13" t="n"/>
      <c r="G559" s="16" t="n"/>
      <c r="H559" s="125" t="n"/>
      <c r="I559" s="14" t="n"/>
      <c r="J559" s="16" t="n"/>
      <c r="K559" s="125" t="n"/>
      <c r="L559" s="14" t="n"/>
      <c r="M559" s="16" t="n"/>
      <c r="N559" s="125" t="n"/>
      <c r="O559" s="14" t="n"/>
      <c r="P559" s="16" t="n"/>
      <c r="Q559" s="125" t="n"/>
      <c r="R559" s="14" t="n"/>
      <c r="S559" s="16" t="n"/>
      <c r="T559" s="125" t="n"/>
      <c r="U559" s="14" t="n"/>
      <c r="V559" s="16" t="n"/>
      <c r="W559" s="125" t="n"/>
      <c r="X559" s="14" t="n"/>
      <c r="Y559" s="16" t="n"/>
      <c r="Z559" s="125" t="n"/>
      <c r="AA559" s="14" t="n"/>
      <c r="AB559" s="16" t="n"/>
      <c r="AC559" s="125" t="n"/>
      <c r="AD559" s="14" t="n"/>
    </row>
    <row r="560">
      <c r="A560" s="56" t="n"/>
      <c r="B560" s="59" t="n"/>
      <c r="C560" s="59" t="n"/>
      <c r="E560" s="16" t="n"/>
      <c r="F560" s="13" t="n"/>
      <c r="G560" s="16" t="n"/>
      <c r="H560" s="125" t="n"/>
      <c r="I560" s="14" t="n"/>
      <c r="J560" s="16" t="n"/>
      <c r="K560" s="125" t="n"/>
      <c r="L560" s="14" t="n"/>
      <c r="M560" s="16" t="n"/>
      <c r="N560" s="125" t="n"/>
      <c r="O560" s="14" t="n"/>
      <c r="P560" s="16" t="n"/>
      <c r="Q560" s="125" t="n"/>
      <c r="R560" s="14" t="n"/>
      <c r="S560" s="16" t="n"/>
      <c r="T560" s="125" t="n"/>
      <c r="U560" s="14" t="n"/>
      <c r="V560" s="16" t="n"/>
      <c r="W560" s="125" t="n"/>
      <c r="X560" s="14" t="n"/>
      <c r="Y560" s="16" t="n"/>
      <c r="Z560" s="125" t="n"/>
      <c r="AA560" s="14" t="n"/>
      <c r="AB560" s="16" t="n"/>
      <c r="AC560" s="125" t="n"/>
      <c r="AD560" s="14" t="n"/>
    </row>
    <row r="561">
      <c r="A561" s="58" t="n"/>
      <c r="B561" s="59" t="n"/>
      <c r="C561" s="59" t="n"/>
      <c r="E561" s="16" t="n"/>
      <c r="F561" s="13" t="n"/>
      <c r="G561" s="16" t="n"/>
      <c r="H561" s="125" t="n"/>
      <c r="I561" s="14" t="n"/>
      <c r="J561" s="16" t="n"/>
      <c r="K561" s="125" t="n"/>
      <c r="L561" s="14" t="n"/>
      <c r="M561" s="16" t="n"/>
      <c r="N561" s="125" t="n"/>
      <c r="O561" s="14" t="n"/>
      <c r="P561" s="16" t="n"/>
      <c r="Q561" s="125" t="n"/>
      <c r="R561" s="14" t="n"/>
      <c r="S561" s="16" t="n"/>
      <c r="T561" s="125" t="n"/>
      <c r="U561" s="14" t="n"/>
      <c r="V561" s="16" t="n"/>
      <c r="W561" s="125" t="n"/>
      <c r="X561" s="14" t="n"/>
      <c r="Y561" s="16" t="n"/>
      <c r="Z561" s="125" t="n"/>
      <c r="AA561" s="14" t="n"/>
      <c r="AB561" s="16" t="n"/>
      <c r="AC561" s="125" t="n"/>
      <c r="AD561" s="14" t="n"/>
    </row>
    <row r="562">
      <c r="A562" s="56" t="n"/>
      <c r="B562" s="59" t="n"/>
      <c r="C562" s="59" t="n"/>
      <c r="E562" s="16" t="n"/>
      <c r="F562" s="13" t="n"/>
      <c r="G562" s="16" t="n"/>
      <c r="H562" s="125" t="n"/>
      <c r="I562" s="14" t="n"/>
      <c r="J562" s="16" t="n"/>
      <c r="K562" s="125" t="n"/>
      <c r="L562" s="14" t="n"/>
      <c r="M562" s="16" t="n"/>
      <c r="N562" s="125" t="n"/>
      <c r="O562" s="14" t="n"/>
      <c r="P562" s="16" t="n"/>
      <c r="Q562" s="125" t="n"/>
      <c r="R562" s="14" t="n"/>
      <c r="S562" s="16" t="n"/>
      <c r="T562" s="125" t="n"/>
      <c r="U562" s="14" t="n"/>
      <c r="V562" s="16" t="n"/>
      <c r="W562" s="125" t="n"/>
      <c r="X562" s="14" t="n"/>
      <c r="Y562" s="16" t="n"/>
      <c r="Z562" s="125" t="n"/>
      <c r="AA562" s="14" t="n"/>
      <c r="AB562" s="16" t="n"/>
      <c r="AC562" s="125" t="n"/>
      <c r="AD562" s="14" t="n"/>
    </row>
    <row r="563">
      <c r="A563" s="58" t="n"/>
      <c r="B563" s="59" t="n"/>
      <c r="C563" s="59" t="n"/>
      <c r="E563" s="16" t="n"/>
      <c r="F563" s="13" t="n"/>
      <c r="G563" s="16" t="n"/>
      <c r="H563" s="125" t="n"/>
      <c r="I563" s="14" t="n"/>
      <c r="J563" s="16" t="n"/>
      <c r="K563" s="125" t="n"/>
      <c r="L563" s="14" t="n"/>
      <c r="M563" s="16" t="n"/>
      <c r="N563" s="125" t="n"/>
      <c r="O563" s="14" t="n"/>
      <c r="P563" s="16" t="n"/>
      <c r="Q563" s="125" t="n"/>
      <c r="R563" s="14" t="n"/>
      <c r="S563" s="16" t="n"/>
      <c r="T563" s="125" t="n"/>
      <c r="U563" s="14" t="n"/>
      <c r="V563" s="16" t="n"/>
      <c r="W563" s="125" t="n"/>
      <c r="X563" s="14" t="n"/>
      <c r="Y563" s="16" t="n"/>
      <c r="Z563" s="125" t="n"/>
      <c r="AA563" s="14" t="n"/>
      <c r="AB563" s="16" t="n"/>
      <c r="AC563" s="125" t="n"/>
      <c r="AD563" s="14" t="n"/>
    </row>
    <row r="564">
      <c r="A564" s="56" t="n"/>
      <c r="B564" s="59" t="n"/>
      <c r="C564" s="59" t="n"/>
      <c r="E564" s="16" t="n"/>
      <c r="F564" s="13" t="n"/>
      <c r="G564" s="16" t="n"/>
      <c r="H564" s="125" t="n"/>
      <c r="I564" s="14" t="n"/>
      <c r="J564" s="16" t="n"/>
      <c r="K564" s="125" t="n"/>
      <c r="L564" s="14" t="n"/>
      <c r="M564" s="16" t="n"/>
      <c r="N564" s="125" t="n"/>
      <c r="O564" s="14" t="n"/>
      <c r="P564" s="16" t="n"/>
      <c r="Q564" s="125" t="n"/>
      <c r="R564" s="14" t="n"/>
      <c r="S564" s="16" t="n"/>
      <c r="T564" s="125" t="n"/>
      <c r="U564" s="14" t="n"/>
      <c r="V564" s="16" t="n"/>
      <c r="W564" s="125" t="n"/>
      <c r="X564" s="14" t="n"/>
      <c r="Y564" s="16" t="n"/>
      <c r="Z564" s="125" t="n"/>
      <c r="AA564" s="14" t="n"/>
      <c r="AB564" s="16" t="n"/>
      <c r="AC564" s="125" t="n"/>
      <c r="AD564" s="14" t="n"/>
    </row>
    <row r="565">
      <c r="A565" s="58" t="n"/>
      <c r="B565" s="59" t="n"/>
      <c r="C565" s="59" t="n"/>
      <c r="E565" s="16" t="n"/>
      <c r="F565" s="13" t="n"/>
      <c r="G565" s="16" t="n"/>
      <c r="H565" s="125" t="n"/>
      <c r="I565" s="14" t="n"/>
      <c r="J565" s="16" t="n"/>
      <c r="K565" s="125" t="n"/>
      <c r="L565" s="14" t="n"/>
      <c r="M565" s="16" t="n"/>
      <c r="N565" s="125" t="n"/>
      <c r="O565" s="14" t="n"/>
      <c r="P565" s="16" t="n"/>
      <c r="Q565" s="125" t="n"/>
      <c r="R565" s="14" t="n"/>
      <c r="S565" s="16" t="n"/>
      <c r="T565" s="125" t="n"/>
      <c r="U565" s="14" t="n"/>
      <c r="V565" s="16" t="n"/>
      <c r="W565" s="125" t="n"/>
      <c r="X565" s="14" t="n"/>
      <c r="Y565" s="16" t="n"/>
      <c r="Z565" s="125" t="n"/>
      <c r="AA565" s="14" t="n"/>
      <c r="AB565" s="16" t="n"/>
      <c r="AC565" s="125" t="n"/>
      <c r="AD565" s="14" t="n"/>
    </row>
    <row r="566">
      <c r="A566" s="56" t="n"/>
      <c r="B566" s="59" t="n"/>
      <c r="C566" s="59" t="n"/>
      <c r="E566" s="16" t="n"/>
      <c r="F566" s="13" t="n"/>
      <c r="G566" s="16" t="n"/>
      <c r="H566" s="125" t="n"/>
      <c r="I566" s="14" t="n"/>
      <c r="J566" s="16" t="n"/>
      <c r="K566" s="125" t="n"/>
      <c r="L566" s="14" t="n"/>
      <c r="M566" s="16" t="n"/>
      <c r="N566" s="125" t="n"/>
      <c r="O566" s="14" t="n"/>
      <c r="P566" s="16" t="n"/>
      <c r="Q566" s="125" t="n"/>
      <c r="R566" s="14" t="n"/>
      <c r="S566" s="16" t="n"/>
      <c r="T566" s="125" t="n"/>
      <c r="U566" s="14" t="n"/>
      <c r="V566" s="16" t="n"/>
      <c r="W566" s="125" t="n"/>
      <c r="X566" s="14" t="n"/>
      <c r="Y566" s="16" t="n"/>
      <c r="Z566" s="125" t="n"/>
      <c r="AA566" s="14" t="n"/>
      <c r="AB566" s="16" t="n"/>
      <c r="AC566" s="125" t="n"/>
      <c r="AD566" s="14" t="n"/>
    </row>
    <row r="567">
      <c r="A567" s="58" t="n"/>
      <c r="B567" s="59" t="n"/>
      <c r="C567" s="59" t="n"/>
      <c r="E567" s="16" t="n"/>
      <c r="F567" s="13" t="n"/>
      <c r="G567" s="16" t="n"/>
      <c r="H567" s="125" t="n"/>
      <c r="I567" s="14" t="n"/>
      <c r="J567" s="16" t="n"/>
      <c r="K567" s="125" t="n"/>
      <c r="L567" s="14" t="n"/>
      <c r="M567" s="16" t="n"/>
      <c r="N567" s="125" t="n"/>
      <c r="O567" s="14" t="n"/>
      <c r="P567" s="16" t="n"/>
      <c r="Q567" s="125" t="n"/>
      <c r="R567" s="14" t="n"/>
      <c r="S567" s="16" t="n"/>
      <c r="T567" s="125" t="n"/>
      <c r="U567" s="14" t="n"/>
      <c r="V567" s="16" t="n"/>
      <c r="W567" s="125" t="n"/>
      <c r="X567" s="14" t="n"/>
      <c r="Y567" s="16" t="n"/>
      <c r="Z567" s="125" t="n"/>
      <c r="AA567" s="14" t="n"/>
      <c r="AB567" s="16" t="n"/>
      <c r="AC567" s="125" t="n"/>
      <c r="AD567" s="14" t="n"/>
    </row>
    <row r="568">
      <c r="A568" s="56" t="n"/>
      <c r="B568" s="59" t="n"/>
      <c r="C568" s="59" t="n"/>
      <c r="E568" s="16" t="n"/>
      <c r="F568" s="13" t="n"/>
      <c r="G568" s="16" t="n"/>
      <c r="H568" s="125" t="n"/>
      <c r="I568" s="14" t="n"/>
      <c r="J568" s="16" t="n"/>
      <c r="K568" s="125" t="n"/>
      <c r="L568" s="14" t="n"/>
      <c r="M568" s="16" t="n"/>
      <c r="N568" s="125" t="n"/>
      <c r="O568" s="14" t="n"/>
      <c r="P568" s="16" t="n"/>
      <c r="Q568" s="125" t="n"/>
      <c r="R568" s="14" t="n"/>
      <c r="S568" s="16" t="n"/>
      <c r="T568" s="125" t="n"/>
      <c r="U568" s="14" t="n"/>
      <c r="V568" s="16" t="n"/>
      <c r="W568" s="125" t="n"/>
      <c r="X568" s="14" t="n"/>
      <c r="Y568" s="16" t="n"/>
      <c r="Z568" s="125" t="n"/>
      <c r="AA568" s="14" t="n"/>
      <c r="AB568" s="16" t="n"/>
      <c r="AC568" s="125" t="n"/>
      <c r="AD568" s="14" t="n"/>
    </row>
    <row r="569">
      <c r="A569" s="58" t="n"/>
      <c r="B569" s="59" t="n"/>
      <c r="C569" s="59" t="n"/>
      <c r="E569" s="16" t="n"/>
      <c r="F569" s="13" t="n"/>
      <c r="G569" s="16" t="n"/>
      <c r="H569" s="125" t="n"/>
      <c r="I569" s="14" t="n"/>
      <c r="J569" s="16" t="n"/>
      <c r="K569" s="125" t="n"/>
      <c r="L569" s="14" t="n"/>
      <c r="M569" s="16" t="n"/>
      <c r="N569" s="125" t="n"/>
      <c r="O569" s="14" t="n"/>
      <c r="P569" s="16" t="n"/>
      <c r="Q569" s="125" t="n"/>
      <c r="R569" s="14" t="n"/>
      <c r="S569" s="16" t="n"/>
      <c r="T569" s="125" t="n"/>
      <c r="U569" s="14" t="n"/>
      <c r="V569" s="16" t="n"/>
      <c r="W569" s="125" t="n"/>
      <c r="X569" s="14" t="n"/>
      <c r="Y569" s="16" t="n"/>
      <c r="Z569" s="125" t="n"/>
      <c r="AA569" s="14" t="n"/>
      <c r="AB569" s="16" t="n"/>
      <c r="AC569" s="125" t="n"/>
      <c r="AD569" s="14" t="n"/>
    </row>
    <row r="570">
      <c r="A570" s="56" t="n"/>
      <c r="B570" s="59" t="n"/>
      <c r="C570" s="59" t="n"/>
      <c r="E570" s="16" t="n"/>
      <c r="F570" s="13" t="n"/>
      <c r="G570" s="16" t="n"/>
      <c r="H570" s="125" t="n"/>
      <c r="I570" s="14" t="n"/>
      <c r="J570" s="16" t="n"/>
      <c r="K570" s="125" t="n"/>
      <c r="L570" s="14" t="n"/>
      <c r="M570" s="16" t="n"/>
      <c r="N570" s="125" t="n"/>
      <c r="O570" s="14" t="n"/>
      <c r="P570" s="16" t="n"/>
      <c r="Q570" s="125" t="n"/>
      <c r="R570" s="14" t="n"/>
      <c r="S570" s="16" t="n"/>
      <c r="T570" s="125" t="n"/>
      <c r="U570" s="14" t="n"/>
      <c r="V570" s="16" t="n"/>
      <c r="W570" s="125" t="n"/>
      <c r="X570" s="14" t="n"/>
      <c r="Y570" s="16" t="n"/>
      <c r="Z570" s="125" t="n"/>
      <c r="AA570" s="14" t="n"/>
      <c r="AB570" s="16" t="n"/>
      <c r="AC570" s="125" t="n"/>
      <c r="AD570" s="14" t="n"/>
    </row>
    <row r="571">
      <c r="A571" s="58" t="n"/>
      <c r="B571" s="59" t="n"/>
      <c r="C571" s="59" t="n"/>
      <c r="E571" s="16" t="n"/>
      <c r="F571" s="13" t="n"/>
      <c r="G571" s="16" t="n"/>
      <c r="H571" s="125" t="n"/>
      <c r="I571" s="14" t="n"/>
      <c r="J571" s="16" t="n"/>
      <c r="K571" s="125" t="n"/>
      <c r="L571" s="14" t="n"/>
      <c r="M571" s="16" t="n"/>
      <c r="N571" s="125" t="n"/>
      <c r="O571" s="14" t="n"/>
      <c r="P571" s="16" t="n"/>
      <c r="Q571" s="125" t="n"/>
      <c r="R571" s="14" t="n"/>
      <c r="S571" s="16" t="n"/>
      <c r="T571" s="125" t="n"/>
      <c r="U571" s="14" t="n"/>
      <c r="V571" s="16" t="n"/>
      <c r="W571" s="125" t="n"/>
      <c r="X571" s="14" t="n"/>
      <c r="Y571" s="16" t="n"/>
      <c r="Z571" s="125" t="n"/>
      <c r="AA571" s="14" t="n"/>
      <c r="AB571" s="16" t="n"/>
      <c r="AC571" s="125" t="n"/>
      <c r="AD571" s="14" t="n"/>
    </row>
    <row r="572">
      <c r="A572" s="56" t="n"/>
      <c r="B572" s="59" t="n"/>
      <c r="C572" s="59" t="n"/>
      <c r="E572" s="16" t="n"/>
      <c r="F572" s="13" t="n"/>
      <c r="G572" s="16" t="n"/>
      <c r="H572" s="125" t="n"/>
      <c r="I572" s="14" t="n"/>
      <c r="J572" s="16" t="n"/>
      <c r="K572" s="125" t="n"/>
      <c r="L572" s="14" t="n"/>
      <c r="M572" s="16" t="n"/>
      <c r="N572" s="125" t="n"/>
      <c r="O572" s="14" t="n"/>
      <c r="P572" s="16" t="n"/>
      <c r="Q572" s="125" t="n"/>
      <c r="R572" s="14" t="n"/>
      <c r="S572" s="16" t="n"/>
      <c r="T572" s="125" t="n"/>
      <c r="U572" s="14" t="n"/>
      <c r="V572" s="16" t="n"/>
      <c r="W572" s="125" t="n"/>
      <c r="X572" s="14" t="n"/>
      <c r="Y572" s="16" t="n"/>
      <c r="Z572" s="125" t="n"/>
      <c r="AA572" s="14" t="n"/>
      <c r="AB572" s="16" t="n"/>
      <c r="AC572" s="125" t="n"/>
      <c r="AD572" s="14" t="n"/>
    </row>
    <row r="573">
      <c r="A573" s="58" t="n"/>
      <c r="B573" s="59" t="n"/>
      <c r="C573" s="59" t="n"/>
      <c r="E573" s="16" t="n"/>
      <c r="F573" s="13" t="n"/>
      <c r="G573" s="16" t="n"/>
      <c r="H573" s="125" t="n"/>
      <c r="I573" s="14" t="n"/>
      <c r="J573" s="16" t="n"/>
      <c r="K573" s="125" t="n"/>
      <c r="L573" s="14" t="n"/>
      <c r="M573" s="16" t="n"/>
      <c r="N573" s="125" t="n"/>
      <c r="O573" s="14" t="n"/>
      <c r="P573" s="16" t="n"/>
      <c r="Q573" s="125" t="n"/>
      <c r="R573" s="14" t="n"/>
      <c r="S573" s="16" t="n"/>
      <c r="T573" s="125" t="n"/>
      <c r="U573" s="14" t="n"/>
      <c r="V573" s="16" t="n"/>
      <c r="W573" s="125" t="n"/>
      <c r="X573" s="14" t="n"/>
      <c r="Y573" s="16" t="n"/>
      <c r="Z573" s="125" t="n"/>
      <c r="AA573" s="14" t="n"/>
      <c r="AB573" s="16" t="n"/>
      <c r="AC573" s="125" t="n"/>
      <c r="AD573" s="14" t="n"/>
    </row>
    <row r="574">
      <c r="A574" s="56" t="n"/>
      <c r="B574" s="59" t="n"/>
      <c r="C574" s="59" t="n"/>
      <c r="E574" s="16" t="n"/>
      <c r="F574" s="13" t="n"/>
      <c r="G574" s="16" t="n"/>
      <c r="H574" s="125" t="n"/>
      <c r="I574" s="14" t="n"/>
      <c r="J574" s="16" t="n"/>
      <c r="K574" s="125" t="n"/>
      <c r="L574" s="14" t="n"/>
      <c r="M574" s="16" t="n"/>
      <c r="N574" s="125" t="n"/>
      <c r="O574" s="14" t="n"/>
      <c r="P574" s="16" t="n"/>
      <c r="Q574" s="125" t="n"/>
      <c r="R574" s="14" t="n"/>
      <c r="S574" s="16" t="n"/>
      <c r="T574" s="125" t="n"/>
      <c r="U574" s="14" t="n"/>
      <c r="V574" s="16" t="n"/>
      <c r="W574" s="125" t="n"/>
      <c r="X574" s="14" t="n"/>
      <c r="Y574" s="16" t="n"/>
      <c r="Z574" s="125" t="n"/>
      <c r="AA574" s="14" t="n"/>
      <c r="AB574" s="16" t="n"/>
      <c r="AC574" s="125" t="n"/>
      <c r="AD574" s="14" t="n"/>
    </row>
    <row r="575">
      <c r="A575" s="58" t="n"/>
      <c r="B575" s="59" t="n"/>
      <c r="C575" s="59" t="n"/>
      <c r="E575" s="16" t="n"/>
      <c r="F575" s="13" t="n"/>
      <c r="G575" s="16" t="n"/>
      <c r="H575" s="125" t="n"/>
      <c r="I575" s="14" t="n"/>
      <c r="J575" s="16" t="n"/>
      <c r="K575" s="125" t="n"/>
      <c r="L575" s="14" t="n"/>
      <c r="M575" s="16" t="n"/>
      <c r="N575" s="125" t="n"/>
      <c r="O575" s="14" t="n"/>
      <c r="P575" s="16" t="n"/>
      <c r="Q575" s="125" t="n"/>
      <c r="R575" s="14" t="n"/>
      <c r="S575" s="16" t="n"/>
      <c r="T575" s="125" t="n"/>
      <c r="U575" s="14" t="n"/>
      <c r="V575" s="16" t="n"/>
      <c r="W575" s="125" t="n"/>
      <c r="X575" s="14" t="n"/>
      <c r="Y575" s="16" t="n"/>
      <c r="Z575" s="125" t="n"/>
      <c r="AA575" s="14" t="n"/>
      <c r="AB575" s="16" t="n"/>
      <c r="AC575" s="125" t="n"/>
      <c r="AD575" s="14" t="n"/>
    </row>
    <row r="576">
      <c r="A576" s="56" t="n"/>
      <c r="B576" s="59" t="n"/>
      <c r="C576" s="59" t="n"/>
      <c r="E576" s="16" t="n"/>
      <c r="F576" s="13" t="n"/>
      <c r="G576" s="16" t="n"/>
      <c r="H576" s="125" t="n"/>
      <c r="I576" s="14" t="n"/>
      <c r="J576" s="16" t="n"/>
      <c r="K576" s="125" t="n"/>
      <c r="L576" s="14" t="n"/>
      <c r="M576" s="16" t="n"/>
      <c r="N576" s="125" t="n"/>
      <c r="O576" s="14" t="n"/>
      <c r="P576" s="16" t="n"/>
      <c r="Q576" s="125" t="n"/>
      <c r="R576" s="14" t="n"/>
      <c r="S576" s="16" t="n"/>
      <c r="T576" s="125" t="n"/>
      <c r="U576" s="14" t="n"/>
      <c r="V576" s="16" t="n"/>
      <c r="W576" s="125" t="n"/>
      <c r="X576" s="14" t="n"/>
      <c r="Y576" s="16" t="n"/>
      <c r="Z576" s="125" t="n"/>
      <c r="AA576" s="14" t="n"/>
      <c r="AB576" s="16" t="n"/>
      <c r="AC576" s="125" t="n"/>
      <c r="AD576" s="14" t="n"/>
    </row>
    <row r="577">
      <c r="A577" s="58" t="n"/>
      <c r="B577" s="59" t="n"/>
      <c r="C577" s="59" t="n"/>
      <c r="E577" s="16" t="n"/>
      <c r="F577" s="13" t="n"/>
      <c r="G577" s="16" t="n"/>
      <c r="H577" s="125" t="n"/>
      <c r="I577" s="14" t="n"/>
      <c r="J577" s="16" t="n"/>
      <c r="K577" s="125" t="n"/>
      <c r="L577" s="14" t="n"/>
      <c r="M577" s="16" t="n"/>
      <c r="N577" s="125" t="n"/>
      <c r="O577" s="14" t="n"/>
      <c r="P577" s="16" t="n"/>
      <c r="Q577" s="125" t="n"/>
      <c r="R577" s="14" t="n"/>
      <c r="S577" s="16" t="n"/>
      <c r="T577" s="125" t="n"/>
      <c r="U577" s="14" t="n"/>
      <c r="V577" s="16" t="n"/>
      <c r="W577" s="125" t="n"/>
      <c r="X577" s="14" t="n"/>
      <c r="Y577" s="16" t="n"/>
      <c r="Z577" s="125" t="n"/>
      <c r="AA577" s="14" t="n"/>
      <c r="AB577" s="16" t="n"/>
      <c r="AC577" s="125" t="n"/>
      <c r="AD577" s="14" t="n"/>
    </row>
    <row r="578">
      <c r="A578" s="56" t="n"/>
      <c r="B578" s="59" t="n"/>
      <c r="C578" s="59" t="n"/>
      <c r="E578" s="16" t="n"/>
      <c r="F578" s="13" t="n"/>
      <c r="G578" s="16" t="n"/>
      <c r="H578" s="125" t="n"/>
      <c r="I578" s="14" t="n"/>
      <c r="J578" s="16" t="n"/>
      <c r="K578" s="125" t="n"/>
      <c r="L578" s="14" t="n"/>
      <c r="M578" s="16" t="n"/>
      <c r="N578" s="125" t="n"/>
      <c r="O578" s="14" t="n"/>
      <c r="P578" s="16" t="n"/>
      <c r="Q578" s="125" t="n"/>
      <c r="R578" s="14" t="n"/>
      <c r="S578" s="16" t="n"/>
      <c r="T578" s="125" t="n"/>
      <c r="U578" s="14" t="n"/>
      <c r="V578" s="16" t="n"/>
      <c r="W578" s="125" t="n"/>
      <c r="X578" s="14" t="n"/>
      <c r="Y578" s="16" t="n"/>
      <c r="Z578" s="125" t="n"/>
      <c r="AA578" s="14" t="n"/>
      <c r="AB578" s="16" t="n"/>
      <c r="AC578" s="125" t="n"/>
      <c r="AD578" s="14" t="n"/>
    </row>
    <row r="579">
      <c r="A579" s="58" t="n"/>
      <c r="B579" s="59" t="n"/>
      <c r="C579" s="59" t="n"/>
      <c r="E579" s="16" t="n"/>
      <c r="F579" s="13" t="n"/>
      <c r="G579" s="16" t="n"/>
      <c r="H579" s="125" t="n"/>
      <c r="I579" s="14" t="n"/>
      <c r="J579" s="16" t="n"/>
      <c r="K579" s="125" t="n"/>
      <c r="L579" s="14" t="n"/>
      <c r="M579" s="16" t="n"/>
      <c r="N579" s="125" t="n"/>
      <c r="O579" s="14" t="n"/>
      <c r="P579" s="16" t="n"/>
      <c r="Q579" s="125" t="n"/>
      <c r="R579" s="14" t="n"/>
      <c r="S579" s="16" t="n"/>
      <c r="T579" s="125" t="n"/>
      <c r="U579" s="14" t="n"/>
      <c r="V579" s="16" t="n"/>
      <c r="W579" s="125" t="n"/>
      <c r="X579" s="14" t="n"/>
      <c r="Y579" s="16" t="n"/>
      <c r="Z579" s="125" t="n"/>
      <c r="AA579" s="14" t="n"/>
      <c r="AB579" s="16" t="n"/>
      <c r="AC579" s="125" t="n"/>
      <c r="AD579" s="14" t="n"/>
    </row>
    <row r="580">
      <c r="A580" s="56" t="n"/>
      <c r="B580" s="59" t="n"/>
      <c r="C580" s="59" t="n"/>
      <c r="E580" s="16" t="n"/>
      <c r="F580" s="13" t="n"/>
      <c r="G580" s="16" t="n"/>
      <c r="H580" s="125" t="n"/>
      <c r="I580" s="14" t="n"/>
      <c r="J580" s="16" t="n"/>
      <c r="K580" s="125" t="n"/>
      <c r="L580" s="14" t="n"/>
      <c r="M580" s="16" t="n"/>
      <c r="N580" s="125" t="n"/>
      <c r="O580" s="14" t="n"/>
      <c r="P580" s="16" t="n"/>
      <c r="Q580" s="125" t="n"/>
      <c r="R580" s="14" t="n"/>
      <c r="S580" s="16" t="n"/>
      <c r="T580" s="125" t="n"/>
      <c r="U580" s="14" t="n"/>
      <c r="V580" s="16" t="n"/>
      <c r="W580" s="125" t="n"/>
      <c r="X580" s="14" t="n"/>
      <c r="Y580" s="16" t="n"/>
      <c r="Z580" s="125" t="n"/>
      <c r="AA580" s="14" t="n"/>
      <c r="AB580" s="16" t="n"/>
      <c r="AC580" s="125" t="n"/>
      <c r="AD580" s="14" t="n"/>
    </row>
    <row r="581">
      <c r="A581" s="58" t="n"/>
      <c r="B581" s="59" t="n"/>
      <c r="C581" s="59" t="n"/>
      <c r="E581" s="16" t="n"/>
      <c r="F581" s="13" t="n"/>
      <c r="G581" s="16" t="n"/>
      <c r="H581" s="125" t="n"/>
      <c r="I581" s="14" t="n"/>
      <c r="J581" s="16" t="n"/>
      <c r="K581" s="125" t="n"/>
      <c r="L581" s="14" t="n"/>
      <c r="M581" s="16" t="n"/>
      <c r="N581" s="125" t="n"/>
      <c r="O581" s="14" t="n"/>
      <c r="P581" s="16" t="n"/>
      <c r="Q581" s="125" t="n"/>
      <c r="R581" s="14" t="n"/>
      <c r="S581" s="16" t="n"/>
      <c r="T581" s="125" t="n"/>
      <c r="U581" s="14" t="n"/>
      <c r="V581" s="16" t="n"/>
      <c r="W581" s="125" t="n"/>
      <c r="X581" s="14" t="n"/>
      <c r="Y581" s="16" t="n"/>
      <c r="Z581" s="125" t="n"/>
      <c r="AA581" s="14" t="n"/>
      <c r="AB581" s="16" t="n"/>
      <c r="AC581" s="125" t="n"/>
      <c r="AD581" s="14" t="n"/>
    </row>
    <row r="582">
      <c r="A582" s="56" t="n"/>
      <c r="B582" s="59" t="n"/>
      <c r="C582" s="59" t="n"/>
      <c r="E582" s="16" t="n"/>
      <c r="F582" s="13" t="n"/>
      <c r="G582" s="16" t="n"/>
      <c r="H582" s="125" t="n"/>
      <c r="I582" s="14" t="n"/>
      <c r="J582" s="16" t="n"/>
      <c r="K582" s="125" t="n"/>
      <c r="L582" s="14" t="n"/>
      <c r="M582" s="16" t="n"/>
      <c r="N582" s="125" t="n"/>
      <c r="O582" s="14" t="n"/>
      <c r="P582" s="16" t="n"/>
      <c r="Q582" s="125" t="n"/>
      <c r="R582" s="14" t="n"/>
      <c r="S582" s="16" t="n"/>
      <c r="T582" s="125" t="n"/>
      <c r="U582" s="14" t="n"/>
      <c r="V582" s="16" t="n"/>
      <c r="W582" s="125" t="n"/>
      <c r="X582" s="14" t="n"/>
      <c r="Y582" s="16" t="n"/>
      <c r="Z582" s="125" t="n"/>
      <c r="AA582" s="14" t="n"/>
      <c r="AB582" s="16" t="n"/>
      <c r="AC582" s="125" t="n"/>
      <c r="AD582" s="14" t="n"/>
    </row>
    <row r="583">
      <c r="A583" s="58" t="n"/>
      <c r="B583" s="59" t="n"/>
      <c r="C583" s="59" t="n"/>
      <c r="E583" s="16" t="n"/>
      <c r="F583" s="13" t="n"/>
      <c r="G583" s="16" t="n"/>
      <c r="H583" s="125" t="n"/>
      <c r="I583" s="14" t="n"/>
      <c r="J583" s="16" t="n"/>
      <c r="K583" s="125" t="n"/>
      <c r="L583" s="14" t="n"/>
      <c r="M583" s="16" t="n"/>
      <c r="N583" s="125" t="n"/>
      <c r="O583" s="14" t="n"/>
      <c r="P583" s="16" t="n"/>
      <c r="Q583" s="125" t="n"/>
      <c r="R583" s="14" t="n"/>
      <c r="S583" s="16" t="n"/>
      <c r="T583" s="125" t="n"/>
      <c r="U583" s="14" t="n"/>
      <c r="V583" s="16" t="n"/>
      <c r="W583" s="125" t="n"/>
      <c r="X583" s="14" t="n"/>
      <c r="Y583" s="16" t="n"/>
      <c r="Z583" s="125" t="n"/>
      <c r="AA583" s="14" t="n"/>
      <c r="AB583" s="16" t="n"/>
      <c r="AC583" s="125" t="n"/>
      <c r="AD583" s="14" t="n"/>
    </row>
    <row r="584">
      <c r="A584" s="56" t="n"/>
      <c r="B584" s="59" t="n"/>
      <c r="C584" s="59" t="n"/>
      <c r="E584" s="16" t="n"/>
      <c r="F584" s="13" t="n"/>
      <c r="G584" s="16" t="n"/>
      <c r="H584" s="125" t="n"/>
      <c r="I584" s="14" t="n"/>
      <c r="J584" s="16" t="n"/>
      <c r="K584" s="125" t="n"/>
      <c r="L584" s="14" t="n"/>
      <c r="M584" s="16" t="n"/>
      <c r="N584" s="125" t="n"/>
      <c r="O584" s="14" t="n"/>
      <c r="P584" s="16" t="n"/>
      <c r="Q584" s="125" t="n"/>
      <c r="R584" s="14" t="n"/>
      <c r="S584" s="16" t="n"/>
      <c r="T584" s="125" t="n"/>
      <c r="U584" s="14" t="n"/>
      <c r="V584" s="16" t="n"/>
      <c r="W584" s="125" t="n"/>
      <c r="X584" s="14" t="n"/>
      <c r="Y584" s="16" t="n"/>
      <c r="Z584" s="125" t="n"/>
      <c r="AA584" s="14" t="n"/>
      <c r="AB584" s="16" t="n"/>
      <c r="AC584" s="125" t="n"/>
      <c r="AD584" s="14" t="n"/>
    </row>
    <row r="585">
      <c r="A585" s="58" t="n"/>
      <c r="B585" s="59" t="n"/>
      <c r="C585" s="59" t="n"/>
      <c r="E585" s="16" t="n"/>
      <c r="F585" s="13" t="n"/>
      <c r="G585" s="16" t="n"/>
      <c r="H585" s="125" t="n"/>
      <c r="I585" s="14" t="n"/>
      <c r="J585" s="16" t="n"/>
      <c r="K585" s="125" t="n"/>
      <c r="L585" s="14" t="n"/>
      <c r="M585" s="16" t="n"/>
      <c r="N585" s="125" t="n"/>
      <c r="O585" s="14" t="n"/>
      <c r="P585" s="16" t="n"/>
      <c r="Q585" s="125" t="n"/>
      <c r="R585" s="14" t="n"/>
      <c r="S585" s="16" t="n"/>
      <c r="T585" s="125" t="n"/>
      <c r="U585" s="14" t="n"/>
      <c r="V585" s="16" t="n"/>
      <c r="W585" s="125" t="n"/>
      <c r="X585" s="14" t="n"/>
      <c r="Y585" s="16" t="n"/>
      <c r="Z585" s="125" t="n"/>
      <c r="AA585" s="14" t="n"/>
      <c r="AB585" s="16" t="n"/>
      <c r="AC585" s="125" t="n"/>
      <c r="AD585" s="14" t="n"/>
    </row>
    <row r="586">
      <c r="A586" s="56" t="n"/>
      <c r="B586" s="59" t="n"/>
      <c r="C586" s="59" t="n"/>
      <c r="E586" s="16" t="n"/>
      <c r="F586" s="13" t="n"/>
      <c r="G586" s="16" t="n"/>
      <c r="H586" s="125" t="n"/>
      <c r="I586" s="14" t="n"/>
      <c r="J586" s="16" t="n"/>
      <c r="K586" s="125" t="n"/>
      <c r="L586" s="14" t="n"/>
      <c r="M586" s="16" t="n"/>
      <c r="N586" s="125" t="n"/>
      <c r="O586" s="14" t="n"/>
      <c r="P586" s="16" t="n"/>
      <c r="Q586" s="125" t="n"/>
      <c r="R586" s="14" t="n"/>
      <c r="S586" s="16" t="n"/>
      <c r="T586" s="125" t="n"/>
      <c r="U586" s="14" t="n"/>
      <c r="V586" s="16" t="n"/>
      <c r="W586" s="125" t="n"/>
      <c r="X586" s="14" t="n"/>
      <c r="Y586" s="16" t="n"/>
      <c r="Z586" s="125" t="n"/>
      <c r="AA586" s="14" t="n"/>
      <c r="AB586" s="16" t="n"/>
      <c r="AC586" s="125" t="n"/>
      <c r="AD586" s="14" t="n"/>
    </row>
    <row r="587">
      <c r="A587" s="58" t="n"/>
      <c r="B587" s="59" t="n"/>
      <c r="C587" s="59" t="n"/>
      <c r="E587" s="16" t="n"/>
      <c r="F587" s="13" t="n"/>
      <c r="G587" s="16" t="n"/>
      <c r="H587" s="125" t="n"/>
      <c r="I587" s="14" t="n"/>
      <c r="J587" s="16" t="n"/>
      <c r="K587" s="125" t="n"/>
      <c r="L587" s="14" t="n"/>
      <c r="M587" s="16" t="n"/>
      <c r="N587" s="125" t="n"/>
      <c r="O587" s="14" t="n"/>
      <c r="P587" s="16" t="n"/>
      <c r="Q587" s="125" t="n"/>
      <c r="R587" s="14" t="n"/>
      <c r="S587" s="16" t="n"/>
      <c r="T587" s="125" t="n"/>
      <c r="U587" s="14" t="n"/>
      <c r="V587" s="16" t="n"/>
      <c r="W587" s="125" t="n"/>
      <c r="X587" s="14" t="n"/>
      <c r="Y587" s="16" t="n"/>
      <c r="Z587" s="125" t="n"/>
      <c r="AA587" s="14" t="n"/>
      <c r="AB587" s="16" t="n"/>
      <c r="AC587" s="125" t="n"/>
      <c r="AD587" s="14" t="n"/>
    </row>
    <row r="588">
      <c r="A588" s="56" t="n"/>
      <c r="B588" s="59" t="n"/>
      <c r="C588" s="59" t="n"/>
      <c r="E588" s="16" t="n"/>
      <c r="F588" s="13" t="n"/>
      <c r="G588" s="16" t="n"/>
      <c r="H588" s="125" t="n"/>
      <c r="I588" s="14" t="n"/>
      <c r="J588" s="16" t="n"/>
      <c r="K588" s="125" t="n"/>
      <c r="L588" s="14" t="n"/>
      <c r="M588" s="16" t="n"/>
      <c r="N588" s="125" t="n"/>
      <c r="O588" s="14" t="n"/>
      <c r="P588" s="16" t="n"/>
      <c r="Q588" s="125" t="n"/>
      <c r="R588" s="14" t="n"/>
      <c r="S588" s="16" t="n"/>
      <c r="T588" s="125" t="n"/>
      <c r="U588" s="14" t="n"/>
      <c r="V588" s="16" t="n"/>
      <c r="W588" s="125" t="n"/>
      <c r="X588" s="14" t="n"/>
      <c r="Y588" s="16" t="n"/>
      <c r="Z588" s="125" t="n"/>
      <c r="AA588" s="14" t="n"/>
      <c r="AB588" s="16" t="n"/>
      <c r="AC588" s="125" t="n"/>
      <c r="AD588" s="14" t="n"/>
    </row>
    <row r="589">
      <c r="A589" s="58" t="n"/>
      <c r="B589" s="59" t="n"/>
      <c r="C589" s="59" t="n"/>
      <c r="E589" s="16" t="n"/>
      <c r="F589" s="13" t="n"/>
      <c r="G589" s="16" t="n"/>
      <c r="H589" s="125" t="n"/>
      <c r="I589" s="14" t="n"/>
      <c r="J589" s="16" t="n"/>
      <c r="K589" s="125" t="n"/>
      <c r="L589" s="14" t="n"/>
      <c r="M589" s="16" t="n"/>
      <c r="N589" s="125" t="n"/>
      <c r="O589" s="14" t="n"/>
      <c r="P589" s="16" t="n"/>
      <c r="Q589" s="125" t="n"/>
      <c r="R589" s="14" t="n"/>
      <c r="S589" s="16" t="n"/>
      <c r="T589" s="125" t="n"/>
      <c r="U589" s="14" t="n"/>
      <c r="V589" s="16" t="n"/>
      <c r="W589" s="125" t="n"/>
      <c r="X589" s="14" t="n"/>
      <c r="Y589" s="16" t="n"/>
      <c r="Z589" s="125" t="n"/>
      <c r="AA589" s="14" t="n"/>
      <c r="AB589" s="16" t="n"/>
      <c r="AC589" s="125" t="n"/>
      <c r="AD589" s="14" t="n"/>
    </row>
    <row r="590">
      <c r="A590" s="56" t="n"/>
      <c r="B590" s="59" t="n"/>
      <c r="C590" s="59" t="n"/>
      <c r="E590" s="16" t="n"/>
      <c r="F590" s="13" t="n"/>
      <c r="G590" s="16" t="n"/>
      <c r="H590" s="125" t="n"/>
      <c r="I590" s="14" t="n"/>
      <c r="J590" s="16" t="n"/>
      <c r="K590" s="125" t="n"/>
      <c r="L590" s="14" t="n"/>
      <c r="M590" s="16" t="n"/>
      <c r="N590" s="125" t="n"/>
      <c r="O590" s="14" t="n"/>
      <c r="P590" s="16" t="n"/>
      <c r="Q590" s="125" t="n"/>
      <c r="R590" s="14" t="n"/>
      <c r="S590" s="16" t="n"/>
      <c r="T590" s="125" t="n"/>
      <c r="U590" s="14" t="n"/>
      <c r="V590" s="16" t="n"/>
      <c r="W590" s="125" t="n"/>
      <c r="X590" s="14" t="n"/>
      <c r="Y590" s="16" t="n"/>
      <c r="Z590" s="125" t="n"/>
      <c r="AA590" s="14" t="n"/>
      <c r="AB590" s="16" t="n"/>
      <c r="AC590" s="125" t="n"/>
      <c r="AD590" s="14" t="n"/>
    </row>
    <row r="591">
      <c r="A591" s="58" t="n"/>
      <c r="B591" s="59" t="n"/>
      <c r="C591" s="59" t="n"/>
      <c r="E591" s="16" t="n"/>
      <c r="F591" s="13" t="n"/>
      <c r="G591" s="16" t="n"/>
      <c r="H591" s="125" t="n"/>
      <c r="I591" s="14" t="n"/>
      <c r="J591" s="16" t="n"/>
      <c r="K591" s="125" t="n"/>
      <c r="L591" s="14" t="n"/>
      <c r="M591" s="16" t="n"/>
      <c r="N591" s="125" t="n"/>
      <c r="O591" s="14" t="n"/>
      <c r="P591" s="16" t="n"/>
      <c r="Q591" s="125" t="n"/>
      <c r="R591" s="14" t="n"/>
      <c r="S591" s="16" t="n"/>
      <c r="T591" s="125" t="n"/>
      <c r="U591" s="14" t="n"/>
      <c r="V591" s="16" t="n"/>
      <c r="W591" s="125" t="n"/>
      <c r="X591" s="14" t="n"/>
      <c r="Y591" s="16" t="n"/>
      <c r="Z591" s="125" t="n"/>
      <c r="AA591" s="14" t="n"/>
      <c r="AB591" s="16" t="n"/>
      <c r="AC591" s="125" t="n"/>
      <c r="AD591" s="14" t="n"/>
    </row>
    <row r="592">
      <c r="A592" s="56" t="n"/>
      <c r="B592" s="59" t="n"/>
      <c r="C592" s="59" t="n"/>
      <c r="E592" s="16" t="n"/>
      <c r="F592" s="13" t="n"/>
      <c r="G592" s="16" t="n"/>
      <c r="H592" s="125" t="n"/>
      <c r="I592" s="14" t="n"/>
      <c r="J592" s="16" t="n"/>
      <c r="K592" s="125" t="n"/>
      <c r="L592" s="14" t="n"/>
      <c r="M592" s="16" t="n"/>
      <c r="N592" s="125" t="n"/>
      <c r="O592" s="14" t="n"/>
      <c r="P592" s="16" t="n"/>
      <c r="Q592" s="125" t="n"/>
      <c r="R592" s="14" t="n"/>
      <c r="S592" s="16" t="n"/>
      <c r="T592" s="125" t="n"/>
      <c r="U592" s="14" t="n"/>
      <c r="V592" s="16" t="n"/>
      <c r="W592" s="125" t="n"/>
      <c r="X592" s="14" t="n"/>
      <c r="Y592" s="16" t="n"/>
      <c r="Z592" s="125" t="n"/>
      <c r="AA592" s="14" t="n"/>
      <c r="AB592" s="16" t="n"/>
      <c r="AC592" s="125" t="n"/>
      <c r="AD592" s="14" t="n"/>
    </row>
    <row r="593">
      <c r="A593" s="58" t="n"/>
      <c r="B593" s="59" t="n"/>
      <c r="C593" s="59" t="n"/>
      <c r="E593" s="16" t="n"/>
      <c r="F593" s="13" t="n"/>
      <c r="G593" s="16" t="n"/>
      <c r="H593" s="125" t="n"/>
      <c r="I593" s="14" t="n"/>
      <c r="J593" s="16" t="n"/>
      <c r="K593" s="125" t="n"/>
      <c r="L593" s="14" t="n"/>
      <c r="M593" s="16" t="n"/>
      <c r="N593" s="125" t="n"/>
      <c r="O593" s="14" t="n"/>
      <c r="P593" s="16" t="n"/>
      <c r="Q593" s="125" t="n"/>
      <c r="R593" s="14" t="n"/>
      <c r="S593" s="16" t="n"/>
      <c r="T593" s="125" t="n"/>
      <c r="U593" s="14" t="n"/>
      <c r="V593" s="16" t="n"/>
      <c r="W593" s="125" t="n"/>
      <c r="X593" s="14" t="n"/>
      <c r="Y593" s="16" t="n"/>
      <c r="Z593" s="125" t="n"/>
      <c r="AA593" s="14" t="n"/>
      <c r="AB593" s="16" t="n"/>
      <c r="AC593" s="125" t="n"/>
      <c r="AD593" s="14" t="n"/>
    </row>
    <row r="594">
      <c r="A594" s="56" t="n"/>
      <c r="B594" s="59" t="n"/>
      <c r="C594" s="59" t="n"/>
      <c r="E594" s="16" t="n"/>
      <c r="F594" s="13" t="n"/>
      <c r="G594" s="16" t="n"/>
      <c r="H594" s="125" t="n"/>
      <c r="I594" s="14" t="n"/>
      <c r="J594" s="16" t="n"/>
      <c r="K594" s="125" t="n"/>
      <c r="L594" s="14" t="n"/>
      <c r="M594" s="16" t="n"/>
      <c r="N594" s="125" t="n"/>
      <c r="O594" s="14" t="n"/>
      <c r="P594" s="16" t="n"/>
      <c r="Q594" s="125" t="n"/>
      <c r="R594" s="14" t="n"/>
      <c r="S594" s="16" t="n"/>
      <c r="T594" s="125" t="n"/>
      <c r="U594" s="14" t="n"/>
      <c r="V594" s="16" t="n"/>
      <c r="W594" s="125" t="n"/>
      <c r="X594" s="14" t="n"/>
      <c r="Y594" s="16" t="n"/>
      <c r="Z594" s="125" t="n"/>
      <c r="AA594" s="14" t="n"/>
      <c r="AB594" s="16" t="n"/>
      <c r="AC594" s="125" t="n"/>
      <c r="AD594" s="14" t="n"/>
    </row>
    <row r="595">
      <c r="A595" s="58" t="n"/>
      <c r="B595" s="59" t="n"/>
      <c r="C595" s="59" t="n"/>
      <c r="E595" s="16" t="n"/>
      <c r="F595" s="13" t="n"/>
      <c r="G595" s="16" t="n"/>
      <c r="H595" s="125" t="n"/>
      <c r="I595" s="14" t="n"/>
      <c r="J595" s="16" t="n"/>
      <c r="K595" s="125" t="n"/>
      <c r="L595" s="14" t="n"/>
      <c r="M595" s="16" t="n"/>
      <c r="N595" s="125" t="n"/>
      <c r="O595" s="14" t="n"/>
      <c r="P595" s="16" t="n"/>
      <c r="Q595" s="125" t="n"/>
      <c r="R595" s="14" t="n"/>
      <c r="S595" s="16" t="n"/>
      <c r="T595" s="125" t="n"/>
      <c r="U595" s="14" t="n"/>
      <c r="V595" s="16" t="n"/>
      <c r="W595" s="125" t="n"/>
      <c r="X595" s="14" t="n"/>
      <c r="Y595" s="16" t="n"/>
      <c r="Z595" s="125" t="n"/>
      <c r="AA595" s="14" t="n"/>
      <c r="AB595" s="16" t="n"/>
      <c r="AC595" s="125" t="n"/>
      <c r="AD595" s="14" t="n"/>
    </row>
    <row r="596">
      <c r="A596" s="56" t="n"/>
      <c r="B596" s="59" t="n"/>
      <c r="C596" s="59" t="n"/>
      <c r="E596" s="16" t="n"/>
      <c r="F596" s="13" t="n"/>
      <c r="G596" s="16" t="n"/>
      <c r="H596" s="125" t="n"/>
      <c r="I596" s="14" t="n"/>
      <c r="J596" s="16" t="n"/>
      <c r="K596" s="125" t="n"/>
      <c r="L596" s="14" t="n"/>
      <c r="M596" s="16" t="n"/>
      <c r="N596" s="125" t="n"/>
      <c r="O596" s="14" t="n"/>
      <c r="P596" s="16" t="n"/>
      <c r="Q596" s="125" t="n"/>
      <c r="R596" s="14" t="n"/>
      <c r="S596" s="16" t="n"/>
      <c r="T596" s="125" t="n"/>
      <c r="U596" s="14" t="n"/>
      <c r="V596" s="16" t="n"/>
      <c r="W596" s="125" t="n"/>
      <c r="X596" s="14" t="n"/>
      <c r="Y596" s="16" t="n"/>
      <c r="Z596" s="125" t="n"/>
      <c r="AA596" s="14" t="n"/>
      <c r="AB596" s="16" t="n"/>
      <c r="AC596" s="125" t="n"/>
      <c r="AD596" s="14" t="n"/>
    </row>
    <row r="597">
      <c r="A597" s="58" t="n"/>
      <c r="B597" s="59" t="n"/>
      <c r="C597" s="59" t="n"/>
      <c r="E597" s="16" t="n"/>
      <c r="F597" s="13" t="n"/>
      <c r="G597" s="16" t="n"/>
      <c r="H597" s="125" t="n"/>
      <c r="I597" s="14" t="n"/>
      <c r="J597" s="16" t="n"/>
      <c r="K597" s="125" t="n"/>
      <c r="L597" s="14" t="n"/>
      <c r="M597" s="16" t="n"/>
      <c r="N597" s="125" t="n"/>
      <c r="O597" s="14" t="n"/>
      <c r="P597" s="16" t="n"/>
      <c r="Q597" s="125" t="n"/>
      <c r="R597" s="14" t="n"/>
      <c r="S597" s="16" t="n"/>
      <c r="T597" s="125" t="n"/>
      <c r="U597" s="14" t="n"/>
      <c r="V597" s="16" t="n"/>
      <c r="W597" s="125" t="n"/>
      <c r="X597" s="14" t="n"/>
      <c r="Y597" s="16" t="n"/>
      <c r="Z597" s="125" t="n"/>
      <c r="AA597" s="14" t="n"/>
      <c r="AB597" s="16" t="n"/>
      <c r="AC597" s="125" t="n"/>
      <c r="AD597" s="14" t="n"/>
    </row>
    <row r="598">
      <c r="A598" s="56" t="n"/>
      <c r="B598" s="59" t="n"/>
      <c r="C598" s="59" t="n"/>
      <c r="E598" s="16" t="n"/>
      <c r="F598" s="13" t="n"/>
      <c r="G598" s="16" t="n"/>
      <c r="H598" s="125" t="n"/>
      <c r="I598" s="14" t="n"/>
      <c r="J598" s="16" t="n"/>
      <c r="K598" s="125" t="n"/>
      <c r="L598" s="14" t="n"/>
      <c r="M598" s="16" t="n"/>
      <c r="N598" s="125" t="n"/>
      <c r="O598" s="14" t="n"/>
      <c r="P598" s="16" t="n"/>
      <c r="Q598" s="125" t="n"/>
      <c r="R598" s="14" t="n"/>
      <c r="S598" s="16" t="n"/>
      <c r="T598" s="125" t="n"/>
      <c r="U598" s="14" t="n"/>
      <c r="V598" s="16" t="n"/>
      <c r="W598" s="125" t="n"/>
      <c r="X598" s="14" t="n"/>
      <c r="Y598" s="16" t="n"/>
      <c r="Z598" s="125" t="n"/>
      <c r="AA598" s="14" t="n"/>
      <c r="AB598" s="16" t="n"/>
      <c r="AC598" s="125" t="n"/>
      <c r="AD598" s="14" t="n"/>
    </row>
    <row r="599">
      <c r="A599" s="58" t="n"/>
      <c r="B599" s="59" t="n"/>
      <c r="C599" s="59" t="n"/>
      <c r="E599" s="16" t="n"/>
      <c r="F599" s="13" t="n"/>
      <c r="G599" s="16" t="n"/>
      <c r="H599" s="125" t="n"/>
      <c r="I599" s="14" t="n"/>
      <c r="J599" s="16" t="n"/>
      <c r="K599" s="125" t="n"/>
      <c r="L599" s="14" t="n"/>
      <c r="M599" s="16" t="n"/>
      <c r="N599" s="125" t="n"/>
      <c r="O599" s="14" t="n"/>
      <c r="P599" s="16" t="n"/>
      <c r="Q599" s="125" t="n"/>
      <c r="R599" s="14" t="n"/>
      <c r="S599" s="16" t="n"/>
      <c r="T599" s="125" t="n"/>
      <c r="U599" s="14" t="n"/>
      <c r="V599" s="16" t="n"/>
      <c r="W599" s="125" t="n"/>
      <c r="X599" s="14" t="n"/>
      <c r="Y599" s="16" t="n"/>
      <c r="Z599" s="125" t="n"/>
      <c r="AA599" s="14" t="n"/>
      <c r="AB599" s="16" t="n"/>
      <c r="AC599" s="125" t="n"/>
      <c r="AD599" s="14" t="n"/>
    </row>
    <row r="600">
      <c r="A600" s="56" t="n"/>
      <c r="B600" s="59" t="n"/>
      <c r="C600" s="59" t="n"/>
      <c r="E600" s="16" t="n"/>
      <c r="F600" s="13" t="n"/>
      <c r="G600" s="16" t="n"/>
      <c r="H600" s="125" t="n"/>
      <c r="I600" s="14" t="n"/>
      <c r="J600" s="16" t="n"/>
      <c r="K600" s="125" t="n"/>
      <c r="L600" s="14" t="n"/>
      <c r="M600" s="16" t="n"/>
      <c r="N600" s="125" t="n"/>
      <c r="O600" s="14" t="n"/>
      <c r="P600" s="16" t="n"/>
      <c r="Q600" s="125" t="n"/>
      <c r="R600" s="14" t="n"/>
      <c r="S600" s="16" t="n"/>
      <c r="T600" s="125" t="n"/>
      <c r="U600" s="14" t="n"/>
      <c r="V600" s="16" t="n"/>
      <c r="W600" s="125" t="n"/>
      <c r="X600" s="14" t="n"/>
      <c r="Y600" s="16" t="n"/>
      <c r="Z600" s="125" t="n"/>
      <c r="AA600" s="14" t="n"/>
      <c r="AB600" s="16" t="n"/>
      <c r="AC600" s="125" t="n"/>
      <c r="AD600" s="14" t="n"/>
    </row>
    <row r="601">
      <c r="A601" s="58" t="n"/>
      <c r="B601" s="59" t="n"/>
      <c r="C601" s="59" t="n"/>
      <c r="E601" s="16" t="n"/>
      <c r="F601" s="13" t="n"/>
      <c r="G601" s="16" t="n"/>
      <c r="H601" s="125" t="n"/>
      <c r="I601" s="14" t="n"/>
      <c r="J601" s="16" t="n"/>
      <c r="K601" s="125" t="n"/>
      <c r="L601" s="14" t="n"/>
      <c r="M601" s="16" t="n"/>
      <c r="N601" s="125" t="n"/>
      <c r="O601" s="14" t="n"/>
      <c r="P601" s="16" t="n"/>
      <c r="Q601" s="125" t="n"/>
      <c r="R601" s="14" t="n"/>
      <c r="S601" s="16" t="n"/>
      <c r="T601" s="125" t="n"/>
      <c r="U601" s="14" t="n"/>
      <c r="V601" s="16" t="n"/>
      <c r="W601" s="125" t="n"/>
      <c r="X601" s="14" t="n"/>
      <c r="Y601" s="16" t="n"/>
      <c r="Z601" s="125" t="n"/>
      <c r="AA601" s="14" t="n"/>
      <c r="AB601" s="16" t="n"/>
      <c r="AC601" s="125" t="n"/>
      <c r="AD601" s="14" t="n"/>
    </row>
    <row r="602">
      <c r="A602" s="56" t="n"/>
      <c r="B602" s="59" t="n"/>
      <c r="C602" s="59" t="n"/>
      <c r="E602" s="16" t="n"/>
      <c r="F602" s="13" t="n"/>
      <c r="G602" s="16" t="n"/>
      <c r="H602" s="125" t="n"/>
      <c r="I602" s="14" t="n"/>
      <c r="J602" s="16" t="n"/>
      <c r="K602" s="125" t="n"/>
      <c r="L602" s="14" t="n"/>
      <c r="M602" s="16" t="n"/>
      <c r="N602" s="125" t="n"/>
      <c r="O602" s="14" t="n"/>
      <c r="P602" s="16" t="n"/>
      <c r="Q602" s="125" t="n"/>
      <c r="R602" s="14" t="n"/>
      <c r="S602" s="16" t="n"/>
      <c r="T602" s="125" t="n"/>
      <c r="U602" s="14" t="n"/>
      <c r="V602" s="16" t="n"/>
      <c r="W602" s="125" t="n"/>
      <c r="X602" s="14" t="n"/>
      <c r="Y602" s="16" t="n"/>
      <c r="Z602" s="125" t="n"/>
      <c r="AA602" s="14" t="n"/>
      <c r="AB602" s="16" t="n"/>
      <c r="AC602" s="125" t="n"/>
      <c r="AD602" s="14" t="n"/>
    </row>
    <row r="603">
      <c r="A603" s="58" t="n"/>
      <c r="B603" s="59" t="n"/>
      <c r="C603" s="59" t="n"/>
      <c r="E603" s="16" t="n"/>
      <c r="F603" s="13" t="n"/>
      <c r="G603" s="16" t="n"/>
      <c r="H603" s="125" t="n"/>
      <c r="I603" s="14" t="n"/>
      <c r="J603" s="16" t="n"/>
      <c r="K603" s="125" t="n"/>
      <c r="L603" s="14" t="n"/>
      <c r="M603" s="16" t="n"/>
      <c r="N603" s="125" t="n"/>
      <c r="O603" s="14" t="n"/>
      <c r="P603" s="16" t="n"/>
      <c r="Q603" s="125" t="n"/>
      <c r="R603" s="14" t="n"/>
      <c r="S603" s="16" t="n"/>
      <c r="T603" s="125" t="n"/>
      <c r="U603" s="14" t="n"/>
      <c r="V603" s="16" t="n"/>
      <c r="W603" s="125" t="n"/>
      <c r="X603" s="14" t="n"/>
      <c r="Y603" s="16" t="n"/>
      <c r="Z603" s="125" t="n"/>
      <c r="AA603" s="14" t="n"/>
      <c r="AB603" s="16" t="n"/>
      <c r="AC603" s="125" t="n"/>
      <c r="AD603" s="14" t="n"/>
    </row>
    <row r="604">
      <c r="A604" s="56" t="n"/>
      <c r="B604" s="59" t="n"/>
      <c r="C604" s="59" t="n"/>
      <c r="E604" s="16" t="n"/>
      <c r="F604" s="13" t="n"/>
      <c r="G604" s="16" t="n"/>
      <c r="H604" s="125" t="n"/>
      <c r="I604" s="14" t="n"/>
      <c r="J604" s="16" t="n"/>
      <c r="K604" s="125" t="n"/>
      <c r="L604" s="14" t="n"/>
      <c r="M604" s="16" t="n"/>
      <c r="N604" s="125" t="n"/>
      <c r="O604" s="14" t="n"/>
      <c r="P604" s="16" t="n"/>
      <c r="Q604" s="125" t="n"/>
      <c r="R604" s="14" t="n"/>
      <c r="S604" s="16" t="n"/>
      <c r="T604" s="125" t="n"/>
      <c r="U604" s="14" t="n"/>
      <c r="V604" s="16" t="n"/>
      <c r="W604" s="125" t="n"/>
      <c r="X604" s="14" t="n"/>
      <c r="Y604" s="16" t="n"/>
      <c r="Z604" s="125" t="n"/>
      <c r="AA604" s="14" t="n"/>
      <c r="AB604" s="16" t="n"/>
      <c r="AC604" s="125" t="n"/>
      <c r="AD604" s="14" t="n"/>
    </row>
    <row r="605">
      <c r="A605" s="58" t="n"/>
      <c r="B605" s="59" t="n"/>
      <c r="C605" s="59" t="n"/>
      <c r="E605" s="16" t="n"/>
      <c r="F605" s="13" t="n"/>
      <c r="G605" s="16" t="n"/>
      <c r="H605" s="125" t="n"/>
      <c r="I605" s="14" t="n"/>
      <c r="J605" s="16" t="n"/>
      <c r="K605" s="125" t="n"/>
      <c r="L605" s="14" t="n"/>
      <c r="M605" s="16" t="n"/>
      <c r="N605" s="125" t="n"/>
      <c r="O605" s="14" t="n"/>
      <c r="P605" s="16" t="n"/>
      <c r="Q605" s="125" t="n"/>
      <c r="R605" s="14" t="n"/>
      <c r="S605" s="16" t="n"/>
      <c r="T605" s="125" t="n"/>
      <c r="U605" s="14" t="n"/>
      <c r="V605" s="16" t="n"/>
      <c r="W605" s="125" t="n"/>
      <c r="X605" s="14" t="n"/>
      <c r="Y605" s="16" t="n"/>
      <c r="Z605" s="125" t="n"/>
      <c r="AA605" s="14" t="n"/>
      <c r="AB605" s="16" t="n"/>
      <c r="AC605" s="125" t="n"/>
      <c r="AD605" s="14" t="n"/>
    </row>
    <row r="606">
      <c r="A606" s="56" t="n"/>
      <c r="B606" s="59" t="n"/>
      <c r="C606" s="59" t="n"/>
      <c r="E606" s="16" t="n"/>
      <c r="F606" s="13" t="n"/>
      <c r="G606" s="16" t="n"/>
      <c r="H606" s="125" t="n"/>
      <c r="I606" s="14" t="n"/>
      <c r="J606" s="16" t="n"/>
      <c r="K606" s="125" t="n"/>
      <c r="L606" s="14" t="n"/>
      <c r="M606" s="16" t="n"/>
      <c r="N606" s="125" t="n"/>
      <c r="O606" s="14" t="n"/>
      <c r="P606" s="16" t="n"/>
      <c r="Q606" s="125" t="n"/>
      <c r="R606" s="14" t="n"/>
      <c r="S606" s="16" t="n"/>
      <c r="T606" s="125" t="n"/>
      <c r="U606" s="14" t="n"/>
      <c r="V606" s="16" t="n"/>
      <c r="W606" s="125" t="n"/>
      <c r="X606" s="14" t="n"/>
      <c r="Y606" s="16" t="n"/>
      <c r="Z606" s="125" t="n"/>
      <c r="AA606" s="14" t="n"/>
      <c r="AB606" s="16" t="n"/>
      <c r="AC606" s="125" t="n"/>
      <c r="AD606" s="14" t="n"/>
    </row>
    <row r="607">
      <c r="A607" s="58" t="n"/>
      <c r="B607" s="59" t="n"/>
      <c r="C607" s="59" t="n"/>
      <c r="E607" s="16" t="n"/>
      <c r="F607" s="13" t="n"/>
      <c r="G607" s="16" t="n"/>
      <c r="H607" s="125" t="n"/>
      <c r="I607" s="14" t="n"/>
      <c r="J607" s="16" t="n"/>
      <c r="K607" s="125" t="n"/>
      <c r="L607" s="14" t="n"/>
      <c r="M607" s="16" t="n"/>
      <c r="N607" s="125" t="n"/>
      <c r="O607" s="14" t="n"/>
      <c r="P607" s="16" t="n"/>
      <c r="Q607" s="125" t="n"/>
      <c r="R607" s="14" t="n"/>
      <c r="S607" s="16" t="n"/>
      <c r="T607" s="125" t="n"/>
      <c r="U607" s="14" t="n"/>
      <c r="V607" s="16" t="n"/>
      <c r="W607" s="125" t="n"/>
      <c r="X607" s="14" t="n"/>
      <c r="Y607" s="16" t="n"/>
      <c r="Z607" s="125" t="n"/>
      <c r="AA607" s="14" t="n"/>
      <c r="AB607" s="16" t="n"/>
      <c r="AC607" s="125" t="n"/>
      <c r="AD607" s="14" t="n"/>
    </row>
    <row r="608">
      <c r="A608" s="56" t="n"/>
      <c r="B608" s="59" t="n"/>
      <c r="C608" s="59" t="n"/>
      <c r="E608" s="16" t="n"/>
      <c r="F608" s="13" t="n"/>
      <c r="G608" s="16" t="n"/>
      <c r="H608" s="125" t="n"/>
      <c r="I608" s="14" t="n"/>
      <c r="J608" s="16" t="n"/>
      <c r="K608" s="125" t="n"/>
      <c r="L608" s="14" t="n"/>
      <c r="M608" s="16" t="n"/>
      <c r="N608" s="125" t="n"/>
      <c r="O608" s="14" t="n"/>
      <c r="P608" s="16" t="n"/>
      <c r="Q608" s="125" t="n"/>
      <c r="R608" s="14" t="n"/>
      <c r="S608" s="16" t="n"/>
      <c r="T608" s="125" t="n"/>
      <c r="U608" s="14" t="n"/>
      <c r="V608" s="16" t="n"/>
      <c r="W608" s="125" t="n"/>
      <c r="X608" s="14" t="n"/>
      <c r="Y608" s="16" t="n"/>
      <c r="Z608" s="125" t="n"/>
      <c r="AA608" s="14" t="n"/>
      <c r="AB608" s="16" t="n"/>
      <c r="AC608" s="125" t="n"/>
      <c r="AD608" s="14" t="n"/>
    </row>
    <row r="609">
      <c r="A609" s="58" t="n"/>
      <c r="B609" s="59" t="n"/>
      <c r="C609" s="59" t="n"/>
      <c r="E609" s="16" t="n"/>
      <c r="F609" s="13" t="n"/>
      <c r="G609" s="16" t="n"/>
      <c r="H609" s="125" t="n"/>
      <c r="I609" s="14" t="n"/>
      <c r="J609" s="16" t="n"/>
      <c r="K609" s="125" t="n"/>
      <c r="L609" s="14" t="n"/>
      <c r="M609" s="16" t="n"/>
      <c r="N609" s="125" t="n"/>
      <c r="O609" s="14" t="n"/>
      <c r="P609" s="16" t="n"/>
      <c r="Q609" s="125" t="n"/>
      <c r="R609" s="14" t="n"/>
      <c r="S609" s="16" t="n"/>
      <c r="T609" s="125" t="n"/>
      <c r="U609" s="14" t="n"/>
      <c r="V609" s="16" t="n"/>
      <c r="W609" s="125" t="n"/>
      <c r="X609" s="14" t="n"/>
      <c r="Y609" s="16" t="n"/>
      <c r="Z609" s="125" t="n"/>
      <c r="AA609" s="14" t="n"/>
      <c r="AB609" s="16" t="n"/>
      <c r="AC609" s="125" t="n"/>
      <c r="AD609" s="14" t="n"/>
    </row>
    <row r="610">
      <c r="A610" s="56" t="n"/>
      <c r="B610" s="59" t="n"/>
      <c r="C610" s="59" t="n"/>
      <c r="E610" s="16" t="n"/>
      <c r="F610" s="13" t="n"/>
      <c r="G610" s="16" t="n"/>
      <c r="H610" s="125" t="n"/>
      <c r="I610" s="14" t="n"/>
      <c r="J610" s="16" t="n"/>
      <c r="K610" s="125" t="n"/>
      <c r="L610" s="14" t="n"/>
      <c r="M610" s="16" t="n"/>
      <c r="N610" s="125" t="n"/>
      <c r="O610" s="14" t="n"/>
      <c r="P610" s="16" t="n"/>
      <c r="Q610" s="125" t="n"/>
      <c r="R610" s="14" t="n"/>
      <c r="S610" s="16" t="n"/>
      <c r="T610" s="125" t="n"/>
      <c r="U610" s="14" t="n"/>
      <c r="V610" s="16" t="n"/>
      <c r="W610" s="125" t="n"/>
      <c r="X610" s="14" t="n"/>
      <c r="Y610" s="16" t="n"/>
      <c r="Z610" s="125" t="n"/>
      <c r="AA610" s="14" t="n"/>
      <c r="AB610" s="16" t="n"/>
      <c r="AC610" s="125" t="n"/>
      <c r="AD610" s="14" t="n"/>
    </row>
    <row r="611">
      <c r="A611" s="58" t="n"/>
      <c r="B611" s="59" t="n"/>
      <c r="C611" s="59" t="n"/>
      <c r="E611" s="16" t="n"/>
      <c r="F611" s="13" t="n"/>
      <c r="G611" s="16" t="n"/>
      <c r="H611" s="125" t="n"/>
      <c r="I611" s="14" t="n"/>
      <c r="J611" s="16" t="n"/>
      <c r="K611" s="125" t="n"/>
      <c r="L611" s="14" t="n"/>
      <c r="M611" s="16" t="n"/>
      <c r="N611" s="125" t="n"/>
      <c r="O611" s="14" t="n"/>
      <c r="P611" s="16" t="n"/>
      <c r="Q611" s="125" t="n"/>
      <c r="R611" s="14" t="n"/>
      <c r="S611" s="16" t="n"/>
      <c r="T611" s="125" t="n"/>
      <c r="U611" s="14" t="n"/>
      <c r="V611" s="16" t="n"/>
      <c r="W611" s="125" t="n"/>
      <c r="X611" s="14" t="n"/>
      <c r="Y611" s="16" t="n"/>
      <c r="Z611" s="125" t="n"/>
      <c r="AA611" s="14" t="n"/>
      <c r="AB611" s="16" t="n"/>
      <c r="AC611" s="125" t="n"/>
      <c r="AD611" s="14" t="n"/>
    </row>
    <row r="612">
      <c r="A612" s="56" t="n"/>
      <c r="B612" s="59" t="n"/>
      <c r="C612" s="59" t="n"/>
      <c r="E612" s="16" t="n"/>
      <c r="F612" s="13" t="n"/>
      <c r="G612" s="16" t="n"/>
      <c r="H612" s="125" t="n"/>
      <c r="I612" s="14" t="n"/>
      <c r="J612" s="16" t="n"/>
      <c r="K612" s="125" t="n"/>
      <c r="L612" s="14" t="n"/>
      <c r="M612" s="16" t="n"/>
      <c r="N612" s="125" t="n"/>
      <c r="O612" s="14" t="n"/>
      <c r="P612" s="16" t="n"/>
      <c r="Q612" s="125" t="n"/>
      <c r="R612" s="14" t="n"/>
      <c r="S612" s="16" t="n"/>
      <c r="T612" s="125" t="n"/>
      <c r="U612" s="14" t="n"/>
      <c r="V612" s="16" t="n"/>
      <c r="W612" s="125" t="n"/>
      <c r="X612" s="14" t="n"/>
      <c r="Y612" s="16" t="n"/>
      <c r="Z612" s="125" t="n"/>
      <c r="AA612" s="14" t="n"/>
      <c r="AB612" s="16" t="n"/>
      <c r="AC612" s="125" t="n"/>
      <c r="AD612" s="14" t="n"/>
    </row>
    <row r="613">
      <c r="A613" s="58" t="n"/>
      <c r="B613" s="59" t="n"/>
      <c r="C613" s="59" t="n"/>
      <c r="E613" s="16" t="n"/>
      <c r="F613" s="13" t="n"/>
      <c r="G613" s="16" t="n"/>
      <c r="H613" s="125" t="n"/>
      <c r="I613" s="14" t="n"/>
      <c r="J613" s="16" t="n"/>
      <c r="K613" s="125" t="n"/>
      <c r="L613" s="14" t="n"/>
      <c r="M613" s="16" t="n"/>
      <c r="N613" s="125" t="n"/>
      <c r="O613" s="14" t="n"/>
      <c r="P613" s="16" t="n"/>
      <c r="Q613" s="125" t="n"/>
      <c r="R613" s="14" t="n"/>
      <c r="S613" s="16" t="n"/>
      <c r="T613" s="125" t="n"/>
      <c r="U613" s="14" t="n"/>
      <c r="V613" s="16" t="n"/>
      <c r="W613" s="125" t="n"/>
      <c r="X613" s="14" t="n"/>
      <c r="Y613" s="16" t="n"/>
      <c r="Z613" s="125" t="n"/>
      <c r="AA613" s="14" t="n"/>
      <c r="AB613" s="16" t="n"/>
      <c r="AC613" s="125" t="n"/>
      <c r="AD613" s="14" t="n"/>
    </row>
    <row r="614">
      <c r="A614" s="56" t="n"/>
      <c r="B614" s="59" t="n"/>
      <c r="C614" s="59" t="n"/>
      <c r="E614" s="16" t="n"/>
      <c r="F614" s="13" t="n"/>
      <c r="G614" s="16" t="n"/>
      <c r="H614" s="125" t="n"/>
      <c r="I614" s="14" t="n"/>
      <c r="J614" s="16" t="n"/>
      <c r="K614" s="125" t="n"/>
      <c r="L614" s="14" t="n"/>
      <c r="M614" s="16" t="n"/>
      <c r="N614" s="125" t="n"/>
      <c r="O614" s="14" t="n"/>
      <c r="P614" s="16" t="n"/>
      <c r="Q614" s="125" t="n"/>
      <c r="R614" s="14" t="n"/>
      <c r="S614" s="16" t="n"/>
      <c r="T614" s="125" t="n"/>
      <c r="U614" s="14" t="n"/>
      <c r="V614" s="16" t="n"/>
      <c r="W614" s="125" t="n"/>
      <c r="X614" s="14" t="n"/>
      <c r="Y614" s="16" t="n"/>
      <c r="Z614" s="125" t="n"/>
      <c r="AA614" s="14" t="n"/>
      <c r="AB614" s="16" t="n"/>
      <c r="AC614" s="125" t="n"/>
      <c r="AD614" s="14" t="n"/>
    </row>
    <row r="615">
      <c r="A615" s="58" t="n"/>
      <c r="B615" s="59" t="n"/>
      <c r="C615" s="59" t="n"/>
      <c r="E615" s="16" t="n"/>
      <c r="F615" s="13" t="n"/>
      <c r="G615" s="16" t="n"/>
      <c r="H615" s="125" t="n"/>
      <c r="I615" s="14" t="n"/>
      <c r="J615" s="16" t="n"/>
      <c r="K615" s="125" t="n"/>
      <c r="L615" s="14" t="n"/>
      <c r="M615" s="16" t="n"/>
      <c r="N615" s="125" t="n"/>
      <c r="O615" s="14" t="n"/>
      <c r="P615" s="16" t="n"/>
      <c r="Q615" s="125" t="n"/>
      <c r="R615" s="14" t="n"/>
      <c r="S615" s="16" t="n"/>
      <c r="T615" s="125" t="n"/>
      <c r="U615" s="14" t="n"/>
      <c r="V615" s="16" t="n"/>
      <c r="W615" s="125" t="n"/>
      <c r="X615" s="14" t="n"/>
      <c r="Y615" s="16" t="n"/>
      <c r="Z615" s="125" t="n"/>
      <c r="AA615" s="14" t="n"/>
      <c r="AB615" s="16" t="n"/>
      <c r="AC615" s="125" t="n"/>
      <c r="AD615" s="14" t="n"/>
    </row>
    <row r="616">
      <c r="A616" s="56" t="n"/>
      <c r="B616" s="59" t="n"/>
      <c r="C616" s="59" t="n"/>
      <c r="E616" s="16" t="n"/>
      <c r="F616" s="13" t="n"/>
      <c r="G616" s="16" t="n"/>
      <c r="H616" s="125" t="n"/>
      <c r="I616" s="14" t="n"/>
      <c r="J616" s="16" t="n"/>
      <c r="K616" s="125" t="n"/>
      <c r="L616" s="14" t="n"/>
      <c r="M616" s="16" t="n"/>
      <c r="N616" s="125" t="n"/>
      <c r="O616" s="14" t="n"/>
      <c r="P616" s="16" t="n"/>
      <c r="Q616" s="125" t="n"/>
      <c r="R616" s="14" t="n"/>
      <c r="S616" s="16" t="n"/>
      <c r="T616" s="125" t="n"/>
      <c r="U616" s="14" t="n"/>
      <c r="V616" s="16" t="n"/>
      <c r="W616" s="125" t="n"/>
      <c r="X616" s="14" t="n"/>
      <c r="Y616" s="16" t="n"/>
      <c r="Z616" s="125" t="n"/>
      <c r="AA616" s="14" t="n"/>
      <c r="AB616" s="16" t="n"/>
      <c r="AC616" s="125" t="n"/>
      <c r="AD616" s="14" t="n"/>
    </row>
    <row r="617">
      <c r="A617" s="58" t="n"/>
      <c r="B617" s="59" t="n"/>
      <c r="C617" s="59" t="n"/>
      <c r="E617" s="16" t="n"/>
      <c r="F617" s="13" t="n"/>
      <c r="G617" s="16" t="n"/>
      <c r="H617" s="125" t="n"/>
      <c r="I617" s="14" t="n"/>
      <c r="J617" s="16" t="n"/>
      <c r="K617" s="125" t="n"/>
      <c r="L617" s="14" t="n"/>
      <c r="M617" s="16" t="n"/>
      <c r="N617" s="125" t="n"/>
      <c r="O617" s="14" t="n"/>
      <c r="P617" s="16" t="n"/>
      <c r="Q617" s="125" t="n"/>
      <c r="R617" s="14" t="n"/>
      <c r="S617" s="16" t="n"/>
      <c r="T617" s="125" t="n"/>
      <c r="U617" s="14" t="n"/>
      <c r="V617" s="16" t="n"/>
      <c r="W617" s="125" t="n"/>
      <c r="X617" s="14" t="n"/>
      <c r="Y617" s="16" t="n"/>
      <c r="Z617" s="125" t="n"/>
      <c r="AA617" s="14" t="n"/>
      <c r="AB617" s="16" t="n"/>
      <c r="AC617" s="125" t="n"/>
      <c r="AD617" s="14" t="n"/>
    </row>
    <row r="618">
      <c r="A618" s="56" t="n"/>
      <c r="B618" s="59" t="n"/>
      <c r="C618" s="59" t="n"/>
      <c r="E618" s="16" t="n"/>
      <c r="F618" s="13" t="n"/>
      <c r="G618" s="16" t="n"/>
      <c r="H618" s="125" t="n"/>
      <c r="I618" s="14" t="n"/>
      <c r="J618" s="16" t="n"/>
      <c r="K618" s="125" t="n"/>
      <c r="L618" s="14" t="n"/>
      <c r="M618" s="16" t="n"/>
      <c r="N618" s="125" t="n"/>
      <c r="O618" s="14" t="n"/>
      <c r="P618" s="16" t="n"/>
      <c r="Q618" s="125" t="n"/>
      <c r="R618" s="14" t="n"/>
      <c r="S618" s="16" t="n"/>
      <c r="T618" s="125" t="n"/>
      <c r="U618" s="14" t="n"/>
      <c r="V618" s="16" t="n"/>
      <c r="W618" s="125" t="n"/>
      <c r="X618" s="14" t="n"/>
      <c r="Y618" s="16" t="n"/>
      <c r="Z618" s="125" t="n"/>
      <c r="AA618" s="14" t="n"/>
      <c r="AB618" s="16" t="n"/>
      <c r="AC618" s="125" t="n"/>
      <c r="AD618" s="14" t="n"/>
    </row>
    <row r="619">
      <c r="A619" s="58" t="n"/>
      <c r="B619" s="59" t="n"/>
      <c r="C619" s="59" t="n"/>
      <c r="E619" s="16" t="n"/>
      <c r="F619" s="13" t="n"/>
      <c r="G619" s="16" t="n"/>
      <c r="H619" s="125" t="n"/>
      <c r="I619" s="14" t="n"/>
      <c r="J619" s="16" t="n"/>
      <c r="K619" s="125" t="n"/>
      <c r="L619" s="14" t="n"/>
      <c r="M619" s="16" t="n"/>
      <c r="N619" s="125" t="n"/>
      <c r="O619" s="14" t="n"/>
      <c r="P619" s="16" t="n"/>
      <c r="Q619" s="125" t="n"/>
      <c r="R619" s="14" t="n"/>
      <c r="S619" s="16" t="n"/>
      <c r="T619" s="125" t="n"/>
      <c r="U619" s="14" t="n"/>
      <c r="V619" s="16" t="n"/>
      <c r="W619" s="125" t="n"/>
      <c r="X619" s="14" t="n"/>
      <c r="Y619" s="16" t="n"/>
      <c r="Z619" s="125" t="n"/>
      <c r="AA619" s="14" t="n"/>
      <c r="AB619" s="16" t="n"/>
      <c r="AC619" s="125" t="n"/>
      <c r="AD619" s="14" t="n"/>
    </row>
    <row r="620">
      <c r="A620" s="56" t="n"/>
      <c r="B620" s="59" t="n"/>
      <c r="C620" s="59" t="n"/>
      <c r="E620" s="16" t="n"/>
      <c r="F620" s="13" t="n"/>
      <c r="G620" s="16" t="n"/>
      <c r="H620" s="125" t="n"/>
      <c r="I620" s="14" t="n"/>
      <c r="J620" s="16" t="n"/>
      <c r="K620" s="125" t="n"/>
      <c r="L620" s="14" t="n"/>
      <c r="M620" s="16" t="n"/>
      <c r="N620" s="125" t="n"/>
      <c r="O620" s="14" t="n"/>
      <c r="P620" s="16" t="n"/>
      <c r="Q620" s="125" t="n"/>
      <c r="R620" s="14" t="n"/>
      <c r="S620" s="16" t="n"/>
      <c r="T620" s="125" t="n"/>
      <c r="U620" s="14" t="n"/>
      <c r="V620" s="16" t="n"/>
      <c r="W620" s="125" t="n"/>
      <c r="X620" s="14" t="n"/>
      <c r="Y620" s="16" t="n"/>
      <c r="Z620" s="125" t="n"/>
      <c r="AA620" s="14" t="n"/>
      <c r="AB620" s="16" t="n"/>
      <c r="AC620" s="125" t="n"/>
      <c r="AD620" s="14" t="n"/>
    </row>
    <row r="621">
      <c r="A621" s="58" t="n"/>
      <c r="B621" s="59" t="n"/>
      <c r="C621" s="59" t="n"/>
      <c r="E621" s="16" t="n"/>
      <c r="F621" s="13" t="n"/>
      <c r="G621" s="16" t="n"/>
      <c r="H621" s="125" t="n"/>
      <c r="I621" s="14" t="n"/>
      <c r="J621" s="16" t="n"/>
      <c r="K621" s="125" t="n"/>
      <c r="L621" s="14" t="n"/>
      <c r="M621" s="16" t="n"/>
      <c r="N621" s="125" t="n"/>
      <c r="O621" s="14" t="n"/>
      <c r="P621" s="16" t="n"/>
      <c r="Q621" s="125" t="n"/>
      <c r="R621" s="14" t="n"/>
      <c r="S621" s="16" t="n"/>
      <c r="T621" s="125" t="n"/>
      <c r="U621" s="14" t="n"/>
      <c r="V621" s="16" t="n"/>
      <c r="W621" s="125" t="n"/>
      <c r="X621" s="14" t="n"/>
      <c r="Y621" s="16" t="n"/>
      <c r="Z621" s="125" t="n"/>
      <c r="AA621" s="14" t="n"/>
      <c r="AB621" s="16" t="n"/>
      <c r="AC621" s="125" t="n"/>
      <c r="AD621" s="14" t="n"/>
    </row>
    <row r="622">
      <c r="A622" s="56" t="n"/>
      <c r="B622" s="59" t="n"/>
      <c r="C622" s="59" t="n"/>
      <c r="E622" s="16" t="n"/>
      <c r="F622" s="13" t="n"/>
      <c r="G622" s="16" t="n"/>
      <c r="H622" s="125" t="n"/>
      <c r="I622" s="14" t="n"/>
      <c r="J622" s="16" t="n"/>
      <c r="K622" s="125" t="n"/>
      <c r="L622" s="14" t="n"/>
      <c r="M622" s="16" t="n"/>
      <c r="N622" s="125" t="n"/>
      <c r="O622" s="14" t="n"/>
      <c r="P622" s="16" t="n"/>
      <c r="Q622" s="125" t="n"/>
      <c r="R622" s="14" t="n"/>
      <c r="S622" s="16" t="n"/>
      <c r="T622" s="125" t="n"/>
      <c r="U622" s="14" t="n"/>
      <c r="V622" s="16" t="n"/>
      <c r="W622" s="125" t="n"/>
      <c r="X622" s="14" t="n"/>
      <c r="Y622" s="16" t="n"/>
      <c r="Z622" s="125" t="n"/>
      <c r="AA622" s="14" t="n"/>
      <c r="AB622" s="16" t="n"/>
      <c r="AC622" s="125" t="n"/>
      <c r="AD622" s="14" t="n"/>
    </row>
    <row r="623">
      <c r="A623" s="58" t="n"/>
      <c r="B623" s="59" t="n"/>
      <c r="C623" s="59" t="n"/>
      <c r="E623" s="16" t="n"/>
      <c r="F623" s="13" t="n"/>
      <c r="G623" s="16" t="n"/>
      <c r="H623" s="125" t="n"/>
      <c r="I623" s="14" t="n"/>
      <c r="J623" s="16" t="n"/>
      <c r="K623" s="125" t="n"/>
      <c r="L623" s="14" t="n"/>
      <c r="M623" s="16" t="n"/>
      <c r="N623" s="125" t="n"/>
      <c r="O623" s="14" t="n"/>
      <c r="P623" s="16" t="n"/>
      <c r="Q623" s="125" t="n"/>
      <c r="R623" s="14" t="n"/>
      <c r="S623" s="16" t="n"/>
      <c r="T623" s="125" t="n"/>
      <c r="U623" s="14" t="n"/>
      <c r="V623" s="16" t="n"/>
      <c r="W623" s="125" t="n"/>
      <c r="X623" s="14" t="n"/>
      <c r="Y623" s="16" t="n"/>
      <c r="Z623" s="125" t="n"/>
      <c r="AA623" s="14" t="n"/>
      <c r="AB623" s="16" t="n"/>
      <c r="AC623" s="125" t="n"/>
      <c r="AD623" s="14" t="n"/>
    </row>
    <row r="624">
      <c r="A624" s="56" t="n"/>
      <c r="B624" s="59" t="n"/>
      <c r="C624" s="59" t="n"/>
      <c r="E624" s="16" t="n"/>
      <c r="F624" s="13" t="n"/>
      <c r="G624" s="16" t="n"/>
      <c r="H624" s="125" t="n"/>
      <c r="I624" s="14" t="n"/>
      <c r="J624" s="16" t="n"/>
      <c r="K624" s="125" t="n"/>
      <c r="L624" s="14" t="n"/>
      <c r="M624" s="16" t="n"/>
      <c r="N624" s="125" t="n"/>
      <c r="O624" s="14" t="n"/>
      <c r="P624" s="16" t="n"/>
      <c r="Q624" s="125" t="n"/>
      <c r="R624" s="14" t="n"/>
      <c r="S624" s="16" t="n"/>
      <c r="T624" s="125" t="n"/>
      <c r="U624" s="14" t="n"/>
      <c r="V624" s="16" t="n"/>
      <c r="W624" s="125" t="n"/>
      <c r="X624" s="14" t="n"/>
      <c r="Y624" s="16" t="n"/>
      <c r="Z624" s="125" t="n"/>
      <c r="AA624" s="14" t="n"/>
      <c r="AB624" s="16" t="n"/>
      <c r="AC624" s="125" t="n"/>
      <c r="AD624" s="14" t="n"/>
    </row>
    <row r="625">
      <c r="A625" s="58" t="n"/>
      <c r="B625" s="59" t="n"/>
      <c r="C625" s="59" t="n"/>
      <c r="E625" s="16" t="n"/>
      <c r="F625" s="13" t="n"/>
      <c r="G625" s="16" t="n"/>
      <c r="H625" s="125" t="n"/>
      <c r="I625" s="14" t="n"/>
      <c r="J625" s="16" t="n"/>
      <c r="K625" s="125" t="n"/>
      <c r="L625" s="14" t="n"/>
      <c r="M625" s="16" t="n"/>
      <c r="N625" s="125" t="n"/>
      <c r="O625" s="14" t="n"/>
      <c r="P625" s="16" t="n"/>
      <c r="Q625" s="125" t="n"/>
      <c r="R625" s="14" t="n"/>
      <c r="S625" s="16" t="n"/>
      <c r="T625" s="125" t="n"/>
      <c r="U625" s="14" t="n"/>
      <c r="V625" s="16" t="n"/>
      <c r="W625" s="125" t="n"/>
      <c r="X625" s="14" t="n"/>
      <c r="Y625" s="16" t="n"/>
      <c r="Z625" s="125" t="n"/>
      <c r="AA625" s="14" t="n"/>
      <c r="AB625" s="16" t="n"/>
      <c r="AC625" s="125" t="n"/>
      <c r="AD625" s="14" t="n"/>
    </row>
    <row r="626">
      <c r="A626" s="56" t="n"/>
      <c r="B626" s="59" t="n"/>
      <c r="C626" s="59" t="n"/>
      <c r="E626" s="16" t="n"/>
      <c r="F626" s="13" t="n"/>
      <c r="G626" s="16" t="n"/>
      <c r="H626" s="125" t="n"/>
      <c r="I626" s="14" t="n"/>
      <c r="J626" s="16" t="n"/>
      <c r="K626" s="125" t="n"/>
      <c r="L626" s="14" t="n"/>
      <c r="M626" s="16" t="n"/>
      <c r="N626" s="125" t="n"/>
      <c r="O626" s="14" t="n"/>
      <c r="P626" s="16" t="n"/>
      <c r="Q626" s="125" t="n"/>
      <c r="R626" s="14" t="n"/>
      <c r="S626" s="16" t="n"/>
      <c r="T626" s="125" t="n"/>
      <c r="U626" s="14" t="n"/>
      <c r="V626" s="16" t="n"/>
      <c r="W626" s="125" t="n"/>
      <c r="X626" s="14" t="n"/>
      <c r="Y626" s="16" t="n"/>
      <c r="Z626" s="125" t="n"/>
      <c r="AA626" s="14" t="n"/>
      <c r="AB626" s="16" t="n"/>
      <c r="AC626" s="125" t="n"/>
      <c r="AD626" s="14" t="n"/>
    </row>
    <row r="627">
      <c r="A627" s="58" t="n"/>
      <c r="B627" s="59" t="n"/>
      <c r="C627" s="59" t="n"/>
      <c r="E627" s="16" t="n"/>
      <c r="F627" s="13" t="n"/>
      <c r="G627" s="16" t="n"/>
      <c r="H627" s="125" t="n"/>
      <c r="I627" s="14" t="n"/>
      <c r="J627" s="16" t="n"/>
      <c r="K627" s="125" t="n"/>
      <c r="L627" s="14" t="n"/>
      <c r="M627" s="16" t="n"/>
      <c r="N627" s="125" t="n"/>
      <c r="O627" s="14" t="n"/>
      <c r="P627" s="16" t="n"/>
      <c r="Q627" s="125" t="n"/>
      <c r="R627" s="14" t="n"/>
      <c r="S627" s="16" t="n"/>
      <c r="T627" s="125" t="n"/>
      <c r="U627" s="14" t="n"/>
      <c r="V627" s="16" t="n"/>
      <c r="W627" s="125" t="n"/>
      <c r="X627" s="14" t="n"/>
      <c r="Y627" s="16" t="n"/>
      <c r="Z627" s="125" t="n"/>
      <c r="AA627" s="14" t="n"/>
      <c r="AB627" s="16" t="n"/>
      <c r="AC627" s="125" t="n"/>
      <c r="AD627" s="14" t="n"/>
    </row>
    <row r="628">
      <c r="A628" s="56" t="n"/>
      <c r="B628" s="59" t="n"/>
      <c r="C628" s="59" t="n"/>
      <c r="E628" s="16" t="n"/>
      <c r="F628" s="13" t="n"/>
      <c r="G628" s="16" t="n"/>
      <c r="H628" s="125" t="n"/>
      <c r="I628" s="14" t="n"/>
      <c r="J628" s="16" t="n"/>
      <c r="K628" s="125" t="n"/>
      <c r="L628" s="14" t="n"/>
      <c r="M628" s="16" t="n"/>
      <c r="N628" s="125" t="n"/>
      <c r="O628" s="14" t="n"/>
      <c r="P628" s="16" t="n"/>
      <c r="Q628" s="125" t="n"/>
      <c r="R628" s="14" t="n"/>
      <c r="S628" s="16" t="n"/>
      <c r="T628" s="125" t="n"/>
      <c r="U628" s="14" t="n"/>
      <c r="V628" s="16" t="n"/>
      <c r="W628" s="125" t="n"/>
      <c r="X628" s="14" t="n"/>
      <c r="Y628" s="16" t="n"/>
      <c r="Z628" s="125" t="n"/>
      <c r="AA628" s="14" t="n"/>
      <c r="AB628" s="16" t="n"/>
      <c r="AC628" s="125" t="n"/>
      <c r="AD628" s="14" t="n"/>
    </row>
    <row r="629">
      <c r="A629" s="58" t="n"/>
      <c r="B629" s="59" t="n"/>
      <c r="C629" s="59" t="n"/>
      <c r="E629" s="16" t="n"/>
      <c r="F629" s="13" t="n"/>
      <c r="G629" s="16" t="n"/>
      <c r="H629" s="125" t="n"/>
      <c r="I629" s="14" t="n"/>
      <c r="J629" s="16" t="n"/>
      <c r="K629" s="125" t="n"/>
      <c r="L629" s="14" t="n"/>
      <c r="M629" s="16" t="n"/>
      <c r="N629" s="125" t="n"/>
      <c r="O629" s="14" t="n"/>
      <c r="P629" s="16" t="n"/>
      <c r="Q629" s="125" t="n"/>
      <c r="R629" s="14" t="n"/>
      <c r="S629" s="16" t="n"/>
      <c r="T629" s="125" t="n"/>
      <c r="U629" s="14" t="n"/>
      <c r="V629" s="16" t="n"/>
      <c r="W629" s="125" t="n"/>
      <c r="X629" s="14" t="n"/>
      <c r="Y629" s="16" t="n"/>
      <c r="Z629" s="125" t="n"/>
      <c r="AA629" s="14" t="n"/>
      <c r="AB629" s="16" t="n"/>
      <c r="AC629" s="125" t="n"/>
      <c r="AD629" s="14" t="n"/>
    </row>
    <row r="630">
      <c r="A630" s="56" t="n"/>
      <c r="B630" s="59" t="n"/>
      <c r="C630" s="59" t="n"/>
      <c r="E630" s="16" t="n"/>
      <c r="F630" s="13" t="n"/>
      <c r="G630" s="16" t="n"/>
      <c r="H630" s="125" t="n"/>
      <c r="I630" s="14" t="n"/>
      <c r="J630" s="16" t="n"/>
      <c r="K630" s="125" t="n"/>
      <c r="L630" s="14" t="n"/>
      <c r="M630" s="16" t="n"/>
      <c r="N630" s="125" t="n"/>
      <c r="O630" s="14" t="n"/>
      <c r="P630" s="16" t="n"/>
      <c r="Q630" s="125" t="n"/>
      <c r="R630" s="14" t="n"/>
      <c r="S630" s="16" t="n"/>
      <c r="T630" s="125" t="n"/>
      <c r="U630" s="14" t="n"/>
      <c r="V630" s="16" t="n"/>
      <c r="W630" s="125" t="n"/>
      <c r="X630" s="14" t="n"/>
      <c r="Y630" s="16" t="n"/>
      <c r="Z630" s="125" t="n"/>
      <c r="AA630" s="14" t="n"/>
      <c r="AB630" s="16" t="n"/>
      <c r="AC630" s="125" t="n"/>
      <c r="AD630" s="14" t="n"/>
    </row>
    <row r="631">
      <c r="A631" s="58" t="n"/>
      <c r="B631" s="59" t="n"/>
      <c r="C631" s="59" t="n"/>
      <c r="E631" s="16" t="n"/>
      <c r="F631" s="13" t="n"/>
      <c r="G631" s="16" t="n"/>
      <c r="H631" s="125" t="n"/>
      <c r="I631" s="14" t="n"/>
      <c r="J631" s="16" t="n"/>
      <c r="K631" s="125" t="n"/>
      <c r="L631" s="14" t="n"/>
      <c r="M631" s="16" t="n"/>
      <c r="N631" s="125" t="n"/>
      <c r="O631" s="14" t="n"/>
      <c r="P631" s="16" t="n"/>
      <c r="Q631" s="125" t="n"/>
      <c r="R631" s="14" t="n"/>
      <c r="S631" s="16" t="n"/>
      <c r="T631" s="125" t="n"/>
      <c r="U631" s="14" t="n"/>
      <c r="V631" s="16" t="n"/>
      <c r="W631" s="125" t="n"/>
      <c r="X631" s="14" t="n"/>
      <c r="Y631" s="16" t="n"/>
      <c r="Z631" s="125" t="n"/>
      <c r="AA631" s="14" t="n"/>
      <c r="AB631" s="16" t="n"/>
      <c r="AC631" s="125" t="n"/>
      <c r="AD631" s="14" t="n"/>
    </row>
    <row r="632">
      <c r="A632" s="56" t="n"/>
      <c r="B632" s="59" t="n"/>
      <c r="C632" s="59" t="n"/>
      <c r="E632" s="16" t="n"/>
      <c r="F632" s="13" t="n"/>
      <c r="G632" s="16" t="n"/>
      <c r="H632" s="125" t="n"/>
      <c r="I632" s="14" t="n"/>
      <c r="J632" s="16" t="n"/>
      <c r="K632" s="125" t="n"/>
      <c r="L632" s="14" t="n"/>
      <c r="M632" s="16" t="n"/>
      <c r="N632" s="125" t="n"/>
      <c r="O632" s="14" t="n"/>
      <c r="P632" s="16" t="n"/>
      <c r="Q632" s="125" t="n"/>
      <c r="R632" s="14" t="n"/>
      <c r="S632" s="16" t="n"/>
      <c r="T632" s="125" t="n"/>
      <c r="U632" s="14" t="n"/>
      <c r="V632" s="16" t="n"/>
      <c r="W632" s="125" t="n"/>
      <c r="X632" s="14" t="n"/>
      <c r="Y632" s="16" t="n"/>
      <c r="Z632" s="125" t="n"/>
      <c r="AA632" s="14" t="n"/>
      <c r="AB632" s="16" t="n"/>
      <c r="AC632" s="125" t="n"/>
      <c r="AD632" s="14" t="n"/>
    </row>
    <row r="633">
      <c r="A633" s="58" t="n"/>
      <c r="B633" s="59" t="n"/>
      <c r="C633" s="59" t="n"/>
      <c r="E633" s="16" t="n"/>
      <c r="F633" s="13" t="n"/>
      <c r="G633" s="16" t="n"/>
      <c r="H633" s="125" t="n"/>
      <c r="I633" s="14" t="n"/>
      <c r="J633" s="16" t="n"/>
      <c r="K633" s="125" t="n"/>
      <c r="L633" s="14" t="n"/>
      <c r="M633" s="16" t="n"/>
      <c r="N633" s="125" t="n"/>
      <c r="O633" s="14" t="n"/>
      <c r="P633" s="16" t="n"/>
      <c r="Q633" s="125" t="n"/>
      <c r="R633" s="14" t="n"/>
      <c r="S633" s="16" t="n"/>
      <c r="T633" s="125" t="n"/>
      <c r="U633" s="14" t="n"/>
      <c r="V633" s="16" t="n"/>
      <c r="W633" s="125" t="n"/>
      <c r="X633" s="14" t="n"/>
      <c r="Y633" s="16" t="n"/>
      <c r="Z633" s="125" t="n"/>
      <c r="AA633" s="14" t="n"/>
      <c r="AB633" s="16" t="n"/>
      <c r="AC633" s="125" t="n"/>
      <c r="AD633" s="14" t="n"/>
    </row>
  </sheetData>
  <autoFilter ref="A14:E14"/>
  <conditionalFormatting sqref="E15:E633">
    <cfRule type="cellIs" priority="1" operator="greaterThan" dxfId="3">
      <formula>0</formula>
    </cfRule>
  </conditionalFormatting>
  <conditionalFormatting sqref="G15:G215">
    <cfRule type="expression" priority="54" dxfId="2">
      <formula>AND(NOT(ISBLANK(G15)),G15&lt;H$7)</formula>
    </cfRule>
    <cfRule type="expression" priority="55" dxfId="1">
      <formula>AND(G15&lt;=(H$7),(G15+H$5)&gt;(H$7))</formula>
    </cfRule>
    <cfRule type="expression" priority="56" dxfId="0">
      <formula>AND(NOT(ISBLANK(G15)),G15&gt;H$7)</formula>
    </cfRule>
  </conditionalFormatting>
  <conditionalFormatting sqref="G15:G264">
    <cfRule type="cellIs" priority="58" operator="greaterThan" dxfId="3">
      <formula>0</formula>
    </cfRule>
  </conditionalFormatting>
  <conditionalFormatting sqref="H2">
    <cfRule type="iconSet" priority="53">
      <iconSet iconSet="3Symbols2">
        <cfvo type="percent" val="0"/>
        <cfvo type="num" val="30" gte="0"/>
        <cfvo type="num" val="50" gte="0"/>
      </iconSet>
    </cfRule>
  </conditionalFormatting>
  <conditionalFormatting sqref="H15:H264">
    <cfRule type="dataBar" priority="57">
      <dataBar>
        <cfvo type="num" val="0"/>
        <cfvo type="max"/>
        <color rgb="FF638EC6"/>
      </dataBar>
    </cfRule>
  </conditionalFormatting>
  <conditionalFormatting sqref="J15:J215">
    <cfRule type="expression" priority="47" dxfId="2">
      <formula>AND(NOT(ISBLANK(J15)),J15&lt;K$7)</formula>
    </cfRule>
    <cfRule type="expression" priority="48" dxfId="1">
      <formula>AND(J15&lt;=(K$7),(J15+K$5)&gt;(K$7))</formula>
    </cfRule>
    <cfRule type="expression" priority="49" dxfId="0">
      <formula>AND(NOT(ISBLANK(J15)),J15&gt;K$7)</formula>
    </cfRule>
  </conditionalFormatting>
  <conditionalFormatting sqref="J15:J264">
    <cfRule type="cellIs" priority="51" operator="greaterThan" dxfId="3">
      <formula>0</formula>
    </cfRule>
  </conditionalFormatting>
  <conditionalFormatting sqref="K2">
    <cfRule type="iconSet" priority="46">
      <iconSet iconSet="3Symbols2">
        <cfvo type="percent" val="0"/>
        <cfvo type="num" val="30" gte="0"/>
        <cfvo type="num" val="50" gte="0"/>
      </iconSet>
    </cfRule>
  </conditionalFormatting>
  <conditionalFormatting sqref="K15:K264">
    <cfRule type="dataBar" priority="50">
      <dataBar>
        <cfvo type="num" val="0"/>
        <cfvo type="max"/>
        <color rgb="FF638EC6"/>
      </dataBar>
    </cfRule>
  </conditionalFormatting>
  <conditionalFormatting sqref="M15:M215">
    <cfRule type="expression" priority="40" dxfId="2">
      <formula>AND(NOT(ISBLANK(M15)),M15&lt;N$7)</formula>
    </cfRule>
    <cfRule type="expression" priority="41" dxfId="1">
      <formula>AND(M15&lt;=(N$7),(M15+N$5)&gt;(N$7))</formula>
    </cfRule>
    <cfRule type="expression" priority="42" dxfId="0">
      <formula>AND(NOT(ISBLANK(M15)),M15&gt;N$7)</formula>
    </cfRule>
  </conditionalFormatting>
  <conditionalFormatting sqref="M15:M264">
    <cfRule type="cellIs" priority="44" operator="greaterThan" dxfId="3">
      <formula>0</formula>
    </cfRule>
  </conditionalFormatting>
  <conditionalFormatting sqref="N2">
    <cfRule type="iconSet" priority="39">
      <iconSet iconSet="3Symbols2">
        <cfvo type="percent" val="0"/>
        <cfvo type="num" val="30" gte="0"/>
        <cfvo type="num" val="50" gte="0"/>
      </iconSet>
    </cfRule>
  </conditionalFormatting>
  <conditionalFormatting sqref="N15:N264">
    <cfRule type="dataBar" priority="43">
      <dataBar>
        <cfvo type="num" val="0"/>
        <cfvo type="max"/>
        <color rgb="FF638EC6"/>
      </dataBar>
    </cfRule>
  </conditionalFormatting>
  <conditionalFormatting sqref="P15:P215">
    <cfRule type="expression" priority="33" dxfId="2">
      <formula>AND(NOT(ISBLANK(P15)),P15&lt;Q$7)</formula>
    </cfRule>
    <cfRule type="expression" priority="34" dxfId="1">
      <formula>AND(P15&lt;=(Q$7),(P15+Q$5)&gt;(Q$7))</formula>
    </cfRule>
    <cfRule type="expression" priority="35" dxfId="0">
      <formula>AND(NOT(ISBLANK(P15)),P15&gt;Q$7)</formula>
    </cfRule>
  </conditionalFormatting>
  <conditionalFormatting sqref="P15:P264">
    <cfRule type="cellIs" priority="37" operator="greaterThan" dxfId="3">
      <formula>0</formula>
    </cfRule>
  </conditionalFormatting>
  <conditionalFormatting sqref="Q2">
    <cfRule type="iconSet" priority="32">
      <iconSet iconSet="3Symbols2">
        <cfvo type="percent" val="0"/>
        <cfvo type="num" val="30" gte="0"/>
        <cfvo type="num" val="50" gte="0"/>
      </iconSet>
    </cfRule>
  </conditionalFormatting>
  <conditionalFormatting sqref="Q15:Q264">
    <cfRule type="dataBar" priority="36">
      <dataBar>
        <cfvo type="num" val="0"/>
        <cfvo type="max"/>
        <color rgb="FF638EC6"/>
      </dataBar>
    </cfRule>
  </conditionalFormatting>
  <conditionalFormatting sqref="S15:S215">
    <cfRule type="expression" priority="26" dxfId="2">
      <formula>AND(NOT(ISBLANK(S15)),S15&lt;T$7)</formula>
    </cfRule>
    <cfRule type="expression" priority="27" dxfId="1">
      <formula>AND(S15&lt;=(T$7),(S15+T$5)&gt;(T$7))</formula>
    </cfRule>
    <cfRule type="expression" priority="28" dxfId="0">
      <formula>AND(NOT(ISBLANK(S15)),S15&gt;T$7)</formula>
    </cfRule>
  </conditionalFormatting>
  <conditionalFormatting sqref="S15:S264">
    <cfRule type="cellIs" priority="30" operator="greaterThan" dxfId="3">
      <formula>0</formula>
    </cfRule>
  </conditionalFormatting>
  <conditionalFormatting sqref="T2">
    <cfRule type="iconSet" priority="25">
      <iconSet iconSet="3Symbols2">
        <cfvo type="percent" val="0"/>
        <cfvo type="num" val="30" gte="0"/>
        <cfvo type="num" val="50" gte="0"/>
      </iconSet>
    </cfRule>
  </conditionalFormatting>
  <conditionalFormatting sqref="T15:T264">
    <cfRule type="dataBar" priority="29">
      <dataBar>
        <cfvo type="num" val="0"/>
        <cfvo type="max"/>
        <color rgb="FF638EC6"/>
      </dataBar>
    </cfRule>
  </conditionalFormatting>
  <conditionalFormatting sqref="V15:V215">
    <cfRule type="expression" priority="19" dxfId="2">
      <formula>AND(NOT(ISBLANK(V15)),V15&lt;W$7)</formula>
    </cfRule>
    <cfRule type="expression" priority="20" dxfId="1">
      <formula>AND(V15&lt;=(W$7),(V15+W$5)&gt;(W$7))</formula>
    </cfRule>
    <cfRule type="expression" priority="21" dxfId="0">
      <formula>AND(NOT(ISBLANK(V15)),V15&gt;W$7)</formula>
    </cfRule>
  </conditionalFormatting>
  <conditionalFormatting sqref="V15:V264">
    <cfRule type="cellIs" priority="23" operator="greaterThan" dxfId="3">
      <formula>0</formula>
    </cfRule>
  </conditionalFormatting>
  <conditionalFormatting sqref="W2">
    <cfRule type="iconSet" priority="18">
      <iconSet iconSet="3Symbols2">
        <cfvo type="percent" val="0"/>
        <cfvo type="num" val="30" gte="0"/>
        <cfvo type="num" val="50" gte="0"/>
      </iconSet>
    </cfRule>
  </conditionalFormatting>
  <conditionalFormatting sqref="W15:W264">
    <cfRule type="dataBar" priority="22">
      <dataBar>
        <cfvo type="num" val="0"/>
        <cfvo type="max"/>
        <color rgb="FF638EC6"/>
      </dataBar>
    </cfRule>
  </conditionalFormatting>
  <conditionalFormatting sqref="Y15:Y215">
    <cfRule type="expression" priority="12" dxfId="2">
      <formula>AND(NOT(ISBLANK(Y15)),Y15&lt;Z$7)</formula>
    </cfRule>
    <cfRule type="expression" priority="13" dxfId="1">
      <formula>AND(Y15&lt;=(Z$7),(Y15+Z$5)&gt;(Z$7))</formula>
    </cfRule>
    <cfRule type="expression" priority="14" dxfId="0">
      <formula>AND(NOT(ISBLANK(Y15)),Y15&gt;Z$7)</formula>
    </cfRule>
  </conditionalFormatting>
  <conditionalFormatting sqref="Y15:Y264">
    <cfRule type="cellIs" priority="16" operator="greaterThan" dxfId="3">
      <formula>0</formula>
    </cfRule>
  </conditionalFormatting>
  <conditionalFormatting sqref="Z2">
    <cfRule type="iconSet" priority="11">
      <iconSet iconSet="3Symbols2">
        <cfvo type="percent" val="0"/>
        <cfvo type="num" val="30" gte="0"/>
        <cfvo type="num" val="50" gte="0"/>
      </iconSet>
    </cfRule>
  </conditionalFormatting>
  <conditionalFormatting sqref="Z15:Z264">
    <cfRule type="dataBar" priority="15">
      <dataBar>
        <cfvo type="num" val="0"/>
        <cfvo type="max"/>
        <color rgb="FF638EC6"/>
      </dataBar>
    </cfRule>
  </conditionalFormatting>
  <conditionalFormatting sqref="AB15:AB215">
    <cfRule type="expression" priority="5" dxfId="2">
      <formula>AND(NOT(ISBLANK(AB15)),AB15&lt;AC$7)</formula>
    </cfRule>
    <cfRule type="expression" priority="6" dxfId="1">
      <formula>AND(AB15&lt;=(AC$7),(AB15+AC$5)&gt;(AC$7))</formula>
    </cfRule>
    <cfRule type="expression" priority="7" dxfId="0">
      <formula>AND(NOT(ISBLANK(AB15)),AB15&gt;AC$7)</formula>
    </cfRule>
  </conditionalFormatting>
  <conditionalFormatting sqref="AB15:AB264">
    <cfRule type="cellIs" priority="9" operator="greaterThan" dxfId="3">
      <formula>0</formula>
    </cfRule>
  </conditionalFormatting>
  <conditionalFormatting sqref="AC2">
    <cfRule type="iconSet" priority="4">
      <iconSet iconSet="3Symbols2">
        <cfvo type="percent" val="0"/>
        <cfvo type="num" val="30" gte="0"/>
        <cfvo type="num" val="50" gte="0"/>
      </iconSet>
    </cfRule>
  </conditionalFormatting>
  <conditionalFormatting sqref="AC15:AC264">
    <cfRule type="dataBar" priority="8">
      <dataBar>
        <cfvo type="num" val="0"/>
        <cfvo type="max"/>
        <color rgb="FF638EC6"/>
      </dataBar>
    </cfRule>
  </conditionalFormatting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tabColor rgb="FFFF0000"/>
    <outlinePr summaryBelow="1" summaryRight="1"/>
    <pageSetUpPr/>
  </sheetPr>
  <dimension ref="A1:AE766"/>
  <sheetViews>
    <sheetView showGridLines="0" zoomScale="70" zoomScaleNormal="70" workbookViewId="0">
      <selection activeCell="A16" sqref="A16"/>
    </sheetView>
  </sheetViews>
  <sheetFormatPr baseColWidth="8" defaultRowHeight="14.4"/>
  <cols>
    <col width="8.44140625" customWidth="1" style="113" min="1" max="1"/>
    <col width="11.88671875" customWidth="1" style="113" min="2" max="2"/>
    <col width="7.109375" customWidth="1" style="113" min="3" max="3"/>
    <col width="8.5546875" customWidth="1" style="113" min="4" max="4"/>
    <col width="4.5546875" bestFit="1" customWidth="1" style="113" min="5" max="5"/>
    <col width="2.6640625" customWidth="1" style="113" min="6" max="6"/>
    <col width="11.5546875" customWidth="1" style="113" min="7" max="8"/>
    <col width="2.33203125" customWidth="1" style="113" min="9" max="9"/>
    <col width="11.5546875" customWidth="1" style="113" min="10" max="11"/>
    <col width="2.33203125" customWidth="1" style="113" min="12" max="12"/>
    <col width="11.5546875" customWidth="1" style="113" min="13" max="14"/>
    <col width="2.33203125" customWidth="1" style="113" min="15" max="15"/>
    <col width="11.5546875" customWidth="1" style="113" min="16" max="17"/>
    <col width="2.33203125" customWidth="1" style="113" min="18" max="18"/>
    <col width="11.5546875" customWidth="1" style="113" min="19" max="20"/>
    <col width="2.33203125" customWidth="1" style="113" min="21" max="21"/>
    <col width="11.5546875" customWidth="1" style="113" min="22" max="23"/>
    <col width="2.33203125" customWidth="1" style="113" min="24" max="24"/>
    <col width="11.5546875" customWidth="1" style="113" min="25" max="26"/>
    <col width="2.33203125" customWidth="1" style="113" min="27" max="27"/>
    <col width="11.5546875" customWidth="1" style="113" min="28" max="29"/>
    <col width="2.33203125" customWidth="1" style="113" min="30" max="30"/>
  </cols>
  <sheetData>
    <row r="1">
      <c r="D1" s="114" t="n"/>
      <c r="E1" s="115" t="n"/>
      <c r="F1" s="31" t="n"/>
      <c r="G1" s="36">
        <f>FAO!B1&amp;" max ="</f>
        <v/>
      </c>
      <c r="H1" s="116">
        <f>+FAO!B10</f>
        <v/>
      </c>
      <c r="I1" s="32" t="n"/>
      <c r="J1" s="36">
        <f>FAO!E1&amp;" max ="</f>
        <v/>
      </c>
      <c r="K1" s="116">
        <f>+FAO!E10</f>
        <v/>
      </c>
      <c r="L1" s="32" t="n"/>
      <c r="M1" s="36">
        <f>FAO!H1&amp;" max ="</f>
        <v/>
      </c>
      <c r="N1" s="116">
        <f>+FAO!H10</f>
        <v/>
      </c>
      <c r="O1" s="32" t="n"/>
      <c r="P1" s="36">
        <f>FAO!K1&amp;" max ="</f>
        <v/>
      </c>
      <c r="Q1" s="116">
        <f>+FAO!K10</f>
        <v/>
      </c>
      <c r="R1" s="32" t="n"/>
      <c r="S1" s="36">
        <f>FAO!N1&amp;" max ="</f>
        <v/>
      </c>
      <c r="T1" s="116">
        <f>+FAO!N10</f>
        <v/>
      </c>
      <c r="U1" s="32" t="n"/>
      <c r="V1" s="36">
        <f>FAO!Q1&amp;" max ="</f>
        <v/>
      </c>
      <c r="W1" s="116">
        <f>+FAO!Q10</f>
        <v/>
      </c>
      <c r="X1" s="32" t="n"/>
      <c r="Y1" s="36">
        <f>FAO!T1&amp;" max ="</f>
        <v/>
      </c>
      <c r="Z1" s="116">
        <f>+FAO!T10</f>
        <v/>
      </c>
      <c r="AA1" s="32" t="n"/>
      <c r="AB1" s="36">
        <f>FAO!W1&amp;" max ="</f>
        <v/>
      </c>
      <c r="AC1" s="116">
        <f>+FAO!W10</f>
        <v/>
      </c>
      <c r="AD1" s="32" t="n"/>
      <c r="AE1">
        <f>COUNTA($C$15:$C$10001)</f>
        <v/>
      </c>
    </row>
    <row r="2">
      <c r="D2" s="114" t="n"/>
      <c r="E2" s="115" t="n"/>
      <c r="F2" s="31" t="n"/>
      <c r="G2" s="48" t="inlineStr">
        <is>
          <t>obs n =</t>
        </is>
      </c>
      <c r="H2">
        <f>COUNTIF($C$18:$C$1003,G13)</f>
        <v/>
      </c>
      <c r="I2" s="32" t="n"/>
      <c r="J2" s="48" t="inlineStr">
        <is>
          <t>obs n =</t>
        </is>
      </c>
      <c r="K2">
        <f>COUNTIF($C$18:$C$1003,J13)</f>
        <v/>
      </c>
      <c r="L2" s="32" t="n"/>
      <c r="M2" s="48" t="inlineStr">
        <is>
          <t>obs n =</t>
        </is>
      </c>
      <c r="N2">
        <f>COUNTIF($C$18:$C$1003,M13)</f>
        <v/>
      </c>
      <c r="O2" s="32" t="n"/>
      <c r="P2" s="48" t="inlineStr">
        <is>
          <t>obs n =</t>
        </is>
      </c>
      <c r="Q2">
        <f>COUNTIF($C$18:$C$1003,P13)</f>
        <v/>
      </c>
      <c r="R2" s="32" t="n"/>
      <c r="S2" s="48" t="inlineStr">
        <is>
          <t>obs n =</t>
        </is>
      </c>
      <c r="T2">
        <f>COUNTIF($C$18:$C$1003,S13)</f>
        <v/>
      </c>
      <c r="U2" s="32" t="n"/>
      <c r="V2" s="48" t="inlineStr">
        <is>
          <t>obs n =</t>
        </is>
      </c>
      <c r="W2">
        <f>COUNTIF($C$18:$C$1003,V13)</f>
        <v/>
      </c>
      <c r="X2" s="32" t="n"/>
      <c r="Y2" s="48" t="inlineStr">
        <is>
          <t>obs n =</t>
        </is>
      </c>
      <c r="Z2">
        <f>COUNTIF($C$18:$C$1003,Y13)</f>
        <v/>
      </c>
      <c r="AA2" s="32" t="n"/>
      <c r="AB2" s="48" t="inlineStr">
        <is>
          <t>obs n =</t>
        </is>
      </c>
      <c r="AC2">
        <f>COUNTIF($C$18:$C$1003,AB13)</f>
        <v/>
      </c>
      <c r="AD2" s="32" t="n"/>
    </row>
    <row r="3">
      <c r="D3" s="114" t="n"/>
      <c r="E3" s="115" t="n"/>
      <c r="F3" s="31" t="n"/>
      <c r="G3" s="48" t="inlineStr">
        <is>
          <t xml:space="preserve">freq n= </t>
        </is>
      </c>
      <c r="H3">
        <f>+SUM(H15:H1003)</f>
        <v/>
      </c>
      <c r="I3" s="32" t="n"/>
      <c r="J3" s="48" t="inlineStr">
        <is>
          <t xml:space="preserve">freq n= </t>
        </is>
      </c>
      <c r="K3">
        <f>+SUM(K15:K1003)</f>
        <v/>
      </c>
      <c r="L3" s="32" t="n"/>
      <c r="M3" s="48" t="inlineStr">
        <is>
          <t xml:space="preserve">freq n= </t>
        </is>
      </c>
      <c r="N3">
        <f>+SUM(N15:N1003)</f>
        <v/>
      </c>
      <c r="O3" s="32" t="n"/>
      <c r="P3" s="48" t="inlineStr">
        <is>
          <t xml:space="preserve">freq n= </t>
        </is>
      </c>
      <c r="Q3">
        <f>+SUM(Q15:Q1003)</f>
        <v/>
      </c>
      <c r="R3" s="32" t="n"/>
      <c r="S3" s="48" t="inlineStr">
        <is>
          <t xml:space="preserve">freq n= </t>
        </is>
      </c>
      <c r="T3">
        <f>+SUM(T15:T1003)</f>
        <v/>
      </c>
      <c r="U3" s="32" t="n"/>
      <c r="V3" s="48" t="inlineStr">
        <is>
          <t xml:space="preserve">freq n= </t>
        </is>
      </c>
      <c r="W3">
        <f>+SUM(W15:W1003)</f>
        <v/>
      </c>
      <c r="X3" s="32" t="n"/>
      <c r="Y3" s="48" t="inlineStr">
        <is>
          <t xml:space="preserve">freq n= </t>
        </is>
      </c>
      <c r="Z3">
        <f>+SUM(Z15:Z1003)</f>
        <v/>
      </c>
      <c r="AA3" s="32" t="n"/>
      <c r="AB3" s="48" t="inlineStr">
        <is>
          <t xml:space="preserve">freq n= </t>
        </is>
      </c>
      <c r="AC3">
        <f>+SUM(AC15:AC1003)</f>
        <v/>
      </c>
      <c r="AD3" s="32" t="n"/>
    </row>
    <row r="4">
      <c r="D4" s="114" t="n"/>
      <c r="E4" s="115" t="n"/>
      <c r="F4" s="31" t="n"/>
      <c r="G4" s="48" t="inlineStr">
        <is>
          <t>first bin =</t>
        </is>
      </c>
      <c r="H4" t="n">
        <v>10</v>
      </c>
      <c r="I4" s="32" t="n"/>
      <c r="J4" s="48" t="inlineStr">
        <is>
          <t>first bin =</t>
        </is>
      </c>
      <c r="K4" t="n">
        <v>10</v>
      </c>
      <c r="L4" s="32" t="n"/>
      <c r="M4" s="48" t="inlineStr">
        <is>
          <t>first bin =</t>
        </is>
      </c>
      <c r="N4" t="n">
        <v>10</v>
      </c>
      <c r="O4" s="32" t="n"/>
      <c r="P4" s="48" t="inlineStr">
        <is>
          <t>first bin =</t>
        </is>
      </c>
      <c r="Q4" t="n">
        <v>10</v>
      </c>
      <c r="R4" s="32" t="n"/>
      <c r="S4" s="48" t="inlineStr">
        <is>
          <t>first bin =</t>
        </is>
      </c>
      <c r="T4" t="n">
        <v>10</v>
      </c>
      <c r="U4" s="32" t="n"/>
      <c r="V4" s="48" t="inlineStr">
        <is>
          <t>first bin =</t>
        </is>
      </c>
      <c r="W4" t="n">
        <v>10</v>
      </c>
      <c r="X4" s="32" t="n"/>
      <c r="Y4" s="48" t="inlineStr">
        <is>
          <t>first bin =</t>
        </is>
      </c>
      <c r="Z4" t="n">
        <v>10</v>
      </c>
      <c r="AA4" s="32" t="n"/>
      <c r="AB4" s="48" t="inlineStr">
        <is>
          <t>first bin =</t>
        </is>
      </c>
      <c r="AC4" t="n">
        <v>10</v>
      </c>
      <c r="AD4" s="32" t="n"/>
    </row>
    <row r="5">
      <c r="D5" s="114" t="n"/>
      <c r="E5" s="115" t="n"/>
      <c r="F5" s="31" t="n"/>
      <c r="G5" s="48" t="inlineStr">
        <is>
          <t>increment =</t>
        </is>
      </c>
      <c r="H5">
        <f>+FAO!B14</f>
        <v/>
      </c>
      <c r="I5" s="32" t="n"/>
      <c r="J5" s="48" t="inlineStr">
        <is>
          <t>increment =</t>
        </is>
      </c>
      <c r="K5">
        <f>+FAO!E14</f>
        <v/>
      </c>
      <c r="L5" s="32" t="n"/>
      <c r="M5" s="48" t="inlineStr">
        <is>
          <t>increment =</t>
        </is>
      </c>
      <c r="N5">
        <f>+FAO!H14</f>
        <v/>
      </c>
      <c r="O5" s="32" t="n"/>
      <c r="P5" s="48" t="inlineStr">
        <is>
          <t>increment =</t>
        </is>
      </c>
      <c r="Q5">
        <f>+FAO!K14</f>
        <v/>
      </c>
      <c r="R5" s="32" t="n"/>
      <c r="S5" s="48" t="inlineStr">
        <is>
          <t>increment =</t>
        </is>
      </c>
      <c r="T5">
        <f>+FAO!N14</f>
        <v/>
      </c>
      <c r="U5" s="32" t="n"/>
      <c r="V5" s="48" t="inlineStr">
        <is>
          <t>increment =</t>
        </is>
      </c>
      <c r="W5">
        <f>+FAO!Q14</f>
        <v/>
      </c>
      <c r="X5" s="32" t="n"/>
      <c r="Y5" s="48" t="inlineStr">
        <is>
          <t>increment =</t>
        </is>
      </c>
      <c r="Z5">
        <f>+FAO!T14</f>
        <v/>
      </c>
      <c r="AA5" s="32" t="n"/>
      <c r="AB5" s="48" t="inlineStr">
        <is>
          <t>increment =</t>
        </is>
      </c>
      <c r="AC5">
        <f>+FAO!W14</f>
        <v/>
      </c>
      <c r="AD5" s="32" t="n"/>
    </row>
    <row r="6">
      <c r="D6" s="114" t="n"/>
      <c r="E6" s="115" t="n"/>
      <c r="F6" s="31" t="n"/>
      <c r="G6" s="48" t="inlineStr">
        <is>
          <t>Complete =</t>
        </is>
      </c>
      <c r="H6">
        <f>COUNTIFS($C$18:$C$2015,G$13,$D$18:$D$2015,"&gt;5")/COUNTIF($C$18:$C$2015,G$13)*100</f>
        <v/>
      </c>
      <c r="I6" s="32" t="n"/>
      <c r="J6" s="48" t="inlineStr">
        <is>
          <t>Complete =</t>
        </is>
      </c>
      <c r="K6">
        <f>COUNTIFS($C$18:$C$2015,J$13,$D$18:$D$2015,"&gt;5")/COUNTIF($C$18:$C$2015,J$13)*100</f>
        <v/>
      </c>
      <c r="L6" s="32" t="n"/>
      <c r="M6" s="48" t="inlineStr">
        <is>
          <t>Complete =</t>
        </is>
      </c>
      <c r="N6">
        <f>COUNTIFS($C$18:$C$2015,M$13,$D$18:$D$2015,"&gt;5")/COUNTIF($C$18:$C$2015,M$13)*100</f>
        <v/>
      </c>
      <c r="O6" s="32" t="n"/>
      <c r="P6" s="48" t="inlineStr">
        <is>
          <t>Complete =</t>
        </is>
      </c>
      <c r="Q6">
        <f>COUNTIFS($C$18:$C$2015,P$13,$D$18:$D$2015,"&gt;5")/COUNTIF($C$18:$C$2015,P$13)*100</f>
        <v/>
      </c>
      <c r="R6" s="32" t="n"/>
      <c r="S6" s="48" t="inlineStr">
        <is>
          <t>Complete =</t>
        </is>
      </c>
      <c r="T6">
        <f>COUNTIFS($C$18:$C$2015,S$13,$D$18:$D$2015,"&gt;5")/COUNTIF($C$18:$C$2015,S$13)*100</f>
        <v/>
      </c>
      <c r="U6" s="32" t="n"/>
      <c r="V6" s="48" t="inlineStr">
        <is>
          <t>Complete =</t>
        </is>
      </c>
      <c r="W6">
        <f>COUNTIFS($C$18:$C$2015,V$13,$D$18:$D$2015,"&gt;5")/COUNTIF($C$18:$C$2015,V$13)*100</f>
        <v/>
      </c>
      <c r="X6" s="32" t="n"/>
      <c r="Y6" s="48" t="inlineStr">
        <is>
          <t>Complete =</t>
        </is>
      </c>
      <c r="Z6">
        <f>COUNTIFS($C$18:$C$2015,Y$13,$D$18:$D$2015,"&gt;5")/COUNTIF($C$18:$C$2015,Y$13)*100</f>
        <v/>
      </c>
      <c r="AA6" s="32" t="n"/>
      <c r="AB6" s="48" t="inlineStr">
        <is>
          <t>Complete =</t>
        </is>
      </c>
      <c r="AC6">
        <f>COUNTIFS($C$18:$C$2015,AB$13,$D$18:$D$2015,"&gt;5")/COUNTIF($C$18:$C$2015,AB$13)*100</f>
        <v/>
      </c>
      <c r="AD6" s="32" t="n"/>
    </row>
    <row r="7">
      <c r="D7" s="114" t="n"/>
      <c r="E7" s="115" t="n"/>
      <c r="F7" s="31" t="n"/>
      <c r="G7" s="48" t="inlineStr">
        <is>
          <t>L50 (cm) =</t>
        </is>
      </c>
      <c r="H7">
        <f>+FAO!B11</f>
        <v/>
      </c>
      <c r="I7" s="32" t="n"/>
      <c r="J7" s="48" t="inlineStr">
        <is>
          <t>L50 (cm) =</t>
        </is>
      </c>
      <c r="K7">
        <f>+FAO!E11</f>
        <v/>
      </c>
      <c r="L7" s="32" t="n"/>
      <c r="M7" s="48" t="inlineStr">
        <is>
          <t>L50 (cm) =</t>
        </is>
      </c>
      <c r="N7">
        <f>+FAO!H11</f>
        <v/>
      </c>
      <c r="O7" s="32" t="n"/>
      <c r="P7" s="48" t="inlineStr">
        <is>
          <t>L50 (cm) =</t>
        </is>
      </c>
      <c r="Q7">
        <f>+FAO!K11</f>
        <v/>
      </c>
      <c r="R7" s="32" t="n"/>
      <c r="S7" s="48" t="inlineStr">
        <is>
          <t>L50 (cm) =</t>
        </is>
      </c>
      <c r="T7">
        <f>+FAO!N11</f>
        <v/>
      </c>
      <c r="U7" s="32" t="n"/>
      <c r="V7" s="48" t="inlineStr">
        <is>
          <t>L50 (cm) =</t>
        </is>
      </c>
      <c r="W7">
        <f>+FAO!Q11</f>
        <v/>
      </c>
      <c r="X7" s="32" t="n"/>
      <c r="Y7" s="48" t="inlineStr">
        <is>
          <t>L50 (cm) =</t>
        </is>
      </c>
      <c r="Z7">
        <f>+FAO!T11</f>
        <v/>
      </c>
      <c r="AA7" s="32" t="n"/>
      <c r="AB7" s="48" t="inlineStr">
        <is>
          <t>L50 (cm) =</t>
        </is>
      </c>
      <c r="AC7">
        <f>+FAO!W11</f>
        <v/>
      </c>
      <c r="AD7" s="32" t="n"/>
    </row>
    <row r="8">
      <c r="D8" s="114" t="n"/>
      <c r="E8" s="115" t="n"/>
      <c r="F8" s="31" t="n"/>
      <c r="G8" s="48" t="inlineStr">
        <is>
          <t>Juven. (%) =</t>
        </is>
      </c>
      <c r="H8">
        <f>+ROUND(COUNTIFS($C$18:$C$2015,G$13,$D$18:$D$2015,"&lt;"&amp;H7)/COUNTIF($C$18:$C$2015,G$13)*100,0)</f>
        <v/>
      </c>
      <c r="I8" s="32" t="n"/>
      <c r="J8" s="48" t="inlineStr">
        <is>
          <t>Juven. (%) =</t>
        </is>
      </c>
      <c r="K8">
        <f>+ROUND(COUNTIFS($C$18:$C$2015,J$13,$D$18:$D$2015,"&lt;"&amp;K7)/COUNTIF($C$18:$C$2015,J$13)*100,0)</f>
        <v/>
      </c>
      <c r="L8" s="32" t="n"/>
      <c r="M8" s="48" t="inlineStr">
        <is>
          <t>Juven. (%) =</t>
        </is>
      </c>
      <c r="N8">
        <f>+ROUND(COUNTIFS($C$18:$C$2015,M$13,$D$18:$D$2015,"&lt;"&amp;N7)/COUNTIF($C$18:$C$2015,M$13)*100,0)</f>
        <v/>
      </c>
      <c r="O8" s="32" t="n"/>
      <c r="P8" s="48" t="inlineStr">
        <is>
          <t>Juven. (%) =</t>
        </is>
      </c>
      <c r="Q8">
        <f>+ROUND(COUNTIFS($C$18:$C$2015,P$13,$D$18:$D$2015,"&lt;"&amp;Q7)/COUNTIF($C$18:$C$2015,P$13)*100,0)</f>
        <v/>
      </c>
      <c r="R8" s="32" t="n"/>
      <c r="S8" s="48" t="inlineStr">
        <is>
          <t>Juven. (%) =</t>
        </is>
      </c>
      <c r="T8">
        <f>+ROUND(COUNTIFS($C$18:$C$2015,S$13,$D$18:$D$2015,"&lt;"&amp;T7)/COUNTIF($C$18:$C$2015,S$13)*100,0)</f>
        <v/>
      </c>
      <c r="U8" s="32" t="n"/>
      <c r="V8" s="48" t="inlineStr">
        <is>
          <t>Juven. (%) =</t>
        </is>
      </c>
      <c r="W8">
        <f>+ROUND(COUNTIFS($C$18:$C$2015,V$13,$D$18:$D$2015,"&lt;"&amp;W7)/COUNTIF($C$18:$C$2015,V$13)*100,0)</f>
        <v/>
      </c>
      <c r="X8" s="32" t="n"/>
      <c r="Y8" s="48" t="inlineStr">
        <is>
          <t>Juven. (%) =</t>
        </is>
      </c>
      <c r="Z8">
        <f>+ROUND(COUNTIFS($C$18:$C$2015,Y$13,$D$18:$D$2015,"&lt;"&amp;Z7)/COUNTIF($C$18:$C$2015,Y$13)*100,0)</f>
        <v/>
      </c>
      <c r="AA8" s="32" t="n"/>
      <c r="AB8" s="48" t="inlineStr">
        <is>
          <t>Juven. (%) =</t>
        </is>
      </c>
      <c r="AC8">
        <f>+ROUND(COUNTIFS($C$18:$C$2015,AB$13,$D$18:$D$2015,"&lt;"&amp;AC7)/COUNTIF($C$18:$C$2015,AB$13)*100,0)</f>
        <v/>
      </c>
      <c r="AD8" s="32" t="n"/>
    </row>
    <row r="9" customFormat="1" s="17">
      <c r="D9" s="114" t="n"/>
      <c r="E9" s="18" t="n"/>
      <c r="F9" s="31" t="n"/>
      <c r="G9" s="20">
        <f>+FAO!B6</f>
        <v/>
      </c>
      <c r="H9" s="117" t="n"/>
      <c r="I9" s="32" t="n"/>
      <c r="J9" s="20">
        <f>+FAO!E6</f>
        <v/>
      </c>
      <c r="K9" s="117" t="n"/>
      <c r="L9" s="32" t="n"/>
      <c r="M9" s="20">
        <f>+FAO!H6</f>
        <v/>
      </c>
      <c r="N9" s="117" t="n"/>
      <c r="O9" s="32" t="n"/>
      <c r="P9" s="20">
        <f>+FAO!K6</f>
        <v/>
      </c>
      <c r="Q9" s="117" t="n"/>
      <c r="R9" s="32" t="n"/>
      <c r="S9" s="20">
        <f>+FAO!N6</f>
        <v/>
      </c>
      <c r="T9" s="117" t="n"/>
      <c r="U9" s="32" t="n"/>
      <c r="V9" s="20">
        <f>+FAO!Q6</f>
        <v/>
      </c>
      <c r="W9" s="117" t="n"/>
      <c r="X9" s="32" t="n"/>
      <c r="Y9" s="20">
        <f>+FAO!T6</f>
        <v/>
      </c>
      <c r="Z9" s="117" t="n"/>
      <c r="AA9" s="32" t="n"/>
      <c r="AB9" s="20">
        <f>+FAO!W6</f>
        <v/>
      </c>
      <c r="AC9" s="117" t="n"/>
      <c r="AD9" s="32" t="n"/>
    </row>
    <row r="10" customFormat="1" s="1">
      <c r="D10" s="114" t="n"/>
      <c r="E10" s="33" t="n"/>
      <c r="F10" s="31" t="n"/>
      <c r="G10" s="20">
        <f>+FAO!B7</f>
        <v/>
      </c>
      <c r="H10" s="118" t="n"/>
      <c r="I10" s="32" t="n"/>
      <c r="J10" s="20">
        <f>+FAO!E7</f>
        <v/>
      </c>
      <c r="K10" s="118" t="n"/>
      <c r="L10" s="32" t="n"/>
      <c r="M10" s="20">
        <f>+FAO!H7</f>
        <v/>
      </c>
      <c r="N10" s="118" t="n"/>
      <c r="O10" s="32" t="n"/>
      <c r="P10" s="20">
        <f>+FAO!K7</f>
        <v/>
      </c>
      <c r="Q10" s="118" t="n"/>
      <c r="R10" s="32" t="n"/>
      <c r="S10" s="20">
        <f>+FAO!N7</f>
        <v/>
      </c>
      <c r="T10" s="118" t="n"/>
      <c r="U10" s="32" t="n"/>
      <c r="V10" s="20">
        <f>+FAO!Q7</f>
        <v/>
      </c>
      <c r="W10" s="118" t="n"/>
      <c r="X10" s="32" t="n"/>
      <c r="Y10" s="20">
        <f>+FAO!T7</f>
        <v/>
      </c>
      <c r="Z10" s="118" t="n"/>
      <c r="AA10" s="32" t="n"/>
      <c r="AB10" s="20">
        <f>+FAO!W7</f>
        <v/>
      </c>
      <c r="AC10" s="118" t="n"/>
      <c r="AD10" s="32" t="n"/>
    </row>
    <row r="11" customFormat="1" s="1">
      <c r="D11" s="114" t="n"/>
      <c r="E11" s="19" t="n"/>
      <c r="F11" s="31" t="n"/>
      <c r="G11" s="34">
        <f>+FAO!B9</f>
        <v/>
      </c>
      <c r="H11" s="119" t="n"/>
      <c r="I11" s="32" t="n"/>
      <c r="J11" s="34">
        <f>+FAO!E9</f>
        <v/>
      </c>
      <c r="K11" s="119" t="n"/>
      <c r="L11" s="32" t="n"/>
      <c r="M11" s="34">
        <f>+FAO!H9</f>
        <v/>
      </c>
      <c r="N11" s="119" t="n"/>
      <c r="O11" s="32" t="n"/>
      <c r="P11" s="34">
        <f>+FAO!K9</f>
        <v/>
      </c>
      <c r="Q11" s="119" t="n"/>
      <c r="R11" s="32" t="n"/>
      <c r="S11" s="34">
        <f>+FAO!N9</f>
        <v/>
      </c>
      <c r="T11" s="119" t="n"/>
      <c r="U11" s="32" t="n"/>
      <c r="V11" s="34">
        <f>+FAO!Q9</f>
        <v/>
      </c>
      <c r="W11" s="119" t="n"/>
      <c r="X11" s="32" t="n"/>
      <c r="Y11" s="34">
        <f>+FAO!T9</f>
        <v/>
      </c>
      <c r="Z11" s="119" t="n"/>
      <c r="AA11" s="32" t="n"/>
      <c r="AB11" s="34">
        <f>+FAO!W9</f>
        <v/>
      </c>
      <c r="AC11" s="119" t="n"/>
      <c r="AD11" s="32" t="n"/>
    </row>
    <row r="12">
      <c r="D12" s="114" t="n"/>
      <c r="E12" s="115" t="n"/>
      <c r="F12" s="31" t="n"/>
      <c r="G12" s="34">
        <f>+FAO!B5</f>
        <v/>
      </c>
      <c r="H12" s="120" t="n"/>
      <c r="I12" s="32" t="n"/>
      <c r="J12" s="34">
        <f>+FAO!E5</f>
        <v/>
      </c>
      <c r="K12" s="120" t="n"/>
      <c r="L12" s="32" t="n"/>
      <c r="M12" s="34">
        <f>+FAO!H5</f>
        <v/>
      </c>
      <c r="N12" s="120" t="n"/>
      <c r="O12" s="32" t="n"/>
      <c r="P12" s="34">
        <f>+FAO!K5</f>
        <v/>
      </c>
      <c r="Q12" s="120" t="n"/>
      <c r="R12" s="32" t="n"/>
      <c r="S12" s="34">
        <f>+FAO!N5</f>
        <v/>
      </c>
      <c r="T12" s="120" t="n"/>
      <c r="U12" s="32" t="n"/>
      <c r="V12" s="34">
        <f>+FAO!Q5</f>
        <v/>
      </c>
      <c r="W12" s="120" t="n"/>
      <c r="X12" s="32" t="n"/>
      <c r="Y12" s="34">
        <f>+FAO!T5</f>
        <v/>
      </c>
      <c r="Z12" s="120" t="n"/>
      <c r="AA12" s="32" t="n"/>
      <c r="AB12" s="34">
        <f>+FAO!W5</f>
        <v/>
      </c>
      <c r="AC12" s="120" t="n"/>
      <c r="AD12" s="32" t="n"/>
    </row>
    <row r="13" ht="39" customHeight="1" s="113">
      <c r="B13" s="49" t="n"/>
      <c r="D13" t="e">
        <v>#VALUE!</v>
      </c>
      <c r="E13" s="51">
        <f>COUNTA(C15:C1003)</f>
        <v/>
      </c>
      <c r="F13" s="31" t="n"/>
      <c r="G13" s="35">
        <f>+FAO!B1</f>
        <v/>
      </c>
      <c r="H13" s="121">
        <f>+FAO!B3</f>
        <v/>
      </c>
      <c r="I13" s="32" t="n"/>
      <c r="J13" s="35">
        <f>+FAO!E1</f>
        <v/>
      </c>
      <c r="K13" s="121">
        <f>+FAO!E3</f>
        <v/>
      </c>
      <c r="L13" s="32" t="n"/>
      <c r="M13" s="35">
        <f>+FAO!H1</f>
        <v/>
      </c>
      <c r="N13" s="121">
        <f>+FAO!H3</f>
        <v/>
      </c>
      <c r="O13" s="32" t="n"/>
      <c r="P13" s="35">
        <f>+FAO!K1</f>
        <v/>
      </c>
      <c r="Q13" s="121">
        <f>+FAO!K3</f>
        <v/>
      </c>
      <c r="R13" s="32" t="n"/>
      <c r="S13" s="35">
        <f>+FAO!N1</f>
        <v/>
      </c>
      <c r="T13" s="121">
        <f>+FAO!N3</f>
        <v/>
      </c>
      <c r="U13" s="32" t="n"/>
      <c r="V13" s="35">
        <f>+FAO!Q1</f>
        <v/>
      </c>
      <c r="W13" s="121">
        <f>+FAO!Q3</f>
        <v/>
      </c>
      <c r="X13" s="32" t="n"/>
      <c r="Y13" s="35">
        <f>+FAO!T1</f>
        <v/>
      </c>
      <c r="Z13" s="121">
        <f>+FAO!T3</f>
        <v/>
      </c>
      <c r="AA13" s="32" t="n"/>
      <c r="AB13" s="35">
        <f>+FAO!W1</f>
        <v/>
      </c>
      <c r="AC13" s="121">
        <f>+FAO!W3</f>
        <v/>
      </c>
      <c r="AD13" s="32" t="n"/>
    </row>
    <row r="14" customFormat="1" s="54">
      <c r="A14" s="99" t="inlineStr">
        <is>
          <t>TRIP</t>
        </is>
      </c>
      <c r="B14" s="99" t="inlineStr">
        <is>
          <t>DATE</t>
        </is>
      </c>
      <c r="C14" s="99" t="inlineStr">
        <is>
          <t>FAO</t>
        </is>
      </c>
      <c r="D14" s="122" t="inlineStr">
        <is>
          <t>OBS</t>
        </is>
      </c>
      <c r="E14" s="99" t="inlineStr">
        <is>
          <t>ID</t>
        </is>
      </c>
      <c r="F14" s="52" t="n"/>
      <c r="G14" s="50">
        <f>"LC-"&amp;G13</f>
        <v/>
      </c>
      <c r="H14" s="123">
        <f>"FQ-"&amp;G13</f>
        <v/>
      </c>
      <c r="I14" s="53" t="n"/>
      <c r="J14" s="50">
        <f>"LC-"&amp;J13</f>
        <v/>
      </c>
      <c r="K14" s="123">
        <f>"FQ-"&amp;J13</f>
        <v/>
      </c>
      <c r="L14" s="53" t="n"/>
      <c r="M14" s="50">
        <f>"LC-"&amp;M13</f>
        <v/>
      </c>
      <c r="N14" s="123">
        <f>"FQ-"&amp;M13</f>
        <v/>
      </c>
      <c r="O14" s="53" t="n"/>
      <c r="P14" s="50">
        <f>"LC-"&amp;P13</f>
        <v/>
      </c>
      <c r="Q14" s="123">
        <f>"FQ-"&amp;P13</f>
        <v/>
      </c>
      <c r="R14" s="53" t="n"/>
      <c r="S14" s="50">
        <f>"LC-"&amp;S13</f>
        <v/>
      </c>
      <c r="T14" s="123">
        <f>"FQ-"&amp;S13</f>
        <v/>
      </c>
      <c r="U14" s="53" t="n"/>
      <c r="V14" s="50">
        <f>"LC-"&amp;V13</f>
        <v/>
      </c>
      <c r="W14" s="123">
        <f>"FQ-"&amp;V13</f>
        <v/>
      </c>
      <c r="X14" s="53" t="n"/>
      <c r="Y14" s="50">
        <f>"LC-"&amp;Y13</f>
        <v/>
      </c>
      <c r="Z14" s="123">
        <f>"FQ-"&amp;Y13</f>
        <v/>
      </c>
      <c r="AA14" s="53" t="n"/>
      <c r="AB14" s="50">
        <f>"LC-"&amp;AB13</f>
        <v/>
      </c>
      <c r="AC14" s="123">
        <f>"FQ-"&amp;AB13</f>
        <v/>
      </c>
      <c r="AD14" s="53" t="n"/>
    </row>
    <row r="15">
      <c r="A15" s="58" t="n"/>
      <c r="B15" s="59" t="n"/>
      <c r="C15" s="59" t="n"/>
      <c r="E15" s="16">
        <f t="array" ref="E15">+_xlfn.SEQUENCE(E13,1,1)</f>
        <v/>
      </c>
      <c r="F15" s="13" t="n"/>
      <c r="G15" s="16">
        <f t="array" ref="G15:G85">_xlfn.SEQUENCE(((H1-H4)/H5)+1, 1, H4, H5)</f>
        <v/>
      </c>
      <c r="H15" s="124">
        <f>IF(G15="","",COUNTIFS($C$18:$C$2015,G$13,$D$18:$D$2015,"&gt;="&amp;G15,$D$18:$D$2015,"&lt;"&amp;G16))</f>
        <v/>
      </c>
      <c r="I15" s="14" t="n"/>
      <c r="J15" s="16">
        <f t="array" ref="J15:J43">_xlfn.SEQUENCE(((K1-K4)/K5)+1, 1, K4, K5)</f>
        <v/>
      </c>
      <c r="K15" s="124">
        <f>IF(J15="","",COUNTIFS($C$18:$C$2015,J$13,$D$18:$D$2015,"&gt;="&amp;J15,$D$18:$D$2015,"&lt;"&amp;J16))</f>
        <v/>
      </c>
      <c r="L15" s="14" t="n"/>
      <c r="M15" s="16">
        <f t="array" ref="M15:M55">_xlfn.SEQUENCE(((N1-N4)/N5)+1, 1, N4, N5)</f>
        <v/>
      </c>
      <c r="N15" s="124">
        <f>IF(M15="","",COUNTIFS($C$18:$C$2015,M$13,$D$18:$D$2015,"&gt;="&amp;M15,$D$18:$D$2015,"&lt;"&amp;M16))</f>
        <v/>
      </c>
      <c r="O15" s="14" t="n"/>
      <c r="P15" s="16">
        <f t="array" ref="P15:P85">_xlfn.SEQUENCE(((Q1-Q4)/Q5)+1, 1, Q4, Q5)</f>
        <v/>
      </c>
      <c r="Q15" s="124">
        <f>IF(P15="","",COUNTIFS($C$18:$C$2015,P$13,$D$18:$D$2015,"&gt;="&amp;P15,$D$18:$D$2015,"&lt;"&amp;P16))</f>
        <v/>
      </c>
      <c r="R15" s="14" t="n"/>
      <c r="S15" s="16">
        <f t="array" ref="S15:S60">_xlfn.SEQUENCE(((T1-T4)/T5)+1, 1, T4, T5)</f>
        <v/>
      </c>
      <c r="T15" s="124">
        <f>IF(S15="","",COUNTIFS($C$18:$C$2015,S$13,$D$18:$D$2015,"&gt;="&amp;S15,$D$18:$D$2015,"&lt;"&amp;S16))</f>
        <v/>
      </c>
      <c r="U15" s="14" t="n"/>
      <c r="V15" s="16">
        <f t="array" ref="V15:V50">_xlfn.SEQUENCE(((W1-W4)/W5)+1, 1, W4, W5)</f>
        <v/>
      </c>
      <c r="W15" s="124">
        <f>IF(V15="","",COUNTIFS($C$18:$C$2015,V$13,$D$18:$D$2015,"&gt;="&amp;V15,$D$18:$D$2015,"&lt;"&amp;V16))</f>
        <v/>
      </c>
      <c r="X15" s="14" t="n"/>
      <c r="Y15" s="16">
        <f t="array" ref="Y15:Y50">_xlfn.SEQUENCE(((Z1-Z4)/Z5)+1, 1, Z4, Z5)</f>
        <v/>
      </c>
      <c r="Z15" s="124">
        <f>IF(Y15="","",COUNTIFS($C$18:$C$2015,Y$13,$D$18:$D$2015,"&gt;="&amp;Y15,$D$18:$D$2015,"&lt;"&amp;Y16))</f>
        <v/>
      </c>
      <c r="AA15" s="14" t="n"/>
      <c r="AB15" s="16">
        <f t="array" ref="AB15:AB67">_xlfn.SEQUENCE(((AC1-AC4)/AC5)+1, 1, AC4, AC5)</f>
        <v/>
      </c>
      <c r="AC15" s="124">
        <f>IF(AB15="","",COUNTIFS($C$18:$C$2015,AB$13,$D$18:$D$2015,"&gt;="&amp;AB15,$D$18:$D$2015,"&lt;"&amp;AB16))</f>
        <v/>
      </c>
      <c r="AD15" s="14" t="n"/>
    </row>
    <row r="16">
      <c r="A16" s="56" t="n"/>
      <c r="B16" s="59" t="n"/>
      <c r="C16" s="59" t="n"/>
      <c r="E16" s="16" t="n"/>
      <c r="F16" s="13" t="n"/>
      <c r="G16" s="16" t="n">
        <v>11</v>
      </c>
      <c r="H16" s="124">
        <f>IF(G16="","",COUNTIFS($C$18:$C$2015,G$13,$D$18:$D$2015,"&gt;="&amp;G16,$D$18:$D$2015,"&lt;"&amp;G17))</f>
        <v/>
      </c>
      <c r="I16" s="14" t="n"/>
      <c r="J16" s="16" t="n">
        <v>15</v>
      </c>
      <c r="K16" s="124">
        <f>IF(J16="","",COUNTIFS($C$18:$C$2015,J$13,$D$18:$D$2015,"&gt;="&amp;J16,$D$18:$D$2015,"&lt;"&amp;J17))</f>
        <v/>
      </c>
      <c r="L16" s="14" t="n"/>
      <c r="M16" s="16" t="n">
        <v>12</v>
      </c>
      <c r="N16" s="124">
        <f>IF(M16="","",COUNTIFS($C$18:$C$2015,M$13,$D$18:$D$2015,"&gt;="&amp;M16,$D$18:$D$2015,"&lt;"&amp;M17))</f>
        <v/>
      </c>
      <c r="O16" s="14" t="n"/>
      <c r="P16" s="16" t="n">
        <v>11</v>
      </c>
      <c r="Q16" s="124">
        <f>IF(P16="","",COUNTIFS($C$18:$C$2015,P$13,$D$18:$D$2015,"&gt;="&amp;P16,$D$18:$D$2015,"&lt;"&amp;P17))</f>
        <v/>
      </c>
      <c r="R16" s="14" t="n"/>
      <c r="S16" s="16" t="n">
        <v>12</v>
      </c>
      <c r="T16" s="124">
        <f>IF(S16="","",COUNTIFS($C$18:$C$2015,S$13,$D$18:$D$2015,"&gt;="&amp;S16,$D$18:$D$2015,"&lt;"&amp;S17))</f>
        <v/>
      </c>
      <c r="U16" s="14" t="n"/>
      <c r="V16" s="16" t="n">
        <v>12</v>
      </c>
      <c r="W16" s="124">
        <f>IF(V16="","",COUNTIFS($C$18:$C$2015,V$13,$D$18:$D$2015,"&gt;="&amp;V16,$D$18:$D$2015,"&lt;"&amp;V17))</f>
        <v/>
      </c>
      <c r="X16" s="14" t="n"/>
      <c r="Y16" s="16" t="n">
        <v>12</v>
      </c>
      <c r="Z16" s="124">
        <f>IF(Y16="","",COUNTIFS($C$18:$C$2015,Y$13,$D$18:$D$2015,"&gt;="&amp;Y16,$D$18:$D$2015,"&lt;"&amp;Y17))</f>
        <v/>
      </c>
      <c r="AA16" s="14" t="n"/>
      <c r="AB16" s="16" t="n">
        <v>11</v>
      </c>
      <c r="AC16" s="124">
        <f>IF(AB16="","",COUNTIFS($C$18:$C$2015,AB$13,$D$18:$D$2015,"&gt;="&amp;AB16,$D$18:$D$2015,"&lt;"&amp;AB17))</f>
        <v/>
      </c>
      <c r="AD16" s="14" t="n"/>
    </row>
    <row r="17">
      <c r="A17" s="58" t="n"/>
      <c r="B17" s="59" t="n"/>
      <c r="C17" s="59" t="n"/>
      <c r="E17" s="16" t="n"/>
      <c r="F17" s="13" t="n"/>
      <c r="G17" s="16" t="n">
        <v>12</v>
      </c>
      <c r="H17" s="124">
        <f>IF(G17="","",COUNTIFS($C$18:$C$2015,G$13,$D$18:$D$2015,"&gt;="&amp;G17,$D$18:$D$2015,"&lt;"&amp;G18))</f>
        <v/>
      </c>
      <c r="I17" s="14" t="n"/>
      <c r="J17" s="16" t="n">
        <v>20</v>
      </c>
      <c r="K17" s="124">
        <f>IF(J17="","",COUNTIFS($C$18:$C$2015,J$13,$D$18:$D$2015,"&gt;="&amp;J17,$D$18:$D$2015,"&lt;"&amp;J18))</f>
        <v/>
      </c>
      <c r="L17" s="14" t="n"/>
      <c r="M17" s="16" t="n">
        <v>14</v>
      </c>
      <c r="N17" s="124">
        <f>IF(M17="","",COUNTIFS($C$18:$C$2015,M$13,$D$18:$D$2015,"&gt;="&amp;M17,$D$18:$D$2015,"&lt;"&amp;M18))</f>
        <v/>
      </c>
      <c r="O17" s="14" t="n"/>
      <c r="P17" s="16" t="n">
        <v>12</v>
      </c>
      <c r="Q17" s="124">
        <f>IF(P17="","",COUNTIFS($C$18:$C$2015,P$13,$D$18:$D$2015,"&gt;="&amp;P17,$D$18:$D$2015,"&lt;"&amp;P18))</f>
        <v/>
      </c>
      <c r="R17" s="14" t="n"/>
      <c r="S17" s="16" t="n">
        <v>14</v>
      </c>
      <c r="T17" s="124">
        <f>IF(S17="","",COUNTIFS($C$18:$C$2015,S$13,$D$18:$D$2015,"&gt;="&amp;S17,$D$18:$D$2015,"&lt;"&amp;S18))</f>
        <v/>
      </c>
      <c r="U17" s="14" t="n"/>
      <c r="V17" s="16" t="n">
        <v>14</v>
      </c>
      <c r="W17" s="124">
        <f>IF(V17="","",COUNTIFS($C$18:$C$2015,V$13,$D$18:$D$2015,"&gt;="&amp;V17,$D$18:$D$2015,"&lt;"&amp;V18))</f>
        <v/>
      </c>
      <c r="X17" s="14" t="n"/>
      <c r="Y17" s="16" t="n">
        <v>14</v>
      </c>
      <c r="Z17" s="124">
        <f>IF(Y17="","",COUNTIFS($C$18:$C$2015,Y$13,$D$18:$D$2015,"&gt;="&amp;Y17,$D$18:$D$2015,"&lt;"&amp;Y18))</f>
        <v/>
      </c>
      <c r="AA17" s="14" t="n"/>
      <c r="AB17" s="16" t="n">
        <v>12</v>
      </c>
      <c r="AC17" s="124">
        <f>IF(AB17="","",COUNTIFS($C$18:$C$2015,AB$13,$D$18:$D$2015,"&gt;="&amp;AB17,$D$18:$D$2015,"&lt;"&amp;AB18))</f>
        <v/>
      </c>
      <c r="AD17" s="14" t="n"/>
    </row>
    <row r="18">
      <c r="A18" s="56" t="n"/>
      <c r="B18" s="59" t="n"/>
      <c r="C18" s="59" t="n"/>
      <c r="E18" s="16" t="n"/>
      <c r="F18" s="13" t="n"/>
      <c r="G18" s="16" t="n">
        <v>13</v>
      </c>
      <c r="H18" s="124">
        <f>IF(G18="","",COUNTIFS($C$18:$C$2015,G$13,$D$18:$D$2015,"&gt;="&amp;G18,$D$18:$D$2015,"&lt;"&amp;G19))</f>
        <v/>
      </c>
      <c r="I18" s="14" t="n"/>
      <c r="J18" s="16" t="n">
        <v>25</v>
      </c>
      <c r="K18" s="124">
        <f>IF(J18="","",COUNTIFS($C$18:$C$2015,J$13,$D$18:$D$2015,"&gt;="&amp;J18,$D$18:$D$2015,"&lt;"&amp;J19))</f>
        <v/>
      </c>
      <c r="L18" s="14" t="n"/>
      <c r="M18" s="16" t="n">
        <v>16</v>
      </c>
      <c r="N18" s="124">
        <f>IF(M18="","",COUNTIFS($C$18:$C$2015,M$13,$D$18:$D$2015,"&gt;="&amp;M18,$D$18:$D$2015,"&lt;"&amp;M19))</f>
        <v/>
      </c>
      <c r="O18" s="14" t="n"/>
      <c r="P18" s="16" t="n">
        <v>13</v>
      </c>
      <c r="Q18" s="124">
        <f>IF(P18="","",COUNTIFS($C$18:$C$2015,P$13,$D$18:$D$2015,"&gt;="&amp;P18,$D$18:$D$2015,"&lt;"&amp;P19))</f>
        <v/>
      </c>
      <c r="R18" s="14" t="n"/>
      <c r="S18" s="16" t="n">
        <v>16</v>
      </c>
      <c r="T18" s="124">
        <f>IF(S18="","",COUNTIFS($C$18:$C$2015,S$13,$D$18:$D$2015,"&gt;="&amp;S18,$D$18:$D$2015,"&lt;"&amp;S19))</f>
        <v/>
      </c>
      <c r="U18" s="14" t="n"/>
      <c r="V18" s="16" t="n">
        <v>16</v>
      </c>
      <c r="W18" s="124">
        <f>IF(V18="","",COUNTIFS($C$18:$C$2015,V$13,$D$18:$D$2015,"&gt;="&amp;V18,$D$18:$D$2015,"&lt;"&amp;V19))</f>
        <v/>
      </c>
      <c r="X18" s="14" t="n"/>
      <c r="Y18" s="16" t="n">
        <v>16</v>
      </c>
      <c r="Z18" s="124">
        <f>IF(Y18="","",COUNTIFS($C$18:$C$2015,Y$13,$D$18:$D$2015,"&gt;="&amp;Y18,$D$18:$D$2015,"&lt;"&amp;Y19))</f>
        <v/>
      </c>
      <c r="AA18" s="14" t="n"/>
      <c r="AB18" s="16" t="n">
        <v>13</v>
      </c>
      <c r="AC18" s="124">
        <f>IF(AB18="","",COUNTIFS($C$18:$C$2015,AB$13,$D$18:$D$2015,"&gt;="&amp;AB18,$D$18:$D$2015,"&lt;"&amp;AB19))</f>
        <v/>
      </c>
      <c r="AD18" s="14" t="n"/>
    </row>
    <row r="19">
      <c r="A19" s="58" t="n"/>
      <c r="B19" s="59" t="n"/>
      <c r="C19" s="59" t="n"/>
      <c r="E19" s="16" t="n"/>
      <c r="F19" s="13" t="n"/>
      <c r="G19" s="16" t="n">
        <v>14</v>
      </c>
      <c r="H19" s="124">
        <f>IF(G19="","",COUNTIFS($C$18:$C$2015,G$13,$D$18:$D$2015,"&gt;="&amp;G19,$D$18:$D$2015,"&lt;"&amp;G20))</f>
        <v/>
      </c>
      <c r="I19" s="14" t="n"/>
      <c r="J19" s="16" t="n">
        <v>30</v>
      </c>
      <c r="K19" s="124">
        <f>IF(J19="","",COUNTIFS($C$18:$C$2015,J$13,$D$18:$D$2015,"&gt;="&amp;J19,$D$18:$D$2015,"&lt;"&amp;J20))</f>
        <v/>
      </c>
      <c r="L19" s="14" t="n"/>
      <c r="M19" s="16" t="n">
        <v>18</v>
      </c>
      <c r="N19" s="124">
        <f>IF(M19="","",COUNTIFS($C$18:$C$2015,M$13,$D$18:$D$2015,"&gt;="&amp;M19,$D$18:$D$2015,"&lt;"&amp;M20))</f>
        <v/>
      </c>
      <c r="O19" s="14" t="n"/>
      <c r="P19" s="16" t="n">
        <v>14</v>
      </c>
      <c r="Q19" s="124">
        <f>IF(P19="","",COUNTIFS($C$18:$C$2015,P$13,$D$18:$D$2015,"&gt;="&amp;P19,$D$18:$D$2015,"&lt;"&amp;P20))</f>
        <v/>
      </c>
      <c r="R19" s="14" t="n"/>
      <c r="S19" s="16" t="n">
        <v>18</v>
      </c>
      <c r="T19" s="124">
        <f>IF(S19="","",COUNTIFS($C$18:$C$2015,S$13,$D$18:$D$2015,"&gt;="&amp;S19,$D$18:$D$2015,"&lt;"&amp;S20))</f>
        <v/>
      </c>
      <c r="U19" s="14" t="n"/>
      <c r="V19" s="16" t="n">
        <v>18</v>
      </c>
      <c r="W19" s="124">
        <f>IF(V19="","",COUNTIFS($C$18:$C$2015,V$13,$D$18:$D$2015,"&gt;="&amp;V19,$D$18:$D$2015,"&lt;"&amp;V20))</f>
        <v/>
      </c>
      <c r="X19" s="14" t="n"/>
      <c r="Y19" s="16" t="n">
        <v>18</v>
      </c>
      <c r="Z19" s="124">
        <f>IF(Y19="","",COUNTIFS($C$18:$C$2015,Y$13,$D$18:$D$2015,"&gt;="&amp;Y19,$D$18:$D$2015,"&lt;"&amp;Y20))</f>
        <v/>
      </c>
      <c r="AA19" s="14" t="n"/>
      <c r="AB19" s="16" t="n">
        <v>14</v>
      </c>
      <c r="AC19" s="124">
        <f>IF(AB19="","",COUNTIFS($C$18:$C$2015,AB$13,$D$18:$D$2015,"&gt;="&amp;AB19,$D$18:$D$2015,"&lt;"&amp;AB20))</f>
        <v/>
      </c>
      <c r="AD19" s="14" t="n"/>
    </row>
    <row r="20">
      <c r="A20" s="56" t="n"/>
      <c r="B20" s="59" t="n"/>
      <c r="C20" s="59" t="n"/>
      <c r="E20" s="16" t="n"/>
      <c r="F20" s="13" t="n"/>
      <c r="G20" s="16" t="n">
        <v>15</v>
      </c>
      <c r="H20" s="124">
        <f>IF(G20="","",COUNTIFS($C$18:$C$2015,G$13,$D$18:$D$2015,"&gt;="&amp;G20,$D$18:$D$2015,"&lt;"&amp;G21))</f>
        <v/>
      </c>
      <c r="I20" s="14" t="n"/>
      <c r="J20" s="16" t="n">
        <v>35</v>
      </c>
      <c r="K20" s="124">
        <f>IF(J20="","",COUNTIFS($C$18:$C$2015,J$13,$D$18:$D$2015,"&gt;="&amp;J20,$D$18:$D$2015,"&lt;"&amp;J21))</f>
        <v/>
      </c>
      <c r="L20" s="14" t="n"/>
      <c r="M20" s="16" t="n">
        <v>20</v>
      </c>
      <c r="N20" s="124">
        <f>IF(M20="","",COUNTIFS($C$18:$C$2015,M$13,$D$18:$D$2015,"&gt;="&amp;M20,$D$18:$D$2015,"&lt;"&amp;M21))</f>
        <v/>
      </c>
      <c r="O20" s="14" t="n"/>
      <c r="P20" s="16" t="n">
        <v>15</v>
      </c>
      <c r="Q20" s="124">
        <f>IF(P20="","",COUNTIFS($C$18:$C$2015,P$13,$D$18:$D$2015,"&gt;="&amp;P20,$D$18:$D$2015,"&lt;"&amp;P21))</f>
        <v/>
      </c>
      <c r="R20" s="14" t="n"/>
      <c r="S20" s="16" t="n">
        <v>20</v>
      </c>
      <c r="T20" s="124">
        <f>IF(S20="","",COUNTIFS($C$18:$C$2015,S$13,$D$18:$D$2015,"&gt;="&amp;S20,$D$18:$D$2015,"&lt;"&amp;S21))</f>
        <v/>
      </c>
      <c r="U20" s="14" t="n"/>
      <c r="V20" s="16" t="n">
        <v>20</v>
      </c>
      <c r="W20" s="124">
        <f>IF(V20="","",COUNTIFS($C$18:$C$2015,V$13,$D$18:$D$2015,"&gt;="&amp;V20,$D$18:$D$2015,"&lt;"&amp;V21))</f>
        <v/>
      </c>
      <c r="X20" s="14" t="n"/>
      <c r="Y20" s="16" t="n">
        <v>20</v>
      </c>
      <c r="Z20" s="124">
        <f>IF(Y20="","",COUNTIFS($C$18:$C$2015,Y$13,$D$18:$D$2015,"&gt;="&amp;Y20,$D$18:$D$2015,"&lt;"&amp;Y21))</f>
        <v/>
      </c>
      <c r="AA20" s="14" t="n"/>
      <c r="AB20" s="16" t="n">
        <v>15</v>
      </c>
      <c r="AC20" s="124">
        <f>IF(AB20="","",COUNTIFS($C$18:$C$2015,AB$13,$D$18:$D$2015,"&gt;="&amp;AB20,$D$18:$D$2015,"&lt;"&amp;AB21))</f>
        <v/>
      </c>
      <c r="AD20" s="14" t="n"/>
    </row>
    <row r="21">
      <c r="A21" s="58" t="n"/>
      <c r="B21" s="59" t="n"/>
      <c r="C21" s="59" t="n"/>
      <c r="E21" s="16" t="n"/>
      <c r="F21" s="13" t="n"/>
      <c r="G21" s="16" t="n">
        <v>16</v>
      </c>
      <c r="H21" s="124">
        <f>IF(G21="","",COUNTIFS($C$18:$C$2015,G$13,$D$18:$D$2015,"&gt;="&amp;G21,$D$18:$D$2015,"&lt;"&amp;G22))</f>
        <v/>
      </c>
      <c r="I21" s="14" t="n"/>
      <c r="J21" s="16" t="n">
        <v>40</v>
      </c>
      <c r="K21" s="124">
        <f>IF(J21="","",COUNTIFS($C$18:$C$2015,J$13,$D$18:$D$2015,"&gt;="&amp;J21,$D$18:$D$2015,"&lt;"&amp;J22))</f>
        <v/>
      </c>
      <c r="L21" s="14" t="n"/>
      <c r="M21" s="16" t="n">
        <v>22</v>
      </c>
      <c r="N21" s="124">
        <f>IF(M21="","",COUNTIFS($C$18:$C$2015,M$13,$D$18:$D$2015,"&gt;="&amp;M21,$D$18:$D$2015,"&lt;"&amp;M22))</f>
        <v/>
      </c>
      <c r="O21" s="14" t="n"/>
      <c r="P21" s="16" t="n">
        <v>16</v>
      </c>
      <c r="Q21" s="124">
        <f>IF(P21="","",COUNTIFS($C$18:$C$2015,P$13,$D$18:$D$2015,"&gt;="&amp;P21,$D$18:$D$2015,"&lt;"&amp;P22))</f>
        <v/>
      </c>
      <c r="R21" s="14" t="n"/>
      <c r="S21" s="16" t="n">
        <v>22</v>
      </c>
      <c r="T21" s="124">
        <f>IF(S21="","",COUNTIFS($C$18:$C$2015,S$13,$D$18:$D$2015,"&gt;="&amp;S21,$D$18:$D$2015,"&lt;"&amp;S22))</f>
        <v/>
      </c>
      <c r="U21" s="14" t="n"/>
      <c r="V21" s="16" t="n">
        <v>22</v>
      </c>
      <c r="W21" s="124">
        <f>IF(V21="","",COUNTIFS($C$18:$C$2015,V$13,$D$18:$D$2015,"&gt;="&amp;V21,$D$18:$D$2015,"&lt;"&amp;V22))</f>
        <v/>
      </c>
      <c r="X21" s="14" t="n"/>
      <c r="Y21" s="16" t="n">
        <v>22</v>
      </c>
      <c r="Z21" s="124">
        <f>IF(Y21="","",COUNTIFS($C$18:$C$2015,Y$13,$D$18:$D$2015,"&gt;="&amp;Y21,$D$18:$D$2015,"&lt;"&amp;Y22))</f>
        <v/>
      </c>
      <c r="AA21" s="14" t="n"/>
      <c r="AB21" s="16" t="n">
        <v>16</v>
      </c>
      <c r="AC21" s="124">
        <f>IF(AB21="","",COUNTIFS($C$18:$C$2015,AB$13,$D$18:$D$2015,"&gt;="&amp;AB21,$D$18:$D$2015,"&lt;"&amp;AB22))</f>
        <v/>
      </c>
      <c r="AD21" s="14" t="n"/>
    </row>
    <row r="22">
      <c r="A22" s="56" t="n"/>
      <c r="B22" s="59" t="n"/>
      <c r="C22" s="59" t="n"/>
      <c r="E22" s="16" t="n"/>
      <c r="F22" s="13" t="n"/>
      <c r="G22" s="16" t="n">
        <v>17</v>
      </c>
      <c r="H22" s="124">
        <f>IF(G22="","",COUNTIFS($C$18:$C$2015,G$13,$D$18:$D$2015,"&gt;="&amp;G22,$D$18:$D$2015,"&lt;"&amp;G23))</f>
        <v/>
      </c>
      <c r="I22" s="14" t="n"/>
      <c r="J22" s="16" t="n">
        <v>45</v>
      </c>
      <c r="K22" s="124">
        <f>IF(J22="","",COUNTIFS($C$18:$C$2015,J$13,$D$18:$D$2015,"&gt;="&amp;J22,$D$18:$D$2015,"&lt;"&amp;J23))</f>
        <v/>
      </c>
      <c r="L22" s="14" t="n"/>
      <c r="M22" s="16" t="n">
        <v>24</v>
      </c>
      <c r="N22" s="124">
        <f>IF(M22="","",COUNTIFS($C$18:$C$2015,M$13,$D$18:$D$2015,"&gt;="&amp;M22,$D$18:$D$2015,"&lt;"&amp;M23))</f>
        <v/>
      </c>
      <c r="O22" s="14" t="n"/>
      <c r="P22" s="16" t="n">
        <v>17</v>
      </c>
      <c r="Q22" s="124">
        <f>IF(P22="","",COUNTIFS($C$18:$C$2015,P$13,$D$18:$D$2015,"&gt;="&amp;P22,$D$18:$D$2015,"&lt;"&amp;P23))</f>
        <v/>
      </c>
      <c r="R22" s="14" t="n"/>
      <c r="S22" s="16" t="n">
        <v>24</v>
      </c>
      <c r="T22" s="124">
        <f>IF(S22="","",COUNTIFS($C$18:$C$2015,S$13,$D$18:$D$2015,"&gt;="&amp;S22,$D$18:$D$2015,"&lt;"&amp;S23))</f>
        <v/>
      </c>
      <c r="U22" s="14" t="n"/>
      <c r="V22" s="16" t="n">
        <v>24</v>
      </c>
      <c r="W22" s="124">
        <f>IF(V22="","",COUNTIFS($C$18:$C$2015,V$13,$D$18:$D$2015,"&gt;="&amp;V22,$D$18:$D$2015,"&lt;"&amp;V23))</f>
        <v/>
      </c>
      <c r="X22" s="14" t="n"/>
      <c r="Y22" s="16" t="n">
        <v>24</v>
      </c>
      <c r="Z22" s="124">
        <f>IF(Y22="","",COUNTIFS($C$18:$C$2015,Y$13,$D$18:$D$2015,"&gt;="&amp;Y22,$D$18:$D$2015,"&lt;"&amp;Y23))</f>
        <v/>
      </c>
      <c r="AA22" s="14" t="n"/>
      <c r="AB22" s="16" t="n">
        <v>17</v>
      </c>
      <c r="AC22" s="124">
        <f>IF(AB22="","",COUNTIFS($C$18:$C$2015,AB$13,$D$18:$D$2015,"&gt;="&amp;AB22,$D$18:$D$2015,"&lt;"&amp;AB23))</f>
        <v/>
      </c>
      <c r="AD22" s="14" t="n"/>
    </row>
    <row r="23">
      <c r="A23" s="58" t="n"/>
      <c r="B23" s="59" t="n"/>
      <c r="C23" s="59" t="n"/>
      <c r="E23" s="16" t="n"/>
      <c r="F23" s="13" t="n"/>
      <c r="G23" s="16" t="n">
        <v>18</v>
      </c>
      <c r="H23" s="124">
        <f>IF(G23="","",COUNTIFS($C$18:$C$2015,G$13,$D$18:$D$2015,"&gt;="&amp;G23,$D$18:$D$2015,"&lt;"&amp;G24))</f>
        <v/>
      </c>
      <c r="I23" s="14" t="n"/>
      <c r="J23" s="16" t="n">
        <v>50</v>
      </c>
      <c r="K23" s="124">
        <f>IF(J23="","",COUNTIFS($C$18:$C$2015,J$13,$D$18:$D$2015,"&gt;="&amp;J23,$D$18:$D$2015,"&lt;"&amp;J24))</f>
        <v/>
      </c>
      <c r="L23" s="14" t="n"/>
      <c r="M23" s="16" t="n">
        <v>26</v>
      </c>
      <c r="N23" s="124">
        <f>IF(M23="","",COUNTIFS($C$18:$C$2015,M$13,$D$18:$D$2015,"&gt;="&amp;M23,$D$18:$D$2015,"&lt;"&amp;M24))</f>
        <v/>
      </c>
      <c r="O23" s="14" t="n"/>
      <c r="P23" s="16" t="n">
        <v>18</v>
      </c>
      <c r="Q23" s="124">
        <f>IF(P23="","",COUNTIFS($C$18:$C$2015,P$13,$D$18:$D$2015,"&gt;="&amp;P23,$D$18:$D$2015,"&lt;"&amp;P24))</f>
        <v/>
      </c>
      <c r="R23" s="14" t="n"/>
      <c r="S23" s="16" t="n">
        <v>26</v>
      </c>
      <c r="T23" s="124">
        <f>IF(S23="","",COUNTIFS($C$18:$C$2015,S$13,$D$18:$D$2015,"&gt;="&amp;S23,$D$18:$D$2015,"&lt;"&amp;S24))</f>
        <v/>
      </c>
      <c r="U23" s="14" t="n"/>
      <c r="V23" s="16" t="n">
        <v>26</v>
      </c>
      <c r="W23" s="124">
        <f>IF(V23="","",COUNTIFS($C$18:$C$2015,V$13,$D$18:$D$2015,"&gt;="&amp;V23,$D$18:$D$2015,"&lt;"&amp;V24))</f>
        <v/>
      </c>
      <c r="X23" s="14" t="n"/>
      <c r="Y23" s="16" t="n">
        <v>26</v>
      </c>
      <c r="Z23" s="124">
        <f>IF(Y23="","",COUNTIFS($C$18:$C$2015,Y$13,$D$18:$D$2015,"&gt;="&amp;Y23,$D$18:$D$2015,"&lt;"&amp;Y24))</f>
        <v/>
      </c>
      <c r="AA23" s="14" t="n"/>
      <c r="AB23" s="16" t="n">
        <v>18</v>
      </c>
      <c r="AC23" s="124">
        <f>IF(AB23="","",COUNTIFS($C$18:$C$2015,AB$13,$D$18:$D$2015,"&gt;="&amp;AB23,$D$18:$D$2015,"&lt;"&amp;AB24))</f>
        <v/>
      </c>
      <c r="AD23" s="14" t="n"/>
    </row>
    <row r="24">
      <c r="A24" s="56" t="n"/>
      <c r="B24" s="59" t="n"/>
      <c r="C24" s="59" t="n"/>
      <c r="E24" s="16" t="n"/>
      <c r="F24" s="13" t="n"/>
      <c r="G24" s="16" t="n">
        <v>19</v>
      </c>
      <c r="H24" s="124">
        <f>IF(G24="","",COUNTIFS($C$18:$C$2015,G$13,$D$18:$D$2015,"&gt;="&amp;G24,$D$18:$D$2015,"&lt;"&amp;G25))</f>
        <v/>
      </c>
      <c r="I24" s="14" t="n"/>
      <c r="J24" s="16" t="n">
        <v>55</v>
      </c>
      <c r="K24" s="124">
        <f>IF(J24="","",COUNTIFS($C$18:$C$2015,J$13,$D$18:$D$2015,"&gt;="&amp;J24,$D$18:$D$2015,"&lt;"&amp;J25))</f>
        <v/>
      </c>
      <c r="L24" s="14" t="n"/>
      <c r="M24" s="16" t="n">
        <v>28</v>
      </c>
      <c r="N24" s="124">
        <f>IF(M24="","",COUNTIFS($C$18:$C$2015,M$13,$D$18:$D$2015,"&gt;="&amp;M24,$D$18:$D$2015,"&lt;"&amp;M25))</f>
        <v/>
      </c>
      <c r="O24" s="14" t="n"/>
      <c r="P24" s="16" t="n">
        <v>19</v>
      </c>
      <c r="Q24" s="124">
        <f>IF(P24="","",COUNTIFS($C$18:$C$2015,P$13,$D$18:$D$2015,"&gt;="&amp;P24,$D$18:$D$2015,"&lt;"&amp;P25))</f>
        <v/>
      </c>
      <c r="R24" s="14" t="n"/>
      <c r="S24" s="16" t="n">
        <v>28</v>
      </c>
      <c r="T24" s="124">
        <f>IF(S24="","",COUNTIFS($C$18:$C$2015,S$13,$D$18:$D$2015,"&gt;="&amp;S24,$D$18:$D$2015,"&lt;"&amp;S25))</f>
        <v/>
      </c>
      <c r="U24" s="14" t="n"/>
      <c r="V24" s="16" t="n">
        <v>28</v>
      </c>
      <c r="W24" s="124">
        <f>IF(V24="","",COUNTIFS($C$18:$C$2015,V$13,$D$18:$D$2015,"&gt;="&amp;V24,$D$18:$D$2015,"&lt;"&amp;V25))</f>
        <v/>
      </c>
      <c r="X24" s="14" t="n"/>
      <c r="Y24" s="16" t="n">
        <v>28</v>
      </c>
      <c r="Z24" s="124">
        <f>IF(Y24="","",COUNTIFS($C$18:$C$2015,Y$13,$D$18:$D$2015,"&gt;="&amp;Y24,$D$18:$D$2015,"&lt;"&amp;Y25))</f>
        <v/>
      </c>
      <c r="AA24" s="14" t="n"/>
      <c r="AB24" s="16" t="n">
        <v>19</v>
      </c>
      <c r="AC24" s="124">
        <f>IF(AB24="","",COUNTIFS($C$18:$C$2015,AB$13,$D$18:$D$2015,"&gt;="&amp;AB24,$D$18:$D$2015,"&lt;"&amp;AB25))</f>
        <v/>
      </c>
      <c r="AD24" s="14" t="n"/>
    </row>
    <row r="25">
      <c r="A25" s="58" t="n"/>
      <c r="B25" s="59" t="n"/>
      <c r="C25" s="59" t="n"/>
      <c r="E25" s="16" t="n"/>
      <c r="F25" s="13" t="n"/>
      <c r="G25" s="16" t="n">
        <v>20</v>
      </c>
      <c r="H25" s="124">
        <f>IF(G25="","",COUNTIFS($C$18:$C$2015,G$13,$D$18:$D$2015,"&gt;="&amp;G25,$D$18:$D$2015,"&lt;"&amp;G26))</f>
        <v/>
      </c>
      <c r="I25" s="14" t="n"/>
      <c r="J25" s="16" t="n">
        <v>60</v>
      </c>
      <c r="K25" s="124">
        <f>IF(J25="","",COUNTIFS($C$18:$C$2015,J$13,$D$18:$D$2015,"&gt;="&amp;J25,$D$18:$D$2015,"&lt;"&amp;J26))</f>
        <v/>
      </c>
      <c r="L25" s="14" t="n"/>
      <c r="M25" s="16" t="n">
        <v>30</v>
      </c>
      <c r="N25" s="124">
        <f>IF(M25="","",COUNTIFS($C$18:$C$2015,M$13,$D$18:$D$2015,"&gt;="&amp;M25,$D$18:$D$2015,"&lt;"&amp;M26))</f>
        <v/>
      </c>
      <c r="O25" s="14" t="n"/>
      <c r="P25" s="16" t="n">
        <v>20</v>
      </c>
      <c r="Q25" s="124">
        <f>IF(P25="","",COUNTIFS($C$18:$C$2015,P$13,$D$18:$D$2015,"&gt;="&amp;P25,$D$18:$D$2015,"&lt;"&amp;P26))</f>
        <v/>
      </c>
      <c r="R25" s="14" t="n"/>
      <c r="S25" s="16" t="n">
        <v>30</v>
      </c>
      <c r="T25" s="124">
        <f>IF(S25="","",COUNTIFS($C$18:$C$2015,S$13,$D$18:$D$2015,"&gt;="&amp;S25,$D$18:$D$2015,"&lt;"&amp;S26))</f>
        <v/>
      </c>
      <c r="U25" s="14" t="n"/>
      <c r="V25" s="16" t="n">
        <v>30</v>
      </c>
      <c r="W25" s="124">
        <f>IF(V25="","",COUNTIFS($C$18:$C$2015,V$13,$D$18:$D$2015,"&gt;="&amp;V25,$D$18:$D$2015,"&lt;"&amp;V26))</f>
        <v/>
      </c>
      <c r="X25" s="14" t="n"/>
      <c r="Y25" s="16" t="n">
        <v>30</v>
      </c>
      <c r="Z25" s="124">
        <f>IF(Y25="","",COUNTIFS($C$18:$C$2015,Y$13,$D$18:$D$2015,"&gt;="&amp;Y25,$D$18:$D$2015,"&lt;"&amp;Y26))</f>
        <v/>
      </c>
      <c r="AA25" s="14" t="n"/>
      <c r="AB25" s="16" t="n">
        <v>20</v>
      </c>
      <c r="AC25" s="124">
        <f>IF(AB25="","",COUNTIFS($C$18:$C$2015,AB$13,$D$18:$D$2015,"&gt;="&amp;AB25,$D$18:$D$2015,"&lt;"&amp;AB26))</f>
        <v/>
      </c>
      <c r="AD25" s="14" t="n"/>
    </row>
    <row r="26">
      <c r="A26" s="56" t="n"/>
      <c r="B26" s="59" t="n"/>
      <c r="C26" s="59" t="n"/>
      <c r="E26" s="16" t="n"/>
      <c r="F26" s="13" t="n"/>
      <c r="G26" s="16" t="n">
        <v>21</v>
      </c>
      <c r="H26" s="124">
        <f>IF(G26="","",COUNTIFS($C$18:$C$2015,G$13,$D$18:$D$2015,"&gt;="&amp;G26,$D$18:$D$2015,"&lt;"&amp;G27))</f>
        <v/>
      </c>
      <c r="I26" s="14" t="n"/>
      <c r="J26" s="16" t="n">
        <v>65</v>
      </c>
      <c r="K26" s="124">
        <f>IF(J26="","",COUNTIFS($C$18:$C$2015,J$13,$D$18:$D$2015,"&gt;="&amp;J26,$D$18:$D$2015,"&lt;"&amp;J27))</f>
        <v/>
      </c>
      <c r="L26" s="14" t="n"/>
      <c r="M26" s="16" t="n">
        <v>32</v>
      </c>
      <c r="N26" s="124">
        <f>IF(M26="","",COUNTIFS($C$18:$C$2015,M$13,$D$18:$D$2015,"&gt;="&amp;M26,$D$18:$D$2015,"&lt;"&amp;M27))</f>
        <v/>
      </c>
      <c r="O26" s="14" t="n"/>
      <c r="P26" s="16" t="n">
        <v>21</v>
      </c>
      <c r="Q26" s="124">
        <f>IF(P26="","",COUNTIFS($C$18:$C$2015,P$13,$D$18:$D$2015,"&gt;="&amp;P26,$D$18:$D$2015,"&lt;"&amp;P27))</f>
        <v/>
      </c>
      <c r="R26" s="14" t="n"/>
      <c r="S26" s="16" t="n">
        <v>32</v>
      </c>
      <c r="T26" s="124">
        <f>IF(S26="","",COUNTIFS($C$18:$C$2015,S$13,$D$18:$D$2015,"&gt;="&amp;S26,$D$18:$D$2015,"&lt;"&amp;S27))</f>
        <v/>
      </c>
      <c r="U26" s="14" t="n"/>
      <c r="V26" s="16" t="n">
        <v>32</v>
      </c>
      <c r="W26" s="124">
        <f>IF(V26="","",COUNTIFS($C$18:$C$2015,V$13,$D$18:$D$2015,"&gt;="&amp;V26,$D$18:$D$2015,"&lt;"&amp;V27))</f>
        <v/>
      </c>
      <c r="X26" s="14" t="n"/>
      <c r="Y26" s="16" t="n">
        <v>32</v>
      </c>
      <c r="Z26" s="124">
        <f>IF(Y26="","",COUNTIFS($C$18:$C$2015,Y$13,$D$18:$D$2015,"&gt;="&amp;Y26,$D$18:$D$2015,"&lt;"&amp;Y27))</f>
        <v/>
      </c>
      <c r="AA26" s="14" t="n"/>
      <c r="AB26" s="16" t="n">
        <v>21</v>
      </c>
      <c r="AC26" s="124">
        <f>IF(AB26="","",COUNTIFS($C$18:$C$2015,AB$13,$D$18:$D$2015,"&gt;="&amp;AB26,$D$18:$D$2015,"&lt;"&amp;AB27))</f>
        <v/>
      </c>
      <c r="AD26" s="14" t="n"/>
    </row>
    <row r="27">
      <c r="A27" s="58" t="n"/>
      <c r="B27" s="59" t="n"/>
      <c r="C27" s="59" t="n"/>
      <c r="E27" s="16" t="n"/>
      <c r="F27" s="13" t="n"/>
      <c r="G27" s="16" t="n">
        <v>22</v>
      </c>
      <c r="H27" s="124">
        <f>IF(G27="","",COUNTIFS($C$18:$C$2015,G$13,$D$18:$D$2015,"&gt;="&amp;G27,$D$18:$D$2015,"&lt;"&amp;G28))</f>
        <v/>
      </c>
      <c r="I27" s="14" t="n"/>
      <c r="J27" s="16" t="n">
        <v>70</v>
      </c>
      <c r="K27" s="124">
        <f>IF(J27="","",COUNTIFS($C$18:$C$2015,J$13,$D$18:$D$2015,"&gt;="&amp;J27,$D$18:$D$2015,"&lt;"&amp;J28))</f>
        <v/>
      </c>
      <c r="L27" s="14" t="n"/>
      <c r="M27" s="16" t="n">
        <v>34</v>
      </c>
      <c r="N27" s="124">
        <f>IF(M27="","",COUNTIFS($C$18:$C$2015,M$13,$D$18:$D$2015,"&gt;="&amp;M27,$D$18:$D$2015,"&lt;"&amp;M28))</f>
        <v/>
      </c>
      <c r="O27" s="14" t="n"/>
      <c r="P27" s="16" t="n">
        <v>22</v>
      </c>
      <c r="Q27" s="124">
        <f>IF(P27="","",COUNTIFS($C$18:$C$2015,P$13,$D$18:$D$2015,"&gt;="&amp;P27,$D$18:$D$2015,"&lt;"&amp;P28))</f>
        <v/>
      </c>
      <c r="R27" s="14" t="n"/>
      <c r="S27" s="16" t="n">
        <v>34</v>
      </c>
      <c r="T27" s="124">
        <f>IF(S27="","",COUNTIFS($C$18:$C$2015,S$13,$D$18:$D$2015,"&gt;="&amp;S27,$D$18:$D$2015,"&lt;"&amp;S28))</f>
        <v/>
      </c>
      <c r="U27" s="14" t="n"/>
      <c r="V27" s="16" t="n">
        <v>34</v>
      </c>
      <c r="W27" s="124">
        <f>IF(V27="","",COUNTIFS($C$18:$C$2015,V$13,$D$18:$D$2015,"&gt;="&amp;V27,$D$18:$D$2015,"&lt;"&amp;V28))</f>
        <v/>
      </c>
      <c r="X27" s="14" t="n"/>
      <c r="Y27" s="16" t="n">
        <v>34</v>
      </c>
      <c r="Z27" s="124">
        <f>IF(Y27="","",COUNTIFS($C$18:$C$2015,Y$13,$D$18:$D$2015,"&gt;="&amp;Y27,$D$18:$D$2015,"&lt;"&amp;Y28))</f>
        <v/>
      </c>
      <c r="AA27" s="14" t="n"/>
      <c r="AB27" s="16" t="n">
        <v>22</v>
      </c>
      <c r="AC27" s="124">
        <f>IF(AB27="","",COUNTIFS($C$18:$C$2015,AB$13,$D$18:$D$2015,"&gt;="&amp;AB27,$D$18:$D$2015,"&lt;"&amp;AB28))</f>
        <v/>
      </c>
      <c r="AD27" s="14" t="n"/>
    </row>
    <row r="28">
      <c r="A28" s="56" t="n"/>
      <c r="B28" s="59" t="n"/>
      <c r="C28" s="59" t="n"/>
      <c r="E28" s="16" t="n"/>
      <c r="F28" s="13" t="n"/>
      <c r="G28" s="16" t="n">
        <v>23</v>
      </c>
      <c r="H28" s="124">
        <f>IF(G28="","",COUNTIFS($C$18:$C$2015,G$13,$D$18:$D$2015,"&gt;="&amp;G28,$D$18:$D$2015,"&lt;"&amp;G29))</f>
        <v/>
      </c>
      <c r="I28" s="14" t="n"/>
      <c r="J28" s="16" t="n">
        <v>75</v>
      </c>
      <c r="K28" s="124">
        <f>IF(J28="","",COUNTIFS($C$18:$C$2015,J$13,$D$18:$D$2015,"&gt;="&amp;J28,$D$18:$D$2015,"&lt;"&amp;J29))</f>
        <v/>
      </c>
      <c r="L28" s="14" t="n"/>
      <c r="M28" s="16" t="n">
        <v>36</v>
      </c>
      <c r="N28" s="124">
        <f>IF(M28="","",COUNTIFS($C$18:$C$2015,M$13,$D$18:$D$2015,"&gt;="&amp;M28,$D$18:$D$2015,"&lt;"&amp;M29))</f>
        <v/>
      </c>
      <c r="O28" s="14" t="n"/>
      <c r="P28" s="16" t="n">
        <v>23</v>
      </c>
      <c r="Q28" s="124">
        <f>IF(P28="","",COUNTIFS($C$18:$C$2015,P$13,$D$18:$D$2015,"&gt;="&amp;P28,$D$18:$D$2015,"&lt;"&amp;P29))</f>
        <v/>
      </c>
      <c r="R28" s="14" t="n"/>
      <c r="S28" s="16" t="n">
        <v>36</v>
      </c>
      <c r="T28" s="124">
        <f>IF(S28="","",COUNTIFS($C$18:$C$2015,S$13,$D$18:$D$2015,"&gt;="&amp;S28,$D$18:$D$2015,"&lt;"&amp;S29))</f>
        <v/>
      </c>
      <c r="U28" s="14" t="n"/>
      <c r="V28" s="16" t="n">
        <v>36</v>
      </c>
      <c r="W28" s="124">
        <f>IF(V28="","",COUNTIFS($C$18:$C$2015,V$13,$D$18:$D$2015,"&gt;="&amp;V28,$D$18:$D$2015,"&lt;"&amp;V29))</f>
        <v/>
      </c>
      <c r="X28" s="14" t="n"/>
      <c r="Y28" s="16" t="n">
        <v>36</v>
      </c>
      <c r="Z28" s="124">
        <f>IF(Y28="","",COUNTIFS($C$18:$C$2015,Y$13,$D$18:$D$2015,"&gt;="&amp;Y28,$D$18:$D$2015,"&lt;"&amp;Y29))</f>
        <v/>
      </c>
      <c r="AA28" s="14" t="n"/>
      <c r="AB28" s="16" t="n">
        <v>23</v>
      </c>
      <c r="AC28" s="124">
        <f>IF(AB28="","",COUNTIFS($C$18:$C$2015,AB$13,$D$18:$D$2015,"&gt;="&amp;AB28,$D$18:$D$2015,"&lt;"&amp;AB29))</f>
        <v/>
      </c>
      <c r="AD28" s="14" t="n"/>
    </row>
    <row r="29">
      <c r="A29" s="58" t="n"/>
      <c r="B29" s="59" t="n"/>
      <c r="C29" s="59" t="n"/>
      <c r="E29" s="16" t="n"/>
      <c r="F29" s="13" t="n"/>
      <c r="G29" s="16" t="n">
        <v>24</v>
      </c>
      <c r="H29" s="124">
        <f>IF(G29="","",COUNTIFS($C$18:$C$2015,G$13,$D$18:$D$2015,"&gt;="&amp;G29,$D$18:$D$2015,"&lt;"&amp;G30))</f>
        <v/>
      </c>
      <c r="I29" s="14" t="n"/>
      <c r="J29" s="16" t="n">
        <v>80</v>
      </c>
      <c r="K29" s="124">
        <f>IF(J29="","",COUNTIFS($C$18:$C$2015,J$13,$D$18:$D$2015,"&gt;="&amp;J29,$D$18:$D$2015,"&lt;"&amp;J30))</f>
        <v/>
      </c>
      <c r="L29" s="14" t="n"/>
      <c r="M29" s="16" t="n">
        <v>38</v>
      </c>
      <c r="N29" s="124">
        <f>IF(M29="","",COUNTIFS($C$18:$C$2015,M$13,$D$18:$D$2015,"&gt;="&amp;M29,$D$18:$D$2015,"&lt;"&amp;M30))</f>
        <v/>
      </c>
      <c r="O29" s="14" t="n"/>
      <c r="P29" s="16" t="n">
        <v>24</v>
      </c>
      <c r="Q29" s="124">
        <f>IF(P29="","",COUNTIFS($C$18:$C$2015,P$13,$D$18:$D$2015,"&gt;="&amp;P29,$D$18:$D$2015,"&lt;"&amp;P30))</f>
        <v/>
      </c>
      <c r="R29" s="14" t="n"/>
      <c r="S29" s="16" t="n">
        <v>38</v>
      </c>
      <c r="T29" s="124">
        <f>IF(S29="","",COUNTIFS($C$18:$C$2015,S$13,$D$18:$D$2015,"&gt;="&amp;S29,$D$18:$D$2015,"&lt;"&amp;S30))</f>
        <v/>
      </c>
      <c r="U29" s="14" t="n"/>
      <c r="V29" s="16" t="n">
        <v>38</v>
      </c>
      <c r="W29" s="124">
        <f>IF(V29="","",COUNTIFS($C$18:$C$2015,V$13,$D$18:$D$2015,"&gt;="&amp;V29,$D$18:$D$2015,"&lt;"&amp;V30))</f>
        <v/>
      </c>
      <c r="X29" s="14" t="n"/>
      <c r="Y29" s="16" t="n">
        <v>38</v>
      </c>
      <c r="Z29" s="124">
        <f>IF(Y29="","",COUNTIFS($C$18:$C$2015,Y$13,$D$18:$D$2015,"&gt;="&amp;Y29,$D$18:$D$2015,"&lt;"&amp;Y30))</f>
        <v/>
      </c>
      <c r="AA29" s="14" t="n"/>
      <c r="AB29" s="16" t="n">
        <v>24</v>
      </c>
      <c r="AC29" s="124">
        <f>IF(AB29="","",COUNTIFS($C$18:$C$2015,AB$13,$D$18:$D$2015,"&gt;="&amp;AB29,$D$18:$D$2015,"&lt;"&amp;AB30))</f>
        <v/>
      </c>
      <c r="AD29" s="14" t="n"/>
    </row>
    <row r="30">
      <c r="A30" s="56" t="n"/>
      <c r="B30" s="59" t="n"/>
      <c r="C30" s="59" t="n"/>
      <c r="E30" s="16" t="n"/>
      <c r="F30" s="13" t="n"/>
      <c r="G30" s="16" t="n">
        <v>25</v>
      </c>
      <c r="H30" s="124">
        <f>IF(G30="","",COUNTIFS($C$18:$C$2015,G$13,$D$18:$D$2015,"&gt;="&amp;G30,$D$18:$D$2015,"&lt;"&amp;G31))</f>
        <v/>
      </c>
      <c r="I30" s="14" t="n"/>
      <c r="J30" s="16" t="n">
        <v>85</v>
      </c>
      <c r="K30" s="124">
        <f>IF(J30="","",COUNTIFS($C$18:$C$2015,J$13,$D$18:$D$2015,"&gt;="&amp;J30,$D$18:$D$2015,"&lt;"&amp;J31))</f>
        <v/>
      </c>
      <c r="L30" s="14" t="n"/>
      <c r="M30" s="16" t="n">
        <v>40</v>
      </c>
      <c r="N30" s="124">
        <f>IF(M30="","",COUNTIFS($C$18:$C$2015,M$13,$D$18:$D$2015,"&gt;="&amp;M30,$D$18:$D$2015,"&lt;"&amp;M31))</f>
        <v/>
      </c>
      <c r="O30" s="14" t="n"/>
      <c r="P30" s="16" t="n">
        <v>25</v>
      </c>
      <c r="Q30" s="124">
        <f>IF(P30="","",COUNTIFS($C$18:$C$2015,P$13,$D$18:$D$2015,"&gt;="&amp;P30,$D$18:$D$2015,"&lt;"&amp;P31))</f>
        <v/>
      </c>
      <c r="R30" s="14" t="n"/>
      <c r="S30" s="16" t="n">
        <v>40</v>
      </c>
      <c r="T30" s="124">
        <f>IF(S30="","",COUNTIFS($C$18:$C$2015,S$13,$D$18:$D$2015,"&gt;="&amp;S30,$D$18:$D$2015,"&lt;"&amp;S31))</f>
        <v/>
      </c>
      <c r="U30" s="14" t="n"/>
      <c r="V30" s="16" t="n">
        <v>40</v>
      </c>
      <c r="W30" s="124">
        <f>IF(V30="","",COUNTIFS($C$18:$C$2015,V$13,$D$18:$D$2015,"&gt;="&amp;V30,$D$18:$D$2015,"&lt;"&amp;V31))</f>
        <v/>
      </c>
      <c r="X30" s="14" t="n"/>
      <c r="Y30" s="16" t="n">
        <v>40</v>
      </c>
      <c r="Z30" s="124">
        <f>IF(Y30="","",COUNTIFS($C$18:$C$2015,Y$13,$D$18:$D$2015,"&gt;="&amp;Y30,$D$18:$D$2015,"&lt;"&amp;Y31))</f>
        <v/>
      </c>
      <c r="AA30" s="14" t="n"/>
      <c r="AB30" s="16" t="n">
        <v>25</v>
      </c>
      <c r="AC30" s="124">
        <f>IF(AB30="","",COUNTIFS($C$18:$C$2015,AB$13,$D$18:$D$2015,"&gt;="&amp;AB30,$D$18:$D$2015,"&lt;"&amp;AB31))</f>
        <v/>
      </c>
      <c r="AD30" s="14" t="n"/>
    </row>
    <row r="31">
      <c r="A31" s="58" t="n"/>
      <c r="B31" s="59" t="n"/>
      <c r="C31" s="59" t="n"/>
      <c r="E31" s="16" t="n"/>
      <c r="F31" s="13" t="n"/>
      <c r="G31" s="16" t="n">
        <v>26</v>
      </c>
      <c r="H31" s="124">
        <f>IF(G31="","",COUNTIFS($C$18:$C$2015,G$13,$D$18:$D$2015,"&gt;="&amp;G31,$D$18:$D$2015,"&lt;"&amp;G32))</f>
        <v/>
      </c>
      <c r="I31" s="14" t="n"/>
      <c r="J31" s="16" t="n">
        <v>90</v>
      </c>
      <c r="K31" s="124">
        <f>IF(J31="","",COUNTIFS($C$18:$C$2015,J$13,$D$18:$D$2015,"&gt;="&amp;J31,$D$18:$D$2015,"&lt;"&amp;J32))</f>
        <v/>
      </c>
      <c r="L31" s="14" t="n"/>
      <c r="M31" s="16" t="n">
        <v>42</v>
      </c>
      <c r="N31" s="124">
        <f>IF(M31="","",COUNTIFS($C$18:$C$2015,M$13,$D$18:$D$2015,"&gt;="&amp;M31,$D$18:$D$2015,"&lt;"&amp;M32))</f>
        <v/>
      </c>
      <c r="O31" s="14" t="n"/>
      <c r="P31" s="16" t="n">
        <v>26</v>
      </c>
      <c r="Q31" s="124">
        <f>IF(P31="","",COUNTIFS($C$18:$C$2015,P$13,$D$18:$D$2015,"&gt;="&amp;P31,$D$18:$D$2015,"&lt;"&amp;P32))</f>
        <v/>
      </c>
      <c r="R31" s="14" t="n"/>
      <c r="S31" s="16" t="n">
        <v>42</v>
      </c>
      <c r="T31" s="124">
        <f>IF(S31="","",COUNTIFS($C$18:$C$2015,S$13,$D$18:$D$2015,"&gt;="&amp;S31,$D$18:$D$2015,"&lt;"&amp;S32))</f>
        <v/>
      </c>
      <c r="U31" s="14" t="n"/>
      <c r="V31" s="16" t="n">
        <v>42</v>
      </c>
      <c r="W31" s="124">
        <f>IF(V31="","",COUNTIFS($C$18:$C$2015,V$13,$D$18:$D$2015,"&gt;="&amp;V31,$D$18:$D$2015,"&lt;"&amp;V32))</f>
        <v/>
      </c>
      <c r="X31" s="14" t="n"/>
      <c r="Y31" s="16" t="n">
        <v>42</v>
      </c>
      <c r="Z31" s="124">
        <f>IF(Y31="","",COUNTIFS($C$18:$C$2015,Y$13,$D$18:$D$2015,"&gt;="&amp;Y31,$D$18:$D$2015,"&lt;"&amp;Y32))</f>
        <v/>
      </c>
      <c r="AA31" s="14" t="n"/>
      <c r="AB31" s="16" t="n">
        <v>26</v>
      </c>
      <c r="AC31" s="124">
        <f>IF(AB31="","",COUNTIFS($C$18:$C$2015,AB$13,$D$18:$D$2015,"&gt;="&amp;AB31,$D$18:$D$2015,"&lt;"&amp;AB32))</f>
        <v/>
      </c>
      <c r="AD31" s="14" t="n"/>
    </row>
    <row r="32">
      <c r="A32" s="56" t="n"/>
      <c r="B32" s="59" t="n"/>
      <c r="C32" s="59" t="n"/>
      <c r="E32" s="16" t="n"/>
      <c r="F32" s="13" t="n"/>
      <c r="G32" s="16" t="n">
        <v>27</v>
      </c>
      <c r="H32" s="124">
        <f>IF(G32="","",COUNTIFS($C$18:$C$2015,G$13,$D$18:$D$2015,"&gt;="&amp;G32,$D$18:$D$2015,"&lt;"&amp;G33))</f>
        <v/>
      </c>
      <c r="I32" s="14" t="n"/>
      <c r="J32" s="16" t="n">
        <v>95</v>
      </c>
      <c r="K32" s="124">
        <f>IF(J32="","",COUNTIFS($C$18:$C$2015,J$13,$D$18:$D$2015,"&gt;="&amp;J32,$D$18:$D$2015,"&lt;"&amp;J33))</f>
        <v/>
      </c>
      <c r="L32" s="14" t="n"/>
      <c r="M32" s="16" t="n">
        <v>44</v>
      </c>
      <c r="N32" s="124">
        <f>IF(M32="","",COUNTIFS($C$18:$C$2015,M$13,$D$18:$D$2015,"&gt;="&amp;M32,$D$18:$D$2015,"&lt;"&amp;M33))</f>
        <v/>
      </c>
      <c r="O32" s="14" t="n"/>
      <c r="P32" s="16" t="n">
        <v>27</v>
      </c>
      <c r="Q32" s="124">
        <f>IF(P32="","",COUNTIFS($C$18:$C$2015,P$13,$D$18:$D$2015,"&gt;="&amp;P32,$D$18:$D$2015,"&lt;"&amp;P33))</f>
        <v/>
      </c>
      <c r="R32" s="14" t="n"/>
      <c r="S32" s="16" t="n">
        <v>44</v>
      </c>
      <c r="T32" s="124">
        <f>IF(S32="","",COUNTIFS($C$18:$C$2015,S$13,$D$18:$D$2015,"&gt;="&amp;S32,$D$18:$D$2015,"&lt;"&amp;S33))</f>
        <v/>
      </c>
      <c r="U32" s="14" t="n"/>
      <c r="V32" s="16" t="n">
        <v>44</v>
      </c>
      <c r="W32" s="124">
        <f>IF(V32="","",COUNTIFS($C$18:$C$2015,V$13,$D$18:$D$2015,"&gt;="&amp;V32,$D$18:$D$2015,"&lt;"&amp;V33))</f>
        <v/>
      </c>
      <c r="X32" s="14" t="n"/>
      <c r="Y32" s="16" t="n">
        <v>44</v>
      </c>
      <c r="Z32" s="124">
        <f>IF(Y32="","",COUNTIFS($C$18:$C$2015,Y$13,$D$18:$D$2015,"&gt;="&amp;Y32,$D$18:$D$2015,"&lt;"&amp;Y33))</f>
        <v/>
      </c>
      <c r="AA32" s="14" t="n"/>
      <c r="AB32" s="16" t="n">
        <v>27</v>
      </c>
      <c r="AC32" s="124">
        <f>IF(AB32="","",COUNTIFS($C$18:$C$2015,AB$13,$D$18:$D$2015,"&gt;="&amp;AB32,$D$18:$D$2015,"&lt;"&amp;AB33))</f>
        <v/>
      </c>
      <c r="AD32" s="14" t="n"/>
    </row>
    <row r="33">
      <c r="A33" s="58" t="n"/>
      <c r="B33" s="59" t="n"/>
      <c r="C33" s="59" t="n"/>
      <c r="E33" s="16" t="n"/>
      <c r="F33" s="13" t="n"/>
      <c r="G33" s="16" t="n">
        <v>28</v>
      </c>
      <c r="H33" s="124">
        <f>IF(G33="","",COUNTIFS($C$18:$C$2015,G$13,$D$18:$D$2015,"&gt;="&amp;G33,$D$18:$D$2015,"&lt;"&amp;G34))</f>
        <v/>
      </c>
      <c r="I33" s="14" t="n"/>
      <c r="J33" s="16" t="n">
        <v>100</v>
      </c>
      <c r="K33" s="124">
        <f>IF(J33="","",COUNTIFS($C$18:$C$2015,J$13,$D$18:$D$2015,"&gt;="&amp;J33,$D$18:$D$2015,"&lt;"&amp;J34))</f>
        <v/>
      </c>
      <c r="L33" s="14" t="n"/>
      <c r="M33" s="16" t="n">
        <v>46</v>
      </c>
      <c r="N33" s="124">
        <f>IF(M33="","",COUNTIFS($C$18:$C$2015,M$13,$D$18:$D$2015,"&gt;="&amp;M33,$D$18:$D$2015,"&lt;"&amp;M34))</f>
        <v/>
      </c>
      <c r="O33" s="14" t="n"/>
      <c r="P33" s="16" t="n">
        <v>28</v>
      </c>
      <c r="Q33" s="124">
        <f>IF(P33="","",COUNTIFS($C$18:$C$2015,P$13,$D$18:$D$2015,"&gt;="&amp;P33,$D$18:$D$2015,"&lt;"&amp;P34))</f>
        <v/>
      </c>
      <c r="R33" s="14" t="n"/>
      <c r="S33" s="16" t="n">
        <v>46</v>
      </c>
      <c r="T33" s="124">
        <f>IF(S33="","",COUNTIFS($C$18:$C$2015,S$13,$D$18:$D$2015,"&gt;="&amp;S33,$D$18:$D$2015,"&lt;"&amp;S34))</f>
        <v/>
      </c>
      <c r="U33" s="14" t="n"/>
      <c r="V33" s="16" t="n">
        <v>46</v>
      </c>
      <c r="W33" s="124">
        <f>IF(V33="","",COUNTIFS($C$18:$C$2015,V$13,$D$18:$D$2015,"&gt;="&amp;V33,$D$18:$D$2015,"&lt;"&amp;V34))</f>
        <v/>
      </c>
      <c r="X33" s="14" t="n"/>
      <c r="Y33" s="16" t="n">
        <v>46</v>
      </c>
      <c r="Z33" s="124">
        <f>IF(Y33="","",COUNTIFS($C$18:$C$2015,Y$13,$D$18:$D$2015,"&gt;="&amp;Y33,$D$18:$D$2015,"&lt;"&amp;Y34))</f>
        <v/>
      </c>
      <c r="AA33" s="14" t="n"/>
      <c r="AB33" s="16" t="n">
        <v>28</v>
      </c>
      <c r="AC33" s="124">
        <f>IF(AB33="","",COUNTIFS($C$18:$C$2015,AB$13,$D$18:$D$2015,"&gt;="&amp;AB33,$D$18:$D$2015,"&lt;"&amp;AB34))</f>
        <v/>
      </c>
      <c r="AD33" s="14" t="n"/>
    </row>
    <row r="34">
      <c r="A34" s="56" t="n"/>
      <c r="B34" s="59" t="n"/>
      <c r="C34" s="59" t="n"/>
      <c r="E34" s="16" t="n"/>
      <c r="F34" s="13" t="n"/>
      <c r="G34" s="16" t="n">
        <v>29</v>
      </c>
      <c r="H34" s="124">
        <f>IF(G34="","",COUNTIFS($C$18:$C$2015,G$13,$D$18:$D$2015,"&gt;="&amp;G34,$D$18:$D$2015,"&lt;"&amp;G35))</f>
        <v/>
      </c>
      <c r="I34" s="14" t="n"/>
      <c r="J34" s="16" t="n">
        <v>105</v>
      </c>
      <c r="K34" s="124">
        <f>IF(J34="","",COUNTIFS($C$18:$C$2015,J$13,$D$18:$D$2015,"&gt;="&amp;J34,$D$18:$D$2015,"&lt;"&amp;J35))</f>
        <v/>
      </c>
      <c r="L34" s="14" t="n"/>
      <c r="M34" s="16" t="n">
        <v>48</v>
      </c>
      <c r="N34" s="124">
        <f>IF(M34="","",COUNTIFS($C$18:$C$2015,M$13,$D$18:$D$2015,"&gt;="&amp;M34,$D$18:$D$2015,"&lt;"&amp;M35))</f>
        <v/>
      </c>
      <c r="O34" s="14" t="n"/>
      <c r="P34" s="16" t="n">
        <v>29</v>
      </c>
      <c r="Q34" s="124">
        <f>IF(P34="","",COUNTIFS($C$18:$C$2015,P$13,$D$18:$D$2015,"&gt;="&amp;P34,$D$18:$D$2015,"&lt;"&amp;P35))</f>
        <v/>
      </c>
      <c r="R34" s="14" t="n"/>
      <c r="S34" s="16" t="n">
        <v>48</v>
      </c>
      <c r="T34" s="124">
        <f>IF(S34="","",COUNTIFS($C$18:$C$2015,S$13,$D$18:$D$2015,"&gt;="&amp;S34,$D$18:$D$2015,"&lt;"&amp;S35))</f>
        <v/>
      </c>
      <c r="U34" s="14" t="n"/>
      <c r="V34" s="16" t="n">
        <v>48</v>
      </c>
      <c r="W34" s="124">
        <f>IF(V34="","",COUNTIFS($C$18:$C$2015,V$13,$D$18:$D$2015,"&gt;="&amp;V34,$D$18:$D$2015,"&lt;"&amp;V35))</f>
        <v/>
      </c>
      <c r="X34" s="14" t="n"/>
      <c r="Y34" s="16" t="n">
        <v>48</v>
      </c>
      <c r="Z34" s="124">
        <f>IF(Y34="","",COUNTIFS($C$18:$C$2015,Y$13,$D$18:$D$2015,"&gt;="&amp;Y34,$D$18:$D$2015,"&lt;"&amp;Y35))</f>
        <v/>
      </c>
      <c r="AA34" s="14" t="n"/>
      <c r="AB34" s="16" t="n">
        <v>29</v>
      </c>
      <c r="AC34" s="124">
        <f>IF(AB34="","",COUNTIFS($C$18:$C$2015,AB$13,$D$18:$D$2015,"&gt;="&amp;AB34,$D$18:$D$2015,"&lt;"&amp;AB35))</f>
        <v/>
      </c>
      <c r="AD34" s="14" t="n"/>
    </row>
    <row r="35">
      <c r="A35" s="58" t="n"/>
      <c r="B35" s="59" t="n"/>
      <c r="C35" s="59" t="n"/>
      <c r="E35" s="16" t="n"/>
      <c r="F35" s="13" t="n"/>
      <c r="G35" s="16" t="n">
        <v>30</v>
      </c>
      <c r="H35" s="124">
        <f>IF(G35="","",COUNTIFS($C$18:$C$2015,G$13,$D$18:$D$2015,"&gt;="&amp;G35,$D$18:$D$2015,"&lt;"&amp;G36))</f>
        <v/>
      </c>
      <c r="I35" s="14" t="n"/>
      <c r="J35" s="16" t="n">
        <v>110</v>
      </c>
      <c r="K35" s="124">
        <f>IF(J35="","",COUNTIFS($C$18:$C$2015,J$13,$D$18:$D$2015,"&gt;="&amp;J35,$D$18:$D$2015,"&lt;"&amp;J36))</f>
        <v/>
      </c>
      <c r="L35" s="14" t="n"/>
      <c r="M35" s="16" t="n">
        <v>50</v>
      </c>
      <c r="N35" s="124">
        <f>IF(M35="","",COUNTIFS($C$18:$C$2015,M$13,$D$18:$D$2015,"&gt;="&amp;M35,$D$18:$D$2015,"&lt;"&amp;M36))</f>
        <v/>
      </c>
      <c r="O35" s="14" t="n"/>
      <c r="P35" s="16" t="n">
        <v>30</v>
      </c>
      <c r="Q35" s="124">
        <f>IF(P35="","",COUNTIFS($C$18:$C$2015,P$13,$D$18:$D$2015,"&gt;="&amp;P35,$D$18:$D$2015,"&lt;"&amp;P36))</f>
        <v/>
      </c>
      <c r="R35" s="14" t="n"/>
      <c r="S35" s="16" t="n">
        <v>50</v>
      </c>
      <c r="T35" s="124">
        <f>IF(S35="","",COUNTIFS($C$18:$C$2015,S$13,$D$18:$D$2015,"&gt;="&amp;S35,$D$18:$D$2015,"&lt;"&amp;S36))</f>
        <v/>
      </c>
      <c r="U35" s="14" t="n"/>
      <c r="V35" s="16" t="n">
        <v>50</v>
      </c>
      <c r="W35" s="124">
        <f>IF(V35="","",COUNTIFS($C$18:$C$2015,V$13,$D$18:$D$2015,"&gt;="&amp;V35,$D$18:$D$2015,"&lt;"&amp;V36))</f>
        <v/>
      </c>
      <c r="X35" s="14" t="n"/>
      <c r="Y35" s="16" t="n">
        <v>50</v>
      </c>
      <c r="Z35" s="124">
        <f>IF(Y35="","",COUNTIFS($C$18:$C$2015,Y$13,$D$18:$D$2015,"&gt;="&amp;Y35,$D$18:$D$2015,"&lt;"&amp;Y36))</f>
        <v/>
      </c>
      <c r="AA35" s="14" t="n"/>
      <c r="AB35" s="16" t="n">
        <v>30</v>
      </c>
      <c r="AC35" s="124">
        <f>IF(AB35="","",COUNTIFS($C$18:$C$2015,AB$13,$D$18:$D$2015,"&gt;="&amp;AB35,$D$18:$D$2015,"&lt;"&amp;AB36))</f>
        <v/>
      </c>
      <c r="AD35" s="14" t="n"/>
    </row>
    <row r="36">
      <c r="A36" s="56" t="n"/>
      <c r="B36" s="59" t="n"/>
      <c r="C36" s="59" t="n"/>
      <c r="E36" s="16" t="n"/>
      <c r="F36" s="13" t="n"/>
      <c r="G36" s="16" t="n">
        <v>31</v>
      </c>
      <c r="H36" s="124">
        <f>IF(G36="","",COUNTIFS($C$18:$C$2015,G$13,$D$18:$D$2015,"&gt;="&amp;G36,$D$18:$D$2015,"&lt;"&amp;G37))</f>
        <v/>
      </c>
      <c r="I36" s="14" t="n"/>
      <c r="J36" s="16" t="n">
        <v>115</v>
      </c>
      <c r="K36" s="124">
        <f>IF(J36="","",COUNTIFS($C$18:$C$2015,J$13,$D$18:$D$2015,"&gt;="&amp;J36,$D$18:$D$2015,"&lt;"&amp;J37))</f>
        <v/>
      </c>
      <c r="L36" s="14" t="n"/>
      <c r="M36" s="16" t="n">
        <v>52</v>
      </c>
      <c r="N36" s="124">
        <f>IF(M36="","",COUNTIFS($C$18:$C$2015,M$13,$D$18:$D$2015,"&gt;="&amp;M36,$D$18:$D$2015,"&lt;"&amp;M37))</f>
        <v/>
      </c>
      <c r="O36" s="14" t="n"/>
      <c r="P36" s="16" t="n">
        <v>31</v>
      </c>
      <c r="Q36" s="124">
        <f>IF(P36="","",COUNTIFS($C$18:$C$2015,P$13,$D$18:$D$2015,"&gt;="&amp;P36,$D$18:$D$2015,"&lt;"&amp;P37))</f>
        <v/>
      </c>
      <c r="R36" s="14" t="n"/>
      <c r="S36" s="16" t="n">
        <v>52</v>
      </c>
      <c r="T36" s="124">
        <f>IF(S36="","",COUNTIFS($C$18:$C$2015,S$13,$D$18:$D$2015,"&gt;="&amp;S36,$D$18:$D$2015,"&lt;"&amp;S37))</f>
        <v/>
      </c>
      <c r="U36" s="14" t="n"/>
      <c r="V36" s="16" t="n">
        <v>52</v>
      </c>
      <c r="W36" s="124">
        <f>IF(V36="","",COUNTIFS($C$18:$C$2015,V$13,$D$18:$D$2015,"&gt;="&amp;V36,$D$18:$D$2015,"&lt;"&amp;V37))</f>
        <v/>
      </c>
      <c r="X36" s="14" t="n"/>
      <c r="Y36" s="16" t="n">
        <v>52</v>
      </c>
      <c r="Z36" s="124">
        <f>IF(Y36="","",COUNTIFS($C$18:$C$2015,Y$13,$D$18:$D$2015,"&gt;="&amp;Y36,$D$18:$D$2015,"&lt;"&amp;Y37))</f>
        <v/>
      </c>
      <c r="AA36" s="14" t="n"/>
      <c r="AB36" s="16" t="n">
        <v>31</v>
      </c>
      <c r="AC36" s="124">
        <f>IF(AB36="","",COUNTIFS($C$18:$C$2015,AB$13,$D$18:$D$2015,"&gt;="&amp;AB36,$D$18:$D$2015,"&lt;"&amp;AB37))</f>
        <v/>
      </c>
      <c r="AD36" s="14" t="n"/>
    </row>
    <row r="37">
      <c r="A37" s="58" t="n"/>
      <c r="B37" s="59" t="n"/>
      <c r="C37" s="59" t="n"/>
      <c r="E37" s="16" t="n"/>
      <c r="F37" s="13" t="n"/>
      <c r="G37" s="16" t="n">
        <v>32</v>
      </c>
      <c r="H37" s="124">
        <f>IF(G37="","",COUNTIFS($C$18:$C$2015,G$13,$D$18:$D$2015,"&gt;="&amp;G37,$D$18:$D$2015,"&lt;"&amp;G38))</f>
        <v/>
      </c>
      <c r="I37" s="14" t="n"/>
      <c r="J37" s="16" t="n">
        <v>120</v>
      </c>
      <c r="K37" s="124">
        <f>IF(J37="","",COUNTIFS($C$18:$C$2015,J$13,$D$18:$D$2015,"&gt;="&amp;J37,$D$18:$D$2015,"&lt;"&amp;J38))</f>
        <v/>
      </c>
      <c r="L37" s="14" t="n"/>
      <c r="M37" s="16" t="n">
        <v>54</v>
      </c>
      <c r="N37" s="124">
        <f>IF(M37="","",COUNTIFS($C$18:$C$2015,M$13,$D$18:$D$2015,"&gt;="&amp;M37,$D$18:$D$2015,"&lt;"&amp;M38))</f>
        <v/>
      </c>
      <c r="O37" s="14" t="n"/>
      <c r="P37" s="16" t="n">
        <v>32</v>
      </c>
      <c r="Q37" s="124">
        <f>IF(P37="","",COUNTIFS($C$18:$C$2015,P$13,$D$18:$D$2015,"&gt;="&amp;P37,$D$18:$D$2015,"&lt;"&amp;P38))</f>
        <v/>
      </c>
      <c r="R37" s="14" t="n"/>
      <c r="S37" s="16" t="n">
        <v>54</v>
      </c>
      <c r="T37" s="124">
        <f>IF(S37="","",COUNTIFS($C$18:$C$2015,S$13,$D$18:$D$2015,"&gt;="&amp;S37,$D$18:$D$2015,"&lt;"&amp;S38))</f>
        <v/>
      </c>
      <c r="U37" s="14" t="n"/>
      <c r="V37" s="16" t="n">
        <v>54</v>
      </c>
      <c r="W37" s="124">
        <f>IF(V37="","",COUNTIFS($C$18:$C$2015,V$13,$D$18:$D$2015,"&gt;="&amp;V37,$D$18:$D$2015,"&lt;"&amp;V38))</f>
        <v/>
      </c>
      <c r="X37" s="14" t="n"/>
      <c r="Y37" s="16" t="n">
        <v>54</v>
      </c>
      <c r="Z37" s="124">
        <f>IF(Y37="","",COUNTIFS($C$18:$C$2015,Y$13,$D$18:$D$2015,"&gt;="&amp;Y37,$D$18:$D$2015,"&lt;"&amp;Y38))</f>
        <v/>
      </c>
      <c r="AA37" s="14" t="n"/>
      <c r="AB37" s="16" t="n">
        <v>32</v>
      </c>
      <c r="AC37" s="124">
        <f>IF(AB37="","",COUNTIFS($C$18:$C$2015,AB$13,$D$18:$D$2015,"&gt;="&amp;AB37,$D$18:$D$2015,"&lt;"&amp;AB38))</f>
        <v/>
      </c>
      <c r="AD37" s="14" t="n"/>
    </row>
    <row r="38">
      <c r="A38" s="56" t="n"/>
      <c r="B38" s="59" t="n"/>
      <c r="C38" s="59" t="n"/>
      <c r="E38" s="16" t="n"/>
      <c r="F38" s="13" t="n"/>
      <c r="G38" s="16" t="n">
        <v>33</v>
      </c>
      <c r="H38" s="124">
        <f>IF(G38="","",COUNTIFS($C$18:$C$2015,G$13,$D$18:$D$2015,"&gt;="&amp;G38,$D$18:$D$2015,"&lt;"&amp;G39))</f>
        <v/>
      </c>
      <c r="I38" s="14" t="n"/>
      <c r="J38" s="16" t="n">
        <v>125</v>
      </c>
      <c r="K38" s="124">
        <f>IF(J38="","",COUNTIFS($C$18:$C$2015,J$13,$D$18:$D$2015,"&gt;="&amp;J38,$D$18:$D$2015,"&lt;"&amp;J39))</f>
        <v/>
      </c>
      <c r="L38" s="14" t="n"/>
      <c r="M38" s="16" t="n">
        <v>56</v>
      </c>
      <c r="N38" s="124">
        <f>IF(M38="","",COUNTIFS($C$18:$C$2015,M$13,$D$18:$D$2015,"&gt;="&amp;M38,$D$18:$D$2015,"&lt;"&amp;M39))</f>
        <v/>
      </c>
      <c r="O38" s="14" t="n"/>
      <c r="P38" s="16" t="n">
        <v>33</v>
      </c>
      <c r="Q38" s="124">
        <f>IF(P38="","",COUNTIFS($C$18:$C$2015,P$13,$D$18:$D$2015,"&gt;="&amp;P38,$D$18:$D$2015,"&lt;"&amp;P39))</f>
        <v/>
      </c>
      <c r="R38" s="14" t="n"/>
      <c r="S38" s="16" t="n">
        <v>56</v>
      </c>
      <c r="T38" s="124">
        <f>IF(S38="","",COUNTIFS($C$18:$C$2015,S$13,$D$18:$D$2015,"&gt;="&amp;S38,$D$18:$D$2015,"&lt;"&amp;S39))</f>
        <v/>
      </c>
      <c r="U38" s="14" t="n"/>
      <c r="V38" s="16" t="n">
        <v>56</v>
      </c>
      <c r="W38" s="124">
        <f>IF(V38="","",COUNTIFS($C$18:$C$2015,V$13,$D$18:$D$2015,"&gt;="&amp;V38,$D$18:$D$2015,"&lt;"&amp;V39))</f>
        <v/>
      </c>
      <c r="X38" s="14" t="n"/>
      <c r="Y38" s="16" t="n">
        <v>56</v>
      </c>
      <c r="Z38" s="124">
        <f>IF(Y38="","",COUNTIFS($C$18:$C$2015,Y$13,$D$18:$D$2015,"&gt;="&amp;Y38,$D$18:$D$2015,"&lt;"&amp;Y39))</f>
        <v/>
      </c>
      <c r="AA38" s="14" t="n"/>
      <c r="AB38" s="16" t="n">
        <v>33</v>
      </c>
      <c r="AC38" s="124">
        <f>IF(AB38="","",COUNTIFS($C$18:$C$2015,AB$13,$D$18:$D$2015,"&gt;="&amp;AB38,$D$18:$D$2015,"&lt;"&amp;AB39))</f>
        <v/>
      </c>
      <c r="AD38" s="14" t="n"/>
    </row>
    <row r="39">
      <c r="A39" s="58" t="n"/>
      <c r="B39" s="59" t="n"/>
      <c r="C39" s="59" t="n"/>
      <c r="E39" s="16" t="n"/>
      <c r="F39" s="13" t="n"/>
      <c r="G39" s="16" t="n">
        <v>34</v>
      </c>
      <c r="H39" s="124">
        <f>IF(G39="","",COUNTIFS($C$18:$C$2015,G$13,$D$18:$D$2015,"&gt;="&amp;G39,$D$18:$D$2015,"&lt;"&amp;G40))</f>
        <v/>
      </c>
      <c r="I39" s="14" t="n"/>
      <c r="J39" s="16" t="n">
        <v>130</v>
      </c>
      <c r="K39" s="124">
        <f>IF(J39="","",COUNTIFS($C$18:$C$2015,J$13,$D$18:$D$2015,"&gt;="&amp;J39,$D$18:$D$2015,"&lt;"&amp;J40))</f>
        <v/>
      </c>
      <c r="L39" s="14" t="n"/>
      <c r="M39" s="16" t="n">
        <v>58</v>
      </c>
      <c r="N39" s="124">
        <f>IF(M39="","",COUNTIFS($C$18:$C$2015,M$13,$D$18:$D$2015,"&gt;="&amp;M39,$D$18:$D$2015,"&lt;"&amp;M40))</f>
        <v/>
      </c>
      <c r="O39" s="14" t="n"/>
      <c r="P39" s="16" t="n">
        <v>34</v>
      </c>
      <c r="Q39" s="124">
        <f>IF(P39="","",COUNTIFS($C$18:$C$2015,P$13,$D$18:$D$2015,"&gt;="&amp;P39,$D$18:$D$2015,"&lt;"&amp;P40))</f>
        <v/>
      </c>
      <c r="R39" s="14" t="n"/>
      <c r="S39" s="16" t="n">
        <v>58</v>
      </c>
      <c r="T39" s="124">
        <f>IF(S39="","",COUNTIFS($C$18:$C$2015,S$13,$D$18:$D$2015,"&gt;="&amp;S39,$D$18:$D$2015,"&lt;"&amp;S40))</f>
        <v/>
      </c>
      <c r="U39" s="14" t="n"/>
      <c r="V39" s="16" t="n">
        <v>58</v>
      </c>
      <c r="W39" s="124">
        <f>IF(V39="","",COUNTIFS($C$18:$C$2015,V$13,$D$18:$D$2015,"&gt;="&amp;V39,$D$18:$D$2015,"&lt;"&amp;V40))</f>
        <v/>
      </c>
      <c r="X39" s="14" t="n"/>
      <c r="Y39" s="16" t="n">
        <v>58</v>
      </c>
      <c r="Z39" s="124">
        <f>IF(Y39="","",COUNTIFS($C$18:$C$2015,Y$13,$D$18:$D$2015,"&gt;="&amp;Y39,$D$18:$D$2015,"&lt;"&amp;Y40))</f>
        <v/>
      </c>
      <c r="AA39" s="14" t="n"/>
      <c r="AB39" s="16" t="n">
        <v>34</v>
      </c>
      <c r="AC39" s="124">
        <f>IF(AB39="","",COUNTIFS($C$18:$C$2015,AB$13,$D$18:$D$2015,"&gt;="&amp;AB39,$D$18:$D$2015,"&lt;"&amp;AB40))</f>
        <v/>
      </c>
      <c r="AD39" s="14" t="n"/>
    </row>
    <row r="40">
      <c r="A40" s="56" t="n"/>
      <c r="B40" s="59" t="n"/>
      <c r="C40" s="59" t="n"/>
      <c r="E40" s="16" t="n"/>
      <c r="F40" s="13" t="n"/>
      <c r="G40" s="16" t="n">
        <v>35</v>
      </c>
      <c r="H40" s="124">
        <f>IF(G40="","",COUNTIFS($C$18:$C$2015,G$13,$D$18:$D$2015,"&gt;="&amp;G40,$D$18:$D$2015,"&lt;"&amp;G41))</f>
        <v/>
      </c>
      <c r="I40" s="14" t="n"/>
      <c r="J40" s="16" t="n">
        <v>135</v>
      </c>
      <c r="K40" s="124">
        <f>IF(J40="","",COUNTIFS($C$18:$C$2015,J$13,$D$18:$D$2015,"&gt;="&amp;J40,$D$18:$D$2015,"&lt;"&amp;J41))</f>
        <v/>
      </c>
      <c r="L40" s="14" t="n"/>
      <c r="M40" s="16" t="n">
        <v>60</v>
      </c>
      <c r="N40" s="124">
        <f>IF(M40="","",COUNTIFS($C$18:$C$2015,M$13,$D$18:$D$2015,"&gt;="&amp;M40,$D$18:$D$2015,"&lt;"&amp;M41))</f>
        <v/>
      </c>
      <c r="O40" s="14" t="n"/>
      <c r="P40" s="16" t="n">
        <v>35</v>
      </c>
      <c r="Q40" s="124">
        <f>IF(P40="","",COUNTIFS($C$18:$C$2015,P$13,$D$18:$D$2015,"&gt;="&amp;P40,$D$18:$D$2015,"&lt;"&amp;P41))</f>
        <v/>
      </c>
      <c r="R40" s="14" t="n"/>
      <c r="S40" s="16" t="n">
        <v>60</v>
      </c>
      <c r="T40" s="124">
        <f>IF(S40="","",COUNTIFS($C$18:$C$2015,S$13,$D$18:$D$2015,"&gt;="&amp;S40,$D$18:$D$2015,"&lt;"&amp;S41))</f>
        <v/>
      </c>
      <c r="U40" s="14" t="n"/>
      <c r="V40" s="16" t="n">
        <v>60</v>
      </c>
      <c r="W40" s="124">
        <f>IF(V40="","",COUNTIFS($C$18:$C$2015,V$13,$D$18:$D$2015,"&gt;="&amp;V40,$D$18:$D$2015,"&lt;"&amp;V41))</f>
        <v/>
      </c>
      <c r="X40" s="14" t="n"/>
      <c r="Y40" s="16" t="n">
        <v>60</v>
      </c>
      <c r="Z40" s="124">
        <f>IF(Y40="","",COUNTIFS($C$18:$C$2015,Y$13,$D$18:$D$2015,"&gt;="&amp;Y40,$D$18:$D$2015,"&lt;"&amp;Y41))</f>
        <v/>
      </c>
      <c r="AA40" s="14" t="n"/>
      <c r="AB40" s="16" t="n">
        <v>35</v>
      </c>
      <c r="AC40" s="124">
        <f>IF(AB40="","",COUNTIFS($C$18:$C$2015,AB$13,$D$18:$D$2015,"&gt;="&amp;AB40,$D$18:$D$2015,"&lt;"&amp;AB41))</f>
        <v/>
      </c>
      <c r="AD40" s="14" t="n"/>
    </row>
    <row r="41">
      <c r="A41" s="58" t="n"/>
      <c r="B41" s="59" t="n"/>
      <c r="C41" s="59" t="n"/>
      <c r="E41" s="16" t="n"/>
      <c r="F41" s="13" t="n"/>
      <c r="G41" s="16" t="n">
        <v>36</v>
      </c>
      <c r="H41" s="124">
        <f>IF(G41="","",COUNTIFS($C$18:$C$2015,G$13,$D$18:$D$2015,"&gt;="&amp;G41,$D$18:$D$2015,"&lt;"&amp;G42))</f>
        <v/>
      </c>
      <c r="I41" s="14" t="n"/>
      <c r="J41" s="16" t="n">
        <v>140</v>
      </c>
      <c r="K41" s="124">
        <f>IF(J41="","",COUNTIFS($C$18:$C$2015,J$13,$D$18:$D$2015,"&gt;="&amp;J41,$D$18:$D$2015,"&lt;"&amp;J42))</f>
        <v/>
      </c>
      <c r="L41" s="14" t="n"/>
      <c r="M41" s="16" t="n">
        <v>62</v>
      </c>
      <c r="N41" s="124">
        <f>IF(M41="","",COUNTIFS($C$18:$C$2015,M$13,$D$18:$D$2015,"&gt;="&amp;M41,$D$18:$D$2015,"&lt;"&amp;M42))</f>
        <v/>
      </c>
      <c r="O41" s="14" t="n"/>
      <c r="P41" s="16" t="n">
        <v>36</v>
      </c>
      <c r="Q41" s="124">
        <f>IF(P41="","",COUNTIFS($C$18:$C$2015,P$13,$D$18:$D$2015,"&gt;="&amp;P41,$D$18:$D$2015,"&lt;"&amp;P42))</f>
        <v/>
      </c>
      <c r="R41" s="14" t="n"/>
      <c r="S41" s="16" t="n">
        <v>62</v>
      </c>
      <c r="T41" s="124">
        <f>IF(S41="","",COUNTIFS($C$18:$C$2015,S$13,$D$18:$D$2015,"&gt;="&amp;S41,$D$18:$D$2015,"&lt;"&amp;S42))</f>
        <v/>
      </c>
      <c r="U41" s="14" t="n"/>
      <c r="V41" s="16" t="n">
        <v>62</v>
      </c>
      <c r="W41" s="124">
        <f>IF(V41="","",COUNTIFS($C$18:$C$2015,V$13,$D$18:$D$2015,"&gt;="&amp;V41,$D$18:$D$2015,"&lt;"&amp;V42))</f>
        <v/>
      </c>
      <c r="X41" s="14" t="n"/>
      <c r="Y41" s="16" t="n">
        <v>62</v>
      </c>
      <c r="Z41" s="124">
        <f>IF(Y41="","",COUNTIFS($C$18:$C$2015,Y$13,$D$18:$D$2015,"&gt;="&amp;Y41,$D$18:$D$2015,"&lt;"&amp;Y42))</f>
        <v/>
      </c>
      <c r="AA41" s="14" t="n"/>
      <c r="AB41" s="16" t="n">
        <v>36</v>
      </c>
      <c r="AC41" s="124">
        <f>IF(AB41="","",COUNTIFS($C$18:$C$2015,AB$13,$D$18:$D$2015,"&gt;="&amp;AB41,$D$18:$D$2015,"&lt;"&amp;AB42))</f>
        <v/>
      </c>
      <c r="AD41" s="14" t="n"/>
    </row>
    <row r="42">
      <c r="A42" s="56" t="n"/>
      <c r="B42" s="59" t="n"/>
      <c r="C42" s="59" t="n"/>
      <c r="E42" s="16" t="n"/>
      <c r="F42" s="13" t="n"/>
      <c r="G42" s="16" t="n">
        <v>37</v>
      </c>
      <c r="H42" s="124">
        <f>IF(G42="","",COUNTIFS($C$18:$C$2015,G$13,$D$18:$D$2015,"&gt;="&amp;G42,$D$18:$D$2015,"&lt;"&amp;G43))</f>
        <v/>
      </c>
      <c r="I42" s="14" t="n"/>
      <c r="J42" s="16" t="n">
        <v>145</v>
      </c>
      <c r="K42" s="124">
        <f>IF(J42="","",COUNTIFS($C$18:$C$2015,J$13,$D$18:$D$2015,"&gt;="&amp;J42,$D$18:$D$2015,"&lt;"&amp;J43))</f>
        <v/>
      </c>
      <c r="L42" s="14" t="n"/>
      <c r="M42" s="16" t="n">
        <v>64</v>
      </c>
      <c r="N42" s="124">
        <f>IF(M42="","",COUNTIFS($C$18:$C$2015,M$13,$D$18:$D$2015,"&gt;="&amp;M42,$D$18:$D$2015,"&lt;"&amp;M43))</f>
        <v/>
      </c>
      <c r="O42" s="14" t="n"/>
      <c r="P42" s="16" t="n">
        <v>37</v>
      </c>
      <c r="Q42" s="124">
        <f>IF(P42="","",COUNTIFS($C$18:$C$2015,P$13,$D$18:$D$2015,"&gt;="&amp;P42,$D$18:$D$2015,"&lt;"&amp;P43))</f>
        <v/>
      </c>
      <c r="R42" s="14" t="n"/>
      <c r="S42" s="16" t="n">
        <v>64</v>
      </c>
      <c r="T42" s="124">
        <f>IF(S42="","",COUNTIFS($C$18:$C$2015,S$13,$D$18:$D$2015,"&gt;="&amp;S42,$D$18:$D$2015,"&lt;"&amp;S43))</f>
        <v/>
      </c>
      <c r="U42" s="14" t="n"/>
      <c r="V42" s="16" t="n">
        <v>64</v>
      </c>
      <c r="W42" s="124">
        <f>IF(V42="","",COUNTIFS($C$18:$C$2015,V$13,$D$18:$D$2015,"&gt;="&amp;V42,$D$18:$D$2015,"&lt;"&amp;V43))</f>
        <v/>
      </c>
      <c r="X42" s="14" t="n"/>
      <c r="Y42" s="16" t="n">
        <v>64</v>
      </c>
      <c r="Z42" s="124">
        <f>IF(Y42="","",COUNTIFS($C$18:$C$2015,Y$13,$D$18:$D$2015,"&gt;="&amp;Y42,$D$18:$D$2015,"&lt;"&amp;Y43))</f>
        <v/>
      </c>
      <c r="AA42" s="14" t="n"/>
      <c r="AB42" s="16" t="n">
        <v>37</v>
      </c>
      <c r="AC42" s="124">
        <f>IF(AB42="","",COUNTIFS($C$18:$C$2015,AB$13,$D$18:$D$2015,"&gt;="&amp;AB42,$D$18:$D$2015,"&lt;"&amp;AB43))</f>
        <v/>
      </c>
      <c r="AD42" s="14" t="n"/>
    </row>
    <row r="43">
      <c r="A43" s="58" t="n"/>
      <c r="B43" s="59" t="n"/>
      <c r="C43" s="59" t="n"/>
      <c r="E43" s="16" t="n"/>
      <c r="F43" s="13" t="n"/>
      <c r="G43" s="16" t="n">
        <v>38</v>
      </c>
      <c r="H43" s="124">
        <f>IF(G43="","",COUNTIFS($C$18:$C$2015,G$13,$D$18:$D$2015,"&gt;="&amp;G43,$D$18:$D$2015,"&lt;"&amp;G44))</f>
        <v/>
      </c>
      <c r="I43" s="14" t="n"/>
      <c r="J43" s="16" t="n">
        <v>150</v>
      </c>
      <c r="K43" s="124">
        <f>IF(J43="","",COUNTIFS($C$18:$C$2015,J$13,$D$18:$D$2015,"&gt;="&amp;J43,$D$18:$D$2015,"&lt;"&amp;J44))</f>
        <v/>
      </c>
      <c r="L43" s="14" t="n"/>
      <c r="M43" s="16" t="n">
        <v>66</v>
      </c>
      <c r="N43" s="124">
        <f>IF(M43="","",COUNTIFS($C$18:$C$2015,M$13,$D$18:$D$2015,"&gt;="&amp;M43,$D$18:$D$2015,"&lt;"&amp;M44))</f>
        <v/>
      </c>
      <c r="O43" s="14" t="n"/>
      <c r="P43" s="16" t="n">
        <v>38</v>
      </c>
      <c r="Q43" s="124">
        <f>IF(P43="","",COUNTIFS($C$18:$C$2015,P$13,$D$18:$D$2015,"&gt;="&amp;P43,$D$18:$D$2015,"&lt;"&amp;P44))</f>
        <v/>
      </c>
      <c r="R43" s="14" t="n"/>
      <c r="S43" s="16" t="n">
        <v>66</v>
      </c>
      <c r="T43" s="124">
        <f>IF(S43="","",COUNTIFS($C$18:$C$2015,S$13,$D$18:$D$2015,"&gt;="&amp;S43,$D$18:$D$2015,"&lt;"&amp;S44))</f>
        <v/>
      </c>
      <c r="U43" s="14" t="n"/>
      <c r="V43" s="16" t="n">
        <v>66</v>
      </c>
      <c r="W43" s="124">
        <f>IF(V43="","",COUNTIFS($C$18:$C$2015,V$13,$D$18:$D$2015,"&gt;="&amp;V43,$D$18:$D$2015,"&lt;"&amp;V44))</f>
        <v/>
      </c>
      <c r="X43" s="14" t="n"/>
      <c r="Y43" s="16" t="n">
        <v>66</v>
      </c>
      <c r="Z43" s="124">
        <f>IF(Y43="","",COUNTIFS($C$18:$C$2015,Y$13,$D$18:$D$2015,"&gt;="&amp;Y43,$D$18:$D$2015,"&lt;"&amp;Y44))</f>
        <v/>
      </c>
      <c r="AA43" s="14" t="n"/>
      <c r="AB43" s="16" t="n">
        <v>38</v>
      </c>
      <c r="AC43" s="124">
        <f>IF(AB43="","",COUNTIFS($C$18:$C$2015,AB$13,$D$18:$D$2015,"&gt;="&amp;AB43,$D$18:$D$2015,"&lt;"&amp;AB44))</f>
        <v/>
      </c>
      <c r="AD43" s="14" t="n"/>
    </row>
    <row r="44">
      <c r="A44" s="56" t="n"/>
      <c r="B44" s="59" t="n"/>
      <c r="C44" s="59" t="n"/>
      <c r="E44" s="16" t="n"/>
      <c r="F44" s="13" t="n"/>
      <c r="G44" s="16" t="n">
        <v>39</v>
      </c>
      <c r="H44" s="124">
        <f>IF(G44="","",COUNTIFS($C$18:$C$2015,G$13,$D$18:$D$2015,"&gt;="&amp;G44,$D$18:$D$2015,"&lt;"&amp;G45))</f>
        <v/>
      </c>
      <c r="I44" s="14" t="n"/>
      <c r="J44" s="16" t="n"/>
      <c r="K44" s="124">
        <f>IF(J44="","",COUNTIFS($C$18:$C$2015,J$13,$D$18:$D$2015,"&gt;="&amp;J44,$D$18:$D$2015,"&lt;"&amp;J45))</f>
        <v/>
      </c>
      <c r="L44" s="14" t="n"/>
      <c r="M44" s="16" t="n">
        <v>68</v>
      </c>
      <c r="N44" s="124">
        <f>IF(M44="","",COUNTIFS($C$18:$C$2015,M$13,$D$18:$D$2015,"&gt;="&amp;M44,$D$18:$D$2015,"&lt;"&amp;M45))</f>
        <v/>
      </c>
      <c r="O44" s="14" t="n"/>
      <c r="P44" s="16" t="n">
        <v>39</v>
      </c>
      <c r="Q44" s="124">
        <f>IF(P44="","",COUNTIFS($C$18:$C$2015,P$13,$D$18:$D$2015,"&gt;="&amp;P44,$D$18:$D$2015,"&lt;"&amp;P45))</f>
        <v/>
      </c>
      <c r="R44" s="14" t="n"/>
      <c r="S44" s="16" t="n">
        <v>68</v>
      </c>
      <c r="T44" s="124">
        <f>IF(S44="","",COUNTIFS($C$18:$C$2015,S$13,$D$18:$D$2015,"&gt;="&amp;S44,$D$18:$D$2015,"&lt;"&amp;S45))</f>
        <v/>
      </c>
      <c r="U44" s="14" t="n"/>
      <c r="V44" s="16" t="n">
        <v>68</v>
      </c>
      <c r="W44" s="124">
        <f>IF(V44="","",COUNTIFS($C$18:$C$2015,V$13,$D$18:$D$2015,"&gt;="&amp;V44,$D$18:$D$2015,"&lt;"&amp;V45))</f>
        <v/>
      </c>
      <c r="X44" s="14" t="n"/>
      <c r="Y44" s="16" t="n">
        <v>68</v>
      </c>
      <c r="Z44" s="124">
        <f>IF(Y44="","",COUNTIFS($C$18:$C$2015,Y$13,$D$18:$D$2015,"&gt;="&amp;Y44,$D$18:$D$2015,"&lt;"&amp;Y45))</f>
        <v/>
      </c>
      <c r="AA44" s="14" t="n"/>
      <c r="AB44" s="16" t="n">
        <v>39</v>
      </c>
      <c r="AC44" s="124">
        <f>IF(AB44="","",COUNTIFS($C$18:$C$2015,AB$13,$D$18:$D$2015,"&gt;="&amp;AB44,$D$18:$D$2015,"&lt;"&amp;AB45))</f>
        <v/>
      </c>
      <c r="AD44" s="14" t="n"/>
    </row>
    <row r="45">
      <c r="A45" s="58" t="n"/>
      <c r="B45" s="59" t="n"/>
      <c r="C45" s="59" t="n"/>
      <c r="E45" s="16" t="n"/>
      <c r="F45" s="13" t="n"/>
      <c r="G45" s="16" t="n">
        <v>40</v>
      </c>
      <c r="H45" s="124">
        <f>IF(G45="","",COUNTIFS($C$18:$C$2015,G$13,$D$18:$D$2015,"&gt;="&amp;G45,$D$18:$D$2015,"&lt;"&amp;G46))</f>
        <v/>
      </c>
      <c r="I45" s="14" t="n"/>
      <c r="J45" s="16" t="n"/>
      <c r="K45" s="124">
        <f>IF(J45="","",COUNTIFS($C$18:$C$2015,J$13,$D$18:$D$2015,"&gt;="&amp;J45,$D$18:$D$2015,"&lt;"&amp;J46))</f>
        <v/>
      </c>
      <c r="L45" s="14" t="n"/>
      <c r="M45" s="16" t="n">
        <v>70</v>
      </c>
      <c r="N45" s="124">
        <f>IF(M45="","",COUNTIFS($C$18:$C$2015,M$13,$D$18:$D$2015,"&gt;="&amp;M45,$D$18:$D$2015,"&lt;"&amp;M46))</f>
        <v/>
      </c>
      <c r="O45" s="14" t="n"/>
      <c r="P45" s="16" t="n">
        <v>40</v>
      </c>
      <c r="Q45" s="124">
        <f>IF(P45="","",COUNTIFS($C$18:$C$2015,P$13,$D$18:$D$2015,"&gt;="&amp;P45,$D$18:$D$2015,"&lt;"&amp;P46))</f>
        <v/>
      </c>
      <c r="R45" s="14" t="n"/>
      <c r="S45" s="16" t="n">
        <v>70</v>
      </c>
      <c r="T45" s="124">
        <f>IF(S45="","",COUNTIFS($C$18:$C$2015,S$13,$D$18:$D$2015,"&gt;="&amp;S45,$D$18:$D$2015,"&lt;"&amp;S46))</f>
        <v/>
      </c>
      <c r="U45" s="14" t="n"/>
      <c r="V45" s="16" t="n">
        <v>70</v>
      </c>
      <c r="W45" s="124">
        <f>IF(V45="","",COUNTIFS($C$18:$C$2015,V$13,$D$18:$D$2015,"&gt;="&amp;V45,$D$18:$D$2015,"&lt;"&amp;V46))</f>
        <v/>
      </c>
      <c r="X45" s="14" t="n"/>
      <c r="Y45" s="16" t="n">
        <v>70</v>
      </c>
      <c r="Z45" s="124">
        <f>IF(Y45="","",COUNTIFS($C$18:$C$2015,Y$13,$D$18:$D$2015,"&gt;="&amp;Y45,$D$18:$D$2015,"&lt;"&amp;Y46))</f>
        <v/>
      </c>
      <c r="AA45" s="14" t="n"/>
      <c r="AB45" s="16" t="n">
        <v>40</v>
      </c>
      <c r="AC45" s="124">
        <f>IF(AB45="","",COUNTIFS($C$18:$C$2015,AB$13,$D$18:$D$2015,"&gt;="&amp;AB45,$D$18:$D$2015,"&lt;"&amp;AB46))</f>
        <v/>
      </c>
      <c r="AD45" s="14" t="n"/>
    </row>
    <row r="46">
      <c r="A46" s="56" t="n"/>
      <c r="B46" s="59" t="n"/>
      <c r="C46" s="59" t="n"/>
      <c r="E46" s="16" t="n"/>
      <c r="F46" s="13" t="n"/>
      <c r="G46" s="16" t="n">
        <v>41</v>
      </c>
      <c r="H46" s="124">
        <f>IF(G46="","",COUNTIFS($C$18:$C$2015,G$13,$D$18:$D$2015,"&gt;="&amp;G46,$D$18:$D$2015,"&lt;"&amp;G47))</f>
        <v/>
      </c>
      <c r="I46" s="14" t="n"/>
      <c r="J46" s="16" t="n"/>
      <c r="K46" s="124">
        <f>IF(J46="","",COUNTIFS($C$18:$C$2015,J$13,$D$18:$D$2015,"&gt;="&amp;J46,$D$18:$D$2015,"&lt;"&amp;J47))</f>
        <v/>
      </c>
      <c r="L46" s="14" t="n"/>
      <c r="M46" s="16" t="n">
        <v>72</v>
      </c>
      <c r="N46" s="124">
        <f>IF(M46="","",COUNTIFS($C$18:$C$2015,M$13,$D$18:$D$2015,"&gt;="&amp;M46,$D$18:$D$2015,"&lt;"&amp;M47))</f>
        <v/>
      </c>
      <c r="O46" s="14" t="n"/>
      <c r="P46" s="16" t="n">
        <v>41</v>
      </c>
      <c r="Q46" s="124">
        <f>IF(P46="","",COUNTIFS($C$18:$C$2015,P$13,$D$18:$D$2015,"&gt;="&amp;P46,$D$18:$D$2015,"&lt;"&amp;P47))</f>
        <v/>
      </c>
      <c r="R46" s="14" t="n"/>
      <c r="S46" s="16" t="n">
        <v>72</v>
      </c>
      <c r="T46" s="124">
        <f>IF(S46="","",COUNTIFS($C$18:$C$2015,S$13,$D$18:$D$2015,"&gt;="&amp;S46,$D$18:$D$2015,"&lt;"&amp;S47))</f>
        <v/>
      </c>
      <c r="U46" s="14" t="n"/>
      <c r="V46" s="16" t="n">
        <v>72</v>
      </c>
      <c r="W46" s="124">
        <f>IF(V46="","",COUNTIFS($C$18:$C$2015,V$13,$D$18:$D$2015,"&gt;="&amp;V46,$D$18:$D$2015,"&lt;"&amp;V47))</f>
        <v/>
      </c>
      <c r="X46" s="14" t="n"/>
      <c r="Y46" s="16" t="n">
        <v>72</v>
      </c>
      <c r="Z46" s="124">
        <f>IF(Y46="","",COUNTIFS($C$18:$C$2015,Y$13,$D$18:$D$2015,"&gt;="&amp;Y46,$D$18:$D$2015,"&lt;"&amp;Y47))</f>
        <v/>
      </c>
      <c r="AA46" s="14" t="n"/>
      <c r="AB46" s="16" t="n">
        <v>41</v>
      </c>
      <c r="AC46" s="124">
        <f>IF(AB46="","",COUNTIFS($C$18:$C$2015,AB$13,$D$18:$D$2015,"&gt;="&amp;AB46,$D$18:$D$2015,"&lt;"&amp;AB47))</f>
        <v/>
      </c>
      <c r="AD46" s="14" t="n"/>
    </row>
    <row r="47">
      <c r="A47" s="58" t="n"/>
      <c r="B47" s="59" t="n"/>
      <c r="C47" s="59" t="n"/>
      <c r="E47" s="16" t="n"/>
      <c r="F47" s="13" t="n"/>
      <c r="G47" s="16" t="n">
        <v>42</v>
      </c>
      <c r="H47" s="124">
        <f>IF(G47="","",COUNTIFS($C$18:$C$2015,G$13,$D$18:$D$2015,"&gt;="&amp;G47,$D$18:$D$2015,"&lt;"&amp;G48))</f>
        <v/>
      </c>
      <c r="I47" s="14" t="n"/>
      <c r="J47" s="16" t="n"/>
      <c r="K47" s="124">
        <f>IF(J47="","",COUNTIFS($C$18:$C$2015,J$13,$D$18:$D$2015,"&gt;="&amp;J47,$D$18:$D$2015,"&lt;"&amp;J48))</f>
        <v/>
      </c>
      <c r="L47" s="14" t="n"/>
      <c r="M47" s="16" t="n">
        <v>74</v>
      </c>
      <c r="N47" s="124">
        <f>IF(M47="","",COUNTIFS($C$18:$C$2015,M$13,$D$18:$D$2015,"&gt;="&amp;M47,$D$18:$D$2015,"&lt;"&amp;M48))</f>
        <v/>
      </c>
      <c r="O47" s="14" t="n"/>
      <c r="P47" s="16" t="n">
        <v>42</v>
      </c>
      <c r="Q47" s="124">
        <f>IF(P47="","",COUNTIFS($C$18:$C$2015,P$13,$D$18:$D$2015,"&gt;="&amp;P47,$D$18:$D$2015,"&lt;"&amp;P48))</f>
        <v/>
      </c>
      <c r="R47" s="14" t="n"/>
      <c r="S47" s="16" t="n">
        <v>74</v>
      </c>
      <c r="T47" s="124">
        <f>IF(S47="","",COUNTIFS($C$18:$C$2015,S$13,$D$18:$D$2015,"&gt;="&amp;S47,$D$18:$D$2015,"&lt;"&amp;S48))</f>
        <v/>
      </c>
      <c r="U47" s="14" t="n"/>
      <c r="V47" s="16" t="n">
        <v>74</v>
      </c>
      <c r="W47" s="124">
        <f>IF(V47="","",COUNTIFS($C$18:$C$2015,V$13,$D$18:$D$2015,"&gt;="&amp;V47,$D$18:$D$2015,"&lt;"&amp;V48))</f>
        <v/>
      </c>
      <c r="X47" s="14" t="n"/>
      <c r="Y47" s="16" t="n">
        <v>74</v>
      </c>
      <c r="Z47" s="124">
        <f>IF(Y47="","",COUNTIFS($C$18:$C$2015,Y$13,$D$18:$D$2015,"&gt;="&amp;Y47,$D$18:$D$2015,"&lt;"&amp;Y48))</f>
        <v/>
      </c>
      <c r="AA47" s="14" t="n"/>
      <c r="AB47" s="16" t="n">
        <v>42</v>
      </c>
      <c r="AC47" s="124">
        <f>IF(AB47="","",COUNTIFS($C$18:$C$2015,AB$13,$D$18:$D$2015,"&gt;="&amp;AB47,$D$18:$D$2015,"&lt;"&amp;AB48))</f>
        <v/>
      </c>
      <c r="AD47" s="14" t="n"/>
    </row>
    <row r="48">
      <c r="A48" s="56" t="n"/>
      <c r="B48" s="59" t="n"/>
      <c r="C48" s="59" t="n"/>
      <c r="E48" s="16" t="n"/>
      <c r="F48" s="13" t="n"/>
      <c r="G48" s="16" t="n">
        <v>43</v>
      </c>
      <c r="H48" s="124">
        <f>IF(G48="","",COUNTIFS($C$18:$C$2015,G$13,$D$18:$D$2015,"&gt;="&amp;G48,$D$18:$D$2015,"&lt;"&amp;G49))</f>
        <v/>
      </c>
      <c r="I48" s="14" t="n"/>
      <c r="J48" s="16" t="n"/>
      <c r="K48" s="124">
        <f>IF(J48="","",COUNTIFS($C$18:$C$2015,J$13,$D$18:$D$2015,"&gt;="&amp;J48,$D$18:$D$2015,"&lt;"&amp;J49))</f>
        <v/>
      </c>
      <c r="L48" s="14" t="n"/>
      <c r="M48" s="16" t="n">
        <v>76</v>
      </c>
      <c r="N48" s="124">
        <f>IF(M48="","",COUNTIFS($C$18:$C$2015,M$13,$D$18:$D$2015,"&gt;="&amp;M48,$D$18:$D$2015,"&lt;"&amp;M49))</f>
        <v/>
      </c>
      <c r="O48" s="14" t="n"/>
      <c r="P48" s="16" t="n">
        <v>43</v>
      </c>
      <c r="Q48" s="124">
        <f>IF(P48="","",COUNTIFS($C$18:$C$2015,P$13,$D$18:$D$2015,"&gt;="&amp;P48,$D$18:$D$2015,"&lt;"&amp;P49))</f>
        <v/>
      </c>
      <c r="R48" s="14" t="n"/>
      <c r="S48" s="16" t="n">
        <v>76</v>
      </c>
      <c r="T48" s="124">
        <f>IF(S48="","",COUNTIFS($C$18:$C$2015,S$13,$D$18:$D$2015,"&gt;="&amp;S48,$D$18:$D$2015,"&lt;"&amp;S49))</f>
        <v/>
      </c>
      <c r="U48" s="14" t="n"/>
      <c r="V48" s="16" t="n">
        <v>76</v>
      </c>
      <c r="W48" s="124">
        <f>IF(V48="","",COUNTIFS($C$18:$C$2015,V$13,$D$18:$D$2015,"&gt;="&amp;V48,$D$18:$D$2015,"&lt;"&amp;V49))</f>
        <v/>
      </c>
      <c r="X48" s="14" t="n"/>
      <c r="Y48" s="16" t="n">
        <v>76</v>
      </c>
      <c r="Z48" s="124">
        <f>IF(Y48="","",COUNTIFS($C$18:$C$2015,Y$13,$D$18:$D$2015,"&gt;="&amp;Y48,$D$18:$D$2015,"&lt;"&amp;Y49))</f>
        <v/>
      </c>
      <c r="AA48" s="14" t="n"/>
      <c r="AB48" s="16" t="n">
        <v>43</v>
      </c>
      <c r="AC48" s="124">
        <f>IF(AB48="","",COUNTIFS($C$18:$C$2015,AB$13,$D$18:$D$2015,"&gt;="&amp;AB48,$D$18:$D$2015,"&lt;"&amp;AB49))</f>
        <v/>
      </c>
      <c r="AD48" s="14" t="n"/>
    </row>
    <row r="49">
      <c r="A49" s="58" t="n"/>
      <c r="B49" s="59" t="n"/>
      <c r="C49" s="59" t="n"/>
      <c r="E49" s="16" t="n"/>
      <c r="F49" s="13" t="n"/>
      <c r="G49" s="16" t="n">
        <v>44</v>
      </c>
      <c r="H49" s="124">
        <f>IF(G49="","",COUNTIFS($C$18:$C$2015,G$13,$D$18:$D$2015,"&gt;="&amp;G49,$D$18:$D$2015,"&lt;"&amp;G50))</f>
        <v/>
      </c>
      <c r="I49" s="14" t="n"/>
      <c r="J49" s="16" t="n"/>
      <c r="K49" s="124">
        <f>IF(J49="","",COUNTIFS($C$18:$C$2015,J$13,$D$18:$D$2015,"&gt;="&amp;J49,$D$18:$D$2015,"&lt;"&amp;J50))</f>
        <v/>
      </c>
      <c r="L49" s="14" t="n"/>
      <c r="M49" s="16" t="n">
        <v>78</v>
      </c>
      <c r="N49" s="124">
        <f>IF(M49="","",COUNTIFS($C$18:$C$2015,M$13,$D$18:$D$2015,"&gt;="&amp;M49,$D$18:$D$2015,"&lt;"&amp;M50))</f>
        <v/>
      </c>
      <c r="O49" s="14" t="n"/>
      <c r="P49" s="16" t="n">
        <v>44</v>
      </c>
      <c r="Q49" s="124">
        <f>IF(P49="","",COUNTIFS($C$18:$C$2015,P$13,$D$18:$D$2015,"&gt;="&amp;P49,$D$18:$D$2015,"&lt;"&amp;P50))</f>
        <v/>
      </c>
      <c r="R49" s="14" t="n"/>
      <c r="S49" s="16" t="n">
        <v>78</v>
      </c>
      <c r="T49" s="124">
        <f>IF(S49="","",COUNTIFS($C$18:$C$2015,S$13,$D$18:$D$2015,"&gt;="&amp;S49,$D$18:$D$2015,"&lt;"&amp;S50))</f>
        <v/>
      </c>
      <c r="U49" s="14" t="n"/>
      <c r="V49" s="16" t="n">
        <v>78</v>
      </c>
      <c r="W49" s="124">
        <f>IF(V49="","",COUNTIFS($C$18:$C$2015,V$13,$D$18:$D$2015,"&gt;="&amp;V49,$D$18:$D$2015,"&lt;"&amp;V50))</f>
        <v/>
      </c>
      <c r="X49" s="14" t="n"/>
      <c r="Y49" s="16" t="n">
        <v>78</v>
      </c>
      <c r="Z49" s="124">
        <f>IF(Y49="","",COUNTIFS($C$18:$C$2015,Y$13,$D$18:$D$2015,"&gt;="&amp;Y49,$D$18:$D$2015,"&lt;"&amp;Y50))</f>
        <v/>
      </c>
      <c r="AA49" s="14" t="n"/>
      <c r="AB49" s="16" t="n">
        <v>44</v>
      </c>
      <c r="AC49" s="124">
        <f>IF(AB49="","",COUNTIFS($C$18:$C$2015,AB$13,$D$18:$D$2015,"&gt;="&amp;AB49,$D$18:$D$2015,"&lt;"&amp;AB50))</f>
        <v/>
      </c>
      <c r="AD49" s="14" t="n"/>
    </row>
    <row r="50">
      <c r="A50" s="56" t="n"/>
      <c r="B50" s="59" t="n"/>
      <c r="C50" s="59" t="n"/>
      <c r="E50" s="16" t="n"/>
      <c r="F50" s="13" t="n"/>
      <c r="G50" s="16" t="n">
        <v>45</v>
      </c>
      <c r="H50" s="124">
        <f>IF(G50="","",COUNTIFS($C$18:$C$2015,G$13,$D$18:$D$2015,"&gt;="&amp;G50,$D$18:$D$2015,"&lt;"&amp;G51))</f>
        <v/>
      </c>
      <c r="I50" s="14" t="n"/>
      <c r="J50" s="16" t="n"/>
      <c r="K50" s="124">
        <f>IF(J50="","",COUNTIFS($C$18:$C$2015,J$13,$D$18:$D$2015,"&gt;="&amp;J50,$D$18:$D$2015,"&lt;"&amp;J51))</f>
        <v/>
      </c>
      <c r="L50" s="14" t="n"/>
      <c r="M50" s="16" t="n">
        <v>80</v>
      </c>
      <c r="N50" s="124">
        <f>IF(M50="","",COUNTIFS($C$18:$C$2015,M$13,$D$18:$D$2015,"&gt;="&amp;M50,$D$18:$D$2015,"&lt;"&amp;M51))</f>
        <v/>
      </c>
      <c r="O50" s="14" t="n"/>
      <c r="P50" s="16" t="n">
        <v>45</v>
      </c>
      <c r="Q50" s="124">
        <f>IF(P50="","",COUNTIFS($C$18:$C$2015,P$13,$D$18:$D$2015,"&gt;="&amp;P50,$D$18:$D$2015,"&lt;"&amp;P51))</f>
        <v/>
      </c>
      <c r="R50" s="14" t="n"/>
      <c r="S50" s="16" t="n">
        <v>80</v>
      </c>
      <c r="T50" s="124">
        <f>IF(S50="","",COUNTIFS($C$18:$C$2015,S$13,$D$18:$D$2015,"&gt;="&amp;S50,$D$18:$D$2015,"&lt;"&amp;S51))</f>
        <v/>
      </c>
      <c r="U50" s="14" t="n"/>
      <c r="V50" s="16" t="n">
        <v>80</v>
      </c>
      <c r="W50" s="124">
        <f>IF(V50="","",COUNTIFS($C$18:$C$2015,V$13,$D$18:$D$2015,"&gt;="&amp;V50,$D$18:$D$2015,"&lt;"&amp;V51))</f>
        <v/>
      </c>
      <c r="X50" s="14" t="n"/>
      <c r="Y50" s="16" t="n">
        <v>80</v>
      </c>
      <c r="Z50" s="124">
        <f>IF(Y50="","",COUNTIFS($C$18:$C$2015,Y$13,$D$18:$D$2015,"&gt;="&amp;Y50,$D$18:$D$2015,"&lt;"&amp;Y51))</f>
        <v/>
      </c>
      <c r="AA50" s="14" t="n"/>
      <c r="AB50" s="16" t="n">
        <v>45</v>
      </c>
      <c r="AC50" s="124">
        <f>IF(AB50="","",COUNTIFS($C$18:$C$2015,AB$13,$D$18:$D$2015,"&gt;="&amp;AB50,$D$18:$D$2015,"&lt;"&amp;AB51))</f>
        <v/>
      </c>
      <c r="AD50" s="14" t="n"/>
    </row>
    <row r="51">
      <c r="A51" s="58" t="n"/>
      <c r="B51" s="59" t="n"/>
      <c r="C51" s="59" t="n"/>
      <c r="E51" s="16" t="n"/>
      <c r="F51" s="13" t="n"/>
      <c r="G51" s="16" t="n">
        <v>46</v>
      </c>
      <c r="H51" s="124">
        <f>IF(G51="","",COUNTIFS($C$18:$C$2015,G$13,$D$18:$D$2015,"&gt;="&amp;G51,$D$18:$D$2015,"&lt;"&amp;G52))</f>
        <v/>
      </c>
      <c r="I51" s="14" t="n"/>
      <c r="J51" s="16" t="n"/>
      <c r="K51" s="124">
        <f>IF(J51="","",COUNTIFS($C$18:$C$2015,J$13,$D$18:$D$2015,"&gt;="&amp;J51,$D$18:$D$2015,"&lt;"&amp;J52))</f>
        <v/>
      </c>
      <c r="L51" s="14" t="n"/>
      <c r="M51" s="16" t="n">
        <v>82</v>
      </c>
      <c r="N51" s="124">
        <f>IF(M51="","",COUNTIFS($C$18:$C$2015,M$13,$D$18:$D$2015,"&gt;="&amp;M51,$D$18:$D$2015,"&lt;"&amp;M52))</f>
        <v/>
      </c>
      <c r="O51" s="14" t="n"/>
      <c r="P51" s="16" t="n">
        <v>46</v>
      </c>
      <c r="Q51" s="124">
        <f>IF(P51="","",COUNTIFS($C$18:$C$2015,P$13,$D$18:$D$2015,"&gt;="&amp;P51,$D$18:$D$2015,"&lt;"&amp;P52))</f>
        <v/>
      </c>
      <c r="R51" s="14" t="n"/>
      <c r="S51" s="16" t="n">
        <v>82</v>
      </c>
      <c r="T51" s="124">
        <f>IF(S51="","",COUNTIFS($C$18:$C$2015,S$13,$D$18:$D$2015,"&gt;="&amp;S51,$D$18:$D$2015,"&lt;"&amp;S52))</f>
        <v/>
      </c>
      <c r="U51" s="14" t="n"/>
      <c r="V51" s="16" t="n"/>
      <c r="W51" s="124">
        <f>IF(V51="","",COUNTIFS($C$18:$C$2015,V$13,$D$18:$D$2015,"&gt;="&amp;V51,$D$18:$D$2015,"&lt;"&amp;V52))</f>
        <v/>
      </c>
      <c r="X51" s="14" t="n"/>
      <c r="Y51" s="16" t="n"/>
      <c r="Z51" s="124">
        <f>IF(Y51="","",COUNTIFS($C$18:$C$2015,Y$13,$D$18:$D$2015,"&gt;="&amp;Y51,$D$18:$D$2015,"&lt;"&amp;Y52))</f>
        <v/>
      </c>
      <c r="AA51" s="14" t="n"/>
      <c r="AB51" s="16" t="n">
        <v>46</v>
      </c>
      <c r="AC51" s="124">
        <f>IF(AB51="","",COUNTIFS($C$18:$C$2015,AB$13,$D$18:$D$2015,"&gt;="&amp;AB51,$D$18:$D$2015,"&lt;"&amp;AB52))</f>
        <v/>
      </c>
      <c r="AD51" s="14" t="n"/>
    </row>
    <row r="52">
      <c r="A52" s="56" t="n"/>
      <c r="B52" s="59" t="n"/>
      <c r="C52" s="59" t="n"/>
      <c r="E52" s="16" t="n"/>
      <c r="F52" s="13" t="n"/>
      <c r="G52" s="16" t="n">
        <v>47</v>
      </c>
      <c r="H52" s="124">
        <f>IF(G52="","",COUNTIFS($C$18:$C$2015,G$13,$D$18:$D$2015,"&gt;="&amp;G52,$D$18:$D$2015,"&lt;"&amp;G53))</f>
        <v/>
      </c>
      <c r="I52" s="14" t="n"/>
      <c r="J52" s="16" t="n"/>
      <c r="K52" s="124">
        <f>IF(J52="","",COUNTIFS($C$18:$C$2015,J$13,$D$18:$D$2015,"&gt;="&amp;J52,$D$18:$D$2015,"&lt;"&amp;J53))</f>
        <v/>
      </c>
      <c r="L52" s="14" t="n"/>
      <c r="M52" s="16" t="n">
        <v>84</v>
      </c>
      <c r="N52" s="124">
        <f>IF(M52="","",COUNTIFS($C$18:$C$2015,M$13,$D$18:$D$2015,"&gt;="&amp;M52,$D$18:$D$2015,"&lt;"&amp;M53))</f>
        <v/>
      </c>
      <c r="O52" s="14" t="n"/>
      <c r="P52" s="16" t="n">
        <v>47</v>
      </c>
      <c r="Q52" s="124">
        <f>IF(P52="","",COUNTIFS($C$18:$C$2015,P$13,$D$18:$D$2015,"&gt;="&amp;P52,$D$18:$D$2015,"&lt;"&amp;P53))</f>
        <v/>
      </c>
      <c r="R52" s="14" t="n"/>
      <c r="S52" s="16" t="n">
        <v>84</v>
      </c>
      <c r="T52" s="124">
        <f>IF(S52="","",COUNTIFS($C$18:$C$2015,S$13,$D$18:$D$2015,"&gt;="&amp;S52,$D$18:$D$2015,"&lt;"&amp;S53))</f>
        <v/>
      </c>
      <c r="U52" s="14" t="n"/>
      <c r="V52" s="16" t="n"/>
      <c r="W52" s="124">
        <f>IF(V52="","",COUNTIFS($C$18:$C$2015,V$13,$D$18:$D$2015,"&gt;="&amp;V52,$D$18:$D$2015,"&lt;"&amp;V53))</f>
        <v/>
      </c>
      <c r="X52" s="14" t="n"/>
      <c r="Y52" s="16" t="n"/>
      <c r="Z52" s="124">
        <f>IF(Y52="","",COUNTIFS($C$18:$C$2015,Y$13,$D$18:$D$2015,"&gt;="&amp;Y52,$D$18:$D$2015,"&lt;"&amp;Y53))</f>
        <v/>
      </c>
      <c r="AA52" s="14" t="n"/>
      <c r="AB52" s="16" t="n">
        <v>47</v>
      </c>
      <c r="AC52" s="124">
        <f>IF(AB52="","",COUNTIFS($C$18:$C$2015,AB$13,$D$18:$D$2015,"&gt;="&amp;AB52,$D$18:$D$2015,"&lt;"&amp;AB53))</f>
        <v/>
      </c>
      <c r="AD52" s="14" t="n"/>
    </row>
    <row r="53">
      <c r="A53" s="58" t="n"/>
      <c r="B53" s="59" t="n"/>
      <c r="C53" s="59" t="n"/>
      <c r="E53" s="16" t="n"/>
      <c r="F53" s="13" t="n"/>
      <c r="G53" s="16" t="n">
        <v>48</v>
      </c>
      <c r="H53" s="124">
        <f>IF(G53="","",COUNTIFS($C$18:$C$2015,G$13,$D$18:$D$2015,"&gt;="&amp;G53,$D$18:$D$2015,"&lt;"&amp;G54))</f>
        <v/>
      </c>
      <c r="I53" s="14" t="n"/>
      <c r="J53" s="16" t="n"/>
      <c r="K53" s="124">
        <f>IF(J53="","",COUNTIFS($C$18:$C$2015,J$13,$D$18:$D$2015,"&gt;="&amp;J53,$D$18:$D$2015,"&lt;"&amp;J54))</f>
        <v/>
      </c>
      <c r="L53" s="14" t="n"/>
      <c r="M53" s="16" t="n">
        <v>86</v>
      </c>
      <c r="N53" s="124">
        <f>IF(M53="","",COUNTIFS($C$18:$C$2015,M$13,$D$18:$D$2015,"&gt;="&amp;M53,$D$18:$D$2015,"&lt;"&amp;M54))</f>
        <v/>
      </c>
      <c r="O53" s="14" t="n"/>
      <c r="P53" s="16" t="n">
        <v>48</v>
      </c>
      <c r="Q53" s="124">
        <f>IF(P53="","",COUNTIFS($C$18:$C$2015,P$13,$D$18:$D$2015,"&gt;="&amp;P53,$D$18:$D$2015,"&lt;"&amp;P54))</f>
        <v/>
      </c>
      <c r="R53" s="14" t="n"/>
      <c r="S53" s="16" t="n">
        <v>86</v>
      </c>
      <c r="T53" s="124">
        <f>IF(S53="","",COUNTIFS($C$18:$C$2015,S$13,$D$18:$D$2015,"&gt;="&amp;S53,$D$18:$D$2015,"&lt;"&amp;S54))</f>
        <v/>
      </c>
      <c r="U53" s="14" t="n"/>
      <c r="V53" s="16" t="n"/>
      <c r="W53" s="124">
        <f>IF(V53="","",COUNTIFS($C$18:$C$2015,V$13,$D$18:$D$2015,"&gt;="&amp;V53,$D$18:$D$2015,"&lt;"&amp;V54))</f>
        <v/>
      </c>
      <c r="X53" s="14" t="n"/>
      <c r="Y53" s="16" t="n"/>
      <c r="Z53" s="124">
        <f>IF(Y53="","",COUNTIFS($C$18:$C$2015,Y$13,$D$18:$D$2015,"&gt;="&amp;Y53,$D$18:$D$2015,"&lt;"&amp;Y54))</f>
        <v/>
      </c>
      <c r="AA53" s="14" t="n"/>
      <c r="AB53" s="16" t="n">
        <v>48</v>
      </c>
      <c r="AC53" s="124">
        <f>IF(AB53="","",COUNTIFS($C$18:$C$2015,AB$13,$D$18:$D$2015,"&gt;="&amp;AB53,$D$18:$D$2015,"&lt;"&amp;AB54))</f>
        <v/>
      </c>
      <c r="AD53" s="14" t="n"/>
    </row>
    <row r="54">
      <c r="A54" s="56" t="n"/>
      <c r="B54" s="59" t="n"/>
      <c r="C54" s="59" t="n"/>
      <c r="E54" s="16" t="n"/>
      <c r="F54" s="13" t="n"/>
      <c r="G54" s="16" t="n">
        <v>49</v>
      </c>
      <c r="H54" s="124">
        <f>IF(G54="","",COUNTIFS($C$18:$C$2015,G$13,$D$18:$D$2015,"&gt;="&amp;G54,$D$18:$D$2015,"&lt;"&amp;G55))</f>
        <v/>
      </c>
      <c r="I54" s="14" t="n"/>
      <c r="J54" s="16" t="n"/>
      <c r="K54" s="124">
        <f>IF(J54="","",COUNTIFS($C$18:$C$2015,J$13,$D$18:$D$2015,"&gt;="&amp;J54,$D$18:$D$2015,"&lt;"&amp;J55))</f>
        <v/>
      </c>
      <c r="L54" s="14" t="n"/>
      <c r="M54" s="16" t="n">
        <v>88</v>
      </c>
      <c r="N54" s="124">
        <f>IF(M54="","",COUNTIFS($C$18:$C$2015,M$13,$D$18:$D$2015,"&gt;="&amp;M54,$D$18:$D$2015,"&lt;"&amp;M55))</f>
        <v/>
      </c>
      <c r="O54" s="14" t="n"/>
      <c r="P54" s="16" t="n">
        <v>49</v>
      </c>
      <c r="Q54" s="124">
        <f>IF(P54="","",COUNTIFS($C$18:$C$2015,P$13,$D$18:$D$2015,"&gt;="&amp;P54,$D$18:$D$2015,"&lt;"&amp;P55))</f>
        <v/>
      </c>
      <c r="R54" s="14" t="n"/>
      <c r="S54" s="16" t="n">
        <v>88</v>
      </c>
      <c r="T54" s="124">
        <f>IF(S54="","",COUNTIFS($C$18:$C$2015,S$13,$D$18:$D$2015,"&gt;="&amp;S54,$D$18:$D$2015,"&lt;"&amp;S55))</f>
        <v/>
      </c>
      <c r="U54" s="14" t="n"/>
      <c r="V54" s="16" t="n"/>
      <c r="W54" s="124">
        <f>IF(V54="","",COUNTIFS($C$18:$C$2015,V$13,$D$18:$D$2015,"&gt;="&amp;V54,$D$18:$D$2015,"&lt;"&amp;V55))</f>
        <v/>
      </c>
      <c r="X54" s="14" t="n"/>
      <c r="Y54" s="16" t="n"/>
      <c r="Z54" s="124">
        <f>IF(Y54="","",COUNTIFS($C$18:$C$2015,Y$13,$D$18:$D$2015,"&gt;="&amp;Y54,$D$18:$D$2015,"&lt;"&amp;Y55))</f>
        <v/>
      </c>
      <c r="AA54" s="14" t="n"/>
      <c r="AB54" s="16" t="n">
        <v>49</v>
      </c>
      <c r="AC54" s="124">
        <f>IF(AB54="","",COUNTIFS($C$18:$C$2015,AB$13,$D$18:$D$2015,"&gt;="&amp;AB54,$D$18:$D$2015,"&lt;"&amp;AB55))</f>
        <v/>
      </c>
      <c r="AD54" s="14" t="n"/>
    </row>
    <row r="55">
      <c r="A55" s="58" t="n"/>
      <c r="B55" s="59" t="n"/>
      <c r="C55" s="59" t="n"/>
      <c r="E55" s="16" t="n"/>
      <c r="F55" s="13" t="n"/>
      <c r="G55" s="16" t="n">
        <v>50</v>
      </c>
      <c r="H55" s="124">
        <f>IF(G55="","",COUNTIFS($C$18:$C$2015,G$13,$D$18:$D$2015,"&gt;="&amp;G55,$D$18:$D$2015,"&lt;"&amp;G56))</f>
        <v/>
      </c>
      <c r="I55" s="14" t="n"/>
      <c r="J55" s="16" t="n"/>
      <c r="K55" s="124">
        <f>IF(J55="","",COUNTIFS($C$18:$C$2015,J$13,$D$18:$D$2015,"&gt;="&amp;J55,$D$18:$D$2015,"&lt;"&amp;J56))</f>
        <v/>
      </c>
      <c r="L55" s="14" t="n"/>
      <c r="M55" s="16" t="n">
        <v>90</v>
      </c>
      <c r="N55" s="124">
        <f>IF(M55="","",COUNTIFS($C$18:$C$2015,M$13,$D$18:$D$2015,"&gt;="&amp;M55,$D$18:$D$2015,"&lt;"&amp;M56))</f>
        <v/>
      </c>
      <c r="O55" s="14" t="n"/>
      <c r="P55" s="16" t="n">
        <v>50</v>
      </c>
      <c r="Q55" s="124">
        <f>IF(P55="","",COUNTIFS($C$18:$C$2015,P$13,$D$18:$D$2015,"&gt;="&amp;P55,$D$18:$D$2015,"&lt;"&amp;P56))</f>
        <v/>
      </c>
      <c r="R55" s="14" t="n"/>
      <c r="S55" s="16" t="n">
        <v>90</v>
      </c>
      <c r="T55" s="124">
        <f>IF(S55="","",COUNTIFS($C$18:$C$2015,S$13,$D$18:$D$2015,"&gt;="&amp;S55,$D$18:$D$2015,"&lt;"&amp;S56))</f>
        <v/>
      </c>
      <c r="U55" s="14" t="n"/>
      <c r="V55" s="16" t="n"/>
      <c r="W55" s="124">
        <f>IF(V55="","",COUNTIFS($C$18:$C$2015,V$13,$D$18:$D$2015,"&gt;="&amp;V55,$D$18:$D$2015,"&lt;"&amp;V56))</f>
        <v/>
      </c>
      <c r="X55" s="14" t="n"/>
      <c r="Y55" s="16" t="n"/>
      <c r="Z55" s="124">
        <f>IF(Y55="","",COUNTIFS($C$18:$C$2015,Y$13,$D$18:$D$2015,"&gt;="&amp;Y55,$D$18:$D$2015,"&lt;"&amp;Y56))</f>
        <v/>
      </c>
      <c r="AA55" s="14" t="n"/>
      <c r="AB55" s="16" t="n">
        <v>50</v>
      </c>
      <c r="AC55" s="124">
        <f>IF(AB55="","",COUNTIFS($C$18:$C$2015,AB$13,$D$18:$D$2015,"&gt;="&amp;AB55,$D$18:$D$2015,"&lt;"&amp;AB56))</f>
        <v/>
      </c>
      <c r="AD55" s="14" t="n"/>
    </row>
    <row r="56">
      <c r="A56" s="56" t="n"/>
      <c r="B56" s="59" t="n"/>
      <c r="C56" s="59" t="n"/>
      <c r="E56" s="16" t="n"/>
      <c r="F56" s="13" t="n"/>
      <c r="G56" s="16" t="n">
        <v>51</v>
      </c>
      <c r="H56" s="124">
        <f>IF(G56="","",COUNTIFS($C$18:$C$2015,G$13,$D$18:$D$2015,"&gt;="&amp;G56,$D$18:$D$2015,"&lt;"&amp;G57))</f>
        <v/>
      </c>
      <c r="I56" s="14" t="n"/>
      <c r="J56" s="16" t="n"/>
      <c r="K56" s="124">
        <f>IF(J56="","",COUNTIFS($C$18:$C$2015,J$13,$D$18:$D$2015,"&gt;="&amp;J56,$D$18:$D$2015,"&lt;"&amp;J57))</f>
        <v/>
      </c>
      <c r="L56" s="14" t="n"/>
      <c r="M56" s="16" t="n"/>
      <c r="N56" s="124">
        <f>IF(M56="","",COUNTIFS($C$18:$C$2015,M$13,$D$18:$D$2015,"&gt;="&amp;M56,$D$18:$D$2015,"&lt;"&amp;M57))</f>
        <v/>
      </c>
      <c r="O56" s="14" t="n"/>
      <c r="P56" s="16" t="n">
        <v>51</v>
      </c>
      <c r="Q56" s="124">
        <f>IF(P56="","",COUNTIFS($C$18:$C$2015,P$13,$D$18:$D$2015,"&gt;="&amp;P56,$D$18:$D$2015,"&lt;"&amp;P57))</f>
        <v/>
      </c>
      <c r="R56" s="14" t="n"/>
      <c r="S56" s="16" t="n">
        <v>92</v>
      </c>
      <c r="T56" s="124">
        <f>IF(S56="","",COUNTIFS($C$18:$C$2015,S$13,$D$18:$D$2015,"&gt;="&amp;S56,$D$18:$D$2015,"&lt;"&amp;S57))</f>
        <v/>
      </c>
      <c r="U56" s="14" t="n"/>
      <c r="V56" s="16" t="n"/>
      <c r="W56" s="124">
        <f>IF(V56="","",COUNTIFS($C$18:$C$2015,V$13,$D$18:$D$2015,"&gt;="&amp;V56,$D$18:$D$2015,"&lt;"&amp;V57))</f>
        <v/>
      </c>
      <c r="X56" s="14" t="n"/>
      <c r="Y56" s="16" t="n"/>
      <c r="Z56" s="124">
        <f>IF(Y56="","",COUNTIFS($C$18:$C$2015,Y$13,$D$18:$D$2015,"&gt;="&amp;Y56,$D$18:$D$2015,"&lt;"&amp;Y57))</f>
        <v/>
      </c>
      <c r="AA56" s="14" t="n"/>
      <c r="AB56" s="16" t="n">
        <v>51</v>
      </c>
      <c r="AC56" s="124">
        <f>IF(AB56="","",COUNTIFS($C$18:$C$2015,AB$13,$D$18:$D$2015,"&gt;="&amp;AB56,$D$18:$D$2015,"&lt;"&amp;AB57))</f>
        <v/>
      </c>
      <c r="AD56" s="14" t="n"/>
    </row>
    <row r="57">
      <c r="A57" s="58" t="n"/>
      <c r="B57" s="59" t="n"/>
      <c r="C57" s="59" t="n"/>
      <c r="E57" s="16" t="n"/>
      <c r="F57" s="13" t="n"/>
      <c r="G57" s="16" t="n">
        <v>52</v>
      </c>
      <c r="H57" s="124">
        <f>IF(G57="","",COUNTIFS($C$18:$C$2015,G$13,$D$18:$D$2015,"&gt;="&amp;G57,$D$18:$D$2015,"&lt;"&amp;G58))</f>
        <v/>
      </c>
      <c r="I57" s="14" t="n"/>
      <c r="J57" s="16" t="n"/>
      <c r="K57" s="124">
        <f>IF(J57="","",COUNTIFS($C$18:$C$2015,J$13,$D$18:$D$2015,"&gt;="&amp;J57,$D$18:$D$2015,"&lt;"&amp;J58))</f>
        <v/>
      </c>
      <c r="L57" s="14" t="n"/>
      <c r="M57" s="16" t="n"/>
      <c r="N57" s="124">
        <f>IF(M57="","",COUNTIFS($C$18:$C$2015,M$13,$D$18:$D$2015,"&gt;="&amp;M57,$D$18:$D$2015,"&lt;"&amp;M58))</f>
        <v/>
      </c>
      <c r="O57" s="14" t="n"/>
      <c r="P57" s="16" t="n">
        <v>52</v>
      </c>
      <c r="Q57" s="124">
        <f>IF(P57="","",COUNTIFS($C$18:$C$2015,P$13,$D$18:$D$2015,"&gt;="&amp;P57,$D$18:$D$2015,"&lt;"&amp;P58))</f>
        <v/>
      </c>
      <c r="R57" s="14" t="n"/>
      <c r="S57" s="16" t="n">
        <v>94</v>
      </c>
      <c r="T57" s="124">
        <f>IF(S57="","",COUNTIFS($C$18:$C$2015,S$13,$D$18:$D$2015,"&gt;="&amp;S57,$D$18:$D$2015,"&lt;"&amp;S58))</f>
        <v/>
      </c>
      <c r="U57" s="14" t="n"/>
      <c r="V57" s="16" t="n"/>
      <c r="W57" s="124">
        <f>IF(V57="","",COUNTIFS($C$18:$C$2015,V$13,$D$18:$D$2015,"&gt;="&amp;V57,$D$18:$D$2015,"&lt;"&amp;V58))</f>
        <v/>
      </c>
      <c r="X57" s="14" t="n"/>
      <c r="Y57" s="16" t="n"/>
      <c r="Z57" s="124">
        <f>IF(Y57="","",COUNTIFS($C$18:$C$2015,Y$13,$D$18:$D$2015,"&gt;="&amp;Y57,$D$18:$D$2015,"&lt;"&amp;Y58))</f>
        <v/>
      </c>
      <c r="AA57" s="14" t="n"/>
      <c r="AB57" s="16" t="n">
        <v>52</v>
      </c>
      <c r="AC57" s="124">
        <f>IF(AB57="","",COUNTIFS($C$18:$C$2015,AB$13,$D$18:$D$2015,"&gt;="&amp;AB57,$D$18:$D$2015,"&lt;"&amp;AB58))</f>
        <v/>
      </c>
      <c r="AD57" s="14" t="n"/>
    </row>
    <row r="58">
      <c r="A58" s="56" t="n"/>
      <c r="B58" s="59" t="n"/>
      <c r="C58" s="59" t="n"/>
      <c r="E58" s="16" t="n"/>
      <c r="F58" s="13" t="n"/>
      <c r="G58" s="16" t="n">
        <v>53</v>
      </c>
      <c r="H58" s="124">
        <f>IF(G58="","",COUNTIFS($C$18:$C$2015,G$13,$D$18:$D$2015,"&gt;="&amp;G58,$D$18:$D$2015,"&lt;"&amp;G59))</f>
        <v/>
      </c>
      <c r="I58" s="14" t="n"/>
      <c r="J58" s="16" t="n"/>
      <c r="K58" s="124">
        <f>IF(J58="","",COUNTIFS($C$18:$C$2015,J$13,$D$18:$D$2015,"&gt;="&amp;J58,$D$18:$D$2015,"&lt;"&amp;J59))</f>
        <v/>
      </c>
      <c r="L58" s="14" t="n"/>
      <c r="M58" s="16" t="n"/>
      <c r="N58" s="124">
        <f>IF(M58="","",COUNTIFS($C$18:$C$2015,M$13,$D$18:$D$2015,"&gt;="&amp;M58,$D$18:$D$2015,"&lt;"&amp;M59))</f>
        <v/>
      </c>
      <c r="O58" s="14" t="n"/>
      <c r="P58" s="16" t="n">
        <v>53</v>
      </c>
      <c r="Q58" s="124">
        <f>IF(P58="","",COUNTIFS($C$18:$C$2015,P$13,$D$18:$D$2015,"&gt;="&amp;P58,$D$18:$D$2015,"&lt;"&amp;P59))</f>
        <v/>
      </c>
      <c r="R58" s="14" t="n"/>
      <c r="S58" s="16" t="n">
        <v>96</v>
      </c>
      <c r="T58" s="124">
        <f>IF(S58="","",COUNTIFS($C$18:$C$2015,S$13,$D$18:$D$2015,"&gt;="&amp;S58,$D$18:$D$2015,"&lt;"&amp;S59))</f>
        <v/>
      </c>
      <c r="U58" s="14" t="n"/>
      <c r="V58" s="16" t="n"/>
      <c r="W58" s="124">
        <f>IF(V58="","",COUNTIFS($C$18:$C$2015,V$13,$D$18:$D$2015,"&gt;="&amp;V58,$D$18:$D$2015,"&lt;"&amp;V59))</f>
        <v/>
      </c>
      <c r="X58" s="14" t="n"/>
      <c r="Y58" s="16" t="n"/>
      <c r="Z58" s="124">
        <f>IF(Y58="","",COUNTIFS($C$18:$C$2015,Y$13,$D$18:$D$2015,"&gt;="&amp;Y58,$D$18:$D$2015,"&lt;"&amp;Y59))</f>
        <v/>
      </c>
      <c r="AA58" s="14" t="n"/>
      <c r="AB58" s="16" t="n">
        <v>53</v>
      </c>
      <c r="AC58" s="124">
        <f>IF(AB58="","",COUNTIFS($C$18:$C$2015,AB$13,$D$18:$D$2015,"&gt;="&amp;AB58,$D$18:$D$2015,"&lt;"&amp;AB59))</f>
        <v/>
      </c>
      <c r="AD58" s="14" t="n"/>
    </row>
    <row r="59">
      <c r="A59" s="58" t="n"/>
      <c r="B59" s="59" t="n"/>
      <c r="C59" s="59" t="n"/>
      <c r="E59" s="16" t="n"/>
      <c r="F59" s="13" t="n"/>
      <c r="G59" s="16" t="n">
        <v>54</v>
      </c>
      <c r="H59" s="124">
        <f>IF(G59="","",COUNTIFS($C$18:$C$2015,G$13,$D$18:$D$2015,"&gt;="&amp;G59,$D$18:$D$2015,"&lt;"&amp;G60))</f>
        <v/>
      </c>
      <c r="I59" s="14" t="n"/>
      <c r="J59" s="16" t="n"/>
      <c r="K59" s="124">
        <f>IF(J59="","",COUNTIFS($C$18:$C$2015,J$13,$D$18:$D$2015,"&gt;="&amp;J59,$D$18:$D$2015,"&lt;"&amp;J60))</f>
        <v/>
      </c>
      <c r="L59" s="14" t="n"/>
      <c r="M59" s="16" t="n"/>
      <c r="N59" s="124">
        <f>IF(M59="","",COUNTIFS($C$18:$C$2015,M$13,$D$18:$D$2015,"&gt;="&amp;M59,$D$18:$D$2015,"&lt;"&amp;M60))</f>
        <v/>
      </c>
      <c r="O59" s="14" t="n"/>
      <c r="P59" s="16" t="n">
        <v>54</v>
      </c>
      <c r="Q59" s="124">
        <f>IF(P59="","",COUNTIFS($C$18:$C$2015,P$13,$D$18:$D$2015,"&gt;="&amp;P59,$D$18:$D$2015,"&lt;"&amp;P60))</f>
        <v/>
      </c>
      <c r="R59" s="14" t="n"/>
      <c r="S59" s="16" t="n">
        <v>98</v>
      </c>
      <c r="T59" s="124">
        <f>IF(S59="","",COUNTIFS($C$18:$C$2015,S$13,$D$18:$D$2015,"&gt;="&amp;S59,$D$18:$D$2015,"&lt;"&amp;S60))</f>
        <v/>
      </c>
      <c r="U59" s="14" t="n"/>
      <c r="V59" s="16" t="n"/>
      <c r="W59" s="124">
        <f>IF(V59="","",COUNTIFS($C$18:$C$2015,V$13,$D$18:$D$2015,"&gt;="&amp;V59,$D$18:$D$2015,"&lt;"&amp;V60))</f>
        <v/>
      </c>
      <c r="X59" s="14" t="n"/>
      <c r="Y59" s="16" t="n"/>
      <c r="Z59" s="124">
        <f>IF(Y59="","",COUNTIFS($C$18:$C$2015,Y$13,$D$18:$D$2015,"&gt;="&amp;Y59,$D$18:$D$2015,"&lt;"&amp;Y60))</f>
        <v/>
      </c>
      <c r="AA59" s="14" t="n"/>
      <c r="AB59" s="16" t="n">
        <v>54</v>
      </c>
      <c r="AC59" s="124">
        <f>IF(AB59="","",COUNTIFS($C$18:$C$2015,AB$13,$D$18:$D$2015,"&gt;="&amp;AB59,$D$18:$D$2015,"&lt;"&amp;AB60))</f>
        <v/>
      </c>
      <c r="AD59" s="14" t="n"/>
    </row>
    <row r="60">
      <c r="A60" s="56" t="n"/>
      <c r="B60" s="59" t="n"/>
      <c r="C60" s="59" t="n"/>
      <c r="E60" s="16" t="n"/>
      <c r="F60" s="13" t="n"/>
      <c r="G60" s="16" t="n">
        <v>55</v>
      </c>
      <c r="H60" s="124">
        <f>IF(G60="","",COUNTIFS($C$18:$C$2015,G$13,$D$18:$D$2015,"&gt;="&amp;G60,$D$18:$D$2015,"&lt;"&amp;G61))</f>
        <v/>
      </c>
      <c r="I60" s="14" t="n"/>
      <c r="J60" s="16" t="n"/>
      <c r="K60" s="124">
        <f>IF(J60="","",COUNTIFS($C$18:$C$2015,J$13,$D$18:$D$2015,"&gt;="&amp;J60,$D$18:$D$2015,"&lt;"&amp;J61))</f>
        <v/>
      </c>
      <c r="L60" s="14" t="n"/>
      <c r="M60" s="16" t="n"/>
      <c r="N60" s="124">
        <f>IF(M60="","",COUNTIFS($C$18:$C$2015,M$13,$D$18:$D$2015,"&gt;="&amp;M60,$D$18:$D$2015,"&lt;"&amp;M61))</f>
        <v/>
      </c>
      <c r="O60" s="14" t="n"/>
      <c r="P60" s="16" t="n">
        <v>55</v>
      </c>
      <c r="Q60" s="124">
        <f>IF(P60="","",COUNTIFS($C$18:$C$2015,P$13,$D$18:$D$2015,"&gt;="&amp;P60,$D$18:$D$2015,"&lt;"&amp;P61))</f>
        <v/>
      </c>
      <c r="R60" s="14" t="n"/>
      <c r="S60" s="16" t="n">
        <v>100</v>
      </c>
      <c r="T60" s="124">
        <f>IF(S60="","",COUNTIFS($C$18:$C$2015,S$13,$D$18:$D$2015,"&gt;="&amp;S60,$D$18:$D$2015,"&lt;"&amp;S61))</f>
        <v/>
      </c>
      <c r="U60" s="14" t="n"/>
      <c r="V60" s="16" t="n"/>
      <c r="W60" s="124">
        <f>IF(V60="","",COUNTIFS($C$18:$C$2015,V$13,$D$18:$D$2015,"&gt;="&amp;V60,$D$18:$D$2015,"&lt;"&amp;V61))</f>
        <v/>
      </c>
      <c r="X60" s="14" t="n"/>
      <c r="Y60" s="16" t="n"/>
      <c r="Z60" s="124">
        <f>IF(Y60="","",COUNTIFS($C$18:$C$2015,Y$13,$D$18:$D$2015,"&gt;="&amp;Y60,$D$18:$D$2015,"&lt;"&amp;Y61))</f>
        <v/>
      </c>
      <c r="AA60" s="14" t="n"/>
      <c r="AB60" s="16" t="n">
        <v>55</v>
      </c>
      <c r="AC60" s="124">
        <f>IF(AB60="","",COUNTIFS($C$18:$C$2015,AB$13,$D$18:$D$2015,"&gt;="&amp;AB60,$D$18:$D$2015,"&lt;"&amp;AB61))</f>
        <v/>
      </c>
      <c r="AD60" s="14" t="n"/>
    </row>
    <row r="61">
      <c r="A61" s="58" t="n"/>
      <c r="B61" s="59" t="n"/>
      <c r="C61" s="59" t="n"/>
      <c r="E61" s="16" t="n"/>
      <c r="F61" s="13" t="n"/>
      <c r="G61" s="16" t="n">
        <v>56</v>
      </c>
      <c r="H61" s="124">
        <f>IF(G61="","",COUNTIFS($C$18:$C$2015,G$13,$D$18:$D$2015,"&gt;="&amp;G61,$D$18:$D$2015,"&lt;"&amp;G62))</f>
        <v/>
      </c>
      <c r="I61" s="14" t="n"/>
      <c r="J61" s="16" t="n"/>
      <c r="K61" s="124">
        <f>IF(J61="","",COUNTIFS($C$18:$C$2015,J$13,$D$18:$D$2015,"&gt;="&amp;J61,$D$18:$D$2015,"&lt;"&amp;J62))</f>
        <v/>
      </c>
      <c r="L61" s="14" t="n"/>
      <c r="M61" s="16" t="n"/>
      <c r="N61" s="124">
        <f>IF(M61="","",COUNTIFS($C$18:$C$2015,M$13,$D$18:$D$2015,"&gt;="&amp;M61,$D$18:$D$2015,"&lt;"&amp;M62))</f>
        <v/>
      </c>
      <c r="O61" s="14" t="n"/>
      <c r="P61" s="16" t="n">
        <v>56</v>
      </c>
      <c r="Q61" s="124">
        <f>IF(P61="","",COUNTIFS($C$18:$C$2015,P$13,$D$18:$D$2015,"&gt;="&amp;P61,$D$18:$D$2015,"&lt;"&amp;P62))</f>
        <v/>
      </c>
      <c r="R61" s="14" t="n"/>
      <c r="S61" s="16" t="n"/>
      <c r="T61" s="124">
        <f>IF(S61="","",COUNTIFS($C$18:$C$2015,S$13,$D$18:$D$2015,"&gt;="&amp;S61,$D$18:$D$2015,"&lt;"&amp;S62))</f>
        <v/>
      </c>
      <c r="U61" s="14" t="n"/>
      <c r="V61" s="16" t="n"/>
      <c r="W61" s="124">
        <f>IF(V61="","",COUNTIFS($C$18:$C$2015,V$13,$D$18:$D$2015,"&gt;="&amp;V61,$D$18:$D$2015,"&lt;"&amp;V62))</f>
        <v/>
      </c>
      <c r="X61" s="14" t="n"/>
      <c r="Y61" s="16" t="n"/>
      <c r="Z61" s="124">
        <f>IF(Y61="","",COUNTIFS($C$18:$C$2015,Y$13,$D$18:$D$2015,"&gt;="&amp;Y61,$D$18:$D$2015,"&lt;"&amp;Y62))</f>
        <v/>
      </c>
      <c r="AA61" s="14" t="n"/>
      <c r="AB61" s="16" t="n">
        <v>56</v>
      </c>
      <c r="AC61" s="124">
        <f>IF(AB61="","",COUNTIFS($C$18:$C$2015,AB$13,$D$18:$D$2015,"&gt;="&amp;AB61,$D$18:$D$2015,"&lt;"&amp;AB62))</f>
        <v/>
      </c>
      <c r="AD61" s="14" t="n"/>
    </row>
    <row r="62">
      <c r="A62" s="56" t="n"/>
      <c r="B62" s="59" t="n"/>
      <c r="C62" s="59" t="n"/>
      <c r="E62" s="16" t="n"/>
      <c r="F62" s="13" t="n"/>
      <c r="G62" s="16" t="n">
        <v>57</v>
      </c>
      <c r="H62" s="124">
        <f>IF(G62="","",COUNTIFS($C$18:$C$2015,G$13,$D$18:$D$2015,"&gt;="&amp;G62,$D$18:$D$2015,"&lt;"&amp;G63))</f>
        <v/>
      </c>
      <c r="I62" s="14" t="n"/>
      <c r="J62" s="16" t="n"/>
      <c r="K62" s="124">
        <f>IF(J62="","",COUNTIFS($C$18:$C$2015,J$13,$D$18:$D$2015,"&gt;="&amp;J62,$D$18:$D$2015,"&lt;"&amp;J63))</f>
        <v/>
      </c>
      <c r="L62" s="14" t="n"/>
      <c r="M62" s="16" t="n"/>
      <c r="N62" s="124">
        <f>IF(M62="","",COUNTIFS($C$18:$C$2015,M$13,$D$18:$D$2015,"&gt;="&amp;M62,$D$18:$D$2015,"&lt;"&amp;M63))</f>
        <v/>
      </c>
      <c r="O62" s="14" t="n"/>
      <c r="P62" s="16" t="n">
        <v>57</v>
      </c>
      <c r="Q62" s="124">
        <f>IF(P62="","",COUNTIFS($C$18:$C$2015,P$13,$D$18:$D$2015,"&gt;="&amp;P62,$D$18:$D$2015,"&lt;"&amp;P63))</f>
        <v/>
      </c>
      <c r="R62" s="14" t="n"/>
      <c r="S62" s="16" t="n"/>
      <c r="T62" s="124">
        <f>IF(S62="","",COUNTIFS($C$18:$C$2015,S$13,$D$18:$D$2015,"&gt;="&amp;S62,$D$18:$D$2015,"&lt;"&amp;S63))</f>
        <v/>
      </c>
      <c r="U62" s="14" t="n"/>
      <c r="V62" s="16" t="n"/>
      <c r="W62" s="124">
        <f>IF(V62="","",COUNTIFS($C$18:$C$2015,V$13,$D$18:$D$2015,"&gt;="&amp;V62,$D$18:$D$2015,"&lt;"&amp;V63))</f>
        <v/>
      </c>
      <c r="X62" s="14" t="n"/>
      <c r="Y62" s="16" t="n"/>
      <c r="Z62" s="124">
        <f>IF(Y62="","",COUNTIFS($C$18:$C$2015,Y$13,$D$18:$D$2015,"&gt;="&amp;Y62,$D$18:$D$2015,"&lt;"&amp;Y63))</f>
        <v/>
      </c>
      <c r="AA62" s="14" t="n"/>
      <c r="AB62" s="16" t="n">
        <v>57</v>
      </c>
      <c r="AC62" s="124">
        <f>IF(AB62="","",COUNTIFS($C$18:$C$2015,AB$13,$D$18:$D$2015,"&gt;="&amp;AB62,$D$18:$D$2015,"&lt;"&amp;AB63))</f>
        <v/>
      </c>
      <c r="AD62" s="14" t="n"/>
    </row>
    <row r="63">
      <c r="A63" s="58" t="n"/>
      <c r="B63" s="59" t="n"/>
      <c r="C63" s="59" t="n"/>
      <c r="E63" s="16" t="n"/>
      <c r="F63" s="13" t="n"/>
      <c r="G63" s="16" t="n">
        <v>58</v>
      </c>
      <c r="H63" s="124">
        <f>IF(G63="","",COUNTIFS($C$18:$C$2015,G$13,$D$18:$D$2015,"&gt;="&amp;G63,$D$18:$D$2015,"&lt;"&amp;G64))</f>
        <v/>
      </c>
      <c r="I63" s="14" t="n"/>
      <c r="J63" s="16" t="n"/>
      <c r="K63" s="124">
        <f>IF(J63="","",COUNTIFS($C$18:$C$2015,J$13,$D$18:$D$2015,"&gt;="&amp;J63,$D$18:$D$2015,"&lt;"&amp;J64))</f>
        <v/>
      </c>
      <c r="L63" s="14" t="n"/>
      <c r="M63" s="16" t="n"/>
      <c r="N63" s="124">
        <f>IF(M63="","",COUNTIFS($C$18:$C$2015,M$13,$D$18:$D$2015,"&gt;="&amp;M63,$D$18:$D$2015,"&lt;"&amp;M64))</f>
        <v/>
      </c>
      <c r="O63" s="14" t="n"/>
      <c r="P63" s="16" t="n">
        <v>58</v>
      </c>
      <c r="Q63" s="124">
        <f>IF(P63="","",COUNTIFS($C$18:$C$2015,P$13,$D$18:$D$2015,"&gt;="&amp;P63,$D$18:$D$2015,"&lt;"&amp;P64))</f>
        <v/>
      </c>
      <c r="R63" s="14" t="n"/>
      <c r="S63" s="16" t="n"/>
      <c r="T63" s="124">
        <f>IF(S63="","",COUNTIFS($C$18:$C$2015,S$13,$D$18:$D$2015,"&gt;="&amp;S63,$D$18:$D$2015,"&lt;"&amp;S64))</f>
        <v/>
      </c>
      <c r="U63" s="14" t="n"/>
      <c r="V63" s="16" t="n"/>
      <c r="W63" s="124">
        <f>IF(V63="","",COUNTIFS($C$18:$C$2015,V$13,$D$18:$D$2015,"&gt;="&amp;V63,$D$18:$D$2015,"&lt;"&amp;V64))</f>
        <v/>
      </c>
      <c r="X63" s="14" t="n"/>
      <c r="Y63" s="16" t="n"/>
      <c r="Z63" s="124">
        <f>IF(Y63="","",COUNTIFS($C$18:$C$2015,Y$13,$D$18:$D$2015,"&gt;="&amp;Y63,$D$18:$D$2015,"&lt;"&amp;Y64))</f>
        <v/>
      </c>
      <c r="AA63" s="14" t="n"/>
      <c r="AB63" s="16" t="n">
        <v>58</v>
      </c>
      <c r="AC63" s="124">
        <f>IF(AB63="","",COUNTIFS($C$18:$C$2015,AB$13,$D$18:$D$2015,"&gt;="&amp;AB63,$D$18:$D$2015,"&lt;"&amp;AB64))</f>
        <v/>
      </c>
      <c r="AD63" s="14" t="n"/>
    </row>
    <row r="64">
      <c r="A64" s="56" t="n"/>
      <c r="B64" s="59" t="n"/>
      <c r="C64" s="59" t="n"/>
      <c r="E64" s="16" t="n"/>
      <c r="F64" s="13" t="n"/>
      <c r="G64" s="16" t="n">
        <v>59</v>
      </c>
      <c r="H64" s="124">
        <f>IF(G64="","",COUNTIFS($C$18:$C$2015,G$13,$D$18:$D$2015,"&gt;="&amp;G64,$D$18:$D$2015,"&lt;"&amp;G65))</f>
        <v/>
      </c>
      <c r="I64" s="14" t="n"/>
      <c r="J64" s="16" t="n"/>
      <c r="K64" s="124">
        <f>IF(J64="","",COUNTIFS($C$18:$C$2015,J$13,$D$18:$D$2015,"&gt;="&amp;J64,$D$18:$D$2015,"&lt;"&amp;J65))</f>
        <v/>
      </c>
      <c r="L64" s="14" t="n"/>
      <c r="M64" s="16" t="n"/>
      <c r="N64" s="124">
        <f>IF(M64="","",COUNTIFS($C$18:$C$2015,M$13,$D$18:$D$2015,"&gt;="&amp;M64,$D$18:$D$2015,"&lt;"&amp;M65))</f>
        <v/>
      </c>
      <c r="O64" s="14" t="n"/>
      <c r="P64" s="16" t="n">
        <v>59</v>
      </c>
      <c r="Q64" s="124">
        <f>IF(P64="","",COUNTIFS($C$18:$C$2015,P$13,$D$18:$D$2015,"&gt;="&amp;P64,$D$18:$D$2015,"&lt;"&amp;P65))</f>
        <v/>
      </c>
      <c r="R64" s="14" t="n"/>
      <c r="S64" s="16" t="n"/>
      <c r="T64" s="124">
        <f>IF(S64="","",COUNTIFS($C$18:$C$2015,S$13,$D$18:$D$2015,"&gt;="&amp;S64,$D$18:$D$2015,"&lt;"&amp;S65))</f>
        <v/>
      </c>
      <c r="U64" s="14" t="n"/>
      <c r="V64" s="16" t="n"/>
      <c r="W64" s="124">
        <f>IF(V64="","",COUNTIFS($C$18:$C$2015,V$13,$D$18:$D$2015,"&gt;="&amp;V64,$D$18:$D$2015,"&lt;"&amp;V65))</f>
        <v/>
      </c>
      <c r="X64" s="14" t="n"/>
      <c r="Y64" s="16" t="n"/>
      <c r="Z64" s="124">
        <f>IF(Y64="","",COUNTIFS($C$18:$C$2015,Y$13,$D$18:$D$2015,"&gt;="&amp;Y64,$D$18:$D$2015,"&lt;"&amp;Y65))</f>
        <v/>
      </c>
      <c r="AA64" s="14" t="n"/>
      <c r="AB64" s="16" t="n">
        <v>59</v>
      </c>
      <c r="AC64" s="124">
        <f>IF(AB64="","",COUNTIFS($C$18:$C$2015,AB$13,$D$18:$D$2015,"&gt;="&amp;AB64,$D$18:$D$2015,"&lt;"&amp;AB65))</f>
        <v/>
      </c>
      <c r="AD64" s="14" t="n"/>
    </row>
    <row r="65">
      <c r="A65" s="58" t="n"/>
      <c r="B65" s="59" t="n"/>
      <c r="C65" s="59" t="n"/>
      <c r="E65" s="16" t="n"/>
      <c r="F65" s="13" t="n"/>
      <c r="G65" s="16" t="n">
        <v>60</v>
      </c>
      <c r="H65" s="124">
        <f>IF(G65="","",COUNTIFS($C$18:$C$2015,G$13,$D$18:$D$2015,"&gt;="&amp;G65,$D$18:$D$2015,"&lt;"&amp;G66))</f>
        <v/>
      </c>
      <c r="I65" s="14" t="n"/>
      <c r="J65" s="16" t="n"/>
      <c r="K65" s="124">
        <f>IF(J65="","",COUNTIFS($C$18:$C$2015,J$13,$D$18:$D$2015,"&gt;="&amp;J65,$D$18:$D$2015,"&lt;"&amp;J66))</f>
        <v/>
      </c>
      <c r="L65" s="14" t="n"/>
      <c r="M65" s="16" t="n"/>
      <c r="N65" s="124">
        <f>IF(M65="","",COUNTIFS($C$18:$C$2015,M$13,$D$18:$D$2015,"&gt;="&amp;M65,$D$18:$D$2015,"&lt;"&amp;M66))</f>
        <v/>
      </c>
      <c r="O65" s="14" t="n"/>
      <c r="P65" s="16" t="n">
        <v>60</v>
      </c>
      <c r="Q65" s="124">
        <f>IF(P65="","",COUNTIFS($C$18:$C$2015,P$13,$D$18:$D$2015,"&gt;="&amp;P65,$D$18:$D$2015,"&lt;"&amp;P66))</f>
        <v/>
      </c>
      <c r="R65" s="14" t="n"/>
      <c r="S65" s="16" t="n"/>
      <c r="T65" s="124">
        <f>IF(S65="","",COUNTIFS($C$18:$C$2015,S$13,$D$18:$D$2015,"&gt;="&amp;S65,$D$18:$D$2015,"&lt;"&amp;S66))</f>
        <v/>
      </c>
      <c r="U65" s="14" t="n"/>
      <c r="V65" s="16" t="n"/>
      <c r="W65" s="124">
        <f>IF(V65="","",COUNTIFS($C$18:$C$2015,V$13,$D$18:$D$2015,"&gt;="&amp;V65,$D$18:$D$2015,"&lt;"&amp;V66))</f>
        <v/>
      </c>
      <c r="X65" s="14" t="n"/>
      <c r="Y65" s="16" t="n"/>
      <c r="Z65" s="124">
        <f>IF(Y65="","",COUNTIFS($C$18:$C$2015,Y$13,$D$18:$D$2015,"&gt;="&amp;Y65,$D$18:$D$2015,"&lt;"&amp;Y66))</f>
        <v/>
      </c>
      <c r="AA65" s="14" t="n"/>
      <c r="AB65" s="16" t="n">
        <v>60</v>
      </c>
      <c r="AC65" s="124">
        <f>IF(AB65="","",COUNTIFS($C$18:$C$2015,AB$13,$D$18:$D$2015,"&gt;="&amp;AB65,$D$18:$D$2015,"&lt;"&amp;AB66))</f>
        <v/>
      </c>
      <c r="AD65" s="14" t="n"/>
    </row>
    <row r="66">
      <c r="A66" s="56" t="n"/>
      <c r="B66" s="59" t="n"/>
      <c r="C66" s="59" t="n"/>
      <c r="E66" s="16" t="n"/>
      <c r="F66" s="13" t="n"/>
      <c r="G66" s="16" t="n">
        <v>61</v>
      </c>
      <c r="H66" s="124">
        <f>IF(G66="","",COUNTIFS($C$18:$C$2015,G$13,$D$18:$D$2015,"&gt;="&amp;G66,$D$18:$D$2015,"&lt;"&amp;G67))</f>
        <v/>
      </c>
      <c r="I66" s="14" t="n"/>
      <c r="J66" s="16" t="n"/>
      <c r="K66" s="124">
        <f>IF(J66="","",COUNTIFS($C$18:$C$2015,J$13,$D$18:$D$2015,"&gt;="&amp;J66,$D$18:$D$2015,"&lt;"&amp;J67))</f>
        <v/>
      </c>
      <c r="L66" s="14" t="n"/>
      <c r="M66" s="16" t="n"/>
      <c r="N66" s="124">
        <f>IF(M66="","",COUNTIFS($C$18:$C$2015,M$13,$D$18:$D$2015,"&gt;="&amp;M66,$D$18:$D$2015,"&lt;"&amp;M67))</f>
        <v/>
      </c>
      <c r="O66" s="14" t="n"/>
      <c r="P66" s="16" t="n">
        <v>61</v>
      </c>
      <c r="Q66" s="124">
        <f>IF(P66="","",COUNTIFS($C$18:$C$2015,P$13,$D$18:$D$2015,"&gt;="&amp;P66,$D$18:$D$2015,"&lt;"&amp;P67))</f>
        <v/>
      </c>
      <c r="R66" s="14" t="n"/>
      <c r="S66" s="16" t="n"/>
      <c r="T66" s="124">
        <f>IF(S66="","",COUNTIFS($C$18:$C$2015,S$13,$D$18:$D$2015,"&gt;="&amp;S66,$D$18:$D$2015,"&lt;"&amp;S67))</f>
        <v/>
      </c>
      <c r="U66" s="14" t="n"/>
      <c r="V66" s="16" t="n"/>
      <c r="W66" s="124">
        <f>IF(V66="","",COUNTIFS($C$18:$C$2015,V$13,$D$18:$D$2015,"&gt;="&amp;V66,$D$18:$D$2015,"&lt;"&amp;V67))</f>
        <v/>
      </c>
      <c r="X66" s="14" t="n"/>
      <c r="Y66" s="16" t="n"/>
      <c r="Z66" s="124">
        <f>IF(Y66="","",COUNTIFS($C$18:$C$2015,Y$13,$D$18:$D$2015,"&gt;="&amp;Y66,$D$18:$D$2015,"&lt;"&amp;Y67))</f>
        <v/>
      </c>
      <c r="AA66" s="14" t="n"/>
      <c r="AB66" s="16" t="n">
        <v>61</v>
      </c>
      <c r="AC66" s="124">
        <f>IF(AB66="","",COUNTIFS($C$18:$C$2015,AB$13,$D$18:$D$2015,"&gt;="&amp;AB66,$D$18:$D$2015,"&lt;"&amp;AB67))</f>
        <v/>
      </c>
      <c r="AD66" s="14" t="n"/>
    </row>
    <row r="67">
      <c r="A67" s="58" t="n"/>
      <c r="B67" s="59" t="n"/>
      <c r="C67" s="59" t="n"/>
      <c r="E67" s="16" t="n"/>
      <c r="F67" s="13" t="n"/>
      <c r="G67" s="16" t="n">
        <v>62</v>
      </c>
      <c r="H67" s="124">
        <f>IF(G67="","",COUNTIFS($C$18:$C$2015,G$13,$D$18:$D$2015,"&gt;="&amp;G67,$D$18:$D$2015,"&lt;"&amp;G68))</f>
        <v/>
      </c>
      <c r="I67" s="14" t="n"/>
      <c r="J67" s="16" t="n"/>
      <c r="K67" s="124">
        <f>IF(J67="","",COUNTIFS($C$18:$C$2015,J$13,$D$18:$D$2015,"&gt;="&amp;J67,$D$18:$D$2015,"&lt;"&amp;J68))</f>
        <v/>
      </c>
      <c r="L67" s="14" t="n"/>
      <c r="M67" s="16" t="n"/>
      <c r="N67" s="124">
        <f>IF(M67="","",COUNTIFS($C$18:$C$2015,M$13,$D$18:$D$2015,"&gt;="&amp;M67,$D$18:$D$2015,"&lt;"&amp;M68))</f>
        <v/>
      </c>
      <c r="O67" s="14" t="n"/>
      <c r="P67" s="16" t="n">
        <v>62</v>
      </c>
      <c r="Q67" s="124">
        <f>IF(P67="","",COUNTIFS($C$18:$C$2015,P$13,$D$18:$D$2015,"&gt;="&amp;P67,$D$18:$D$2015,"&lt;"&amp;P68))</f>
        <v/>
      </c>
      <c r="R67" s="14" t="n"/>
      <c r="S67" s="16" t="n"/>
      <c r="T67" s="124">
        <f>IF(S67="","",COUNTIFS($C$18:$C$2015,S$13,$D$18:$D$2015,"&gt;="&amp;S67,$D$18:$D$2015,"&lt;"&amp;S68))</f>
        <v/>
      </c>
      <c r="U67" s="14" t="n"/>
      <c r="V67" s="16" t="n"/>
      <c r="W67" s="124">
        <f>IF(V67="","",COUNTIFS($C$18:$C$2015,V$13,$D$18:$D$2015,"&gt;="&amp;V67,$D$18:$D$2015,"&lt;"&amp;V68))</f>
        <v/>
      </c>
      <c r="X67" s="14" t="n"/>
      <c r="Y67" s="16" t="n"/>
      <c r="Z67" s="124">
        <f>IF(Y67="","",COUNTIFS($C$18:$C$2015,Y$13,$D$18:$D$2015,"&gt;="&amp;Y67,$D$18:$D$2015,"&lt;"&amp;Y68))</f>
        <v/>
      </c>
      <c r="AA67" s="14" t="n"/>
      <c r="AB67" s="16" t="n">
        <v>62</v>
      </c>
      <c r="AC67" s="124">
        <f>IF(AB67="","",COUNTIFS($C$18:$C$2015,AB$13,$D$18:$D$2015,"&gt;="&amp;AB67,$D$18:$D$2015,"&lt;"&amp;AB68))</f>
        <v/>
      </c>
      <c r="AD67" s="14" t="n"/>
    </row>
    <row r="68">
      <c r="A68" s="56" t="n"/>
      <c r="B68" s="59" t="n"/>
      <c r="C68" s="59" t="n"/>
      <c r="E68" s="16" t="n"/>
      <c r="F68" s="13" t="n"/>
      <c r="G68" s="16" t="n">
        <v>63</v>
      </c>
      <c r="H68" s="124">
        <f>IF(G68="","",COUNTIFS($C$18:$C$2015,G$13,$D$18:$D$2015,"&gt;="&amp;G68,$D$18:$D$2015,"&lt;"&amp;G69))</f>
        <v/>
      </c>
      <c r="I68" s="14" t="n"/>
      <c r="J68" s="16" t="n"/>
      <c r="K68" s="124">
        <f>IF(J68="","",COUNTIFS($C$18:$C$2015,J$13,$D$18:$D$2015,"&gt;="&amp;J68,$D$18:$D$2015,"&lt;"&amp;J69))</f>
        <v/>
      </c>
      <c r="L68" s="14" t="n"/>
      <c r="M68" s="16" t="n"/>
      <c r="N68" s="124">
        <f>IF(M68="","",COUNTIFS($C$18:$C$2015,M$13,$D$18:$D$2015,"&gt;="&amp;M68,$D$18:$D$2015,"&lt;"&amp;M69))</f>
        <v/>
      </c>
      <c r="O68" s="14" t="n"/>
      <c r="P68" s="16" t="n">
        <v>63</v>
      </c>
      <c r="Q68" s="124">
        <f>IF(P68="","",COUNTIFS($C$18:$C$2015,P$13,$D$18:$D$2015,"&gt;="&amp;P68,$D$18:$D$2015,"&lt;"&amp;P69))</f>
        <v/>
      </c>
      <c r="R68" s="14" t="n"/>
      <c r="S68" s="16" t="n"/>
      <c r="T68" s="124">
        <f>IF(S68="","",COUNTIFS($C$18:$C$2015,S$13,$D$18:$D$2015,"&gt;="&amp;S68,$D$18:$D$2015,"&lt;"&amp;S69))</f>
        <v/>
      </c>
      <c r="U68" s="14" t="n"/>
      <c r="V68" s="16" t="n"/>
      <c r="W68" s="124">
        <f>IF(V68="","",COUNTIFS($C$18:$C$2015,V$13,$D$18:$D$2015,"&gt;="&amp;V68,$D$18:$D$2015,"&lt;"&amp;V69))</f>
        <v/>
      </c>
      <c r="X68" s="14" t="n"/>
      <c r="Y68" s="16" t="n"/>
      <c r="Z68" s="124">
        <f>IF(Y68="","",COUNTIFS($C$18:$C$2015,Y$13,$D$18:$D$2015,"&gt;="&amp;Y68,$D$18:$D$2015,"&lt;"&amp;Y69))</f>
        <v/>
      </c>
      <c r="AA68" s="14" t="n"/>
      <c r="AB68" s="16" t="n"/>
      <c r="AC68" s="124">
        <f>IF(AB68="","",COUNTIFS($C$18:$C$2015,AB$13,$D$18:$D$2015,"&gt;="&amp;AB68,$D$18:$D$2015,"&lt;"&amp;AB69))</f>
        <v/>
      </c>
      <c r="AD68" s="14" t="n"/>
    </row>
    <row r="69">
      <c r="A69" s="58" t="n"/>
      <c r="B69" s="59" t="n"/>
      <c r="C69" s="59" t="n"/>
      <c r="E69" s="16" t="n"/>
      <c r="F69" s="13" t="n"/>
      <c r="G69" s="16" t="n">
        <v>64</v>
      </c>
      <c r="H69" s="124">
        <f>IF(G69="","",COUNTIFS($C$18:$C$2015,G$13,$D$18:$D$2015,"&gt;="&amp;G69,$D$18:$D$2015,"&lt;"&amp;G70))</f>
        <v/>
      </c>
      <c r="I69" s="14" t="n"/>
      <c r="J69" s="16" t="n"/>
      <c r="K69" s="124">
        <f>IF(J69="","",COUNTIFS($C$18:$C$2015,J$13,$D$18:$D$2015,"&gt;="&amp;J69,$D$18:$D$2015,"&lt;"&amp;J70))</f>
        <v/>
      </c>
      <c r="L69" s="14" t="n"/>
      <c r="M69" s="16" t="n"/>
      <c r="N69" s="124">
        <f>IF(M69="","",COUNTIFS($C$18:$C$2015,M$13,$D$18:$D$2015,"&gt;="&amp;M69,$D$18:$D$2015,"&lt;"&amp;M70))</f>
        <v/>
      </c>
      <c r="O69" s="14" t="n"/>
      <c r="P69" s="16" t="n">
        <v>64</v>
      </c>
      <c r="Q69" s="124">
        <f>IF(P69="","",COUNTIFS($C$18:$C$2015,P$13,$D$18:$D$2015,"&gt;="&amp;P69,$D$18:$D$2015,"&lt;"&amp;P70))</f>
        <v/>
      </c>
      <c r="R69" s="14" t="n"/>
      <c r="S69" s="16" t="n"/>
      <c r="T69" s="124">
        <f>IF(S69="","",COUNTIFS($C$18:$C$2015,S$13,$D$18:$D$2015,"&gt;="&amp;S69,$D$18:$D$2015,"&lt;"&amp;S70))</f>
        <v/>
      </c>
      <c r="U69" s="14" t="n"/>
      <c r="V69" s="16" t="n"/>
      <c r="W69" s="124">
        <f>IF(V69="","",COUNTIFS($C$18:$C$2015,V$13,$D$18:$D$2015,"&gt;="&amp;V69,$D$18:$D$2015,"&lt;"&amp;V70))</f>
        <v/>
      </c>
      <c r="X69" s="14" t="n"/>
      <c r="Y69" s="16" t="n"/>
      <c r="Z69" s="124">
        <f>IF(Y69="","",COUNTIFS($C$18:$C$2015,Y$13,$D$18:$D$2015,"&gt;="&amp;Y69,$D$18:$D$2015,"&lt;"&amp;Y70))</f>
        <v/>
      </c>
      <c r="AA69" s="14" t="n"/>
      <c r="AB69" s="16" t="n"/>
      <c r="AC69" s="124">
        <f>IF(AB69="","",COUNTIFS($C$18:$C$2015,AB$13,$D$18:$D$2015,"&gt;="&amp;AB69,$D$18:$D$2015,"&lt;"&amp;AB70))</f>
        <v/>
      </c>
      <c r="AD69" s="14" t="n"/>
    </row>
    <row r="70">
      <c r="A70" s="56" t="n"/>
      <c r="B70" s="59" t="n"/>
      <c r="C70" s="59" t="n"/>
      <c r="E70" s="16" t="n"/>
      <c r="F70" s="13" t="n"/>
      <c r="G70" s="16" t="n">
        <v>65</v>
      </c>
      <c r="H70" s="124">
        <f>IF(G70="","",COUNTIFS($C$18:$C$2015,G$13,$D$18:$D$2015,"&gt;="&amp;G70,$D$18:$D$2015,"&lt;"&amp;G71))</f>
        <v/>
      </c>
      <c r="I70" s="14" t="n"/>
      <c r="J70" s="16" t="n"/>
      <c r="K70" s="124">
        <f>IF(J70="","",COUNTIFS($C$18:$C$2015,J$13,$D$18:$D$2015,"&gt;="&amp;J70,$D$18:$D$2015,"&lt;"&amp;J71))</f>
        <v/>
      </c>
      <c r="L70" s="14" t="n"/>
      <c r="M70" s="16" t="n"/>
      <c r="N70" s="124">
        <f>IF(M70="","",COUNTIFS($C$18:$C$2015,M$13,$D$18:$D$2015,"&gt;="&amp;M70,$D$18:$D$2015,"&lt;"&amp;M71))</f>
        <v/>
      </c>
      <c r="O70" s="14" t="n"/>
      <c r="P70" s="16" t="n">
        <v>65</v>
      </c>
      <c r="Q70" s="124">
        <f>IF(P70="","",COUNTIFS($C$18:$C$2015,P$13,$D$18:$D$2015,"&gt;="&amp;P70,$D$18:$D$2015,"&lt;"&amp;P71))</f>
        <v/>
      </c>
      <c r="R70" s="14" t="n"/>
      <c r="S70" s="16" t="n"/>
      <c r="T70" s="124">
        <f>IF(S70="","",COUNTIFS($C$18:$C$2015,S$13,$D$18:$D$2015,"&gt;="&amp;S70,$D$18:$D$2015,"&lt;"&amp;S71))</f>
        <v/>
      </c>
      <c r="U70" s="14" t="n"/>
      <c r="V70" s="16" t="n"/>
      <c r="W70" s="124">
        <f>IF(V70="","",COUNTIFS($C$18:$C$2015,V$13,$D$18:$D$2015,"&gt;="&amp;V70,$D$18:$D$2015,"&lt;"&amp;V71))</f>
        <v/>
      </c>
      <c r="X70" s="14" t="n"/>
      <c r="Y70" s="16" t="n"/>
      <c r="Z70" s="124">
        <f>IF(Y70="","",COUNTIFS($C$18:$C$2015,Y$13,$D$18:$D$2015,"&gt;="&amp;Y70,$D$18:$D$2015,"&lt;"&amp;Y71))</f>
        <v/>
      </c>
      <c r="AA70" s="14" t="n"/>
      <c r="AB70" s="16" t="n"/>
      <c r="AC70" s="124">
        <f>IF(AB70="","",COUNTIFS($C$18:$C$2015,AB$13,$D$18:$D$2015,"&gt;="&amp;AB70,$D$18:$D$2015,"&lt;"&amp;AB71))</f>
        <v/>
      </c>
      <c r="AD70" s="14" t="n"/>
    </row>
    <row r="71">
      <c r="A71" s="58" t="n"/>
      <c r="B71" s="59" t="n"/>
      <c r="C71" s="59" t="n"/>
      <c r="E71" s="16" t="n"/>
      <c r="F71" s="13" t="n"/>
      <c r="G71" s="16" t="n">
        <v>66</v>
      </c>
      <c r="H71" s="124">
        <f>IF(G71="","",COUNTIFS($C$18:$C$2015,G$13,$D$18:$D$2015,"&gt;="&amp;G71,$D$18:$D$2015,"&lt;"&amp;G72))</f>
        <v/>
      </c>
      <c r="I71" s="14" t="n"/>
      <c r="J71" s="16" t="n"/>
      <c r="K71" s="124">
        <f>IF(J71="","",COUNTIFS($C$18:$C$2015,J$13,$D$18:$D$2015,"&gt;="&amp;J71,$D$18:$D$2015,"&lt;"&amp;J72))</f>
        <v/>
      </c>
      <c r="L71" s="14" t="n"/>
      <c r="M71" s="16" t="n"/>
      <c r="N71" s="124">
        <f>IF(M71="","",COUNTIFS($C$18:$C$2015,M$13,$D$18:$D$2015,"&gt;="&amp;M71,$D$18:$D$2015,"&lt;"&amp;M72))</f>
        <v/>
      </c>
      <c r="O71" s="14" t="n"/>
      <c r="P71" s="16" t="n">
        <v>66</v>
      </c>
      <c r="Q71" s="124">
        <f>IF(P71="","",COUNTIFS($C$18:$C$2015,P$13,$D$18:$D$2015,"&gt;="&amp;P71,$D$18:$D$2015,"&lt;"&amp;P72))</f>
        <v/>
      </c>
      <c r="R71" s="14" t="n"/>
      <c r="S71" s="16" t="n"/>
      <c r="T71" s="124">
        <f>IF(S71="","",COUNTIFS($C$18:$C$2015,S$13,$D$18:$D$2015,"&gt;="&amp;S71,$D$18:$D$2015,"&lt;"&amp;S72))</f>
        <v/>
      </c>
      <c r="U71" s="14" t="n"/>
      <c r="V71" s="16" t="n"/>
      <c r="W71" s="124">
        <f>IF(V71="","",COUNTIFS($C$18:$C$2015,V$13,$D$18:$D$2015,"&gt;="&amp;V71,$D$18:$D$2015,"&lt;"&amp;V72))</f>
        <v/>
      </c>
      <c r="X71" s="14" t="n"/>
      <c r="Y71" s="16" t="n"/>
      <c r="Z71" s="124">
        <f>IF(Y71="","",COUNTIFS($C$18:$C$2015,Y$13,$D$18:$D$2015,"&gt;="&amp;Y71,$D$18:$D$2015,"&lt;"&amp;Y72))</f>
        <v/>
      </c>
      <c r="AA71" s="14" t="n"/>
      <c r="AB71" s="16" t="n"/>
      <c r="AC71" s="124">
        <f>IF(AB71="","",COUNTIFS($C$18:$C$2015,AB$13,$D$18:$D$2015,"&gt;="&amp;AB71,$D$18:$D$2015,"&lt;"&amp;AB72))</f>
        <v/>
      </c>
      <c r="AD71" s="14" t="n"/>
    </row>
    <row r="72">
      <c r="A72" s="56" t="n"/>
      <c r="B72" s="59" t="n"/>
      <c r="C72" s="59" t="n"/>
      <c r="E72" s="16" t="n"/>
      <c r="F72" s="13" t="n"/>
      <c r="G72" s="16" t="n">
        <v>67</v>
      </c>
      <c r="H72" s="124">
        <f>IF(G72="","",COUNTIFS($C$18:$C$2015,G$13,$D$18:$D$2015,"&gt;="&amp;G72,$D$18:$D$2015,"&lt;"&amp;G73))</f>
        <v/>
      </c>
      <c r="I72" s="14" t="n"/>
      <c r="J72" s="16" t="n"/>
      <c r="K72" s="124">
        <f>IF(J72="","",COUNTIFS($C$18:$C$2015,J$13,$D$18:$D$2015,"&gt;="&amp;J72,$D$18:$D$2015,"&lt;"&amp;J73))</f>
        <v/>
      </c>
      <c r="L72" s="14" t="n"/>
      <c r="M72" s="16" t="n"/>
      <c r="N72" s="124">
        <f>IF(M72="","",COUNTIFS($C$18:$C$2015,M$13,$D$18:$D$2015,"&gt;="&amp;M72,$D$18:$D$2015,"&lt;"&amp;M73))</f>
        <v/>
      </c>
      <c r="O72" s="14" t="n"/>
      <c r="P72" s="16" t="n">
        <v>67</v>
      </c>
      <c r="Q72" s="124">
        <f>IF(P72="","",COUNTIFS($C$18:$C$2015,P$13,$D$18:$D$2015,"&gt;="&amp;P72,$D$18:$D$2015,"&lt;"&amp;P73))</f>
        <v/>
      </c>
      <c r="R72" s="14" t="n"/>
      <c r="S72" s="16" t="n"/>
      <c r="T72" s="124">
        <f>IF(S72="","",COUNTIFS($C$18:$C$2015,S$13,$D$18:$D$2015,"&gt;="&amp;S72,$D$18:$D$2015,"&lt;"&amp;S73))</f>
        <v/>
      </c>
      <c r="U72" s="14" t="n"/>
      <c r="V72" s="16" t="n"/>
      <c r="W72" s="124">
        <f>IF(V72="","",COUNTIFS($C$18:$C$2015,V$13,$D$18:$D$2015,"&gt;="&amp;V72,$D$18:$D$2015,"&lt;"&amp;V73))</f>
        <v/>
      </c>
      <c r="X72" s="14" t="n"/>
      <c r="Y72" s="16" t="n"/>
      <c r="Z72" s="124">
        <f>IF(Y72="","",COUNTIFS($C$18:$C$2015,Y$13,$D$18:$D$2015,"&gt;="&amp;Y72,$D$18:$D$2015,"&lt;"&amp;Y73))</f>
        <v/>
      </c>
      <c r="AA72" s="14" t="n"/>
      <c r="AB72" s="16" t="n"/>
      <c r="AC72" s="124">
        <f>IF(AB72="","",COUNTIFS($C$18:$C$2015,AB$13,$D$18:$D$2015,"&gt;="&amp;AB72,$D$18:$D$2015,"&lt;"&amp;AB73))</f>
        <v/>
      </c>
      <c r="AD72" s="14" t="n"/>
    </row>
    <row r="73">
      <c r="A73" s="58" t="n"/>
      <c r="B73" s="59" t="n"/>
      <c r="C73" s="59" t="n"/>
      <c r="E73" s="16" t="n"/>
      <c r="F73" s="13" t="n"/>
      <c r="G73" s="16" t="n">
        <v>68</v>
      </c>
      <c r="H73" s="124">
        <f>IF(G73="","",COUNTIFS($C$18:$C$2015,G$13,$D$18:$D$2015,"&gt;="&amp;G73,$D$18:$D$2015,"&lt;"&amp;G74))</f>
        <v/>
      </c>
      <c r="I73" s="14" t="n"/>
      <c r="J73" s="16" t="n"/>
      <c r="K73" s="124">
        <f>IF(J73="","",COUNTIFS($C$18:$C$2015,J$13,$D$18:$D$2015,"&gt;="&amp;J73,$D$18:$D$2015,"&lt;"&amp;J74))</f>
        <v/>
      </c>
      <c r="L73" s="14" t="n"/>
      <c r="M73" s="16" t="n"/>
      <c r="N73" s="124">
        <f>IF(M73="","",COUNTIFS($C$18:$C$2015,M$13,$D$18:$D$2015,"&gt;="&amp;M73,$D$18:$D$2015,"&lt;"&amp;M74))</f>
        <v/>
      </c>
      <c r="O73" s="14" t="n"/>
      <c r="P73" s="16" t="n">
        <v>68</v>
      </c>
      <c r="Q73" s="124">
        <f>IF(P73="","",COUNTIFS($C$18:$C$2015,P$13,$D$18:$D$2015,"&gt;="&amp;P73,$D$18:$D$2015,"&lt;"&amp;P74))</f>
        <v/>
      </c>
      <c r="R73" s="14" t="n"/>
      <c r="S73" s="16" t="n"/>
      <c r="T73" s="124">
        <f>IF(S73="","",COUNTIFS($C$18:$C$2015,S$13,$D$18:$D$2015,"&gt;="&amp;S73,$D$18:$D$2015,"&lt;"&amp;S74))</f>
        <v/>
      </c>
      <c r="U73" s="14" t="n"/>
      <c r="V73" s="16" t="n"/>
      <c r="W73" s="124">
        <f>IF(V73="","",COUNTIFS($C$18:$C$2015,V$13,$D$18:$D$2015,"&gt;="&amp;V73,$D$18:$D$2015,"&lt;"&amp;V74))</f>
        <v/>
      </c>
      <c r="X73" s="14" t="n"/>
      <c r="Y73" s="16" t="n"/>
      <c r="Z73" s="124">
        <f>IF(Y73="","",COUNTIFS($C$18:$C$2015,Y$13,$D$18:$D$2015,"&gt;="&amp;Y73,$D$18:$D$2015,"&lt;"&amp;Y74))</f>
        <v/>
      </c>
      <c r="AA73" s="14" t="n"/>
      <c r="AB73" s="16" t="n"/>
      <c r="AC73" s="124">
        <f>IF(AB73="","",COUNTIFS($C$18:$C$2015,AB$13,$D$18:$D$2015,"&gt;="&amp;AB73,$D$18:$D$2015,"&lt;"&amp;AB74))</f>
        <v/>
      </c>
      <c r="AD73" s="14" t="n"/>
    </row>
    <row r="74">
      <c r="A74" s="56" t="n"/>
      <c r="B74" s="59" t="n"/>
      <c r="C74" s="59" t="n"/>
      <c r="E74" s="16" t="n"/>
      <c r="F74" s="13" t="n"/>
      <c r="G74" s="16" t="n">
        <v>69</v>
      </c>
      <c r="H74" s="124">
        <f>IF(G74="","",COUNTIFS($C$18:$C$2015,G$13,$D$18:$D$2015,"&gt;="&amp;G74,$D$18:$D$2015,"&lt;"&amp;G75))</f>
        <v/>
      </c>
      <c r="I74" s="14" t="n"/>
      <c r="J74" s="16" t="n"/>
      <c r="K74" s="124">
        <f>IF(J74="","",COUNTIFS($C$18:$C$2015,J$13,$D$18:$D$2015,"&gt;="&amp;J74,$D$18:$D$2015,"&lt;"&amp;J75))</f>
        <v/>
      </c>
      <c r="L74" s="14" t="n"/>
      <c r="M74" s="16" t="n"/>
      <c r="N74" s="124">
        <f>IF(M74="","",COUNTIFS($C$18:$C$2015,M$13,$D$18:$D$2015,"&gt;="&amp;M74,$D$18:$D$2015,"&lt;"&amp;M75))</f>
        <v/>
      </c>
      <c r="O74" s="14" t="n"/>
      <c r="P74" s="16" t="n">
        <v>69</v>
      </c>
      <c r="Q74" s="124">
        <f>IF(P74="","",COUNTIFS($C$18:$C$2015,P$13,$D$18:$D$2015,"&gt;="&amp;P74,$D$18:$D$2015,"&lt;"&amp;P75))</f>
        <v/>
      </c>
      <c r="R74" s="14" t="n"/>
      <c r="S74" s="16" t="n"/>
      <c r="T74" s="124">
        <f>IF(S74="","",COUNTIFS($C$18:$C$2015,S$13,$D$18:$D$2015,"&gt;="&amp;S74,$D$18:$D$2015,"&lt;"&amp;S75))</f>
        <v/>
      </c>
      <c r="U74" s="14" t="n"/>
      <c r="V74" s="16" t="n"/>
      <c r="W74" s="124">
        <f>IF(V74="","",COUNTIFS($C$18:$C$2015,V$13,$D$18:$D$2015,"&gt;="&amp;V74,$D$18:$D$2015,"&lt;"&amp;V75))</f>
        <v/>
      </c>
      <c r="X74" s="14" t="n"/>
      <c r="Y74" s="16" t="n"/>
      <c r="Z74" s="124">
        <f>IF(Y74="","",COUNTIFS($C$18:$C$2015,Y$13,$D$18:$D$2015,"&gt;="&amp;Y74,$D$18:$D$2015,"&lt;"&amp;Y75))</f>
        <v/>
      </c>
      <c r="AA74" s="14" t="n"/>
      <c r="AB74" s="16" t="n"/>
      <c r="AC74" s="124">
        <f>IF(AB74="","",COUNTIFS($C$18:$C$2015,AB$13,$D$18:$D$2015,"&gt;="&amp;AB74,$D$18:$D$2015,"&lt;"&amp;AB75))</f>
        <v/>
      </c>
      <c r="AD74" s="14" t="n"/>
    </row>
    <row r="75">
      <c r="A75" s="58" t="n"/>
      <c r="B75" s="59" t="n"/>
      <c r="C75" s="59" t="n"/>
      <c r="E75" s="16" t="n"/>
      <c r="F75" s="13" t="n"/>
      <c r="G75" s="16" t="n">
        <v>70</v>
      </c>
      <c r="H75" s="124">
        <f>IF(G75="","",COUNTIFS($C$18:$C$2015,G$13,$D$18:$D$2015,"&gt;="&amp;G75,$D$18:$D$2015,"&lt;"&amp;G76))</f>
        <v/>
      </c>
      <c r="I75" s="14" t="n"/>
      <c r="J75" s="16" t="n"/>
      <c r="K75" s="124">
        <f>IF(J75="","",COUNTIFS($C$18:$C$2015,J$13,$D$18:$D$2015,"&gt;="&amp;J75,$D$18:$D$2015,"&lt;"&amp;J76))</f>
        <v/>
      </c>
      <c r="L75" s="14" t="n"/>
      <c r="M75" s="16" t="n"/>
      <c r="N75" s="124">
        <f>IF(M75="","",COUNTIFS($C$18:$C$2015,M$13,$D$18:$D$2015,"&gt;="&amp;M75,$D$18:$D$2015,"&lt;"&amp;M76))</f>
        <v/>
      </c>
      <c r="O75" s="14" t="n"/>
      <c r="P75" s="16" t="n">
        <v>70</v>
      </c>
      <c r="Q75" s="124">
        <f>IF(P75="","",COUNTIFS($C$18:$C$2015,P$13,$D$18:$D$2015,"&gt;="&amp;P75,$D$18:$D$2015,"&lt;"&amp;P76))</f>
        <v/>
      </c>
      <c r="R75" s="14" t="n"/>
      <c r="S75" s="16" t="n"/>
      <c r="T75" s="124">
        <f>IF(S75="","",COUNTIFS($C$18:$C$2015,S$13,$D$18:$D$2015,"&gt;="&amp;S75,$D$18:$D$2015,"&lt;"&amp;S76))</f>
        <v/>
      </c>
      <c r="U75" s="14" t="n"/>
      <c r="V75" s="16" t="n"/>
      <c r="W75" s="124">
        <f>IF(V75="","",COUNTIFS($C$18:$C$2015,V$13,$D$18:$D$2015,"&gt;="&amp;V75,$D$18:$D$2015,"&lt;"&amp;V76))</f>
        <v/>
      </c>
      <c r="X75" s="14" t="n"/>
      <c r="Y75" s="16" t="n"/>
      <c r="Z75" s="124">
        <f>IF(Y75="","",COUNTIFS($C$18:$C$2015,Y$13,$D$18:$D$2015,"&gt;="&amp;Y75,$D$18:$D$2015,"&lt;"&amp;Y76))</f>
        <v/>
      </c>
      <c r="AA75" s="14" t="n"/>
      <c r="AB75" s="16" t="n"/>
      <c r="AC75" s="124">
        <f>IF(AB75="","",COUNTIFS($C$18:$C$2015,AB$13,$D$18:$D$2015,"&gt;="&amp;AB75,$D$18:$D$2015,"&lt;"&amp;AB76))</f>
        <v/>
      </c>
      <c r="AD75" s="14" t="n"/>
    </row>
    <row r="76">
      <c r="A76" s="56" t="n"/>
      <c r="B76" s="59" t="n"/>
      <c r="C76" s="59" t="n"/>
      <c r="E76" s="16" t="n"/>
      <c r="F76" s="13" t="n"/>
      <c r="G76" s="16" t="n">
        <v>71</v>
      </c>
      <c r="H76" s="124">
        <f>IF(G76="","",COUNTIFS($C$18:$C$2015,G$13,$D$18:$D$2015,"&gt;="&amp;G76,$D$18:$D$2015,"&lt;"&amp;G77))</f>
        <v/>
      </c>
      <c r="I76" s="14" t="n"/>
      <c r="J76" s="16" t="n"/>
      <c r="K76" s="124">
        <f>IF(J76="","",COUNTIFS($C$18:$C$2015,J$13,$D$18:$D$2015,"&gt;="&amp;J76,$D$18:$D$2015,"&lt;"&amp;J77))</f>
        <v/>
      </c>
      <c r="L76" s="14" t="n"/>
      <c r="M76" s="16" t="n"/>
      <c r="N76" s="124">
        <f>IF(M76="","",COUNTIFS($C$18:$C$2015,M$13,$D$18:$D$2015,"&gt;="&amp;M76,$D$18:$D$2015,"&lt;"&amp;M77))</f>
        <v/>
      </c>
      <c r="O76" s="14" t="n"/>
      <c r="P76" s="16" t="n">
        <v>71</v>
      </c>
      <c r="Q76" s="124">
        <f>IF(P76="","",COUNTIFS($C$18:$C$2015,P$13,$D$18:$D$2015,"&gt;="&amp;P76,$D$18:$D$2015,"&lt;"&amp;P77))</f>
        <v/>
      </c>
      <c r="R76" s="14" t="n"/>
      <c r="S76" s="16" t="n"/>
      <c r="T76" s="124">
        <f>IF(S76="","",COUNTIFS($C$18:$C$2015,S$13,$D$18:$D$2015,"&gt;="&amp;S76,$D$18:$D$2015,"&lt;"&amp;S77))</f>
        <v/>
      </c>
      <c r="U76" s="14" t="n"/>
      <c r="V76" s="16" t="n"/>
      <c r="W76" s="124">
        <f>IF(V76="","",COUNTIFS($C$18:$C$2015,V$13,$D$18:$D$2015,"&gt;="&amp;V76,$D$18:$D$2015,"&lt;"&amp;V77))</f>
        <v/>
      </c>
      <c r="X76" s="14" t="n"/>
      <c r="Y76" s="16" t="n"/>
      <c r="Z76" s="124">
        <f>IF(Y76="","",COUNTIFS($C$18:$C$2015,Y$13,$D$18:$D$2015,"&gt;="&amp;Y76,$D$18:$D$2015,"&lt;"&amp;Y77))</f>
        <v/>
      </c>
      <c r="AA76" s="14" t="n"/>
      <c r="AB76" s="16" t="n"/>
      <c r="AC76" s="124">
        <f>IF(AB76="","",COUNTIFS($C$18:$C$2015,AB$13,$D$18:$D$2015,"&gt;="&amp;AB76,$D$18:$D$2015,"&lt;"&amp;AB77))</f>
        <v/>
      </c>
      <c r="AD76" s="14" t="n"/>
    </row>
    <row r="77">
      <c r="A77" s="58" t="n"/>
      <c r="B77" s="59" t="n"/>
      <c r="C77" s="59" t="n"/>
      <c r="E77" s="16" t="n"/>
      <c r="F77" s="13" t="n"/>
      <c r="G77" s="16" t="n">
        <v>72</v>
      </c>
      <c r="H77" s="124">
        <f>IF(G77="","",COUNTIFS($C$18:$C$2015,G$13,$D$18:$D$2015,"&gt;="&amp;G77,$D$18:$D$2015,"&lt;"&amp;G78))</f>
        <v/>
      </c>
      <c r="I77" s="14" t="n"/>
      <c r="J77" s="16" t="n"/>
      <c r="K77" s="124">
        <f>IF(J77="","",COUNTIFS($C$18:$C$2015,J$13,$D$18:$D$2015,"&gt;="&amp;J77,$D$18:$D$2015,"&lt;"&amp;J78))</f>
        <v/>
      </c>
      <c r="L77" s="14" t="n"/>
      <c r="M77" s="16" t="n"/>
      <c r="N77" s="124">
        <f>IF(M77="","",COUNTIFS($C$18:$C$2015,M$13,$D$18:$D$2015,"&gt;="&amp;M77,$D$18:$D$2015,"&lt;"&amp;M78))</f>
        <v/>
      </c>
      <c r="O77" s="14" t="n"/>
      <c r="P77" s="16" t="n">
        <v>72</v>
      </c>
      <c r="Q77" s="124">
        <f>IF(P77="","",COUNTIFS($C$18:$C$2015,P$13,$D$18:$D$2015,"&gt;="&amp;P77,$D$18:$D$2015,"&lt;"&amp;P78))</f>
        <v/>
      </c>
      <c r="R77" s="14" t="n"/>
      <c r="S77" s="16" t="n"/>
      <c r="T77" s="124">
        <f>IF(S77="","",COUNTIFS($C$18:$C$2015,S$13,$D$18:$D$2015,"&gt;="&amp;S77,$D$18:$D$2015,"&lt;"&amp;S78))</f>
        <v/>
      </c>
      <c r="U77" s="14" t="n"/>
      <c r="V77" s="16" t="n"/>
      <c r="W77" s="124">
        <f>IF(V77="","",COUNTIFS($C$18:$C$2015,V$13,$D$18:$D$2015,"&gt;="&amp;V77,$D$18:$D$2015,"&lt;"&amp;V78))</f>
        <v/>
      </c>
      <c r="X77" s="14" t="n"/>
      <c r="Y77" s="16" t="n"/>
      <c r="Z77" s="124">
        <f>IF(Y77="","",COUNTIFS($C$18:$C$2015,Y$13,$D$18:$D$2015,"&gt;="&amp;Y77,$D$18:$D$2015,"&lt;"&amp;Y78))</f>
        <v/>
      </c>
      <c r="AA77" s="14" t="n"/>
      <c r="AB77" s="16" t="n"/>
      <c r="AC77" s="124">
        <f>IF(AB77="","",COUNTIFS($C$18:$C$2015,AB$13,$D$18:$D$2015,"&gt;="&amp;AB77,$D$18:$D$2015,"&lt;"&amp;AB78))</f>
        <v/>
      </c>
      <c r="AD77" s="14" t="n"/>
    </row>
    <row r="78">
      <c r="A78" s="56" t="n"/>
      <c r="B78" s="59" t="n"/>
      <c r="C78" s="59" t="n"/>
      <c r="E78" s="16" t="n"/>
      <c r="F78" s="13" t="n"/>
      <c r="G78" s="16" t="n">
        <v>73</v>
      </c>
      <c r="H78" s="124">
        <f>IF(G78="","",COUNTIFS($C$18:$C$2015,G$13,$D$18:$D$2015,"&gt;="&amp;G78,$D$18:$D$2015,"&lt;"&amp;G79))</f>
        <v/>
      </c>
      <c r="I78" s="14" t="n"/>
      <c r="J78" s="16" t="n"/>
      <c r="K78" s="124">
        <f>IF(J78="","",COUNTIFS($C$18:$C$2015,J$13,$D$18:$D$2015,"&gt;="&amp;J78,$D$18:$D$2015,"&lt;"&amp;J79))</f>
        <v/>
      </c>
      <c r="L78" s="14" t="n"/>
      <c r="M78" s="16" t="n"/>
      <c r="N78" s="124">
        <f>IF(M78="","",COUNTIFS($C$18:$C$2015,M$13,$D$18:$D$2015,"&gt;="&amp;M78,$D$18:$D$2015,"&lt;"&amp;M79))</f>
        <v/>
      </c>
      <c r="O78" s="14" t="n"/>
      <c r="P78" s="16" t="n">
        <v>73</v>
      </c>
      <c r="Q78" s="124">
        <f>IF(P78="","",COUNTIFS($C$18:$C$2015,P$13,$D$18:$D$2015,"&gt;="&amp;P78,$D$18:$D$2015,"&lt;"&amp;P79))</f>
        <v/>
      </c>
      <c r="R78" s="14" t="n"/>
      <c r="S78" s="16" t="n"/>
      <c r="T78" s="124">
        <f>IF(S78="","",COUNTIFS($C$18:$C$2015,S$13,$D$18:$D$2015,"&gt;="&amp;S78,$D$18:$D$2015,"&lt;"&amp;S79))</f>
        <v/>
      </c>
      <c r="U78" s="14" t="n"/>
      <c r="V78" s="16" t="n"/>
      <c r="W78" s="124">
        <f>IF(V78="","",COUNTIFS($C$18:$C$2015,V$13,$D$18:$D$2015,"&gt;="&amp;V78,$D$18:$D$2015,"&lt;"&amp;V79))</f>
        <v/>
      </c>
      <c r="X78" s="14" t="n"/>
      <c r="Y78" s="16" t="n"/>
      <c r="Z78" s="124">
        <f>IF(Y78="","",COUNTIFS($C$18:$C$2015,Y$13,$D$18:$D$2015,"&gt;="&amp;Y78,$D$18:$D$2015,"&lt;"&amp;Y79))</f>
        <v/>
      </c>
      <c r="AA78" s="14" t="n"/>
      <c r="AB78" s="16" t="n"/>
      <c r="AC78" s="124">
        <f>IF(AB78="","",COUNTIFS($C$18:$C$2015,AB$13,$D$18:$D$2015,"&gt;="&amp;AB78,$D$18:$D$2015,"&lt;"&amp;AB79))</f>
        <v/>
      </c>
      <c r="AD78" s="14" t="n"/>
    </row>
    <row r="79">
      <c r="A79" s="58" t="n"/>
      <c r="B79" s="59" t="n"/>
      <c r="C79" s="59" t="n"/>
      <c r="E79" s="16" t="n"/>
      <c r="F79" s="13" t="n"/>
      <c r="G79" s="16" t="n">
        <v>74</v>
      </c>
      <c r="H79" s="124">
        <f>IF(G79="","",COUNTIFS($C$18:$C$2015,G$13,$D$18:$D$2015,"&gt;="&amp;G79,$D$18:$D$2015,"&lt;"&amp;G80))</f>
        <v/>
      </c>
      <c r="I79" s="14" t="n"/>
      <c r="J79" s="16" t="n"/>
      <c r="K79" s="124">
        <f>IF(J79="","",COUNTIFS($C$18:$C$2015,J$13,$D$18:$D$2015,"&gt;="&amp;J79,$D$18:$D$2015,"&lt;"&amp;J80))</f>
        <v/>
      </c>
      <c r="L79" s="14" t="n"/>
      <c r="M79" s="16" t="n"/>
      <c r="N79" s="124">
        <f>IF(M79="","",COUNTIFS($C$18:$C$2015,M$13,$D$18:$D$2015,"&gt;="&amp;M79,$D$18:$D$2015,"&lt;"&amp;M80))</f>
        <v/>
      </c>
      <c r="O79" s="14" t="n"/>
      <c r="P79" s="16" t="n">
        <v>74</v>
      </c>
      <c r="Q79" s="124">
        <f>IF(P79="","",COUNTIFS($C$18:$C$2015,P$13,$D$18:$D$2015,"&gt;="&amp;P79,$D$18:$D$2015,"&lt;"&amp;P80))</f>
        <v/>
      </c>
      <c r="R79" s="14" t="n"/>
      <c r="S79" s="16" t="n"/>
      <c r="T79" s="124">
        <f>IF(S79="","",COUNTIFS($C$18:$C$2015,S$13,$D$18:$D$2015,"&gt;="&amp;S79,$D$18:$D$2015,"&lt;"&amp;S80))</f>
        <v/>
      </c>
      <c r="U79" s="14" t="n"/>
      <c r="V79" s="16" t="n"/>
      <c r="W79" s="124">
        <f>IF(V79="","",COUNTIFS($C$18:$C$2015,V$13,$D$18:$D$2015,"&gt;="&amp;V79,$D$18:$D$2015,"&lt;"&amp;V80))</f>
        <v/>
      </c>
      <c r="X79" s="14" t="n"/>
      <c r="Y79" s="16" t="n"/>
      <c r="Z79" s="124">
        <f>IF(Y79="","",COUNTIFS($C$18:$C$2015,Y$13,$D$18:$D$2015,"&gt;="&amp;Y79,$D$18:$D$2015,"&lt;"&amp;Y80))</f>
        <v/>
      </c>
      <c r="AA79" s="14" t="n"/>
      <c r="AB79" s="16" t="n"/>
      <c r="AC79" s="124">
        <f>IF(AB79="","",COUNTIFS($C$18:$C$2015,AB$13,$D$18:$D$2015,"&gt;="&amp;AB79,$D$18:$D$2015,"&lt;"&amp;AB80))</f>
        <v/>
      </c>
      <c r="AD79" s="14" t="n"/>
    </row>
    <row r="80">
      <c r="A80" s="56" t="n"/>
      <c r="B80" s="59" t="n"/>
      <c r="C80" s="59" t="n"/>
      <c r="E80" s="16" t="n"/>
      <c r="F80" s="13" t="n"/>
      <c r="G80" s="16" t="n">
        <v>75</v>
      </c>
      <c r="H80" s="124">
        <f>IF(G80="","",COUNTIFS($C$18:$C$2015,G$13,$D$18:$D$2015,"&gt;="&amp;G80,$D$18:$D$2015,"&lt;"&amp;G81))</f>
        <v/>
      </c>
      <c r="I80" s="14" t="n"/>
      <c r="J80" s="16" t="n"/>
      <c r="K80" s="124">
        <f>IF(J80="","",COUNTIFS($C$18:$C$2015,J$13,$D$18:$D$2015,"&gt;="&amp;J80,$D$18:$D$2015,"&lt;"&amp;J81))</f>
        <v/>
      </c>
      <c r="L80" s="14" t="n"/>
      <c r="M80" s="16" t="n"/>
      <c r="N80" s="124">
        <f>IF(M80="","",COUNTIFS($C$18:$C$2015,M$13,$D$18:$D$2015,"&gt;="&amp;M80,$D$18:$D$2015,"&lt;"&amp;M81))</f>
        <v/>
      </c>
      <c r="O80" s="14" t="n"/>
      <c r="P80" s="16" t="n">
        <v>75</v>
      </c>
      <c r="Q80" s="124">
        <f>IF(P80="","",COUNTIFS($C$18:$C$2015,P$13,$D$18:$D$2015,"&gt;="&amp;P80,$D$18:$D$2015,"&lt;"&amp;P81))</f>
        <v/>
      </c>
      <c r="R80" s="14" t="n"/>
      <c r="S80" s="16" t="n"/>
      <c r="T80" s="124">
        <f>IF(S80="","",COUNTIFS($C$18:$C$2015,S$13,$D$18:$D$2015,"&gt;="&amp;S80,$D$18:$D$2015,"&lt;"&amp;S81))</f>
        <v/>
      </c>
      <c r="U80" s="14" t="n"/>
      <c r="V80" s="16" t="n"/>
      <c r="W80" s="124">
        <f>IF(V80="","",COUNTIFS($C$18:$C$2015,V$13,$D$18:$D$2015,"&gt;="&amp;V80,$D$18:$D$2015,"&lt;"&amp;V81))</f>
        <v/>
      </c>
      <c r="X80" s="14" t="n"/>
      <c r="Y80" s="16" t="n"/>
      <c r="Z80" s="124">
        <f>IF(Y80="","",COUNTIFS($C$18:$C$2015,Y$13,$D$18:$D$2015,"&gt;="&amp;Y80,$D$18:$D$2015,"&lt;"&amp;Y81))</f>
        <v/>
      </c>
      <c r="AA80" s="14" t="n"/>
      <c r="AB80" s="16" t="n"/>
      <c r="AC80" s="124">
        <f>IF(AB80="","",COUNTIFS($C$18:$C$2015,AB$13,$D$18:$D$2015,"&gt;="&amp;AB80,$D$18:$D$2015,"&lt;"&amp;AB81))</f>
        <v/>
      </c>
      <c r="AD80" s="14" t="n"/>
    </row>
    <row r="81">
      <c r="A81" s="58" t="n"/>
      <c r="B81" s="59" t="n"/>
      <c r="C81" s="59" t="n"/>
      <c r="E81" s="16" t="n"/>
      <c r="F81" s="13" t="n"/>
      <c r="G81" s="16" t="n">
        <v>76</v>
      </c>
      <c r="H81" s="124">
        <f>IF(G81="","",COUNTIFS($C$18:$C$2015,G$13,$D$18:$D$2015,"&gt;="&amp;G81,$D$18:$D$2015,"&lt;"&amp;G82))</f>
        <v/>
      </c>
      <c r="I81" s="14" t="n"/>
      <c r="J81" s="16" t="n"/>
      <c r="K81" s="124">
        <f>IF(J81="","",COUNTIFS($C$18:$C$2015,J$13,$D$18:$D$2015,"&gt;="&amp;J81,$D$18:$D$2015,"&lt;"&amp;J82))</f>
        <v/>
      </c>
      <c r="L81" s="14" t="n"/>
      <c r="M81" s="16" t="n"/>
      <c r="N81" s="124">
        <f>IF(M81="","",COUNTIFS($C$18:$C$2015,M$13,$D$18:$D$2015,"&gt;="&amp;M81,$D$18:$D$2015,"&lt;"&amp;M82))</f>
        <v/>
      </c>
      <c r="O81" s="14" t="n"/>
      <c r="P81" s="16" t="n">
        <v>76</v>
      </c>
      <c r="Q81" s="124">
        <f>IF(P81="","",COUNTIFS($C$18:$C$2015,P$13,$D$18:$D$2015,"&gt;="&amp;P81,$D$18:$D$2015,"&lt;"&amp;P82))</f>
        <v/>
      </c>
      <c r="R81" s="14" t="n"/>
      <c r="S81" s="16" t="n"/>
      <c r="T81" s="124">
        <f>IF(S81="","",COUNTIFS($C$18:$C$2015,S$13,$D$18:$D$2015,"&gt;="&amp;S81,$D$18:$D$2015,"&lt;"&amp;S82))</f>
        <v/>
      </c>
      <c r="U81" s="14" t="n"/>
      <c r="V81" s="16" t="n"/>
      <c r="W81" s="124">
        <f>IF(V81="","",COUNTIFS($C$18:$C$2015,V$13,$D$18:$D$2015,"&gt;="&amp;V81,$D$18:$D$2015,"&lt;"&amp;V82))</f>
        <v/>
      </c>
      <c r="X81" s="14" t="n"/>
      <c r="Y81" s="16" t="n"/>
      <c r="Z81" s="124">
        <f>IF(Y81="","",COUNTIFS($C$18:$C$2015,Y$13,$D$18:$D$2015,"&gt;="&amp;Y81,$D$18:$D$2015,"&lt;"&amp;Y82))</f>
        <v/>
      </c>
      <c r="AA81" s="14" t="n"/>
      <c r="AB81" s="16" t="n"/>
      <c r="AC81" s="124">
        <f>IF(AB81="","",COUNTIFS($C$18:$C$2015,AB$13,$D$18:$D$2015,"&gt;="&amp;AB81,$D$18:$D$2015,"&lt;"&amp;AB82))</f>
        <v/>
      </c>
      <c r="AD81" s="14" t="n"/>
    </row>
    <row r="82">
      <c r="A82" s="56" t="n"/>
      <c r="B82" s="59" t="n"/>
      <c r="C82" s="59" t="n"/>
      <c r="E82" s="16" t="n"/>
      <c r="F82" s="13" t="n"/>
      <c r="G82" s="16" t="n">
        <v>77</v>
      </c>
      <c r="H82" s="124">
        <f>IF(G82="","",COUNTIFS($C$18:$C$2015,G$13,$D$18:$D$2015,"&gt;="&amp;G82,$D$18:$D$2015,"&lt;"&amp;G83))</f>
        <v/>
      </c>
      <c r="I82" s="14" t="n"/>
      <c r="J82" s="16" t="n"/>
      <c r="K82" s="124">
        <f>IF(J82="","",COUNTIFS($C$18:$C$2015,J$13,$D$18:$D$2015,"&gt;="&amp;J82,$D$18:$D$2015,"&lt;"&amp;J83))</f>
        <v/>
      </c>
      <c r="L82" s="14" t="n"/>
      <c r="M82" s="16" t="n"/>
      <c r="N82" s="124">
        <f>IF(M82="","",COUNTIFS($C$18:$C$2015,M$13,$D$18:$D$2015,"&gt;="&amp;M82,$D$18:$D$2015,"&lt;"&amp;M83))</f>
        <v/>
      </c>
      <c r="O82" s="14" t="n"/>
      <c r="P82" s="16" t="n">
        <v>77</v>
      </c>
      <c r="Q82" s="124">
        <f>IF(P82="","",COUNTIFS($C$18:$C$2015,P$13,$D$18:$D$2015,"&gt;="&amp;P82,$D$18:$D$2015,"&lt;"&amp;P83))</f>
        <v/>
      </c>
      <c r="R82" s="14" t="n"/>
      <c r="S82" s="16" t="n"/>
      <c r="T82" s="124">
        <f>IF(S82="","",COUNTIFS($C$18:$C$2015,S$13,$D$18:$D$2015,"&gt;="&amp;S82,$D$18:$D$2015,"&lt;"&amp;S83))</f>
        <v/>
      </c>
      <c r="U82" s="14" t="n"/>
      <c r="V82" s="16" t="n"/>
      <c r="W82" s="124">
        <f>IF(V82="","",COUNTIFS($C$18:$C$2015,V$13,$D$18:$D$2015,"&gt;="&amp;V82,$D$18:$D$2015,"&lt;"&amp;V83))</f>
        <v/>
      </c>
      <c r="X82" s="14" t="n"/>
      <c r="Y82" s="16" t="n"/>
      <c r="Z82" s="124">
        <f>IF(Y82="","",COUNTIFS($C$18:$C$2015,Y$13,$D$18:$D$2015,"&gt;="&amp;Y82,$D$18:$D$2015,"&lt;"&amp;Y83))</f>
        <v/>
      </c>
      <c r="AA82" s="14" t="n"/>
      <c r="AB82" s="16" t="n"/>
      <c r="AC82" s="124">
        <f>IF(AB82="","",COUNTIFS($C$18:$C$2015,AB$13,$D$18:$D$2015,"&gt;="&amp;AB82,$D$18:$D$2015,"&lt;"&amp;AB83))</f>
        <v/>
      </c>
      <c r="AD82" s="14" t="n"/>
    </row>
    <row r="83">
      <c r="A83" s="58" t="n"/>
      <c r="B83" s="59" t="n"/>
      <c r="C83" s="59" t="n"/>
      <c r="E83" s="16" t="n"/>
      <c r="F83" s="13" t="n"/>
      <c r="G83" s="16" t="n">
        <v>78</v>
      </c>
      <c r="H83" s="124">
        <f>IF(G83="","",COUNTIFS($C$18:$C$2015,G$13,$D$18:$D$2015,"&gt;="&amp;G83,$D$18:$D$2015,"&lt;"&amp;G84))</f>
        <v/>
      </c>
      <c r="I83" s="14" t="n"/>
      <c r="J83" s="16" t="n"/>
      <c r="K83" s="124">
        <f>IF(J83="","",COUNTIFS($C$18:$C$2015,J$13,$D$18:$D$2015,"&gt;="&amp;J83,$D$18:$D$2015,"&lt;"&amp;J84))</f>
        <v/>
      </c>
      <c r="L83" s="14" t="n"/>
      <c r="M83" s="16" t="n"/>
      <c r="N83" s="124">
        <f>IF(M83="","",COUNTIFS($C$18:$C$2015,M$13,$D$18:$D$2015,"&gt;="&amp;M83,$D$18:$D$2015,"&lt;"&amp;M84))</f>
        <v/>
      </c>
      <c r="O83" s="14" t="n"/>
      <c r="P83" s="16" t="n">
        <v>78</v>
      </c>
      <c r="Q83" s="124">
        <f>IF(P83="","",COUNTIFS($C$18:$C$2015,P$13,$D$18:$D$2015,"&gt;="&amp;P83,$D$18:$D$2015,"&lt;"&amp;P84))</f>
        <v/>
      </c>
      <c r="R83" s="14" t="n"/>
      <c r="S83" s="16" t="n"/>
      <c r="T83" s="124">
        <f>IF(S83="","",COUNTIFS($C$18:$C$2015,S$13,$D$18:$D$2015,"&gt;="&amp;S83,$D$18:$D$2015,"&lt;"&amp;S84))</f>
        <v/>
      </c>
      <c r="U83" s="14" t="n"/>
      <c r="V83" s="16" t="n"/>
      <c r="W83" s="124">
        <f>IF(V83="","",COUNTIFS($C$18:$C$2015,V$13,$D$18:$D$2015,"&gt;="&amp;V83,$D$18:$D$2015,"&lt;"&amp;V84))</f>
        <v/>
      </c>
      <c r="X83" s="14" t="n"/>
      <c r="Y83" s="16" t="n"/>
      <c r="Z83" s="124">
        <f>IF(Y83="","",COUNTIFS($C$18:$C$2015,Y$13,$D$18:$D$2015,"&gt;="&amp;Y83,$D$18:$D$2015,"&lt;"&amp;Y84))</f>
        <v/>
      </c>
      <c r="AA83" s="14" t="n"/>
      <c r="AB83" s="16" t="n"/>
      <c r="AC83" s="124">
        <f>IF(AB83="","",COUNTIFS($C$18:$C$2015,AB$13,$D$18:$D$2015,"&gt;="&amp;AB83,$D$18:$D$2015,"&lt;"&amp;AB84))</f>
        <v/>
      </c>
      <c r="AD83" s="14" t="n"/>
    </row>
    <row r="84">
      <c r="A84" s="56" t="n"/>
      <c r="B84" s="59" t="n"/>
      <c r="C84" s="59" t="n"/>
      <c r="E84" s="16" t="n"/>
      <c r="F84" s="13" t="n"/>
      <c r="G84" s="16" t="n">
        <v>79</v>
      </c>
      <c r="H84" s="124">
        <f>IF(G84="","",COUNTIFS($C$18:$C$2015,G$13,$D$18:$D$2015,"&gt;="&amp;G84,$D$18:$D$2015,"&lt;"&amp;G85))</f>
        <v/>
      </c>
      <c r="I84" s="14" t="n"/>
      <c r="J84" s="16" t="n"/>
      <c r="K84" s="124">
        <f>IF(J84="","",COUNTIFS($C$18:$C$2015,J$13,$D$18:$D$2015,"&gt;="&amp;J84,$D$18:$D$2015,"&lt;"&amp;J85))</f>
        <v/>
      </c>
      <c r="L84" s="14" t="n"/>
      <c r="M84" s="16" t="n"/>
      <c r="N84" s="124">
        <f>IF(M84="","",COUNTIFS($C$18:$C$2015,M$13,$D$18:$D$2015,"&gt;="&amp;M84,$D$18:$D$2015,"&lt;"&amp;M85))</f>
        <v/>
      </c>
      <c r="O84" s="14" t="n"/>
      <c r="P84" s="16" t="n">
        <v>79</v>
      </c>
      <c r="Q84" s="124">
        <f>IF(P84="","",COUNTIFS($C$18:$C$2015,P$13,$D$18:$D$2015,"&gt;="&amp;P84,$D$18:$D$2015,"&lt;"&amp;P85))</f>
        <v/>
      </c>
      <c r="R84" s="14" t="n"/>
      <c r="S84" s="16" t="n"/>
      <c r="T84" s="124">
        <f>IF(S84="","",COUNTIFS($C$18:$C$2015,S$13,$D$18:$D$2015,"&gt;="&amp;S84,$D$18:$D$2015,"&lt;"&amp;S85))</f>
        <v/>
      </c>
      <c r="U84" s="14" t="n"/>
      <c r="V84" s="16" t="n"/>
      <c r="W84" s="124">
        <f>IF(V84="","",COUNTIFS($C$18:$C$2015,V$13,$D$18:$D$2015,"&gt;="&amp;V84,$D$18:$D$2015,"&lt;"&amp;V85))</f>
        <v/>
      </c>
      <c r="X84" s="14" t="n"/>
      <c r="Y84" s="16" t="n"/>
      <c r="Z84" s="124">
        <f>IF(Y84="","",COUNTIFS($C$18:$C$2015,Y$13,$D$18:$D$2015,"&gt;="&amp;Y84,$D$18:$D$2015,"&lt;"&amp;Y85))</f>
        <v/>
      </c>
      <c r="AA84" s="14" t="n"/>
      <c r="AB84" s="16" t="n"/>
      <c r="AC84" s="124">
        <f>IF(AB84="","",COUNTIFS($C$18:$C$2015,AB$13,$D$18:$D$2015,"&gt;="&amp;AB84,$D$18:$D$2015,"&lt;"&amp;AB85))</f>
        <v/>
      </c>
      <c r="AD84" s="14" t="n"/>
    </row>
    <row r="85">
      <c r="A85" s="58" t="n"/>
      <c r="B85" s="59" t="n"/>
      <c r="C85" s="59" t="n"/>
      <c r="E85" s="16" t="n"/>
      <c r="F85" s="13" t="n"/>
      <c r="G85" s="16" t="n">
        <v>80</v>
      </c>
      <c r="H85" s="124">
        <f>IF(G85="","",COUNTIFS($C$18:$C$2015,G$13,$D$18:$D$2015,"&gt;="&amp;G85,$D$18:$D$2015,"&lt;"&amp;G86))</f>
        <v/>
      </c>
      <c r="I85" s="14" t="n"/>
      <c r="J85" s="16" t="n"/>
      <c r="K85" s="124">
        <f>IF(J85="","",COUNTIFS($C$18:$C$2015,J$13,$D$18:$D$2015,"&gt;="&amp;J85,$D$18:$D$2015,"&lt;"&amp;J86))</f>
        <v/>
      </c>
      <c r="L85" s="14" t="n"/>
      <c r="M85" s="16" t="n"/>
      <c r="N85" s="124">
        <f>IF(M85="","",COUNTIFS($C$18:$C$2015,M$13,$D$18:$D$2015,"&gt;="&amp;M85,$D$18:$D$2015,"&lt;"&amp;M86))</f>
        <v/>
      </c>
      <c r="O85" s="14" t="n"/>
      <c r="P85" s="16" t="n">
        <v>80</v>
      </c>
      <c r="Q85" s="124">
        <f>IF(P85="","",COUNTIFS($C$18:$C$2015,P$13,$D$18:$D$2015,"&gt;="&amp;P85,$D$18:$D$2015,"&lt;"&amp;P86))</f>
        <v/>
      </c>
      <c r="R85" s="14" t="n"/>
      <c r="S85" s="16" t="n"/>
      <c r="T85" s="124">
        <f>IF(S85="","",COUNTIFS($C$18:$C$2015,S$13,$D$18:$D$2015,"&gt;="&amp;S85,$D$18:$D$2015,"&lt;"&amp;S86))</f>
        <v/>
      </c>
      <c r="U85" s="14" t="n"/>
      <c r="V85" s="16" t="n"/>
      <c r="W85" s="124">
        <f>IF(V85="","",COUNTIFS($C$18:$C$2015,V$13,$D$18:$D$2015,"&gt;="&amp;V85,$D$18:$D$2015,"&lt;"&amp;V86))</f>
        <v/>
      </c>
      <c r="X85" s="14" t="n"/>
      <c r="Y85" s="16" t="n"/>
      <c r="Z85" s="124">
        <f>IF(Y85="","",COUNTIFS($C$18:$C$2015,Y$13,$D$18:$D$2015,"&gt;="&amp;Y85,$D$18:$D$2015,"&lt;"&amp;Y86))</f>
        <v/>
      </c>
      <c r="AA85" s="14" t="n"/>
      <c r="AB85" s="16" t="n"/>
      <c r="AC85" s="124">
        <f>IF(AB85="","",COUNTIFS($C$18:$C$2015,AB$13,$D$18:$D$2015,"&gt;="&amp;AB85,$D$18:$D$2015,"&lt;"&amp;AB86))</f>
        <v/>
      </c>
      <c r="AD85" s="14" t="n"/>
    </row>
    <row r="86">
      <c r="A86" s="56" t="n"/>
      <c r="B86" s="59" t="n"/>
      <c r="C86" s="59" t="n"/>
      <c r="E86" s="16" t="n"/>
      <c r="F86" s="13" t="n"/>
      <c r="G86" s="16" t="n"/>
      <c r="H86" s="124">
        <f>IF(G86="","",COUNTIFS($C$18:$C$2015,G$13,$D$18:$D$2015,"&gt;="&amp;G86,$D$18:$D$2015,"&lt;"&amp;G87))</f>
        <v/>
      </c>
      <c r="I86" s="14" t="n"/>
      <c r="J86" s="16" t="n"/>
      <c r="K86" s="124">
        <f>IF(J86="","",COUNTIFS($C$18:$C$2015,J$13,$D$18:$D$2015,"&gt;="&amp;J86,$D$18:$D$2015,"&lt;"&amp;J87))</f>
        <v/>
      </c>
      <c r="L86" s="14" t="n"/>
      <c r="M86" s="16" t="n"/>
      <c r="N86" s="124">
        <f>IF(M86="","",COUNTIFS($C$18:$C$2015,M$13,$D$18:$D$2015,"&gt;="&amp;M86,$D$18:$D$2015,"&lt;"&amp;M87))</f>
        <v/>
      </c>
      <c r="O86" s="14" t="n"/>
      <c r="P86" s="16" t="n"/>
      <c r="Q86" s="124">
        <f>IF(P86="","",COUNTIFS($C$18:$C$2015,P$13,$D$18:$D$2015,"&gt;="&amp;P86,$D$18:$D$2015,"&lt;"&amp;P87))</f>
        <v/>
      </c>
      <c r="R86" s="14" t="n"/>
      <c r="S86" s="16" t="n"/>
      <c r="T86" s="124">
        <f>IF(S86="","",COUNTIFS($C$18:$C$2015,S$13,$D$18:$D$2015,"&gt;="&amp;S86,$D$18:$D$2015,"&lt;"&amp;S87))</f>
        <v/>
      </c>
      <c r="U86" s="14" t="n"/>
      <c r="V86" s="16" t="n"/>
      <c r="W86" s="124">
        <f>IF(V86="","",COUNTIFS($C$18:$C$2015,V$13,$D$18:$D$2015,"&gt;="&amp;V86,$D$18:$D$2015,"&lt;"&amp;V87))</f>
        <v/>
      </c>
      <c r="X86" s="14" t="n"/>
      <c r="Y86" s="16" t="n"/>
      <c r="Z86" s="124">
        <f>IF(Y86="","",COUNTIFS($C$18:$C$2015,Y$13,$D$18:$D$2015,"&gt;="&amp;Y86,$D$18:$D$2015,"&lt;"&amp;Y87))</f>
        <v/>
      </c>
      <c r="AA86" s="14" t="n"/>
      <c r="AB86" s="16" t="n"/>
      <c r="AC86" s="124">
        <f>IF(AB86="","",COUNTIFS($C$18:$C$2015,AB$13,$D$18:$D$2015,"&gt;="&amp;AB86,$D$18:$D$2015,"&lt;"&amp;AB87))</f>
        <v/>
      </c>
      <c r="AD86" s="14" t="n"/>
    </row>
    <row r="87">
      <c r="A87" s="58" t="n"/>
      <c r="B87" s="59" t="n"/>
      <c r="C87" s="59" t="n"/>
      <c r="E87" s="16" t="n"/>
      <c r="F87" s="13" t="n"/>
      <c r="G87" s="16" t="n"/>
      <c r="H87" s="124">
        <f>IF(G87="","",COUNTIFS($C$18:$C$2015,G$13,$D$18:$D$2015,"&gt;="&amp;G87,$D$18:$D$2015,"&lt;"&amp;G88))</f>
        <v/>
      </c>
      <c r="I87" s="14" t="n"/>
      <c r="J87" s="16" t="n"/>
      <c r="K87" s="124">
        <f>IF(J87="","",COUNTIFS($C$18:$C$2015,J$13,$D$18:$D$2015,"&gt;="&amp;J87,$D$18:$D$2015,"&lt;"&amp;J88))</f>
        <v/>
      </c>
      <c r="L87" s="14" t="n"/>
      <c r="M87" s="16" t="n"/>
      <c r="N87" s="124">
        <f>IF(M87="","",COUNTIFS($C$18:$C$2015,M$13,$D$18:$D$2015,"&gt;="&amp;M87,$D$18:$D$2015,"&lt;"&amp;M88))</f>
        <v/>
      </c>
      <c r="O87" s="14" t="n"/>
      <c r="P87" s="16" t="n"/>
      <c r="Q87" s="124">
        <f>IF(P87="","",COUNTIFS($C$18:$C$2015,P$13,$D$18:$D$2015,"&gt;="&amp;P87,$D$18:$D$2015,"&lt;"&amp;P88))</f>
        <v/>
      </c>
      <c r="R87" s="14" t="n"/>
      <c r="S87" s="16" t="n"/>
      <c r="T87" s="124">
        <f>IF(S87="","",COUNTIFS($C$18:$C$2015,S$13,$D$18:$D$2015,"&gt;="&amp;S87,$D$18:$D$2015,"&lt;"&amp;S88))</f>
        <v/>
      </c>
      <c r="U87" s="14" t="n"/>
      <c r="V87" s="16" t="n"/>
      <c r="W87" s="124">
        <f>IF(V87="","",COUNTIFS($C$18:$C$2015,V$13,$D$18:$D$2015,"&gt;="&amp;V87,$D$18:$D$2015,"&lt;"&amp;V88))</f>
        <v/>
      </c>
      <c r="X87" s="14" t="n"/>
      <c r="Y87" s="16" t="n"/>
      <c r="Z87" s="124">
        <f>IF(Y87="","",COUNTIFS($C$18:$C$2015,Y$13,$D$18:$D$2015,"&gt;="&amp;Y87,$D$18:$D$2015,"&lt;"&amp;Y88))</f>
        <v/>
      </c>
      <c r="AA87" s="14" t="n"/>
      <c r="AB87" s="16" t="n"/>
      <c r="AC87" s="124">
        <f>IF(AB87="","",COUNTIFS($C$18:$C$2015,AB$13,$D$18:$D$2015,"&gt;="&amp;AB87,$D$18:$D$2015,"&lt;"&amp;AB88))</f>
        <v/>
      </c>
      <c r="AD87" s="14" t="n"/>
    </row>
    <row r="88">
      <c r="A88" s="56" t="n"/>
      <c r="B88" s="59" t="n"/>
      <c r="C88" s="59" t="n"/>
      <c r="E88" s="16" t="n"/>
      <c r="F88" s="13" t="n"/>
      <c r="G88" s="16" t="n"/>
      <c r="H88" s="124">
        <f>IF(G88="","",COUNTIFS($C$18:$C$2015,G$13,$D$18:$D$2015,"&gt;="&amp;G88,$D$18:$D$2015,"&lt;"&amp;G89))</f>
        <v/>
      </c>
      <c r="I88" s="14" t="n"/>
      <c r="J88" s="16" t="n"/>
      <c r="K88" s="124">
        <f>IF(J88="","",COUNTIFS($C$18:$C$2015,J$13,$D$18:$D$2015,"&gt;="&amp;J88,$D$18:$D$2015,"&lt;"&amp;J89))</f>
        <v/>
      </c>
      <c r="L88" s="14" t="n"/>
      <c r="M88" s="16" t="n"/>
      <c r="N88" s="124">
        <f>IF(M88="","",COUNTIFS($C$18:$C$2015,M$13,$D$18:$D$2015,"&gt;="&amp;M88,$D$18:$D$2015,"&lt;"&amp;M89))</f>
        <v/>
      </c>
      <c r="O88" s="14" t="n"/>
      <c r="P88" s="16" t="n"/>
      <c r="Q88" s="124">
        <f>IF(P88="","",COUNTIFS($C$18:$C$2015,P$13,$D$18:$D$2015,"&gt;="&amp;P88,$D$18:$D$2015,"&lt;"&amp;P89))</f>
        <v/>
      </c>
      <c r="R88" s="14" t="n"/>
      <c r="S88" s="16" t="n"/>
      <c r="T88" s="124">
        <f>IF(S88="","",COUNTIFS($C$18:$C$2015,S$13,$D$18:$D$2015,"&gt;="&amp;S88,$D$18:$D$2015,"&lt;"&amp;S89))</f>
        <v/>
      </c>
      <c r="U88" s="14" t="n"/>
      <c r="V88" s="16" t="n"/>
      <c r="W88" s="124">
        <f>IF(V88="","",COUNTIFS($C$18:$C$2015,V$13,$D$18:$D$2015,"&gt;="&amp;V88,$D$18:$D$2015,"&lt;"&amp;V89))</f>
        <v/>
      </c>
      <c r="X88" s="14" t="n"/>
      <c r="Y88" s="16" t="n"/>
      <c r="Z88" s="124">
        <f>IF(Y88="","",COUNTIFS($C$18:$C$2015,Y$13,$D$18:$D$2015,"&gt;="&amp;Y88,$D$18:$D$2015,"&lt;"&amp;Y89))</f>
        <v/>
      </c>
      <c r="AA88" s="14" t="n"/>
      <c r="AB88" s="16" t="n"/>
      <c r="AC88" s="124">
        <f>IF(AB88="","",COUNTIFS($C$18:$C$2015,AB$13,$D$18:$D$2015,"&gt;="&amp;AB88,$D$18:$D$2015,"&lt;"&amp;AB89))</f>
        <v/>
      </c>
      <c r="AD88" s="14" t="n"/>
    </row>
    <row r="89">
      <c r="A89" s="58" t="n"/>
      <c r="B89" s="59" t="n"/>
      <c r="C89" s="59" t="n"/>
      <c r="E89" s="16" t="n"/>
      <c r="F89" s="13" t="n"/>
      <c r="G89" s="16" t="n"/>
      <c r="H89" s="124">
        <f>IF(G89="","",COUNTIFS($C$18:$C$2015,G$13,$D$18:$D$2015,"&gt;="&amp;G89,$D$18:$D$2015,"&lt;"&amp;G90))</f>
        <v/>
      </c>
      <c r="I89" s="14" t="n"/>
      <c r="J89" s="16" t="n"/>
      <c r="K89" s="124">
        <f>IF(J89="","",COUNTIFS($C$18:$C$2015,J$13,$D$18:$D$2015,"&gt;="&amp;J89,$D$18:$D$2015,"&lt;"&amp;J90))</f>
        <v/>
      </c>
      <c r="L89" s="14" t="n"/>
      <c r="M89" s="16" t="n"/>
      <c r="N89" s="124">
        <f>IF(M89="","",COUNTIFS($C$18:$C$2015,M$13,$D$18:$D$2015,"&gt;="&amp;M89,$D$18:$D$2015,"&lt;"&amp;M90))</f>
        <v/>
      </c>
      <c r="O89" s="14" t="n"/>
      <c r="P89" s="16" t="n"/>
      <c r="Q89" s="124">
        <f>IF(P89="","",COUNTIFS($C$18:$C$2015,P$13,$D$18:$D$2015,"&gt;="&amp;P89,$D$18:$D$2015,"&lt;"&amp;P90))</f>
        <v/>
      </c>
      <c r="R89" s="14" t="n"/>
      <c r="S89" s="16" t="n"/>
      <c r="T89" s="124">
        <f>IF(S89="","",COUNTIFS($C$18:$C$2015,S$13,$D$18:$D$2015,"&gt;="&amp;S89,$D$18:$D$2015,"&lt;"&amp;S90))</f>
        <v/>
      </c>
      <c r="U89" s="14" t="n"/>
      <c r="V89" s="16" t="n"/>
      <c r="W89" s="124">
        <f>IF(V89="","",COUNTIFS($C$18:$C$2015,V$13,$D$18:$D$2015,"&gt;="&amp;V89,$D$18:$D$2015,"&lt;"&amp;V90))</f>
        <v/>
      </c>
      <c r="X89" s="14" t="n"/>
      <c r="Y89" s="16" t="n"/>
      <c r="Z89" s="124">
        <f>IF(Y89="","",COUNTIFS($C$18:$C$2015,Y$13,$D$18:$D$2015,"&gt;="&amp;Y89,$D$18:$D$2015,"&lt;"&amp;Y90))</f>
        <v/>
      </c>
      <c r="AA89" s="14" t="n"/>
      <c r="AB89" s="16" t="n"/>
      <c r="AC89" s="124">
        <f>IF(AB89="","",COUNTIFS($C$18:$C$2015,AB$13,$D$18:$D$2015,"&gt;="&amp;AB89,$D$18:$D$2015,"&lt;"&amp;AB90))</f>
        <v/>
      </c>
      <c r="AD89" s="14" t="n"/>
    </row>
    <row r="90">
      <c r="A90" s="56" t="n"/>
      <c r="B90" s="59" t="n"/>
      <c r="C90" s="59" t="n"/>
      <c r="E90" s="16" t="n"/>
      <c r="F90" s="13" t="n"/>
      <c r="G90" s="16" t="n"/>
      <c r="H90" s="124">
        <f>IF(G90="","",COUNTIFS($C$18:$C$2015,G$13,$D$18:$D$2015,"&gt;="&amp;G90,$D$18:$D$2015,"&lt;"&amp;G91))</f>
        <v/>
      </c>
      <c r="I90" s="14" t="n"/>
      <c r="J90" s="16" t="n"/>
      <c r="K90" s="124">
        <f>IF(J90="","",COUNTIFS($C$18:$C$2015,J$13,$D$18:$D$2015,"&gt;="&amp;J90,$D$18:$D$2015,"&lt;"&amp;J91))</f>
        <v/>
      </c>
      <c r="L90" s="14" t="n"/>
      <c r="M90" s="16" t="n"/>
      <c r="N90" s="124">
        <f>IF(M90="","",COUNTIFS($C$18:$C$2015,M$13,$D$18:$D$2015,"&gt;="&amp;M90,$D$18:$D$2015,"&lt;"&amp;M91))</f>
        <v/>
      </c>
      <c r="O90" s="14" t="n"/>
      <c r="P90" s="16" t="n"/>
      <c r="Q90" s="124">
        <f>IF(P90="","",COUNTIFS($C$18:$C$2015,P$13,$D$18:$D$2015,"&gt;="&amp;P90,$D$18:$D$2015,"&lt;"&amp;P91))</f>
        <v/>
      </c>
      <c r="R90" s="14" t="n"/>
      <c r="S90" s="16" t="n"/>
      <c r="T90" s="124">
        <f>IF(S90="","",COUNTIFS($C$18:$C$2015,S$13,$D$18:$D$2015,"&gt;="&amp;S90,$D$18:$D$2015,"&lt;"&amp;S91))</f>
        <v/>
      </c>
      <c r="U90" s="14" t="n"/>
      <c r="V90" s="16" t="n"/>
      <c r="W90" s="124">
        <f>IF(V90="","",COUNTIFS($C$18:$C$2015,V$13,$D$18:$D$2015,"&gt;="&amp;V90,$D$18:$D$2015,"&lt;"&amp;V91))</f>
        <v/>
      </c>
      <c r="X90" s="14" t="n"/>
      <c r="Y90" s="16" t="n"/>
      <c r="Z90" s="124">
        <f>IF(Y90="","",COUNTIFS($C$18:$C$2015,Y$13,$D$18:$D$2015,"&gt;="&amp;Y90,$D$18:$D$2015,"&lt;"&amp;Y91))</f>
        <v/>
      </c>
      <c r="AA90" s="14" t="n"/>
      <c r="AB90" s="16" t="n"/>
      <c r="AC90" s="124">
        <f>IF(AB90="","",COUNTIFS($C$18:$C$2015,AB$13,$D$18:$D$2015,"&gt;="&amp;AB90,$D$18:$D$2015,"&lt;"&amp;AB91))</f>
        <v/>
      </c>
      <c r="AD90" s="14" t="n"/>
    </row>
    <row r="91">
      <c r="A91" s="58" t="n"/>
      <c r="B91" s="59" t="n"/>
      <c r="C91" s="59" t="n"/>
      <c r="E91" s="16" t="n"/>
      <c r="F91" s="13" t="n"/>
      <c r="G91" s="16" t="n"/>
      <c r="H91" s="124">
        <f>IF(G91="","",COUNTIFS($C$18:$C$2015,G$13,$D$18:$D$2015,"&gt;="&amp;G91,$D$18:$D$2015,"&lt;"&amp;G92))</f>
        <v/>
      </c>
      <c r="I91" s="14" t="n"/>
      <c r="J91" s="16" t="n"/>
      <c r="K91" s="124">
        <f>IF(J91="","",COUNTIFS($C$18:$C$2015,J$13,$D$18:$D$2015,"&gt;="&amp;J91,$D$18:$D$2015,"&lt;"&amp;J92))</f>
        <v/>
      </c>
      <c r="L91" s="14" t="n"/>
      <c r="M91" s="16" t="n"/>
      <c r="N91" s="124">
        <f>IF(M91="","",COUNTIFS($C$18:$C$2015,M$13,$D$18:$D$2015,"&gt;="&amp;M91,$D$18:$D$2015,"&lt;"&amp;M92))</f>
        <v/>
      </c>
      <c r="O91" s="14" t="n"/>
      <c r="P91" s="16" t="n"/>
      <c r="Q91" s="124">
        <f>IF(P91="","",COUNTIFS($C$18:$C$2015,P$13,$D$18:$D$2015,"&gt;="&amp;P91,$D$18:$D$2015,"&lt;"&amp;P92))</f>
        <v/>
      </c>
      <c r="R91" s="14" t="n"/>
      <c r="S91" s="16" t="n"/>
      <c r="T91" s="124">
        <f>IF(S91="","",COUNTIFS($C$18:$C$2015,S$13,$D$18:$D$2015,"&gt;="&amp;S91,$D$18:$D$2015,"&lt;"&amp;S92))</f>
        <v/>
      </c>
      <c r="U91" s="14" t="n"/>
      <c r="V91" s="16" t="n"/>
      <c r="W91" s="124">
        <f>IF(V91="","",COUNTIFS($C$18:$C$2015,V$13,$D$18:$D$2015,"&gt;="&amp;V91,$D$18:$D$2015,"&lt;"&amp;V92))</f>
        <v/>
      </c>
      <c r="X91" s="14" t="n"/>
      <c r="Y91" s="16" t="n"/>
      <c r="Z91" s="124">
        <f>IF(Y91="","",COUNTIFS($C$18:$C$2015,Y$13,$D$18:$D$2015,"&gt;="&amp;Y91,$D$18:$D$2015,"&lt;"&amp;Y92))</f>
        <v/>
      </c>
      <c r="AA91" s="14" t="n"/>
      <c r="AB91" s="16" t="n"/>
      <c r="AC91" s="124">
        <f>IF(AB91="","",COUNTIFS($C$18:$C$2015,AB$13,$D$18:$D$2015,"&gt;="&amp;AB91,$D$18:$D$2015,"&lt;"&amp;AB92))</f>
        <v/>
      </c>
      <c r="AD91" s="14" t="n"/>
    </row>
    <row r="92">
      <c r="A92" s="56" t="n"/>
      <c r="B92" s="59" t="n"/>
      <c r="C92" s="59" t="n"/>
      <c r="E92" s="16" t="n"/>
      <c r="F92" s="13" t="n"/>
      <c r="G92" s="16" t="n"/>
      <c r="H92" s="124">
        <f>IF(G92="","",COUNTIFS($C$18:$C$2015,G$13,$D$18:$D$2015,"&gt;="&amp;G92,$D$18:$D$2015,"&lt;"&amp;G93))</f>
        <v/>
      </c>
      <c r="I92" s="14" t="n"/>
      <c r="J92" s="16" t="n"/>
      <c r="K92" s="124">
        <f>IF(J92="","",COUNTIFS($C$18:$C$2015,J$13,$D$18:$D$2015,"&gt;="&amp;J92,$D$18:$D$2015,"&lt;"&amp;J93))</f>
        <v/>
      </c>
      <c r="L92" s="14" t="n"/>
      <c r="M92" s="16" t="n"/>
      <c r="N92" s="124">
        <f>IF(M92="","",COUNTIFS($C$18:$C$2015,M$13,$D$18:$D$2015,"&gt;="&amp;M92,$D$18:$D$2015,"&lt;"&amp;M93))</f>
        <v/>
      </c>
      <c r="O92" s="14" t="n"/>
      <c r="P92" s="16" t="n"/>
      <c r="Q92" s="124">
        <f>IF(P92="","",COUNTIFS($C$18:$C$2015,P$13,$D$18:$D$2015,"&gt;="&amp;P92,$D$18:$D$2015,"&lt;"&amp;P93))</f>
        <v/>
      </c>
      <c r="R92" s="14" t="n"/>
      <c r="S92" s="16" t="n"/>
      <c r="T92" s="124">
        <f>IF(S92="","",COUNTIFS($C$18:$C$2015,S$13,$D$18:$D$2015,"&gt;="&amp;S92,$D$18:$D$2015,"&lt;"&amp;S93))</f>
        <v/>
      </c>
      <c r="U92" s="14" t="n"/>
      <c r="V92" s="16" t="n"/>
      <c r="W92" s="124">
        <f>IF(V92="","",COUNTIFS($C$18:$C$2015,V$13,$D$18:$D$2015,"&gt;="&amp;V92,$D$18:$D$2015,"&lt;"&amp;V93))</f>
        <v/>
      </c>
      <c r="X92" s="14" t="n"/>
      <c r="Y92" s="16" t="n"/>
      <c r="Z92" s="124">
        <f>IF(Y92="","",COUNTIFS($C$18:$C$2015,Y$13,$D$18:$D$2015,"&gt;="&amp;Y92,$D$18:$D$2015,"&lt;"&amp;Y93))</f>
        <v/>
      </c>
      <c r="AA92" s="14" t="n"/>
      <c r="AB92" s="16" t="n"/>
      <c r="AC92" s="124">
        <f>IF(AB92="","",COUNTIFS($C$18:$C$2015,AB$13,$D$18:$D$2015,"&gt;="&amp;AB92,$D$18:$D$2015,"&lt;"&amp;AB93))</f>
        <v/>
      </c>
      <c r="AD92" s="14" t="n"/>
    </row>
    <row r="93">
      <c r="A93" s="58" t="n"/>
      <c r="B93" s="59" t="n"/>
      <c r="C93" s="59" t="n"/>
      <c r="E93" s="16" t="n"/>
      <c r="F93" s="13" t="n"/>
      <c r="G93" s="16" t="n"/>
      <c r="H93" s="124">
        <f>IF(G93="","",COUNTIFS($C$18:$C$2015,G$13,$D$18:$D$2015,"&gt;="&amp;G93,$D$18:$D$2015,"&lt;"&amp;G94))</f>
        <v/>
      </c>
      <c r="I93" s="14" t="n"/>
      <c r="J93" s="16" t="n"/>
      <c r="K93" s="124">
        <f>IF(J93="","",COUNTIFS($C$18:$C$2015,J$13,$D$18:$D$2015,"&gt;="&amp;J93,$D$18:$D$2015,"&lt;"&amp;J94))</f>
        <v/>
      </c>
      <c r="L93" s="14" t="n"/>
      <c r="M93" s="16" t="n"/>
      <c r="N93" s="124">
        <f>IF(M93="","",COUNTIFS($C$18:$C$2015,M$13,$D$18:$D$2015,"&gt;="&amp;M93,$D$18:$D$2015,"&lt;"&amp;M94))</f>
        <v/>
      </c>
      <c r="O93" s="14" t="n"/>
      <c r="P93" s="16" t="n"/>
      <c r="Q93" s="124">
        <f>IF(P93="","",COUNTIFS($C$18:$C$2015,P$13,$D$18:$D$2015,"&gt;="&amp;P93,$D$18:$D$2015,"&lt;"&amp;P94))</f>
        <v/>
      </c>
      <c r="R93" s="14" t="n"/>
      <c r="S93" s="16" t="n"/>
      <c r="T93" s="124">
        <f>IF(S93="","",COUNTIFS($C$18:$C$2015,S$13,$D$18:$D$2015,"&gt;="&amp;S93,$D$18:$D$2015,"&lt;"&amp;S94))</f>
        <v/>
      </c>
      <c r="U93" s="14" t="n"/>
      <c r="V93" s="16" t="n"/>
      <c r="W93" s="124">
        <f>IF(V93="","",COUNTIFS($C$18:$C$2015,V$13,$D$18:$D$2015,"&gt;="&amp;V93,$D$18:$D$2015,"&lt;"&amp;V94))</f>
        <v/>
      </c>
      <c r="X93" s="14" t="n"/>
      <c r="Y93" s="16" t="n"/>
      <c r="Z93" s="124">
        <f>IF(Y93="","",COUNTIFS($C$18:$C$2015,Y$13,$D$18:$D$2015,"&gt;="&amp;Y93,$D$18:$D$2015,"&lt;"&amp;Y94))</f>
        <v/>
      </c>
      <c r="AA93" s="14" t="n"/>
      <c r="AB93" s="16" t="n"/>
      <c r="AC93" s="124">
        <f>IF(AB93="","",COUNTIFS($C$18:$C$2015,AB$13,$D$18:$D$2015,"&gt;="&amp;AB93,$D$18:$D$2015,"&lt;"&amp;AB94))</f>
        <v/>
      </c>
      <c r="AD93" s="14" t="n"/>
    </row>
    <row r="94">
      <c r="A94" s="56" t="n"/>
      <c r="B94" s="59" t="n"/>
      <c r="C94" s="59" t="n"/>
      <c r="E94" s="16" t="n"/>
      <c r="F94" s="13" t="n"/>
      <c r="G94" s="16" t="n"/>
      <c r="H94" s="124">
        <f>IF(G94="","",COUNTIFS($C$18:$C$2015,G$13,$D$18:$D$2015,"&gt;="&amp;G94,$D$18:$D$2015,"&lt;"&amp;G95))</f>
        <v/>
      </c>
      <c r="I94" s="14" t="n"/>
      <c r="J94" s="16" t="n"/>
      <c r="K94" s="124">
        <f>IF(J94="","",COUNTIFS($C$18:$C$2015,J$13,$D$18:$D$2015,"&gt;="&amp;J94,$D$18:$D$2015,"&lt;"&amp;J95))</f>
        <v/>
      </c>
      <c r="L94" s="14" t="n"/>
      <c r="M94" s="16" t="n"/>
      <c r="N94" s="124">
        <f>IF(M94="","",COUNTIFS($C$18:$C$2015,M$13,$D$18:$D$2015,"&gt;="&amp;M94,$D$18:$D$2015,"&lt;"&amp;M95))</f>
        <v/>
      </c>
      <c r="O94" s="14" t="n"/>
      <c r="P94" s="16" t="n"/>
      <c r="Q94" s="124">
        <f>IF(P94="","",COUNTIFS($C$18:$C$2015,P$13,$D$18:$D$2015,"&gt;="&amp;P94,$D$18:$D$2015,"&lt;"&amp;P95))</f>
        <v/>
      </c>
      <c r="R94" s="14" t="n"/>
      <c r="S94" s="16" t="n"/>
      <c r="T94" s="124">
        <f>IF(S94="","",COUNTIFS($C$18:$C$2015,S$13,$D$18:$D$2015,"&gt;="&amp;S94,$D$18:$D$2015,"&lt;"&amp;S95))</f>
        <v/>
      </c>
      <c r="U94" s="14" t="n"/>
      <c r="V94" s="16" t="n"/>
      <c r="W94" s="124">
        <f>IF(V94="","",COUNTIFS($C$18:$C$2015,V$13,$D$18:$D$2015,"&gt;="&amp;V94,$D$18:$D$2015,"&lt;"&amp;V95))</f>
        <v/>
      </c>
      <c r="X94" s="14" t="n"/>
      <c r="Y94" s="16" t="n"/>
      <c r="Z94" s="124">
        <f>IF(Y94="","",COUNTIFS($C$18:$C$2015,Y$13,$D$18:$D$2015,"&gt;="&amp;Y94,$D$18:$D$2015,"&lt;"&amp;Y95))</f>
        <v/>
      </c>
      <c r="AA94" s="14" t="n"/>
      <c r="AB94" s="16" t="n"/>
      <c r="AC94" s="124">
        <f>IF(AB94="","",COUNTIFS($C$18:$C$2015,AB$13,$D$18:$D$2015,"&gt;="&amp;AB94,$D$18:$D$2015,"&lt;"&amp;AB95))</f>
        <v/>
      </c>
      <c r="AD94" s="14" t="n"/>
    </row>
    <row r="95">
      <c r="A95" s="58" t="n"/>
      <c r="B95" s="59" t="n"/>
      <c r="C95" s="59" t="n"/>
      <c r="E95" s="16" t="n"/>
      <c r="F95" s="13" t="n"/>
      <c r="G95" s="16" t="n"/>
      <c r="H95" s="124">
        <f>IF(G95="","",COUNTIFS($C$18:$C$2015,G$13,$D$18:$D$2015,"&gt;="&amp;G95,$D$18:$D$2015,"&lt;"&amp;G96))</f>
        <v/>
      </c>
      <c r="I95" s="14" t="n"/>
      <c r="J95" s="16" t="n"/>
      <c r="K95" s="124">
        <f>IF(J95="","",COUNTIFS($C$18:$C$2015,J$13,$D$18:$D$2015,"&gt;="&amp;J95,$D$18:$D$2015,"&lt;"&amp;J96))</f>
        <v/>
      </c>
      <c r="L95" s="14" t="n"/>
      <c r="M95" s="16" t="n"/>
      <c r="N95" s="124">
        <f>IF(M95="","",COUNTIFS($C$18:$C$2015,M$13,$D$18:$D$2015,"&gt;="&amp;M95,$D$18:$D$2015,"&lt;"&amp;M96))</f>
        <v/>
      </c>
      <c r="O95" s="14" t="n"/>
      <c r="P95" s="16" t="n"/>
      <c r="Q95" s="124">
        <f>IF(P95="","",COUNTIFS($C$18:$C$2015,P$13,$D$18:$D$2015,"&gt;="&amp;P95,$D$18:$D$2015,"&lt;"&amp;P96))</f>
        <v/>
      </c>
      <c r="R95" s="14" t="n"/>
      <c r="S95" s="16" t="n"/>
      <c r="T95" s="124">
        <f>IF(S95="","",COUNTIFS($C$18:$C$2015,S$13,$D$18:$D$2015,"&gt;="&amp;S95,$D$18:$D$2015,"&lt;"&amp;S96))</f>
        <v/>
      </c>
      <c r="U95" s="14" t="n"/>
      <c r="V95" s="16" t="n"/>
      <c r="W95" s="124">
        <f>IF(V95="","",COUNTIFS($C$18:$C$2015,V$13,$D$18:$D$2015,"&gt;="&amp;V95,$D$18:$D$2015,"&lt;"&amp;V96))</f>
        <v/>
      </c>
      <c r="X95" s="14" t="n"/>
      <c r="Y95" s="16" t="n"/>
      <c r="Z95" s="124">
        <f>IF(Y95="","",COUNTIFS($C$18:$C$2015,Y$13,$D$18:$D$2015,"&gt;="&amp;Y95,$D$18:$D$2015,"&lt;"&amp;Y96))</f>
        <v/>
      </c>
      <c r="AA95" s="14" t="n"/>
      <c r="AB95" s="16" t="n"/>
      <c r="AC95" s="124">
        <f>IF(AB95="","",COUNTIFS($C$18:$C$2015,AB$13,$D$18:$D$2015,"&gt;="&amp;AB95,$D$18:$D$2015,"&lt;"&amp;AB96))</f>
        <v/>
      </c>
      <c r="AD95" s="14" t="n"/>
    </row>
    <row r="96">
      <c r="A96" s="56" t="n"/>
      <c r="B96" s="59" t="n"/>
      <c r="C96" s="59" t="n"/>
      <c r="E96" s="16" t="n"/>
      <c r="F96" s="13" t="n"/>
      <c r="G96" s="16" t="n"/>
      <c r="H96" s="124">
        <f>IF(G96="","",COUNTIFS($C$18:$C$2015,G$13,$D$18:$D$2015,"&gt;="&amp;G96,$D$18:$D$2015,"&lt;"&amp;G97))</f>
        <v/>
      </c>
      <c r="I96" s="14" t="n"/>
      <c r="J96" s="16" t="n"/>
      <c r="K96" s="124">
        <f>IF(J96="","",COUNTIFS($C$18:$C$2015,J$13,$D$18:$D$2015,"&gt;="&amp;J96,$D$18:$D$2015,"&lt;"&amp;J97))</f>
        <v/>
      </c>
      <c r="L96" s="14" t="n"/>
      <c r="M96" s="16" t="n"/>
      <c r="N96" s="124">
        <f>IF(M96="","",COUNTIFS($C$18:$C$2015,M$13,$D$18:$D$2015,"&gt;="&amp;M96,$D$18:$D$2015,"&lt;"&amp;M97))</f>
        <v/>
      </c>
      <c r="O96" s="14" t="n"/>
      <c r="P96" s="16" t="n"/>
      <c r="Q96" s="124">
        <f>IF(P96="","",COUNTIFS($C$18:$C$2015,P$13,$D$18:$D$2015,"&gt;="&amp;P96,$D$18:$D$2015,"&lt;"&amp;P97))</f>
        <v/>
      </c>
      <c r="R96" s="14" t="n"/>
      <c r="S96" s="16" t="n"/>
      <c r="T96" s="124">
        <f>IF(S96="","",COUNTIFS($C$18:$C$2015,S$13,$D$18:$D$2015,"&gt;="&amp;S96,$D$18:$D$2015,"&lt;"&amp;S97))</f>
        <v/>
      </c>
      <c r="U96" s="14" t="n"/>
      <c r="V96" s="16" t="n"/>
      <c r="W96" s="124">
        <f>IF(V96="","",COUNTIFS($C$18:$C$2015,V$13,$D$18:$D$2015,"&gt;="&amp;V96,$D$18:$D$2015,"&lt;"&amp;V97))</f>
        <v/>
      </c>
      <c r="X96" s="14" t="n"/>
      <c r="Y96" s="16" t="n"/>
      <c r="Z96" s="124">
        <f>IF(Y96="","",COUNTIFS($C$18:$C$2015,Y$13,$D$18:$D$2015,"&gt;="&amp;Y96,$D$18:$D$2015,"&lt;"&amp;Y97))</f>
        <v/>
      </c>
      <c r="AA96" s="14" t="n"/>
      <c r="AB96" s="16" t="n"/>
      <c r="AC96" s="124">
        <f>IF(AB96="","",COUNTIFS($C$18:$C$2015,AB$13,$D$18:$D$2015,"&gt;="&amp;AB96,$D$18:$D$2015,"&lt;"&amp;AB97))</f>
        <v/>
      </c>
      <c r="AD96" s="14" t="n"/>
    </row>
    <row r="97">
      <c r="A97" s="58" t="n"/>
      <c r="B97" s="59" t="n"/>
      <c r="C97" s="59" t="n"/>
      <c r="E97" s="16" t="n"/>
      <c r="F97" s="13" t="n"/>
      <c r="G97" s="16" t="n"/>
      <c r="H97" s="124">
        <f>IF(G97="","",COUNTIFS($C$18:$C$2015,G$13,$D$18:$D$2015,"&gt;="&amp;G97,$D$18:$D$2015,"&lt;"&amp;G98))</f>
        <v/>
      </c>
      <c r="I97" s="14" t="n"/>
      <c r="J97" s="16" t="n"/>
      <c r="K97" s="124">
        <f>IF(J97="","",COUNTIFS($C$18:$C$2015,J$13,$D$18:$D$2015,"&gt;="&amp;J97,$D$18:$D$2015,"&lt;"&amp;J98))</f>
        <v/>
      </c>
      <c r="L97" s="14" t="n"/>
      <c r="M97" s="16" t="n"/>
      <c r="N97" s="124">
        <f>IF(M97="","",COUNTIFS($C$18:$C$2015,M$13,$D$18:$D$2015,"&gt;="&amp;M97,$D$18:$D$2015,"&lt;"&amp;M98))</f>
        <v/>
      </c>
      <c r="O97" s="14" t="n"/>
      <c r="P97" s="16" t="n"/>
      <c r="Q97" s="124">
        <f>IF(P97="","",COUNTIFS($C$18:$C$2015,P$13,$D$18:$D$2015,"&gt;="&amp;P97,$D$18:$D$2015,"&lt;"&amp;P98))</f>
        <v/>
      </c>
      <c r="R97" s="14" t="n"/>
      <c r="S97" s="16" t="n"/>
      <c r="T97" s="124">
        <f>IF(S97="","",COUNTIFS($C$18:$C$2015,S$13,$D$18:$D$2015,"&gt;="&amp;S97,$D$18:$D$2015,"&lt;"&amp;S98))</f>
        <v/>
      </c>
      <c r="U97" s="14" t="n"/>
      <c r="V97" s="16" t="n"/>
      <c r="W97" s="124">
        <f>IF(V97="","",COUNTIFS($C$18:$C$2015,V$13,$D$18:$D$2015,"&gt;="&amp;V97,$D$18:$D$2015,"&lt;"&amp;V98))</f>
        <v/>
      </c>
      <c r="X97" s="14" t="n"/>
      <c r="Y97" s="16" t="n"/>
      <c r="Z97" s="124">
        <f>IF(Y97="","",COUNTIFS($C$18:$C$2015,Y$13,$D$18:$D$2015,"&gt;="&amp;Y97,$D$18:$D$2015,"&lt;"&amp;Y98))</f>
        <v/>
      </c>
      <c r="AA97" s="14" t="n"/>
      <c r="AB97" s="16" t="n"/>
      <c r="AC97" s="124">
        <f>IF(AB97="","",COUNTIFS($C$18:$C$2015,AB$13,$D$18:$D$2015,"&gt;="&amp;AB97,$D$18:$D$2015,"&lt;"&amp;AB98))</f>
        <v/>
      </c>
      <c r="AD97" s="14" t="n"/>
    </row>
    <row r="98">
      <c r="A98" s="56" t="n"/>
      <c r="B98" s="59" t="n"/>
      <c r="C98" s="59" t="n"/>
      <c r="E98" s="16" t="n"/>
      <c r="F98" s="13" t="n"/>
      <c r="G98" s="16" t="n"/>
      <c r="H98" s="124">
        <f>IF(G98="","",COUNTIFS($C$18:$C$2015,G$13,$D$18:$D$2015,"&gt;="&amp;G98,$D$18:$D$2015,"&lt;"&amp;G99))</f>
        <v/>
      </c>
      <c r="I98" s="14" t="n"/>
      <c r="J98" s="16" t="n"/>
      <c r="K98" s="124">
        <f>IF(J98="","",COUNTIFS($C$18:$C$2015,J$13,$D$18:$D$2015,"&gt;="&amp;J98,$D$18:$D$2015,"&lt;"&amp;J99))</f>
        <v/>
      </c>
      <c r="L98" s="14" t="n"/>
      <c r="M98" s="16" t="n"/>
      <c r="N98" s="124">
        <f>IF(M98="","",COUNTIFS($C$18:$C$2015,M$13,$D$18:$D$2015,"&gt;="&amp;M98,$D$18:$D$2015,"&lt;"&amp;M99))</f>
        <v/>
      </c>
      <c r="O98" s="14" t="n"/>
      <c r="P98" s="16" t="n"/>
      <c r="Q98" s="124">
        <f>IF(P98="","",COUNTIFS($C$18:$C$2015,P$13,$D$18:$D$2015,"&gt;="&amp;P98,$D$18:$D$2015,"&lt;"&amp;P99))</f>
        <v/>
      </c>
      <c r="R98" s="14" t="n"/>
      <c r="S98" s="16" t="n"/>
      <c r="T98" s="124">
        <f>IF(S98="","",COUNTIFS($C$18:$C$2015,S$13,$D$18:$D$2015,"&gt;="&amp;S98,$D$18:$D$2015,"&lt;"&amp;S99))</f>
        <v/>
      </c>
      <c r="U98" s="14" t="n"/>
      <c r="V98" s="16" t="n"/>
      <c r="W98" s="124">
        <f>IF(V98="","",COUNTIFS($C$18:$C$2015,V$13,$D$18:$D$2015,"&gt;="&amp;V98,$D$18:$D$2015,"&lt;"&amp;V99))</f>
        <v/>
      </c>
      <c r="X98" s="14" t="n"/>
      <c r="Y98" s="16" t="n"/>
      <c r="Z98" s="124">
        <f>IF(Y98="","",COUNTIFS($C$18:$C$2015,Y$13,$D$18:$D$2015,"&gt;="&amp;Y98,$D$18:$D$2015,"&lt;"&amp;Y99))</f>
        <v/>
      </c>
      <c r="AA98" s="14" t="n"/>
      <c r="AB98" s="16" t="n"/>
      <c r="AC98" s="124">
        <f>IF(AB98="","",COUNTIFS($C$18:$C$2015,AB$13,$D$18:$D$2015,"&gt;="&amp;AB98,$D$18:$D$2015,"&lt;"&amp;AB99))</f>
        <v/>
      </c>
      <c r="AD98" s="14" t="n"/>
    </row>
    <row r="99">
      <c r="A99" s="58" t="n"/>
      <c r="B99" s="59" t="n"/>
      <c r="C99" s="59" t="n"/>
      <c r="E99" s="16" t="n"/>
      <c r="F99" s="13" t="n"/>
      <c r="G99" s="16" t="n"/>
      <c r="H99" s="124">
        <f>IF(G99="","",COUNTIFS($C$18:$C$2015,G$13,$D$18:$D$2015,"&gt;="&amp;G99,$D$18:$D$2015,"&lt;"&amp;G100))</f>
        <v/>
      </c>
      <c r="I99" s="14" t="n"/>
      <c r="J99" s="16" t="n"/>
      <c r="K99" s="124">
        <f>IF(J99="","",COUNTIFS($C$18:$C$2015,J$13,$D$18:$D$2015,"&gt;="&amp;J99,$D$18:$D$2015,"&lt;"&amp;J100))</f>
        <v/>
      </c>
      <c r="L99" s="14" t="n"/>
      <c r="M99" s="16" t="n"/>
      <c r="N99" s="124">
        <f>IF(M99="","",COUNTIFS($C$18:$C$2015,M$13,$D$18:$D$2015,"&gt;="&amp;M99,$D$18:$D$2015,"&lt;"&amp;M100))</f>
        <v/>
      </c>
      <c r="O99" s="14" t="n"/>
      <c r="P99" s="16" t="n"/>
      <c r="Q99" s="124">
        <f>IF(P99="","",COUNTIFS($C$18:$C$2015,P$13,$D$18:$D$2015,"&gt;="&amp;P99,$D$18:$D$2015,"&lt;"&amp;P100))</f>
        <v/>
      </c>
      <c r="R99" s="14" t="n"/>
      <c r="S99" s="16" t="n"/>
      <c r="T99" s="124">
        <f>IF(S99="","",COUNTIFS($C$18:$C$2015,S$13,$D$18:$D$2015,"&gt;="&amp;S99,$D$18:$D$2015,"&lt;"&amp;S100))</f>
        <v/>
      </c>
      <c r="U99" s="14" t="n"/>
      <c r="V99" s="16" t="n"/>
      <c r="W99" s="124">
        <f>IF(V99="","",COUNTIFS($C$18:$C$2015,V$13,$D$18:$D$2015,"&gt;="&amp;V99,$D$18:$D$2015,"&lt;"&amp;V100))</f>
        <v/>
      </c>
      <c r="X99" s="14" t="n"/>
      <c r="Y99" s="16" t="n"/>
      <c r="Z99" s="124">
        <f>IF(Y99="","",COUNTIFS($C$18:$C$2015,Y$13,$D$18:$D$2015,"&gt;="&amp;Y99,$D$18:$D$2015,"&lt;"&amp;Y100))</f>
        <v/>
      </c>
      <c r="AA99" s="14" t="n"/>
      <c r="AB99" s="16" t="n"/>
      <c r="AC99" s="124">
        <f>IF(AB99="","",COUNTIFS($C$18:$C$2015,AB$13,$D$18:$D$2015,"&gt;="&amp;AB99,$D$18:$D$2015,"&lt;"&amp;AB100))</f>
        <v/>
      </c>
      <c r="AD99" s="14" t="n"/>
    </row>
    <row r="100">
      <c r="A100" s="56" t="n"/>
      <c r="B100" s="59" t="n"/>
      <c r="C100" s="59" t="n"/>
      <c r="E100" s="16" t="n"/>
      <c r="F100" s="13" t="n"/>
      <c r="G100" s="16" t="n"/>
      <c r="H100" s="124">
        <f>IF(G100="","",COUNTIFS($C$18:$C$2015,G$13,$D$18:$D$2015,"&gt;="&amp;G100,$D$18:$D$2015,"&lt;"&amp;G101))</f>
        <v/>
      </c>
      <c r="I100" s="14" t="n"/>
      <c r="J100" s="16" t="n"/>
      <c r="K100" s="124">
        <f>IF(J100="","",COUNTIFS($C$18:$C$2015,J$13,$D$18:$D$2015,"&gt;="&amp;J100,$D$18:$D$2015,"&lt;"&amp;J101))</f>
        <v/>
      </c>
      <c r="L100" s="14" t="n"/>
      <c r="M100" s="16" t="n"/>
      <c r="N100" s="124">
        <f>IF(M100="","",COUNTIFS($C$18:$C$2015,M$13,$D$18:$D$2015,"&gt;="&amp;M100,$D$18:$D$2015,"&lt;"&amp;M101))</f>
        <v/>
      </c>
      <c r="O100" s="14" t="n"/>
      <c r="P100" s="16" t="n"/>
      <c r="Q100" s="124">
        <f>IF(P100="","",COUNTIFS($C$18:$C$2015,P$13,$D$18:$D$2015,"&gt;="&amp;P100,$D$18:$D$2015,"&lt;"&amp;P101))</f>
        <v/>
      </c>
      <c r="R100" s="14" t="n"/>
      <c r="S100" s="16" t="n"/>
      <c r="T100" s="124">
        <f>IF(S100="","",COUNTIFS($C$18:$C$2015,S$13,$D$18:$D$2015,"&gt;="&amp;S100,$D$18:$D$2015,"&lt;"&amp;S101))</f>
        <v/>
      </c>
      <c r="U100" s="14" t="n"/>
      <c r="V100" s="16" t="n"/>
      <c r="W100" s="124">
        <f>IF(V100="","",COUNTIFS($C$18:$C$2015,V$13,$D$18:$D$2015,"&gt;="&amp;V100,$D$18:$D$2015,"&lt;"&amp;V101))</f>
        <v/>
      </c>
      <c r="X100" s="14" t="n"/>
      <c r="Y100" s="16" t="n"/>
      <c r="Z100" s="124">
        <f>IF(Y100="","",COUNTIFS($C$18:$C$2015,Y$13,$D$18:$D$2015,"&gt;="&amp;Y100,$D$18:$D$2015,"&lt;"&amp;Y101))</f>
        <v/>
      </c>
      <c r="AA100" s="14" t="n"/>
      <c r="AB100" s="16" t="n"/>
      <c r="AC100" s="124">
        <f>IF(AB100="","",COUNTIFS($C$18:$C$2015,AB$13,$D$18:$D$2015,"&gt;="&amp;AB100,$D$18:$D$2015,"&lt;"&amp;AB101))</f>
        <v/>
      </c>
      <c r="AD100" s="14" t="n"/>
    </row>
    <row r="101">
      <c r="A101" s="58" t="n"/>
      <c r="B101" s="59" t="n"/>
      <c r="C101" s="59" t="n"/>
      <c r="E101" s="16" t="n"/>
      <c r="F101" s="13" t="n"/>
      <c r="G101" s="16" t="n"/>
      <c r="H101" s="124">
        <f>IF(G101="","",COUNTIFS($C$18:$C$2015,G$13,$D$18:$D$2015,"&gt;="&amp;G101,$D$18:$D$2015,"&lt;"&amp;G102))</f>
        <v/>
      </c>
      <c r="I101" s="14" t="n"/>
      <c r="J101" s="16" t="n"/>
      <c r="K101" s="124">
        <f>IF(J101="","",COUNTIFS($C$18:$C$2015,J$13,$D$18:$D$2015,"&gt;="&amp;J101,$D$18:$D$2015,"&lt;"&amp;J102))</f>
        <v/>
      </c>
      <c r="L101" s="14" t="n"/>
      <c r="M101" s="16" t="n"/>
      <c r="N101" s="124">
        <f>IF(M101="","",COUNTIFS($C$18:$C$2015,M$13,$D$18:$D$2015,"&gt;="&amp;M101,$D$18:$D$2015,"&lt;"&amp;M102))</f>
        <v/>
      </c>
      <c r="O101" s="14" t="n"/>
      <c r="P101" s="16" t="n"/>
      <c r="Q101" s="124">
        <f>IF(P101="","",COUNTIFS($C$18:$C$2015,P$13,$D$18:$D$2015,"&gt;="&amp;P101,$D$18:$D$2015,"&lt;"&amp;P102))</f>
        <v/>
      </c>
      <c r="R101" s="14" t="n"/>
      <c r="S101" s="16" t="n"/>
      <c r="T101" s="124">
        <f>IF(S101="","",COUNTIFS($C$18:$C$2015,S$13,$D$18:$D$2015,"&gt;="&amp;S101,$D$18:$D$2015,"&lt;"&amp;S102))</f>
        <v/>
      </c>
      <c r="U101" s="14" t="n"/>
      <c r="V101" s="16" t="n"/>
      <c r="W101" s="124">
        <f>IF(V101="","",COUNTIFS($C$18:$C$2015,V$13,$D$18:$D$2015,"&gt;="&amp;V101,$D$18:$D$2015,"&lt;"&amp;V102))</f>
        <v/>
      </c>
      <c r="X101" s="14" t="n"/>
      <c r="Y101" s="16" t="n"/>
      <c r="Z101" s="124">
        <f>IF(Y101="","",COUNTIFS($C$18:$C$2015,Y$13,$D$18:$D$2015,"&gt;="&amp;Y101,$D$18:$D$2015,"&lt;"&amp;Y102))</f>
        <v/>
      </c>
      <c r="AA101" s="14" t="n"/>
      <c r="AB101" s="16" t="n"/>
      <c r="AC101" s="124">
        <f>IF(AB101="","",COUNTIFS($C$18:$C$2015,AB$13,$D$18:$D$2015,"&gt;="&amp;AB101,$D$18:$D$2015,"&lt;"&amp;AB102))</f>
        <v/>
      </c>
      <c r="AD101" s="14" t="n"/>
    </row>
    <row r="102">
      <c r="A102" s="56" t="n"/>
      <c r="B102" s="59" t="n"/>
      <c r="C102" s="59" t="n"/>
      <c r="E102" s="16" t="n"/>
      <c r="F102" s="13" t="n"/>
      <c r="G102" s="16" t="n"/>
      <c r="H102" s="124">
        <f>IF(G102="","",COUNTIFS($C$18:$C$2015,G$13,$D$18:$D$2015,"&gt;="&amp;G102,$D$18:$D$2015,"&lt;"&amp;G103))</f>
        <v/>
      </c>
      <c r="I102" s="14" t="n"/>
      <c r="J102" s="16" t="n"/>
      <c r="K102" s="124">
        <f>IF(J102="","",COUNTIFS($C$18:$C$2015,J$13,$D$18:$D$2015,"&gt;="&amp;J102,$D$18:$D$2015,"&lt;"&amp;J103))</f>
        <v/>
      </c>
      <c r="L102" s="14" t="n"/>
      <c r="M102" s="16" t="n"/>
      <c r="N102" s="124">
        <f>IF(M102="","",COUNTIFS($C$18:$C$2015,M$13,$D$18:$D$2015,"&gt;="&amp;M102,$D$18:$D$2015,"&lt;"&amp;M103))</f>
        <v/>
      </c>
      <c r="O102" s="14" t="n"/>
      <c r="P102" s="16" t="n"/>
      <c r="Q102" s="124">
        <f>IF(P102="","",COUNTIFS($C$18:$C$2015,P$13,$D$18:$D$2015,"&gt;="&amp;P102,$D$18:$D$2015,"&lt;"&amp;P103))</f>
        <v/>
      </c>
      <c r="R102" s="14" t="n"/>
      <c r="S102" s="16" t="n"/>
      <c r="T102" s="124">
        <f>IF(S102="","",COUNTIFS($C$18:$C$2015,S$13,$D$18:$D$2015,"&gt;="&amp;S102,$D$18:$D$2015,"&lt;"&amp;S103))</f>
        <v/>
      </c>
      <c r="U102" s="14" t="n"/>
      <c r="V102" s="16" t="n"/>
      <c r="W102" s="124">
        <f>IF(V102="","",COUNTIFS($C$18:$C$2015,V$13,$D$18:$D$2015,"&gt;="&amp;V102,$D$18:$D$2015,"&lt;"&amp;V103))</f>
        <v/>
      </c>
      <c r="X102" s="14" t="n"/>
      <c r="Y102" s="16" t="n"/>
      <c r="Z102" s="124">
        <f>IF(Y102="","",COUNTIFS($C$18:$C$2015,Y$13,$D$18:$D$2015,"&gt;="&amp;Y102,$D$18:$D$2015,"&lt;"&amp;Y103))</f>
        <v/>
      </c>
      <c r="AA102" s="14" t="n"/>
      <c r="AB102" s="16" t="n"/>
      <c r="AC102" s="124">
        <f>IF(AB102="","",COUNTIFS($C$18:$C$2015,AB$13,$D$18:$D$2015,"&gt;="&amp;AB102,$D$18:$D$2015,"&lt;"&amp;AB103))</f>
        <v/>
      </c>
      <c r="AD102" s="14" t="n"/>
    </row>
    <row r="103">
      <c r="A103" s="58" t="n"/>
      <c r="B103" s="59" t="n"/>
      <c r="C103" s="59" t="n"/>
      <c r="E103" s="16" t="n"/>
      <c r="F103" s="13" t="n"/>
      <c r="G103" s="16" t="n"/>
      <c r="H103" s="124">
        <f>IF(G103="","",COUNTIFS($C$18:$C$2015,G$13,$D$18:$D$2015,"&gt;="&amp;G103,$D$18:$D$2015,"&lt;"&amp;G104))</f>
        <v/>
      </c>
      <c r="I103" s="14" t="n"/>
      <c r="J103" s="16" t="n"/>
      <c r="K103" s="124">
        <f>IF(J103="","",COUNTIFS($C$18:$C$2015,J$13,$D$18:$D$2015,"&gt;="&amp;J103,$D$18:$D$2015,"&lt;"&amp;J104))</f>
        <v/>
      </c>
      <c r="L103" s="14" t="n"/>
      <c r="M103" s="16" t="n"/>
      <c r="N103" s="124">
        <f>IF(M103="","",COUNTIFS($C$18:$C$2015,M$13,$D$18:$D$2015,"&gt;="&amp;M103,$D$18:$D$2015,"&lt;"&amp;M104))</f>
        <v/>
      </c>
      <c r="O103" s="14" t="n"/>
      <c r="P103" s="16" t="n"/>
      <c r="Q103" s="124">
        <f>IF(P103="","",COUNTIFS($C$18:$C$2015,P$13,$D$18:$D$2015,"&gt;="&amp;P103,$D$18:$D$2015,"&lt;"&amp;P104))</f>
        <v/>
      </c>
      <c r="R103" s="14" t="n"/>
      <c r="S103" s="16" t="n"/>
      <c r="T103" s="124">
        <f>IF(S103="","",COUNTIFS($C$18:$C$2015,S$13,$D$18:$D$2015,"&gt;="&amp;S103,$D$18:$D$2015,"&lt;"&amp;S104))</f>
        <v/>
      </c>
      <c r="U103" s="14" t="n"/>
      <c r="V103" s="16" t="n"/>
      <c r="W103" s="124">
        <f>IF(V103="","",COUNTIFS($C$18:$C$2015,V$13,$D$18:$D$2015,"&gt;="&amp;V103,$D$18:$D$2015,"&lt;"&amp;V104))</f>
        <v/>
      </c>
      <c r="X103" s="14" t="n"/>
      <c r="Y103" s="16" t="n"/>
      <c r="Z103" s="124">
        <f>IF(Y103="","",COUNTIFS($C$18:$C$2015,Y$13,$D$18:$D$2015,"&gt;="&amp;Y103,$D$18:$D$2015,"&lt;"&amp;Y104))</f>
        <v/>
      </c>
      <c r="AA103" s="14" t="n"/>
      <c r="AB103" s="16" t="n"/>
      <c r="AC103" s="124">
        <f>IF(AB103="","",COUNTIFS($C$18:$C$2015,AB$13,$D$18:$D$2015,"&gt;="&amp;AB103,$D$18:$D$2015,"&lt;"&amp;AB104))</f>
        <v/>
      </c>
      <c r="AD103" s="14" t="n"/>
    </row>
    <row r="104">
      <c r="A104" s="56" t="n"/>
      <c r="B104" s="59" t="n"/>
      <c r="C104" s="59" t="n"/>
      <c r="E104" s="16" t="n"/>
      <c r="F104" s="13" t="n"/>
      <c r="G104" s="16" t="n"/>
      <c r="H104" s="124">
        <f>IF(G104="","",COUNTIFS($C$18:$C$2015,G$13,$D$18:$D$2015,"&gt;="&amp;G104,$D$18:$D$2015,"&lt;"&amp;G105))</f>
        <v/>
      </c>
      <c r="I104" s="14" t="n"/>
      <c r="J104" s="16" t="n"/>
      <c r="K104" s="124">
        <f>IF(J104="","",COUNTIFS($C$18:$C$2015,J$13,$D$18:$D$2015,"&gt;="&amp;J104,$D$18:$D$2015,"&lt;"&amp;J105))</f>
        <v/>
      </c>
      <c r="L104" s="14" t="n"/>
      <c r="M104" s="16" t="n"/>
      <c r="N104" s="124">
        <f>IF(M104="","",COUNTIFS($C$18:$C$2015,M$13,$D$18:$D$2015,"&gt;="&amp;M104,$D$18:$D$2015,"&lt;"&amp;M105))</f>
        <v/>
      </c>
      <c r="O104" s="14" t="n"/>
      <c r="P104" s="16" t="n"/>
      <c r="Q104" s="124">
        <f>IF(P104="","",COUNTIFS($C$18:$C$2015,P$13,$D$18:$D$2015,"&gt;="&amp;P104,$D$18:$D$2015,"&lt;"&amp;P105))</f>
        <v/>
      </c>
      <c r="R104" s="14" t="n"/>
      <c r="S104" s="16" t="n"/>
      <c r="T104" s="124">
        <f>IF(S104="","",COUNTIFS($C$18:$C$2015,S$13,$D$18:$D$2015,"&gt;="&amp;S104,$D$18:$D$2015,"&lt;"&amp;S105))</f>
        <v/>
      </c>
      <c r="U104" s="14" t="n"/>
      <c r="V104" s="16" t="n"/>
      <c r="W104" s="124">
        <f>IF(V104="","",COUNTIFS($C$18:$C$2015,V$13,$D$18:$D$2015,"&gt;="&amp;V104,$D$18:$D$2015,"&lt;"&amp;V105))</f>
        <v/>
      </c>
      <c r="X104" s="14" t="n"/>
      <c r="Y104" s="16" t="n"/>
      <c r="Z104" s="124">
        <f>IF(Y104="","",COUNTIFS($C$18:$C$2015,Y$13,$D$18:$D$2015,"&gt;="&amp;Y104,$D$18:$D$2015,"&lt;"&amp;Y105))</f>
        <v/>
      </c>
      <c r="AA104" s="14" t="n"/>
      <c r="AB104" s="16" t="n"/>
      <c r="AC104" s="124">
        <f>IF(AB104="","",COUNTIFS($C$18:$C$2015,AB$13,$D$18:$D$2015,"&gt;="&amp;AB104,$D$18:$D$2015,"&lt;"&amp;AB105))</f>
        <v/>
      </c>
      <c r="AD104" s="14" t="n"/>
    </row>
    <row r="105">
      <c r="A105" s="58" t="n"/>
      <c r="B105" s="59" t="n"/>
      <c r="C105" s="59" t="n"/>
      <c r="E105" s="16" t="n"/>
      <c r="F105" s="13" t="n"/>
      <c r="G105" s="16" t="n"/>
      <c r="H105" s="124">
        <f>IF(G105="","",COUNTIFS($C$18:$C$2015,G$13,$D$18:$D$2015,"&gt;="&amp;G105,$D$18:$D$2015,"&lt;"&amp;G106))</f>
        <v/>
      </c>
      <c r="I105" s="14" t="n"/>
      <c r="J105" s="16" t="n"/>
      <c r="K105" s="124">
        <f>IF(J105="","",COUNTIFS($C$18:$C$2015,J$13,$D$18:$D$2015,"&gt;="&amp;J105,$D$18:$D$2015,"&lt;"&amp;J106))</f>
        <v/>
      </c>
      <c r="L105" s="14" t="n"/>
      <c r="M105" s="16" t="n"/>
      <c r="N105" s="124">
        <f>IF(M105="","",COUNTIFS($C$18:$C$2015,M$13,$D$18:$D$2015,"&gt;="&amp;M105,$D$18:$D$2015,"&lt;"&amp;M106))</f>
        <v/>
      </c>
      <c r="O105" s="14" t="n"/>
      <c r="P105" s="16" t="n"/>
      <c r="Q105" s="124">
        <f>IF(P105="","",COUNTIFS($C$18:$C$2015,P$13,$D$18:$D$2015,"&gt;="&amp;P105,$D$18:$D$2015,"&lt;"&amp;P106))</f>
        <v/>
      </c>
      <c r="R105" s="14" t="n"/>
      <c r="S105" s="16" t="n"/>
      <c r="T105" s="124">
        <f>IF(S105="","",COUNTIFS($C$18:$C$2015,S$13,$D$18:$D$2015,"&gt;="&amp;S105,$D$18:$D$2015,"&lt;"&amp;S106))</f>
        <v/>
      </c>
      <c r="U105" s="14" t="n"/>
      <c r="V105" s="16" t="n"/>
      <c r="W105" s="124">
        <f>IF(V105="","",COUNTIFS($C$18:$C$2015,V$13,$D$18:$D$2015,"&gt;="&amp;V105,$D$18:$D$2015,"&lt;"&amp;V106))</f>
        <v/>
      </c>
      <c r="X105" s="14" t="n"/>
      <c r="Y105" s="16" t="n"/>
      <c r="Z105" s="124">
        <f>IF(Y105="","",COUNTIFS($C$18:$C$2015,Y$13,$D$18:$D$2015,"&gt;="&amp;Y105,$D$18:$D$2015,"&lt;"&amp;Y106))</f>
        <v/>
      </c>
      <c r="AA105" s="14" t="n"/>
      <c r="AB105" s="16" t="n"/>
      <c r="AC105" s="124">
        <f>IF(AB105="","",COUNTIFS($C$18:$C$2015,AB$13,$D$18:$D$2015,"&gt;="&amp;AB105,$D$18:$D$2015,"&lt;"&amp;AB106))</f>
        <v/>
      </c>
      <c r="AD105" s="14" t="n"/>
    </row>
    <row r="106">
      <c r="A106" s="56" t="n"/>
      <c r="B106" s="59" t="n"/>
      <c r="C106" s="59" t="n"/>
      <c r="E106" s="16" t="n"/>
      <c r="F106" s="13" t="n"/>
      <c r="G106" s="16" t="n"/>
      <c r="H106" s="124">
        <f>IF(G106="","",COUNTIFS($C$18:$C$2015,G$13,$D$18:$D$2015,"&gt;="&amp;G106,$D$18:$D$2015,"&lt;"&amp;G107))</f>
        <v/>
      </c>
      <c r="I106" s="14" t="n"/>
      <c r="J106" s="16" t="n"/>
      <c r="K106" s="124">
        <f>IF(J106="","",COUNTIFS($C$18:$C$2015,J$13,$D$18:$D$2015,"&gt;="&amp;J106,$D$18:$D$2015,"&lt;"&amp;J107))</f>
        <v/>
      </c>
      <c r="L106" s="14" t="n"/>
      <c r="M106" s="16" t="n"/>
      <c r="N106" s="124">
        <f>IF(M106="","",COUNTIFS($C$18:$C$2015,M$13,$D$18:$D$2015,"&gt;="&amp;M106,$D$18:$D$2015,"&lt;"&amp;M107))</f>
        <v/>
      </c>
      <c r="O106" s="14" t="n"/>
      <c r="P106" s="16" t="n"/>
      <c r="Q106" s="124">
        <f>IF(P106="","",COUNTIFS($C$18:$C$2015,P$13,$D$18:$D$2015,"&gt;="&amp;P106,$D$18:$D$2015,"&lt;"&amp;P107))</f>
        <v/>
      </c>
      <c r="R106" s="14" t="n"/>
      <c r="S106" s="16" t="n"/>
      <c r="T106" s="124">
        <f>IF(S106="","",COUNTIFS($C$18:$C$2015,S$13,$D$18:$D$2015,"&gt;="&amp;S106,$D$18:$D$2015,"&lt;"&amp;S107))</f>
        <v/>
      </c>
      <c r="U106" s="14" t="n"/>
      <c r="V106" s="16" t="n"/>
      <c r="W106" s="124">
        <f>IF(V106="","",COUNTIFS($C$18:$C$2015,V$13,$D$18:$D$2015,"&gt;="&amp;V106,$D$18:$D$2015,"&lt;"&amp;V107))</f>
        <v/>
      </c>
      <c r="X106" s="14" t="n"/>
      <c r="Y106" s="16" t="n"/>
      <c r="Z106" s="124">
        <f>IF(Y106="","",COUNTIFS($C$18:$C$2015,Y$13,$D$18:$D$2015,"&gt;="&amp;Y106,$D$18:$D$2015,"&lt;"&amp;Y107))</f>
        <v/>
      </c>
      <c r="AA106" s="14" t="n"/>
      <c r="AB106" s="16" t="n"/>
      <c r="AC106" s="124">
        <f>IF(AB106="","",COUNTIFS($C$18:$C$2015,AB$13,$D$18:$D$2015,"&gt;="&amp;AB106,$D$18:$D$2015,"&lt;"&amp;AB107))</f>
        <v/>
      </c>
      <c r="AD106" s="14" t="n"/>
    </row>
    <row r="107">
      <c r="A107" s="58" t="n"/>
      <c r="B107" s="59" t="n"/>
      <c r="C107" s="59" t="n"/>
      <c r="E107" s="16" t="n"/>
      <c r="F107" s="13" t="n"/>
      <c r="G107" s="16" t="n"/>
      <c r="H107" s="124">
        <f>IF(G107="","",COUNTIFS($C$18:$C$2015,G$13,$D$18:$D$2015,"&gt;="&amp;G107,$D$18:$D$2015,"&lt;"&amp;G108))</f>
        <v/>
      </c>
      <c r="I107" s="14" t="n"/>
      <c r="J107" s="16" t="n"/>
      <c r="K107" s="124">
        <f>IF(J107="","",COUNTIFS($C$18:$C$2015,J$13,$D$18:$D$2015,"&gt;="&amp;J107,$D$18:$D$2015,"&lt;"&amp;J108))</f>
        <v/>
      </c>
      <c r="L107" s="14" t="n"/>
      <c r="M107" s="16" t="n"/>
      <c r="N107" s="124">
        <f>IF(M107="","",COUNTIFS($C$18:$C$2015,M$13,$D$18:$D$2015,"&gt;="&amp;M107,$D$18:$D$2015,"&lt;"&amp;M108))</f>
        <v/>
      </c>
      <c r="O107" s="14" t="n"/>
      <c r="P107" s="16" t="n"/>
      <c r="Q107" s="124">
        <f>IF(P107="","",COUNTIFS($C$18:$C$2015,P$13,$D$18:$D$2015,"&gt;="&amp;P107,$D$18:$D$2015,"&lt;"&amp;P108))</f>
        <v/>
      </c>
      <c r="R107" s="14" t="n"/>
      <c r="S107" s="16" t="n"/>
      <c r="T107" s="124">
        <f>IF(S107="","",COUNTIFS($C$18:$C$2015,S$13,$D$18:$D$2015,"&gt;="&amp;S107,$D$18:$D$2015,"&lt;"&amp;S108))</f>
        <v/>
      </c>
      <c r="U107" s="14" t="n"/>
      <c r="V107" s="16" t="n"/>
      <c r="W107" s="124">
        <f>IF(V107="","",COUNTIFS($C$18:$C$2015,V$13,$D$18:$D$2015,"&gt;="&amp;V107,$D$18:$D$2015,"&lt;"&amp;V108))</f>
        <v/>
      </c>
      <c r="X107" s="14" t="n"/>
      <c r="Y107" s="16" t="n"/>
      <c r="Z107" s="124">
        <f>IF(Y107="","",COUNTIFS($C$18:$C$2015,Y$13,$D$18:$D$2015,"&gt;="&amp;Y107,$D$18:$D$2015,"&lt;"&amp;Y108))</f>
        <v/>
      </c>
      <c r="AA107" s="14" t="n"/>
      <c r="AB107" s="16" t="n"/>
      <c r="AC107" s="124">
        <f>IF(AB107="","",COUNTIFS($C$18:$C$2015,AB$13,$D$18:$D$2015,"&gt;="&amp;AB107,$D$18:$D$2015,"&lt;"&amp;AB108))</f>
        <v/>
      </c>
      <c r="AD107" s="14" t="n"/>
    </row>
    <row r="108">
      <c r="A108" s="56" t="n"/>
      <c r="B108" s="59" t="n"/>
      <c r="C108" s="59" t="n"/>
      <c r="E108" s="16" t="n"/>
      <c r="F108" s="13" t="n"/>
      <c r="G108" s="16" t="n"/>
      <c r="H108" s="124">
        <f>IF(G108="","",COUNTIFS($C$18:$C$2015,G$13,$D$18:$D$2015,"&gt;="&amp;G108,$D$18:$D$2015,"&lt;"&amp;G109))</f>
        <v/>
      </c>
      <c r="I108" s="14" t="n"/>
      <c r="J108" s="16" t="n"/>
      <c r="K108" s="124">
        <f>IF(J108="","",COUNTIFS($C$18:$C$2015,J$13,$D$18:$D$2015,"&gt;="&amp;J108,$D$18:$D$2015,"&lt;"&amp;J109))</f>
        <v/>
      </c>
      <c r="L108" s="14" t="n"/>
      <c r="M108" s="16" t="n"/>
      <c r="N108" s="124">
        <f>IF(M108="","",COUNTIFS($C$18:$C$2015,M$13,$D$18:$D$2015,"&gt;="&amp;M108,$D$18:$D$2015,"&lt;"&amp;M109))</f>
        <v/>
      </c>
      <c r="O108" s="14" t="n"/>
      <c r="P108" s="16" t="n"/>
      <c r="Q108" s="124">
        <f>IF(P108="","",COUNTIFS($C$18:$C$2015,P$13,$D$18:$D$2015,"&gt;="&amp;P108,$D$18:$D$2015,"&lt;"&amp;P109))</f>
        <v/>
      </c>
      <c r="R108" s="14" t="n"/>
      <c r="S108" s="16" t="n"/>
      <c r="T108" s="124">
        <f>IF(S108="","",COUNTIFS($C$18:$C$2015,S$13,$D$18:$D$2015,"&gt;="&amp;S108,$D$18:$D$2015,"&lt;"&amp;S109))</f>
        <v/>
      </c>
      <c r="U108" s="14" t="n"/>
      <c r="V108" s="16" t="n"/>
      <c r="W108" s="124">
        <f>IF(V108="","",COUNTIFS($C$18:$C$2015,V$13,$D$18:$D$2015,"&gt;="&amp;V108,$D$18:$D$2015,"&lt;"&amp;V109))</f>
        <v/>
      </c>
      <c r="X108" s="14" t="n"/>
      <c r="Y108" s="16" t="n"/>
      <c r="Z108" s="124">
        <f>IF(Y108="","",COUNTIFS($C$18:$C$2015,Y$13,$D$18:$D$2015,"&gt;="&amp;Y108,$D$18:$D$2015,"&lt;"&amp;Y109))</f>
        <v/>
      </c>
      <c r="AA108" s="14" t="n"/>
      <c r="AB108" s="16" t="n"/>
      <c r="AC108" s="124">
        <f>IF(AB108="","",COUNTIFS($C$18:$C$2015,AB$13,$D$18:$D$2015,"&gt;="&amp;AB108,$D$18:$D$2015,"&lt;"&amp;AB109))</f>
        <v/>
      </c>
      <c r="AD108" s="14" t="n"/>
    </row>
    <row r="109">
      <c r="A109" s="58" t="n"/>
      <c r="B109" s="59" t="n"/>
      <c r="C109" s="59" t="n"/>
      <c r="E109" s="16" t="n"/>
      <c r="F109" s="13" t="n"/>
      <c r="G109" s="16" t="n"/>
      <c r="H109" s="124">
        <f>IF(G109="","",COUNTIFS($C$18:$C$2015,G$13,$D$18:$D$2015,"&gt;="&amp;G109,$D$18:$D$2015,"&lt;"&amp;G110))</f>
        <v/>
      </c>
      <c r="I109" s="14" t="n"/>
      <c r="J109" s="16" t="n"/>
      <c r="K109" s="124">
        <f>IF(J109="","",COUNTIFS($C$18:$C$2015,J$13,$D$18:$D$2015,"&gt;="&amp;J109,$D$18:$D$2015,"&lt;"&amp;J110))</f>
        <v/>
      </c>
      <c r="L109" s="14" t="n"/>
      <c r="M109" s="16" t="n"/>
      <c r="N109" s="124">
        <f>IF(M109="","",COUNTIFS($C$18:$C$2015,M$13,$D$18:$D$2015,"&gt;="&amp;M109,$D$18:$D$2015,"&lt;"&amp;M110))</f>
        <v/>
      </c>
      <c r="O109" s="14" t="n"/>
      <c r="P109" s="16" t="n"/>
      <c r="Q109" s="124">
        <f>IF(P109="","",COUNTIFS($C$18:$C$2015,P$13,$D$18:$D$2015,"&gt;="&amp;P109,$D$18:$D$2015,"&lt;"&amp;P110))</f>
        <v/>
      </c>
      <c r="R109" s="14" t="n"/>
      <c r="S109" s="16" t="n"/>
      <c r="T109" s="124">
        <f>IF(S109="","",COUNTIFS($C$18:$C$2015,S$13,$D$18:$D$2015,"&gt;="&amp;S109,$D$18:$D$2015,"&lt;"&amp;S110))</f>
        <v/>
      </c>
      <c r="U109" s="14" t="n"/>
      <c r="V109" s="16" t="n"/>
      <c r="W109" s="124">
        <f>IF(V109="","",COUNTIFS($C$18:$C$2015,V$13,$D$18:$D$2015,"&gt;="&amp;V109,$D$18:$D$2015,"&lt;"&amp;V110))</f>
        <v/>
      </c>
      <c r="X109" s="14" t="n"/>
      <c r="Y109" s="16" t="n"/>
      <c r="Z109" s="124">
        <f>IF(Y109="","",COUNTIFS($C$18:$C$2015,Y$13,$D$18:$D$2015,"&gt;="&amp;Y109,$D$18:$D$2015,"&lt;"&amp;Y110))</f>
        <v/>
      </c>
      <c r="AA109" s="14" t="n"/>
      <c r="AB109" s="16" t="n"/>
      <c r="AC109" s="124">
        <f>IF(AB109="","",COUNTIFS($C$18:$C$2015,AB$13,$D$18:$D$2015,"&gt;="&amp;AB109,$D$18:$D$2015,"&lt;"&amp;AB110))</f>
        <v/>
      </c>
      <c r="AD109" s="14" t="n"/>
    </row>
    <row r="110">
      <c r="A110" s="56" t="n"/>
      <c r="B110" s="59" t="n"/>
      <c r="C110" s="59" t="n"/>
      <c r="E110" s="16" t="n"/>
      <c r="F110" s="13" t="n"/>
      <c r="G110" s="16" t="n"/>
      <c r="H110" s="124">
        <f>IF(G110="","",COUNTIFS($C$18:$C$2015,G$13,$D$18:$D$2015,"&gt;="&amp;G110,$D$18:$D$2015,"&lt;"&amp;G111))</f>
        <v/>
      </c>
      <c r="I110" s="14" t="n"/>
      <c r="J110" s="16" t="n"/>
      <c r="K110" s="124">
        <f>IF(J110="","",COUNTIFS($C$18:$C$2015,J$13,$D$18:$D$2015,"&gt;="&amp;J110,$D$18:$D$2015,"&lt;"&amp;J111))</f>
        <v/>
      </c>
      <c r="L110" s="14" t="n"/>
      <c r="M110" s="16" t="n"/>
      <c r="N110" s="124">
        <f>IF(M110="","",COUNTIFS($C$18:$C$2015,M$13,$D$18:$D$2015,"&gt;="&amp;M110,$D$18:$D$2015,"&lt;"&amp;M111))</f>
        <v/>
      </c>
      <c r="O110" s="14" t="n"/>
      <c r="P110" s="16" t="n"/>
      <c r="Q110" s="124">
        <f>IF(P110="","",COUNTIFS($C$18:$C$2015,P$13,$D$18:$D$2015,"&gt;="&amp;P110,$D$18:$D$2015,"&lt;"&amp;P111))</f>
        <v/>
      </c>
      <c r="R110" s="14" t="n"/>
      <c r="S110" s="16" t="n"/>
      <c r="T110" s="124">
        <f>IF(S110="","",COUNTIFS($C$18:$C$2015,S$13,$D$18:$D$2015,"&gt;="&amp;S110,$D$18:$D$2015,"&lt;"&amp;S111))</f>
        <v/>
      </c>
      <c r="U110" s="14" t="n"/>
      <c r="V110" s="16" t="n"/>
      <c r="W110" s="124">
        <f>IF(V110="","",COUNTIFS($C$18:$C$2015,V$13,$D$18:$D$2015,"&gt;="&amp;V110,$D$18:$D$2015,"&lt;"&amp;V111))</f>
        <v/>
      </c>
      <c r="X110" s="14" t="n"/>
      <c r="Y110" s="16" t="n"/>
      <c r="Z110" s="124">
        <f>IF(Y110="","",COUNTIFS($C$18:$C$2015,Y$13,$D$18:$D$2015,"&gt;="&amp;Y110,$D$18:$D$2015,"&lt;"&amp;Y111))</f>
        <v/>
      </c>
      <c r="AA110" s="14" t="n"/>
      <c r="AB110" s="16" t="n"/>
      <c r="AC110" s="124">
        <f>IF(AB110="","",COUNTIFS($C$18:$C$2015,AB$13,$D$18:$D$2015,"&gt;="&amp;AB110,$D$18:$D$2015,"&lt;"&amp;AB111))</f>
        <v/>
      </c>
      <c r="AD110" s="14" t="n"/>
    </row>
    <row r="111">
      <c r="A111" s="58" t="n"/>
      <c r="B111" s="59" t="n"/>
      <c r="C111" s="59" t="n"/>
      <c r="E111" s="16" t="n"/>
      <c r="F111" s="13" t="n"/>
      <c r="G111" s="16" t="n"/>
      <c r="H111" s="124">
        <f>IF(G111="","",COUNTIFS($C$18:$C$2015,G$13,$D$18:$D$2015,"&gt;="&amp;G111,$D$18:$D$2015,"&lt;"&amp;G112))</f>
        <v/>
      </c>
      <c r="I111" s="14" t="n"/>
      <c r="J111" s="16" t="n"/>
      <c r="K111" s="124">
        <f>IF(J111="","",COUNTIFS($C$18:$C$2015,J$13,$D$18:$D$2015,"&gt;="&amp;J111,$D$18:$D$2015,"&lt;"&amp;J112))</f>
        <v/>
      </c>
      <c r="L111" s="14" t="n"/>
      <c r="M111" s="16" t="n"/>
      <c r="N111" s="124">
        <f>IF(M111="","",COUNTIFS($C$18:$C$2015,M$13,$D$18:$D$2015,"&gt;="&amp;M111,$D$18:$D$2015,"&lt;"&amp;M112))</f>
        <v/>
      </c>
      <c r="O111" s="14" t="n"/>
      <c r="P111" s="16" t="n"/>
      <c r="Q111" s="124">
        <f>IF(P111="","",COUNTIFS($C$18:$C$2015,P$13,$D$18:$D$2015,"&gt;="&amp;P111,$D$18:$D$2015,"&lt;"&amp;P112))</f>
        <v/>
      </c>
      <c r="R111" s="14" t="n"/>
      <c r="S111" s="16" t="n"/>
      <c r="T111" s="124">
        <f>IF(S111="","",COUNTIFS($C$18:$C$2015,S$13,$D$18:$D$2015,"&gt;="&amp;S111,$D$18:$D$2015,"&lt;"&amp;S112))</f>
        <v/>
      </c>
      <c r="U111" s="14" t="n"/>
      <c r="V111" s="16" t="n"/>
      <c r="W111" s="124">
        <f>IF(V111="","",COUNTIFS($C$18:$C$2015,V$13,$D$18:$D$2015,"&gt;="&amp;V111,$D$18:$D$2015,"&lt;"&amp;V112))</f>
        <v/>
      </c>
      <c r="X111" s="14" t="n"/>
      <c r="Y111" s="16" t="n"/>
      <c r="Z111" s="124">
        <f>IF(Y111="","",COUNTIFS($C$18:$C$2015,Y$13,$D$18:$D$2015,"&gt;="&amp;Y111,$D$18:$D$2015,"&lt;"&amp;Y112))</f>
        <v/>
      </c>
      <c r="AA111" s="14" t="n"/>
      <c r="AB111" s="16" t="n"/>
      <c r="AC111" s="124">
        <f>IF(AB111="","",COUNTIFS($C$18:$C$2015,AB$13,$D$18:$D$2015,"&gt;="&amp;AB111,$D$18:$D$2015,"&lt;"&amp;AB112))</f>
        <v/>
      </c>
      <c r="AD111" s="14" t="n"/>
    </row>
    <row r="112">
      <c r="A112" s="56" t="n"/>
      <c r="B112" s="59" t="n"/>
      <c r="C112" s="59" t="n"/>
      <c r="E112" s="16" t="n"/>
      <c r="F112" s="13" t="n"/>
      <c r="G112" s="16" t="n"/>
      <c r="H112" s="124">
        <f>IF(G112="","",COUNTIFS($C$18:$C$2015,G$13,$D$18:$D$2015,"&gt;="&amp;G112,$D$18:$D$2015,"&lt;"&amp;G113))</f>
        <v/>
      </c>
      <c r="I112" s="14" t="n"/>
      <c r="J112" s="16" t="n"/>
      <c r="K112" s="124">
        <f>IF(J112="","",COUNTIFS($C$18:$C$2015,J$13,$D$18:$D$2015,"&gt;="&amp;J112,$D$18:$D$2015,"&lt;"&amp;J113))</f>
        <v/>
      </c>
      <c r="L112" s="14" t="n"/>
      <c r="M112" s="16" t="n"/>
      <c r="N112" s="124">
        <f>IF(M112="","",COUNTIFS($C$18:$C$2015,M$13,$D$18:$D$2015,"&gt;="&amp;M112,$D$18:$D$2015,"&lt;"&amp;M113))</f>
        <v/>
      </c>
      <c r="O112" s="14" t="n"/>
      <c r="P112" s="16" t="n"/>
      <c r="Q112" s="124">
        <f>IF(P112="","",COUNTIFS($C$18:$C$2015,P$13,$D$18:$D$2015,"&gt;="&amp;P112,$D$18:$D$2015,"&lt;"&amp;P113))</f>
        <v/>
      </c>
      <c r="R112" s="14" t="n"/>
      <c r="S112" s="16" t="n"/>
      <c r="T112" s="124">
        <f>IF(S112="","",COUNTIFS($C$18:$C$2015,S$13,$D$18:$D$2015,"&gt;="&amp;S112,$D$18:$D$2015,"&lt;"&amp;S113))</f>
        <v/>
      </c>
      <c r="U112" s="14" t="n"/>
      <c r="V112" s="16" t="n"/>
      <c r="W112" s="124">
        <f>IF(V112="","",COUNTIFS($C$18:$C$2015,V$13,$D$18:$D$2015,"&gt;="&amp;V112,$D$18:$D$2015,"&lt;"&amp;V113))</f>
        <v/>
      </c>
      <c r="X112" s="14" t="n"/>
      <c r="Y112" s="16" t="n"/>
      <c r="Z112" s="124">
        <f>IF(Y112="","",COUNTIFS($C$18:$C$2015,Y$13,$D$18:$D$2015,"&gt;="&amp;Y112,$D$18:$D$2015,"&lt;"&amp;Y113))</f>
        <v/>
      </c>
      <c r="AA112" s="14" t="n"/>
      <c r="AB112" s="16" t="n"/>
      <c r="AC112" s="124">
        <f>IF(AB112="","",COUNTIFS($C$18:$C$2015,AB$13,$D$18:$D$2015,"&gt;="&amp;AB112,$D$18:$D$2015,"&lt;"&amp;AB113))</f>
        <v/>
      </c>
      <c r="AD112" s="14" t="n"/>
    </row>
    <row r="113">
      <c r="A113" s="58" t="n"/>
      <c r="B113" s="59" t="n"/>
      <c r="C113" s="59" t="n"/>
      <c r="E113" s="16" t="n"/>
      <c r="F113" s="13" t="n"/>
      <c r="G113" s="16" t="n"/>
      <c r="H113" s="124">
        <f>IF(G113="","",COUNTIFS($C$18:$C$2015,G$13,$D$18:$D$2015,"&gt;="&amp;G113,$D$18:$D$2015,"&lt;"&amp;G114))</f>
        <v/>
      </c>
      <c r="I113" s="14" t="n"/>
      <c r="J113" s="16" t="n"/>
      <c r="K113" s="124">
        <f>IF(J113="","",COUNTIFS($C$18:$C$2015,J$13,$D$18:$D$2015,"&gt;="&amp;J113,$D$18:$D$2015,"&lt;"&amp;J114))</f>
        <v/>
      </c>
      <c r="L113" s="14" t="n"/>
      <c r="M113" s="16" t="n"/>
      <c r="N113" s="124">
        <f>IF(M113="","",COUNTIFS($C$18:$C$2015,M$13,$D$18:$D$2015,"&gt;="&amp;M113,$D$18:$D$2015,"&lt;"&amp;M114))</f>
        <v/>
      </c>
      <c r="O113" s="14" t="n"/>
      <c r="P113" s="16" t="n"/>
      <c r="Q113" s="124">
        <f>IF(P113="","",COUNTIFS($C$18:$C$2015,P$13,$D$18:$D$2015,"&gt;="&amp;P113,$D$18:$D$2015,"&lt;"&amp;P114))</f>
        <v/>
      </c>
      <c r="R113" s="14" t="n"/>
      <c r="S113" s="16" t="n"/>
      <c r="T113" s="124">
        <f>IF(S113="","",COUNTIFS($C$18:$C$2015,S$13,$D$18:$D$2015,"&gt;="&amp;S113,$D$18:$D$2015,"&lt;"&amp;S114))</f>
        <v/>
      </c>
      <c r="U113" s="14" t="n"/>
      <c r="V113" s="16" t="n"/>
      <c r="W113" s="124">
        <f>IF(V113="","",COUNTIFS($C$18:$C$2015,V$13,$D$18:$D$2015,"&gt;="&amp;V113,$D$18:$D$2015,"&lt;"&amp;V114))</f>
        <v/>
      </c>
      <c r="X113" s="14" t="n"/>
      <c r="Y113" s="16" t="n"/>
      <c r="Z113" s="124">
        <f>IF(Y113="","",COUNTIFS($C$18:$C$2015,Y$13,$D$18:$D$2015,"&gt;="&amp;Y113,$D$18:$D$2015,"&lt;"&amp;Y114))</f>
        <v/>
      </c>
      <c r="AA113" s="14" t="n"/>
      <c r="AB113" s="16" t="n"/>
      <c r="AC113" s="124">
        <f>IF(AB113="","",COUNTIFS($C$18:$C$2015,AB$13,$D$18:$D$2015,"&gt;="&amp;AB113,$D$18:$D$2015,"&lt;"&amp;AB114))</f>
        <v/>
      </c>
      <c r="AD113" s="14" t="n"/>
    </row>
    <row r="114">
      <c r="A114" s="56" t="n"/>
      <c r="B114" s="59" t="n"/>
      <c r="C114" s="59" t="n"/>
      <c r="E114" s="16" t="n"/>
      <c r="F114" s="13" t="n"/>
      <c r="G114" s="16" t="n"/>
      <c r="H114" s="124">
        <f>IF(G114="","",COUNTIFS($C$18:$C$2015,G$13,$D$18:$D$2015,"&gt;="&amp;G114,$D$18:$D$2015,"&lt;"&amp;G115))</f>
        <v/>
      </c>
      <c r="I114" s="14" t="n"/>
      <c r="J114" s="16" t="n"/>
      <c r="K114" s="124">
        <f>IF(J114="","",COUNTIFS($C$18:$C$2015,J$13,$D$18:$D$2015,"&gt;="&amp;J114,$D$18:$D$2015,"&lt;"&amp;J115))</f>
        <v/>
      </c>
      <c r="L114" s="14" t="n"/>
      <c r="M114" s="16" t="n"/>
      <c r="N114" s="124">
        <f>IF(M114="","",COUNTIFS($C$18:$C$2015,M$13,$D$18:$D$2015,"&gt;="&amp;M114,$D$18:$D$2015,"&lt;"&amp;M115))</f>
        <v/>
      </c>
      <c r="O114" s="14" t="n"/>
      <c r="P114" s="16" t="n"/>
      <c r="Q114" s="124">
        <f>IF(P114="","",COUNTIFS($C$18:$C$2015,P$13,$D$18:$D$2015,"&gt;="&amp;P114,$D$18:$D$2015,"&lt;"&amp;P115))</f>
        <v/>
      </c>
      <c r="R114" s="14" t="n"/>
      <c r="S114" s="16" t="n"/>
      <c r="T114" s="124">
        <f>IF(S114="","",COUNTIFS($C$18:$C$2015,S$13,$D$18:$D$2015,"&gt;="&amp;S114,$D$18:$D$2015,"&lt;"&amp;S115))</f>
        <v/>
      </c>
      <c r="U114" s="14" t="n"/>
      <c r="V114" s="16" t="n"/>
      <c r="W114" s="124">
        <f>IF(V114="","",COUNTIFS($C$18:$C$2015,V$13,$D$18:$D$2015,"&gt;="&amp;V114,$D$18:$D$2015,"&lt;"&amp;V115))</f>
        <v/>
      </c>
      <c r="X114" s="14" t="n"/>
      <c r="Y114" s="16" t="n"/>
      <c r="Z114" s="124">
        <f>IF(Y114="","",COUNTIFS($C$18:$C$2015,Y$13,$D$18:$D$2015,"&gt;="&amp;Y114,$D$18:$D$2015,"&lt;"&amp;Y115))</f>
        <v/>
      </c>
      <c r="AA114" s="14" t="n"/>
      <c r="AB114" s="16" t="n"/>
      <c r="AC114" s="124">
        <f>IF(AB114="","",COUNTIFS($C$18:$C$2015,AB$13,$D$18:$D$2015,"&gt;="&amp;AB114,$D$18:$D$2015,"&lt;"&amp;AB115))</f>
        <v/>
      </c>
      <c r="AD114" s="14" t="n"/>
    </row>
    <row r="115">
      <c r="A115" s="58" t="n"/>
      <c r="B115" s="59" t="n"/>
      <c r="C115" s="59" t="n"/>
      <c r="E115" s="16" t="n"/>
      <c r="F115" s="13" t="n"/>
      <c r="G115" s="16" t="n"/>
      <c r="H115" s="124">
        <f>IF(G115="","",COUNTIFS($C$18:$C$2015,G$13,$D$18:$D$2015,"&gt;="&amp;G115,$D$18:$D$2015,"&lt;"&amp;G116))</f>
        <v/>
      </c>
      <c r="I115" s="14" t="n"/>
      <c r="J115" s="16" t="n"/>
      <c r="K115" s="124">
        <f>IF(J115="","",COUNTIFS($C$18:$C$2015,J$13,$D$18:$D$2015,"&gt;="&amp;J115,$D$18:$D$2015,"&lt;"&amp;J116))</f>
        <v/>
      </c>
      <c r="L115" s="14" t="n"/>
      <c r="M115" s="16" t="n"/>
      <c r="N115" s="124">
        <f>IF(M115="","",COUNTIFS($C$18:$C$2015,M$13,$D$18:$D$2015,"&gt;="&amp;M115,$D$18:$D$2015,"&lt;"&amp;M116))</f>
        <v/>
      </c>
      <c r="O115" s="14" t="n"/>
      <c r="P115" s="16" t="n"/>
      <c r="Q115" s="124">
        <f>IF(P115="","",COUNTIFS($C$18:$C$2015,P$13,$D$18:$D$2015,"&gt;="&amp;P115,$D$18:$D$2015,"&lt;"&amp;P116))</f>
        <v/>
      </c>
      <c r="R115" s="14" t="n"/>
      <c r="S115" s="16" t="n"/>
      <c r="T115" s="124">
        <f>IF(S115="","",COUNTIFS($C$18:$C$2015,S$13,$D$18:$D$2015,"&gt;="&amp;S115,$D$18:$D$2015,"&lt;"&amp;S116))</f>
        <v/>
      </c>
      <c r="U115" s="14" t="n"/>
      <c r="V115" s="16" t="n"/>
      <c r="W115" s="124">
        <f>IF(V115="","",COUNTIFS($C$18:$C$2015,V$13,$D$18:$D$2015,"&gt;="&amp;V115,$D$18:$D$2015,"&lt;"&amp;V116))</f>
        <v/>
      </c>
      <c r="X115" s="14" t="n"/>
      <c r="Y115" s="16" t="n"/>
      <c r="Z115" s="124">
        <f>IF(Y115="","",COUNTIFS($C$18:$C$2015,Y$13,$D$18:$D$2015,"&gt;="&amp;Y115,$D$18:$D$2015,"&lt;"&amp;Y116))</f>
        <v/>
      </c>
      <c r="AA115" s="14" t="n"/>
      <c r="AB115" s="16" t="n"/>
      <c r="AC115" s="124">
        <f>IF(AB115="","",COUNTIFS($C$18:$C$2015,AB$13,$D$18:$D$2015,"&gt;="&amp;AB115,$D$18:$D$2015,"&lt;"&amp;AB116))</f>
        <v/>
      </c>
      <c r="AD115" s="14" t="n"/>
    </row>
    <row r="116">
      <c r="A116" s="56" t="n"/>
      <c r="B116" s="59" t="n"/>
      <c r="C116" s="59" t="n"/>
      <c r="E116" s="16" t="n"/>
      <c r="F116" s="13" t="n"/>
      <c r="G116" s="16" t="n"/>
      <c r="H116" s="124">
        <f>IF(G116="","",COUNTIFS($C$18:$C$2015,G$13,$D$18:$D$2015,"&gt;="&amp;G116,$D$18:$D$2015,"&lt;"&amp;G117))</f>
        <v/>
      </c>
      <c r="I116" s="14" t="n"/>
      <c r="J116" s="16" t="n"/>
      <c r="K116" s="124">
        <f>IF(J116="","",COUNTIFS($C$18:$C$2015,J$13,$D$18:$D$2015,"&gt;="&amp;J116,$D$18:$D$2015,"&lt;"&amp;J117))</f>
        <v/>
      </c>
      <c r="L116" s="14" t="n"/>
      <c r="M116" s="16" t="n"/>
      <c r="N116" s="124">
        <f>IF(M116="","",COUNTIFS($C$18:$C$2015,M$13,$D$18:$D$2015,"&gt;="&amp;M116,$D$18:$D$2015,"&lt;"&amp;M117))</f>
        <v/>
      </c>
      <c r="O116" s="14" t="n"/>
      <c r="P116" s="16" t="n"/>
      <c r="Q116" s="124">
        <f>IF(P116="","",COUNTIFS($C$18:$C$2015,P$13,$D$18:$D$2015,"&gt;="&amp;P116,$D$18:$D$2015,"&lt;"&amp;P117))</f>
        <v/>
      </c>
      <c r="R116" s="14" t="n"/>
      <c r="S116" s="16" t="n"/>
      <c r="T116" s="124">
        <f>IF(S116="","",COUNTIFS($C$18:$C$2015,S$13,$D$18:$D$2015,"&gt;="&amp;S116,$D$18:$D$2015,"&lt;"&amp;S117))</f>
        <v/>
      </c>
      <c r="U116" s="14" t="n"/>
      <c r="V116" s="16" t="n"/>
      <c r="W116" s="124">
        <f>IF(V116="","",COUNTIFS($C$18:$C$2015,V$13,$D$18:$D$2015,"&gt;="&amp;V116,$D$18:$D$2015,"&lt;"&amp;V117))</f>
        <v/>
      </c>
      <c r="X116" s="14" t="n"/>
      <c r="Y116" s="16" t="n"/>
      <c r="Z116" s="124">
        <f>IF(Y116="","",COUNTIFS($C$18:$C$2015,Y$13,$D$18:$D$2015,"&gt;="&amp;Y116,$D$18:$D$2015,"&lt;"&amp;Y117))</f>
        <v/>
      </c>
      <c r="AA116" s="14" t="n"/>
      <c r="AB116" s="16" t="n"/>
      <c r="AC116" s="124">
        <f>IF(AB116="","",COUNTIFS($C$18:$C$2015,AB$13,$D$18:$D$2015,"&gt;="&amp;AB116,$D$18:$D$2015,"&lt;"&amp;AB117))</f>
        <v/>
      </c>
      <c r="AD116" s="14" t="n"/>
    </row>
    <row r="117">
      <c r="A117" s="58" t="n"/>
      <c r="B117" s="59" t="n"/>
      <c r="C117" s="59" t="n"/>
      <c r="E117" s="16" t="n"/>
      <c r="F117" s="13" t="n"/>
      <c r="G117" s="16" t="n"/>
      <c r="H117" s="124">
        <f>IF(G117="","",COUNTIFS($C$18:$C$2015,G$13,$D$18:$D$2015,"&gt;="&amp;G117,$D$18:$D$2015,"&lt;"&amp;G118))</f>
        <v/>
      </c>
      <c r="I117" s="14" t="n"/>
      <c r="J117" s="16" t="n"/>
      <c r="K117" s="124">
        <f>IF(J117="","",COUNTIFS($C$18:$C$2015,J$13,$D$18:$D$2015,"&gt;="&amp;J117,$D$18:$D$2015,"&lt;"&amp;J118))</f>
        <v/>
      </c>
      <c r="L117" s="14" t="n"/>
      <c r="M117" s="16" t="n"/>
      <c r="N117" s="124">
        <f>IF(M117="","",COUNTIFS($C$18:$C$2015,M$13,$D$18:$D$2015,"&gt;="&amp;M117,$D$18:$D$2015,"&lt;"&amp;M118))</f>
        <v/>
      </c>
      <c r="O117" s="14" t="n"/>
      <c r="P117" s="16" t="n"/>
      <c r="Q117" s="124">
        <f>IF(P117="","",COUNTIFS($C$18:$C$2015,P$13,$D$18:$D$2015,"&gt;="&amp;P117,$D$18:$D$2015,"&lt;"&amp;P118))</f>
        <v/>
      </c>
      <c r="R117" s="14" t="n"/>
      <c r="S117" s="16" t="n"/>
      <c r="T117" s="124">
        <f>IF(S117="","",COUNTIFS($C$18:$C$2015,S$13,$D$18:$D$2015,"&gt;="&amp;S117,$D$18:$D$2015,"&lt;"&amp;S118))</f>
        <v/>
      </c>
      <c r="U117" s="14" t="n"/>
      <c r="V117" s="16" t="n"/>
      <c r="W117" s="124">
        <f>IF(V117="","",COUNTIFS($C$18:$C$2015,V$13,$D$18:$D$2015,"&gt;="&amp;V117,$D$18:$D$2015,"&lt;"&amp;V118))</f>
        <v/>
      </c>
      <c r="X117" s="14" t="n"/>
      <c r="Y117" s="16" t="n"/>
      <c r="Z117" s="124">
        <f>IF(Y117="","",COUNTIFS($C$18:$C$2015,Y$13,$D$18:$D$2015,"&gt;="&amp;Y117,$D$18:$D$2015,"&lt;"&amp;Y118))</f>
        <v/>
      </c>
      <c r="AA117" s="14" t="n"/>
      <c r="AB117" s="16" t="n"/>
      <c r="AC117" s="124">
        <f>IF(AB117="","",COUNTIFS($C$18:$C$2015,AB$13,$D$18:$D$2015,"&gt;="&amp;AB117,$D$18:$D$2015,"&lt;"&amp;AB118))</f>
        <v/>
      </c>
      <c r="AD117" s="14" t="n"/>
    </row>
    <row r="118">
      <c r="A118" s="56" t="n"/>
      <c r="B118" s="59" t="n"/>
      <c r="C118" s="59" t="n"/>
      <c r="E118" s="16" t="n"/>
      <c r="F118" s="13" t="n"/>
      <c r="G118" s="16" t="n"/>
      <c r="H118" s="124">
        <f>IF(G118="","",COUNTIFS($C$18:$C$2015,G$13,$D$18:$D$2015,"&gt;="&amp;G118,$D$18:$D$2015,"&lt;"&amp;G119))</f>
        <v/>
      </c>
      <c r="I118" s="14" t="n"/>
      <c r="J118" s="16" t="n"/>
      <c r="K118" s="124">
        <f>IF(J118="","",COUNTIFS($C$18:$C$2015,J$13,$D$18:$D$2015,"&gt;="&amp;J118,$D$18:$D$2015,"&lt;"&amp;J119))</f>
        <v/>
      </c>
      <c r="L118" s="14" t="n"/>
      <c r="M118" s="16" t="n"/>
      <c r="N118" s="124">
        <f>IF(M118="","",COUNTIFS($C$18:$C$2015,M$13,$D$18:$D$2015,"&gt;="&amp;M118,$D$18:$D$2015,"&lt;"&amp;M119))</f>
        <v/>
      </c>
      <c r="O118" s="14" t="n"/>
      <c r="P118" s="16" t="n"/>
      <c r="Q118" s="124">
        <f>IF(P118="","",COUNTIFS($C$18:$C$2015,P$13,$D$18:$D$2015,"&gt;="&amp;P118,$D$18:$D$2015,"&lt;"&amp;P119))</f>
        <v/>
      </c>
      <c r="R118" s="14" t="n"/>
      <c r="S118" s="16" t="n"/>
      <c r="T118" s="124">
        <f>IF(S118="","",COUNTIFS($C$18:$C$2015,S$13,$D$18:$D$2015,"&gt;="&amp;S118,$D$18:$D$2015,"&lt;"&amp;S119))</f>
        <v/>
      </c>
      <c r="U118" s="14" t="n"/>
      <c r="V118" s="16" t="n"/>
      <c r="W118" s="124">
        <f>IF(V118="","",COUNTIFS($C$18:$C$2015,V$13,$D$18:$D$2015,"&gt;="&amp;V118,$D$18:$D$2015,"&lt;"&amp;V119))</f>
        <v/>
      </c>
      <c r="X118" s="14" t="n"/>
      <c r="Y118" s="16" t="n"/>
      <c r="Z118" s="124">
        <f>IF(Y118="","",COUNTIFS($C$18:$C$2015,Y$13,$D$18:$D$2015,"&gt;="&amp;Y118,$D$18:$D$2015,"&lt;"&amp;Y119))</f>
        <v/>
      </c>
      <c r="AA118" s="14" t="n"/>
      <c r="AB118" s="16" t="n"/>
      <c r="AC118" s="124">
        <f>IF(AB118="","",COUNTIFS($C$18:$C$2015,AB$13,$D$18:$D$2015,"&gt;="&amp;AB118,$D$18:$D$2015,"&lt;"&amp;AB119))</f>
        <v/>
      </c>
      <c r="AD118" s="14" t="n"/>
    </row>
    <row r="119">
      <c r="A119" s="58" t="n"/>
      <c r="B119" s="59" t="n"/>
      <c r="C119" s="59" t="n"/>
      <c r="E119" s="16" t="n"/>
      <c r="F119" s="13" t="n"/>
      <c r="G119" s="16" t="n"/>
      <c r="H119" s="124">
        <f>IF(G119="","",COUNTIFS($C$18:$C$2015,G$13,$D$18:$D$2015,"&gt;="&amp;G119,$D$18:$D$2015,"&lt;"&amp;G120))</f>
        <v/>
      </c>
      <c r="I119" s="14" t="n"/>
      <c r="J119" s="16" t="n"/>
      <c r="K119" s="124">
        <f>IF(J119="","",COUNTIFS($C$18:$C$2015,J$13,$D$18:$D$2015,"&gt;="&amp;J119,$D$18:$D$2015,"&lt;"&amp;J120))</f>
        <v/>
      </c>
      <c r="L119" s="14" t="n"/>
      <c r="M119" s="16" t="n"/>
      <c r="N119" s="124">
        <f>IF(M119="","",COUNTIFS($C$18:$C$2015,M$13,$D$18:$D$2015,"&gt;="&amp;M119,$D$18:$D$2015,"&lt;"&amp;M120))</f>
        <v/>
      </c>
      <c r="O119" s="14" t="n"/>
      <c r="P119" s="16" t="n"/>
      <c r="Q119" s="124">
        <f>IF(P119="","",COUNTIFS($C$18:$C$2015,P$13,$D$18:$D$2015,"&gt;="&amp;P119,$D$18:$D$2015,"&lt;"&amp;P120))</f>
        <v/>
      </c>
      <c r="R119" s="14" t="n"/>
      <c r="S119" s="16" t="n"/>
      <c r="T119" s="124">
        <f>IF(S119="","",COUNTIFS($C$18:$C$2015,S$13,$D$18:$D$2015,"&gt;="&amp;S119,$D$18:$D$2015,"&lt;"&amp;S120))</f>
        <v/>
      </c>
      <c r="U119" s="14" t="n"/>
      <c r="V119" s="16" t="n"/>
      <c r="W119" s="124">
        <f>IF(V119="","",COUNTIFS($C$18:$C$2015,V$13,$D$18:$D$2015,"&gt;="&amp;V119,$D$18:$D$2015,"&lt;"&amp;V120))</f>
        <v/>
      </c>
      <c r="X119" s="14" t="n"/>
      <c r="Y119" s="16" t="n"/>
      <c r="Z119" s="124">
        <f>IF(Y119="","",COUNTIFS($C$18:$C$2015,Y$13,$D$18:$D$2015,"&gt;="&amp;Y119,$D$18:$D$2015,"&lt;"&amp;Y120))</f>
        <v/>
      </c>
      <c r="AA119" s="14" t="n"/>
      <c r="AB119" s="16" t="n"/>
      <c r="AC119" s="124">
        <f>IF(AB119="","",COUNTIFS($C$18:$C$2015,AB$13,$D$18:$D$2015,"&gt;="&amp;AB119,$D$18:$D$2015,"&lt;"&amp;AB120))</f>
        <v/>
      </c>
      <c r="AD119" s="14" t="n"/>
    </row>
    <row r="120">
      <c r="A120" s="56" t="n"/>
      <c r="B120" s="59" t="n"/>
      <c r="C120" s="59" t="n"/>
      <c r="E120" s="16" t="n"/>
      <c r="F120" s="13" t="n"/>
      <c r="G120" s="16" t="n"/>
      <c r="H120" s="124">
        <f>IF(G120="","",COUNTIFS($C$18:$C$2015,G$13,$D$18:$D$2015,"&gt;="&amp;G120,$D$18:$D$2015,"&lt;"&amp;G121))</f>
        <v/>
      </c>
      <c r="I120" s="14" t="n"/>
      <c r="J120" s="16" t="n"/>
      <c r="K120" s="124">
        <f>IF(J120="","",COUNTIFS($C$18:$C$2015,J$13,$D$18:$D$2015,"&gt;="&amp;J120,$D$18:$D$2015,"&lt;"&amp;J121))</f>
        <v/>
      </c>
      <c r="L120" s="14" t="n"/>
      <c r="M120" s="16" t="n"/>
      <c r="N120" s="124">
        <f>IF(M120="","",COUNTIFS($C$18:$C$2015,M$13,$D$18:$D$2015,"&gt;="&amp;M120,$D$18:$D$2015,"&lt;"&amp;M121))</f>
        <v/>
      </c>
      <c r="O120" s="14" t="n"/>
      <c r="P120" s="16" t="n"/>
      <c r="Q120" s="124">
        <f>IF(P120="","",COUNTIFS($C$18:$C$2015,P$13,$D$18:$D$2015,"&gt;="&amp;P120,$D$18:$D$2015,"&lt;"&amp;P121))</f>
        <v/>
      </c>
      <c r="R120" s="14" t="n"/>
      <c r="S120" s="16" t="n"/>
      <c r="T120" s="124">
        <f>IF(S120="","",COUNTIFS($C$18:$C$2015,S$13,$D$18:$D$2015,"&gt;="&amp;S120,$D$18:$D$2015,"&lt;"&amp;S121))</f>
        <v/>
      </c>
      <c r="U120" s="14" t="n"/>
      <c r="V120" s="16" t="n"/>
      <c r="W120" s="124">
        <f>IF(V120="","",COUNTIFS($C$18:$C$2015,V$13,$D$18:$D$2015,"&gt;="&amp;V120,$D$18:$D$2015,"&lt;"&amp;V121))</f>
        <v/>
      </c>
      <c r="X120" s="14" t="n"/>
      <c r="Y120" s="16" t="n"/>
      <c r="Z120" s="124">
        <f>IF(Y120="","",COUNTIFS($C$18:$C$2015,Y$13,$D$18:$D$2015,"&gt;="&amp;Y120,$D$18:$D$2015,"&lt;"&amp;Y121))</f>
        <v/>
      </c>
      <c r="AA120" s="14" t="n"/>
      <c r="AB120" s="16" t="n"/>
      <c r="AC120" s="124">
        <f>IF(AB120="","",COUNTIFS($C$18:$C$2015,AB$13,$D$18:$D$2015,"&gt;="&amp;AB120,$D$18:$D$2015,"&lt;"&amp;AB121))</f>
        <v/>
      </c>
      <c r="AD120" s="14" t="n"/>
    </row>
    <row r="121">
      <c r="A121" s="58" t="n"/>
      <c r="B121" s="59" t="n"/>
      <c r="C121" s="59" t="n"/>
      <c r="E121" s="16" t="n"/>
      <c r="F121" s="13" t="n"/>
      <c r="G121" s="16" t="n"/>
      <c r="H121" s="124">
        <f>IF(G121="","",COUNTIFS($C$18:$C$2015,G$13,$D$18:$D$2015,"&gt;="&amp;G121,$D$18:$D$2015,"&lt;"&amp;G122))</f>
        <v/>
      </c>
      <c r="I121" s="14" t="n"/>
      <c r="J121" s="16" t="n"/>
      <c r="K121" s="124">
        <f>IF(J121="","",COUNTIFS($C$18:$C$2015,J$13,$D$18:$D$2015,"&gt;="&amp;J121,$D$18:$D$2015,"&lt;"&amp;J122))</f>
        <v/>
      </c>
      <c r="L121" s="14" t="n"/>
      <c r="M121" s="16" t="n"/>
      <c r="N121" s="124">
        <f>IF(M121="","",COUNTIFS($C$18:$C$2015,M$13,$D$18:$D$2015,"&gt;="&amp;M121,$D$18:$D$2015,"&lt;"&amp;M122))</f>
        <v/>
      </c>
      <c r="O121" s="14" t="n"/>
      <c r="P121" s="16" t="n"/>
      <c r="Q121" s="124">
        <f>IF(P121="","",COUNTIFS($C$18:$C$2015,P$13,$D$18:$D$2015,"&gt;="&amp;P121,$D$18:$D$2015,"&lt;"&amp;P122))</f>
        <v/>
      </c>
      <c r="R121" s="14" t="n"/>
      <c r="S121" s="16" t="n"/>
      <c r="T121" s="124">
        <f>IF(S121="","",COUNTIFS($C$18:$C$2015,S$13,$D$18:$D$2015,"&gt;="&amp;S121,$D$18:$D$2015,"&lt;"&amp;S122))</f>
        <v/>
      </c>
      <c r="U121" s="14" t="n"/>
      <c r="V121" s="16" t="n"/>
      <c r="W121" s="124">
        <f>IF(V121="","",COUNTIFS($C$18:$C$2015,V$13,$D$18:$D$2015,"&gt;="&amp;V121,$D$18:$D$2015,"&lt;"&amp;V122))</f>
        <v/>
      </c>
      <c r="X121" s="14" t="n"/>
      <c r="Y121" s="16" t="n"/>
      <c r="Z121" s="124">
        <f>IF(Y121="","",COUNTIFS($C$18:$C$2015,Y$13,$D$18:$D$2015,"&gt;="&amp;Y121,$D$18:$D$2015,"&lt;"&amp;Y122))</f>
        <v/>
      </c>
      <c r="AA121" s="14" t="n"/>
      <c r="AB121" s="16" t="n"/>
      <c r="AC121" s="124">
        <f>IF(AB121="","",COUNTIFS($C$18:$C$2015,AB$13,$D$18:$D$2015,"&gt;="&amp;AB121,$D$18:$D$2015,"&lt;"&amp;AB122))</f>
        <v/>
      </c>
      <c r="AD121" s="14" t="n"/>
    </row>
    <row r="122">
      <c r="A122" s="56" t="n"/>
      <c r="B122" s="59" t="n"/>
      <c r="C122" s="59" t="n"/>
      <c r="E122" s="16" t="n"/>
      <c r="F122" s="13" t="n"/>
      <c r="G122" s="16" t="n"/>
      <c r="H122" s="124">
        <f>IF(G122="","",COUNTIFS($C$18:$C$2015,G$13,$D$18:$D$2015,"&gt;="&amp;G122,$D$18:$D$2015,"&lt;"&amp;G123))</f>
        <v/>
      </c>
      <c r="I122" s="14" t="n"/>
      <c r="J122" s="16" t="n"/>
      <c r="K122" s="124">
        <f>IF(J122="","",COUNTIFS($C$18:$C$2015,J$13,$D$18:$D$2015,"&gt;="&amp;J122,$D$18:$D$2015,"&lt;"&amp;J123))</f>
        <v/>
      </c>
      <c r="L122" s="14" t="n"/>
      <c r="M122" s="16" t="n"/>
      <c r="N122" s="124">
        <f>IF(M122="","",COUNTIFS($C$18:$C$2015,M$13,$D$18:$D$2015,"&gt;="&amp;M122,$D$18:$D$2015,"&lt;"&amp;M123))</f>
        <v/>
      </c>
      <c r="O122" s="14" t="n"/>
      <c r="P122" s="16" t="n"/>
      <c r="Q122" s="124">
        <f>IF(P122="","",COUNTIFS($C$18:$C$2015,P$13,$D$18:$D$2015,"&gt;="&amp;P122,$D$18:$D$2015,"&lt;"&amp;P123))</f>
        <v/>
      </c>
      <c r="R122" s="14" t="n"/>
      <c r="S122" s="16" t="n"/>
      <c r="T122" s="124">
        <f>IF(S122="","",COUNTIFS($C$18:$C$2015,S$13,$D$18:$D$2015,"&gt;="&amp;S122,$D$18:$D$2015,"&lt;"&amp;S123))</f>
        <v/>
      </c>
      <c r="U122" s="14" t="n"/>
      <c r="V122" s="16" t="n"/>
      <c r="W122" s="124">
        <f>IF(V122="","",COUNTIFS($C$18:$C$2015,V$13,$D$18:$D$2015,"&gt;="&amp;V122,$D$18:$D$2015,"&lt;"&amp;V123))</f>
        <v/>
      </c>
      <c r="X122" s="14" t="n"/>
      <c r="Y122" s="16" t="n"/>
      <c r="Z122" s="124">
        <f>IF(Y122="","",COUNTIFS($C$18:$C$2015,Y$13,$D$18:$D$2015,"&gt;="&amp;Y122,$D$18:$D$2015,"&lt;"&amp;Y123))</f>
        <v/>
      </c>
      <c r="AA122" s="14" t="n"/>
      <c r="AB122" s="16" t="n"/>
      <c r="AC122" s="124">
        <f>IF(AB122="","",COUNTIFS($C$18:$C$2015,AB$13,$D$18:$D$2015,"&gt;="&amp;AB122,$D$18:$D$2015,"&lt;"&amp;AB123))</f>
        <v/>
      </c>
      <c r="AD122" s="14" t="n"/>
    </row>
    <row r="123">
      <c r="A123" s="58" t="n"/>
      <c r="B123" s="59" t="n"/>
      <c r="C123" s="59" t="n"/>
      <c r="E123" s="16" t="n"/>
      <c r="F123" s="13" t="n"/>
      <c r="G123" s="16" t="n"/>
      <c r="H123" s="124">
        <f>IF(G123="","",COUNTIFS($C$18:$C$2015,G$13,$D$18:$D$2015,"&gt;="&amp;G123,$D$18:$D$2015,"&lt;"&amp;G124))</f>
        <v/>
      </c>
      <c r="I123" s="14" t="n"/>
      <c r="J123" s="16" t="n"/>
      <c r="K123" s="124">
        <f>IF(J123="","",COUNTIFS($C$18:$C$2015,J$13,$D$18:$D$2015,"&gt;="&amp;J123,$D$18:$D$2015,"&lt;"&amp;J124))</f>
        <v/>
      </c>
      <c r="L123" s="14" t="n"/>
      <c r="M123" s="16" t="n"/>
      <c r="N123" s="124">
        <f>IF(M123="","",COUNTIFS($C$18:$C$2015,M$13,$D$18:$D$2015,"&gt;="&amp;M123,$D$18:$D$2015,"&lt;"&amp;M124))</f>
        <v/>
      </c>
      <c r="O123" s="14" t="n"/>
      <c r="P123" s="16" t="n"/>
      <c r="Q123" s="124">
        <f>IF(P123="","",COUNTIFS($C$18:$C$2015,P$13,$D$18:$D$2015,"&gt;="&amp;P123,$D$18:$D$2015,"&lt;"&amp;P124))</f>
        <v/>
      </c>
      <c r="R123" s="14" t="n"/>
      <c r="S123" s="16" t="n"/>
      <c r="T123" s="124">
        <f>IF(S123="","",COUNTIFS($C$18:$C$2015,S$13,$D$18:$D$2015,"&gt;="&amp;S123,$D$18:$D$2015,"&lt;"&amp;S124))</f>
        <v/>
      </c>
      <c r="U123" s="14" t="n"/>
      <c r="V123" s="16" t="n"/>
      <c r="W123" s="124">
        <f>IF(V123="","",COUNTIFS($C$18:$C$2015,V$13,$D$18:$D$2015,"&gt;="&amp;V123,$D$18:$D$2015,"&lt;"&amp;V124))</f>
        <v/>
      </c>
      <c r="X123" s="14" t="n"/>
      <c r="Y123" s="16" t="n"/>
      <c r="Z123" s="124">
        <f>IF(Y123="","",COUNTIFS($C$18:$C$2015,Y$13,$D$18:$D$2015,"&gt;="&amp;Y123,$D$18:$D$2015,"&lt;"&amp;Y124))</f>
        <v/>
      </c>
      <c r="AA123" s="14" t="n"/>
      <c r="AB123" s="16" t="n"/>
      <c r="AC123" s="124">
        <f>IF(AB123="","",COUNTIFS($C$18:$C$2015,AB$13,$D$18:$D$2015,"&gt;="&amp;AB123,$D$18:$D$2015,"&lt;"&amp;AB124))</f>
        <v/>
      </c>
      <c r="AD123" s="14" t="n"/>
    </row>
    <row r="124">
      <c r="A124" s="56" t="n"/>
      <c r="B124" s="59" t="n"/>
      <c r="C124" s="59" t="n"/>
      <c r="E124" s="16" t="n"/>
      <c r="F124" s="13" t="n"/>
      <c r="G124" s="16" t="n"/>
      <c r="H124" s="124">
        <f>IF(G124="","",COUNTIFS($C$18:$C$2015,G$13,$D$18:$D$2015,"&gt;="&amp;G124,$D$18:$D$2015,"&lt;"&amp;G125))</f>
        <v/>
      </c>
      <c r="I124" s="14" t="n"/>
      <c r="J124" s="16" t="n"/>
      <c r="K124" s="124">
        <f>IF(J124="","",COUNTIFS($C$18:$C$2015,J$13,$D$18:$D$2015,"&gt;="&amp;J124,$D$18:$D$2015,"&lt;"&amp;J125))</f>
        <v/>
      </c>
      <c r="L124" s="14" t="n"/>
      <c r="M124" s="16" t="n"/>
      <c r="N124" s="124">
        <f>IF(M124="","",COUNTIFS($C$18:$C$2015,M$13,$D$18:$D$2015,"&gt;="&amp;M124,$D$18:$D$2015,"&lt;"&amp;M125))</f>
        <v/>
      </c>
      <c r="O124" s="14" t="n"/>
      <c r="P124" s="16" t="n"/>
      <c r="Q124" s="124">
        <f>IF(P124="","",COUNTIFS($C$18:$C$2015,P$13,$D$18:$D$2015,"&gt;="&amp;P124,$D$18:$D$2015,"&lt;"&amp;P125))</f>
        <v/>
      </c>
      <c r="R124" s="14" t="n"/>
      <c r="S124" s="16" t="n"/>
      <c r="T124" s="124">
        <f>IF(S124="","",COUNTIFS($C$18:$C$2015,S$13,$D$18:$D$2015,"&gt;="&amp;S124,$D$18:$D$2015,"&lt;"&amp;S125))</f>
        <v/>
      </c>
      <c r="U124" s="14" t="n"/>
      <c r="V124" s="16" t="n"/>
      <c r="W124" s="124">
        <f>IF(V124="","",COUNTIFS($C$18:$C$2015,V$13,$D$18:$D$2015,"&gt;="&amp;V124,$D$18:$D$2015,"&lt;"&amp;V125))</f>
        <v/>
      </c>
      <c r="X124" s="14" t="n"/>
      <c r="Y124" s="16" t="n"/>
      <c r="Z124" s="124">
        <f>IF(Y124="","",COUNTIFS($C$18:$C$2015,Y$13,$D$18:$D$2015,"&gt;="&amp;Y124,$D$18:$D$2015,"&lt;"&amp;Y125))</f>
        <v/>
      </c>
      <c r="AA124" s="14" t="n"/>
      <c r="AB124" s="16" t="n"/>
      <c r="AC124" s="124">
        <f>IF(AB124="","",COUNTIFS($C$18:$C$2015,AB$13,$D$18:$D$2015,"&gt;="&amp;AB124,$D$18:$D$2015,"&lt;"&amp;AB125))</f>
        <v/>
      </c>
      <c r="AD124" s="14" t="n"/>
    </row>
    <row r="125">
      <c r="A125" s="58" t="n"/>
      <c r="B125" s="59" t="n"/>
      <c r="C125" s="59" t="n"/>
      <c r="E125" s="16" t="n"/>
      <c r="F125" s="13" t="n"/>
      <c r="G125" s="16" t="n"/>
      <c r="H125" s="124">
        <f>IF(G125="","",COUNTIFS($C$18:$C$2015,G$13,$D$18:$D$2015,"&gt;="&amp;G125,$D$18:$D$2015,"&lt;"&amp;G126))</f>
        <v/>
      </c>
      <c r="I125" s="14" t="n"/>
      <c r="J125" s="16" t="n"/>
      <c r="K125" s="124">
        <f>IF(J125="","",COUNTIFS($C$18:$C$2015,J$13,$D$18:$D$2015,"&gt;="&amp;J125,$D$18:$D$2015,"&lt;"&amp;J126))</f>
        <v/>
      </c>
      <c r="L125" s="14" t="n"/>
      <c r="M125" s="16" t="n"/>
      <c r="N125" s="124">
        <f>IF(M125="","",COUNTIFS($C$18:$C$2015,M$13,$D$18:$D$2015,"&gt;="&amp;M125,$D$18:$D$2015,"&lt;"&amp;M126))</f>
        <v/>
      </c>
      <c r="O125" s="14" t="n"/>
      <c r="P125" s="16" t="n"/>
      <c r="Q125" s="124">
        <f>IF(P125="","",COUNTIFS($C$18:$C$2015,P$13,$D$18:$D$2015,"&gt;="&amp;P125,$D$18:$D$2015,"&lt;"&amp;P126))</f>
        <v/>
      </c>
      <c r="R125" s="14" t="n"/>
      <c r="S125" s="16" t="n"/>
      <c r="T125" s="124">
        <f>IF(S125="","",COUNTIFS($C$18:$C$2015,S$13,$D$18:$D$2015,"&gt;="&amp;S125,$D$18:$D$2015,"&lt;"&amp;S126))</f>
        <v/>
      </c>
      <c r="U125" s="14" t="n"/>
      <c r="V125" s="16" t="n"/>
      <c r="W125" s="124">
        <f>IF(V125="","",COUNTIFS($C$18:$C$2015,V$13,$D$18:$D$2015,"&gt;="&amp;V125,$D$18:$D$2015,"&lt;"&amp;V126))</f>
        <v/>
      </c>
      <c r="X125" s="14" t="n"/>
      <c r="Y125" s="16" t="n"/>
      <c r="Z125" s="124">
        <f>IF(Y125="","",COUNTIFS($C$18:$C$2015,Y$13,$D$18:$D$2015,"&gt;="&amp;Y125,$D$18:$D$2015,"&lt;"&amp;Y126))</f>
        <v/>
      </c>
      <c r="AA125" s="14" t="n"/>
      <c r="AB125" s="16" t="n"/>
      <c r="AC125" s="124">
        <f>IF(AB125="","",COUNTIFS($C$18:$C$2015,AB$13,$D$18:$D$2015,"&gt;="&amp;AB125,$D$18:$D$2015,"&lt;"&amp;AB126))</f>
        <v/>
      </c>
      <c r="AD125" s="14" t="n"/>
    </row>
    <row r="126">
      <c r="A126" s="56" t="n"/>
      <c r="B126" s="59" t="n"/>
      <c r="C126" s="59" t="n"/>
      <c r="E126" s="16" t="n"/>
      <c r="F126" s="13" t="n"/>
      <c r="G126" s="16" t="n"/>
      <c r="H126" s="124">
        <f>IF(G126="","",COUNTIFS($C$18:$C$2015,G$13,$D$18:$D$2015,"&gt;="&amp;G126,$D$18:$D$2015,"&lt;"&amp;G127))</f>
        <v/>
      </c>
      <c r="I126" s="14" t="n"/>
      <c r="J126" s="16" t="n"/>
      <c r="K126" s="124">
        <f>IF(J126="","",COUNTIFS($C$18:$C$2015,J$13,$D$18:$D$2015,"&gt;="&amp;J126,$D$18:$D$2015,"&lt;"&amp;J127))</f>
        <v/>
      </c>
      <c r="L126" s="14" t="n"/>
      <c r="M126" s="16" t="n"/>
      <c r="N126" s="124">
        <f>IF(M126="","",COUNTIFS($C$18:$C$2015,M$13,$D$18:$D$2015,"&gt;="&amp;M126,$D$18:$D$2015,"&lt;"&amp;M127))</f>
        <v/>
      </c>
      <c r="O126" s="14" t="n"/>
      <c r="P126" s="16" t="n"/>
      <c r="Q126" s="124">
        <f>IF(P126="","",COUNTIFS($C$18:$C$2015,P$13,$D$18:$D$2015,"&gt;="&amp;P126,$D$18:$D$2015,"&lt;"&amp;P127))</f>
        <v/>
      </c>
      <c r="R126" s="14" t="n"/>
      <c r="S126" s="16" t="n"/>
      <c r="T126" s="124">
        <f>IF(S126="","",COUNTIFS($C$18:$C$2015,S$13,$D$18:$D$2015,"&gt;="&amp;S126,$D$18:$D$2015,"&lt;"&amp;S127))</f>
        <v/>
      </c>
      <c r="U126" s="14" t="n"/>
      <c r="V126" s="16" t="n"/>
      <c r="W126" s="124">
        <f>IF(V126="","",COUNTIFS($C$18:$C$2015,V$13,$D$18:$D$2015,"&gt;="&amp;V126,$D$18:$D$2015,"&lt;"&amp;V127))</f>
        <v/>
      </c>
      <c r="X126" s="14" t="n"/>
      <c r="Y126" s="16" t="n"/>
      <c r="Z126" s="124">
        <f>IF(Y126="","",COUNTIFS($C$18:$C$2015,Y$13,$D$18:$D$2015,"&gt;="&amp;Y126,$D$18:$D$2015,"&lt;"&amp;Y127))</f>
        <v/>
      </c>
      <c r="AA126" s="14" t="n"/>
      <c r="AB126" s="16" t="n"/>
      <c r="AC126" s="124">
        <f>IF(AB126="","",COUNTIFS($C$18:$C$2015,AB$13,$D$18:$D$2015,"&gt;="&amp;AB126,$D$18:$D$2015,"&lt;"&amp;AB127))</f>
        <v/>
      </c>
      <c r="AD126" s="14" t="n"/>
    </row>
    <row r="127">
      <c r="A127" s="58" t="n"/>
      <c r="B127" s="59" t="n"/>
      <c r="C127" s="59" t="n"/>
      <c r="E127" s="16" t="n"/>
      <c r="F127" s="13" t="n"/>
      <c r="G127" s="16" t="n"/>
      <c r="H127" s="124">
        <f>IF(G127="","",COUNTIFS($C$18:$C$2015,G$13,$D$18:$D$2015,"&gt;="&amp;G127,$D$18:$D$2015,"&lt;"&amp;G128))</f>
        <v/>
      </c>
      <c r="I127" s="14" t="n"/>
      <c r="J127" s="16" t="n"/>
      <c r="K127" s="124">
        <f>IF(J127="","",COUNTIFS($C$18:$C$2015,J$13,$D$18:$D$2015,"&gt;="&amp;J127,$D$18:$D$2015,"&lt;"&amp;J128))</f>
        <v/>
      </c>
      <c r="L127" s="14" t="n"/>
      <c r="M127" s="16" t="n"/>
      <c r="N127" s="124">
        <f>IF(M127="","",COUNTIFS($C$18:$C$2015,M$13,$D$18:$D$2015,"&gt;="&amp;M127,$D$18:$D$2015,"&lt;"&amp;M128))</f>
        <v/>
      </c>
      <c r="O127" s="14" t="n"/>
      <c r="P127" s="16" t="n"/>
      <c r="Q127" s="124">
        <f>IF(P127="","",COUNTIFS($C$18:$C$2015,P$13,$D$18:$D$2015,"&gt;="&amp;P127,$D$18:$D$2015,"&lt;"&amp;P128))</f>
        <v/>
      </c>
      <c r="R127" s="14" t="n"/>
      <c r="S127" s="16" t="n"/>
      <c r="T127" s="124">
        <f>IF(S127="","",COUNTIFS($C$18:$C$2015,S$13,$D$18:$D$2015,"&gt;="&amp;S127,$D$18:$D$2015,"&lt;"&amp;S128))</f>
        <v/>
      </c>
      <c r="U127" s="14" t="n"/>
      <c r="V127" s="16" t="n"/>
      <c r="W127" s="124">
        <f>IF(V127="","",COUNTIFS($C$18:$C$2015,V$13,$D$18:$D$2015,"&gt;="&amp;V127,$D$18:$D$2015,"&lt;"&amp;V128))</f>
        <v/>
      </c>
      <c r="X127" s="14" t="n"/>
      <c r="Y127" s="16" t="n"/>
      <c r="Z127" s="124">
        <f>IF(Y127="","",COUNTIFS($C$18:$C$2015,Y$13,$D$18:$D$2015,"&gt;="&amp;Y127,$D$18:$D$2015,"&lt;"&amp;Y128))</f>
        <v/>
      </c>
      <c r="AA127" s="14" t="n"/>
      <c r="AB127" s="16" t="n"/>
      <c r="AC127" s="124">
        <f>IF(AB127="","",COUNTIFS($C$18:$C$2015,AB$13,$D$18:$D$2015,"&gt;="&amp;AB127,$D$18:$D$2015,"&lt;"&amp;AB128))</f>
        <v/>
      </c>
      <c r="AD127" s="14" t="n"/>
    </row>
    <row r="128">
      <c r="A128" s="56" t="n"/>
      <c r="B128" s="59" t="n"/>
      <c r="C128" s="59" t="n"/>
      <c r="E128" s="16" t="n"/>
      <c r="F128" s="13" t="n"/>
      <c r="G128" s="16" t="n"/>
      <c r="H128" s="124">
        <f>IF(G128="","",COUNTIFS($C$18:$C$2015,G$13,$D$18:$D$2015,"&gt;="&amp;G128,$D$18:$D$2015,"&lt;"&amp;G129))</f>
        <v/>
      </c>
      <c r="I128" s="14" t="n"/>
      <c r="J128" s="16" t="n"/>
      <c r="K128" s="124">
        <f>IF(J128="","",COUNTIFS($C$18:$C$2015,J$13,$D$18:$D$2015,"&gt;="&amp;J128,$D$18:$D$2015,"&lt;"&amp;J129))</f>
        <v/>
      </c>
      <c r="L128" s="14" t="n"/>
      <c r="M128" s="16" t="n"/>
      <c r="N128" s="124">
        <f>IF(M128="","",COUNTIFS($C$18:$C$2015,M$13,$D$18:$D$2015,"&gt;="&amp;M128,$D$18:$D$2015,"&lt;"&amp;M129))</f>
        <v/>
      </c>
      <c r="O128" s="14" t="n"/>
      <c r="P128" s="16" t="n"/>
      <c r="Q128" s="124">
        <f>IF(P128="","",COUNTIFS($C$18:$C$2015,P$13,$D$18:$D$2015,"&gt;="&amp;P128,$D$18:$D$2015,"&lt;"&amp;P129))</f>
        <v/>
      </c>
      <c r="R128" s="14" t="n"/>
      <c r="S128" s="16" t="n"/>
      <c r="T128" s="124">
        <f>IF(S128="","",COUNTIFS($C$18:$C$2015,S$13,$D$18:$D$2015,"&gt;="&amp;S128,$D$18:$D$2015,"&lt;"&amp;S129))</f>
        <v/>
      </c>
      <c r="U128" s="14" t="n"/>
      <c r="V128" s="16" t="n"/>
      <c r="W128" s="124">
        <f>IF(V128="","",COUNTIFS($C$18:$C$2015,V$13,$D$18:$D$2015,"&gt;="&amp;V128,$D$18:$D$2015,"&lt;"&amp;V129))</f>
        <v/>
      </c>
      <c r="X128" s="14" t="n"/>
      <c r="Y128" s="16" t="n"/>
      <c r="Z128" s="124">
        <f>IF(Y128="","",COUNTIFS($C$18:$C$2015,Y$13,$D$18:$D$2015,"&gt;="&amp;Y128,$D$18:$D$2015,"&lt;"&amp;Y129))</f>
        <v/>
      </c>
      <c r="AA128" s="14" t="n"/>
      <c r="AB128" s="16" t="n"/>
      <c r="AC128" s="124">
        <f>IF(AB128="","",COUNTIFS($C$18:$C$2015,AB$13,$D$18:$D$2015,"&gt;="&amp;AB128,$D$18:$D$2015,"&lt;"&amp;AB129))</f>
        <v/>
      </c>
      <c r="AD128" s="14" t="n"/>
    </row>
    <row r="129">
      <c r="A129" s="58" t="n"/>
      <c r="B129" s="59" t="n"/>
      <c r="C129" s="59" t="n"/>
      <c r="E129" s="16" t="n"/>
      <c r="F129" s="13" t="n"/>
      <c r="G129" s="16" t="n"/>
      <c r="H129" s="124">
        <f>IF(G129="","",COUNTIFS($C$18:$C$2015,G$13,$D$18:$D$2015,"&gt;="&amp;G129,$D$18:$D$2015,"&lt;"&amp;G130))</f>
        <v/>
      </c>
      <c r="I129" s="14" t="n"/>
      <c r="J129" s="16" t="n"/>
      <c r="K129" s="124">
        <f>IF(J129="","",COUNTIFS($C$18:$C$2015,J$13,$D$18:$D$2015,"&gt;="&amp;J129,$D$18:$D$2015,"&lt;"&amp;J130))</f>
        <v/>
      </c>
      <c r="L129" s="14" t="n"/>
      <c r="M129" s="16" t="n"/>
      <c r="N129" s="124">
        <f>IF(M129="","",COUNTIFS($C$18:$C$2015,M$13,$D$18:$D$2015,"&gt;="&amp;M129,$D$18:$D$2015,"&lt;"&amp;M130))</f>
        <v/>
      </c>
      <c r="O129" s="14" t="n"/>
      <c r="P129" s="16" t="n"/>
      <c r="Q129" s="124">
        <f>IF(P129="","",COUNTIFS($C$18:$C$2015,P$13,$D$18:$D$2015,"&gt;="&amp;P129,$D$18:$D$2015,"&lt;"&amp;P130))</f>
        <v/>
      </c>
      <c r="R129" s="14" t="n"/>
      <c r="S129" s="16" t="n"/>
      <c r="T129" s="124">
        <f>IF(S129="","",COUNTIFS($C$18:$C$2015,S$13,$D$18:$D$2015,"&gt;="&amp;S129,$D$18:$D$2015,"&lt;"&amp;S130))</f>
        <v/>
      </c>
      <c r="U129" s="14" t="n"/>
      <c r="V129" s="16" t="n"/>
      <c r="W129" s="124">
        <f>IF(V129="","",COUNTIFS($C$18:$C$2015,V$13,$D$18:$D$2015,"&gt;="&amp;V129,$D$18:$D$2015,"&lt;"&amp;V130))</f>
        <v/>
      </c>
      <c r="X129" s="14" t="n"/>
      <c r="Y129" s="16" t="n"/>
      <c r="Z129" s="124">
        <f>IF(Y129="","",COUNTIFS($C$18:$C$2015,Y$13,$D$18:$D$2015,"&gt;="&amp;Y129,$D$18:$D$2015,"&lt;"&amp;Y130))</f>
        <v/>
      </c>
      <c r="AA129" s="14" t="n"/>
      <c r="AB129" s="16" t="n"/>
      <c r="AC129" s="124">
        <f>IF(AB129="","",COUNTIFS($C$18:$C$2015,AB$13,$D$18:$D$2015,"&gt;="&amp;AB129,$D$18:$D$2015,"&lt;"&amp;AB130))</f>
        <v/>
      </c>
      <c r="AD129" s="14" t="n"/>
    </row>
    <row r="130">
      <c r="A130" s="56" t="n"/>
      <c r="B130" s="59" t="n"/>
      <c r="C130" s="59" t="n"/>
      <c r="E130" s="16" t="n"/>
      <c r="F130" s="13" t="n"/>
      <c r="G130" s="16" t="n"/>
      <c r="H130" s="124">
        <f>IF(G130="","",COUNTIFS($C$18:$C$2015,G$13,$D$18:$D$2015,"&gt;="&amp;G130,$D$18:$D$2015,"&lt;"&amp;G131))</f>
        <v/>
      </c>
      <c r="I130" s="14" t="n"/>
      <c r="J130" s="16" t="n"/>
      <c r="K130" s="124">
        <f>IF(J130="","",COUNTIFS($C$18:$C$2015,J$13,$D$18:$D$2015,"&gt;="&amp;J130,$D$18:$D$2015,"&lt;"&amp;J131))</f>
        <v/>
      </c>
      <c r="L130" s="14" t="n"/>
      <c r="M130" s="16" t="n"/>
      <c r="N130" s="124">
        <f>IF(M130="","",COUNTIFS($C$18:$C$2015,M$13,$D$18:$D$2015,"&gt;="&amp;M130,$D$18:$D$2015,"&lt;"&amp;M131))</f>
        <v/>
      </c>
      <c r="O130" s="14" t="n"/>
      <c r="P130" s="16" t="n"/>
      <c r="Q130" s="124">
        <f>IF(P130="","",COUNTIFS($C$18:$C$2015,P$13,$D$18:$D$2015,"&gt;="&amp;P130,$D$18:$D$2015,"&lt;"&amp;P131))</f>
        <v/>
      </c>
      <c r="R130" s="14" t="n"/>
      <c r="S130" s="16" t="n"/>
      <c r="T130" s="124">
        <f>IF(S130="","",COUNTIFS($C$18:$C$2015,S$13,$D$18:$D$2015,"&gt;="&amp;S130,$D$18:$D$2015,"&lt;"&amp;S131))</f>
        <v/>
      </c>
      <c r="U130" s="14" t="n"/>
      <c r="V130" s="16" t="n"/>
      <c r="W130" s="124">
        <f>IF(V130="","",COUNTIFS($C$18:$C$2015,V$13,$D$18:$D$2015,"&gt;="&amp;V130,$D$18:$D$2015,"&lt;"&amp;V131))</f>
        <v/>
      </c>
      <c r="X130" s="14" t="n"/>
      <c r="Y130" s="16" t="n"/>
      <c r="Z130" s="124">
        <f>IF(Y130="","",COUNTIFS($C$18:$C$2015,Y$13,$D$18:$D$2015,"&gt;="&amp;Y130,$D$18:$D$2015,"&lt;"&amp;Y131))</f>
        <v/>
      </c>
      <c r="AA130" s="14" t="n"/>
      <c r="AB130" s="16" t="n"/>
      <c r="AC130" s="124">
        <f>IF(AB130="","",COUNTIFS($C$18:$C$2015,AB$13,$D$18:$D$2015,"&gt;="&amp;AB130,$D$18:$D$2015,"&lt;"&amp;AB131))</f>
        <v/>
      </c>
      <c r="AD130" s="14" t="n"/>
    </row>
    <row r="131">
      <c r="A131" s="58" t="n"/>
      <c r="B131" s="59" t="n"/>
      <c r="C131" s="59" t="n"/>
      <c r="E131" s="16" t="n"/>
      <c r="F131" s="13" t="n"/>
      <c r="G131" s="16" t="n"/>
      <c r="H131" s="124">
        <f>IF(G131="","",COUNTIFS($C$18:$C$2015,G$13,$D$18:$D$2015,"&gt;="&amp;G131,$D$18:$D$2015,"&lt;"&amp;G132))</f>
        <v/>
      </c>
      <c r="I131" s="14" t="n"/>
      <c r="J131" s="16" t="n"/>
      <c r="K131" s="124">
        <f>IF(J131="","",COUNTIFS($C$18:$C$2015,J$13,$D$18:$D$2015,"&gt;="&amp;J131,$D$18:$D$2015,"&lt;"&amp;J132))</f>
        <v/>
      </c>
      <c r="L131" s="14" t="n"/>
      <c r="M131" s="16" t="n"/>
      <c r="N131" s="124">
        <f>IF(M131="","",COUNTIFS($C$18:$C$2015,M$13,$D$18:$D$2015,"&gt;="&amp;M131,$D$18:$D$2015,"&lt;"&amp;M132))</f>
        <v/>
      </c>
      <c r="O131" s="14" t="n"/>
      <c r="P131" s="16" t="n"/>
      <c r="Q131" s="124">
        <f>IF(P131="","",COUNTIFS($C$18:$C$2015,P$13,$D$18:$D$2015,"&gt;="&amp;P131,$D$18:$D$2015,"&lt;"&amp;P132))</f>
        <v/>
      </c>
      <c r="R131" s="14" t="n"/>
      <c r="S131" s="16" t="n"/>
      <c r="T131" s="124">
        <f>IF(S131="","",COUNTIFS($C$18:$C$2015,S$13,$D$18:$D$2015,"&gt;="&amp;S131,$D$18:$D$2015,"&lt;"&amp;S132))</f>
        <v/>
      </c>
      <c r="U131" s="14" t="n"/>
      <c r="V131" s="16" t="n"/>
      <c r="W131" s="124">
        <f>IF(V131="","",COUNTIFS($C$18:$C$2015,V$13,$D$18:$D$2015,"&gt;="&amp;V131,$D$18:$D$2015,"&lt;"&amp;V132))</f>
        <v/>
      </c>
      <c r="X131" s="14" t="n"/>
      <c r="Y131" s="16" t="n"/>
      <c r="Z131" s="124">
        <f>IF(Y131="","",COUNTIFS($C$18:$C$2015,Y$13,$D$18:$D$2015,"&gt;="&amp;Y131,$D$18:$D$2015,"&lt;"&amp;Y132))</f>
        <v/>
      </c>
      <c r="AA131" s="14" t="n"/>
      <c r="AB131" s="16" t="n"/>
      <c r="AC131" s="124">
        <f>IF(AB131="","",COUNTIFS($C$18:$C$2015,AB$13,$D$18:$D$2015,"&gt;="&amp;AB131,$D$18:$D$2015,"&lt;"&amp;AB132))</f>
        <v/>
      </c>
      <c r="AD131" s="14" t="n"/>
    </row>
    <row r="132">
      <c r="A132" s="56" t="n"/>
      <c r="B132" s="59" t="n"/>
      <c r="C132" s="59" t="n"/>
      <c r="E132" s="16" t="n"/>
      <c r="F132" s="13" t="n"/>
      <c r="G132" s="16" t="n"/>
      <c r="H132" s="124">
        <f>IF(G132="","",COUNTIFS($C$18:$C$2015,G$13,$D$18:$D$2015,"&gt;="&amp;G132,$D$18:$D$2015,"&lt;"&amp;G133))</f>
        <v/>
      </c>
      <c r="I132" s="14" t="n"/>
      <c r="J132" s="16" t="n"/>
      <c r="K132" s="124">
        <f>IF(J132="","",COUNTIFS($C$18:$C$2015,J$13,$D$18:$D$2015,"&gt;="&amp;J132,$D$18:$D$2015,"&lt;"&amp;J133))</f>
        <v/>
      </c>
      <c r="L132" s="14" t="n"/>
      <c r="M132" s="16" t="n"/>
      <c r="N132" s="124">
        <f>IF(M132="","",COUNTIFS($C$18:$C$2015,M$13,$D$18:$D$2015,"&gt;="&amp;M132,$D$18:$D$2015,"&lt;"&amp;M133))</f>
        <v/>
      </c>
      <c r="O132" s="14" t="n"/>
      <c r="P132" s="16" t="n"/>
      <c r="Q132" s="124">
        <f>IF(P132="","",COUNTIFS($C$18:$C$2015,P$13,$D$18:$D$2015,"&gt;="&amp;P132,$D$18:$D$2015,"&lt;"&amp;P133))</f>
        <v/>
      </c>
      <c r="R132" s="14" t="n"/>
      <c r="S132" s="16" t="n"/>
      <c r="T132" s="124">
        <f>IF(S132="","",COUNTIFS($C$18:$C$2015,S$13,$D$18:$D$2015,"&gt;="&amp;S132,$D$18:$D$2015,"&lt;"&amp;S133))</f>
        <v/>
      </c>
      <c r="U132" s="14" t="n"/>
      <c r="V132" s="16" t="n"/>
      <c r="W132" s="124">
        <f>IF(V132="","",COUNTIFS($C$18:$C$2015,V$13,$D$18:$D$2015,"&gt;="&amp;V132,$D$18:$D$2015,"&lt;"&amp;V133))</f>
        <v/>
      </c>
      <c r="X132" s="14" t="n"/>
      <c r="Y132" s="16" t="n"/>
      <c r="Z132" s="124">
        <f>IF(Y132="","",COUNTIFS($C$18:$C$2015,Y$13,$D$18:$D$2015,"&gt;="&amp;Y132,$D$18:$D$2015,"&lt;"&amp;Y133))</f>
        <v/>
      </c>
      <c r="AA132" s="14" t="n"/>
      <c r="AB132" s="16" t="n"/>
      <c r="AC132" s="124">
        <f>IF(AB132="","",COUNTIFS($C$18:$C$2015,AB$13,$D$18:$D$2015,"&gt;="&amp;AB132,$D$18:$D$2015,"&lt;"&amp;AB133))</f>
        <v/>
      </c>
      <c r="AD132" s="14" t="n"/>
    </row>
    <row r="133">
      <c r="A133" s="58" t="n"/>
      <c r="B133" s="59" t="n"/>
      <c r="C133" s="59" t="n"/>
      <c r="E133" s="16" t="n"/>
      <c r="F133" s="13" t="n"/>
      <c r="G133" s="16" t="n"/>
      <c r="H133" s="124">
        <f>IF(G133="","",COUNTIFS($C$18:$C$2015,G$13,$D$18:$D$2015,"&gt;="&amp;G133,$D$18:$D$2015,"&lt;"&amp;G134))</f>
        <v/>
      </c>
      <c r="I133" s="14" t="n"/>
      <c r="J133" s="16" t="n"/>
      <c r="K133" s="124">
        <f>IF(J133="","",COUNTIFS($C$18:$C$2015,J$13,$D$18:$D$2015,"&gt;="&amp;J133,$D$18:$D$2015,"&lt;"&amp;J134))</f>
        <v/>
      </c>
      <c r="L133" s="14" t="n"/>
      <c r="M133" s="16" t="n"/>
      <c r="N133" s="124">
        <f>IF(M133="","",COUNTIFS($C$18:$C$2015,M$13,$D$18:$D$2015,"&gt;="&amp;M133,$D$18:$D$2015,"&lt;"&amp;M134))</f>
        <v/>
      </c>
      <c r="O133" s="14" t="n"/>
      <c r="P133" s="16" t="n"/>
      <c r="Q133" s="124">
        <f>IF(P133="","",COUNTIFS($C$18:$C$2015,P$13,$D$18:$D$2015,"&gt;="&amp;P133,$D$18:$D$2015,"&lt;"&amp;P134))</f>
        <v/>
      </c>
      <c r="R133" s="14" t="n"/>
      <c r="S133" s="16" t="n"/>
      <c r="T133" s="124">
        <f>IF(S133="","",COUNTIFS($C$18:$C$2015,S$13,$D$18:$D$2015,"&gt;="&amp;S133,$D$18:$D$2015,"&lt;"&amp;S134))</f>
        <v/>
      </c>
      <c r="U133" s="14" t="n"/>
      <c r="V133" s="16" t="n"/>
      <c r="W133" s="124">
        <f>IF(V133="","",COUNTIFS($C$18:$C$2015,V$13,$D$18:$D$2015,"&gt;="&amp;V133,$D$18:$D$2015,"&lt;"&amp;V134))</f>
        <v/>
      </c>
      <c r="X133" s="14" t="n"/>
      <c r="Y133" s="16" t="n"/>
      <c r="Z133" s="124">
        <f>IF(Y133="","",COUNTIFS($C$18:$C$2015,Y$13,$D$18:$D$2015,"&gt;="&amp;Y133,$D$18:$D$2015,"&lt;"&amp;Y134))</f>
        <v/>
      </c>
      <c r="AA133" s="14" t="n"/>
      <c r="AB133" s="16" t="n"/>
      <c r="AC133" s="124">
        <f>IF(AB133="","",COUNTIFS($C$18:$C$2015,AB$13,$D$18:$D$2015,"&gt;="&amp;AB133,$D$18:$D$2015,"&lt;"&amp;AB134))</f>
        <v/>
      </c>
      <c r="AD133" s="14" t="n"/>
    </row>
    <row r="134">
      <c r="A134" s="56" t="n"/>
      <c r="B134" s="59" t="n"/>
      <c r="C134" s="59" t="n"/>
      <c r="E134" s="16" t="n"/>
      <c r="F134" s="13" t="n"/>
      <c r="G134" s="16" t="n"/>
      <c r="H134" s="124">
        <f>IF(G134="","",COUNTIFS($C$18:$C$2015,G$13,$D$18:$D$2015,"&gt;="&amp;G134,$D$18:$D$2015,"&lt;"&amp;G135))</f>
        <v/>
      </c>
      <c r="I134" s="14" t="n"/>
      <c r="J134" s="16" t="n"/>
      <c r="K134" s="124">
        <f>IF(J134="","",COUNTIFS($C$18:$C$2015,J$13,$D$18:$D$2015,"&gt;="&amp;J134,$D$18:$D$2015,"&lt;"&amp;J135))</f>
        <v/>
      </c>
      <c r="L134" s="14" t="n"/>
      <c r="M134" s="16" t="n"/>
      <c r="N134" s="124">
        <f>IF(M134="","",COUNTIFS($C$18:$C$2015,M$13,$D$18:$D$2015,"&gt;="&amp;M134,$D$18:$D$2015,"&lt;"&amp;M135))</f>
        <v/>
      </c>
      <c r="O134" s="14" t="n"/>
      <c r="P134" s="16" t="n"/>
      <c r="Q134" s="124">
        <f>IF(P134="","",COUNTIFS($C$18:$C$2015,P$13,$D$18:$D$2015,"&gt;="&amp;P134,$D$18:$D$2015,"&lt;"&amp;P135))</f>
        <v/>
      </c>
      <c r="R134" s="14" t="n"/>
      <c r="S134" s="16" t="n"/>
      <c r="T134" s="124">
        <f>IF(S134="","",COUNTIFS($C$18:$C$2015,S$13,$D$18:$D$2015,"&gt;="&amp;S134,$D$18:$D$2015,"&lt;"&amp;S135))</f>
        <v/>
      </c>
      <c r="U134" s="14" t="n"/>
      <c r="V134" s="16" t="n"/>
      <c r="W134" s="124">
        <f>IF(V134="","",COUNTIFS($C$18:$C$2015,V$13,$D$18:$D$2015,"&gt;="&amp;V134,$D$18:$D$2015,"&lt;"&amp;V135))</f>
        <v/>
      </c>
      <c r="X134" s="14" t="n"/>
      <c r="Y134" s="16" t="n"/>
      <c r="Z134" s="124">
        <f>IF(Y134="","",COUNTIFS($C$18:$C$2015,Y$13,$D$18:$D$2015,"&gt;="&amp;Y134,$D$18:$D$2015,"&lt;"&amp;Y135))</f>
        <v/>
      </c>
      <c r="AA134" s="14" t="n"/>
      <c r="AB134" s="16" t="n"/>
      <c r="AC134" s="124">
        <f>IF(AB134="","",COUNTIFS($C$18:$C$2015,AB$13,$D$18:$D$2015,"&gt;="&amp;AB134,$D$18:$D$2015,"&lt;"&amp;AB135))</f>
        <v/>
      </c>
      <c r="AD134" s="14" t="n"/>
    </row>
    <row r="135">
      <c r="A135" s="58" t="n"/>
      <c r="B135" s="59" t="n"/>
      <c r="C135" s="59" t="n"/>
      <c r="E135" s="16" t="n"/>
      <c r="F135" s="13" t="n"/>
      <c r="G135" s="16" t="n"/>
      <c r="H135" s="124">
        <f>IF(G135="","",COUNTIFS($C$18:$C$2015,G$13,$D$18:$D$2015,"&gt;="&amp;G135,$D$18:$D$2015,"&lt;"&amp;G136))</f>
        <v/>
      </c>
      <c r="I135" s="14" t="n"/>
      <c r="J135" s="16" t="n"/>
      <c r="K135" s="124">
        <f>IF(J135="","",COUNTIFS($C$18:$C$2015,J$13,$D$18:$D$2015,"&gt;="&amp;J135,$D$18:$D$2015,"&lt;"&amp;J136))</f>
        <v/>
      </c>
      <c r="L135" s="14" t="n"/>
      <c r="M135" s="16" t="n"/>
      <c r="N135" s="124">
        <f>IF(M135="","",COUNTIFS($C$18:$C$2015,M$13,$D$18:$D$2015,"&gt;="&amp;M135,$D$18:$D$2015,"&lt;"&amp;M136))</f>
        <v/>
      </c>
      <c r="O135" s="14" t="n"/>
      <c r="P135" s="16" t="n"/>
      <c r="Q135" s="124">
        <f>IF(P135="","",COUNTIFS($C$18:$C$2015,P$13,$D$18:$D$2015,"&gt;="&amp;P135,$D$18:$D$2015,"&lt;"&amp;P136))</f>
        <v/>
      </c>
      <c r="R135" s="14" t="n"/>
      <c r="S135" s="16" t="n"/>
      <c r="T135" s="124">
        <f>IF(S135="","",COUNTIFS($C$18:$C$2015,S$13,$D$18:$D$2015,"&gt;="&amp;S135,$D$18:$D$2015,"&lt;"&amp;S136))</f>
        <v/>
      </c>
      <c r="U135" s="14" t="n"/>
      <c r="V135" s="16" t="n"/>
      <c r="W135" s="124">
        <f>IF(V135="","",COUNTIFS($C$18:$C$2015,V$13,$D$18:$D$2015,"&gt;="&amp;V135,$D$18:$D$2015,"&lt;"&amp;V136))</f>
        <v/>
      </c>
      <c r="X135" s="14" t="n"/>
      <c r="Y135" s="16" t="n"/>
      <c r="Z135" s="124">
        <f>IF(Y135="","",COUNTIFS($C$18:$C$2015,Y$13,$D$18:$D$2015,"&gt;="&amp;Y135,$D$18:$D$2015,"&lt;"&amp;Y136))</f>
        <v/>
      </c>
      <c r="AA135" s="14" t="n"/>
      <c r="AB135" s="16" t="n"/>
      <c r="AC135" s="124">
        <f>IF(AB135="","",COUNTIFS($C$18:$C$2015,AB$13,$D$18:$D$2015,"&gt;="&amp;AB135,$D$18:$D$2015,"&lt;"&amp;AB136))</f>
        <v/>
      </c>
      <c r="AD135" s="14" t="n"/>
    </row>
    <row r="136">
      <c r="A136" s="56" t="n"/>
      <c r="B136" s="59" t="n"/>
      <c r="C136" s="59" t="n"/>
      <c r="E136" s="16" t="n"/>
      <c r="F136" s="13" t="n"/>
      <c r="G136" s="16" t="n"/>
      <c r="H136" s="124">
        <f>IF(G136="","",COUNTIFS($C$18:$C$2015,G$13,$D$18:$D$2015,"&gt;="&amp;G136,$D$18:$D$2015,"&lt;"&amp;G137))</f>
        <v/>
      </c>
      <c r="I136" s="14" t="n"/>
      <c r="J136" s="16" t="n"/>
      <c r="K136" s="124">
        <f>IF(J136="","",COUNTIFS($C$18:$C$2015,J$13,$D$18:$D$2015,"&gt;="&amp;J136,$D$18:$D$2015,"&lt;"&amp;J137))</f>
        <v/>
      </c>
      <c r="L136" s="14" t="n"/>
      <c r="M136" s="16" t="n"/>
      <c r="N136" s="124">
        <f>IF(M136="","",COUNTIFS($C$18:$C$2015,M$13,$D$18:$D$2015,"&gt;="&amp;M136,$D$18:$D$2015,"&lt;"&amp;M137))</f>
        <v/>
      </c>
      <c r="O136" s="14" t="n"/>
      <c r="P136" s="16" t="n"/>
      <c r="Q136" s="124">
        <f>IF(P136="","",COUNTIFS($C$18:$C$2015,P$13,$D$18:$D$2015,"&gt;="&amp;P136,$D$18:$D$2015,"&lt;"&amp;P137))</f>
        <v/>
      </c>
      <c r="R136" s="14" t="n"/>
      <c r="S136" s="16" t="n"/>
      <c r="T136" s="124">
        <f>IF(S136="","",COUNTIFS($C$18:$C$2015,S$13,$D$18:$D$2015,"&gt;="&amp;S136,$D$18:$D$2015,"&lt;"&amp;S137))</f>
        <v/>
      </c>
      <c r="U136" s="14" t="n"/>
      <c r="V136" s="16" t="n"/>
      <c r="W136" s="124">
        <f>IF(V136="","",COUNTIFS($C$18:$C$2015,V$13,$D$18:$D$2015,"&gt;="&amp;V136,$D$18:$D$2015,"&lt;"&amp;V137))</f>
        <v/>
      </c>
      <c r="X136" s="14" t="n"/>
      <c r="Y136" s="16" t="n"/>
      <c r="Z136" s="124">
        <f>IF(Y136="","",COUNTIFS($C$18:$C$2015,Y$13,$D$18:$D$2015,"&gt;="&amp;Y136,$D$18:$D$2015,"&lt;"&amp;Y137))</f>
        <v/>
      </c>
      <c r="AA136" s="14" t="n"/>
      <c r="AB136" s="16" t="n"/>
      <c r="AC136" s="124">
        <f>IF(AB136="","",COUNTIFS($C$18:$C$2015,AB$13,$D$18:$D$2015,"&gt;="&amp;AB136,$D$18:$D$2015,"&lt;"&amp;AB137))</f>
        <v/>
      </c>
      <c r="AD136" s="14" t="n"/>
    </row>
    <row r="137">
      <c r="A137" s="58" t="n"/>
      <c r="B137" s="59" t="n"/>
      <c r="C137" s="59" t="n"/>
      <c r="E137" s="16" t="n"/>
      <c r="F137" s="13" t="n"/>
      <c r="G137" s="16" t="n"/>
      <c r="H137" s="124">
        <f>IF(G137="","",COUNTIFS($C$18:$C$2015,G$13,$D$18:$D$2015,"&gt;="&amp;G137,$D$18:$D$2015,"&lt;"&amp;G138))</f>
        <v/>
      </c>
      <c r="I137" s="14" t="n"/>
      <c r="J137" s="16" t="n"/>
      <c r="K137" s="124">
        <f>IF(J137="","",COUNTIFS($C$18:$C$2015,J$13,$D$18:$D$2015,"&gt;="&amp;J137,$D$18:$D$2015,"&lt;"&amp;J138))</f>
        <v/>
      </c>
      <c r="L137" s="14" t="n"/>
      <c r="M137" s="16" t="n"/>
      <c r="N137" s="124">
        <f>IF(M137="","",COUNTIFS($C$18:$C$2015,M$13,$D$18:$D$2015,"&gt;="&amp;M137,$D$18:$D$2015,"&lt;"&amp;M138))</f>
        <v/>
      </c>
      <c r="O137" s="14" t="n"/>
      <c r="P137" s="16" t="n"/>
      <c r="Q137" s="124">
        <f>IF(P137="","",COUNTIFS($C$18:$C$2015,P$13,$D$18:$D$2015,"&gt;="&amp;P137,$D$18:$D$2015,"&lt;"&amp;P138))</f>
        <v/>
      </c>
      <c r="R137" s="14" t="n"/>
      <c r="S137" s="16" t="n"/>
      <c r="T137" s="124">
        <f>IF(S137="","",COUNTIFS($C$18:$C$2015,S$13,$D$18:$D$2015,"&gt;="&amp;S137,$D$18:$D$2015,"&lt;"&amp;S138))</f>
        <v/>
      </c>
      <c r="U137" s="14" t="n"/>
      <c r="V137" s="16" t="n"/>
      <c r="W137" s="124">
        <f>IF(V137="","",COUNTIFS($C$18:$C$2015,V$13,$D$18:$D$2015,"&gt;="&amp;V137,$D$18:$D$2015,"&lt;"&amp;V138))</f>
        <v/>
      </c>
      <c r="X137" s="14" t="n"/>
      <c r="Y137" s="16" t="n"/>
      <c r="Z137" s="124">
        <f>IF(Y137="","",COUNTIFS($C$18:$C$2015,Y$13,$D$18:$D$2015,"&gt;="&amp;Y137,$D$18:$D$2015,"&lt;"&amp;Y138))</f>
        <v/>
      </c>
      <c r="AA137" s="14" t="n"/>
      <c r="AB137" s="16" t="n"/>
      <c r="AC137" s="124">
        <f>IF(AB137="","",COUNTIFS($C$18:$C$2015,AB$13,$D$18:$D$2015,"&gt;="&amp;AB137,$D$18:$D$2015,"&lt;"&amp;AB138))</f>
        <v/>
      </c>
      <c r="AD137" s="14" t="n"/>
    </row>
    <row r="138">
      <c r="A138" s="56" t="n"/>
      <c r="B138" s="59" t="n"/>
      <c r="C138" s="59" t="n"/>
      <c r="E138" s="16" t="n"/>
      <c r="F138" s="13" t="n"/>
      <c r="G138" s="16" t="n"/>
      <c r="H138" s="124">
        <f>IF(G138="","",COUNTIFS($C$18:$C$2015,G$13,$D$18:$D$2015,"&gt;="&amp;G138,$D$18:$D$2015,"&lt;"&amp;G139))</f>
        <v/>
      </c>
      <c r="I138" s="14" t="n"/>
      <c r="J138" s="16" t="n"/>
      <c r="K138" s="124">
        <f>IF(J138="","",COUNTIFS($C$18:$C$2015,J$13,$D$18:$D$2015,"&gt;="&amp;J138,$D$18:$D$2015,"&lt;"&amp;J139))</f>
        <v/>
      </c>
      <c r="L138" s="14" t="n"/>
      <c r="M138" s="16" t="n"/>
      <c r="N138" s="124">
        <f>IF(M138="","",COUNTIFS($C$18:$C$2015,M$13,$D$18:$D$2015,"&gt;="&amp;M138,$D$18:$D$2015,"&lt;"&amp;M139))</f>
        <v/>
      </c>
      <c r="O138" s="14" t="n"/>
      <c r="P138" s="16" t="n"/>
      <c r="Q138" s="124">
        <f>IF(P138="","",COUNTIFS($C$18:$C$2015,P$13,$D$18:$D$2015,"&gt;="&amp;P138,$D$18:$D$2015,"&lt;"&amp;P139))</f>
        <v/>
      </c>
      <c r="R138" s="14" t="n"/>
      <c r="S138" s="16" t="n"/>
      <c r="T138" s="124">
        <f>IF(S138="","",COUNTIFS($C$18:$C$2015,S$13,$D$18:$D$2015,"&gt;="&amp;S138,$D$18:$D$2015,"&lt;"&amp;S139))</f>
        <v/>
      </c>
      <c r="U138" s="14" t="n"/>
      <c r="V138" s="16" t="n"/>
      <c r="W138" s="124">
        <f>IF(V138="","",COUNTIFS($C$18:$C$2015,V$13,$D$18:$D$2015,"&gt;="&amp;V138,$D$18:$D$2015,"&lt;"&amp;V139))</f>
        <v/>
      </c>
      <c r="X138" s="14" t="n"/>
      <c r="Y138" s="16" t="n"/>
      <c r="Z138" s="124">
        <f>IF(Y138="","",COUNTIFS($C$18:$C$2015,Y$13,$D$18:$D$2015,"&gt;="&amp;Y138,$D$18:$D$2015,"&lt;"&amp;Y139))</f>
        <v/>
      </c>
      <c r="AA138" s="14" t="n"/>
      <c r="AB138" s="16" t="n"/>
      <c r="AC138" s="124">
        <f>IF(AB138="","",COUNTIFS($C$18:$C$2015,AB$13,$D$18:$D$2015,"&gt;="&amp;AB138,$D$18:$D$2015,"&lt;"&amp;AB139))</f>
        <v/>
      </c>
      <c r="AD138" s="14" t="n"/>
    </row>
    <row r="139">
      <c r="A139" s="58" t="n"/>
      <c r="B139" s="59" t="n"/>
      <c r="C139" s="59" t="n"/>
      <c r="E139" s="16" t="n"/>
      <c r="F139" s="13" t="n"/>
      <c r="G139" s="16" t="n"/>
      <c r="H139" s="124">
        <f>IF(G139="","",COUNTIFS($C$18:$C$2015,G$13,$D$18:$D$2015,"&gt;="&amp;G139,$D$18:$D$2015,"&lt;"&amp;G140))</f>
        <v/>
      </c>
      <c r="I139" s="14" t="n"/>
      <c r="J139" s="16" t="n"/>
      <c r="K139" s="124">
        <f>IF(J139="","",COUNTIFS($C$18:$C$2015,J$13,$D$18:$D$2015,"&gt;="&amp;J139,$D$18:$D$2015,"&lt;"&amp;J140))</f>
        <v/>
      </c>
      <c r="L139" s="14" t="n"/>
      <c r="M139" s="16" t="n"/>
      <c r="N139" s="124">
        <f>IF(M139="","",COUNTIFS($C$18:$C$2015,M$13,$D$18:$D$2015,"&gt;="&amp;M139,$D$18:$D$2015,"&lt;"&amp;M140))</f>
        <v/>
      </c>
      <c r="O139" s="14" t="n"/>
      <c r="P139" s="16" t="n"/>
      <c r="Q139" s="124">
        <f>IF(P139="","",COUNTIFS($C$18:$C$2015,P$13,$D$18:$D$2015,"&gt;="&amp;P139,$D$18:$D$2015,"&lt;"&amp;P140))</f>
        <v/>
      </c>
      <c r="R139" s="14" t="n"/>
      <c r="S139" s="16" t="n"/>
      <c r="T139" s="124">
        <f>IF(S139="","",COUNTIFS($C$18:$C$2015,S$13,$D$18:$D$2015,"&gt;="&amp;S139,$D$18:$D$2015,"&lt;"&amp;S140))</f>
        <v/>
      </c>
      <c r="U139" s="14" t="n"/>
      <c r="V139" s="16" t="n"/>
      <c r="W139" s="124">
        <f>IF(V139="","",COUNTIFS($C$18:$C$2015,V$13,$D$18:$D$2015,"&gt;="&amp;V139,$D$18:$D$2015,"&lt;"&amp;V140))</f>
        <v/>
      </c>
      <c r="X139" s="14" t="n"/>
      <c r="Y139" s="16" t="n"/>
      <c r="Z139" s="124">
        <f>IF(Y139="","",COUNTIFS($C$18:$C$2015,Y$13,$D$18:$D$2015,"&gt;="&amp;Y139,$D$18:$D$2015,"&lt;"&amp;Y140))</f>
        <v/>
      </c>
      <c r="AA139" s="14" t="n"/>
      <c r="AB139" s="16" t="n"/>
      <c r="AC139" s="124">
        <f>IF(AB139="","",COUNTIFS($C$18:$C$2015,AB$13,$D$18:$D$2015,"&gt;="&amp;AB139,$D$18:$D$2015,"&lt;"&amp;AB140))</f>
        <v/>
      </c>
      <c r="AD139" s="14" t="n"/>
    </row>
    <row r="140">
      <c r="A140" s="56" t="n"/>
      <c r="B140" s="59" t="n"/>
      <c r="C140" s="59" t="n"/>
      <c r="E140" s="16" t="n"/>
      <c r="F140" s="13" t="n"/>
      <c r="G140" s="16" t="n"/>
      <c r="H140" s="124">
        <f>IF(G140="","",COUNTIFS($C$18:$C$2015,G$13,$D$18:$D$2015,"&gt;="&amp;G140,$D$18:$D$2015,"&lt;"&amp;G141))</f>
        <v/>
      </c>
      <c r="I140" s="14" t="n"/>
      <c r="J140" s="16" t="n"/>
      <c r="K140" s="124">
        <f>IF(J140="","",COUNTIFS($C$18:$C$2015,J$13,$D$18:$D$2015,"&gt;="&amp;J140,$D$18:$D$2015,"&lt;"&amp;J141))</f>
        <v/>
      </c>
      <c r="L140" s="14" t="n"/>
      <c r="M140" s="16" t="n"/>
      <c r="N140" s="124">
        <f>IF(M140="","",COUNTIFS($C$18:$C$2015,M$13,$D$18:$D$2015,"&gt;="&amp;M140,$D$18:$D$2015,"&lt;"&amp;M141))</f>
        <v/>
      </c>
      <c r="O140" s="14" t="n"/>
      <c r="P140" s="16" t="n"/>
      <c r="Q140" s="124">
        <f>IF(P140="","",COUNTIFS($C$18:$C$2015,P$13,$D$18:$D$2015,"&gt;="&amp;P140,$D$18:$D$2015,"&lt;"&amp;P141))</f>
        <v/>
      </c>
      <c r="R140" s="14" t="n"/>
      <c r="S140" s="16" t="n"/>
      <c r="T140" s="124">
        <f>IF(S140="","",COUNTIFS($C$18:$C$2015,S$13,$D$18:$D$2015,"&gt;="&amp;S140,$D$18:$D$2015,"&lt;"&amp;S141))</f>
        <v/>
      </c>
      <c r="U140" s="14" t="n"/>
      <c r="V140" s="16" t="n"/>
      <c r="W140" s="124">
        <f>IF(V140="","",COUNTIFS($C$18:$C$2015,V$13,$D$18:$D$2015,"&gt;="&amp;V140,$D$18:$D$2015,"&lt;"&amp;V141))</f>
        <v/>
      </c>
      <c r="X140" s="14" t="n"/>
      <c r="Y140" s="16" t="n"/>
      <c r="Z140" s="124">
        <f>IF(Y140="","",COUNTIFS($C$18:$C$2015,Y$13,$D$18:$D$2015,"&gt;="&amp;Y140,$D$18:$D$2015,"&lt;"&amp;Y141))</f>
        <v/>
      </c>
      <c r="AA140" s="14" t="n"/>
      <c r="AB140" s="16" t="n"/>
      <c r="AC140" s="124">
        <f>IF(AB140="","",COUNTIFS($C$18:$C$2015,AB$13,$D$18:$D$2015,"&gt;="&amp;AB140,$D$18:$D$2015,"&lt;"&amp;AB141))</f>
        <v/>
      </c>
      <c r="AD140" s="14" t="n"/>
    </row>
    <row r="141">
      <c r="A141" s="58" t="n"/>
      <c r="B141" s="59" t="n"/>
      <c r="C141" s="59" t="n"/>
      <c r="E141" s="16" t="n"/>
      <c r="F141" s="13" t="n"/>
      <c r="G141" s="16" t="n"/>
      <c r="H141" s="124">
        <f>IF(G141="","",COUNTIFS($C$18:$C$2015,G$13,$D$18:$D$2015,"&gt;="&amp;G141,$D$18:$D$2015,"&lt;"&amp;G142))</f>
        <v/>
      </c>
      <c r="I141" s="14" t="n"/>
      <c r="J141" s="16" t="n"/>
      <c r="K141" s="124">
        <f>IF(J141="","",COUNTIFS($C$18:$C$2015,J$13,$D$18:$D$2015,"&gt;="&amp;J141,$D$18:$D$2015,"&lt;"&amp;J142))</f>
        <v/>
      </c>
      <c r="L141" s="14" t="n"/>
      <c r="M141" s="16" t="n"/>
      <c r="N141" s="124">
        <f>IF(M141="","",COUNTIFS($C$18:$C$2015,M$13,$D$18:$D$2015,"&gt;="&amp;M141,$D$18:$D$2015,"&lt;"&amp;M142))</f>
        <v/>
      </c>
      <c r="O141" s="14" t="n"/>
      <c r="P141" s="16" t="n"/>
      <c r="Q141" s="124">
        <f>IF(P141="","",COUNTIFS($C$18:$C$2015,P$13,$D$18:$D$2015,"&gt;="&amp;P141,$D$18:$D$2015,"&lt;"&amp;P142))</f>
        <v/>
      </c>
      <c r="R141" s="14" t="n"/>
      <c r="S141" s="16" t="n"/>
      <c r="T141" s="124">
        <f>IF(S141="","",COUNTIFS($C$18:$C$2015,S$13,$D$18:$D$2015,"&gt;="&amp;S141,$D$18:$D$2015,"&lt;"&amp;S142))</f>
        <v/>
      </c>
      <c r="U141" s="14" t="n"/>
      <c r="V141" s="16" t="n"/>
      <c r="W141" s="124">
        <f>IF(V141="","",COUNTIFS($C$18:$C$2015,V$13,$D$18:$D$2015,"&gt;="&amp;V141,$D$18:$D$2015,"&lt;"&amp;V142))</f>
        <v/>
      </c>
      <c r="X141" s="14" t="n"/>
      <c r="Y141" s="16" t="n"/>
      <c r="Z141" s="124">
        <f>IF(Y141="","",COUNTIFS($C$18:$C$2015,Y$13,$D$18:$D$2015,"&gt;="&amp;Y141,$D$18:$D$2015,"&lt;"&amp;Y142))</f>
        <v/>
      </c>
      <c r="AA141" s="14" t="n"/>
      <c r="AB141" s="16" t="n"/>
      <c r="AC141" s="124">
        <f>IF(AB141="","",COUNTIFS($C$18:$C$2015,AB$13,$D$18:$D$2015,"&gt;="&amp;AB141,$D$18:$D$2015,"&lt;"&amp;AB142))</f>
        <v/>
      </c>
      <c r="AD141" s="14" t="n"/>
    </row>
    <row r="142">
      <c r="A142" s="56" t="n"/>
      <c r="B142" s="59" t="n"/>
      <c r="C142" s="59" t="n"/>
      <c r="E142" s="16" t="n"/>
      <c r="F142" s="13" t="n"/>
      <c r="G142" s="16" t="n"/>
      <c r="H142" s="124">
        <f>IF(G142="","",COUNTIFS($C$18:$C$2015,G$13,$D$18:$D$2015,"&gt;="&amp;G142,$D$18:$D$2015,"&lt;"&amp;G143))</f>
        <v/>
      </c>
      <c r="I142" s="14" t="n"/>
      <c r="J142" s="16" t="n"/>
      <c r="K142" s="124">
        <f>IF(J142="","",COUNTIFS($C$18:$C$2015,J$13,$D$18:$D$2015,"&gt;="&amp;J142,$D$18:$D$2015,"&lt;"&amp;J143))</f>
        <v/>
      </c>
      <c r="L142" s="14" t="n"/>
      <c r="M142" s="16" t="n"/>
      <c r="N142" s="124">
        <f>IF(M142="","",COUNTIFS($C$18:$C$2015,M$13,$D$18:$D$2015,"&gt;="&amp;M142,$D$18:$D$2015,"&lt;"&amp;M143))</f>
        <v/>
      </c>
      <c r="O142" s="14" t="n"/>
      <c r="P142" s="16" t="n"/>
      <c r="Q142" s="124">
        <f>IF(P142="","",COUNTIFS($C$18:$C$2015,P$13,$D$18:$D$2015,"&gt;="&amp;P142,$D$18:$D$2015,"&lt;"&amp;P143))</f>
        <v/>
      </c>
      <c r="R142" s="14" t="n"/>
      <c r="S142" s="16" t="n"/>
      <c r="T142" s="124">
        <f>IF(S142="","",COUNTIFS($C$18:$C$2015,S$13,$D$18:$D$2015,"&gt;="&amp;S142,$D$18:$D$2015,"&lt;"&amp;S143))</f>
        <v/>
      </c>
      <c r="U142" s="14" t="n"/>
      <c r="V142" s="16" t="n"/>
      <c r="W142" s="124">
        <f>IF(V142="","",COUNTIFS($C$18:$C$2015,V$13,$D$18:$D$2015,"&gt;="&amp;V142,$D$18:$D$2015,"&lt;"&amp;V143))</f>
        <v/>
      </c>
      <c r="X142" s="14" t="n"/>
      <c r="Y142" s="16" t="n"/>
      <c r="Z142" s="124">
        <f>IF(Y142="","",COUNTIFS($C$18:$C$2015,Y$13,$D$18:$D$2015,"&gt;="&amp;Y142,$D$18:$D$2015,"&lt;"&amp;Y143))</f>
        <v/>
      </c>
      <c r="AA142" s="14" t="n"/>
      <c r="AB142" s="16" t="n"/>
      <c r="AC142" s="124">
        <f>IF(AB142="","",COUNTIFS($C$18:$C$2015,AB$13,$D$18:$D$2015,"&gt;="&amp;AB142,$D$18:$D$2015,"&lt;"&amp;AB143))</f>
        <v/>
      </c>
      <c r="AD142" s="14" t="n"/>
    </row>
    <row r="143">
      <c r="A143" s="58" t="n"/>
      <c r="B143" s="59" t="n"/>
      <c r="C143" s="59" t="n"/>
      <c r="E143" s="16" t="n"/>
      <c r="F143" s="13" t="n"/>
      <c r="G143" s="16" t="n"/>
      <c r="H143" s="124">
        <f>IF(G143="","",COUNTIFS($C$18:$C$2015,G$13,$D$18:$D$2015,"&gt;="&amp;G143,$D$18:$D$2015,"&lt;"&amp;G144))</f>
        <v/>
      </c>
      <c r="I143" s="14" t="n"/>
      <c r="J143" s="16" t="n"/>
      <c r="K143" s="124">
        <f>IF(J143="","",COUNTIFS($C$18:$C$2015,J$13,$D$18:$D$2015,"&gt;="&amp;J143,$D$18:$D$2015,"&lt;"&amp;J144))</f>
        <v/>
      </c>
      <c r="L143" s="14" t="n"/>
      <c r="M143" s="16" t="n"/>
      <c r="N143" s="124">
        <f>IF(M143="","",COUNTIFS($C$18:$C$2015,M$13,$D$18:$D$2015,"&gt;="&amp;M143,$D$18:$D$2015,"&lt;"&amp;M144))</f>
        <v/>
      </c>
      <c r="O143" s="14" t="n"/>
      <c r="P143" s="16" t="n"/>
      <c r="Q143" s="124">
        <f>IF(P143="","",COUNTIFS($C$18:$C$2015,P$13,$D$18:$D$2015,"&gt;="&amp;P143,$D$18:$D$2015,"&lt;"&amp;P144))</f>
        <v/>
      </c>
      <c r="R143" s="14" t="n"/>
      <c r="S143" s="16" t="n"/>
      <c r="T143" s="124">
        <f>IF(S143="","",COUNTIFS($C$18:$C$2015,S$13,$D$18:$D$2015,"&gt;="&amp;S143,$D$18:$D$2015,"&lt;"&amp;S144))</f>
        <v/>
      </c>
      <c r="U143" s="14" t="n"/>
      <c r="V143" s="16" t="n"/>
      <c r="W143" s="124">
        <f>IF(V143="","",COUNTIFS($C$18:$C$2015,V$13,$D$18:$D$2015,"&gt;="&amp;V143,$D$18:$D$2015,"&lt;"&amp;V144))</f>
        <v/>
      </c>
      <c r="X143" s="14" t="n"/>
      <c r="Y143" s="16" t="n"/>
      <c r="Z143" s="124">
        <f>IF(Y143="","",COUNTIFS($C$18:$C$2015,Y$13,$D$18:$D$2015,"&gt;="&amp;Y143,$D$18:$D$2015,"&lt;"&amp;Y144))</f>
        <v/>
      </c>
      <c r="AA143" s="14" t="n"/>
      <c r="AB143" s="16" t="n"/>
      <c r="AC143" s="124">
        <f>IF(AB143="","",COUNTIFS($C$18:$C$2015,AB$13,$D$18:$D$2015,"&gt;="&amp;AB143,$D$18:$D$2015,"&lt;"&amp;AB144))</f>
        <v/>
      </c>
      <c r="AD143" s="14" t="n"/>
    </row>
    <row r="144">
      <c r="A144" s="56" t="n"/>
      <c r="B144" s="59" t="n"/>
      <c r="C144" s="59" t="n"/>
      <c r="E144" s="16" t="n"/>
      <c r="F144" s="13" t="n"/>
      <c r="G144" s="16" t="n"/>
      <c r="H144" s="124">
        <f>IF(G144="","",COUNTIFS($C$18:$C$2015,G$13,$D$18:$D$2015,"&gt;="&amp;G144,$D$18:$D$2015,"&lt;"&amp;G145))</f>
        <v/>
      </c>
      <c r="I144" s="14" t="n"/>
      <c r="J144" s="16" t="n"/>
      <c r="K144" s="124">
        <f>IF(J144="","",COUNTIFS($C$18:$C$2015,J$13,$D$18:$D$2015,"&gt;="&amp;J144,$D$18:$D$2015,"&lt;"&amp;J145))</f>
        <v/>
      </c>
      <c r="L144" s="14" t="n"/>
      <c r="M144" s="16" t="n"/>
      <c r="N144" s="124">
        <f>IF(M144="","",COUNTIFS($C$18:$C$2015,M$13,$D$18:$D$2015,"&gt;="&amp;M144,$D$18:$D$2015,"&lt;"&amp;M145))</f>
        <v/>
      </c>
      <c r="O144" s="14" t="n"/>
      <c r="P144" s="16" t="n"/>
      <c r="Q144" s="124">
        <f>IF(P144="","",COUNTIFS($C$18:$C$2015,P$13,$D$18:$D$2015,"&gt;="&amp;P144,$D$18:$D$2015,"&lt;"&amp;P145))</f>
        <v/>
      </c>
      <c r="R144" s="14" t="n"/>
      <c r="S144" s="16" t="n"/>
      <c r="T144" s="124">
        <f>IF(S144="","",COUNTIFS($C$18:$C$2015,S$13,$D$18:$D$2015,"&gt;="&amp;S144,$D$18:$D$2015,"&lt;"&amp;S145))</f>
        <v/>
      </c>
      <c r="U144" s="14" t="n"/>
      <c r="V144" s="16" t="n"/>
      <c r="W144" s="124">
        <f>IF(V144="","",COUNTIFS($C$18:$C$2015,V$13,$D$18:$D$2015,"&gt;="&amp;V144,$D$18:$D$2015,"&lt;"&amp;V145))</f>
        <v/>
      </c>
      <c r="X144" s="14" t="n"/>
      <c r="Y144" s="16" t="n"/>
      <c r="Z144" s="124">
        <f>IF(Y144="","",COUNTIFS($C$18:$C$2015,Y$13,$D$18:$D$2015,"&gt;="&amp;Y144,$D$18:$D$2015,"&lt;"&amp;Y145))</f>
        <v/>
      </c>
      <c r="AA144" s="14" t="n"/>
      <c r="AB144" s="16" t="n"/>
      <c r="AC144" s="124">
        <f>IF(AB144="","",COUNTIFS($C$18:$C$2015,AB$13,$D$18:$D$2015,"&gt;="&amp;AB144,$D$18:$D$2015,"&lt;"&amp;AB145))</f>
        <v/>
      </c>
      <c r="AD144" s="14" t="n"/>
    </row>
    <row r="145">
      <c r="A145" s="58" t="n"/>
      <c r="B145" s="59" t="n"/>
      <c r="C145" s="59" t="n"/>
      <c r="E145" s="16" t="n"/>
      <c r="F145" s="13" t="n"/>
      <c r="G145" s="16" t="n"/>
      <c r="H145" s="124">
        <f>IF(G145="","",COUNTIFS($C$18:$C$2015,G$13,$D$18:$D$2015,"&gt;="&amp;G145,$D$18:$D$2015,"&lt;"&amp;G146))</f>
        <v/>
      </c>
      <c r="I145" s="14" t="n"/>
      <c r="J145" s="16" t="n"/>
      <c r="K145" s="124">
        <f>IF(J145="","",COUNTIFS($C$18:$C$2015,J$13,$D$18:$D$2015,"&gt;="&amp;J145,$D$18:$D$2015,"&lt;"&amp;J146))</f>
        <v/>
      </c>
      <c r="L145" s="14" t="n"/>
      <c r="M145" s="16" t="n"/>
      <c r="N145" s="124">
        <f>IF(M145="","",COUNTIFS($C$18:$C$2015,M$13,$D$18:$D$2015,"&gt;="&amp;M145,$D$18:$D$2015,"&lt;"&amp;M146))</f>
        <v/>
      </c>
      <c r="O145" s="14" t="n"/>
      <c r="P145" s="16" t="n"/>
      <c r="Q145" s="124">
        <f>IF(P145="","",COUNTIFS($C$18:$C$2015,P$13,$D$18:$D$2015,"&gt;="&amp;P145,$D$18:$D$2015,"&lt;"&amp;P146))</f>
        <v/>
      </c>
      <c r="R145" s="14" t="n"/>
      <c r="S145" s="16" t="n"/>
      <c r="T145" s="124">
        <f>IF(S145="","",COUNTIFS($C$18:$C$2015,S$13,$D$18:$D$2015,"&gt;="&amp;S145,$D$18:$D$2015,"&lt;"&amp;S146))</f>
        <v/>
      </c>
      <c r="U145" s="14" t="n"/>
      <c r="V145" s="16" t="n"/>
      <c r="W145" s="124">
        <f>IF(V145="","",COUNTIFS($C$18:$C$2015,V$13,$D$18:$D$2015,"&gt;="&amp;V145,$D$18:$D$2015,"&lt;"&amp;V146))</f>
        <v/>
      </c>
      <c r="X145" s="14" t="n"/>
      <c r="Y145" s="16" t="n"/>
      <c r="Z145" s="124">
        <f>IF(Y145="","",COUNTIFS($C$18:$C$2015,Y$13,$D$18:$D$2015,"&gt;="&amp;Y145,$D$18:$D$2015,"&lt;"&amp;Y146))</f>
        <v/>
      </c>
      <c r="AA145" s="14" t="n"/>
      <c r="AB145" s="16" t="n"/>
      <c r="AC145" s="124">
        <f>IF(AB145="","",COUNTIFS($C$18:$C$2015,AB$13,$D$18:$D$2015,"&gt;="&amp;AB145,$D$18:$D$2015,"&lt;"&amp;AB146))</f>
        <v/>
      </c>
      <c r="AD145" s="14" t="n"/>
    </row>
    <row r="146">
      <c r="A146" s="56" t="n"/>
      <c r="B146" s="59" t="n"/>
      <c r="C146" s="59" t="n"/>
      <c r="E146" s="16" t="n"/>
      <c r="F146" s="13" t="n"/>
      <c r="G146" s="16" t="n"/>
      <c r="H146" s="124">
        <f>IF(G146="","",COUNTIFS($C$18:$C$2015,G$13,$D$18:$D$2015,"&gt;="&amp;G146,$D$18:$D$2015,"&lt;"&amp;G147))</f>
        <v/>
      </c>
      <c r="I146" s="14" t="n"/>
      <c r="J146" s="16" t="n"/>
      <c r="K146" s="124">
        <f>IF(J146="","",COUNTIFS($C$18:$C$2015,J$13,$D$18:$D$2015,"&gt;="&amp;J146,$D$18:$D$2015,"&lt;"&amp;J147))</f>
        <v/>
      </c>
      <c r="L146" s="14" t="n"/>
      <c r="M146" s="16" t="n"/>
      <c r="N146" s="124">
        <f>IF(M146="","",COUNTIFS($C$18:$C$2015,M$13,$D$18:$D$2015,"&gt;="&amp;M146,$D$18:$D$2015,"&lt;"&amp;M147))</f>
        <v/>
      </c>
      <c r="O146" s="14" t="n"/>
      <c r="P146" s="16" t="n"/>
      <c r="Q146" s="124">
        <f>IF(P146="","",COUNTIFS($C$18:$C$2015,P$13,$D$18:$D$2015,"&gt;="&amp;P146,$D$18:$D$2015,"&lt;"&amp;P147))</f>
        <v/>
      </c>
      <c r="R146" s="14" t="n"/>
      <c r="S146" s="16" t="n"/>
      <c r="T146" s="124">
        <f>IF(S146="","",COUNTIFS($C$18:$C$2015,S$13,$D$18:$D$2015,"&gt;="&amp;S146,$D$18:$D$2015,"&lt;"&amp;S147))</f>
        <v/>
      </c>
      <c r="U146" s="14" t="n"/>
      <c r="V146" s="16" t="n"/>
      <c r="W146" s="124">
        <f>IF(V146="","",COUNTIFS($C$18:$C$2015,V$13,$D$18:$D$2015,"&gt;="&amp;V146,$D$18:$D$2015,"&lt;"&amp;V147))</f>
        <v/>
      </c>
      <c r="X146" s="14" t="n"/>
      <c r="Y146" s="16" t="n"/>
      <c r="Z146" s="124">
        <f>IF(Y146="","",COUNTIFS($C$18:$C$2015,Y$13,$D$18:$D$2015,"&gt;="&amp;Y146,$D$18:$D$2015,"&lt;"&amp;Y147))</f>
        <v/>
      </c>
      <c r="AA146" s="14" t="n"/>
      <c r="AB146" s="16" t="n"/>
      <c r="AC146" s="124">
        <f>IF(AB146="","",COUNTIFS($C$18:$C$2015,AB$13,$D$18:$D$2015,"&gt;="&amp;AB146,$D$18:$D$2015,"&lt;"&amp;AB147))</f>
        <v/>
      </c>
      <c r="AD146" s="14" t="n"/>
    </row>
    <row r="147">
      <c r="A147" s="58" t="n"/>
      <c r="B147" s="59" t="n"/>
      <c r="C147" s="59" t="n"/>
      <c r="E147" s="16" t="n"/>
      <c r="F147" s="13" t="n"/>
      <c r="G147" s="16" t="n"/>
      <c r="H147" s="124">
        <f>IF(G147="","",COUNTIFS($C$18:$C$2015,G$13,$D$18:$D$2015,"&gt;="&amp;G147,$D$18:$D$2015,"&lt;"&amp;G148))</f>
        <v/>
      </c>
      <c r="I147" s="14" t="n"/>
      <c r="J147" s="16" t="n"/>
      <c r="K147" s="124">
        <f>IF(J147="","",COUNTIFS($C$18:$C$2015,J$13,$D$18:$D$2015,"&gt;="&amp;J147,$D$18:$D$2015,"&lt;"&amp;J148))</f>
        <v/>
      </c>
      <c r="L147" s="14" t="n"/>
      <c r="M147" s="16" t="n"/>
      <c r="N147" s="124">
        <f>IF(M147="","",COUNTIFS($C$18:$C$2015,M$13,$D$18:$D$2015,"&gt;="&amp;M147,$D$18:$D$2015,"&lt;"&amp;M148))</f>
        <v/>
      </c>
      <c r="O147" s="14" t="n"/>
      <c r="P147" s="16" t="n"/>
      <c r="Q147" s="124">
        <f>IF(P147="","",COUNTIFS($C$18:$C$2015,P$13,$D$18:$D$2015,"&gt;="&amp;P147,$D$18:$D$2015,"&lt;"&amp;P148))</f>
        <v/>
      </c>
      <c r="R147" s="14" t="n"/>
      <c r="S147" s="16" t="n"/>
      <c r="T147" s="124">
        <f>IF(S147="","",COUNTIFS($C$18:$C$2015,S$13,$D$18:$D$2015,"&gt;="&amp;S147,$D$18:$D$2015,"&lt;"&amp;S148))</f>
        <v/>
      </c>
      <c r="U147" s="14" t="n"/>
      <c r="V147" s="16" t="n"/>
      <c r="W147" s="124">
        <f>IF(V147="","",COUNTIFS($C$18:$C$2015,V$13,$D$18:$D$2015,"&gt;="&amp;V147,$D$18:$D$2015,"&lt;"&amp;V148))</f>
        <v/>
      </c>
      <c r="X147" s="14" t="n"/>
      <c r="Y147" s="16" t="n"/>
      <c r="Z147" s="124">
        <f>IF(Y147="","",COUNTIFS($C$18:$C$2015,Y$13,$D$18:$D$2015,"&gt;="&amp;Y147,$D$18:$D$2015,"&lt;"&amp;Y148))</f>
        <v/>
      </c>
      <c r="AA147" s="14" t="n"/>
      <c r="AB147" s="16" t="n"/>
      <c r="AC147" s="124">
        <f>IF(AB147="","",COUNTIFS($C$18:$C$2015,AB$13,$D$18:$D$2015,"&gt;="&amp;AB147,$D$18:$D$2015,"&lt;"&amp;AB148))</f>
        <v/>
      </c>
      <c r="AD147" s="14" t="n"/>
    </row>
    <row r="148">
      <c r="A148" s="56" t="n"/>
      <c r="B148" s="59" t="n"/>
      <c r="C148" s="59" t="n"/>
      <c r="E148" s="16" t="n"/>
      <c r="F148" s="13" t="n"/>
      <c r="G148" s="16" t="n"/>
      <c r="H148" s="124">
        <f>IF(G148="","",COUNTIFS($C$18:$C$2015,G$13,$D$18:$D$2015,"&gt;="&amp;G148,$D$18:$D$2015,"&lt;"&amp;G149))</f>
        <v/>
      </c>
      <c r="I148" s="14" t="n"/>
      <c r="J148" s="16" t="n"/>
      <c r="K148" s="124">
        <f>IF(J148="","",COUNTIFS($C$18:$C$2015,J$13,$D$18:$D$2015,"&gt;="&amp;J148,$D$18:$D$2015,"&lt;"&amp;J149))</f>
        <v/>
      </c>
      <c r="L148" s="14" t="n"/>
      <c r="M148" s="16" t="n"/>
      <c r="N148" s="124">
        <f>IF(M148="","",COUNTIFS($C$18:$C$2015,M$13,$D$18:$D$2015,"&gt;="&amp;M148,$D$18:$D$2015,"&lt;"&amp;M149))</f>
        <v/>
      </c>
      <c r="O148" s="14" t="n"/>
      <c r="P148" s="16" t="n"/>
      <c r="Q148" s="124">
        <f>IF(P148="","",COUNTIFS($C$18:$C$2015,P$13,$D$18:$D$2015,"&gt;="&amp;P148,$D$18:$D$2015,"&lt;"&amp;P149))</f>
        <v/>
      </c>
      <c r="R148" s="14" t="n"/>
      <c r="S148" s="16" t="n"/>
      <c r="T148" s="124">
        <f>IF(S148="","",COUNTIFS($C$18:$C$2015,S$13,$D$18:$D$2015,"&gt;="&amp;S148,$D$18:$D$2015,"&lt;"&amp;S149))</f>
        <v/>
      </c>
      <c r="U148" s="14" t="n"/>
      <c r="V148" s="16" t="n"/>
      <c r="W148" s="124">
        <f>IF(V148="","",COUNTIFS($C$18:$C$2015,V$13,$D$18:$D$2015,"&gt;="&amp;V148,$D$18:$D$2015,"&lt;"&amp;V149))</f>
        <v/>
      </c>
      <c r="X148" s="14" t="n"/>
      <c r="Y148" s="16" t="n"/>
      <c r="Z148" s="124">
        <f>IF(Y148="","",COUNTIFS($C$18:$C$2015,Y$13,$D$18:$D$2015,"&gt;="&amp;Y148,$D$18:$D$2015,"&lt;"&amp;Y149))</f>
        <v/>
      </c>
      <c r="AA148" s="14" t="n"/>
      <c r="AB148" s="16" t="n"/>
      <c r="AC148" s="124">
        <f>IF(AB148="","",COUNTIFS($C$18:$C$2015,AB$13,$D$18:$D$2015,"&gt;="&amp;AB148,$D$18:$D$2015,"&lt;"&amp;AB149))</f>
        <v/>
      </c>
      <c r="AD148" s="14" t="n"/>
    </row>
    <row r="149">
      <c r="A149" s="58" t="n"/>
      <c r="B149" s="59" t="n"/>
      <c r="C149" s="59" t="n"/>
      <c r="E149" s="16" t="n"/>
      <c r="F149" s="13" t="n"/>
      <c r="G149" s="16" t="n"/>
      <c r="H149" s="124">
        <f>IF(G149="","",COUNTIFS($C$18:$C$2015,G$13,$D$18:$D$2015,"&gt;="&amp;G149,$D$18:$D$2015,"&lt;"&amp;G150))</f>
        <v/>
      </c>
      <c r="I149" s="14" t="n"/>
      <c r="J149" s="16" t="n"/>
      <c r="K149" s="124">
        <f>IF(J149="","",COUNTIFS($C$18:$C$2015,J$13,$D$18:$D$2015,"&gt;="&amp;J149,$D$18:$D$2015,"&lt;"&amp;J150))</f>
        <v/>
      </c>
      <c r="L149" s="14" t="n"/>
      <c r="M149" s="16" t="n"/>
      <c r="N149" s="124">
        <f>IF(M149="","",COUNTIFS($C$18:$C$2015,M$13,$D$18:$D$2015,"&gt;="&amp;M149,$D$18:$D$2015,"&lt;"&amp;M150))</f>
        <v/>
      </c>
      <c r="O149" s="14" t="n"/>
      <c r="P149" s="16" t="n"/>
      <c r="Q149" s="124">
        <f>IF(P149="","",COUNTIFS($C$18:$C$2015,P$13,$D$18:$D$2015,"&gt;="&amp;P149,$D$18:$D$2015,"&lt;"&amp;P150))</f>
        <v/>
      </c>
      <c r="R149" s="14" t="n"/>
      <c r="S149" s="16" t="n"/>
      <c r="T149" s="124">
        <f>IF(S149="","",COUNTIFS($C$18:$C$2015,S$13,$D$18:$D$2015,"&gt;="&amp;S149,$D$18:$D$2015,"&lt;"&amp;S150))</f>
        <v/>
      </c>
      <c r="U149" s="14" t="n"/>
      <c r="V149" s="16" t="n"/>
      <c r="W149" s="124">
        <f>IF(V149="","",COUNTIFS($C$18:$C$2015,V$13,$D$18:$D$2015,"&gt;="&amp;V149,$D$18:$D$2015,"&lt;"&amp;V150))</f>
        <v/>
      </c>
      <c r="X149" s="14" t="n"/>
      <c r="Y149" s="16" t="n"/>
      <c r="Z149" s="124">
        <f>IF(Y149="","",COUNTIFS($C$18:$C$2015,Y$13,$D$18:$D$2015,"&gt;="&amp;Y149,$D$18:$D$2015,"&lt;"&amp;Y150))</f>
        <v/>
      </c>
      <c r="AA149" s="14" t="n"/>
      <c r="AB149" s="16" t="n"/>
      <c r="AC149" s="124">
        <f>IF(AB149="","",COUNTIFS($C$18:$C$2015,AB$13,$D$18:$D$2015,"&gt;="&amp;AB149,$D$18:$D$2015,"&lt;"&amp;AB150))</f>
        <v/>
      </c>
      <c r="AD149" s="14" t="n"/>
    </row>
    <row r="150">
      <c r="A150" s="56" t="n"/>
      <c r="B150" s="59" t="n"/>
      <c r="C150" s="59" t="n"/>
      <c r="E150" s="16" t="n"/>
      <c r="F150" s="13" t="n"/>
      <c r="G150" s="16" t="n"/>
      <c r="H150" s="124">
        <f>IF(G150="","",COUNTIFS($C$18:$C$2015,G$13,$D$18:$D$2015,"&gt;="&amp;G150,$D$18:$D$2015,"&lt;"&amp;G151))</f>
        <v/>
      </c>
      <c r="I150" s="14" t="n"/>
      <c r="J150" s="16" t="n"/>
      <c r="K150" s="124">
        <f>IF(J150="","",COUNTIFS($C$18:$C$2015,J$13,$D$18:$D$2015,"&gt;="&amp;J150,$D$18:$D$2015,"&lt;"&amp;J151))</f>
        <v/>
      </c>
      <c r="L150" s="14" t="n"/>
      <c r="M150" s="16" t="n"/>
      <c r="N150" s="124">
        <f>IF(M150="","",COUNTIFS($C$18:$C$2015,M$13,$D$18:$D$2015,"&gt;="&amp;M150,$D$18:$D$2015,"&lt;"&amp;M151))</f>
        <v/>
      </c>
      <c r="O150" s="14" t="n"/>
      <c r="P150" s="16" t="n"/>
      <c r="Q150" s="124">
        <f>IF(P150="","",COUNTIFS($C$18:$C$2015,P$13,$D$18:$D$2015,"&gt;="&amp;P150,$D$18:$D$2015,"&lt;"&amp;P151))</f>
        <v/>
      </c>
      <c r="R150" s="14" t="n"/>
      <c r="S150" s="16" t="n"/>
      <c r="T150" s="124">
        <f>IF(S150="","",COUNTIFS($C$18:$C$2015,S$13,$D$18:$D$2015,"&gt;="&amp;S150,$D$18:$D$2015,"&lt;"&amp;S151))</f>
        <v/>
      </c>
      <c r="U150" s="14" t="n"/>
      <c r="V150" s="16" t="n"/>
      <c r="W150" s="124">
        <f>IF(V150="","",COUNTIFS($C$18:$C$2015,V$13,$D$18:$D$2015,"&gt;="&amp;V150,$D$18:$D$2015,"&lt;"&amp;V151))</f>
        <v/>
      </c>
      <c r="X150" s="14" t="n"/>
      <c r="Y150" s="16" t="n"/>
      <c r="Z150" s="124">
        <f>IF(Y150="","",COUNTIFS($C$18:$C$2015,Y$13,$D$18:$D$2015,"&gt;="&amp;Y150,$D$18:$D$2015,"&lt;"&amp;Y151))</f>
        <v/>
      </c>
      <c r="AA150" s="14" t="n"/>
      <c r="AB150" s="16" t="n"/>
      <c r="AC150" s="124">
        <f>IF(AB150="","",COUNTIFS($C$18:$C$2015,AB$13,$D$18:$D$2015,"&gt;="&amp;AB150,$D$18:$D$2015,"&lt;"&amp;AB151))</f>
        <v/>
      </c>
      <c r="AD150" s="14" t="n"/>
    </row>
    <row r="151">
      <c r="A151" s="58" t="n"/>
      <c r="B151" s="59" t="n"/>
      <c r="C151" s="59" t="n"/>
      <c r="E151" s="16" t="n"/>
      <c r="F151" s="13" t="n"/>
      <c r="G151" s="16" t="n"/>
      <c r="H151" s="124">
        <f>IF(G151="","",COUNTIFS($C$18:$C$2015,G$13,$D$18:$D$2015,"&gt;="&amp;G151,$D$18:$D$2015,"&lt;"&amp;G152))</f>
        <v/>
      </c>
      <c r="I151" s="14" t="n"/>
      <c r="J151" s="16" t="n"/>
      <c r="K151" s="124">
        <f>IF(J151="","",COUNTIFS($C$18:$C$2015,J$13,$D$18:$D$2015,"&gt;="&amp;J151,$D$18:$D$2015,"&lt;"&amp;J152))</f>
        <v/>
      </c>
      <c r="L151" s="14" t="n"/>
      <c r="M151" s="16" t="n"/>
      <c r="N151" s="124">
        <f>IF(M151="","",COUNTIFS($C$18:$C$2015,M$13,$D$18:$D$2015,"&gt;="&amp;M151,$D$18:$D$2015,"&lt;"&amp;M152))</f>
        <v/>
      </c>
      <c r="O151" s="14" t="n"/>
      <c r="P151" s="16" t="n"/>
      <c r="Q151" s="124">
        <f>IF(P151="","",COUNTIFS($C$18:$C$2015,P$13,$D$18:$D$2015,"&gt;="&amp;P151,$D$18:$D$2015,"&lt;"&amp;P152))</f>
        <v/>
      </c>
      <c r="R151" s="14" t="n"/>
      <c r="S151" s="16" t="n"/>
      <c r="T151" s="124">
        <f>IF(S151="","",COUNTIFS($C$18:$C$2015,S$13,$D$18:$D$2015,"&gt;="&amp;S151,$D$18:$D$2015,"&lt;"&amp;S152))</f>
        <v/>
      </c>
      <c r="U151" s="14" t="n"/>
      <c r="V151" s="16" t="n"/>
      <c r="W151" s="124">
        <f>IF(V151="","",COUNTIFS($C$18:$C$2015,V$13,$D$18:$D$2015,"&gt;="&amp;V151,$D$18:$D$2015,"&lt;"&amp;V152))</f>
        <v/>
      </c>
      <c r="X151" s="14" t="n"/>
      <c r="Y151" s="16" t="n"/>
      <c r="Z151" s="124">
        <f>IF(Y151="","",COUNTIFS($C$18:$C$2015,Y$13,$D$18:$D$2015,"&gt;="&amp;Y151,$D$18:$D$2015,"&lt;"&amp;Y152))</f>
        <v/>
      </c>
      <c r="AA151" s="14" t="n"/>
      <c r="AB151" s="16" t="n"/>
      <c r="AC151" s="124">
        <f>IF(AB151="","",COUNTIFS($C$18:$C$2015,AB$13,$D$18:$D$2015,"&gt;="&amp;AB151,$D$18:$D$2015,"&lt;"&amp;AB152))</f>
        <v/>
      </c>
      <c r="AD151" s="14" t="n"/>
    </row>
    <row r="152">
      <c r="A152" s="56" t="n"/>
      <c r="B152" s="59" t="n"/>
      <c r="C152" s="59" t="n"/>
      <c r="E152" s="16" t="n"/>
      <c r="F152" s="13" t="n"/>
      <c r="G152" s="16" t="n"/>
      <c r="H152" s="124">
        <f>IF(G152="","",COUNTIFS($C$18:$C$2015,G$13,$D$18:$D$2015,"&gt;="&amp;G152,$D$18:$D$2015,"&lt;"&amp;G153))</f>
        <v/>
      </c>
      <c r="I152" s="14" t="n"/>
      <c r="J152" s="16" t="n"/>
      <c r="K152" s="124">
        <f>IF(J152="","",COUNTIFS($C$18:$C$2015,J$13,$D$18:$D$2015,"&gt;="&amp;J152,$D$18:$D$2015,"&lt;"&amp;J153))</f>
        <v/>
      </c>
      <c r="L152" s="14" t="n"/>
      <c r="M152" s="16" t="n"/>
      <c r="N152" s="124">
        <f>IF(M152="","",COUNTIFS($C$18:$C$2015,M$13,$D$18:$D$2015,"&gt;="&amp;M152,$D$18:$D$2015,"&lt;"&amp;M153))</f>
        <v/>
      </c>
      <c r="O152" s="14" t="n"/>
      <c r="P152" s="16" t="n"/>
      <c r="Q152" s="124">
        <f>IF(P152="","",COUNTIFS($C$18:$C$2015,P$13,$D$18:$D$2015,"&gt;="&amp;P152,$D$18:$D$2015,"&lt;"&amp;P153))</f>
        <v/>
      </c>
      <c r="R152" s="14" t="n"/>
      <c r="S152" s="16" t="n"/>
      <c r="T152" s="124">
        <f>IF(S152="","",COUNTIFS($C$18:$C$2015,S$13,$D$18:$D$2015,"&gt;="&amp;S152,$D$18:$D$2015,"&lt;"&amp;S153))</f>
        <v/>
      </c>
      <c r="U152" s="14" t="n"/>
      <c r="V152" s="16" t="n"/>
      <c r="W152" s="124">
        <f>IF(V152="","",COUNTIFS($C$18:$C$2015,V$13,$D$18:$D$2015,"&gt;="&amp;V152,$D$18:$D$2015,"&lt;"&amp;V153))</f>
        <v/>
      </c>
      <c r="X152" s="14" t="n"/>
      <c r="Y152" s="16" t="n"/>
      <c r="Z152" s="124">
        <f>IF(Y152="","",COUNTIFS($C$18:$C$2015,Y$13,$D$18:$D$2015,"&gt;="&amp;Y152,$D$18:$D$2015,"&lt;"&amp;Y153))</f>
        <v/>
      </c>
      <c r="AA152" s="14" t="n"/>
      <c r="AB152" s="16" t="n"/>
      <c r="AC152" s="124">
        <f>IF(AB152="","",COUNTIFS($C$18:$C$2015,AB$13,$D$18:$D$2015,"&gt;="&amp;AB152,$D$18:$D$2015,"&lt;"&amp;AB153))</f>
        <v/>
      </c>
      <c r="AD152" s="14" t="n"/>
    </row>
    <row r="153">
      <c r="A153" s="58" t="n"/>
      <c r="B153" s="59" t="n"/>
      <c r="C153" s="59" t="n"/>
      <c r="E153" s="16" t="n"/>
      <c r="F153" s="13" t="n"/>
      <c r="G153" s="16" t="n"/>
      <c r="H153" s="124">
        <f>IF(G153="","",COUNTIFS($C$18:$C$2015,G$13,$D$18:$D$2015,"&gt;="&amp;G153,$D$18:$D$2015,"&lt;"&amp;G154))</f>
        <v/>
      </c>
      <c r="I153" s="14" t="n"/>
      <c r="J153" s="16" t="n"/>
      <c r="K153" s="124">
        <f>IF(J153="","",COUNTIFS($C$18:$C$2015,J$13,$D$18:$D$2015,"&gt;="&amp;J153,$D$18:$D$2015,"&lt;"&amp;J154))</f>
        <v/>
      </c>
      <c r="L153" s="14" t="n"/>
      <c r="M153" s="16" t="n"/>
      <c r="N153" s="124">
        <f>IF(M153="","",COUNTIFS($C$18:$C$2015,M$13,$D$18:$D$2015,"&gt;="&amp;M153,$D$18:$D$2015,"&lt;"&amp;M154))</f>
        <v/>
      </c>
      <c r="O153" s="14" t="n"/>
      <c r="P153" s="16" t="n"/>
      <c r="Q153" s="124">
        <f>IF(P153="","",COUNTIFS($C$18:$C$2015,P$13,$D$18:$D$2015,"&gt;="&amp;P153,$D$18:$D$2015,"&lt;"&amp;P154))</f>
        <v/>
      </c>
      <c r="R153" s="14" t="n"/>
      <c r="S153" s="16" t="n"/>
      <c r="T153" s="124">
        <f>IF(S153="","",COUNTIFS($C$18:$C$2015,S$13,$D$18:$D$2015,"&gt;="&amp;S153,$D$18:$D$2015,"&lt;"&amp;S154))</f>
        <v/>
      </c>
      <c r="U153" s="14" t="n"/>
      <c r="V153" s="16" t="n"/>
      <c r="W153" s="124">
        <f>IF(V153="","",COUNTIFS($C$18:$C$2015,V$13,$D$18:$D$2015,"&gt;="&amp;V153,$D$18:$D$2015,"&lt;"&amp;V154))</f>
        <v/>
      </c>
      <c r="X153" s="14" t="n"/>
      <c r="Y153" s="16" t="n"/>
      <c r="Z153" s="124">
        <f>IF(Y153="","",COUNTIFS($C$18:$C$2015,Y$13,$D$18:$D$2015,"&gt;="&amp;Y153,$D$18:$D$2015,"&lt;"&amp;Y154))</f>
        <v/>
      </c>
      <c r="AA153" s="14" t="n"/>
      <c r="AB153" s="16" t="n"/>
      <c r="AC153" s="124">
        <f>IF(AB153="","",COUNTIFS($C$18:$C$2015,AB$13,$D$18:$D$2015,"&gt;="&amp;AB153,$D$18:$D$2015,"&lt;"&amp;AB154))</f>
        <v/>
      </c>
      <c r="AD153" s="14" t="n"/>
    </row>
    <row r="154">
      <c r="A154" s="56" t="n"/>
      <c r="B154" s="59" t="n"/>
      <c r="C154" s="59" t="n"/>
      <c r="E154" s="16" t="n"/>
      <c r="F154" s="13" t="n"/>
      <c r="G154" s="16" t="n"/>
      <c r="H154" s="124">
        <f>IF(G154="","",COUNTIFS($C$18:$C$2015,G$13,$D$18:$D$2015,"&gt;="&amp;G154,$D$18:$D$2015,"&lt;"&amp;G155))</f>
        <v/>
      </c>
      <c r="I154" s="14" t="n"/>
      <c r="J154" s="16" t="n"/>
      <c r="K154" s="124">
        <f>IF(J154="","",COUNTIFS($C$18:$C$2015,J$13,$D$18:$D$2015,"&gt;="&amp;J154,$D$18:$D$2015,"&lt;"&amp;J155))</f>
        <v/>
      </c>
      <c r="L154" s="14" t="n"/>
      <c r="M154" s="16" t="n"/>
      <c r="N154" s="124">
        <f>IF(M154="","",COUNTIFS($C$18:$C$2015,M$13,$D$18:$D$2015,"&gt;="&amp;M154,$D$18:$D$2015,"&lt;"&amp;M155))</f>
        <v/>
      </c>
      <c r="O154" s="14" t="n"/>
      <c r="P154" s="16" t="n"/>
      <c r="Q154" s="124">
        <f>IF(P154="","",COUNTIFS($C$18:$C$2015,P$13,$D$18:$D$2015,"&gt;="&amp;P154,$D$18:$D$2015,"&lt;"&amp;P155))</f>
        <v/>
      </c>
      <c r="R154" s="14" t="n"/>
      <c r="S154" s="16" t="n"/>
      <c r="T154" s="124">
        <f>IF(S154="","",COUNTIFS($C$18:$C$2015,S$13,$D$18:$D$2015,"&gt;="&amp;S154,$D$18:$D$2015,"&lt;"&amp;S155))</f>
        <v/>
      </c>
      <c r="U154" s="14" t="n"/>
      <c r="V154" s="16" t="n"/>
      <c r="W154" s="124">
        <f>IF(V154="","",COUNTIFS($C$18:$C$2015,V$13,$D$18:$D$2015,"&gt;="&amp;V154,$D$18:$D$2015,"&lt;"&amp;V155))</f>
        <v/>
      </c>
      <c r="X154" s="14" t="n"/>
      <c r="Y154" s="16" t="n"/>
      <c r="Z154" s="124">
        <f>IF(Y154="","",COUNTIFS($C$18:$C$2015,Y$13,$D$18:$D$2015,"&gt;="&amp;Y154,$D$18:$D$2015,"&lt;"&amp;Y155))</f>
        <v/>
      </c>
      <c r="AA154" s="14" t="n"/>
      <c r="AB154" s="16" t="n"/>
      <c r="AC154" s="124">
        <f>IF(AB154="","",COUNTIFS($C$18:$C$2015,AB$13,$D$18:$D$2015,"&gt;="&amp;AB154,$D$18:$D$2015,"&lt;"&amp;AB155))</f>
        <v/>
      </c>
      <c r="AD154" s="14" t="n"/>
    </row>
    <row r="155">
      <c r="A155" s="58" t="n"/>
      <c r="B155" s="59" t="n"/>
      <c r="C155" s="59" t="n"/>
      <c r="E155" s="16" t="n"/>
      <c r="F155" s="13" t="n"/>
      <c r="G155" s="16" t="n"/>
      <c r="H155" s="124">
        <f>IF(G155="","",COUNTIFS($C$18:$C$2015,G$13,$D$18:$D$2015,"&gt;="&amp;G155,$D$18:$D$2015,"&lt;"&amp;G156))</f>
        <v/>
      </c>
      <c r="I155" s="14" t="n"/>
      <c r="J155" s="16" t="n"/>
      <c r="K155" s="124">
        <f>IF(J155="","",COUNTIFS($C$18:$C$2015,J$13,$D$18:$D$2015,"&gt;="&amp;J155,$D$18:$D$2015,"&lt;"&amp;J156))</f>
        <v/>
      </c>
      <c r="L155" s="14" t="n"/>
      <c r="M155" s="16" t="n"/>
      <c r="N155" s="124">
        <f>IF(M155="","",COUNTIFS($C$18:$C$2015,M$13,$D$18:$D$2015,"&gt;="&amp;M155,$D$18:$D$2015,"&lt;"&amp;M156))</f>
        <v/>
      </c>
      <c r="O155" s="14" t="n"/>
      <c r="P155" s="16" t="n"/>
      <c r="Q155" s="124">
        <f>IF(P155="","",COUNTIFS($C$18:$C$2015,P$13,$D$18:$D$2015,"&gt;="&amp;P155,$D$18:$D$2015,"&lt;"&amp;P156))</f>
        <v/>
      </c>
      <c r="R155" s="14" t="n"/>
      <c r="S155" s="16" t="n"/>
      <c r="T155" s="124">
        <f>IF(S155="","",COUNTIFS($C$18:$C$2015,S$13,$D$18:$D$2015,"&gt;="&amp;S155,$D$18:$D$2015,"&lt;"&amp;S156))</f>
        <v/>
      </c>
      <c r="U155" s="14" t="n"/>
      <c r="V155" s="16" t="n"/>
      <c r="W155" s="124">
        <f>IF(V155="","",COUNTIFS($C$18:$C$2015,V$13,$D$18:$D$2015,"&gt;="&amp;V155,$D$18:$D$2015,"&lt;"&amp;V156))</f>
        <v/>
      </c>
      <c r="X155" s="14" t="n"/>
      <c r="Y155" s="16" t="n"/>
      <c r="Z155" s="124">
        <f>IF(Y155="","",COUNTIFS($C$18:$C$2015,Y$13,$D$18:$D$2015,"&gt;="&amp;Y155,$D$18:$D$2015,"&lt;"&amp;Y156))</f>
        <v/>
      </c>
      <c r="AA155" s="14" t="n"/>
      <c r="AB155" s="16" t="n"/>
      <c r="AC155" s="124">
        <f>IF(AB155="","",COUNTIFS($C$18:$C$2015,AB$13,$D$18:$D$2015,"&gt;="&amp;AB155,$D$18:$D$2015,"&lt;"&amp;AB156))</f>
        <v/>
      </c>
      <c r="AD155" s="14" t="n"/>
    </row>
    <row r="156">
      <c r="A156" s="56" t="n"/>
      <c r="B156" s="59" t="n"/>
      <c r="C156" s="59" t="n"/>
      <c r="E156" s="16" t="n"/>
      <c r="F156" s="13" t="n"/>
      <c r="G156" s="16" t="n"/>
      <c r="H156" s="124">
        <f>IF(G156="","",COUNTIFS($C$18:$C$2015,G$13,$D$18:$D$2015,"&gt;="&amp;G156,$D$18:$D$2015,"&lt;"&amp;G157))</f>
        <v/>
      </c>
      <c r="I156" s="14" t="n"/>
      <c r="J156" s="16" t="n"/>
      <c r="K156" s="124">
        <f>IF(J156="","",COUNTIFS($C$18:$C$2015,J$13,$D$18:$D$2015,"&gt;="&amp;J156,$D$18:$D$2015,"&lt;"&amp;J157))</f>
        <v/>
      </c>
      <c r="L156" s="14" t="n"/>
      <c r="M156" s="16" t="n"/>
      <c r="N156" s="124">
        <f>IF(M156="","",COUNTIFS($C$18:$C$2015,M$13,$D$18:$D$2015,"&gt;="&amp;M156,$D$18:$D$2015,"&lt;"&amp;M157))</f>
        <v/>
      </c>
      <c r="O156" s="14" t="n"/>
      <c r="P156" s="16" t="n"/>
      <c r="Q156" s="124">
        <f>IF(P156="","",COUNTIFS($C$18:$C$2015,P$13,$D$18:$D$2015,"&gt;="&amp;P156,$D$18:$D$2015,"&lt;"&amp;P157))</f>
        <v/>
      </c>
      <c r="R156" s="14" t="n"/>
      <c r="S156" s="16" t="n"/>
      <c r="T156" s="124">
        <f>IF(S156="","",COUNTIFS($C$18:$C$2015,S$13,$D$18:$D$2015,"&gt;="&amp;S156,$D$18:$D$2015,"&lt;"&amp;S157))</f>
        <v/>
      </c>
      <c r="U156" s="14" t="n"/>
      <c r="V156" s="16" t="n"/>
      <c r="W156" s="124">
        <f>IF(V156="","",COUNTIFS($C$18:$C$2015,V$13,$D$18:$D$2015,"&gt;="&amp;V156,$D$18:$D$2015,"&lt;"&amp;V157))</f>
        <v/>
      </c>
      <c r="X156" s="14" t="n"/>
      <c r="Y156" s="16" t="n"/>
      <c r="Z156" s="124">
        <f>IF(Y156="","",COUNTIFS($C$18:$C$2015,Y$13,$D$18:$D$2015,"&gt;="&amp;Y156,$D$18:$D$2015,"&lt;"&amp;Y157))</f>
        <v/>
      </c>
      <c r="AA156" s="14" t="n"/>
      <c r="AB156" s="16" t="n"/>
      <c r="AC156" s="124">
        <f>IF(AB156="","",COUNTIFS($C$18:$C$2015,AB$13,$D$18:$D$2015,"&gt;="&amp;AB156,$D$18:$D$2015,"&lt;"&amp;AB157))</f>
        <v/>
      </c>
      <c r="AD156" s="14" t="n"/>
    </row>
    <row r="157">
      <c r="A157" s="58" t="n"/>
      <c r="B157" s="59" t="n"/>
      <c r="C157" s="59" t="n"/>
      <c r="E157" s="16" t="n"/>
      <c r="F157" s="13" t="n"/>
      <c r="G157" s="16" t="n"/>
      <c r="H157" s="124">
        <f>IF(G157="","",COUNTIFS($C$18:$C$2015,G$13,$D$18:$D$2015,"&gt;="&amp;G157,$D$18:$D$2015,"&lt;"&amp;G158))</f>
        <v/>
      </c>
      <c r="I157" s="14" t="n"/>
      <c r="J157" s="16" t="n"/>
      <c r="K157" s="124">
        <f>IF(J157="","",COUNTIFS($C$18:$C$2015,J$13,$D$18:$D$2015,"&gt;="&amp;J157,$D$18:$D$2015,"&lt;"&amp;J158))</f>
        <v/>
      </c>
      <c r="L157" s="14" t="n"/>
      <c r="M157" s="16" t="n"/>
      <c r="N157" s="124">
        <f>IF(M157="","",COUNTIFS($C$18:$C$2015,M$13,$D$18:$D$2015,"&gt;="&amp;M157,$D$18:$D$2015,"&lt;"&amp;M158))</f>
        <v/>
      </c>
      <c r="O157" s="14" t="n"/>
      <c r="P157" s="16" t="n"/>
      <c r="Q157" s="124">
        <f>IF(P157="","",COUNTIFS($C$18:$C$2015,P$13,$D$18:$D$2015,"&gt;="&amp;P157,$D$18:$D$2015,"&lt;"&amp;P158))</f>
        <v/>
      </c>
      <c r="R157" s="14" t="n"/>
      <c r="S157" s="16" t="n"/>
      <c r="T157" s="124">
        <f>IF(S157="","",COUNTIFS($C$18:$C$2015,S$13,$D$18:$D$2015,"&gt;="&amp;S157,$D$18:$D$2015,"&lt;"&amp;S158))</f>
        <v/>
      </c>
      <c r="U157" s="14" t="n"/>
      <c r="V157" s="16" t="n"/>
      <c r="W157" s="124">
        <f>IF(V157="","",COUNTIFS($C$18:$C$2015,V$13,$D$18:$D$2015,"&gt;="&amp;V157,$D$18:$D$2015,"&lt;"&amp;V158))</f>
        <v/>
      </c>
      <c r="X157" s="14" t="n"/>
      <c r="Y157" s="16" t="n"/>
      <c r="Z157" s="124">
        <f>IF(Y157="","",COUNTIFS($C$18:$C$2015,Y$13,$D$18:$D$2015,"&gt;="&amp;Y157,$D$18:$D$2015,"&lt;"&amp;Y158))</f>
        <v/>
      </c>
      <c r="AA157" s="14" t="n"/>
      <c r="AB157" s="16" t="n"/>
      <c r="AC157" s="124">
        <f>IF(AB157="","",COUNTIFS($C$18:$C$2015,AB$13,$D$18:$D$2015,"&gt;="&amp;AB157,$D$18:$D$2015,"&lt;"&amp;AB158))</f>
        <v/>
      </c>
      <c r="AD157" s="14" t="n"/>
    </row>
    <row r="158">
      <c r="A158" s="56" t="n"/>
      <c r="B158" s="59" t="n"/>
      <c r="C158" s="59" t="n"/>
      <c r="E158" s="16" t="n"/>
      <c r="F158" s="13" t="n"/>
      <c r="G158" s="16" t="n"/>
      <c r="H158" s="124">
        <f>IF(G158="","",COUNTIFS($C$18:$C$2015,G$13,$D$18:$D$2015,"&gt;="&amp;G158,$D$18:$D$2015,"&lt;"&amp;G159))</f>
        <v/>
      </c>
      <c r="I158" s="14" t="n"/>
      <c r="J158" s="16" t="n"/>
      <c r="K158" s="124">
        <f>IF(J158="","",COUNTIFS($C$18:$C$2015,J$13,$D$18:$D$2015,"&gt;="&amp;J158,$D$18:$D$2015,"&lt;"&amp;J159))</f>
        <v/>
      </c>
      <c r="L158" s="14" t="n"/>
      <c r="M158" s="16" t="n"/>
      <c r="N158" s="124">
        <f>IF(M158="","",COUNTIFS($C$18:$C$2015,M$13,$D$18:$D$2015,"&gt;="&amp;M158,$D$18:$D$2015,"&lt;"&amp;M159))</f>
        <v/>
      </c>
      <c r="O158" s="14" t="n"/>
      <c r="P158" s="16" t="n"/>
      <c r="Q158" s="124">
        <f>IF(P158="","",COUNTIFS($C$18:$C$2015,P$13,$D$18:$D$2015,"&gt;="&amp;P158,$D$18:$D$2015,"&lt;"&amp;P159))</f>
        <v/>
      </c>
      <c r="R158" s="14" t="n"/>
      <c r="S158" s="16" t="n"/>
      <c r="T158" s="124">
        <f>IF(S158="","",COUNTIFS($C$18:$C$2015,S$13,$D$18:$D$2015,"&gt;="&amp;S158,$D$18:$D$2015,"&lt;"&amp;S159))</f>
        <v/>
      </c>
      <c r="U158" s="14" t="n"/>
      <c r="V158" s="16" t="n"/>
      <c r="W158" s="124">
        <f>IF(V158="","",COUNTIFS($C$18:$C$2015,V$13,$D$18:$D$2015,"&gt;="&amp;V158,$D$18:$D$2015,"&lt;"&amp;V159))</f>
        <v/>
      </c>
      <c r="X158" s="14" t="n"/>
      <c r="Y158" s="16" t="n"/>
      <c r="Z158" s="124">
        <f>IF(Y158="","",COUNTIFS($C$18:$C$2015,Y$13,$D$18:$D$2015,"&gt;="&amp;Y158,$D$18:$D$2015,"&lt;"&amp;Y159))</f>
        <v/>
      </c>
      <c r="AA158" s="14" t="n"/>
      <c r="AB158" s="16" t="n"/>
      <c r="AC158" s="124">
        <f>IF(AB158="","",COUNTIFS($C$18:$C$2015,AB$13,$D$18:$D$2015,"&gt;="&amp;AB158,$D$18:$D$2015,"&lt;"&amp;AB159))</f>
        <v/>
      </c>
      <c r="AD158" s="14" t="n"/>
    </row>
    <row r="159">
      <c r="A159" s="58" t="n"/>
      <c r="B159" s="59" t="n"/>
      <c r="C159" s="59" t="n"/>
      <c r="E159" s="16" t="n"/>
      <c r="F159" s="13" t="n"/>
      <c r="G159" s="16" t="n"/>
      <c r="H159" s="124">
        <f>IF(G159="","",COUNTIFS($C$18:$C$2015,G$13,$D$18:$D$2015,"&gt;="&amp;G159,$D$18:$D$2015,"&lt;"&amp;G160))</f>
        <v/>
      </c>
      <c r="I159" s="14" t="n"/>
      <c r="J159" s="16" t="n"/>
      <c r="K159" s="124">
        <f>IF(J159="","",COUNTIFS($C$18:$C$2015,J$13,$D$18:$D$2015,"&gt;="&amp;J159,$D$18:$D$2015,"&lt;"&amp;J160))</f>
        <v/>
      </c>
      <c r="L159" s="14" t="n"/>
      <c r="M159" s="16" t="n"/>
      <c r="N159" s="124">
        <f>IF(M159="","",COUNTIFS($C$18:$C$2015,M$13,$D$18:$D$2015,"&gt;="&amp;M159,$D$18:$D$2015,"&lt;"&amp;M160))</f>
        <v/>
      </c>
      <c r="O159" s="14" t="n"/>
      <c r="P159" s="16" t="n"/>
      <c r="Q159" s="124">
        <f>IF(P159="","",COUNTIFS($C$18:$C$2015,P$13,$D$18:$D$2015,"&gt;="&amp;P159,$D$18:$D$2015,"&lt;"&amp;P160))</f>
        <v/>
      </c>
      <c r="R159" s="14" t="n"/>
      <c r="S159" s="16" t="n"/>
      <c r="T159" s="124">
        <f>IF(S159="","",COUNTIFS($C$18:$C$2015,S$13,$D$18:$D$2015,"&gt;="&amp;S159,$D$18:$D$2015,"&lt;"&amp;S160))</f>
        <v/>
      </c>
      <c r="U159" s="14" t="n"/>
      <c r="V159" s="16" t="n"/>
      <c r="W159" s="124">
        <f>IF(V159="","",COUNTIFS($C$18:$C$2015,V$13,$D$18:$D$2015,"&gt;="&amp;V159,$D$18:$D$2015,"&lt;"&amp;V160))</f>
        <v/>
      </c>
      <c r="X159" s="14" t="n"/>
      <c r="Y159" s="16" t="n"/>
      <c r="Z159" s="124">
        <f>IF(Y159="","",COUNTIFS($C$18:$C$2015,Y$13,$D$18:$D$2015,"&gt;="&amp;Y159,$D$18:$D$2015,"&lt;"&amp;Y160))</f>
        <v/>
      </c>
      <c r="AA159" s="14" t="n"/>
      <c r="AB159" s="16" t="n"/>
      <c r="AC159" s="124">
        <f>IF(AB159="","",COUNTIFS($C$18:$C$2015,AB$13,$D$18:$D$2015,"&gt;="&amp;AB159,$D$18:$D$2015,"&lt;"&amp;AB160))</f>
        <v/>
      </c>
      <c r="AD159" s="14" t="n"/>
    </row>
    <row r="160">
      <c r="A160" s="56" t="n"/>
      <c r="B160" s="59" t="n"/>
      <c r="C160" s="59" t="n"/>
      <c r="E160" s="16" t="n"/>
      <c r="F160" s="13" t="n"/>
      <c r="G160" s="16" t="n"/>
      <c r="H160" s="124">
        <f>IF(G160="","",COUNTIFS($C$18:$C$2015,G$13,$D$18:$D$2015,"&gt;="&amp;G160,$D$18:$D$2015,"&lt;"&amp;G161))</f>
        <v/>
      </c>
      <c r="I160" s="14" t="n"/>
      <c r="J160" s="16" t="n"/>
      <c r="K160" s="124">
        <f>IF(J160="","",COUNTIFS($C$18:$C$2015,J$13,$D$18:$D$2015,"&gt;="&amp;J160,$D$18:$D$2015,"&lt;"&amp;J161))</f>
        <v/>
      </c>
      <c r="L160" s="14" t="n"/>
      <c r="M160" s="16" t="n"/>
      <c r="N160" s="124">
        <f>IF(M160="","",COUNTIFS($C$18:$C$2015,M$13,$D$18:$D$2015,"&gt;="&amp;M160,$D$18:$D$2015,"&lt;"&amp;M161))</f>
        <v/>
      </c>
      <c r="O160" s="14" t="n"/>
      <c r="P160" s="16" t="n"/>
      <c r="Q160" s="124">
        <f>IF(P160="","",COUNTIFS($C$18:$C$2015,P$13,$D$18:$D$2015,"&gt;="&amp;P160,$D$18:$D$2015,"&lt;"&amp;P161))</f>
        <v/>
      </c>
      <c r="R160" s="14" t="n"/>
      <c r="S160" s="16" t="n"/>
      <c r="T160" s="124">
        <f>IF(S160="","",COUNTIFS($C$18:$C$2015,S$13,$D$18:$D$2015,"&gt;="&amp;S160,$D$18:$D$2015,"&lt;"&amp;S161))</f>
        <v/>
      </c>
      <c r="U160" s="14" t="n"/>
      <c r="V160" s="16" t="n"/>
      <c r="W160" s="124">
        <f>IF(V160="","",COUNTIFS($C$18:$C$2015,V$13,$D$18:$D$2015,"&gt;="&amp;V160,$D$18:$D$2015,"&lt;"&amp;V161))</f>
        <v/>
      </c>
      <c r="X160" s="14" t="n"/>
      <c r="Y160" s="16" t="n"/>
      <c r="Z160" s="124">
        <f>IF(Y160="","",COUNTIFS($C$18:$C$2015,Y$13,$D$18:$D$2015,"&gt;="&amp;Y160,$D$18:$D$2015,"&lt;"&amp;Y161))</f>
        <v/>
      </c>
      <c r="AA160" s="14" t="n"/>
      <c r="AB160" s="16" t="n"/>
      <c r="AC160" s="124">
        <f>IF(AB160="","",COUNTIFS($C$18:$C$2015,AB$13,$D$18:$D$2015,"&gt;="&amp;AB160,$D$18:$D$2015,"&lt;"&amp;AB161))</f>
        <v/>
      </c>
      <c r="AD160" s="14" t="n"/>
    </row>
    <row r="161">
      <c r="A161" s="58" t="n"/>
      <c r="B161" s="59" t="n"/>
      <c r="C161" s="59" t="n"/>
      <c r="E161" s="16" t="n"/>
      <c r="F161" s="13" t="n"/>
      <c r="G161" s="16" t="n"/>
      <c r="H161" s="124">
        <f>IF(G161="","",COUNTIFS($C$18:$C$2015,G$13,$D$18:$D$2015,"&gt;="&amp;G161,$D$18:$D$2015,"&lt;"&amp;G162))</f>
        <v/>
      </c>
      <c r="I161" s="14" t="n"/>
      <c r="J161" s="16" t="n"/>
      <c r="K161" s="124">
        <f>IF(J161="","",COUNTIFS($C$18:$C$2015,J$13,$D$18:$D$2015,"&gt;="&amp;J161,$D$18:$D$2015,"&lt;"&amp;J162))</f>
        <v/>
      </c>
      <c r="L161" s="14" t="n"/>
      <c r="M161" s="16" t="n"/>
      <c r="N161" s="124">
        <f>IF(M161="","",COUNTIFS($C$18:$C$2015,M$13,$D$18:$D$2015,"&gt;="&amp;M161,$D$18:$D$2015,"&lt;"&amp;M162))</f>
        <v/>
      </c>
      <c r="O161" s="14" t="n"/>
      <c r="P161" s="16" t="n"/>
      <c r="Q161" s="124">
        <f>IF(P161="","",COUNTIFS($C$18:$C$2015,P$13,$D$18:$D$2015,"&gt;="&amp;P161,$D$18:$D$2015,"&lt;"&amp;P162))</f>
        <v/>
      </c>
      <c r="R161" s="14" t="n"/>
      <c r="S161" s="16" t="n"/>
      <c r="T161" s="124">
        <f>IF(S161="","",COUNTIFS($C$18:$C$2015,S$13,$D$18:$D$2015,"&gt;="&amp;S161,$D$18:$D$2015,"&lt;"&amp;S162))</f>
        <v/>
      </c>
      <c r="U161" s="14" t="n"/>
      <c r="V161" s="16" t="n"/>
      <c r="W161" s="124">
        <f>IF(V161="","",COUNTIFS($C$18:$C$2015,V$13,$D$18:$D$2015,"&gt;="&amp;V161,$D$18:$D$2015,"&lt;"&amp;V162))</f>
        <v/>
      </c>
      <c r="X161" s="14" t="n"/>
      <c r="Y161" s="16" t="n"/>
      <c r="Z161" s="124">
        <f>IF(Y161="","",COUNTIFS($C$18:$C$2015,Y$13,$D$18:$D$2015,"&gt;="&amp;Y161,$D$18:$D$2015,"&lt;"&amp;Y162))</f>
        <v/>
      </c>
      <c r="AA161" s="14" t="n"/>
      <c r="AB161" s="16" t="n"/>
      <c r="AC161" s="124">
        <f>IF(AB161="","",COUNTIFS($C$18:$C$2015,AB$13,$D$18:$D$2015,"&gt;="&amp;AB161,$D$18:$D$2015,"&lt;"&amp;AB162))</f>
        <v/>
      </c>
      <c r="AD161" s="14" t="n"/>
    </row>
    <row r="162">
      <c r="A162" s="56" t="n"/>
      <c r="B162" s="59" t="n"/>
      <c r="C162" s="59" t="n"/>
      <c r="E162" s="16" t="n"/>
      <c r="F162" s="13" t="n"/>
      <c r="G162" s="16" t="n"/>
      <c r="H162" s="124">
        <f>IF(G162="","",COUNTIFS($C$18:$C$2015,G$13,$D$18:$D$2015,"&gt;="&amp;G162,$D$18:$D$2015,"&lt;"&amp;G163))</f>
        <v/>
      </c>
      <c r="I162" s="14" t="n"/>
      <c r="J162" s="16" t="n"/>
      <c r="K162" s="124">
        <f>IF(J162="","",COUNTIFS($C$18:$C$2015,J$13,$D$18:$D$2015,"&gt;="&amp;J162,$D$18:$D$2015,"&lt;"&amp;J163))</f>
        <v/>
      </c>
      <c r="L162" s="14" t="n"/>
      <c r="M162" s="16" t="n"/>
      <c r="N162" s="124">
        <f>IF(M162="","",COUNTIFS($C$18:$C$2015,M$13,$D$18:$D$2015,"&gt;="&amp;M162,$D$18:$D$2015,"&lt;"&amp;M163))</f>
        <v/>
      </c>
      <c r="O162" s="14" t="n"/>
      <c r="P162" s="16" t="n"/>
      <c r="Q162" s="124">
        <f>IF(P162="","",COUNTIFS($C$18:$C$2015,P$13,$D$18:$D$2015,"&gt;="&amp;P162,$D$18:$D$2015,"&lt;"&amp;P163))</f>
        <v/>
      </c>
      <c r="R162" s="14" t="n"/>
      <c r="S162" s="16" t="n"/>
      <c r="T162" s="124">
        <f>IF(S162="","",COUNTIFS($C$18:$C$2015,S$13,$D$18:$D$2015,"&gt;="&amp;S162,$D$18:$D$2015,"&lt;"&amp;S163))</f>
        <v/>
      </c>
      <c r="U162" s="14" t="n"/>
      <c r="V162" s="16" t="n"/>
      <c r="W162" s="124">
        <f>IF(V162="","",COUNTIFS($C$18:$C$2015,V$13,$D$18:$D$2015,"&gt;="&amp;V162,$D$18:$D$2015,"&lt;"&amp;V163))</f>
        <v/>
      </c>
      <c r="X162" s="14" t="n"/>
      <c r="Y162" s="16" t="n"/>
      <c r="Z162" s="124">
        <f>IF(Y162="","",COUNTIFS($C$18:$C$2015,Y$13,$D$18:$D$2015,"&gt;="&amp;Y162,$D$18:$D$2015,"&lt;"&amp;Y163))</f>
        <v/>
      </c>
      <c r="AA162" s="14" t="n"/>
      <c r="AB162" s="16" t="n"/>
      <c r="AC162" s="124">
        <f>IF(AB162="","",COUNTIFS($C$18:$C$2015,AB$13,$D$18:$D$2015,"&gt;="&amp;AB162,$D$18:$D$2015,"&lt;"&amp;AB163))</f>
        <v/>
      </c>
      <c r="AD162" s="14" t="n"/>
    </row>
    <row r="163">
      <c r="A163" s="58" t="n"/>
      <c r="B163" s="59" t="n"/>
      <c r="C163" s="59" t="n"/>
      <c r="E163" s="16" t="n"/>
      <c r="F163" s="13" t="n"/>
      <c r="G163" s="16" t="n"/>
      <c r="H163" s="124">
        <f>IF(G163="","",COUNTIFS($C$18:$C$2015,G$13,$D$18:$D$2015,"&gt;="&amp;G163,$D$18:$D$2015,"&lt;"&amp;G164))</f>
        <v/>
      </c>
      <c r="I163" s="14" t="n"/>
      <c r="J163" s="16" t="n"/>
      <c r="K163" s="124">
        <f>IF(J163="","",COUNTIFS($C$18:$C$2015,J$13,$D$18:$D$2015,"&gt;="&amp;J163,$D$18:$D$2015,"&lt;"&amp;J164))</f>
        <v/>
      </c>
      <c r="L163" s="14" t="n"/>
      <c r="M163" s="16" t="n"/>
      <c r="N163" s="124">
        <f>IF(M163="","",COUNTIFS($C$18:$C$2015,M$13,$D$18:$D$2015,"&gt;="&amp;M163,$D$18:$D$2015,"&lt;"&amp;M164))</f>
        <v/>
      </c>
      <c r="O163" s="14" t="n"/>
      <c r="P163" s="16" t="n"/>
      <c r="Q163" s="124">
        <f>IF(P163="","",COUNTIFS($C$18:$C$2015,P$13,$D$18:$D$2015,"&gt;="&amp;P163,$D$18:$D$2015,"&lt;"&amp;P164))</f>
        <v/>
      </c>
      <c r="R163" s="14" t="n"/>
      <c r="S163" s="16" t="n"/>
      <c r="T163" s="124">
        <f>IF(S163="","",COUNTIFS($C$18:$C$2015,S$13,$D$18:$D$2015,"&gt;="&amp;S163,$D$18:$D$2015,"&lt;"&amp;S164))</f>
        <v/>
      </c>
      <c r="U163" s="14" t="n"/>
      <c r="V163" s="16" t="n"/>
      <c r="W163" s="124">
        <f>IF(V163="","",COUNTIFS($C$18:$C$2015,V$13,$D$18:$D$2015,"&gt;="&amp;V163,$D$18:$D$2015,"&lt;"&amp;V164))</f>
        <v/>
      </c>
      <c r="X163" s="14" t="n"/>
      <c r="Y163" s="16" t="n"/>
      <c r="Z163" s="124">
        <f>IF(Y163="","",COUNTIFS($C$18:$C$2015,Y$13,$D$18:$D$2015,"&gt;="&amp;Y163,$D$18:$D$2015,"&lt;"&amp;Y164))</f>
        <v/>
      </c>
      <c r="AA163" s="14" t="n"/>
      <c r="AB163" s="16" t="n"/>
      <c r="AC163" s="124">
        <f>IF(AB163="","",COUNTIFS($C$18:$C$2015,AB$13,$D$18:$D$2015,"&gt;="&amp;AB163,$D$18:$D$2015,"&lt;"&amp;AB164))</f>
        <v/>
      </c>
      <c r="AD163" s="14" t="n"/>
    </row>
    <row r="164">
      <c r="A164" s="56" t="n"/>
      <c r="B164" s="59" t="n"/>
      <c r="C164" s="59" t="n"/>
      <c r="E164" s="16" t="n"/>
      <c r="F164" s="13" t="n"/>
      <c r="G164" s="16" t="n"/>
      <c r="H164" s="124">
        <f>IF(G164="","",COUNTIFS($C$18:$C$2015,G$13,$D$18:$D$2015,"&gt;="&amp;G164,$D$18:$D$2015,"&lt;"&amp;G165))</f>
        <v/>
      </c>
      <c r="I164" s="14" t="n"/>
      <c r="J164" s="16" t="n"/>
      <c r="K164" s="124">
        <f>IF(J164="","",COUNTIFS($C$18:$C$2015,J$13,$D$18:$D$2015,"&gt;="&amp;J164,$D$18:$D$2015,"&lt;"&amp;J165))</f>
        <v/>
      </c>
      <c r="L164" s="14" t="n"/>
      <c r="M164" s="16" t="n"/>
      <c r="N164" s="124">
        <f>IF(M164="","",COUNTIFS($C$18:$C$2015,M$13,$D$18:$D$2015,"&gt;="&amp;M164,$D$18:$D$2015,"&lt;"&amp;M165))</f>
        <v/>
      </c>
      <c r="O164" s="14" t="n"/>
      <c r="P164" s="16" t="n"/>
      <c r="Q164" s="124">
        <f>IF(P164="","",COUNTIFS($C$18:$C$2015,P$13,$D$18:$D$2015,"&gt;="&amp;P164,$D$18:$D$2015,"&lt;"&amp;P165))</f>
        <v/>
      </c>
      <c r="R164" s="14" t="n"/>
      <c r="S164" s="16" t="n"/>
      <c r="T164" s="124">
        <f>IF(S164="","",COUNTIFS($C$18:$C$2015,S$13,$D$18:$D$2015,"&gt;="&amp;S164,$D$18:$D$2015,"&lt;"&amp;S165))</f>
        <v/>
      </c>
      <c r="U164" s="14" t="n"/>
      <c r="V164" s="16" t="n"/>
      <c r="W164" s="124">
        <f>IF(V164="","",COUNTIFS($C$18:$C$2015,V$13,$D$18:$D$2015,"&gt;="&amp;V164,$D$18:$D$2015,"&lt;"&amp;V165))</f>
        <v/>
      </c>
      <c r="X164" s="14" t="n"/>
      <c r="Y164" s="16" t="n"/>
      <c r="Z164" s="124">
        <f>IF(Y164="","",COUNTIFS($C$18:$C$2015,Y$13,$D$18:$D$2015,"&gt;="&amp;Y164,$D$18:$D$2015,"&lt;"&amp;Y165))</f>
        <v/>
      </c>
      <c r="AA164" s="14" t="n"/>
      <c r="AB164" s="16" t="n"/>
      <c r="AC164" s="124">
        <f>IF(AB164="","",COUNTIFS($C$18:$C$2015,AB$13,$D$18:$D$2015,"&gt;="&amp;AB164,$D$18:$D$2015,"&lt;"&amp;AB165))</f>
        <v/>
      </c>
      <c r="AD164" s="14" t="n"/>
    </row>
    <row r="165">
      <c r="A165" s="58" t="n"/>
      <c r="B165" s="59" t="n"/>
      <c r="C165" s="59" t="n"/>
      <c r="E165" s="16" t="n"/>
      <c r="F165" s="13" t="n"/>
      <c r="G165" s="16" t="n"/>
      <c r="H165" s="124">
        <f>IF(G165="","",COUNTIFS($C$18:$C$2015,G$13,$D$18:$D$2015,"&gt;="&amp;G165,$D$18:$D$2015,"&lt;"&amp;G166))</f>
        <v/>
      </c>
      <c r="I165" s="14" t="n"/>
      <c r="J165" s="16" t="n"/>
      <c r="K165" s="124">
        <f>IF(J165="","",COUNTIFS($C$18:$C$2015,J$13,$D$18:$D$2015,"&gt;="&amp;J165,$D$18:$D$2015,"&lt;"&amp;J166))</f>
        <v/>
      </c>
      <c r="L165" s="14" t="n"/>
      <c r="M165" s="16" t="n"/>
      <c r="N165" s="124">
        <f>IF(M165="","",COUNTIFS($C$18:$C$2015,M$13,$D$18:$D$2015,"&gt;="&amp;M165,$D$18:$D$2015,"&lt;"&amp;M166))</f>
        <v/>
      </c>
      <c r="O165" s="14" t="n"/>
      <c r="P165" s="16" t="n"/>
      <c r="Q165" s="124">
        <f>IF(P165="","",COUNTIFS($C$18:$C$2015,P$13,$D$18:$D$2015,"&gt;="&amp;P165,$D$18:$D$2015,"&lt;"&amp;P166))</f>
        <v/>
      </c>
      <c r="R165" s="14" t="n"/>
      <c r="S165" s="16" t="n"/>
      <c r="T165" s="124">
        <f>IF(S165="","",COUNTIFS($C$18:$C$2015,S$13,$D$18:$D$2015,"&gt;="&amp;S165,$D$18:$D$2015,"&lt;"&amp;S166))</f>
        <v/>
      </c>
      <c r="U165" s="14" t="n"/>
      <c r="V165" s="16" t="n"/>
      <c r="W165" s="124">
        <f>IF(V165="","",COUNTIFS($C$18:$C$2015,V$13,$D$18:$D$2015,"&gt;="&amp;V165,$D$18:$D$2015,"&lt;"&amp;V166))</f>
        <v/>
      </c>
      <c r="X165" s="14" t="n"/>
      <c r="Y165" s="16" t="n"/>
      <c r="Z165" s="124">
        <f>IF(Y165="","",COUNTIFS($C$18:$C$2015,Y$13,$D$18:$D$2015,"&gt;="&amp;Y165,$D$18:$D$2015,"&lt;"&amp;Y166))</f>
        <v/>
      </c>
      <c r="AA165" s="14" t="n"/>
      <c r="AB165" s="16" t="n"/>
      <c r="AC165" s="124">
        <f>IF(AB165="","",COUNTIFS($C$18:$C$2015,AB$13,$D$18:$D$2015,"&gt;="&amp;AB165,$D$18:$D$2015,"&lt;"&amp;AB166))</f>
        <v/>
      </c>
      <c r="AD165" s="14" t="n"/>
    </row>
    <row r="166">
      <c r="A166" s="56" t="n"/>
      <c r="B166" s="59" t="n"/>
      <c r="C166" s="59" t="n"/>
      <c r="E166" s="16" t="n"/>
      <c r="F166" s="13" t="n"/>
      <c r="G166" s="16" t="n"/>
      <c r="H166" s="124">
        <f>IF(G166="","",COUNTIFS($C$18:$C$2015,G$13,$D$18:$D$2015,"&gt;="&amp;G166,$D$18:$D$2015,"&lt;"&amp;G167))</f>
        <v/>
      </c>
      <c r="I166" s="14" t="n"/>
      <c r="J166" s="16" t="n"/>
      <c r="K166" s="124">
        <f>IF(J166="","",COUNTIFS($C$18:$C$2015,J$13,$D$18:$D$2015,"&gt;="&amp;J166,$D$18:$D$2015,"&lt;"&amp;J167))</f>
        <v/>
      </c>
      <c r="L166" s="14" t="n"/>
      <c r="M166" s="16" t="n"/>
      <c r="N166" s="124">
        <f>IF(M166="","",COUNTIFS($C$18:$C$2015,M$13,$D$18:$D$2015,"&gt;="&amp;M166,$D$18:$D$2015,"&lt;"&amp;M167))</f>
        <v/>
      </c>
      <c r="O166" s="14" t="n"/>
      <c r="P166" s="16" t="n"/>
      <c r="Q166" s="124">
        <f>IF(P166="","",COUNTIFS($C$18:$C$2015,P$13,$D$18:$D$2015,"&gt;="&amp;P166,$D$18:$D$2015,"&lt;"&amp;P167))</f>
        <v/>
      </c>
      <c r="R166" s="14" t="n"/>
      <c r="S166" s="16" t="n"/>
      <c r="T166" s="124">
        <f>IF(S166="","",COUNTIFS($C$18:$C$2015,S$13,$D$18:$D$2015,"&gt;="&amp;S166,$D$18:$D$2015,"&lt;"&amp;S167))</f>
        <v/>
      </c>
      <c r="U166" s="14" t="n"/>
      <c r="V166" s="16" t="n"/>
      <c r="W166" s="124">
        <f>IF(V166="","",COUNTIFS($C$18:$C$2015,V$13,$D$18:$D$2015,"&gt;="&amp;V166,$D$18:$D$2015,"&lt;"&amp;V167))</f>
        <v/>
      </c>
      <c r="X166" s="14" t="n"/>
      <c r="Y166" s="16" t="n"/>
      <c r="Z166" s="124">
        <f>IF(Y166="","",COUNTIFS($C$18:$C$2015,Y$13,$D$18:$D$2015,"&gt;="&amp;Y166,$D$18:$D$2015,"&lt;"&amp;Y167))</f>
        <v/>
      </c>
      <c r="AA166" s="14" t="n"/>
      <c r="AB166" s="16" t="n"/>
      <c r="AC166" s="124">
        <f>IF(AB166="","",COUNTIFS($C$18:$C$2015,AB$13,$D$18:$D$2015,"&gt;="&amp;AB166,$D$18:$D$2015,"&lt;"&amp;AB167))</f>
        <v/>
      </c>
      <c r="AD166" s="14" t="n"/>
    </row>
    <row r="167">
      <c r="A167" s="58" t="n"/>
      <c r="B167" s="59" t="n"/>
      <c r="C167" s="59" t="n"/>
      <c r="E167" s="16" t="n"/>
      <c r="F167" s="13" t="n"/>
      <c r="G167" s="16" t="n"/>
      <c r="H167" s="124">
        <f>IF(G167="","",COUNTIFS($C$18:$C$2015,G$13,$D$18:$D$2015,"&gt;="&amp;G167,$D$18:$D$2015,"&lt;"&amp;G168))</f>
        <v/>
      </c>
      <c r="I167" s="14" t="n"/>
      <c r="J167" s="16" t="n"/>
      <c r="K167" s="124">
        <f>IF(J167="","",COUNTIFS($C$18:$C$2015,J$13,$D$18:$D$2015,"&gt;="&amp;J167,$D$18:$D$2015,"&lt;"&amp;J168))</f>
        <v/>
      </c>
      <c r="L167" s="14" t="n"/>
      <c r="M167" s="16" t="n"/>
      <c r="N167" s="124">
        <f>IF(M167="","",COUNTIFS($C$18:$C$2015,M$13,$D$18:$D$2015,"&gt;="&amp;M167,$D$18:$D$2015,"&lt;"&amp;M168))</f>
        <v/>
      </c>
      <c r="O167" s="14" t="n"/>
      <c r="P167" s="16" t="n"/>
      <c r="Q167" s="124">
        <f>IF(P167="","",COUNTIFS($C$18:$C$2015,P$13,$D$18:$D$2015,"&gt;="&amp;P167,$D$18:$D$2015,"&lt;"&amp;P168))</f>
        <v/>
      </c>
      <c r="R167" s="14" t="n"/>
      <c r="S167" s="16" t="n"/>
      <c r="T167" s="124">
        <f>IF(S167="","",COUNTIFS($C$18:$C$2015,S$13,$D$18:$D$2015,"&gt;="&amp;S167,$D$18:$D$2015,"&lt;"&amp;S168))</f>
        <v/>
      </c>
      <c r="U167" s="14" t="n"/>
      <c r="V167" s="16" t="n"/>
      <c r="W167" s="124">
        <f>IF(V167="","",COUNTIFS($C$18:$C$2015,V$13,$D$18:$D$2015,"&gt;="&amp;V167,$D$18:$D$2015,"&lt;"&amp;V168))</f>
        <v/>
      </c>
      <c r="X167" s="14" t="n"/>
      <c r="Y167" s="16" t="n"/>
      <c r="Z167" s="124">
        <f>IF(Y167="","",COUNTIFS($C$18:$C$2015,Y$13,$D$18:$D$2015,"&gt;="&amp;Y167,$D$18:$D$2015,"&lt;"&amp;Y168))</f>
        <v/>
      </c>
      <c r="AA167" s="14" t="n"/>
      <c r="AB167" s="16" t="n"/>
      <c r="AC167" s="124">
        <f>IF(AB167="","",COUNTIFS($C$18:$C$2015,AB$13,$D$18:$D$2015,"&gt;="&amp;AB167,$D$18:$D$2015,"&lt;"&amp;AB168))</f>
        <v/>
      </c>
      <c r="AD167" s="14" t="n"/>
    </row>
    <row r="168">
      <c r="A168" s="56" t="n"/>
      <c r="B168" s="59" t="n"/>
      <c r="C168" s="59" t="n"/>
      <c r="E168" s="16" t="n"/>
      <c r="F168" s="13" t="n"/>
      <c r="G168" s="16" t="n"/>
      <c r="H168" s="124">
        <f>IF(G168="","",COUNTIFS($C$18:$C$2015,G$13,$D$18:$D$2015,"&gt;="&amp;G168,$D$18:$D$2015,"&lt;"&amp;G169))</f>
        <v/>
      </c>
      <c r="I168" s="14" t="n"/>
      <c r="J168" s="16" t="n"/>
      <c r="K168" s="124">
        <f>IF(J168="","",COUNTIFS($C$18:$C$2015,J$13,$D$18:$D$2015,"&gt;="&amp;J168,$D$18:$D$2015,"&lt;"&amp;J169))</f>
        <v/>
      </c>
      <c r="L168" s="14" t="n"/>
      <c r="M168" s="16" t="n"/>
      <c r="N168" s="124">
        <f>IF(M168="","",COUNTIFS($C$18:$C$2015,M$13,$D$18:$D$2015,"&gt;="&amp;M168,$D$18:$D$2015,"&lt;"&amp;M169))</f>
        <v/>
      </c>
      <c r="O168" s="14" t="n"/>
      <c r="P168" s="16" t="n"/>
      <c r="Q168" s="124">
        <f>IF(P168="","",COUNTIFS($C$18:$C$2015,P$13,$D$18:$D$2015,"&gt;="&amp;P168,$D$18:$D$2015,"&lt;"&amp;P169))</f>
        <v/>
      </c>
      <c r="R168" s="14" t="n"/>
      <c r="S168" s="16" t="n"/>
      <c r="T168" s="124">
        <f>IF(S168="","",COUNTIFS($C$18:$C$2015,S$13,$D$18:$D$2015,"&gt;="&amp;S168,$D$18:$D$2015,"&lt;"&amp;S169))</f>
        <v/>
      </c>
      <c r="U168" s="14" t="n"/>
      <c r="V168" s="16" t="n"/>
      <c r="W168" s="124">
        <f>IF(V168="","",COUNTIFS($C$18:$C$2015,V$13,$D$18:$D$2015,"&gt;="&amp;V168,$D$18:$D$2015,"&lt;"&amp;V169))</f>
        <v/>
      </c>
      <c r="X168" s="14" t="n"/>
      <c r="Y168" s="16" t="n"/>
      <c r="Z168" s="124">
        <f>IF(Y168="","",COUNTIFS($C$18:$C$2015,Y$13,$D$18:$D$2015,"&gt;="&amp;Y168,$D$18:$D$2015,"&lt;"&amp;Y169))</f>
        <v/>
      </c>
      <c r="AA168" s="14" t="n"/>
      <c r="AB168" s="16" t="n"/>
      <c r="AC168" s="124">
        <f>IF(AB168="","",COUNTIFS($C$18:$C$2015,AB$13,$D$18:$D$2015,"&gt;="&amp;AB168,$D$18:$D$2015,"&lt;"&amp;AB169))</f>
        <v/>
      </c>
      <c r="AD168" s="14" t="n"/>
    </row>
    <row r="169">
      <c r="A169" s="58" t="n"/>
      <c r="B169" s="59" t="n"/>
      <c r="C169" s="59" t="n"/>
      <c r="E169" s="16" t="n"/>
      <c r="F169" s="13" t="n"/>
      <c r="G169" s="16" t="n"/>
      <c r="H169" s="124">
        <f>IF(G169="","",COUNTIFS($C$18:$C$2015,G$13,$D$18:$D$2015,"&gt;="&amp;G169,$D$18:$D$2015,"&lt;"&amp;G170))</f>
        <v/>
      </c>
      <c r="I169" s="14" t="n"/>
      <c r="J169" s="16" t="n"/>
      <c r="K169" s="124">
        <f>IF(J169="","",COUNTIFS($C$18:$C$2015,J$13,$D$18:$D$2015,"&gt;="&amp;J169,$D$18:$D$2015,"&lt;"&amp;J170))</f>
        <v/>
      </c>
      <c r="L169" s="14" t="n"/>
      <c r="M169" s="16" t="n"/>
      <c r="N169" s="124">
        <f>IF(M169="","",COUNTIFS($C$18:$C$2015,M$13,$D$18:$D$2015,"&gt;="&amp;M169,$D$18:$D$2015,"&lt;"&amp;M170))</f>
        <v/>
      </c>
      <c r="O169" s="14" t="n"/>
      <c r="P169" s="16" t="n"/>
      <c r="Q169" s="124">
        <f>IF(P169="","",COUNTIFS($C$18:$C$2015,P$13,$D$18:$D$2015,"&gt;="&amp;P169,$D$18:$D$2015,"&lt;"&amp;P170))</f>
        <v/>
      </c>
      <c r="R169" s="14" t="n"/>
      <c r="S169" s="16" t="n"/>
      <c r="T169" s="124">
        <f>IF(S169="","",COUNTIFS($C$18:$C$2015,S$13,$D$18:$D$2015,"&gt;="&amp;S169,$D$18:$D$2015,"&lt;"&amp;S170))</f>
        <v/>
      </c>
      <c r="U169" s="14" t="n"/>
      <c r="V169" s="16" t="n"/>
      <c r="W169" s="124">
        <f>IF(V169="","",COUNTIFS($C$18:$C$2015,V$13,$D$18:$D$2015,"&gt;="&amp;V169,$D$18:$D$2015,"&lt;"&amp;V170))</f>
        <v/>
      </c>
      <c r="X169" s="14" t="n"/>
      <c r="Y169" s="16" t="n"/>
      <c r="Z169" s="124">
        <f>IF(Y169="","",COUNTIFS($C$18:$C$2015,Y$13,$D$18:$D$2015,"&gt;="&amp;Y169,$D$18:$D$2015,"&lt;"&amp;Y170))</f>
        <v/>
      </c>
      <c r="AA169" s="14" t="n"/>
      <c r="AB169" s="16" t="n"/>
      <c r="AC169" s="124">
        <f>IF(AB169="","",COUNTIFS($C$18:$C$2015,AB$13,$D$18:$D$2015,"&gt;="&amp;AB169,$D$18:$D$2015,"&lt;"&amp;AB170))</f>
        <v/>
      </c>
      <c r="AD169" s="14" t="n"/>
    </row>
    <row r="170">
      <c r="A170" s="56" t="n"/>
      <c r="B170" s="59" t="n"/>
      <c r="C170" s="59" t="n"/>
      <c r="E170" s="16" t="n"/>
      <c r="F170" s="13" t="n"/>
      <c r="G170" s="16" t="n"/>
      <c r="H170" s="124">
        <f>IF(G170="","",COUNTIFS($C$18:$C$2015,G$13,$D$18:$D$2015,"&gt;="&amp;G170,$D$18:$D$2015,"&lt;"&amp;G171))</f>
        <v/>
      </c>
      <c r="I170" s="14" t="n"/>
      <c r="J170" s="16" t="n"/>
      <c r="K170" s="124">
        <f>IF(J170="","",COUNTIFS($C$18:$C$2015,J$13,$D$18:$D$2015,"&gt;="&amp;J170,$D$18:$D$2015,"&lt;"&amp;J171))</f>
        <v/>
      </c>
      <c r="L170" s="14" t="n"/>
      <c r="M170" s="16" t="n"/>
      <c r="N170" s="124">
        <f>IF(M170="","",COUNTIFS($C$18:$C$2015,M$13,$D$18:$D$2015,"&gt;="&amp;M170,$D$18:$D$2015,"&lt;"&amp;M171))</f>
        <v/>
      </c>
      <c r="O170" s="14" t="n"/>
      <c r="P170" s="16" t="n"/>
      <c r="Q170" s="124">
        <f>IF(P170="","",COUNTIFS($C$18:$C$2015,P$13,$D$18:$D$2015,"&gt;="&amp;P170,$D$18:$D$2015,"&lt;"&amp;P171))</f>
        <v/>
      </c>
      <c r="R170" s="14" t="n"/>
      <c r="S170" s="16" t="n"/>
      <c r="T170" s="124">
        <f>IF(S170="","",COUNTIFS($C$18:$C$2015,S$13,$D$18:$D$2015,"&gt;="&amp;S170,$D$18:$D$2015,"&lt;"&amp;S171))</f>
        <v/>
      </c>
      <c r="U170" s="14" t="n"/>
      <c r="V170" s="16" t="n"/>
      <c r="W170" s="124">
        <f>IF(V170="","",COUNTIFS($C$18:$C$2015,V$13,$D$18:$D$2015,"&gt;="&amp;V170,$D$18:$D$2015,"&lt;"&amp;V171))</f>
        <v/>
      </c>
      <c r="X170" s="14" t="n"/>
      <c r="Y170" s="16" t="n"/>
      <c r="Z170" s="124">
        <f>IF(Y170="","",COUNTIFS($C$18:$C$2015,Y$13,$D$18:$D$2015,"&gt;="&amp;Y170,$D$18:$D$2015,"&lt;"&amp;Y171))</f>
        <v/>
      </c>
      <c r="AA170" s="14" t="n"/>
      <c r="AB170" s="16" t="n"/>
      <c r="AC170" s="124">
        <f>IF(AB170="","",COUNTIFS($C$18:$C$2015,AB$13,$D$18:$D$2015,"&gt;="&amp;AB170,$D$18:$D$2015,"&lt;"&amp;AB171))</f>
        <v/>
      </c>
      <c r="AD170" s="14" t="n"/>
    </row>
    <row r="171">
      <c r="A171" s="58" t="n"/>
      <c r="B171" s="59" t="n"/>
      <c r="C171" s="59" t="n"/>
      <c r="E171" s="16" t="n"/>
      <c r="F171" s="13" t="n"/>
      <c r="G171" s="16" t="n"/>
      <c r="H171" s="124">
        <f>IF(G171="","",COUNTIFS($C$18:$C$2015,G$13,$D$18:$D$2015,"&gt;="&amp;G171,$D$18:$D$2015,"&lt;"&amp;G172))</f>
        <v/>
      </c>
      <c r="I171" s="14" t="n"/>
      <c r="J171" s="16" t="n"/>
      <c r="K171" s="124">
        <f>IF(J171="","",COUNTIFS($C$18:$C$2015,J$13,$D$18:$D$2015,"&gt;="&amp;J171,$D$18:$D$2015,"&lt;"&amp;J172))</f>
        <v/>
      </c>
      <c r="L171" s="14" t="n"/>
      <c r="M171" s="16" t="n"/>
      <c r="N171" s="124">
        <f>IF(M171="","",COUNTIFS($C$18:$C$2015,M$13,$D$18:$D$2015,"&gt;="&amp;M171,$D$18:$D$2015,"&lt;"&amp;M172))</f>
        <v/>
      </c>
      <c r="O171" s="14" t="n"/>
      <c r="P171" s="16" t="n"/>
      <c r="Q171" s="124">
        <f>IF(P171="","",COUNTIFS($C$18:$C$2015,P$13,$D$18:$D$2015,"&gt;="&amp;P171,$D$18:$D$2015,"&lt;"&amp;P172))</f>
        <v/>
      </c>
      <c r="R171" s="14" t="n"/>
      <c r="S171" s="16" t="n"/>
      <c r="T171" s="124">
        <f>IF(S171="","",COUNTIFS($C$18:$C$2015,S$13,$D$18:$D$2015,"&gt;="&amp;S171,$D$18:$D$2015,"&lt;"&amp;S172))</f>
        <v/>
      </c>
      <c r="U171" s="14" t="n"/>
      <c r="V171" s="16" t="n"/>
      <c r="W171" s="124">
        <f>IF(V171="","",COUNTIFS($C$18:$C$2015,V$13,$D$18:$D$2015,"&gt;="&amp;V171,$D$18:$D$2015,"&lt;"&amp;V172))</f>
        <v/>
      </c>
      <c r="X171" s="14" t="n"/>
      <c r="Y171" s="16" t="n"/>
      <c r="Z171" s="124">
        <f>IF(Y171="","",COUNTIFS($C$18:$C$2015,Y$13,$D$18:$D$2015,"&gt;="&amp;Y171,$D$18:$D$2015,"&lt;"&amp;Y172))</f>
        <v/>
      </c>
      <c r="AA171" s="14" t="n"/>
      <c r="AB171" s="16" t="n"/>
      <c r="AC171" s="124">
        <f>IF(AB171="","",COUNTIFS($C$18:$C$2015,AB$13,$D$18:$D$2015,"&gt;="&amp;AB171,$D$18:$D$2015,"&lt;"&amp;AB172))</f>
        <v/>
      </c>
      <c r="AD171" s="14" t="n"/>
    </row>
    <row r="172">
      <c r="A172" s="56" t="n"/>
      <c r="B172" s="59" t="n"/>
      <c r="C172" s="59" t="n"/>
      <c r="E172" s="16" t="n"/>
      <c r="F172" s="13" t="n"/>
      <c r="G172" s="16" t="n"/>
      <c r="H172" s="124">
        <f>IF(G172="","",COUNTIFS($C$18:$C$2015,G$13,$D$18:$D$2015,"&gt;="&amp;G172,$D$18:$D$2015,"&lt;"&amp;G173))</f>
        <v/>
      </c>
      <c r="I172" s="14" t="n"/>
      <c r="J172" s="16" t="n"/>
      <c r="K172" s="124">
        <f>IF(J172="","",COUNTIFS($C$18:$C$2015,J$13,$D$18:$D$2015,"&gt;="&amp;J172,$D$18:$D$2015,"&lt;"&amp;J173))</f>
        <v/>
      </c>
      <c r="L172" s="14" t="n"/>
      <c r="M172" s="16" t="n"/>
      <c r="N172" s="124">
        <f>IF(M172="","",COUNTIFS($C$18:$C$2015,M$13,$D$18:$D$2015,"&gt;="&amp;M172,$D$18:$D$2015,"&lt;"&amp;M173))</f>
        <v/>
      </c>
      <c r="O172" s="14" t="n"/>
      <c r="P172" s="16" t="n"/>
      <c r="Q172" s="124">
        <f>IF(P172="","",COUNTIFS($C$18:$C$2015,P$13,$D$18:$D$2015,"&gt;="&amp;P172,$D$18:$D$2015,"&lt;"&amp;P173))</f>
        <v/>
      </c>
      <c r="R172" s="14" t="n"/>
      <c r="S172" s="16" t="n"/>
      <c r="T172" s="124">
        <f>IF(S172="","",COUNTIFS($C$18:$C$2015,S$13,$D$18:$D$2015,"&gt;="&amp;S172,$D$18:$D$2015,"&lt;"&amp;S173))</f>
        <v/>
      </c>
      <c r="U172" s="14" t="n"/>
      <c r="V172" s="16" t="n"/>
      <c r="W172" s="124">
        <f>IF(V172="","",COUNTIFS($C$18:$C$2015,V$13,$D$18:$D$2015,"&gt;="&amp;V172,$D$18:$D$2015,"&lt;"&amp;V173))</f>
        <v/>
      </c>
      <c r="X172" s="14" t="n"/>
      <c r="Y172" s="16" t="n"/>
      <c r="Z172" s="124">
        <f>IF(Y172="","",COUNTIFS($C$18:$C$2015,Y$13,$D$18:$D$2015,"&gt;="&amp;Y172,$D$18:$D$2015,"&lt;"&amp;Y173))</f>
        <v/>
      </c>
      <c r="AA172" s="14" t="n"/>
      <c r="AB172" s="16" t="n"/>
      <c r="AC172" s="124">
        <f>IF(AB172="","",COUNTIFS($C$18:$C$2015,AB$13,$D$18:$D$2015,"&gt;="&amp;AB172,$D$18:$D$2015,"&lt;"&amp;AB173))</f>
        <v/>
      </c>
      <c r="AD172" s="14" t="n"/>
    </row>
    <row r="173">
      <c r="A173" s="58" t="n"/>
      <c r="B173" s="59" t="n"/>
      <c r="C173" s="59" t="n"/>
      <c r="E173" s="16" t="n"/>
      <c r="F173" s="13" t="n"/>
      <c r="G173" s="16" t="n"/>
      <c r="H173" s="124">
        <f>IF(G173="","",COUNTIFS($C$18:$C$2015,G$13,$D$18:$D$2015,"&gt;="&amp;G173,$D$18:$D$2015,"&lt;"&amp;G174))</f>
        <v/>
      </c>
      <c r="I173" s="14" t="n"/>
      <c r="J173" s="16" t="n"/>
      <c r="K173" s="124">
        <f>IF(J173="","",COUNTIFS($C$18:$C$2015,J$13,$D$18:$D$2015,"&gt;="&amp;J173,$D$18:$D$2015,"&lt;"&amp;J174))</f>
        <v/>
      </c>
      <c r="L173" s="14" t="n"/>
      <c r="M173" s="16" t="n"/>
      <c r="N173" s="124">
        <f>IF(M173="","",COUNTIFS($C$18:$C$2015,M$13,$D$18:$D$2015,"&gt;="&amp;M173,$D$18:$D$2015,"&lt;"&amp;M174))</f>
        <v/>
      </c>
      <c r="O173" s="14" t="n"/>
      <c r="P173" s="16" t="n"/>
      <c r="Q173" s="124">
        <f>IF(P173="","",COUNTIFS($C$18:$C$2015,P$13,$D$18:$D$2015,"&gt;="&amp;P173,$D$18:$D$2015,"&lt;"&amp;P174))</f>
        <v/>
      </c>
      <c r="R173" s="14" t="n"/>
      <c r="S173" s="16" t="n"/>
      <c r="T173" s="124">
        <f>IF(S173="","",COUNTIFS($C$18:$C$2015,S$13,$D$18:$D$2015,"&gt;="&amp;S173,$D$18:$D$2015,"&lt;"&amp;S174))</f>
        <v/>
      </c>
      <c r="U173" s="14" t="n"/>
      <c r="V173" s="16" t="n"/>
      <c r="W173" s="124">
        <f>IF(V173="","",COUNTIFS($C$18:$C$2015,V$13,$D$18:$D$2015,"&gt;="&amp;V173,$D$18:$D$2015,"&lt;"&amp;V174))</f>
        <v/>
      </c>
      <c r="X173" s="14" t="n"/>
      <c r="Y173" s="16" t="n"/>
      <c r="Z173" s="124">
        <f>IF(Y173="","",COUNTIFS($C$18:$C$2015,Y$13,$D$18:$D$2015,"&gt;="&amp;Y173,$D$18:$D$2015,"&lt;"&amp;Y174))</f>
        <v/>
      </c>
      <c r="AA173" s="14" t="n"/>
      <c r="AB173" s="16" t="n"/>
      <c r="AC173" s="124">
        <f>IF(AB173="","",COUNTIFS($C$18:$C$2015,AB$13,$D$18:$D$2015,"&gt;="&amp;AB173,$D$18:$D$2015,"&lt;"&amp;AB174))</f>
        <v/>
      </c>
      <c r="AD173" s="14" t="n"/>
    </row>
    <row r="174">
      <c r="A174" s="56" t="n"/>
      <c r="B174" s="59" t="n"/>
      <c r="C174" s="59" t="n"/>
      <c r="E174" s="16" t="n"/>
      <c r="F174" s="13" t="n"/>
      <c r="G174" s="16" t="n"/>
      <c r="H174" s="124">
        <f>IF(G174="","",COUNTIFS($C$18:$C$2015,G$13,$D$18:$D$2015,"&gt;="&amp;G174,$D$18:$D$2015,"&lt;"&amp;G175))</f>
        <v/>
      </c>
      <c r="I174" s="14" t="n"/>
      <c r="J174" s="16" t="n"/>
      <c r="K174" s="124">
        <f>IF(J174="","",COUNTIFS($C$18:$C$2015,J$13,$D$18:$D$2015,"&gt;="&amp;J174,$D$18:$D$2015,"&lt;"&amp;J175))</f>
        <v/>
      </c>
      <c r="L174" s="14" t="n"/>
      <c r="M174" s="16" t="n"/>
      <c r="N174" s="124">
        <f>IF(M174="","",COUNTIFS($C$18:$C$2015,M$13,$D$18:$D$2015,"&gt;="&amp;M174,$D$18:$D$2015,"&lt;"&amp;M175))</f>
        <v/>
      </c>
      <c r="O174" s="14" t="n"/>
      <c r="P174" s="16" t="n"/>
      <c r="Q174" s="124">
        <f>IF(P174="","",COUNTIFS($C$18:$C$2015,P$13,$D$18:$D$2015,"&gt;="&amp;P174,$D$18:$D$2015,"&lt;"&amp;P175))</f>
        <v/>
      </c>
      <c r="R174" s="14" t="n"/>
      <c r="S174" s="16" t="n"/>
      <c r="T174" s="124">
        <f>IF(S174="","",COUNTIFS($C$18:$C$2015,S$13,$D$18:$D$2015,"&gt;="&amp;S174,$D$18:$D$2015,"&lt;"&amp;S175))</f>
        <v/>
      </c>
      <c r="U174" s="14" t="n"/>
      <c r="V174" s="16" t="n"/>
      <c r="W174" s="124">
        <f>IF(V174="","",COUNTIFS($C$18:$C$2015,V$13,$D$18:$D$2015,"&gt;="&amp;V174,$D$18:$D$2015,"&lt;"&amp;V175))</f>
        <v/>
      </c>
      <c r="X174" s="14" t="n"/>
      <c r="Y174" s="16" t="n"/>
      <c r="Z174" s="124">
        <f>IF(Y174="","",COUNTIFS($C$18:$C$2015,Y$13,$D$18:$D$2015,"&gt;="&amp;Y174,$D$18:$D$2015,"&lt;"&amp;Y175))</f>
        <v/>
      </c>
      <c r="AA174" s="14" t="n"/>
      <c r="AB174" s="16" t="n"/>
      <c r="AC174" s="124">
        <f>IF(AB174="","",COUNTIFS($C$18:$C$2015,AB$13,$D$18:$D$2015,"&gt;="&amp;AB174,$D$18:$D$2015,"&lt;"&amp;AB175))</f>
        <v/>
      </c>
      <c r="AD174" s="14" t="n"/>
    </row>
    <row r="175">
      <c r="A175" s="58" t="n"/>
      <c r="B175" s="59" t="n"/>
      <c r="C175" s="59" t="n"/>
      <c r="E175" s="16" t="n"/>
      <c r="F175" s="13" t="n"/>
      <c r="G175" s="16" t="n"/>
      <c r="H175" s="124">
        <f>IF(G175="","",COUNTIFS($C$18:$C$2015,G$13,$D$18:$D$2015,"&gt;="&amp;G175,$D$18:$D$2015,"&lt;"&amp;G176))</f>
        <v/>
      </c>
      <c r="I175" s="14" t="n"/>
      <c r="J175" s="16" t="n"/>
      <c r="K175" s="124">
        <f>IF(J175="","",COUNTIFS($C$18:$C$2015,J$13,$D$18:$D$2015,"&gt;="&amp;J175,$D$18:$D$2015,"&lt;"&amp;J176))</f>
        <v/>
      </c>
      <c r="L175" s="14" t="n"/>
      <c r="M175" s="16" t="n"/>
      <c r="N175" s="124">
        <f>IF(M175="","",COUNTIFS($C$18:$C$2015,M$13,$D$18:$D$2015,"&gt;="&amp;M175,$D$18:$D$2015,"&lt;"&amp;M176))</f>
        <v/>
      </c>
      <c r="O175" s="14" t="n"/>
      <c r="P175" s="16" t="n"/>
      <c r="Q175" s="124">
        <f>IF(P175="","",COUNTIFS($C$18:$C$2015,P$13,$D$18:$D$2015,"&gt;="&amp;P175,$D$18:$D$2015,"&lt;"&amp;P176))</f>
        <v/>
      </c>
      <c r="R175" s="14" t="n"/>
      <c r="S175" s="16" t="n"/>
      <c r="T175" s="124">
        <f>IF(S175="","",COUNTIFS($C$18:$C$2015,S$13,$D$18:$D$2015,"&gt;="&amp;S175,$D$18:$D$2015,"&lt;"&amp;S176))</f>
        <v/>
      </c>
      <c r="U175" s="14" t="n"/>
      <c r="V175" s="16" t="n"/>
      <c r="W175" s="124">
        <f>IF(V175="","",COUNTIFS($C$18:$C$2015,V$13,$D$18:$D$2015,"&gt;="&amp;V175,$D$18:$D$2015,"&lt;"&amp;V176))</f>
        <v/>
      </c>
      <c r="X175" s="14" t="n"/>
      <c r="Y175" s="16" t="n"/>
      <c r="Z175" s="124">
        <f>IF(Y175="","",COUNTIFS($C$18:$C$2015,Y$13,$D$18:$D$2015,"&gt;="&amp;Y175,$D$18:$D$2015,"&lt;"&amp;Y176))</f>
        <v/>
      </c>
      <c r="AA175" s="14" t="n"/>
      <c r="AB175" s="16" t="n"/>
      <c r="AC175" s="124">
        <f>IF(AB175="","",COUNTIFS($C$18:$C$2015,AB$13,$D$18:$D$2015,"&gt;="&amp;AB175,$D$18:$D$2015,"&lt;"&amp;AB176))</f>
        <v/>
      </c>
      <c r="AD175" s="14" t="n"/>
    </row>
    <row r="176">
      <c r="A176" s="56" t="n"/>
      <c r="B176" s="59" t="n"/>
      <c r="C176" s="59" t="n"/>
      <c r="E176" s="16" t="n"/>
      <c r="F176" s="13" t="n"/>
      <c r="G176" s="16" t="n"/>
      <c r="H176" s="124">
        <f>IF(G176="","",COUNTIFS($C$18:$C$2015,G$13,$D$18:$D$2015,"&gt;="&amp;G176,$D$18:$D$2015,"&lt;"&amp;G177))</f>
        <v/>
      </c>
      <c r="I176" s="14" t="n"/>
      <c r="J176" s="16" t="n"/>
      <c r="K176" s="124">
        <f>IF(J176="","",COUNTIFS($C$18:$C$2015,J$13,$D$18:$D$2015,"&gt;="&amp;J176,$D$18:$D$2015,"&lt;"&amp;J177))</f>
        <v/>
      </c>
      <c r="L176" s="14" t="n"/>
      <c r="M176" s="16" t="n"/>
      <c r="N176" s="124">
        <f>IF(M176="","",COUNTIFS($C$18:$C$2015,M$13,$D$18:$D$2015,"&gt;="&amp;M176,$D$18:$D$2015,"&lt;"&amp;M177))</f>
        <v/>
      </c>
      <c r="O176" s="14" t="n"/>
      <c r="P176" s="16" t="n"/>
      <c r="Q176" s="124">
        <f>IF(P176="","",COUNTIFS($C$18:$C$2015,P$13,$D$18:$D$2015,"&gt;="&amp;P176,$D$18:$D$2015,"&lt;"&amp;P177))</f>
        <v/>
      </c>
      <c r="R176" s="14" t="n"/>
      <c r="S176" s="16" t="n"/>
      <c r="T176" s="124">
        <f>IF(S176="","",COUNTIFS($C$18:$C$2015,S$13,$D$18:$D$2015,"&gt;="&amp;S176,$D$18:$D$2015,"&lt;"&amp;S177))</f>
        <v/>
      </c>
      <c r="U176" s="14" t="n"/>
      <c r="V176" s="16" t="n"/>
      <c r="W176" s="124">
        <f>IF(V176="","",COUNTIFS($C$18:$C$2015,V$13,$D$18:$D$2015,"&gt;="&amp;V176,$D$18:$D$2015,"&lt;"&amp;V177))</f>
        <v/>
      </c>
      <c r="X176" s="14" t="n"/>
      <c r="Y176" s="16" t="n"/>
      <c r="Z176" s="124">
        <f>IF(Y176="","",COUNTIFS($C$18:$C$2015,Y$13,$D$18:$D$2015,"&gt;="&amp;Y176,$D$18:$D$2015,"&lt;"&amp;Y177))</f>
        <v/>
      </c>
      <c r="AA176" s="14" t="n"/>
      <c r="AB176" s="16" t="n"/>
      <c r="AC176" s="124">
        <f>IF(AB176="","",COUNTIFS($C$18:$C$2015,AB$13,$D$18:$D$2015,"&gt;="&amp;AB176,$D$18:$D$2015,"&lt;"&amp;AB177))</f>
        <v/>
      </c>
      <c r="AD176" s="14" t="n"/>
    </row>
    <row r="177">
      <c r="A177" s="58" t="n"/>
      <c r="B177" s="59" t="n"/>
      <c r="C177" s="59" t="n"/>
      <c r="E177" s="16" t="n"/>
      <c r="F177" s="13" t="n"/>
      <c r="G177" s="16" t="n"/>
      <c r="H177" s="124">
        <f>IF(G177="","",COUNTIFS($C$18:$C$2015,G$13,$D$18:$D$2015,"&gt;="&amp;G177,$D$18:$D$2015,"&lt;"&amp;G178))</f>
        <v/>
      </c>
      <c r="I177" s="14" t="n"/>
      <c r="J177" s="16" t="n"/>
      <c r="K177" s="124">
        <f>IF(J177="","",COUNTIFS($C$18:$C$2015,J$13,$D$18:$D$2015,"&gt;="&amp;J177,$D$18:$D$2015,"&lt;"&amp;J178))</f>
        <v/>
      </c>
      <c r="L177" s="14" t="n"/>
      <c r="M177" s="16" t="n"/>
      <c r="N177" s="124">
        <f>IF(M177="","",COUNTIFS($C$18:$C$2015,M$13,$D$18:$D$2015,"&gt;="&amp;M177,$D$18:$D$2015,"&lt;"&amp;M178))</f>
        <v/>
      </c>
      <c r="O177" s="14" t="n"/>
      <c r="P177" s="16" t="n"/>
      <c r="Q177" s="124">
        <f>IF(P177="","",COUNTIFS($C$18:$C$2015,P$13,$D$18:$D$2015,"&gt;="&amp;P177,$D$18:$D$2015,"&lt;"&amp;P178))</f>
        <v/>
      </c>
      <c r="R177" s="14" t="n"/>
      <c r="S177" s="16" t="n"/>
      <c r="T177" s="124">
        <f>IF(S177="","",COUNTIFS($C$18:$C$2015,S$13,$D$18:$D$2015,"&gt;="&amp;S177,$D$18:$D$2015,"&lt;"&amp;S178))</f>
        <v/>
      </c>
      <c r="U177" s="14" t="n"/>
      <c r="V177" s="16" t="n"/>
      <c r="W177" s="124">
        <f>IF(V177="","",COUNTIFS($C$18:$C$2015,V$13,$D$18:$D$2015,"&gt;="&amp;V177,$D$18:$D$2015,"&lt;"&amp;V178))</f>
        <v/>
      </c>
      <c r="X177" s="14" t="n"/>
      <c r="Y177" s="16" t="n"/>
      <c r="Z177" s="124">
        <f>IF(Y177="","",COUNTIFS($C$18:$C$2015,Y$13,$D$18:$D$2015,"&gt;="&amp;Y177,$D$18:$D$2015,"&lt;"&amp;Y178))</f>
        <v/>
      </c>
      <c r="AA177" s="14" t="n"/>
      <c r="AB177" s="16" t="n"/>
      <c r="AC177" s="124">
        <f>IF(AB177="","",COUNTIFS($C$18:$C$2015,AB$13,$D$18:$D$2015,"&gt;="&amp;AB177,$D$18:$D$2015,"&lt;"&amp;AB178))</f>
        <v/>
      </c>
      <c r="AD177" s="14" t="n"/>
    </row>
    <row r="178">
      <c r="A178" s="56" t="n"/>
      <c r="B178" s="59" t="n"/>
      <c r="C178" s="59" t="n"/>
      <c r="E178" s="16" t="n"/>
      <c r="F178" s="13" t="n"/>
      <c r="G178" s="16" t="n"/>
      <c r="H178" s="124">
        <f>IF(G178="","",COUNTIFS($C$18:$C$2015,G$13,$D$18:$D$2015,"&gt;="&amp;G178,$D$18:$D$2015,"&lt;"&amp;G179))</f>
        <v/>
      </c>
      <c r="I178" s="14" t="n"/>
      <c r="J178" s="16" t="n"/>
      <c r="K178" s="124">
        <f>IF(J178="","",COUNTIFS($C$18:$C$2015,J$13,$D$18:$D$2015,"&gt;="&amp;J178,$D$18:$D$2015,"&lt;"&amp;J179))</f>
        <v/>
      </c>
      <c r="L178" s="14" t="n"/>
      <c r="M178" s="16" t="n"/>
      <c r="N178" s="124">
        <f>IF(M178="","",COUNTIFS($C$18:$C$2015,M$13,$D$18:$D$2015,"&gt;="&amp;M178,$D$18:$D$2015,"&lt;"&amp;M179))</f>
        <v/>
      </c>
      <c r="O178" s="14" t="n"/>
      <c r="P178" s="16" t="n"/>
      <c r="Q178" s="124">
        <f>IF(P178="","",COUNTIFS($C$18:$C$2015,P$13,$D$18:$D$2015,"&gt;="&amp;P178,$D$18:$D$2015,"&lt;"&amp;P179))</f>
        <v/>
      </c>
      <c r="R178" s="14" t="n"/>
      <c r="S178" s="16" t="n"/>
      <c r="T178" s="124">
        <f>IF(S178="","",COUNTIFS($C$18:$C$2015,S$13,$D$18:$D$2015,"&gt;="&amp;S178,$D$18:$D$2015,"&lt;"&amp;S179))</f>
        <v/>
      </c>
      <c r="U178" s="14" t="n"/>
      <c r="V178" s="16" t="n"/>
      <c r="W178" s="124">
        <f>IF(V178="","",COUNTIFS($C$18:$C$2015,V$13,$D$18:$D$2015,"&gt;="&amp;V178,$D$18:$D$2015,"&lt;"&amp;V179))</f>
        <v/>
      </c>
      <c r="X178" s="14" t="n"/>
      <c r="Y178" s="16" t="n"/>
      <c r="Z178" s="124">
        <f>IF(Y178="","",COUNTIFS($C$18:$C$2015,Y$13,$D$18:$D$2015,"&gt;="&amp;Y178,$D$18:$D$2015,"&lt;"&amp;Y179))</f>
        <v/>
      </c>
      <c r="AA178" s="14" t="n"/>
      <c r="AB178" s="16" t="n"/>
      <c r="AC178" s="124">
        <f>IF(AB178="","",COUNTIFS($C$18:$C$2015,AB$13,$D$18:$D$2015,"&gt;="&amp;AB178,$D$18:$D$2015,"&lt;"&amp;AB179))</f>
        <v/>
      </c>
      <c r="AD178" s="14" t="n"/>
    </row>
    <row r="179">
      <c r="A179" s="58" t="n"/>
      <c r="B179" s="59" t="n"/>
      <c r="C179" s="59" t="n"/>
      <c r="E179" s="16" t="n"/>
      <c r="F179" s="13" t="n"/>
      <c r="G179" s="16" t="n"/>
      <c r="H179" s="124">
        <f>IF(G179="","",COUNTIFS($C$18:$C$2015,G$13,$D$18:$D$2015,"&gt;="&amp;G179,$D$18:$D$2015,"&lt;"&amp;G180))</f>
        <v/>
      </c>
      <c r="I179" s="14" t="n"/>
      <c r="J179" s="16" t="n"/>
      <c r="K179" s="124">
        <f>IF(J179="","",COUNTIFS($C$18:$C$2015,J$13,$D$18:$D$2015,"&gt;="&amp;J179,$D$18:$D$2015,"&lt;"&amp;J180))</f>
        <v/>
      </c>
      <c r="L179" s="14" t="n"/>
      <c r="M179" s="16" t="n"/>
      <c r="N179" s="124">
        <f>IF(M179="","",COUNTIFS($C$18:$C$2015,M$13,$D$18:$D$2015,"&gt;="&amp;M179,$D$18:$D$2015,"&lt;"&amp;M180))</f>
        <v/>
      </c>
      <c r="O179" s="14" t="n"/>
      <c r="P179" s="16" t="n"/>
      <c r="Q179" s="124">
        <f>IF(P179="","",COUNTIFS($C$18:$C$2015,P$13,$D$18:$D$2015,"&gt;="&amp;P179,$D$18:$D$2015,"&lt;"&amp;P180))</f>
        <v/>
      </c>
      <c r="R179" s="14" t="n"/>
      <c r="S179" s="16" t="n"/>
      <c r="T179" s="124">
        <f>IF(S179="","",COUNTIFS($C$18:$C$2015,S$13,$D$18:$D$2015,"&gt;="&amp;S179,$D$18:$D$2015,"&lt;"&amp;S180))</f>
        <v/>
      </c>
      <c r="U179" s="14" t="n"/>
      <c r="V179" s="16" t="n"/>
      <c r="W179" s="124">
        <f>IF(V179="","",COUNTIFS($C$18:$C$2015,V$13,$D$18:$D$2015,"&gt;="&amp;V179,$D$18:$D$2015,"&lt;"&amp;V180))</f>
        <v/>
      </c>
      <c r="X179" s="14" t="n"/>
      <c r="Y179" s="16" t="n"/>
      <c r="Z179" s="124">
        <f>IF(Y179="","",COUNTIFS($C$18:$C$2015,Y$13,$D$18:$D$2015,"&gt;="&amp;Y179,$D$18:$D$2015,"&lt;"&amp;Y180))</f>
        <v/>
      </c>
      <c r="AA179" s="14" t="n"/>
      <c r="AB179" s="16" t="n"/>
      <c r="AC179" s="124">
        <f>IF(AB179="","",COUNTIFS($C$18:$C$2015,AB$13,$D$18:$D$2015,"&gt;="&amp;AB179,$D$18:$D$2015,"&lt;"&amp;AB180))</f>
        <v/>
      </c>
      <c r="AD179" s="14" t="n"/>
    </row>
    <row r="180">
      <c r="A180" s="56" t="n"/>
      <c r="B180" s="59" t="n"/>
      <c r="C180" s="59" t="n"/>
      <c r="E180" s="16" t="n"/>
      <c r="F180" s="13" t="n"/>
      <c r="G180" s="16" t="n"/>
      <c r="H180" s="124">
        <f>IF(G180="","",COUNTIFS($C$18:$C$2015,G$13,$D$18:$D$2015,"&gt;="&amp;G180,$D$18:$D$2015,"&lt;"&amp;G181))</f>
        <v/>
      </c>
      <c r="I180" s="14" t="n"/>
      <c r="J180" s="16" t="n"/>
      <c r="K180" s="124">
        <f>IF(J180="","",COUNTIFS($C$18:$C$2015,J$13,$D$18:$D$2015,"&gt;="&amp;J180,$D$18:$D$2015,"&lt;"&amp;J181))</f>
        <v/>
      </c>
      <c r="L180" s="14" t="n"/>
      <c r="M180" s="16" t="n"/>
      <c r="N180" s="124">
        <f>IF(M180="","",COUNTIFS($C$18:$C$2015,M$13,$D$18:$D$2015,"&gt;="&amp;M180,$D$18:$D$2015,"&lt;"&amp;M181))</f>
        <v/>
      </c>
      <c r="O180" s="14" t="n"/>
      <c r="P180" s="16" t="n"/>
      <c r="Q180" s="124">
        <f>IF(P180="","",COUNTIFS($C$18:$C$2015,P$13,$D$18:$D$2015,"&gt;="&amp;P180,$D$18:$D$2015,"&lt;"&amp;P181))</f>
        <v/>
      </c>
      <c r="R180" s="14" t="n"/>
      <c r="S180" s="16" t="n"/>
      <c r="T180" s="124">
        <f>IF(S180="","",COUNTIFS($C$18:$C$2015,S$13,$D$18:$D$2015,"&gt;="&amp;S180,$D$18:$D$2015,"&lt;"&amp;S181))</f>
        <v/>
      </c>
      <c r="U180" s="14" t="n"/>
      <c r="V180" s="16" t="n"/>
      <c r="W180" s="124">
        <f>IF(V180="","",COUNTIFS($C$18:$C$2015,V$13,$D$18:$D$2015,"&gt;="&amp;V180,$D$18:$D$2015,"&lt;"&amp;V181))</f>
        <v/>
      </c>
      <c r="X180" s="14" t="n"/>
      <c r="Y180" s="16" t="n"/>
      <c r="Z180" s="124">
        <f>IF(Y180="","",COUNTIFS($C$18:$C$2015,Y$13,$D$18:$D$2015,"&gt;="&amp;Y180,$D$18:$D$2015,"&lt;"&amp;Y181))</f>
        <v/>
      </c>
      <c r="AA180" s="14" t="n"/>
      <c r="AB180" s="16" t="n"/>
      <c r="AC180" s="124">
        <f>IF(AB180="","",COUNTIFS($C$18:$C$2015,AB$13,$D$18:$D$2015,"&gt;="&amp;AB180,$D$18:$D$2015,"&lt;"&amp;AB181))</f>
        <v/>
      </c>
      <c r="AD180" s="14" t="n"/>
    </row>
    <row r="181">
      <c r="A181" s="58" t="n"/>
      <c r="B181" s="59" t="n"/>
      <c r="C181" s="59" t="n"/>
      <c r="E181" s="16" t="n"/>
      <c r="F181" s="13" t="n"/>
      <c r="G181" s="16" t="n"/>
      <c r="H181" s="124">
        <f>IF(G181="","",COUNTIFS($C$18:$C$2015,G$13,$D$18:$D$2015,"&gt;="&amp;G181,$D$18:$D$2015,"&lt;"&amp;G182))</f>
        <v/>
      </c>
      <c r="I181" s="14" t="n"/>
      <c r="J181" s="16" t="n"/>
      <c r="K181" s="124">
        <f>IF(J181="","",COUNTIFS($C$18:$C$2015,J$13,$D$18:$D$2015,"&gt;="&amp;J181,$D$18:$D$2015,"&lt;"&amp;J182))</f>
        <v/>
      </c>
      <c r="L181" s="14" t="n"/>
      <c r="M181" s="16" t="n"/>
      <c r="N181" s="124">
        <f>IF(M181="","",COUNTIFS($C$18:$C$2015,M$13,$D$18:$D$2015,"&gt;="&amp;M181,$D$18:$D$2015,"&lt;"&amp;M182))</f>
        <v/>
      </c>
      <c r="O181" s="14" t="n"/>
      <c r="P181" s="16" t="n"/>
      <c r="Q181" s="124">
        <f>IF(P181="","",COUNTIFS($C$18:$C$2015,P$13,$D$18:$D$2015,"&gt;="&amp;P181,$D$18:$D$2015,"&lt;"&amp;P182))</f>
        <v/>
      </c>
      <c r="R181" s="14" t="n"/>
      <c r="S181" s="16" t="n"/>
      <c r="T181" s="124">
        <f>IF(S181="","",COUNTIFS($C$18:$C$2015,S$13,$D$18:$D$2015,"&gt;="&amp;S181,$D$18:$D$2015,"&lt;"&amp;S182))</f>
        <v/>
      </c>
      <c r="U181" s="14" t="n"/>
      <c r="V181" s="16" t="n"/>
      <c r="W181" s="124">
        <f>IF(V181="","",COUNTIFS($C$18:$C$2015,V$13,$D$18:$D$2015,"&gt;="&amp;V181,$D$18:$D$2015,"&lt;"&amp;V182))</f>
        <v/>
      </c>
      <c r="X181" s="14" t="n"/>
      <c r="Y181" s="16" t="n"/>
      <c r="Z181" s="124">
        <f>IF(Y181="","",COUNTIFS($C$18:$C$2015,Y$13,$D$18:$D$2015,"&gt;="&amp;Y181,$D$18:$D$2015,"&lt;"&amp;Y182))</f>
        <v/>
      </c>
      <c r="AA181" s="14" t="n"/>
      <c r="AB181" s="16" t="n"/>
      <c r="AC181" s="124">
        <f>IF(AB181="","",COUNTIFS($C$18:$C$2015,AB$13,$D$18:$D$2015,"&gt;="&amp;AB181,$D$18:$D$2015,"&lt;"&amp;AB182))</f>
        <v/>
      </c>
      <c r="AD181" s="14" t="n"/>
    </row>
    <row r="182">
      <c r="A182" s="56" t="n"/>
      <c r="B182" s="59" t="n"/>
      <c r="C182" s="59" t="n"/>
      <c r="E182" s="16" t="n"/>
      <c r="F182" s="13" t="n"/>
      <c r="G182" s="16" t="n"/>
      <c r="H182" s="124">
        <f>IF(G182="","",COUNTIFS($C$18:$C$2015,G$13,$D$18:$D$2015,"&gt;="&amp;G182,$D$18:$D$2015,"&lt;"&amp;G183))</f>
        <v/>
      </c>
      <c r="I182" s="14" t="n"/>
      <c r="J182" s="16" t="n"/>
      <c r="K182" s="124">
        <f>IF(J182="","",COUNTIFS($C$18:$C$2015,J$13,$D$18:$D$2015,"&gt;="&amp;J182,$D$18:$D$2015,"&lt;"&amp;J183))</f>
        <v/>
      </c>
      <c r="L182" s="14" t="n"/>
      <c r="M182" s="16" t="n"/>
      <c r="N182" s="124">
        <f>IF(M182="","",COUNTIFS($C$18:$C$2015,M$13,$D$18:$D$2015,"&gt;="&amp;M182,$D$18:$D$2015,"&lt;"&amp;M183))</f>
        <v/>
      </c>
      <c r="O182" s="14" t="n"/>
      <c r="P182" s="16" t="n"/>
      <c r="Q182" s="124">
        <f>IF(P182="","",COUNTIFS($C$18:$C$2015,P$13,$D$18:$D$2015,"&gt;="&amp;P182,$D$18:$D$2015,"&lt;"&amp;P183))</f>
        <v/>
      </c>
      <c r="R182" s="14" t="n"/>
      <c r="S182" s="16" t="n"/>
      <c r="T182" s="124">
        <f>IF(S182="","",COUNTIFS($C$18:$C$2015,S$13,$D$18:$D$2015,"&gt;="&amp;S182,$D$18:$D$2015,"&lt;"&amp;S183))</f>
        <v/>
      </c>
      <c r="U182" s="14" t="n"/>
      <c r="V182" s="16" t="n"/>
      <c r="W182" s="124">
        <f>IF(V182="","",COUNTIFS($C$18:$C$2015,V$13,$D$18:$D$2015,"&gt;="&amp;V182,$D$18:$D$2015,"&lt;"&amp;V183))</f>
        <v/>
      </c>
      <c r="X182" s="14" t="n"/>
      <c r="Y182" s="16" t="n"/>
      <c r="Z182" s="124">
        <f>IF(Y182="","",COUNTIFS($C$18:$C$2015,Y$13,$D$18:$D$2015,"&gt;="&amp;Y182,$D$18:$D$2015,"&lt;"&amp;Y183))</f>
        <v/>
      </c>
      <c r="AA182" s="14" t="n"/>
      <c r="AB182" s="16" t="n"/>
      <c r="AC182" s="124">
        <f>IF(AB182="","",COUNTIFS($C$18:$C$2015,AB$13,$D$18:$D$2015,"&gt;="&amp;AB182,$D$18:$D$2015,"&lt;"&amp;AB183))</f>
        <v/>
      </c>
      <c r="AD182" s="14" t="n"/>
    </row>
    <row r="183">
      <c r="A183" s="58" t="n"/>
      <c r="B183" s="59" t="n"/>
      <c r="C183" s="59" t="n"/>
      <c r="E183" s="16" t="n"/>
      <c r="F183" s="13" t="n"/>
      <c r="G183" s="16" t="n"/>
      <c r="H183" s="124">
        <f>IF(G183="","",COUNTIFS($C$18:$C$2015,G$13,$D$18:$D$2015,"&gt;="&amp;G183,$D$18:$D$2015,"&lt;"&amp;G184))</f>
        <v/>
      </c>
      <c r="I183" s="14" t="n"/>
      <c r="J183" s="16" t="n"/>
      <c r="K183" s="124">
        <f>IF(J183="","",COUNTIFS($C$18:$C$2015,J$13,$D$18:$D$2015,"&gt;="&amp;J183,$D$18:$D$2015,"&lt;"&amp;J184))</f>
        <v/>
      </c>
      <c r="L183" s="14" t="n"/>
      <c r="M183" s="16" t="n"/>
      <c r="N183" s="124">
        <f>IF(M183="","",COUNTIFS($C$18:$C$2015,M$13,$D$18:$D$2015,"&gt;="&amp;M183,$D$18:$D$2015,"&lt;"&amp;M184))</f>
        <v/>
      </c>
      <c r="O183" s="14" t="n"/>
      <c r="P183" s="16" t="n"/>
      <c r="Q183" s="124">
        <f>IF(P183="","",COUNTIFS($C$18:$C$2015,P$13,$D$18:$D$2015,"&gt;="&amp;P183,$D$18:$D$2015,"&lt;"&amp;P184))</f>
        <v/>
      </c>
      <c r="R183" s="14" t="n"/>
      <c r="S183" s="16" t="n"/>
      <c r="T183" s="124">
        <f>IF(S183="","",COUNTIFS($C$18:$C$2015,S$13,$D$18:$D$2015,"&gt;="&amp;S183,$D$18:$D$2015,"&lt;"&amp;S184))</f>
        <v/>
      </c>
      <c r="U183" s="14" t="n"/>
      <c r="V183" s="16" t="n"/>
      <c r="W183" s="124">
        <f>IF(V183="","",COUNTIFS($C$18:$C$2015,V$13,$D$18:$D$2015,"&gt;="&amp;V183,$D$18:$D$2015,"&lt;"&amp;V184))</f>
        <v/>
      </c>
      <c r="X183" s="14" t="n"/>
      <c r="Y183" s="16" t="n"/>
      <c r="Z183" s="124">
        <f>IF(Y183="","",COUNTIFS($C$18:$C$2015,Y$13,$D$18:$D$2015,"&gt;="&amp;Y183,$D$18:$D$2015,"&lt;"&amp;Y184))</f>
        <v/>
      </c>
      <c r="AA183" s="14" t="n"/>
      <c r="AB183" s="16" t="n"/>
      <c r="AC183" s="124">
        <f>IF(AB183="","",COUNTIFS($C$18:$C$2015,AB$13,$D$18:$D$2015,"&gt;="&amp;AB183,$D$18:$D$2015,"&lt;"&amp;AB184))</f>
        <v/>
      </c>
      <c r="AD183" s="14" t="n"/>
    </row>
    <row r="184">
      <c r="A184" s="56" t="n"/>
      <c r="B184" s="59" t="n"/>
      <c r="C184" s="59" t="n"/>
      <c r="E184" s="16" t="n"/>
      <c r="F184" s="13" t="n"/>
      <c r="G184" s="16" t="n"/>
      <c r="H184" s="124">
        <f>IF(G184="","",COUNTIFS($C$18:$C$2015,G$13,$D$18:$D$2015,"&gt;="&amp;G184,$D$18:$D$2015,"&lt;"&amp;G185))</f>
        <v/>
      </c>
      <c r="I184" s="14" t="n"/>
      <c r="J184" s="16" t="n"/>
      <c r="K184" s="124">
        <f>IF(J184="","",COUNTIFS($C$18:$C$2015,J$13,$D$18:$D$2015,"&gt;="&amp;J184,$D$18:$D$2015,"&lt;"&amp;J185))</f>
        <v/>
      </c>
      <c r="L184" s="14" t="n"/>
      <c r="M184" s="16" t="n"/>
      <c r="N184" s="124">
        <f>IF(M184="","",COUNTIFS($C$18:$C$2015,M$13,$D$18:$D$2015,"&gt;="&amp;M184,$D$18:$D$2015,"&lt;"&amp;M185))</f>
        <v/>
      </c>
      <c r="O184" s="14" t="n"/>
      <c r="P184" s="16" t="n"/>
      <c r="Q184" s="124">
        <f>IF(P184="","",COUNTIFS($C$18:$C$2015,P$13,$D$18:$D$2015,"&gt;="&amp;P184,$D$18:$D$2015,"&lt;"&amp;P185))</f>
        <v/>
      </c>
      <c r="R184" s="14" t="n"/>
      <c r="S184" s="16" t="n"/>
      <c r="T184" s="124">
        <f>IF(S184="","",COUNTIFS($C$18:$C$2015,S$13,$D$18:$D$2015,"&gt;="&amp;S184,$D$18:$D$2015,"&lt;"&amp;S185))</f>
        <v/>
      </c>
      <c r="U184" s="14" t="n"/>
      <c r="V184" s="16" t="n"/>
      <c r="W184" s="124">
        <f>IF(V184="","",COUNTIFS($C$18:$C$2015,V$13,$D$18:$D$2015,"&gt;="&amp;V184,$D$18:$D$2015,"&lt;"&amp;V185))</f>
        <v/>
      </c>
      <c r="X184" s="14" t="n"/>
      <c r="Y184" s="16" t="n"/>
      <c r="Z184" s="124">
        <f>IF(Y184="","",COUNTIFS($C$18:$C$2015,Y$13,$D$18:$D$2015,"&gt;="&amp;Y184,$D$18:$D$2015,"&lt;"&amp;Y185))</f>
        <v/>
      </c>
      <c r="AA184" s="14" t="n"/>
      <c r="AB184" s="16" t="n"/>
      <c r="AC184" s="124">
        <f>IF(AB184="","",COUNTIFS($C$18:$C$2015,AB$13,$D$18:$D$2015,"&gt;="&amp;AB184,$D$18:$D$2015,"&lt;"&amp;AB185))</f>
        <v/>
      </c>
      <c r="AD184" s="14" t="n"/>
    </row>
    <row r="185">
      <c r="A185" s="58" t="n"/>
      <c r="B185" s="59" t="n"/>
      <c r="C185" s="59" t="n"/>
      <c r="E185" s="16" t="n"/>
      <c r="F185" s="13" t="n"/>
      <c r="G185" s="16" t="n"/>
      <c r="H185" s="124">
        <f>IF(G185="","",COUNTIFS($C$18:$C$2015,G$13,$D$18:$D$2015,"&gt;="&amp;G185,$D$18:$D$2015,"&lt;"&amp;G186))</f>
        <v/>
      </c>
      <c r="I185" s="14" t="n"/>
      <c r="J185" s="16" t="n"/>
      <c r="K185" s="124">
        <f>IF(J185="","",COUNTIFS($C$18:$C$2015,J$13,$D$18:$D$2015,"&gt;="&amp;J185,$D$18:$D$2015,"&lt;"&amp;J186))</f>
        <v/>
      </c>
      <c r="L185" s="14" t="n"/>
      <c r="M185" s="16" t="n"/>
      <c r="N185" s="124">
        <f>IF(M185="","",COUNTIFS($C$18:$C$2015,M$13,$D$18:$D$2015,"&gt;="&amp;M185,$D$18:$D$2015,"&lt;"&amp;M186))</f>
        <v/>
      </c>
      <c r="O185" s="14" t="n"/>
      <c r="P185" s="16" t="n"/>
      <c r="Q185" s="124">
        <f>IF(P185="","",COUNTIFS($C$18:$C$2015,P$13,$D$18:$D$2015,"&gt;="&amp;P185,$D$18:$D$2015,"&lt;"&amp;P186))</f>
        <v/>
      </c>
      <c r="R185" s="14" t="n"/>
      <c r="S185" s="16" t="n"/>
      <c r="T185" s="124">
        <f>IF(S185="","",COUNTIFS($C$18:$C$2015,S$13,$D$18:$D$2015,"&gt;="&amp;S185,$D$18:$D$2015,"&lt;"&amp;S186))</f>
        <v/>
      </c>
      <c r="U185" s="14" t="n"/>
      <c r="V185" s="16" t="n"/>
      <c r="W185" s="124">
        <f>IF(V185="","",COUNTIFS($C$18:$C$2015,V$13,$D$18:$D$2015,"&gt;="&amp;V185,$D$18:$D$2015,"&lt;"&amp;V186))</f>
        <v/>
      </c>
      <c r="X185" s="14" t="n"/>
      <c r="Y185" s="16" t="n"/>
      <c r="Z185" s="124">
        <f>IF(Y185="","",COUNTIFS($C$18:$C$2015,Y$13,$D$18:$D$2015,"&gt;="&amp;Y185,$D$18:$D$2015,"&lt;"&amp;Y186))</f>
        <v/>
      </c>
      <c r="AA185" s="14" t="n"/>
      <c r="AB185" s="16" t="n"/>
      <c r="AC185" s="124">
        <f>IF(AB185="","",COUNTIFS($C$18:$C$2015,AB$13,$D$18:$D$2015,"&gt;="&amp;AB185,$D$18:$D$2015,"&lt;"&amp;AB186))</f>
        <v/>
      </c>
      <c r="AD185" s="14" t="n"/>
    </row>
    <row r="186">
      <c r="A186" s="56" t="n"/>
      <c r="B186" s="59" t="n"/>
      <c r="C186" s="59" t="n"/>
      <c r="E186" s="16" t="n"/>
      <c r="F186" s="13" t="n"/>
      <c r="G186" s="16" t="n"/>
      <c r="H186" s="124">
        <f>IF(G186="","",COUNTIFS($C$18:$C$2015,G$13,$D$18:$D$2015,"&gt;="&amp;G186,$D$18:$D$2015,"&lt;"&amp;G187))</f>
        <v/>
      </c>
      <c r="I186" s="14" t="n"/>
      <c r="J186" s="16" t="n"/>
      <c r="K186" s="124">
        <f>IF(J186="","",COUNTIFS($C$18:$C$2015,J$13,$D$18:$D$2015,"&gt;="&amp;J186,$D$18:$D$2015,"&lt;"&amp;J187))</f>
        <v/>
      </c>
      <c r="L186" s="14" t="n"/>
      <c r="M186" s="16" t="n"/>
      <c r="N186" s="124">
        <f>IF(M186="","",COUNTIFS($C$18:$C$2015,M$13,$D$18:$D$2015,"&gt;="&amp;M186,$D$18:$D$2015,"&lt;"&amp;M187))</f>
        <v/>
      </c>
      <c r="O186" s="14" t="n"/>
      <c r="P186" s="16" t="n"/>
      <c r="Q186" s="124">
        <f>IF(P186="","",COUNTIFS($C$18:$C$2015,P$13,$D$18:$D$2015,"&gt;="&amp;P186,$D$18:$D$2015,"&lt;"&amp;P187))</f>
        <v/>
      </c>
      <c r="R186" s="14" t="n"/>
      <c r="S186" s="16" t="n"/>
      <c r="T186" s="124">
        <f>IF(S186="","",COUNTIFS($C$18:$C$2015,S$13,$D$18:$D$2015,"&gt;="&amp;S186,$D$18:$D$2015,"&lt;"&amp;S187))</f>
        <v/>
      </c>
      <c r="U186" s="14" t="n"/>
      <c r="V186" s="16" t="n"/>
      <c r="W186" s="124">
        <f>IF(V186="","",COUNTIFS($C$18:$C$2015,V$13,$D$18:$D$2015,"&gt;="&amp;V186,$D$18:$D$2015,"&lt;"&amp;V187))</f>
        <v/>
      </c>
      <c r="X186" s="14" t="n"/>
      <c r="Y186" s="16" t="n"/>
      <c r="Z186" s="124">
        <f>IF(Y186="","",COUNTIFS($C$18:$C$2015,Y$13,$D$18:$D$2015,"&gt;="&amp;Y186,$D$18:$D$2015,"&lt;"&amp;Y187))</f>
        <v/>
      </c>
      <c r="AA186" s="14" t="n"/>
      <c r="AB186" s="16" t="n"/>
      <c r="AC186" s="124">
        <f>IF(AB186="","",COUNTIFS($C$18:$C$2015,AB$13,$D$18:$D$2015,"&gt;="&amp;AB186,$D$18:$D$2015,"&lt;"&amp;AB187))</f>
        <v/>
      </c>
      <c r="AD186" s="14" t="n"/>
    </row>
    <row r="187">
      <c r="A187" s="58" t="n"/>
      <c r="B187" s="59" t="n"/>
      <c r="C187" s="59" t="n"/>
      <c r="E187" s="16" t="n"/>
      <c r="F187" s="13" t="n"/>
      <c r="G187" s="16" t="n"/>
      <c r="H187" s="124">
        <f>IF(G187="","",COUNTIFS($C$18:$C$2015,G$13,$D$18:$D$2015,"&gt;="&amp;G187,$D$18:$D$2015,"&lt;"&amp;G188))</f>
        <v/>
      </c>
      <c r="I187" s="14" t="n"/>
      <c r="J187" s="16" t="n"/>
      <c r="K187" s="124">
        <f>IF(J187="","",COUNTIFS($C$18:$C$2015,J$13,$D$18:$D$2015,"&gt;="&amp;J187,$D$18:$D$2015,"&lt;"&amp;J188))</f>
        <v/>
      </c>
      <c r="L187" s="14" t="n"/>
      <c r="M187" s="16" t="n"/>
      <c r="N187" s="124">
        <f>IF(M187="","",COUNTIFS($C$18:$C$2015,M$13,$D$18:$D$2015,"&gt;="&amp;M187,$D$18:$D$2015,"&lt;"&amp;M188))</f>
        <v/>
      </c>
      <c r="O187" s="14" t="n"/>
      <c r="P187" s="16" t="n"/>
      <c r="Q187" s="124">
        <f>IF(P187="","",COUNTIFS($C$18:$C$2015,P$13,$D$18:$D$2015,"&gt;="&amp;P187,$D$18:$D$2015,"&lt;"&amp;P188))</f>
        <v/>
      </c>
      <c r="R187" s="14" t="n"/>
      <c r="S187" s="16" t="n"/>
      <c r="T187" s="124">
        <f>IF(S187="","",COUNTIFS($C$18:$C$2015,S$13,$D$18:$D$2015,"&gt;="&amp;S187,$D$18:$D$2015,"&lt;"&amp;S188))</f>
        <v/>
      </c>
      <c r="U187" s="14" t="n"/>
      <c r="V187" s="16" t="n"/>
      <c r="W187" s="124">
        <f>IF(V187="","",COUNTIFS($C$18:$C$2015,V$13,$D$18:$D$2015,"&gt;="&amp;V187,$D$18:$D$2015,"&lt;"&amp;V188))</f>
        <v/>
      </c>
      <c r="X187" s="14" t="n"/>
      <c r="Y187" s="16" t="n"/>
      <c r="Z187" s="124">
        <f>IF(Y187="","",COUNTIFS($C$18:$C$2015,Y$13,$D$18:$D$2015,"&gt;="&amp;Y187,$D$18:$D$2015,"&lt;"&amp;Y188))</f>
        <v/>
      </c>
      <c r="AA187" s="14" t="n"/>
      <c r="AB187" s="16" t="n"/>
      <c r="AC187" s="124">
        <f>IF(AB187="","",COUNTIFS($C$18:$C$2015,AB$13,$D$18:$D$2015,"&gt;="&amp;AB187,$D$18:$D$2015,"&lt;"&amp;AB188))</f>
        <v/>
      </c>
      <c r="AD187" s="14" t="n"/>
    </row>
    <row r="188">
      <c r="A188" s="56" t="n"/>
      <c r="B188" s="59" t="n"/>
      <c r="C188" s="59" t="n"/>
      <c r="E188" s="16" t="n"/>
      <c r="F188" s="13" t="n"/>
      <c r="G188" s="16" t="n"/>
      <c r="H188" s="124">
        <f>IF(G188="","",COUNTIFS($C$18:$C$2015,G$13,$D$18:$D$2015,"&gt;="&amp;G188,$D$18:$D$2015,"&lt;"&amp;G189))</f>
        <v/>
      </c>
      <c r="I188" s="14" t="n"/>
      <c r="J188" s="16" t="n"/>
      <c r="K188" s="124">
        <f>IF(J188="","",COUNTIFS($C$18:$C$2015,J$13,$D$18:$D$2015,"&gt;="&amp;J188,$D$18:$D$2015,"&lt;"&amp;J189))</f>
        <v/>
      </c>
      <c r="L188" s="14" t="n"/>
      <c r="M188" s="16" t="n"/>
      <c r="N188" s="124">
        <f>IF(M188="","",COUNTIFS($C$18:$C$2015,M$13,$D$18:$D$2015,"&gt;="&amp;M188,$D$18:$D$2015,"&lt;"&amp;M189))</f>
        <v/>
      </c>
      <c r="O188" s="14" t="n"/>
      <c r="P188" s="16" t="n"/>
      <c r="Q188" s="124">
        <f>IF(P188="","",COUNTIFS($C$18:$C$2015,P$13,$D$18:$D$2015,"&gt;="&amp;P188,$D$18:$D$2015,"&lt;"&amp;P189))</f>
        <v/>
      </c>
      <c r="R188" s="14" t="n"/>
      <c r="S188" s="16" t="n"/>
      <c r="T188" s="124">
        <f>IF(S188="","",COUNTIFS($C$18:$C$2015,S$13,$D$18:$D$2015,"&gt;="&amp;S188,$D$18:$D$2015,"&lt;"&amp;S189))</f>
        <v/>
      </c>
      <c r="U188" s="14" t="n"/>
      <c r="V188" s="16" t="n"/>
      <c r="W188" s="124">
        <f>IF(V188="","",COUNTIFS($C$18:$C$2015,V$13,$D$18:$D$2015,"&gt;="&amp;V188,$D$18:$D$2015,"&lt;"&amp;V189))</f>
        <v/>
      </c>
      <c r="X188" s="14" t="n"/>
      <c r="Y188" s="16" t="n"/>
      <c r="Z188" s="124">
        <f>IF(Y188="","",COUNTIFS($C$18:$C$2015,Y$13,$D$18:$D$2015,"&gt;="&amp;Y188,$D$18:$D$2015,"&lt;"&amp;Y189))</f>
        <v/>
      </c>
      <c r="AA188" s="14" t="n"/>
      <c r="AB188" s="16" t="n"/>
      <c r="AC188" s="124">
        <f>IF(AB188="","",COUNTIFS($C$18:$C$2015,AB$13,$D$18:$D$2015,"&gt;="&amp;AB188,$D$18:$D$2015,"&lt;"&amp;AB189))</f>
        <v/>
      </c>
      <c r="AD188" s="14" t="n"/>
    </row>
    <row r="189">
      <c r="A189" s="58" t="n"/>
      <c r="B189" s="59" t="n"/>
      <c r="C189" s="59" t="n"/>
      <c r="E189" s="16" t="n"/>
      <c r="F189" s="13" t="n"/>
      <c r="G189" s="16" t="n"/>
      <c r="H189" s="124">
        <f>IF(G189="","",COUNTIFS($C$18:$C$2015,G$13,$D$18:$D$2015,"&gt;="&amp;G189,$D$18:$D$2015,"&lt;"&amp;G190))</f>
        <v/>
      </c>
      <c r="I189" s="14" t="n"/>
      <c r="J189" s="16" t="n"/>
      <c r="K189" s="124">
        <f>IF(J189="","",COUNTIFS($C$18:$C$2015,J$13,$D$18:$D$2015,"&gt;="&amp;J189,$D$18:$D$2015,"&lt;"&amp;J190))</f>
        <v/>
      </c>
      <c r="L189" s="14" t="n"/>
      <c r="M189" s="16" t="n"/>
      <c r="N189" s="124">
        <f>IF(M189="","",COUNTIFS($C$18:$C$2015,M$13,$D$18:$D$2015,"&gt;="&amp;M189,$D$18:$D$2015,"&lt;"&amp;M190))</f>
        <v/>
      </c>
      <c r="O189" s="14" t="n"/>
      <c r="P189" s="16" t="n"/>
      <c r="Q189" s="124">
        <f>IF(P189="","",COUNTIFS($C$18:$C$2015,P$13,$D$18:$D$2015,"&gt;="&amp;P189,$D$18:$D$2015,"&lt;"&amp;P190))</f>
        <v/>
      </c>
      <c r="R189" s="14" t="n"/>
      <c r="S189" s="16" t="n"/>
      <c r="T189" s="124">
        <f>IF(S189="","",COUNTIFS($C$18:$C$2015,S$13,$D$18:$D$2015,"&gt;="&amp;S189,$D$18:$D$2015,"&lt;"&amp;S190))</f>
        <v/>
      </c>
      <c r="U189" s="14" t="n"/>
      <c r="V189" s="16" t="n"/>
      <c r="W189" s="124">
        <f>IF(V189="","",COUNTIFS($C$18:$C$2015,V$13,$D$18:$D$2015,"&gt;="&amp;V189,$D$18:$D$2015,"&lt;"&amp;V190))</f>
        <v/>
      </c>
      <c r="X189" s="14" t="n"/>
      <c r="Y189" s="16" t="n"/>
      <c r="Z189" s="124">
        <f>IF(Y189="","",COUNTIFS($C$18:$C$2015,Y$13,$D$18:$D$2015,"&gt;="&amp;Y189,$D$18:$D$2015,"&lt;"&amp;Y190))</f>
        <v/>
      </c>
      <c r="AA189" s="14" t="n"/>
      <c r="AB189" s="16" t="n"/>
      <c r="AC189" s="124">
        <f>IF(AB189="","",COUNTIFS($C$18:$C$2015,AB$13,$D$18:$D$2015,"&gt;="&amp;AB189,$D$18:$D$2015,"&lt;"&amp;AB190))</f>
        <v/>
      </c>
      <c r="AD189" s="14" t="n"/>
    </row>
    <row r="190">
      <c r="A190" s="56" t="n"/>
      <c r="B190" s="59" t="n"/>
      <c r="C190" s="59" t="n"/>
      <c r="E190" s="16" t="n"/>
      <c r="F190" s="13" t="n"/>
      <c r="G190" s="16" t="n"/>
      <c r="H190" s="124">
        <f>IF(G190="","",COUNTIFS($C$18:$C$2015,G$13,$D$18:$D$2015,"&gt;="&amp;G190,$D$18:$D$2015,"&lt;"&amp;G191))</f>
        <v/>
      </c>
      <c r="I190" s="14" t="n"/>
      <c r="J190" s="16" t="n"/>
      <c r="K190" s="124">
        <f>IF(J190="","",COUNTIFS($C$18:$C$2015,J$13,$D$18:$D$2015,"&gt;="&amp;J190,$D$18:$D$2015,"&lt;"&amp;J191))</f>
        <v/>
      </c>
      <c r="L190" s="14" t="n"/>
      <c r="M190" s="16" t="n"/>
      <c r="N190" s="124">
        <f>IF(M190="","",COUNTIFS($C$18:$C$2015,M$13,$D$18:$D$2015,"&gt;="&amp;M190,$D$18:$D$2015,"&lt;"&amp;M191))</f>
        <v/>
      </c>
      <c r="O190" s="14" t="n"/>
      <c r="P190" s="16" t="n"/>
      <c r="Q190" s="124">
        <f>IF(P190="","",COUNTIFS($C$18:$C$2015,P$13,$D$18:$D$2015,"&gt;="&amp;P190,$D$18:$D$2015,"&lt;"&amp;P191))</f>
        <v/>
      </c>
      <c r="R190" s="14" t="n"/>
      <c r="S190" s="16" t="n"/>
      <c r="T190" s="124">
        <f>IF(S190="","",COUNTIFS($C$18:$C$2015,S$13,$D$18:$D$2015,"&gt;="&amp;S190,$D$18:$D$2015,"&lt;"&amp;S191))</f>
        <v/>
      </c>
      <c r="U190" s="14" t="n"/>
      <c r="V190" s="16" t="n"/>
      <c r="W190" s="124">
        <f>IF(V190="","",COUNTIFS($C$18:$C$2015,V$13,$D$18:$D$2015,"&gt;="&amp;V190,$D$18:$D$2015,"&lt;"&amp;V191))</f>
        <v/>
      </c>
      <c r="X190" s="14" t="n"/>
      <c r="Y190" s="16" t="n"/>
      <c r="Z190" s="124">
        <f>IF(Y190="","",COUNTIFS($C$18:$C$2015,Y$13,$D$18:$D$2015,"&gt;="&amp;Y190,$D$18:$D$2015,"&lt;"&amp;Y191))</f>
        <v/>
      </c>
      <c r="AA190" s="14" t="n"/>
      <c r="AB190" s="16" t="n"/>
      <c r="AC190" s="124">
        <f>IF(AB190="","",COUNTIFS($C$18:$C$2015,AB$13,$D$18:$D$2015,"&gt;="&amp;AB190,$D$18:$D$2015,"&lt;"&amp;AB191))</f>
        <v/>
      </c>
      <c r="AD190" s="14" t="n"/>
    </row>
    <row r="191">
      <c r="A191" s="58" t="n"/>
      <c r="B191" s="59" t="n"/>
      <c r="C191" s="59" t="n"/>
      <c r="E191" s="16" t="n"/>
      <c r="F191" s="13" t="n"/>
      <c r="G191" s="16" t="n"/>
      <c r="H191" s="124">
        <f>IF(G191="","",COUNTIFS($C$18:$C$2015,G$13,$D$18:$D$2015,"&gt;="&amp;G191,$D$18:$D$2015,"&lt;"&amp;G192))</f>
        <v/>
      </c>
      <c r="I191" s="14" t="n"/>
      <c r="J191" s="16" t="n"/>
      <c r="K191" s="124">
        <f>IF(J191="","",COUNTIFS($C$18:$C$2015,J$13,$D$18:$D$2015,"&gt;="&amp;J191,$D$18:$D$2015,"&lt;"&amp;J192))</f>
        <v/>
      </c>
      <c r="L191" s="14" t="n"/>
      <c r="M191" s="16" t="n"/>
      <c r="N191" s="124">
        <f>IF(M191="","",COUNTIFS($C$18:$C$2015,M$13,$D$18:$D$2015,"&gt;="&amp;M191,$D$18:$D$2015,"&lt;"&amp;M192))</f>
        <v/>
      </c>
      <c r="O191" s="14" t="n"/>
      <c r="P191" s="16" t="n"/>
      <c r="Q191" s="124">
        <f>IF(P191="","",COUNTIFS($C$18:$C$2015,P$13,$D$18:$D$2015,"&gt;="&amp;P191,$D$18:$D$2015,"&lt;"&amp;P192))</f>
        <v/>
      </c>
      <c r="R191" s="14" t="n"/>
      <c r="S191" s="16" t="n"/>
      <c r="T191" s="124">
        <f>IF(S191="","",COUNTIFS($C$18:$C$2015,S$13,$D$18:$D$2015,"&gt;="&amp;S191,$D$18:$D$2015,"&lt;"&amp;S192))</f>
        <v/>
      </c>
      <c r="U191" s="14" t="n"/>
      <c r="V191" s="16" t="n"/>
      <c r="W191" s="124">
        <f>IF(V191="","",COUNTIFS($C$18:$C$2015,V$13,$D$18:$D$2015,"&gt;="&amp;V191,$D$18:$D$2015,"&lt;"&amp;V192))</f>
        <v/>
      </c>
      <c r="X191" s="14" t="n"/>
      <c r="Y191" s="16" t="n"/>
      <c r="Z191" s="124">
        <f>IF(Y191="","",COUNTIFS($C$18:$C$2015,Y$13,$D$18:$D$2015,"&gt;="&amp;Y191,$D$18:$D$2015,"&lt;"&amp;Y192))</f>
        <v/>
      </c>
      <c r="AA191" s="14" t="n"/>
      <c r="AB191" s="16" t="n"/>
      <c r="AC191" s="124">
        <f>IF(AB191="","",COUNTIFS($C$18:$C$2015,AB$13,$D$18:$D$2015,"&gt;="&amp;AB191,$D$18:$D$2015,"&lt;"&amp;AB192))</f>
        <v/>
      </c>
      <c r="AD191" s="14" t="n"/>
    </row>
    <row r="192">
      <c r="A192" s="56" t="n"/>
      <c r="B192" s="59" t="n"/>
      <c r="C192" s="59" t="n"/>
      <c r="E192" s="16" t="n"/>
      <c r="F192" s="13" t="n"/>
      <c r="G192" s="16" t="n"/>
      <c r="H192" s="124">
        <f>IF(G192="","",COUNTIFS($C$18:$C$2015,G$13,$D$18:$D$2015,"&gt;="&amp;G192,$D$18:$D$2015,"&lt;"&amp;G193))</f>
        <v/>
      </c>
      <c r="I192" s="14" t="n"/>
      <c r="J192" s="16" t="n"/>
      <c r="K192" s="124">
        <f>IF(J192="","",COUNTIFS($C$18:$C$2015,J$13,$D$18:$D$2015,"&gt;="&amp;J192,$D$18:$D$2015,"&lt;"&amp;J193))</f>
        <v/>
      </c>
      <c r="L192" s="14" t="n"/>
      <c r="M192" s="16" t="n"/>
      <c r="N192" s="124">
        <f>IF(M192="","",COUNTIFS($C$18:$C$2015,M$13,$D$18:$D$2015,"&gt;="&amp;M192,$D$18:$D$2015,"&lt;"&amp;M193))</f>
        <v/>
      </c>
      <c r="O192" s="14" t="n"/>
      <c r="P192" s="16" t="n"/>
      <c r="Q192" s="124">
        <f>IF(P192="","",COUNTIFS($C$18:$C$2015,P$13,$D$18:$D$2015,"&gt;="&amp;P192,$D$18:$D$2015,"&lt;"&amp;P193))</f>
        <v/>
      </c>
      <c r="R192" s="14" t="n"/>
      <c r="S192" s="16" t="n"/>
      <c r="T192" s="124">
        <f>IF(S192="","",COUNTIFS($C$18:$C$2015,S$13,$D$18:$D$2015,"&gt;="&amp;S192,$D$18:$D$2015,"&lt;"&amp;S193))</f>
        <v/>
      </c>
      <c r="U192" s="14" t="n"/>
      <c r="V192" s="16" t="n"/>
      <c r="W192" s="124">
        <f>IF(V192="","",COUNTIFS($C$18:$C$2015,V$13,$D$18:$D$2015,"&gt;="&amp;V192,$D$18:$D$2015,"&lt;"&amp;V193))</f>
        <v/>
      </c>
      <c r="X192" s="14" t="n"/>
      <c r="Y192" s="16" t="n"/>
      <c r="Z192" s="124">
        <f>IF(Y192="","",COUNTIFS($C$18:$C$2015,Y$13,$D$18:$D$2015,"&gt;="&amp;Y192,$D$18:$D$2015,"&lt;"&amp;Y193))</f>
        <v/>
      </c>
      <c r="AA192" s="14" t="n"/>
      <c r="AB192" s="16" t="n"/>
      <c r="AC192" s="124">
        <f>IF(AB192="","",COUNTIFS($C$18:$C$2015,AB$13,$D$18:$D$2015,"&gt;="&amp;AB192,$D$18:$D$2015,"&lt;"&amp;AB193))</f>
        <v/>
      </c>
      <c r="AD192" s="14" t="n"/>
    </row>
    <row r="193">
      <c r="A193" s="58" t="n"/>
      <c r="B193" s="59" t="n"/>
      <c r="C193" s="59" t="n"/>
      <c r="E193" s="16" t="n"/>
      <c r="F193" s="13" t="n"/>
      <c r="G193" s="16" t="n"/>
      <c r="H193" s="124">
        <f>IF(G193="","",COUNTIFS($C$18:$C$2015,G$13,$D$18:$D$2015,"&gt;="&amp;G193,$D$18:$D$2015,"&lt;"&amp;G194))</f>
        <v/>
      </c>
      <c r="I193" s="14" t="n"/>
      <c r="J193" s="16" t="n"/>
      <c r="K193" s="124">
        <f>IF(J193="","",COUNTIFS($C$18:$C$2015,J$13,$D$18:$D$2015,"&gt;="&amp;J193,$D$18:$D$2015,"&lt;"&amp;J194))</f>
        <v/>
      </c>
      <c r="L193" s="14" t="n"/>
      <c r="M193" s="16" t="n"/>
      <c r="N193" s="124">
        <f>IF(M193="","",COUNTIFS($C$18:$C$2015,M$13,$D$18:$D$2015,"&gt;="&amp;M193,$D$18:$D$2015,"&lt;"&amp;M194))</f>
        <v/>
      </c>
      <c r="O193" s="14" t="n"/>
      <c r="P193" s="16" t="n"/>
      <c r="Q193" s="124">
        <f>IF(P193="","",COUNTIFS($C$18:$C$2015,P$13,$D$18:$D$2015,"&gt;="&amp;P193,$D$18:$D$2015,"&lt;"&amp;P194))</f>
        <v/>
      </c>
      <c r="R193" s="14" t="n"/>
      <c r="S193" s="16" t="n"/>
      <c r="T193" s="124">
        <f>IF(S193="","",COUNTIFS($C$18:$C$2015,S$13,$D$18:$D$2015,"&gt;="&amp;S193,$D$18:$D$2015,"&lt;"&amp;S194))</f>
        <v/>
      </c>
      <c r="U193" s="14" t="n"/>
      <c r="V193" s="16" t="n"/>
      <c r="W193" s="124">
        <f>IF(V193="","",COUNTIFS($C$18:$C$2015,V$13,$D$18:$D$2015,"&gt;="&amp;V193,$D$18:$D$2015,"&lt;"&amp;V194))</f>
        <v/>
      </c>
      <c r="X193" s="14" t="n"/>
      <c r="Y193" s="16" t="n"/>
      <c r="Z193" s="124">
        <f>IF(Y193="","",COUNTIFS($C$18:$C$2015,Y$13,$D$18:$D$2015,"&gt;="&amp;Y193,$D$18:$D$2015,"&lt;"&amp;Y194))</f>
        <v/>
      </c>
      <c r="AA193" s="14" t="n"/>
      <c r="AB193" s="16" t="n"/>
      <c r="AC193" s="124">
        <f>IF(AB193="","",COUNTIFS($C$18:$C$2015,AB$13,$D$18:$D$2015,"&gt;="&amp;AB193,$D$18:$D$2015,"&lt;"&amp;AB194))</f>
        <v/>
      </c>
      <c r="AD193" s="14" t="n"/>
    </row>
    <row r="194">
      <c r="A194" s="56" t="n"/>
      <c r="B194" s="59" t="n"/>
      <c r="C194" s="59" t="n"/>
      <c r="E194" s="16" t="n"/>
      <c r="F194" s="13" t="n"/>
      <c r="G194" s="16" t="n"/>
      <c r="H194" s="124">
        <f>IF(G194="","",COUNTIFS($C$18:$C$2015,G$13,$D$18:$D$2015,"&gt;="&amp;G194,$D$18:$D$2015,"&lt;"&amp;G195))</f>
        <v/>
      </c>
      <c r="I194" s="14" t="n"/>
      <c r="J194" s="16" t="n"/>
      <c r="K194" s="124">
        <f>IF(J194="","",COUNTIFS($C$18:$C$2015,J$13,$D$18:$D$2015,"&gt;="&amp;J194,$D$18:$D$2015,"&lt;"&amp;J195))</f>
        <v/>
      </c>
      <c r="L194" s="14" t="n"/>
      <c r="M194" s="16" t="n"/>
      <c r="N194" s="124">
        <f>IF(M194="","",COUNTIFS($C$18:$C$2015,M$13,$D$18:$D$2015,"&gt;="&amp;M194,$D$18:$D$2015,"&lt;"&amp;M195))</f>
        <v/>
      </c>
      <c r="O194" s="14" t="n"/>
      <c r="P194" s="16" t="n"/>
      <c r="Q194" s="124">
        <f>IF(P194="","",COUNTIFS($C$18:$C$2015,P$13,$D$18:$D$2015,"&gt;="&amp;P194,$D$18:$D$2015,"&lt;"&amp;P195))</f>
        <v/>
      </c>
      <c r="R194" s="14" t="n"/>
      <c r="S194" s="16" t="n"/>
      <c r="T194" s="124">
        <f>IF(S194="","",COUNTIFS($C$18:$C$2015,S$13,$D$18:$D$2015,"&gt;="&amp;S194,$D$18:$D$2015,"&lt;"&amp;S195))</f>
        <v/>
      </c>
      <c r="U194" s="14" t="n"/>
      <c r="V194" s="16" t="n"/>
      <c r="W194" s="124">
        <f>IF(V194="","",COUNTIFS($C$18:$C$2015,V$13,$D$18:$D$2015,"&gt;="&amp;V194,$D$18:$D$2015,"&lt;"&amp;V195))</f>
        <v/>
      </c>
      <c r="X194" s="14" t="n"/>
      <c r="Y194" s="16" t="n"/>
      <c r="Z194" s="124">
        <f>IF(Y194="","",COUNTIFS($C$18:$C$2015,Y$13,$D$18:$D$2015,"&gt;="&amp;Y194,$D$18:$D$2015,"&lt;"&amp;Y195))</f>
        <v/>
      </c>
      <c r="AA194" s="14" t="n"/>
      <c r="AB194" s="16" t="n"/>
      <c r="AC194" s="124">
        <f>IF(AB194="","",COUNTIFS($C$18:$C$2015,AB$13,$D$18:$D$2015,"&gt;="&amp;AB194,$D$18:$D$2015,"&lt;"&amp;AB195))</f>
        <v/>
      </c>
      <c r="AD194" s="14" t="n"/>
    </row>
    <row r="195">
      <c r="A195" s="58" t="n"/>
      <c r="B195" s="59" t="n"/>
      <c r="C195" s="59" t="n"/>
      <c r="E195" s="16" t="n"/>
      <c r="F195" s="13" t="n"/>
      <c r="G195" s="16" t="n"/>
      <c r="H195" s="124">
        <f>IF(G195="","",COUNTIFS($C$18:$C$2015,G$13,$D$18:$D$2015,"&gt;="&amp;G195,$D$18:$D$2015,"&lt;"&amp;G196))</f>
        <v/>
      </c>
      <c r="I195" s="14" t="n"/>
      <c r="J195" s="16" t="n"/>
      <c r="K195" s="124">
        <f>IF(J195="","",COUNTIFS($C$18:$C$2015,J$13,$D$18:$D$2015,"&gt;="&amp;J195,$D$18:$D$2015,"&lt;"&amp;J196))</f>
        <v/>
      </c>
      <c r="L195" s="14" t="n"/>
      <c r="M195" s="16" t="n"/>
      <c r="N195" s="124">
        <f>IF(M195="","",COUNTIFS($C$18:$C$2015,M$13,$D$18:$D$2015,"&gt;="&amp;M195,$D$18:$D$2015,"&lt;"&amp;M196))</f>
        <v/>
      </c>
      <c r="O195" s="14" t="n"/>
      <c r="P195" s="16" t="n"/>
      <c r="Q195" s="124">
        <f>IF(P195="","",COUNTIFS($C$18:$C$2015,P$13,$D$18:$D$2015,"&gt;="&amp;P195,$D$18:$D$2015,"&lt;"&amp;P196))</f>
        <v/>
      </c>
      <c r="R195" s="14" t="n"/>
      <c r="S195" s="16" t="n"/>
      <c r="T195" s="124">
        <f>IF(S195="","",COUNTIFS($C$18:$C$2015,S$13,$D$18:$D$2015,"&gt;="&amp;S195,$D$18:$D$2015,"&lt;"&amp;S196))</f>
        <v/>
      </c>
      <c r="U195" s="14" t="n"/>
      <c r="V195" s="16" t="n"/>
      <c r="W195" s="124">
        <f>IF(V195="","",COUNTIFS($C$18:$C$2015,V$13,$D$18:$D$2015,"&gt;="&amp;V195,$D$18:$D$2015,"&lt;"&amp;V196))</f>
        <v/>
      </c>
      <c r="X195" s="14" t="n"/>
      <c r="Y195" s="16" t="n"/>
      <c r="Z195" s="124">
        <f>IF(Y195="","",COUNTIFS($C$18:$C$2015,Y$13,$D$18:$D$2015,"&gt;="&amp;Y195,$D$18:$D$2015,"&lt;"&amp;Y196))</f>
        <v/>
      </c>
      <c r="AA195" s="14" t="n"/>
      <c r="AB195" s="16" t="n"/>
      <c r="AC195" s="124">
        <f>IF(AB195="","",COUNTIFS($C$18:$C$2015,AB$13,$D$18:$D$2015,"&gt;="&amp;AB195,$D$18:$D$2015,"&lt;"&amp;AB196))</f>
        <v/>
      </c>
      <c r="AD195" s="14" t="n"/>
    </row>
    <row r="196">
      <c r="A196" s="56" t="n"/>
      <c r="B196" s="59" t="n"/>
      <c r="C196" s="59" t="n"/>
      <c r="E196" s="16" t="n"/>
      <c r="F196" s="13" t="n"/>
      <c r="G196" s="16" t="n"/>
      <c r="H196" s="124">
        <f>IF(G196="","",COUNTIFS($C$18:$C$2015,G$13,$D$18:$D$2015,"&gt;="&amp;G196,$D$18:$D$2015,"&lt;"&amp;G197))</f>
        <v/>
      </c>
      <c r="I196" s="14" t="n"/>
      <c r="J196" s="16" t="n"/>
      <c r="K196" s="124">
        <f>IF(J196="","",COUNTIFS($C$18:$C$2015,J$13,$D$18:$D$2015,"&gt;="&amp;J196,$D$18:$D$2015,"&lt;"&amp;J197))</f>
        <v/>
      </c>
      <c r="L196" s="14" t="n"/>
      <c r="M196" s="16" t="n"/>
      <c r="N196" s="124">
        <f>IF(M196="","",COUNTIFS($C$18:$C$2015,M$13,$D$18:$D$2015,"&gt;="&amp;M196,$D$18:$D$2015,"&lt;"&amp;M197))</f>
        <v/>
      </c>
      <c r="O196" s="14" t="n"/>
      <c r="P196" s="16" t="n"/>
      <c r="Q196" s="124">
        <f>IF(P196="","",COUNTIFS($C$18:$C$2015,P$13,$D$18:$D$2015,"&gt;="&amp;P196,$D$18:$D$2015,"&lt;"&amp;P197))</f>
        <v/>
      </c>
      <c r="R196" s="14" t="n"/>
      <c r="S196" s="16" t="n"/>
      <c r="T196" s="124">
        <f>IF(S196="","",COUNTIFS($C$18:$C$2015,S$13,$D$18:$D$2015,"&gt;="&amp;S196,$D$18:$D$2015,"&lt;"&amp;S197))</f>
        <v/>
      </c>
      <c r="U196" s="14" t="n"/>
      <c r="V196" s="16" t="n"/>
      <c r="W196" s="124">
        <f>IF(V196="","",COUNTIFS($C$18:$C$2015,V$13,$D$18:$D$2015,"&gt;="&amp;V196,$D$18:$D$2015,"&lt;"&amp;V197))</f>
        <v/>
      </c>
      <c r="X196" s="14" t="n"/>
      <c r="Y196" s="16" t="n"/>
      <c r="Z196" s="124">
        <f>IF(Y196="","",COUNTIFS($C$18:$C$2015,Y$13,$D$18:$D$2015,"&gt;="&amp;Y196,$D$18:$D$2015,"&lt;"&amp;Y197))</f>
        <v/>
      </c>
      <c r="AA196" s="14" t="n"/>
      <c r="AB196" s="16" t="n"/>
      <c r="AC196" s="124">
        <f>IF(AB196="","",COUNTIFS($C$18:$C$2015,AB$13,$D$18:$D$2015,"&gt;="&amp;AB196,$D$18:$D$2015,"&lt;"&amp;AB197))</f>
        <v/>
      </c>
      <c r="AD196" s="14" t="n"/>
    </row>
    <row r="197">
      <c r="A197" s="58" t="n"/>
      <c r="B197" s="59" t="n"/>
      <c r="C197" s="59" t="n"/>
      <c r="E197" s="16" t="n"/>
      <c r="F197" s="13" t="n"/>
      <c r="G197" s="16" t="n"/>
      <c r="H197" s="124">
        <f>IF(G197="","",COUNTIFS($C$18:$C$2015,G$13,$D$18:$D$2015,"&gt;="&amp;G197,$D$18:$D$2015,"&lt;"&amp;G198))</f>
        <v/>
      </c>
      <c r="I197" s="14" t="n"/>
      <c r="J197" s="16" t="n"/>
      <c r="K197" s="124">
        <f>IF(J197="","",COUNTIFS($C$18:$C$2015,J$13,$D$18:$D$2015,"&gt;="&amp;J197,$D$18:$D$2015,"&lt;"&amp;J198))</f>
        <v/>
      </c>
      <c r="L197" s="14" t="n"/>
      <c r="M197" s="16" t="n"/>
      <c r="N197" s="124">
        <f>IF(M197="","",COUNTIFS($C$18:$C$2015,M$13,$D$18:$D$2015,"&gt;="&amp;M197,$D$18:$D$2015,"&lt;"&amp;M198))</f>
        <v/>
      </c>
      <c r="O197" s="14" t="n"/>
      <c r="P197" s="16" t="n"/>
      <c r="Q197" s="124">
        <f>IF(P197="","",COUNTIFS($C$18:$C$2015,P$13,$D$18:$D$2015,"&gt;="&amp;P197,$D$18:$D$2015,"&lt;"&amp;P198))</f>
        <v/>
      </c>
      <c r="R197" s="14" t="n"/>
      <c r="S197" s="16" t="n"/>
      <c r="T197" s="124">
        <f>IF(S197="","",COUNTIFS($C$18:$C$2015,S$13,$D$18:$D$2015,"&gt;="&amp;S197,$D$18:$D$2015,"&lt;"&amp;S198))</f>
        <v/>
      </c>
      <c r="U197" s="14" t="n"/>
      <c r="V197" s="16" t="n"/>
      <c r="W197" s="124">
        <f>IF(V197="","",COUNTIFS($C$18:$C$2015,V$13,$D$18:$D$2015,"&gt;="&amp;V197,$D$18:$D$2015,"&lt;"&amp;V198))</f>
        <v/>
      </c>
      <c r="X197" s="14" t="n"/>
      <c r="Y197" s="16" t="n"/>
      <c r="Z197" s="124">
        <f>IF(Y197="","",COUNTIFS($C$18:$C$2015,Y$13,$D$18:$D$2015,"&gt;="&amp;Y197,$D$18:$D$2015,"&lt;"&amp;Y198))</f>
        <v/>
      </c>
      <c r="AA197" s="14" t="n"/>
      <c r="AB197" s="16" t="n"/>
      <c r="AC197" s="124">
        <f>IF(AB197="","",COUNTIFS($C$18:$C$2015,AB$13,$D$18:$D$2015,"&gt;="&amp;AB197,$D$18:$D$2015,"&lt;"&amp;AB198))</f>
        <v/>
      </c>
      <c r="AD197" s="14" t="n"/>
    </row>
    <row r="198">
      <c r="A198" s="56" t="n"/>
      <c r="B198" s="59" t="n"/>
      <c r="C198" s="59" t="n"/>
      <c r="E198" s="16" t="n"/>
      <c r="F198" s="13" t="n"/>
      <c r="G198" s="16" t="n"/>
      <c r="H198" s="124">
        <f>IF(G198="","",COUNTIFS($C$18:$C$2015,G$13,$D$18:$D$2015,"&gt;="&amp;G198,$D$18:$D$2015,"&lt;"&amp;G199))</f>
        <v/>
      </c>
      <c r="I198" s="14" t="n"/>
      <c r="J198" s="16" t="n"/>
      <c r="K198" s="124">
        <f>IF(J198="","",COUNTIFS($C$18:$C$2015,J$13,$D$18:$D$2015,"&gt;="&amp;J198,$D$18:$D$2015,"&lt;"&amp;J199))</f>
        <v/>
      </c>
      <c r="L198" s="14" t="n"/>
      <c r="M198" s="16" t="n"/>
      <c r="N198" s="124">
        <f>IF(M198="","",COUNTIFS($C$18:$C$2015,M$13,$D$18:$D$2015,"&gt;="&amp;M198,$D$18:$D$2015,"&lt;"&amp;M199))</f>
        <v/>
      </c>
      <c r="O198" s="14" t="n"/>
      <c r="P198" s="16" t="n"/>
      <c r="Q198" s="124">
        <f>IF(P198="","",COUNTIFS($C$18:$C$2015,P$13,$D$18:$D$2015,"&gt;="&amp;P198,$D$18:$D$2015,"&lt;"&amp;P199))</f>
        <v/>
      </c>
      <c r="R198" s="14" t="n"/>
      <c r="S198" s="16" t="n"/>
      <c r="T198" s="124">
        <f>IF(S198="","",COUNTIFS($C$18:$C$2015,S$13,$D$18:$D$2015,"&gt;="&amp;S198,$D$18:$D$2015,"&lt;"&amp;S199))</f>
        <v/>
      </c>
      <c r="U198" s="14" t="n"/>
      <c r="V198" s="16" t="n"/>
      <c r="W198" s="124">
        <f>IF(V198="","",COUNTIFS($C$18:$C$2015,V$13,$D$18:$D$2015,"&gt;="&amp;V198,$D$18:$D$2015,"&lt;"&amp;V199))</f>
        <v/>
      </c>
      <c r="X198" s="14" t="n"/>
      <c r="Y198" s="16" t="n"/>
      <c r="Z198" s="124">
        <f>IF(Y198="","",COUNTIFS($C$18:$C$2015,Y$13,$D$18:$D$2015,"&gt;="&amp;Y198,$D$18:$D$2015,"&lt;"&amp;Y199))</f>
        <v/>
      </c>
      <c r="AA198" s="14" t="n"/>
      <c r="AB198" s="16" t="n"/>
      <c r="AC198" s="124">
        <f>IF(AB198="","",COUNTIFS($C$18:$C$2015,AB$13,$D$18:$D$2015,"&gt;="&amp;AB198,$D$18:$D$2015,"&lt;"&amp;AB199))</f>
        <v/>
      </c>
      <c r="AD198" s="14" t="n"/>
    </row>
    <row r="199">
      <c r="A199" s="58" t="n"/>
      <c r="B199" s="59" t="n"/>
      <c r="C199" s="59" t="n"/>
      <c r="E199" s="16" t="n"/>
      <c r="F199" s="13" t="n"/>
      <c r="G199" s="16" t="n"/>
      <c r="H199" s="124">
        <f>IF(G199="","",COUNTIFS($C$18:$C$2015,G$13,$D$18:$D$2015,"&gt;="&amp;G199,$D$18:$D$2015,"&lt;"&amp;G200))</f>
        <v/>
      </c>
      <c r="I199" s="14" t="n"/>
      <c r="J199" s="16" t="n"/>
      <c r="K199" s="124">
        <f>IF(J199="","",COUNTIFS($C$18:$C$2015,J$13,$D$18:$D$2015,"&gt;="&amp;J199,$D$18:$D$2015,"&lt;"&amp;J200))</f>
        <v/>
      </c>
      <c r="L199" s="14" t="n"/>
      <c r="M199" s="16" t="n"/>
      <c r="N199" s="124">
        <f>IF(M199="","",COUNTIFS($C$18:$C$2015,M$13,$D$18:$D$2015,"&gt;="&amp;M199,$D$18:$D$2015,"&lt;"&amp;M200))</f>
        <v/>
      </c>
      <c r="O199" s="14" t="n"/>
      <c r="P199" s="16" t="n"/>
      <c r="Q199" s="124">
        <f>IF(P199="","",COUNTIFS($C$18:$C$2015,P$13,$D$18:$D$2015,"&gt;="&amp;P199,$D$18:$D$2015,"&lt;"&amp;P200))</f>
        <v/>
      </c>
      <c r="R199" s="14" t="n"/>
      <c r="S199" s="16" t="n"/>
      <c r="T199" s="124">
        <f>IF(S199="","",COUNTIFS($C$18:$C$2015,S$13,$D$18:$D$2015,"&gt;="&amp;S199,$D$18:$D$2015,"&lt;"&amp;S200))</f>
        <v/>
      </c>
      <c r="U199" s="14" t="n"/>
      <c r="V199" s="16" t="n"/>
      <c r="W199" s="124">
        <f>IF(V199="","",COUNTIFS($C$18:$C$2015,V$13,$D$18:$D$2015,"&gt;="&amp;V199,$D$18:$D$2015,"&lt;"&amp;V200))</f>
        <v/>
      </c>
      <c r="X199" s="14" t="n"/>
      <c r="Y199" s="16" t="n"/>
      <c r="Z199" s="124">
        <f>IF(Y199="","",COUNTIFS($C$18:$C$2015,Y$13,$D$18:$D$2015,"&gt;="&amp;Y199,$D$18:$D$2015,"&lt;"&amp;Y200))</f>
        <v/>
      </c>
      <c r="AA199" s="14" t="n"/>
      <c r="AB199" s="16" t="n"/>
      <c r="AC199" s="124">
        <f>IF(AB199="","",COUNTIFS($C$18:$C$2015,AB$13,$D$18:$D$2015,"&gt;="&amp;AB199,$D$18:$D$2015,"&lt;"&amp;AB200))</f>
        <v/>
      </c>
      <c r="AD199" s="14" t="n"/>
    </row>
    <row r="200">
      <c r="A200" s="56" t="n"/>
      <c r="B200" s="59" t="n"/>
      <c r="C200" s="59" t="n"/>
      <c r="E200" s="16" t="n"/>
      <c r="F200" s="13" t="n"/>
      <c r="G200" s="16" t="n"/>
      <c r="H200" s="124">
        <f>IF(G200="","",COUNTIFS($C$18:$C$2015,G$13,$D$18:$D$2015,"&gt;="&amp;G200,$D$18:$D$2015,"&lt;"&amp;G201))</f>
        <v/>
      </c>
      <c r="I200" s="14" t="n"/>
      <c r="J200" s="16" t="n"/>
      <c r="K200" s="124">
        <f>IF(J200="","",COUNTIFS($C$18:$C$2015,J$13,$D$18:$D$2015,"&gt;="&amp;J200,$D$18:$D$2015,"&lt;"&amp;J201))</f>
        <v/>
      </c>
      <c r="L200" s="14" t="n"/>
      <c r="M200" s="16" t="n"/>
      <c r="N200" s="124">
        <f>IF(M200="","",COUNTIFS($C$18:$C$2015,M$13,$D$18:$D$2015,"&gt;="&amp;M200,$D$18:$D$2015,"&lt;"&amp;M201))</f>
        <v/>
      </c>
      <c r="O200" s="14" t="n"/>
      <c r="P200" s="16" t="n"/>
      <c r="Q200" s="124">
        <f>IF(P200="","",COUNTIFS($C$18:$C$2015,P$13,$D$18:$D$2015,"&gt;="&amp;P200,$D$18:$D$2015,"&lt;"&amp;P201))</f>
        <v/>
      </c>
      <c r="R200" s="14" t="n"/>
      <c r="S200" s="16" t="n"/>
      <c r="T200" s="124">
        <f>IF(S200="","",COUNTIFS($C$18:$C$2015,S$13,$D$18:$D$2015,"&gt;="&amp;S200,$D$18:$D$2015,"&lt;"&amp;S201))</f>
        <v/>
      </c>
      <c r="U200" s="14" t="n"/>
      <c r="V200" s="16" t="n"/>
      <c r="W200" s="124">
        <f>IF(V200="","",COUNTIFS($C$18:$C$2015,V$13,$D$18:$D$2015,"&gt;="&amp;V200,$D$18:$D$2015,"&lt;"&amp;V201))</f>
        <v/>
      </c>
      <c r="X200" s="14" t="n"/>
      <c r="Y200" s="16" t="n"/>
      <c r="Z200" s="124">
        <f>IF(Y200="","",COUNTIFS($C$18:$C$2015,Y$13,$D$18:$D$2015,"&gt;="&amp;Y200,$D$18:$D$2015,"&lt;"&amp;Y201))</f>
        <v/>
      </c>
      <c r="AA200" s="14" t="n"/>
      <c r="AB200" s="16" t="n"/>
      <c r="AC200" s="124">
        <f>IF(AB200="","",COUNTIFS($C$18:$C$2015,AB$13,$D$18:$D$2015,"&gt;="&amp;AB200,$D$18:$D$2015,"&lt;"&amp;AB201))</f>
        <v/>
      </c>
      <c r="AD200" s="14" t="n"/>
    </row>
    <row r="201">
      <c r="A201" s="58" t="n"/>
      <c r="B201" s="59" t="n"/>
      <c r="C201" s="59" t="n"/>
      <c r="E201" s="16" t="n"/>
      <c r="F201" s="13" t="n"/>
      <c r="G201" s="16" t="n"/>
      <c r="H201" s="124">
        <f>IF(G201="","",COUNTIFS($C$18:$C$2015,G$13,$D$18:$D$2015,"&gt;="&amp;G201,$D$18:$D$2015,"&lt;"&amp;G202))</f>
        <v/>
      </c>
      <c r="I201" s="14" t="n"/>
      <c r="J201" s="16" t="n"/>
      <c r="K201" s="124">
        <f>IF(J201="","",COUNTIFS($C$18:$C$2015,J$13,$D$18:$D$2015,"&gt;="&amp;J201,$D$18:$D$2015,"&lt;"&amp;J202))</f>
        <v/>
      </c>
      <c r="L201" s="14" t="n"/>
      <c r="M201" s="16" t="n"/>
      <c r="N201" s="124">
        <f>IF(M201="","",COUNTIFS($C$18:$C$2015,M$13,$D$18:$D$2015,"&gt;="&amp;M201,$D$18:$D$2015,"&lt;"&amp;M202))</f>
        <v/>
      </c>
      <c r="O201" s="14" t="n"/>
      <c r="P201" s="16" t="n"/>
      <c r="Q201" s="124">
        <f>IF(P201="","",COUNTIFS($C$18:$C$2015,P$13,$D$18:$D$2015,"&gt;="&amp;P201,$D$18:$D$2015,"&lt;"&amp;P202))</f>
        <v/>
      </c>
      <c r="R201" s="14" t="n"/>
      <c r="S201" s="16" t="n"/>
      <c r="T201" s="124">
        <f>IF(S201="","",COUNTIFS($C$18:$C$2015,S$13,$D$18:$D$2015,"&gt;="&amp;S201,$D$18:$D$2015,"&lt;"&amp;S202))</f>
        <v/>
      </c>
      <c r="U201" s="14" t="n"/>
      <c r="V201" s="16" t="n"/>
      <c r="W201" s="124">
        <f>IF(V201="","",COUNTIFS($C$18:$C$2015,V$13,$D$18:$D$2015,"&gt;="&amp;V201,$D$18:$D$2015,"&lt;"&amp;V202))</f>
        <v/>
      </c>
      <c r="X201" s="14" t="n"/>
      <c r="Y201" s="16" t="n"/>
      <c r="Z201" s="124">
        <f>IF(Y201="","",COUNTIFS($C$18:$C$2015,Y$13,$D$18:$D$2015,"&gt;="&amp;Y201,$D$18:$D$2015,"&lt;"&amp;Y202))</f>
        <v/>
      </c>
      <c r="AA201" s="14" t="n"/>
      <c r="AB201" s="16" t="n"/>
      <c r="AC201" s="124">
        <f>IF(AB201="","",COUNTIFS($C$18:$C$2015,AB$13,$D$18:$D$2015,"&gt;="&amp;AB201,$D$18:$D$2015,"&lt;"&amp;AB202))</f>
        <v/>
      </c>
      <c r="AD201" s="14" t="n"/>
    </row>
    <row r="202">
      <c r="A202" s="56" t="n"/>
      <c r="B202" s="59" t="n"/>
      <c r="C202" s="59" t="n"/>
      <c r="E202" s="16" t="n"/>
      <c r="F202" s="13" t="n"/>
      <c r="G202" s="16" t="n"/>
      <c r="H202" s="124">
        <f>IF(G202="","",COUNTIFS($C$18:$C$2015,G$13,$D$18:$D$2015,"&gt;="&amp;G202,$D$18:$D$2015,"&lt;"&amp;G203))</f>
        <v/>
      </c>
      <c r="I202" s="14" t="n"/>
      <c r="J202" s="16" t="n"/>
      <c r="K202" s="124">
        <f>IF(J202="","",COUNTIFS($C$18:$C$2015,J$13,$D$18:$D$2015,"&gt;="&amp;J202,$D$18:$D$2015,"&lt;"&amp;J203))</f>
        <v/>
      </c>
      <c r="L202" s="14" t="n"/>
      <c r="M202" s="16" t="n"/>
      <c r="N202" s="124">
        <f>IF(M202="","",COUNTIFS($C$18:$C$2015,M$13,$D$18:$D$2015,"&gt;="&amp;M202,$D$18:$D$2015,"&lt;"&amp;M203))</f>
        <v/>
      </c>
      <c r="O202" s="14" t="n"/>
      <c r="P202" s="16" t="n"/>
      <c r="Q202" s="124">
        <f>IF(P202="","",COUNTIFS($C$18:$C$2015,P$13,$D$18:$D$2015,"&gt;="&amp;P202,$D$18:$D$2015,"&lt;"&amp;P203))</f>
        <v/>
      </c>
      <c r="R202" s="14" t="n"/>
      <c r="S202" s="16" t="n"/>
      <c r="T202" s="124">
        <f>IF(S202="","",COUNTIFS($C$18:$C$2015,S$13,$D$18:$D$2015,"&gt;="&amp;S202,$D$18:$D$2015,"&lt;"&amp;S203))</f>
        <v/>
      </c>
      <c r="U202" s="14" t="n"/>
      <c r="V202" s="16" t="n"/>
      <c r="W202" s="124">
        <f>IF(V202="","",COUNTIFS($C$18:$C$2015,V$13,$D$18:$D$2015,"&gt;="&amp;V202,$D$18:$D$2015,"&lt;"&amp;V203))</f>
        <v/>
      </c>
      <c r="X202" s="14" t="n"/>
      <c r="Y202" s="16" t="n"/>
      <c r="Z202" s="124">
        <f>IF(Y202="","",COUNTIFS($C$18:$C$2015,Y$13,$D$18:$D$2015,"&gt;="&amp;Y202,$D$18:$D$2015,"&lt;"&amp;Y203))</f>
        <v/>
      </c>
      <c r="AA202" s="14" t="n"/>
      <c r="AB202" s="16" t="n"/>
      <c r="AC202" s="124">
        <f>IF(AB202="","",COUNTIFS($C$18:$C$2015,AB$13,$D$18:$D$2015,"&gt;="&amp;AB202,$D$18:$D$2015,"&lt;"&amp;AB203))</f>
        <v/>
      </c>
      <c r="AD202" s="14" t="n"/>
    </row>
    <row r="203">
      <c r="A203" s="58" t="n"/>
      <c r="B203" s="59" t="n"/>
      <c r="C203" s="59" t="n"/>
      <c r="E203" s="16" t="n"/>
      <c r="F203" s="13" t="n"/>
      <c r="G203" s="16" t="n"/>
      <c r="H203" s="124">
        <f>IF(G203="","",COUNTIFS($C$18:$C$2015,G$13,$D$18:$D$2015,"&gt;="&amp;G203,$D$18:$D$2015,"&lt;"&amp;G204))</f>
        <v/>
      </c>
      <c r="I203" s="14" t="n"/>
      <c r="J203" s="16" t="n"/>
      <c r="K203" s="124">
        <f>IF(J203="","",COUNTIFS($C$18:$C$2015,J$13,$D$18:$D$2015,"&gt;="&amp;J203,$D$18:$D$2015,"&lt;"&amp;J204))</f>
        <v/>
      </c>
      <c r="L203" s="14" t="n"/>
      <c r="M203" s="16" t="n"/>
      <c r="N203" s="124">
        <f>IF(M203="","",COUNTIFS($C$18:$C$2015,M$13,$D$18:$D$2015,"&gt;="&amp;M203,$D$18:$D$2015,"&lt;"&amp;M204))</f>
        <v/>
      </c>
      <c r="O203" s="14" t="n"/>
      <c r="P203" s="16" t="n"/>
      <c r="Q203" s="124">
        <f>IF(P203="","",COUNTIFS($C$18:$C$2015,P$13,$D$18:$D$2015,"&gt;="&amp;P203,$D$18:$D$2015,"&lt;"&amp;P204))</f>
        <v/>
      </c>
      <c r="R203" s="14" t="n"/>
      <c r="S203" s="16" t="n"/>
      <c r="T203" s="124">
        <f>IF(S203="","",COUNTIFS($C$18:$C$2015,S$13,$D$18:$D$2015,"&gt;="&amp;S203,$D$18:$D$2015,"&lt;"&amp;S204))</f>
        <v/>
      </c>
      <c r="U203" s="14" t="n"/>
      <c r="V203" s="16" t="n"/>
      <c r="W203" s="124">
        <f>IF(V203="","",COUNTIFS($C$18:$C$2015,V$13,$D$18:$D$2015,"&gt;="&amp;V203,$D$18:$D$2015,"&lt;"&amp;V204))</f>
        <v/>
      </c>
      <c r="X203" s="14" t="n"/>
      <c r="Y203" s="16" t="n"/>
      <c r="Z203" s="124">
        <f>IF(Y203="","",COUNTIFS($C$18:$C$2015,Y$13,$D$18:$D$2015,"&gt;="&amp;Y203,$D$18:$D$2015,"&lt;"&amp;Y204))</f>
        <v/>
      </c>
      <c r="AA203" s="14" t="n"/>
      <c r="AB203" s="16" t="n"/>
      <c r="AC203" s="124">
        <f>IF(AB203="","",COUNTIFS($C$18:$C$2015,AB$13,$D$18:$D$2015,"&gt;="&amp;AB203,$D$18:$D$2015,"&lt;"&amp;AB204))</f>
        <v/>
      </c>
      <c r="AD203" s="14" t="n"/>
    </row>
    <row r="204">
      <c r="A204" s="56" t="n"/>
      <c r="B204" s="59" t="n"/>
      <c r="C204" s="59" t="n"/>
      <c r="E204" s="16" t="n"/>
      <c r="F204" s="13" t="n"/>
      <c r="G204" s="16" t="n"/>
      <c r="H204" s="124">
        <f>IF(G204="","",COUNTIFS($C$18:$C$2015,G$13,$D$18:$D$2015,"&gt;="&amp;G204,$D$18:$D$2015,"&lt;"&amp;G205))</f>
        <v/>
      </c>
      <c r="I204" s="14" t="n"/>
      <c r="J204" s="16" t="n"/>
      <c r="K204" s="124">
        <f>IF(J204="","",COUNTIFS($C$18:$C$2015,J$13,$D$18:$D$2015,"&gt;="&amp;J204,$D$18:$D$2015,"&lt;"&amp;J205))</f>
        <v/>
      </c>
      <c r="L204" s="14" t="n"/>
      <c r="M204" s="16" t="n"/>
      <c r="N204" s="124">
        <f>IF(M204="","",COUNTIFS($C$18:$C$2015,M$13,$D$18:$D$2015,"&gt;="&amp;M204,$D$18:$D$2015,"&lt;"&amp;M205))</f>
        <v/>
      </c>
      <c r="O204" s="14" t="n"/>
      <c r="P204" s="16" t="n"/>
      <c r="Q204" s="124">
        <f>IF(P204="","",COUNTIFS($C$18:$C$2015,P$13,$D$18:$D$2015,"&gt;="&amp;P204,$D$18:$D$2015,"&lt;"&amp;P205))</f>
        <v/>
      </c>
      <c r="R204" s="14" t="n"/>
      <c r="S204" s="16" t="n"/>
      <c r="T204" s="124">
        <f>IF(S204="","",COUNTIFS($C$18:$C$2015,S$13,$D$18:$D$2015,"&gt;="&amp;S204,$D$18:$D$2015,"&lt;"&amp;S205))</f>
        <v/>
      </c>
      <c r="U204" s="14" t="n"/>
      <c r="V204" s="16" t="n"/>
      <c r="W204" s="124">
        <f>IF(V204="","",COUNTIFS($C$18:$C$2015,V$13,$D$18:$D$2015,"&gt;="&amp;V204,$D$18:$D$2015,"&lt;"&amp;V205))</f>
        <v/>
      </c>
      <c r="X204" s="14" t="n"/>
      <c r="Y204" s="16" t="n"/>
      <c r="Z204" s="124">
        <f>IF(Y204="","",COUNTIFS($C$18:$C$2015,Y$13,$D$18:$D$2015,"&gt;="&amp;Y204,$D$18:$D$2015,"&lt;"&amp;Y205))</f>
        <v/>
      </c>
      <c r="AA204" s="14" t="n"/>
      <c r="AB204" s="16" t="n"/>
      <c r="AC204" s="124">
        <f>IF(AB204="","",COUNTIFS($C$18:$C$2015,AB$13,$D$18:$D$2015,"&gt;="&amp;AB204,$D$18:$D$2015,"&lt;"&amp;AB205))</f>
        <v/>
      </c>
      <c r="AD204" s="14" t="n"/>
    </row>
    <row r="205">
      <c r="A205" s="58" t="n"/>
      <c r="B205" s="59" t="n"/>
      <c r="C205" s="59" t="n"/>
      <c r="E205" s="16" t="n"/>
      <c r="F205" s="13" t="n"/>
      <c r="G205" s="16" t="n"/>
      <c r="H205" s="124">
        <f>IF(G205="","",COUNTIFS($C$18:$C$2015,G$13,$D$18:$D$2015,"&gt;="&amp;G205,$D$18:$D$2015,"&lt;"&amp;G206))</f>
        <v/>
      </c>
      <c r="I205" s="14" t="n"/>
      <c r="J205" s="16" t="n"/>
      <c r="K205" s="124">
        <f>IF(J205="","",COUNTIFS($C$18:$C$2015,J$13,$D$18:$D$2015,"&gt;="&amp;J205,$D$18:$D$2015,"&lt;"&amp;J206))</f>
        <v/>
      </c>
      <c r="L205" s="14" t="n"/>
      <c r="M205" s="16" t="n"/>
      <c r="N205" s="124">
        <f>IF(M205="","",COUNTIFS($C$18:$C$2015,M$13,$D$18:$D$2015,"&gt;="&amp;M205,$D$18:$D$2015,"&lt;"&amp;M206))</f>
        <v/>
      </c>
      <c r="O205" s="14" t="n"/>
      <c r="P205" s="16" t="n"/>
      <c r="Q205" s="124">
        <f>IF(P205="","",COUNTIFS($C$18:$C$2015,P$13,$D$18:$D$2015,"&gt;="&amp;P205,$D$18:$D$2015,"&lt;"&amp;P206))</f>
        <v/>
      </c>
      <c r="R205" s="14" t="n"/>
      <c r="S205" s="16" t="n"/>
      <c r="T205" s="124">
        <f>IF(S205="","",COUNTIFS($C$18:$C$2015,S$13,$D$18:$D$2015,"&gt;="&amp;S205,$D$18:$D$2015,"&lt;"&amp;S206))</f>
        <v/>
      </c>
      <c r="U205" s="14" t="n"/>
      <c r="V205" s="16" t="n"/>
      <c r="W205" s="124">
        <f>IF(V205="","",COUNTIFS($C$18:$C$2015,V$13,$D$18:$D$2015,"&gt;="&amp;V205,$D$18:$D$2015,"&lt;"&amp;V206))</f>
        <v/>
      </c>
      <c r="X205" s="14" t="n"/>
      <c r="Y205" s="16" t="n"/>
      <c r="Z205" s="124">
        <f>IF(Y205="","",COUNTIFS($C$18:$C$2015,Y$13,$D$18:$D$2015,"&gt;="&amp;Y205,$D$18:$D$2015,"&lt;"&amp;Y206))</f>
        <v/>
      </c>
      <c r="AA205" s="14" t="n"/>
      <c r="AB205" s="16" t="n"/>
      <c r="AC205" s="124">
        <f>IF(AB205="","",COUNTIFS($C$18:$C$2015,AB$13,$D$18:$D$2015,"&gt;="&amp;AB205,$D$18:$D$2015,"&lt;"&amp;AB206))</f>
        <v/>
      </c>
      <c r="AD205" s="14" t="n"/>
    </row>
    <row r="206">
      <c r="A206" s="56" t="n"/>
      <c r="B206" s="59" t="n"/>
      <c r="C206" s="59" t="n"/>
      <c r="E206" s="16" t="n"/>
      <c r="F206" s="13" t="n"/>
      <c r="G206" s="16" t="n"/>
      <c r="H206" s="124">
        <f>IF(G206="","",COUNTIFS($C$18:$C$2015,G$13,$D$18:$D$2015,"&gt;="&amp;G206,$D$18:$D$2015,"&lt;"&amp;G207))</f>
        <v/>
      </c>
      <c r="I206" s="14" t="n"/>
      <c r="J206" s="16" t="n"/>
      <c r="K206" s="124">
        <f>IF(J206="","",COUNTIFS($C$18:$C$2015,J$13,$D$18:$D$2015,"&gt;="&amp;J206,$D$18:$D$2015,"&lt;"&amp;J207))</f>
        <v/>
      </c>
      <c r="L206" s="14" t="n"/>
      <c r="M206" s="16" t="n"/>
      <c r="N206" s="124">
        <f>IF(M206="","",COUNTIFS($C$18:$C$2015,M$13,$D$18:$D$2015,"&gt;="&amp;M206,$D$18:$D$2015,"&lt;"&amp;M207))</f>
        <v/>
      </c>
      <c r="O206" s="14" t="n"/>
      <c r="P206" s="16" t="n"/>
      <c r="Q206" s="124">
        <f>IF(P206="","",COUNTIFS($C$18:$C$2015,P$13,$D$18:$D$2015,"&gt;="&amp;P206,$D$18:$D$2015,"&lt;"&amp;P207))</f>
        <v/>
      </c>
      <c r="R206" s="14" t="n"/>
      <c r="S206" s="16" t="n"/>
      <c r="T206" s="124">
        <f>IF(S206="","",COUNTIFS($C$18:$C$2015,S$13,$D$18:$D$2015,"&gt;="&amp;S206,$D$18:$D$2015,"&lt;"&amp;S207))</f>
        <v/>
      </c>
      <c r="U206" s="14" t="n"/>
      <c r="V206" s="16" t="n"/>
      <c r="W206" s="124">
        <f>IF(V206="","",COUNTIFS($C$18:$C$2015,V$13,$D$18:$D$2015,"&gt;="&amp;V206,$D$18:$D$2015,"&lt;"&amp;V207))</f>
        <v/>
      </c>
      <c r="X206" s="14" t="n"/>
      <c r="Y206" s="16" t="n"/>
      <c r="Z206" s="124">
        <f>IF(Y206="","",COUNTIFS($C$18:$C$2015,Y$13,$D$18:$D$2015,"&gt;="&amp;Y206,$D$18:$D$2015,"&lt;"&amp;Y207))</f>
        <v/>
      </c>
      <c r="AA206" s="14" t="n"/>
      <c r="AB206" s="16" t="n"/>
      <c r="AC206" s="124">
        <f>IF(AB206="","",COUNTIFS($C$18:$C$2015,AB$13,$D$18:$D$2015,"&gt;="&amp;AB206,$D$18:$D$2015,"&lt;"&amp;AB207))</f>
        <v/>
      </c>
      <c r="AD206" s="14" t="n"/>
    </row>
    <row r="207">
      <c r="A207" s="58" t="n"/>
      <c r="B207" s="59" t="n"/>
      <c r="C207" s="59" t="n"/>
      <c r="E207" s="16" t="n"/>
      <c r="F207" s="13" t="n"/>
      <c r="G207" s="16" t="n"/>
      <c r="H207" s="124">
        <f>IF(G207="","",COUNTIFS($C$18:$C$2015,G$13,$D$18:$D$2015,"&gt;="&amp;G207,$D$18:$D$2015,"&lt;"&amp;G208))</f>
        <v/>
      </c>
      <c r="I207" s="14" t="n"/>
      <c r="J207" s="16" t="n"/>
      <c r="K207" s="124">
        <f>IF(J207="","",COUNTIFS($C$18:$C$2015,J$13,$D$18:$D$2015,"&gt;="&amp;J207,$D$18:$D$2015,"&lt;"&amp;J208))</f>
        <v/>
      </c>
      <c r="L207" s="14" t="n"/>
      <c r="M207" s="16" t="n"/>
      <c r="N207" s="124">
        <f>IF(M207="","",COUNTIFS($C$18:$C$2015,M$13,$D$18:$D$2015,"&gt;="&amp;M207,$D$18:$D$2015,"&lt;"&amp;M208))</f>
        <v/>
      </c>
      <c r="O207" s="14" t="n"/>
      <c r="P207" s="16" t="n"/>
      <c r="Q207" s="124">
        <f>IF(P207="","",COUNTIFS($C$18:$C$2015,P$13,$D$18:$D$2015,"&gt;="&amp;P207,$D$18:$D$2015,"&lt;"&amp;P208))</f>
        <v/>
      </c>
      <c r="R207" s="14" t="n"/>
      <c r="S207" s="16" t="n"/>
      <c r="T207" s="124">
        <f>IF(S207="","",COUNTIFS($C$18:$C$2015,S$13,$D$18:$D$2015,"&gt;="&amp;S207,$D$18:$D$2015,"&lt;"&amp;S208))</f>
        <v/>
      </c>
      <c r="U207" s="14" t="n"/>
      <c r="V207" s="16" t="n"/>
      <c r="W207" s="124">
        <f>IF(V207="","",COUNTIFS($C$18:$C$2015,V$13,$D$18:$D$2015,"&gt;="&amp;V207,$D$18:$D$2015,"&lt;"&amp;V208))</f>
        <v/>
      </c>
      <c r="X207" s="14" t="n"/>
      <c r="Y207" s="16" t="n"/>
      <c r="Z207" s="124">
        <f>IF(Y207="","",COUNTIFS($C$18:$C$2015,Y$13,$D$18:$D$2015,"&gt;="&amp;Y207,$D$18:$D$2015,"&lt;"&amp;Y208))</f>
        <v/>
      </c>
      <c r="AA207" s="14" t="n"/>
      <c r="AB207" s="16" t="n"/>
      <c r="AC207" s="124">
        <f>IF(AB207="","",COUNTIFS($C$18:$C$2015,AB$13,$D$18:$D$2015,"&gt;="&amp;AB207,$D$18:$D$2015,"&lt;"&amp;AB208))</f>
        <v/>
      </c>
      <c r="AD207" s="14" t="n"/>
    </row>
    <row r="208">
      <c r="A208" s="56" t="n"/>
      <c r="B208" s="59" t="n"/>
      <c r="C208" s="59" t="n"/>
      <c r="E208" s="16" t="n"/>
      <c r="F208" s="13" t="n"/>
      <c r="G208" s="16" t="n"/>
      <c r="H208" s="124">
        <f>IF(G208="","",COUNTIFS($C$18:$C$2015,G$13,$D$18:$D$2015,"&gt;="&amp;G208,$D$18:$D$2015,"&lt;"&amp;G209))</f>
        <v/>
      </c>
      <c r="I208" s="14" t="n"/>
      <c r="J208" s="16" t="n"/>
      <c r="K208" s="124">
        <f>IF(J208="","",COUNTIFS($C$18:$C$2015,J$13,$D$18:$D$2015,"&gt;="&amp;J208,$D$18:$D$2015,"&lt;"&amp;J209))</f>
        <v/>
      </c>
      <c r="L208" s="14" t="n"/>
      <c r="M208" s="16" t="n"/>
      <c r="N208" s="124">
        <f>IF(M208="","",COUNTIFS($C$18:$C$2015,M$13,$D$18:$D$2015,"&gt;="&amp;M208,$D$18:$D$2015,"&lt;"&amp;M209))</f>
        <v/>
      </c>
      <c r="O208" s="14" t="n"/>
      <c r="P208" s="16" t="n"/>
      <c r="Q208" s="124">
        <f>IF(P208="","",COUNTIFS($C$18:$C$2015,P$13,$D$18:$D$2015,"&gt;="&amp;P208,$D$18:$D$2015,"&lt;"&amp;P209))</f>
        <v/>
      </c>
      <c r="R208" s="14" t="n"/>
      <c r="S208" s="16" t="n"/>
      <c r="T208" s="124">
        <f>IF(S208="","",COUNTIFS($C$18:$C$2015,S$13,$D$18:$D$2015,"&gt;="&amp;S208,$D$18:$D$2015,"&lt;"&amp;S209))</f>
        <v/>
      </c>
      <c r="U208" s="14" t="n"/>
      <c r="V208" s="16" t="n"/>
      <c r="W208" s="124">
        <f>IF(V208="","",COUNTIFS($C$18:$C$2015,V$13,$D$18:$D$2015,"&gt;="&amp;V208,$D$18:$D$2015,"&lt;"&amp;V209))</f>
        <v/>
      </c>
      <c r="X208" s="14" t="n"/>
      <c r="Y208" s="16" t="n"/>
      <c r="Z208" s="124">
        <f>IF(Y208="","",COUNTIFS($C$18:$C$2015,Y$13,$D$18:$D$2015,"&gt;="&amp;Y208,$D$18:$D$2015,"&lt;"&amp;Y209))</f>
        <v/>
      </c>
      <c r="AA208" s="14" t="n"/>
      <c r="AB208" s="16" t="n"/>
      <c r="AC208" s="124">
        <f>IF(AB208="","",COUNTIFS($C$18:$C$2015,AB$13,$D$18:$D$2015,"&gt;="&amp;AB208,$D$18:$D$2015,"&lt;"&amp;AB209))</f>
        <v/>
      </c>
      <c r="AD208" s="14" t="n"/>
    </row>
    <row r="209">
      <c r="A209" s="58" t="n"/>
      <c r="B209" s="59" t="n"/>
      <c r="C209" s="59" t="n"/>
      <c r="E209" s="16" t="n"/>
      <c r="F209" s="13" t="n"/>
      <c r="G209" s="16" t="n"/>
      <c r="H209" s="124">
        <f>IF(G209="","",COUNTIFS($C$18:$C$2015,G$13,$D$18:$D$2015,"&gt;="&amp;G209,$D$18:$D$2015,"&lt;"&amp;G210))</f>
        <v/>
      </c>
      <c r="I209" s="14" t="n"/>
      <c r="J209" s="16" t="n"/>
      <c r="K209" s="124">
        <f>IF(J209="","",COUNTIFS($C$18:$C$2015,J$13,$D$18:$D$2015,"&gt;="&amp;J209,$D$18:$D$2015,"&lt;"&amp;J210))</f>
        <v/>
      </c>
      <c r="L209" s="14" t="n"/>
      <c r="M209" s="16" t="n"/>
      <c r="N209" s="124">
        <f>IF(M209="","",COUNTIFS($C$18:$C$2015,M$13,$D$18:$D$2015,"&gt;="&amp;M209,$D$18:$D$2015,"&lt;"&amp;M210))</f>
        <v/>
      </c>
      <c r="O209" s="14" t="n"/>
      <c r="P209" s="16" t="n"/>
      <c r="Q209" s="124">
        <f>IF(P209="","",COUNTIFS($C$18:$C$2015,P$13,$D$18:$D$2015,"&gt;="&amp;P209,$D$18:$D$2015,"&lt;"&amp;P210))</f>
        <v/>
      </c>
      <c r="R209" s="14" t="n"/>
      <c r="S209" s="16" t="n"/>
      <c r="T209" s="124">
        <f>IF(S209="","",COUNTIFS($C$18:$C$2015,S$13,$D$18:$D$2015,"&gt;="&amp;S209,$D$18:$D$2015,"&lt;"&amp;S210))</f>
        <v/>
      </c>
      <c r="U209" s="14" t="n"/>
      <c r="V209" s="16" t="n"/>
      <c r="W209" s="124">
        <f>IF(V209="","",COUNTIFS($C$18:$C$2015,V$13,$D$18:$D$2015,"&gt;="&amp;V209,$D$18:$D$2015,"&lt;"&amp;V210))</f>
        <v/>
      </c>
      <c r="X209" s="14" t="n"/>
      <c r="Y209" s="16" t="n"/>
      <c r="Z209" s="124">
        <f>IF(Y209="","",COUNTIFS($C$18:$C$2015,Y$13,$D$18:$D$2015,"&gt;="&amp;Y209,$D$18:$D$2015,"&lt;"&amp;Y210))</f>
        <v/>
      </c>
      <c r="AA209" s="14" t="n"/>
      <c r="AB209" s="16" t="n"/>
      <c r="AC209" s="124">
        <f>IF(AB209="","",COUNTIFS($C$18:$C$2015,AB$13,$D$18:$D$2015,"&gt;="&amp;AB209,$D$18:$D$2015,"&lt;"&amp;AB210))</f>
        <v/>
      </c>
      <c r="AD209" s="14" t="n"/>
    </row>
    <row r="210">
      <c r="A210" s="56" t="n"/>
      <c r="B210" s="59" t="n"/>
      <c r="C210" s="59" t="n"/>
      <c r="E210" s="16" t="n"/>
      <c r="F210" s="13" t="n"/>
      <c r="G210" s="16" t="n"/>
      <c r="H210" s="124">
        <f>IF(G210="","",COUNTIFS($C$18:$C$2015,G$13,$D$18:$D$2015,"&gt;="&amp;G210,$D$18:$D$2015,"&lt;"&amp;G211))</f>
        <v/>
      </c>
      <c r="I210" s="14" t="n"/>
      <c r="J210" s="16" t="n"/>
      <c r="K210" s="124">
        <f>IF(J210="","",COUNTIFS($C$18:$C$2015,J$13,$D$18:$D$2015,"&gt;="&amp;J210,$D$18:$D$2015,"&lt;"&amp;J211))</f>
        <v/>
      </c>
      <c r="L210" s="14" t="n"/>
      <c r="M210" s="16" t="n"/>
      <c r="N210" s="124">
        <f>IF(M210="","",COUNTIFS($C$18:$C$2015,M$13,$D$18:$D$2015,"&gt;="&amp;M210,$D$18:$D$2015,"&lt;"&amp;M211))</f>
        <v/>
      </c>
      <c r="O210" s="14" t="n"/>
      <c r="P210" s="16" t="n"/>
      <c r="Q210" s="124">
        <f>IF(P210="","",COUNTIFS($C$18:$C$2015,P$13,$D$18:$D$2015,"&gt;="&amp;P210,$D$18:$D$2015,"&lt;"&amp;P211))</f>
        <v/>
      </c>
      <c r="R210" s="14" t="n"/>
      <c r="S210" s="16" t="n"/>
      <c r="T210" s="124">
        <f>IF(S210="","",COUNTIFS($C$18:$C$2015,S$13,$D$18:$D$2015,"&gt;="&amp;S210,$D$18:$D$2015,"&lt;"&amp;S211))</f>
        <v/>
      </c>
      <c r="U210" s="14" t="n"/>
      <c r="V210" s="16" t="n"/>
      <c r="W210" s="124">
        <f>IF(V210="","",COUNTIFS($C$18:$C$2015,V$13,$D$18:$D$2015,"&gt;="&amp;V210,$D$18:$D$2015,"&lt;"&amp;V211))</f>
        <v/>
      </c>
      <c r="X210" s="14" t="n"/>
      <c r="Y210" s="16" t="n"/>
      <c r="Z210" s="124">
        <f>IF(Y210="","",COUNTIFS($C$18:$C$2015,Y$13,$D$18:$D$2015,"&gt;="&amp;Y210,$D$18:$D$2015,"&lt;"&amp;Y211))</f>
        <v/>
      </c>
      <c r="AA210" s="14" t="n"/>
      <c r="AB210" s="16" t="n"/>
      <c r="AC210" s="124">
        <f>IF(AB210="","",COUNTIFS($C$18:$C$2015,AB$13,$D$18:$D$2015,"&gt;="&amp;AB210,$D$18:$D$2015,"&lt;"&amp;AB211))</f>
        <v/>
      </c>
      <c r="AD210" s="14" t="n"/>
    </row>
    <row r="211">
      <c r="A211" s="58" t="n"/>
      <c r="B211" s="59" t="n"/>
      <c r="C211" s="59" t="n"/>
      <c r="E211" s="16" t="n"/>
      <c r="F211" s="13" t="n"/>
      <c r="G211" s="16" t="n"/>
      <c r="H211" s="124">
        <f>IF(G211="","",COUNTIFS($C$18:$C$2015,G$13,$D$18:$D$2015,"&gt;="&amp;G211,$D$18:$D$2015,"&lt;"&amp;G212))</f>
        <v/>
      </c>
      <c r="I211" s="14" t="n"/>
      <c r="J211" s="16" t="n"/>
      <c r="K211" s="124">
        <f>IF(J211="","",COUNTIFS($C$18:$C$2015,J$13,$D$18:$D$2015,"&gt;="&amp;J211,$D$18:$D$2015,"&lt;"&amp;J212))</f>
        <v/>
      </c>
      <c r="L211" s="14" t="n"/>
      <c r="M211" s="16" t="n"/>
      <c r="N211" s="124">
        <f>IF(M211="","",COUNTIFS($C$18:$C$2015,M$13,$D$18:$D$2015,"&gt;="&amp;M211,$D$18:$D$2015,"&lt;"&amp;M212))</f>
        <v/>
      </c>
      <c r="O211" s="14" t="n"/>
      <c r="P211" s="16" t="n"/>
      <c r="Q211" s="124">
        <f>IF(P211="","",COUNTIFS($C$18:$C$2015,P$13,$D$18:$D$2015,"&gt;="&amp;P211,$D$18:$D$2015,"&lt;"&amp;P212))</f>
        <v/>
      </c>
      <c r="R211" s="14" t="n"/>
      <c r="S211" s="16" t="n"/>
      <c r="T211" s="124">
        <f>IF(S211="","",COUNTIFS($C$18:$C$2015,S$13,$D$18:$D$2015,"&gt;="&amp;S211,$D$18:$D$2015,"&lt;"&amp;S212))</f>
        <v/>
      </c>
      <c r="U211" s="14" t="n"/>
      <c r="V211" s="16" t="n"/>
      <c r="W211" s="124">
        <f>IF(V211="","",COUNTIFS($C$18:$C$2015,V$13,$D$18:$D$2015,"&gt;="&amp;V211,$D$18:$D$2015,"&lt;"&amp;V212))</f>
        <v/>
      </c>
      <c r="X211" s="14" t="n"/>
      <c r="Y211" s="16" t="n"/>
      <c r="Z211" s="124">
        <f>IF(Y211="","",COUNTIFS($C$18:$C$2015,Y$13,$D$18:$D$2015,"&gt;="&amp;Y211,$D$18:$D$2015,"&lt;"&amp;Y212))</f>
        <v/>
      </c>
      <c r="AA211" s="14" t="n"/>
      <c r="AB211" s="16" t="n"/>
      <c r="AC211" s="124">
        <f>IF(AB211="","",COUNTIFS($C$18:$C$2015,AB$13,$D$18:$D$2015,"&gt;="&amp;AB211,$D$18:$D$2015,"&lt;"&amp;AB212))</f>
        <v/>
      </c>
      <c r="AD211" s="14" t="n"/>
    </row>
    <row r="212">
      <c r="A212" s="56" t="n"/>
      <c r="B212" s="59" t="n"/>
      <c r="C212" s="59" t="n"/>
      <c r="E212" s="16" t="n"/>
      <c r="F212" s="13" t="n"/>
      <c r="G212" s="16" t="n"/>
      <c r="H212" s="124">
        <f>IF(G212="","",COUNTIFS($C$18:$C$2015,G$13,$D$18:$D$2015,"&gt;="&amp;G212,$D$18:$D$2015,"&lt;"&amp;G213))</f>
        <v/>
      </c>
      <c r="I212" s="14" t="n"/>
      <c r="J212" s="16" t="n"/>
      <c r="K212" s="124">
        <f>IF(J212="","",COUNTIFS($C$18:$C$2015,J$13,$D$18:$D$2015,"&gt;="&amp;J212,$D$18:$D$2015,"&lt;"&amp;J213))</f>
        <v/>
      </c>
      <c r="L212" s="14" t="n"/>
      <c r="M212" s="16" t="n"/>
      <c r="N212" s="124">
        <f>IF(M212="","",COUNTIFS($C$18:$C$2015,M$13,$D$18:$D$2015,"&gt;="&amp;M212,$D$18:$D$2015,"&lt;"&amp;M213))</f>
        <v/>
      </c>
      <c r="O212" s="14" t="n"/>
      <c r="P212" s="16" t="n"/>
      <c r="Q212" s="124">
        <f>IF(P212="","",COUNTIFS($C$18:$C$2015,P$13,$D$18:$D$2015,"&gt;="&amp;P212,$D$18:$D$2015,"&lt;"&amp;P213))</f>
        <v/>
      </c>
      <c r="R212" s="14" t="n"/>
      <c r="S212" s="16" t="n"/>
      <c r="T212" s="124">
        <f>IF(S212="","",COUNTIFS($C$18:$C$2015,S$13,$D$18:$D$2015,"&gt;="&amp;S212,$D$18:$D$2015,"&lt;"&amp;S213))</f>
        <v/>
      </c>
      <c r="U212" s="14" t="n"/>
      <c r="V212" s="16" t="n"/>
      <c r="W212" s="124">
        <f>IF(V212="","",COUNTIFS($C$18:$C$2015,V$13,$D$18:$D$2015,"&gt;="&amp;V212,$D$18:$D$2015,"&lt;"&amp;V213))</f>
        <v/>
      </c>
      <c r="X212" s="14" t="n"/>
      <c r="Y212" s="16" t="n"/>
      <c r="Z212" s="124">
        <f>IF(Y212="","",COUNTIFS($C$18:$C$2015,Y$13,$D$18:$D$2015,"&gt;="&amp;Y212,$D$18:$D$2015,"&lt;"&amp;Y213))</f>
        <v/>
      </c>
      <c r="AA212" s="14" t="n"/>
      <c r="AB212" s="16" t="n"/>
      <c r="AC212" s="124">
        <f>IF(AB212="","",COUNTIFS($C$18:$C$2015,AB$13,$D$18:$D$2015,"&gt;="&amp;AB212,$D$18:$D$2015,"&lt;"&amp;AB213))</f>
        <v/>
      </c>
      <c r="AD212" s="14" t="n"/>
    </row>
    <row r="213">
      <c r="A213" s="58" t="n"/>
      <c r="B213" s="59" t="n"/>
      <c r="C213" s="59" t="n"/>
      <c r="E213" s="16" t="n"/>
      <c r="F213" s="13" t="n"/>
      <c r="G213" s="16" t="n"/>
      <c r="H213" s="124">
        <f>IF(G213="","",COUNTIFS($C$18:$C$2015,G$13,$D$18:$D$2015,"&gt;="&amp;G213,$D$18:$D$2015,"&lt;"&amp;G214))</f>
        <v/>
      </c>
      <c r="I213" s="14" t="n"/>
      <c r="J213" s="16" t="n"/>
      <c r="K213" s="124">
        <f>IF(J213="","",COUNTIFS($C$18:$C$2015,J$13,$D$18:$D$2015,"&gt;="&amp;J213,$D$18:$D$2015,"&lt;"&amp;J214))</f>
        <v/>
      </c>
      <c r="L213" s="14" t="n"/>
      <c r="M213" s="16" t="n"/>
      <c r="N213" s="124">
        <f>IF(M213="","",COUNTIFS($C$18:$C$2015,M$13,$D$18:$D$2015,"&gt;="&amp;M213,$D$18:$D$2015,"&lt;"&amp;M214))</f>
        <v/>
      </c>
      <c r="O213" s="14" t="n"/>
      <c r="P213" s="16" t="n"/>
      <c r="Q213" s="124">
        <f>IF(P213="","",COUNTIFS($C$18:$C$2015,P$13,$D$18:$D$2015,"&gt;="&amp;P213,$D$18:$D$2015,"&lt;"&amp;P214))</f>
        <v/>
      </c>
      <c r="R213" s="14" t="n"/>
      <c r="S213" s="16" t="n"/>
      <c r="T213" s="124">
        <f>IF(S213="","",COUNTIFS($C$18:$C$2015,S$13,$D$18:$D$2015,"&gt;="&amp;S213,$D$18:$D$2015,"&lt;"&amp;S214))</f>
        <v/>
      </c>
      <c r="U213" s="14" t="n"/>
      <c r="V213" s="16" t="n"/>
      <c r="W213" s="124">
        <f>IF(V213="","",COUNTIFS($C$18:$C$2015,V$13,$D$18:$D$2015,"&gt;="&amp;V213,$D$18:$D$2015,"&lt;"&amp;V214))</f>
        <v/>
      </c>
      <c r="X213" s="14" t="n"/>
      <c r="Y213" s="16" t="n"/>
      <c r="Z213" s="124">
        <f>IF(Y213="","",COUNTIFS($C$18:$C$2015,Y$13,$D$18:$D$2015,"&gt;="&amp;Y213,$D$18:$D$2015,"&lt;"&amp;Y214))</f>
        <v/>
      </c>
      <c r="AA213" s="14" t="n"/>
      <c r="AB213" s="16" t="n"/>
      <c r="AC213" s="124">
        <f>IF(AB213="","",COUNTIFS($C$18:$C$2015,AB$13,$D$18:$D$2015,"&gt;="&amp;AB213,$D$18:$D$2015,"&lt;"&amp;AB214))</f>
        <v/>
      </c>
      <c r="AD213" s="14" t="n"/>
    </row>
    <row r="214">
      <c r="A214" s="56" t="n"/>
      <c r="B214" s="59" t="n"/>
      <c r="C214" s="59" t="n"/>
      <c r="E214" s="16" t="n"/>
      <c r="F214" s="13" t="n"/>
      <c r="G214" s="16" t="n"/>
      <c r="H214" s="124">
        <f>IF(G214="","",COUNTIFS($C$18:$C$2015,G$13,$D$18:$D$2015,"&gt;="&amp;G214,$D$18:$D$2015,"&lt;"&amp;G215))</f>
        <v/>
      </c>
      <c r="I214" s="14" t="n"/>
      <c r="J214" s="16" t="n"/>
      <c r="K214" s="124">
        <f>IF(J214="","",COUNTIFS($C$18:$C$2015,J$13,$D$18:$D$2015,"&gt;="&amp;J214,$D$18:$D$2015,"&lt;"&amp;J215))</f>
        <v/>
      </c>
      <c r="L214" s="14" t="n"/>
      <c r="M214" s="16" t="n"/>
      <c r="N214" s="124">
        <f>IF(M214="","",COUNTIFS($C$18:$C$2015,M$13,$D$18:$D$2015,"&gt;="&amp;M214,$D$18:$D$2015,"&lt;"&amp;M215))</f>
        <v/>
      </c>
      <c r="O214" s="14" t="n"/>
      <c r="P214" s="16" t="n"/>
      <c r="Q214" s="124">
        <f>IF(P214="","",COUNTIFS($C$18:$C$2015,P$13,$D$18:$D$2015,"&gt;="&amp;P214,$D$18:$D$2015,"&lt;"&amp;P215))</f>
        <v/>
      </c>
      <c r="R214" s="14" t="n"/>
      <c r="S214" s="16" t="n"/>
      <c r="T214" s="124">
        <f>IF(S214="","",COUNTIFS($C$18:$C$2015,S$13,$D$18:$D$2015,"&gt;="&amp;S214,$D$18:$D$2015,"&lt;"&amp;S215))</f>
        <v/>
      </c>
      <c r="U214" s="14" t="n"/>
      <c r="V214" s="16" t="n"/>
      <c r="W214" s="124">
        <f>IF(V214="","",COUNTIFS($C$18:$C$2015,V$13,$D$18:$D$2015,"&gt;="&amp;V214,$D$18:$D$2015,"&lt;"&amp;V215))</f>
        <v/>
      </c>
      <c r="X214" s="14" t="n"/>
      <c r="Y214" s="16" t="n"/>
      <c r="Z214" s="124">
        <f>IF(Y214="","",COUNTIFS($C$18:$C$2015,Y$13,$D$18:$D$2015,"&gt;="&amp;Y214,$D$18:$D$2015,"&lt;"&amp;Y215))</f>
        <v/>
      </c>
      <c r="AA214" s="14" t="n"/>
      <c r="AB214" s="16" t="n"/>
      <c r="AC214" s="124">
        <f>IF(AB214="","",COUNTIFS($C$18:$C$2015,AB$13,$D$18:$D$2015,"&gt;="&amp;AB214,$D$18:$D$2015,"&lt;"&amp;AB215))</f>
        <v/>
      </c>
      <c r="AD214" s="14" t="n"/>
    </row>
    <row r="215">
      <c r="A215" s="58" t="n"/>
      <c r="B215" s="59" t="n"/>
      <c r="C215" s="59" t="n"/>
      <c r="E215" s="16" t="n"/>
      <c r="F215" s="13" t="n"/>
      <c r="G215" s="16" t="n"/>
      <c r="H215" s="124">
        <f>IF(G215="","",COUNTIFS($C$18:$C$2015,G$13,$D$18:$D$2015,"&gt;="&amp;G215,$D$18:$D$2015,"&lt;"&amp;G216))</f>
        <v/>
      </c>
      <c r="I215" s="14" t="n"/>
      <c r="J215" s="16" t="n"/>
      <c r="K215" s="124">
        <f>IF(J215="","",COUNTIFS($C$18:$C$2015,J$13,$D$18:$D$2015,"&gt;="&amp;J215,$D$18:$D$2015,"&lt;"&amp;J216))</f>
        <v/>
      </c>
      <c r="L215" s="14" t="n"/>
      <c r="M215" s="16" t="n"/>
      <c r="N215" s="124">
        <f>IF(M215="","",COUNTIFS($C$18:$C$2015,M$13,$D$18:$D$2015,"&gt;="&amp;M215,$D$18:$D$2015,"&lt;"&amp;M216))</f>
        <v/>
      </c>
      <c r="O215" s="14" t="n"/>
      <c r="P215" s="16" t="n"/>
      <c r="Q215" s="124">
        <f>IF(P215="","",COUNTIFS($C$18:$C$2015,P$13,$D$18:$D$2015,"&gt;="&amp;P215,$D$18:$D$2015,"&lt;"&amp;P216))</f>
        <v/>
      </c>
      <c r="R215" s="14" t="n"/>
      <c r="S215" s="16" t="n"/>
      <c r="T215" s="124">
        <f>IF(S215="","",COUNTIFS($C$18:$C$2015,S$13,$D$18:$D$2015,"&gt;="&amp;S215,$D$18:$D$2015,"&lt;"&amp;S216))</f>
        <v/>
      </c>
      <c r="U215" s="14" t="n"/>
      <c r="V215" s="16" t="n"/>
      <c r="W215" s="124">
        <f>IF(V215="","",COUNTIFS($C$18:$C$2015,V$13,$D$18:$D$2015,"&gt;="&amp;V215,$D$18:$D$2015,"&lt;"&amp;V216))</f>
        <v/>
      </c>
      <c r="X215" s="14" t="n"/>
      <c r="Y215" s="16" t="n"/>
      <c r="Z215" s="124">
        <f>IF(Y215="","",COUNTIFS($C$18:$C$2015,Y$13,$D$18:$D$2015,"&gt;="&amp;Y215,$D$18:$D$2015,"&lt;"&amp;Y216))</f>
        <v/>
      </c>
      <c r="AA215" s="14" t="n"/>
      <c r="AB215" s="16" t="n"/>
      <c r="AC215" s="124">
        <f>IF(AB215="","",COUNTIFS($C$18:$C$2015,AB$13,$D$18:$D$2015,"&gt;="&amp;AB215,$D$18:$D$2015,"&lt;"&amp;AB216))</f>
        <v/>
      </c>
      <c r="AD215" s="14" t="n"/>
    </row>
    <row r="216">
      <c r="A216" s="56" t="n"/>
      <c r="B216" s="59" t="n"/>
      <c r="C216" s="59" t="n"/>
      <c r="E216" s="16" t="n"/>
      <c r="F216" s="13" t="n"/>
      <c r="G216" s="16" t="n"/>
      <c r="H216" s="124">
        <f>IF(G216="","",COUNTIFS($C$18:$C$2015,G$13,$D$18:$D$2015,"&gt;="&amp;G216,$D$18:$D$2015,"&lt;"&amp;G217))</f>
        <v/>
      </c>
      <c r="I216" s="14" t="n"/>
      <c r="J216" s="16" t="n"/>
      <c r="K216" s="124">
        <f>IF(J216="","",COUNTIFS($C$18:$C$2015,J$13,$D$18:$D$2015,"&gt;="&amp;J216,$D$18:$D$2015,"&lt;"&amp;J217))</f>
        <v/>
      </c>
      <c r="L216" s="14" t="n"/>
      <c r="M216" s="16" t="n"/>
      <c r="N216" s="124">
        <f>IF(M216="","",COUNTIFS($C$18:$C$2015,M$13,$D$18:$D$2015,"&gt;="&amp;M216,$D$18:$D$2015,"&lt;"&amp;M217))</f>
        <v/>
      </c>
      <c r="O216" s="14" t="n"/>
      <c r="P216" s="16" t="n"/>
      <c r="Q216" s="124">
        <f>IF(P216="","",COUNTIFS($C$18:$C$2015,P$13,$D$18:$D$2015,"&gt;="&amp;P216,$D$18:$D$2015,"&lt;"&amp;P217))</f>
        <v/>
      </c>
      <c r="R216" s="14" t="n"/>
      <c r="S216" s="16" t="n"/>
      <c r="T216" s="124">
        <f>IF(S216="","",COUNTIFS($C$18:$C$2015,S$13,$D$18:$D$2015,"&gt;="&amp;S216,$D$18:$D$2015,"&lt;"&amp;S217))</f>
        <v/>
      </c>
      <c r="U216" s="14" t="n"/>
      <c r="V216" s="16" t="n"/>
      <c r="W216" s="124">
        <f>IF(V216="","",COUNTIFS($C$18:$C$2015,V$13,$D$18:$D$2015,"&gt;="&amp;V216,$D$18:$D$2015,"&lt;"&amp;V217))</f>
        <v/>
      </c>
      <c r="X216" s="14" t="n"/>
      <c r="Y216" s="16" t="n"/>
      <c r="Z216" s="124">
        <f>IF(Y216="","",COUNTIFS($C$18:$C$2015,Y$13,$D$18:$D$2015,"&gt;="&amp;Y216,$D$18:$D$2015,"&lt;"&amp;Y217))</f>
        <v/>
      </c>
      <c r="AA216" s="14" t="n"/>
      <c r="AB216" s="16" t="n"/>
      <c r="AC216" s="124">
        <f>IF(AB216="","",COUNTIFS($C$18:$C$2015,AB$13,$D$18:$D$2015,"&gt;="&amp;AB216,$D$18:$D$2015,"&lt;"&amp;AB217))</f>
        <v/>
      </c>
      <c r="AD216" s="14" t="n"/>
    </row>
    <row r="217">
      <c r="A217" s="58" t="n"/>
      <c r="B217" s="59" t="n"/>
      <c r="C217" s="59" t="n"/>
      <c r="E217" s="16" t="n"/>
      <c r="F217" s="13" t="n"/>
      <c r="G217" s="16" t="n"/>
      <c r="H217" s="124">
        <f>IF(G217="","",COUNTIFS($C$18:$C$2015,G$13,$D$18:$D$2015,"&gt;="&amp;G217,$D$18:$D$2015,"&lt;"&amp;G218))</f>
        <v/>
      </c>
      <c r="I217" s="14" t="n"/>
      <c r="J217" s="16" t="n"/>
      <c r="K217" s="124">
        <f>IF(J217="","",COUNTIFS($C$18:$C$2015,J$13,$D$18:$D$2015,"&gt;="&amp;J217,$D$18:$D$2015,"&lt;"&amp;J218))</f>
        <v/>
      </c>
      <c r="L217" s="14" t="n"/>
      <c r="M217" s="16" t="n"/>
      <c r="N217" s="124">
        <f>IF(M217="","",COUNTIFS($C$18:$C$2015,M$13,$D$18:$D$2015,"&gt;="&amp;M217,$D$18:$D$2015,"&lt;"&amp;M218))</f>
        <v/>
      </c>
      <c r="O217" s="14" t="n"/>
      <c r="P217" s="16" t="n"/>
      <c r="Q217" s="124">
        <f>IF(P217="","",COUNTIFS($C$18:$C$2015,P$13,$D$18:$D$2015,"&gt;="&amp;P217,$D$18:$D$2015,"&lt;"&amp;P218))</f>
        <v/>
      </c>
      <c r="R217" s="14" t="n"/>
      <c r="S217" s="16" t="n"/>
      <c r="T217" s="124">
        <f>IF(S217="","",COUNTIFS($C$18:$C$2015,S$13,$D$18:$D$2015,"&gt;="&amp;S217,$D$18:$D$2015,"&lt;"&amp;S218))</f>
        <v/>
      </c>
      <c r="U217" s="14" t="n"/>
      <c r="V217" s="16" t="n"/>
      <c r="W217" s="124">
        <f>IF(V217="","",COUNTIFS($C$18:$C$2015,V$13,$D$18:$D$2015,"&gt;="&amp;V217,$D$18:$D$2015,"&lt;"&amp;V218))</f>
        <v/>
      </c>
      <c r="X217" s="14" t="n"/>
      <c r="Y217" s="16" t="n"/>
      <c r="Z217" s="124">
        <f>IF(Y217="","",COUNTIFS($C$18:$C$2015,Y$13,$D$18:$D$2015,"&gt;="&amp;Y217,$D$18:$D$2015,"&lt;"&amp;Y218))</f>
        <v/>
      </c>
      <c r="AA217" s="14" t="n"/>
      <c r="AB217" s="16" t="n"/>
      <c r="AC217" s="124">
        <f>IF(AB217="","",COUNTIFS($C$18:$C$2015,AB$13,$D$18:$D$2015,"&gt;="&amp;AB217,$D$18:$D$2015,"&lt;"&amp;AB218))</f>
        <v/>
      </c>
      <c r="AD217" s="14" t="n"/>
    </row>
    <row r="218">
      <c r="A218" s="56" t="n"/>
      <c r="B218" s="59" t="n"/>
      <c r="C218" s="59" t="n"/>
      <c r="E218" s="16" t="n"/>
      <c r="F218" s="13" t="n"/>
      <c r="G218" s="16" t="n"/>
      <c r="H218" s="124">
        <f>IF(G218="","",COUNTIFS($C$18:$C$2015,G$13,$D$18:$D$2015,"&gt;="&amp;G218,$D$18:$D$2015,"&lt;"&amp;G219))</f>
        <v/>
      </c>
      <c r="I218" s="14" t="n"/>
      <c r="J218" s="16" t="n"/>
      <c r="K218" s="124">
        <f>IF(J218="","",COUNTIFS($C$18:$C$2015,J$13,$D$18:$D$2015,"&gt;="&amp;J218,$D$18:$D$2015,"&lt;"&amp;J219))</f>
        <v/>
      </c>
      <c r="L218" s="14" t="n"/>
      <c r="M218" s="16" t="n"/>
      <c r="N218" s="124">
        <f>IF(M218="","",COUNTIFS($C$18:$C$2015,M$13,$D$18:$D$2015,"&gt;="&amp;M218,$D$18:$D$2015,"&lt;"&amp;M219))</f>
        <v/>
      </c>
      <c r="O218" s="14" t="n"/>
      <c r="P218" s="16" t="n"/>
      <c r="Q218" s="124">
        <f>IF(P218="","",COUNTIFS($C$18:$C$2015,P$13,$D$18:$D$2015,"&gt;="&amp;P218,$D$18:$D$2015,"&lt;"&amp;P219))</f>
        <v/>
      </c>
      <c r="R218" s="14" t="n"/>
      <c r="S218" s="16" t="n"/>
      <c r="T218" s="124">
        <f>IF(S218="","",COUNTIFS($C$18:$C$2015,S$13,$D$18:$D$2015,"&gt;="&amp;S218,$D$18:$D$2015,"&lt;"&amp;S219))</f>
        <v/>
      </c>
      <c r="U218" s="14" t="n"/>
      <c r="V218" s="16" t="n"/>
      <c r="W218" s="124">
        <f>IF(V218="","",COUNTIFS($C$18:$C$2015,V$13,$D$18:$D$2015,"&gt;="&amp;V218,$D$18:$D$2015,"&lt;"&amp;V219))</f>
        <v/>
      </c>
      <c r="X218" s="14" t="n"/>
      <c r="Y218" s="16" t="n"/>
      <c r="Z218" s="124">
        <f>IF(Y218="","",COUNTIFS($C$18:$C$2015,Y$13,$D$18:$D$2015,"&gt;="&amp;Y218,$D$18:$D$2015,"&lt;"&amp;Y219))</f>
        <v/>
      </c>
      <c r="AA218" s="14" t="n"/>
      <c r="AB218" s="16" t="n"/>
      <c r="AC218" s="124">
        <f>IF(AB218="","",COUNTIFS($C$18:$C$2015,AB$13,$D$18:$D$2015,"&gt;="&amp;AB218,$D$18:$D$2015,"&lt;"&amp;AB219))</f>
        <v/>
      </c>
      <c r="AD218" s="14" t="n"/>
    </row>
    <row r="219">
      <c r="A219" s="58" t="n"/>
      <c r="B219" s="59" t="n"/>
      <c r="C219" s="59" t="n"/>
      <c r="E219" s="16" t="n"/>
      <c r="F219" s="13" t="n"/>
      <c r="G219" s="16" t="n"/>
      <c r="H219" s="124">
        <f>IF(G219="","",COUNTIFS($C$18:$C$2015,G$13,$D$18:$D$2015,"&gt;="&amp;G219,$D$18:$D$2015,"&lt;"&amp;G220))</f>
        <v/>
      </c>
      <c r="I219" s="14" t="n"/>
      <c r="J219" s="16" t="n"/>
      <c r="K219" s="124">
        <f>IF(J219="","",COUNTIFS($C$18:$C$2015,J$13,$D$18:$D$2015,"&gt;="&amp;J219,$D$18:$D$2015,"&lt;"&amp;J220))</f>
        <v/>
      </c>
      <c r="L219" s="14" t="n"/>
      <c r="M219" s="16" t="n"/>
      <c r="N219" s="124">
        <f>IF(M219="","",COUNTIFS($C$18:$C$2015,M$13,$D$18:$D$2015,"&gt;="&amp;M219,$D$18:$D$2015,"&lt;"&amp;M220))</f>
        <v/>
      </c>
      <c r="O219" s="14" t="n"/>
      <c r="P219" s="16" t="n"/>
      <c r="Q219" s="124">
        <f>IF(P219="","",COUNTIFS($C$18:$C$2015,P$13,$D$18:$D$2015,"&gt;="&amp;P219,$D$18:$D$2015,"&lt;"&amp;P220))</f>
        <v/>
      </c>
      <c r="R219" s="14" t="n"/>
      <c r="S219" s="16" t="n"/>
      <c r="T219" s="124">
        <f>IF(S219="","",COUNTIFS($C$18:$C$2015,S$13,$D$18:$D$2015,"&gt;="&amp;S219,$D$18:$D$2015,"&lt;"&amp;S220))</f>
        <v/>
      </c>
      <c r="U219" s="14" t="n"/>
      <c r="V219" s="16" t="n"/>
      <c r="W219" s="124">
        <f>IF(V219="","",COUNTIFS($C$18:$C$2015,V$13,$D$18:$D$2015,"&gt;="&amp;V219,$D$18:$D$2015,"&lt;"&amp;V220))</f>
        <v/>
      </c>
      <c r="X219" s="14" t="n"/>
      <c r="Y219" s="16" t="n"/>
      <c r="Z219" s="124">
        <f>IF(Y219="","",COUNTIFS($C$18:$C$2015,Y$13,$D$18:$D$2015,"&gt;="&amp;Y219,$D$18:$D$2015,"&lt;"&amp;Y220))</f>
        <v/>
      </c>
      <c r="AA219" s="14" t="n"/>
      <c r="AB219" s="16" t="n"/>
      <c r="AC219" s="124">
        <f>IF(AB219="","",COUNTIFS($C$18:$C$2015,AB$13,$D$18:$D$2015,"&gt;="&amp;AB219,$D$18:$D$2015,"&lt;"&amp;AB220))</f>
        <v/>
      </c>
      <c r="AD219" s="14" t="n"/>
    </row>
    <row r="220">
      <c r="A220" s="56" t="n"/>
      <c r="B220" s="59" t="n"/>
      <c r="C220" s="59" t="n"/>
      <c r="E220" s="16" t="n"/>
      <c r="F220" s="13" t="n"/>
      <c r="G220" s="16" t="n"/>
      <c r="H220" s="124">
        <f>IF(G220="","",COUNTIFS($C$18:$C$2015,G$13,$D$18:$D$2015,"&gt;="&amp;G220,$D$18:$D$2015,"&lt;"&amp;G221))</f>
        <v/>
      </c>
      <c r="I220" s="14" t="n"/>
      <c r="J220" s="16" t="n"/>
      <c r="K220" s="124">
        <f>IF(J220="","",COUNTIFS($C$18:$C$2015,J$13,$D$18:$D$2015,"&gt;="&amp;J220,$D$18:$D$2015,"&lt;"&amp;J221))</f>
        <v/>
      </c>
      <c r="L220" s="14" t="n"/>
      <c r="M220" s="16" t="n"/>
      <c r="N220" s="124">
        <f>IF(M220="","",COUNTIFS($C$18:$C$2015,M$13,$D$18:$D$2015,"&gt;="&amp;M220,$D$18:$D$2015,"&lt;"&amp;M221))</f>
        <v/>
      </c>
      <c r="O220" s="14" t="n"/>
      <c r="P220" s="16" t="n"/>
      <c r="Q220" s="124">
        <f>IF(P220="","",COUNTIFS($C$18:$C$2015,P$13,$D$18:$D$2015,"&gt;="&amp;P220,$D$18:$D$2015,"&lt;"&amp;P221))</f>
        <v/>
      </c>
      <c r="R220" s="14" t="n"/>
      <c r="S220" s="16" t="n"/>
      <c r="T220" s="124">
        <f>IF(S220="","",COUNTIFS($C$18:$C$2015,S$13,$D$18:$D$2015,"&gt;="&amp;S220,$D$18:$D$2015,"&lt;"&amp;S221))</f>
        <v/>
      </c>
      <c r="U220" s="14" t="n"/>
      <c r="V220" s="16" t="n"/>
      <c r="W220" s="124">
        <f>IF(V220="","",COUNTIFS($C$18:$C$2015,V$13,$D$18:$D$2015,"&gt;="&amp;V220,$D$18:$D$2015,"&lt;"&amp;V221))</f>
        <v/>
      </c>
      <c r="X220" s="14" t="n"/>
      <c r="Y220" s="16" t="n"/>
      <c r="Z220" s="124">
        <f>IF(Y220="","",COUNTIFS($C$18:$C$2015,Y$13,$D$18:$D$2015,"&gt;="&amp;Y220,$D$18:$D$2015,"&lt;"&amp;Y221))</f>
        <v/>
      </c>
      <c r="AA220" s="14" t="n"/>
      <c r="AB220" s="16" t="n"/>
      <c r="AC220" s="124">
        <f>IF(AB220="","",COUNTIFS($C$18:$C$2015,AB$13,$D$18:$D$2015,"&gt;="&amp;AB220,$D$18:$D$2015,"&lt;"&amp;AB221))</f>
        <v/>
      </c>
      <c r="AD220" s="14" t="n"/>
    </row>
    <row r="221">
      <c r="A221" s="58" t="n"/>
      <c r="B221" s="59" t="n"/>
      <c r="C221" s="59" t="n"/>
      <c r="E221" s="16" t="n"/>
      <c r="F221" s="13" t="n"/>
      <c r="G221" s="16" t="n"/>
      <c r="H221" s="124">
        <f>IF(G221="","",COUNTIFS($C$18:$C$2015,G$13,$D$18:$D$2015,"&gt;="&amp;G221,$D$18:$D$2015,"&lt;"&amp;G222))</f>
        <v/>
      </c>
      <c r="I221" s="14" t="n"/>
      <c r="J221" s="16" t="n"/>
      <c r="K221" s="124">
        <f>IF(J221="","",COUNTIFS($C$18:$C$2015,J$13,$D$18:$D$2015,"&gt;="&amp;J221,$D$18:$D$2015,"&lt;"&amp;J222))</f>
        <v/>
      </c>
      <c r="L221" s="14" t="n"/>
      <c r="M221" s="16" t="n"/>
      <c r="N221" s="124">
        <f>IF(M221="","",COUNTIFS($C$18:$C$2015,M$13,$D$18:$D$2015,"&gt;="&amp;M221,$D$18:$D$2015,"&lt;"&amp;M222))</f>
        <v/>
      </c>
      <c r="O221" s="14" t="n"/>
      <c r="P221" s="16" t="n"/>
      <c r="Q221" s="124">
        <f>IF(P221="","",COUNTIFS($C$18:$C$2015,P$13,$D$18:$D$2015,"&gt;="&amp;P221,$D$18:$D$2015,"&lt;"&amp;P222))</f>
        <v/>
      </c>
      <c r="R221" s="14" t="n"/>
      <c r="S221" s="16" t="n"/>
      <c r="T221" s="124">
        <f>IF(S221="","",COUNTIFS($C$18:$C$2015,S$13,$D$18:$D$2015,"&gt;="&amp;S221,$D$18:$D$2015,"&lt;"&amp;S222))</f>
        <v/>
      </c>
      <c r="U221" s="14" t="n"/>
      <c r="V221" s="16" t="n"/>
      <c r="W221" s="124">
        <f>IF(V221="","",COUNTIFS($C$18:$C$2015,V$13,$D$18:$D$2015,"&gt;="&amp;V221,$D$18:$D$2015,"&lt;"&amp;V222))</f>
        <v/>
      </c>
      <c r="X221" s="14" t="n"/>
      <c r="Y221" s="16" t="n"/>
      <c r="Z221" s="124">
        <f>IF(Y221="","",COUNTIFS($C$18:$C$2015,Y$13,$D$18:$D$2015,"&gt;="&amp;Y221,$D$18:$D$2015,"&lt;"&amp;Y222))</f>
        <v/>
      </c>
      <c r="AA221" s="14" t="n"/>
      <c r="AB221" s="16" t="n"/>
      <c r="AC221" s="124">
        <f>IF(AB221="","",COUNTIFS($C$18:$C$2015,AB$13,$D$18:$D$2015,"&gt;="&amp;AB221,$D$18:$D$2015,"&lt;"&amp;AB222))</f>
        <v/>
      </c>
      <c r="AD221" s="14" t="n"/>
    </row>
    <row r="222">
      <c r="A222" s="56" t="n"/>
      <c r="B222" s="59" t="n"/>
      <c r="C222" s="59" t="n"/>
      <c r="E222" s="16" t="n"/>
      <c r="F222" s="13" t="n"/>
      <c r="G222" s="16" t="n"/>
      <c r="H222" s="124">
        <f>IF(G222="","",COUNTIFS($C$18:$C$2015,G$13,$D$18:$D$2015,"&gt;="&amp;G222,$D$18:$D$2015,"&lt;"&amp;G223))</f>
        <v/>
      </c>
      <c r="I222" s="14" t="n"/>
      <c r="J222" s="16" t="n"/>
      <c r="K222" s="124">
        <f>IF(J222="","",COUNTIFS($C$18:$C$2015,J$13,$D$18:$D$2015,"&gt;="&amp;J222,$D$18:$D$2015,"&lt;"&amp;J223))</f>
        <v/>
      </c>
      <c r="L222" s="14" t="n"/>
      <c r="M222" s="16" t="n"/>
      <c r="N222" s="124">
        <f>IF(M222="","",COUNTIFS($C$18:$C$2015,M$13,$D$18:$D$2015,"&gt;="&amp;M222,$D$18:$D$2015,"&lt;"&amp;M223))</f>
        <v/>
      </c>
      <c r="O222" s="14" t="n"/>
      <c r="P222" s="16" t="n"/>
      <c r="Q222" s="124">
        <f>IF(P222="","",COUNTIFS($C$18:$C$2015,P$13,$D$18:$D$2015,"&gt;="&amp;P222,$D$18:$D$2015,"&lt;"&amp;P223))</f>
        <v/>
      </c>
      <c r="R222" s="14" t="n"/>
      <c r="S222" s="16" t="n"/>
      <c r="T222" s="124">
        <f>IF(S222="","",COUNTIFS($C$18:$C$2015,S$13,$D$18:$D$2015,"&gt;="&amp;S222,$D$18:$D$2015,"&lt;"&amp;S223))</f>
        <v/>
      </c>
      <c r="U222" s="14" t="n"/>
      <c r="V222" s="16" t="n"/>
      <c r="W222" s="124">
        <f>IF(V222="","",COUNTIFS($C$18:$C$2015,V$13,$D$18:$D$2015,"&gt;="&amp;V222,$D$18:$D$2015,"&lt;"&amp;V223))</f>
        <v/>
      </c>
      <c r="X222" s="14" t="n"/>
      <c r="Y222" s="16" t="n"/>
      <c r="Z222" s="124">
        <f>IF(Y222="","",COUNTIFS($C$18:$C$2015,Y$13,$D$18:$D$2015,"&gt;="&amp;Y222,$D$18:$D$2015,"&lt;"&amp;Y223))</f>
        <v/>
      </c>
      <c r="AA222" s="14" t="n"/>
      <c r="AB222" s="16" t="n"/>
      <c r="AC222" s="124">
        <f>IF(AB222="","",COUNTIFS($C$18:$C$2015,AB$13,$D$18:$D$2015,"&gt;="&amp;AB222,$D$18:$D$2015,"&lt;"&amp;AB223))</f>
        <v/>
      </c>
      <c r="AD222" s="14" t="n"/>
    </row>
    <row r="223">
      <c r="A223" s="58" t="n"/>
      <c r="B223" s="59" t="n"/>
      <c r="C223" s="59" t="n"/>
      <c r="E223" s="16" t="n"/>
      <c r="F223" s="13" t="n"/>
      <c r="G223" s="16" t="n"/>
      <c r="H223" s="124">
        <f>IF(G223="","",COUNTIFS($C$18:$C$2015,G$13,$D$18:$D$2015,"&gt;="&amp;G223,$D$18:$D$2015,"&lt;"&amp;G224))</f>
        <v/>
      </c>
      <c r="I223" s="14" t="n"/>
      <c r="J223" s="16" t="n"/>
      <c r="K223" s="124">
        <f>IF(J223="","",COUNTIFS($C$18:$C$2015,J$13,$D$18:$D$2015,"&gt;="&amp;J223,$D$18:$D$2015,"&lt;"&amp;J224))</f>
        <v/>
      </c>
      <c r="L223" s="14" t="n"/>
      <c r="M223" s="16" t="n"/>
      <c r="N223" s="124">
        <f>IF(M223="","",COUNTIFS($C$18:$C$2015,M$13,$D$18:$D$2015,"&gt;="&amp;M223,$D$18:$D$2015,"&lt;"&amp;M224))</f>
        <v/>
      </c>
      <c r="O223" s="14" t="n"/>
      <c r="P223" s="16" t="n"/>
      <c r="Q223" s="124">
        <f>IF(P223="","",COUNTIFS($C$18:$C$2015,P$13,$D$18:$D$2015,"&gt;="&amp;P223,$D$18:$D$2015,"&lt;"&amp;P224))</f>
        <v/>
      </c>
      <c r="R223" s="14" t="n"/>
      <c r="S223" s="16" t="n"/>
      <c r="T223" s="124">
        <f>IF(S223="","",COUNTIFS($C$18:$C$2015,S$13,$D$18:$D$2015,"&gt;="&amp;S223,$D$18:$D$2015,"&lt;"&amp;S224))</f>
        <v/>
      </c>
      <c r="U223" s="14" t="n"/>
      <c r="V223" s="16" t="n"/>
      <c r="W223" s="124">
        <f>IF(V223="","",COUNTIFS($C$18:$C$2015,V$13,$D$18:$D$2015,"&gt;="&amp;V223,$D$18:$D$2015,"&lt;"&amp;V224))</f>
        <v/>
      </c>
      <c r="X223" s="14" t="n"/>
      <c r="Y223" s="16" t="n"/>
      <c r="Z223" s="124">
        <f>IF(Y223="","",COUNTIFS($C$18:$C$2015,Y$13,$D$18:$D$2015,"&gt;="&amp;Y223,$D$18:$D$2015,"&lt;"&amp;Y224))</f>
        <v/>
      </c>
      <c r="AA223" s="14" t="n"/>
      <c r="AB223" s="16" t="n"/>
      <c r="AC223" s="124">
        <f>IF(AB223="","",COUNTIFS($C$18:$C$2015,AB$13,$D$18:$D$2015,"&gt;="&amp;AB223,$D$18:$D$2015,"&lt;"&amp;AB224))</f>
        <v/>
      </c>
      <c r="AD223" s="14" t="n"/>
    </row>
    <row r="224">
      <c r="A224" s="56" t="n"/>
      <c r="B224" s="59" t="n"/>
      <c r="C224" s="59" t="n"/>
      <c r="E224" s="16" t="n"/>
      <c r="F224" s="13" t="n"/>
      <c r="G224" s="16" t="n"/>
      <c r="H224" s="124">
        <f>IF(G224="","",COUNTIFS($C$18:$C$2015,G$13,$D$18:$D$2015,"&gt;="&amp;G224,$D$18:$D$2015,"&lt;"&amp;G225))</f>
        <v/>
      </c>
      <c r="I224" s="14" t="n"/>
      <c r="J224" s="16" t="n"/>
      <c r="K224" s="124">
        <f>IF(J224="","",COUNTIFS($C$18:$C$2015,J$13,$D$18:$D$2015,"&gt;="&amp;J224,$D$18:$D$2015,"&lt;"&amp;J225))</f>
        <v/>
      </c>
      <c r="L224" s="14" t="n"/>
      <c r="M224" s="16" t="n"/>
      <c r="N224" s="124">
        <f>IF(M224="","",COUNTIFS($C$18:$C$2015,M$13,$D$18:$D$2015,"&gt;="&amp;M224,$D$18:$D$2015,"&lt;"&amp;M225))</f>
        <v/>
      </c>
      <c r="O224" s="14" t="n"/>
      <c r="P224" s="16" t="n"/>
      <c r="Q224" s="124">
        <f>IF(P224="","",COUNTIFS($C$18:$C$2015,P$13,$D$18:$D$2015,"&gt;="&amp;P224,$D$18:$D$2015,"&lt;"&amp;P225))</f>
        <v/>
      </c>
      <c r="R224" s="14" t="n"/>
      <c r="S224" s="16" t="n"/>
      <c r="T224" s="124">
        <f>IF(S224="","",COUNTIFS($C$18:$C$2015,S$13,$D$18:$D$2015,"&gt;="&amp;S224,$D$18:$D$2015,"&lt;"&amp;S225))</f>
        <v/>
      </c>
      <c r="U224" s="14" t="n"/>
      <c r="V224" s="16" t="n"/>
      <c r="W224" s="124">
        <f>IF(V224="","",COUNTIFS($C$18:$C$2015,V$13,$D$18:$D$2015,"&gt;="&amp;V224,$D$18:$D$2015,"&lt;"&amp;V225))</f>
        <v/>
      </c>
      <c r="X224" s="14" t="n"/>
      <c r="Y224" s="16" t="n"/>
      <c r="Z224" s="124">
        <f>IF(Y224="","",COUNTIFS($C$18:$C$2015,Y$13,$D$18:$D$2015,"&gt;="&amp;Y224,$D$18:$D$2015,"&lt;"&amp;Y225))</f>
        <v/>
      </c>
      <c r="AA224" s="14" t="n"/>
      <c r="AB224" s="16" t="n"/>
      <c r="AC224" s="124">
        <f>IF(AB224="","",COUNTIFS($C$18:$C$2015,AB$13,$D$18:$D$2015,"&gt;="&amp;AB224,$D$18:$D$2015,"&lt;"&amp;AB225))</f>
        <v/>
      </c>
      <c r="AD224" s="14" t="n"/>
    </row>
    <row r="225">
      <c r="A225" s="58" t="n"/>
      <c r="B225" s="59" t="n"/>
      <c r="C225" s="59" t="n"/>
      <c r="E225" s="16" t="n"/>
      <c r="F225" s="13" t="n"/>
      <c r="G225" s="16" t="n"/>
      <c r="H225" s="124">
        <f>IF(G225="","",COUNTIFS($C$18:$C$2015,G$13,$D$18:$D$2015,"&gt;="&amp;G225,$D$18:$D$2015,"&lt;"&amp;G226))</f>
        <v/>
      </c>
      <c r="I225" s="14" t="n"/>
      <c r="J225" s="16" t="n"/>
      <c r="K225" s="124">
        <f>IF(J225="","",COUNTIFS($C$18:$C$2015,J$13,$D$18:$D$2015,"&gt;="&amp;J225,$D$18:$D$2015,"&lt;"&amp;J226))</f>
        <v/>
      </c>
      <c r="L225" s="14" t="n"/>
      <c r="M225" s="16" t="n"/>
      <c r="N225" s="124">
        <f>IF(M225="","",COUNTIFS($C$18:$C$2015,M$13,$D$18:$D$2015,"&gt;="&amp;M225,$D$18:$D$2015,"&lt;"&amp;M226))</f>
        <v/>
      </c>
      <c r="O225" s="14" t="n"/>
      <c r="P225" s="16" t="n"/>
      <c r="Q225" s="124">
        <f>IF(P225="","",COUNTIFS($C$18:$C$2015,P$13,$D$18:$D$2015,"&gt;="&amp;P225,$D$18:$D$2015,"&lt;"&amp;P226))</f>
        <v/>
      </c>
      <c r="R225" s="14" t="n"/>
      <c r="S225" s="16" t="n"/>
      <c r="T225" s="124">
        <f>IF(S225="","",COUNTIFS($C$18:$C$2015,S$13,$D$18:$D$2015,"&gt;="&amp;S225,$D$18:$D$2015,"&lt;"&amp;S226))</f>
        <v/>
      </c>
      <c r="U225" s="14" t="n"/>
      <c r="V225" s="16" t="n"/>
      <c r="W225" s="124">
        <f>IF(V225="","",COUNTIFS($C$18:$C$2015,V$13,$D$18:$D$2015,"&gt;="&amp;V225,$D$18:$D$2015,"&lt;"&amp;V226))</f>
        <v/>
      </c>
      <c r="X225" s="14" t="n"/>
      <c r="Y225" s="16" t="n"/>
      <c r="Z225" s="124">
        <f>IF(Y225="","",COUNTIFS($C$18:$C$2015,Y$13,$D$18:$D$2015,"&gt;="&amp;Y225,$D$18:$D$2015,"&lt;"&amp;Y226))</f>
        <v/>
      </c>
      <c r="AA225" s="14" t="n"/>
      <c r="AB225" s="16" t="n"/>
      <c r="AC225" s="124">
        <f>IF(AB225="","",COUNTIFS($C$18:$C$2015,AB$13,$D$18:$D$2015,"&gt;="&amp;AB225,$D$18:$D$2015,"&lt;"&amp;AB226))</f>
        <v/>
      </c>
      <c r="AD225" s="14" t="n"/>
    </row>
    <row r="226">
      <c r="A226" s="56" t="n"/>
      <c r="B226" s="59" t="n"/>
      <c r="C226" s="59" t="n"/>
      <c r="E226" s="16" t="n"/>
      <c r="F226" s="13" t="n"/>
      <c r="G226" s="16" t="n"/>
      <c r="H226" s="124">
        <f>IF(G226="","",COUNTIFS($C$18:$C$2015,G$13,$D$18:$D$2015,"&gt;="&amp;G226,$D$18:$D$2015,"&lt;"&amp;G227))</f>
        <v/>
      </c>
      <c r="I226" s="14" t="n"/>
      <c r="J226" s="16" t="n"/>
      <c r="K226" s="124">
        <f>IF(J226="","",COUNTIFS($C$18:$C$2015,J$13,$D$18:$D$2015,"&gt;="&amp;J226,$D$18:$D$2015,"&lt;"&amp;J227))</f>
        <v/>
      </c>
      <c r="L226" s="14" t="n"/>
      <c r="M226" s="16" t="n"/>
      <c r="N226" s="124">
        <f>IF(M226="","",COUNTIFS($C$18:$C$2015,M$13,$D$18:$D$2015,"&gt;="&amp;M226,$D$18:$D$2015,"&lt;"&amp;M227))</f>
        <v/>
      </c>
      <c r="O226" s="14" t="n"/>
      <c r="P226" s="16" t="n"/>
      <c r="Q226" s="124">
        <f>IF(P226="","",COUNTIFS($C$18:$C$2015,P$13,$D$18:$D$2015,"&gt;="&amp;P226,$D$18:$D$2015,"&lt;"&amp;P227))</f>
        <v/>
      </c>
      <c r="R226" s="14" t="n"/>
      <c r="S226" s="16" t="n"/>
      <c r="T226" s="124">
        <f>IF(S226="","",COUNTIFS($C$18:$C$2015,S$13,$D$18:$D$2015,"&gt;="&amp;S226,$D$18:$D$2015,"&lt;"&amp;S227))</f>
        <v/>
      </c>
      <c r="U226" s="14" t="n"/>
      <c r="V226" s="16" t="n"/>
      <c r="W226" s="124">
        <f>IF(V226="","",COUNTIFS($C$18:$C$2015,V$13,$D$18:$D$2015,"&gt;="&amp;V226,$D$18:$D$2015,"&lt;"&amp;V227))</f>
        <v/>
      </c>
      <c r="X226" s="14" t="n"/>
      <c r="Y226" s="16" t="n"/>
      <c r="Z226" s="124">
        <f>IF(Y226="","",COUNTIFS($C$18:$C$2015,Y$13,$D$18:$D$2015,"&gt;="&amp;Y226,$D$18:$D$2015,"&lt;"&amp;Y227))</f>
        <v/>
      </c>
      <c r="AA226" s="14" t="n"/>
      <c r="AB226" s="16" t="n"/>
      <c r="AC226" s="124">
        <f>IF(AB226="","",COUNTIFS($C$18:$C$2015,AB$13,$D$18:$D$2015,"&gt;="&amp;AB226,$D$18:$D$2015,"&lt;"&amp;AB227))</f>
        <v/>
      </c>
      <c r="AD226" s="14" t="n"/>
    </row>
    <row r="227">
      <c r="A227" s="58" t="n"/>
      <c r="B227" s="59" t="n"/>
      <c r="C227" s="59" t="n"/>
      <c r="E227" s="16" t="n"/>
      <c r="F227" s="13" t="n"/>
      <c r="G227" s="16" t="n"/>
      <c r="H227" s="124">
        <f>IF(G227="","",COUNTIFS($C$18:$C$2015,G$13,$D$18:$D$2015,"&gt;="&amp;G227,$D$18:$D$2015,"&lt;"&amp;G228))</f>
        <v/>
      </c>
      <c r="I227" s="14" t="n"/>
      <c r="J227" s="16" t="n"/>
      <c r="K227" s="124">
        <f>IF(J227="","",COUNTIFS($C$18:$C$2015,J$13,$D$18:$D$2015,"&gt;="&amp;J227,$D$18:$D$2015,"&lt;"&amp;J228))</f>
        <v/>
      </c>
      <c r="L227" s="14" t="n"/>
      <c r="M227" s="16" t="n"/>
      <c r="N227" s="124">
        <f>IF(M227="","",COUNTIFS($C$18:$C$2015,M$13,$D$18:$D$2015,"&gt;="&amp;M227,$D$18:$D$2015,"&lt;"&amp;M228))</f>
        <v/>
      </c>
      <c r="O227" s="14" t="n"/>
      <c r="P227" s="16" t="n"/>
      <c r="Q227" s="124">
        <f>IF(P227="","",COUNTIFS($C$18:$C$2015,P$13,$D$18:$D$2015,"&gt;="&amp;P227,$D$18:$D$2015,"&lt;"&amp;P228))</f>
        <v/>
      </c>
      <c r="R227" s="14" t="n"/>
      <c r="S227" s="16" t="n"/>
      <c r="T227" s="124">
        <f>IF(S227="","",COUNTIFS($C$18:$C$2015,S$13,$D$18:$D$2015,"&gt;="&amp;S227,$D$18:$D$2015,"&lt;"&amp;S228))</f>
        <v/>
      </c>
      <c r="U227" s="14" t="n"/>
      <c r="V227" s="16" t="n"/>
      <c r="W227" s="124">
        <f>IF(V227="","",COUNTIFS($C$18:$C$2015,V$13,$D$18:$D$2015,"&gt;="&amp;V227,$D$18:$D$2015,"&lt;"&amp;V228))</f>
        <v/>
      </c>
      <c r="X227" s="14" t="n"/>
      <c r="Y227" s="16" t="n"/>
      <c r="Z227" s="124">
        <f>IF(Y227="","",COUNTIFS($C$18:$C$2015,Y$13,$D$18:$D$2015,"&gt;="&amp;Y227,$D$18:$D$2015,"&lt;"&amp;Y228))</f>
        <v/>
      </c>
      <c r="AA227" s="14" t="n"/>
      <c r="AB227" s="16" t="n"/>
      <c r="AC227" s="124">
        <f>IF(AB227="","",COUNTIFS($C$18:$C$2015,AB$13,$D$18:$D$2015,"&gt;="&amp;AB227,$D$18:$D$2015,"&lt;"&amp;AB228))</f>
        <v/>
      </c>
      <c r="AD227" s="14" t="n"/>
    </row>
    <row r="228">
      <c r="A228" s="56" t="n"/>
      <c r="B228" s="59" t="n"/>
      <c r="C228" s="59" t="n"/>
      <c r="E228" s="16" t="n"/>
      <c r="F228" s="13" t="n"/>
      <c r="G228" s="16" t="n"/>
      <c r="H228" s="124">
        <f>IF(G228="","",COUNTIFS($C$18:$C$2015,G$13,$D$18:$D$2015,"&gt;="&amp;G228,$D$18:$D$2015,"&lt;"&amp;G229))</f>
        <v/>
      </c>
      <c r="I228" s="14" t="n"/>
      <c r="J228" s="16" t="n"/>
      <c r="K228" s="124">
        <f>IF(J228="","",COUNTIFS($C$18:$C$2015,J$13,$D$18:$D$2015,"&gt;="&amp;J228,$D$18:$D$2015,"&lt;"&amp;J229))</f>
        <v/>
      </c>
      <c r="L228" s="14" t="n"/>
      <c r="M228" s="16" t="n"/>
      <c r="N228" s="124">
        <f>IF(M228="","",COUNTIFS($C$18:$C$2015,M$13,$D$18:$D$2015,"&gt;="&amp;M228,$D$18:$D$2015,"&lt;"&amp;M229))</f>
        <v/>
      </c>
      <c r="O228" s="14" t="n"/>
      <c r="P228" s="16" t="n"/>
      <c r="Q228" s="124">
        <f>IF(P228="","",COUNTIFS($C$18:$C$2015,P$13,$D$18:$D$2015,"&gt;="&amp;P228,$D$18:$D$2015,"&lt;"&amp;P229))</f>
        <v/>
      </c>
      <c r="R228" s="14" t="n"/>
      <c r="S228" s="16" t="n"/>
      <c r="T228" s="124">
        <f>IF(S228="","",COUNTIFS($C$18:$C$2015,S$13,$D$18:$D$2015,"&gt;="&amp;S228,$D$18:$D$2015,"&lt;"&amp;S229))</f>
        <v/>
      </c>
      <c r="U228" s="14" t="n"/>
      <c r="V228" s="16" t="n"/>
      <c r="W228" s="124">
        <f>IF(V228="","",COUNTIFS($C$18:$C$2015,V$13,$D$18:$D$2015,"&gt;="&amp;V228,$D$18:$D$2015,"&lt;"&amp;V229))</f>
        <v/>
      </c>
      <c r="X228" s="14" t="n"/>
      <c r="Y228" s="16" t="n"/>
      <c r="Z228" s="124">
        <f>IF(Y228="","",COUNTIFS($C$18:$C$2015,Y$13,$D$18:$D$2015,"&gt;="&amp;Y228,$D$18:$D$2015,"&lt;"&amp;Y229))</f>
        <v/>
      </c>
      <c r="AA228" s="14" t="n"/>
      <c r="AB228" s="16" t="n"/>
      <c r="AC228" s="124">
        <f>IF(AB228="","",COUNTIFS($C$18:$C$2015,AB$13,$D$18:$D$2015,"&gt;="&amp;AB228,$D$18:$D$2015,"&lt;"&amp;AB229))</f>
        <v/>
      </c>
      <c r="AD228" s="14" t="n"/>
    </row>
    <row r="229">
      <c r="A229" s="58" t="n"/>
      <c r="B229" s="59" t="n"/>
      <c r="C229" s="59" t="n"/>
      <c r="E229" s="16" t="n"/>
      <c r="F229" s="13" t="n"/>
      <c r="G229" s="16" t="n"/>
      <c r="H229" s="124">
        <f>IF(G229="","",COUNTIFS($C$18:$C$2015,G$13,$D$18:$D$2015,"&gt;="&amp;G229,$D$18:$D$2015,"&lt;"&amp;G230))</f>
        <v/>
      </c>
      <c r="I229" s="14" t="n"/>
      <c r="J229" s="16" t="n"/>
      <c r="K229" s="124">
        <f>IF(J229="","",COUNTIFS($C$18:$C$2015,J$13,$D$18:$D$2015,"&gt;="&amp;J229,$D$18:$D$2015,"&lt;"&amp;J230))</f>
        <v/>
      </c>
      <c r="L229" s="14" t="n"/>
      <c r="M229" s="16" t="n"/>
      <c r="N229" s="124">
        <f>IF(M229="","",COUNTIFS($C$18:$C$2015,M$13,$D$18:$D$2015,"&gt;="&amp;M229,$D$18:$D$2015,"&lt;"&amp;M230))</f>
        <v/>
      </c>
      <c r="O229" s="14" t="n"/>
      <c r="P229" s="16" t="n"/>
      <c r="Q229" s="124">
        <f>IF(P229="","",COUNTIFS($C$18:$C$2015,P$13,$D$18:$D$2015,"&gt;="&amp;P229,$D$18:$D$2015,"&lt;"&amp;P230))</f>
        <v/>
      </c>
      <c r="R229" s="14" t="n"/>
      <c r="S229" s="16" t="n"/>
      <c r="T229" s="124">
        <f>IF(S229="","",COUNTIFS($C$18:$C$2015,S$13,$D$18:$D$2015,"&gt;="&amp;S229,$D$18:$D$2015,"&lt;"&amp;S230))</f>
        <v/>
      </c>
      <c r="U229" s="14" t="n"/>
      <c r="V229" s="16" t="n"/>
      <c r="W229" s="124">
        <f>IF(V229="","",COUNTIFS($C$18:$C$2015,V$13,$D$18:$D$2015,"&gt;="&amp;V229,$D$18:$D$2015,"&lt;"&amp;V230))</f>
        <v/>
      </c>
      <c r="X229" s="14" t="n"/>
      <c r="Y229" s="16" t="n"/>
      <c r="Z229" s="124">
        <f>IF(Y229="","",COUNTIFS($C$18:$C$2015,Y$13,$D$18:$D$2015,"&gt;="&amp;Y229,$D$18:$D$2015,"&lt;"&amp;Y230))</f>
        <v/>
      </c>
      <c r="AA229" s="14" t="n"/>
      <c r="AB229" s="16" t="n"/>
      <c r="AC229" s="124">
        <f>IF(AB229="","",COUNTIFS($C$18:$C$2015,AB$13,$D$18:$D$2015,"&gt;="&amp;AB229,$D$18:$D$2015,"&lt;"&amp;AB230))</f>
        <v/>
      </c>
      <c r="AD229" s="14" t="n"/>
    </row>
    <row r="230">
      <c r="A230" s="56" t="n"/>
      <c r="B230" s="59" t="n"/>
      <c r="C230" s="59" t="n"/>
      <c r="E230" s="16" t="n"/>
      <c r="F230" s="13" t="n"/>
      <c r="G230" s="16" t="n"/>
      <c r="H230" s="124">
        <f>IF(G230="","",COUNTIFS($C$18:$C$2015,G$13,$D$18:$D$2015,"&gt;="&amp;G230,$D$18:$D$2015,"&lt;"&amp;G231))</f>
        <v/>
      </c>
      <c r="I230" s="14" t="n"/>
      <c r="J230" s="16" t="n"/>
      <c r="K230" s="124">
        <f>IF(J230="","",COUNTIFS($C$18:$C$2015,J$13,$D$18:$D$2015,"&gt;="&amp;J230,$D$18:$D$2015,"&lt;"&amp;J231))</f>
        <v/>
      </c>
      <c r="L230" s="14" t="n"/>
      <c r="M230" s="16" t="n"/>
      <c r="N230" s="124">
        <f>IF(M230="","",COUNTIFS($C$18:$C$2015,M$13,$D$18:$D$2015,"&gt;="&amp;M230,$D$18:$D$2015,"&lt;"&amp;M231))</f>
        <v/>
      </c>
      <c r="O230" s="14" t="n"/>
      <c r="P230" s="16" t="n"/>
      <c r="Q230" s="124">
        <f>IF(P230="","",COUNTIFS($C$18:$C$2015,P$13,$D$18:$D$2015,"&gt;="&amp;P230,$D$18:$D$2015,"&lt;"&amp;P231))</f>
        <v/>
      </c>
      <c r="R230" s="14" t="n"/>
      <c r="S230" s="16" t="n"/>
      <c r="T230" s="124">
        <f>IF(S230="","",COUNTIFS($C$18:$C$2015,S$13,$D$18:$D$2015,"&gt;="&amp;S230,$D$18:$D$2015,"&lt;"&amp;S231))</f>
        <v/>
      </c>
      <c r="U230" s="14" t="n"/>
      <c r="V230" s="16" t="n"/>
      <c r="W230" s="124">
        <f>IF(V230="","",COUNTIFS($C$18:$C$2015,V$13,$D$18:$D$2015,"&gt;="&amp;V230,$D$18:$D$2015,"&lt;"&amp;V231))</f>
        <v/>
      </c>
      <c r="X230" s="14" t="n"/>
      <c r="Y230" s="16" t="n"/>
      <c r="Z230" s="124">
        <f>IF(Y230="","",COUNTIFS($C$18:$C$2015,Y$13,$D$18:$D$2015,"&gt;="&amp;Y230,$D$18:$D$2015,"&lt;"&amp;Y231))</f>
        <v/>
      </c>
      <c r="AA230" s="14" t="n"/>
      <c r="AB230" s="16" t="n"/>
      <c r="AC230" s="124">
        <f>IF(AB230="","",COUNTIFS($C$18:$C$2015,AB$13,$D$18:$D$2015,"&gt;="&amp;AB230,$D$18:$D$2015,"&lt;"&amp;AB231))</f>
        <v/>
      </c>
      <c r="AD230" s="14" t="n"/>
    </row>
    <row r="231">
      <c r="A231" s="58" t="n"/>
      <c r="B231" s="59" t="n"/>
      <c r="C231" s="59" t="n"/>
      <c r="E231" s="16" t="n"/>
      <c r="F231" s="13" t="n"/>
      <c r="G231" s="16" t="n"/>
      <c r="H231" s="124">
        <f>IF(G231="","",COUNTIFS($C$18:$C$2015,G$13,$D$18:$D$2015,"&gt;="&amp;G231,$D$18:$D$2015,"&lt;"&amp;G232))</f>
        <v/>
      </c>
      <c r="I231" s="14" t="n"/>
      <c r="J231" s="16" t="n"/>
      <c r="K231" s="124">
        <f>IF(J231="","",COUNTIFS($C$18:$C$2015,J$13,$D$18:$D$2015,"&gt;="&amp;J231,$D$18:$D$2015,"&lt;"&amp;J232))</f>
        <v/>
      </c>
      <c r="L231" s="14" t="n"/>
      <c r="M231" s="16" t="n"/>
      <c r="N231" s="124">
        <f>IF(M231="","",COUNTIFS($C$18:$C$2015,M$13,$D$18:$D$2015,"&gt;="&amp;M231,$D$18:$D$2015,"&lt;"&amp;M232))</f>
        <v/>
      </c>
      <c r="O231" s="14" t="n"/>
      <c r="P231" s="16" t="n"/>
      <c r="Q231" s="124">
        <f>IF(P231="","",COUNTIFS($C$18:$C$2015,P$13,$D$18:$D$2015,"&gt;="&amp;P231,$D$18:$D$2015,"&lt;"&amp;P232))</f>
        <v/>
      </c>
      <c r="R231" s="14" t="n"/>
      <c r="S231" s="16" t="n"/>
      <c r="T231" s="124">
        <f>IF(S231="","",COUNTIFS($C$18:$C$2015,S$13,$D$18:$D$2015,"&gt;="&amp;S231,$D$18:$D$2015,"&lt;"&amp;S232))</f>
        <v/>
      </c>
      <c r="U231" s="14" t="n"/>
      <c r="V231" s="16" t="n"/>
      <c r="W231" s="124">
        <f>IF(V231="","",COUNTIFS($C$18:$C$2015,V$13,$D$18:$D$2015,"&gt;="&amp;V231,$D$18:$D$2015,"&lt;"&amp;V232))</f>
        <v/>
      </c>
      <c r="X231" s="14" t="n"/>
      <c r="Y231" s="16" t="n"/>
      <c r="Z231" s="124">
        <f>IF(Y231="","",COUNTIFS($C$18:$C$2015,Y$13,$D$18:$D$2015,"&gt;="&amp;Y231,$D$18:$D$2015,"&lt;"&amp;Y232))</f>
        <v/>
      </c>
      <c r="AA231" s="14" t="n"/>
      <c r="AB231" s="16" t="n"/>
      <c r="AC231" s="124">
        <f>IF(AB231="","",COUNTIFS($C$18:$C$2015,AB$13,$D$18:$D$2015,"&gt;="&amp;AB231,$D$18:$D$2015,"&lt;"&amp;AB232))</f>
        <v/>
      </c>
      <c r="AD231" s="14" t="n"/>
    </row>
    <row r="232">
      <c r="A232" s="56" t="n"/>
      <c r="B232" s="59" t="n"/>
      <c r="C232" s="59" t="n"/>
      <c r="E232" s="16" t="n"/>
      <c r="F232" s="13" t="n"/>
      <c r="G232" s="16" t="n"/>
      <c r="H232" s="124">
        <f>IF(G232="","",COUNTIFS($C$18:$C$2015,G$13,$D$18:$D$2015,"&gt;="&amp;G232,$D$18:$D$2015,"&lt;"&amp;G233))</f>
        <v/>
      </c>
      <c r="I232" s="14" t="n"/>
      <c r="J232" s="16" t="n"/>
      <c r="K232" s="124">
        <f>IF(J232="","",COUNTIFS($C$18:$C$2015,J$13,$D$18:$D$2015,"&gt;="&amp;J232,$D$18:$D$2015,"&lt;"&amp;J233))</f>
        <v/>
      </c>
      <c r="L232" s="14" t="n"/>
      <c r="M232" s="16" t="n"/>
      <c r="N232" s="124">
        <f>IF(M232="","",COUNTIFS($C$18:$C$2015,M$13,$D$18:$D$2015,"&gt;="&amp;M232,$D$18:$D$2015,"&lt;"&amp;M233))</f>
        <v/>
      </c>
      <c r="O232" s="14" t="n"/>
      <c r="P232" s="16" t="n"/>
      <c r="Q232" s="124">
        <f>IF(P232="","",COUNTIFS($C$18:$C$2015,P$13,$D$18:$D$2015,"&gt;="&amp;P232,$D$18:$D$2015,"&lt;"&amp;P233))</f>
        <v/>
      </c>
      <c r="R232" s="14" t="n"/>
      <c r="S232" s="16" t="n"/>
      <c r="T232" s="124">
        <f>IF(S232="","",COUNTIFS($C$18:$C$2015,S$13,$D$18:$D$2015,"&gt;="&amp;S232,$D$18:$D$2015,"&lt;"&amp;S233))</f>
        <v/>
      </c>
      <c r="U232" s="14" t="n"/>
      <c r="V232" s="16" t="n"/>
      <c r="W232" s="124">
        <f>IF(V232="","",COUNTIFS($C$18:$C$2015,V$13,$D$18:$D$2015,"&gt;="&amp;V232,$D$18:$D$2015,"&lt;"&amp;V233))</f>
        <v/>
      </c>
      <c r="X232" s="14" t="n"/>
      <c r="Y232" s="16" t="n"/>
      <c r="Z232" s="124">
        <f>IF(Y232="","",COUNTIFS($C$18:$C$2015,Y$13,$D$18:$D$2015,"&gt;="&amp;Y232,$D$18:$D$2015,"&lt;"&amp;Y233))</f>
        <v/>
      </c>
      <c r="AA232" s="14" t="n"/>
      <c r="AB232" s="16" t="n"/>
      <c r="AC232" s="124">
        <f>IF(AB232="","",COUNTIFS($C$18:$C$2015,AB$13,$D$18:$D$2015,"&gt;="&amp;AB232,$D$18:$D$2015,"&lt;"&amp;AB233))</f>
        <v/>
      </c>
      <c r="AD232" s="14" t="n"/>
    </row>
    <row r="233">
      <c r="A233" s="58" t="n"/>
      <c r="B233" s="59" t="n"/>
      <c r="C233" s="59" t="n"/>
      <c r="E233" s="16" t="n"/>
      <c r="F233" s="13" t="n"/>
      <c r="G233" s="16" t="n"/>
      <c r="H233" s="124">
        <f>IF(G233="","",COUNTIFS($C$18:$C$2015,G$13,$D$18:$D$2015,"&gt;="&amp;G233,$D$18:$D$2015,"&lt;"&amp;G234))</f>
        <v/>
      </c>
      <c r="I233" s="14" t="n"/>
      <c r="J233" s="16" t="n"/>
      <c r="K233" s="124">
        <f>IF(J233="","",COUNTIFS($C$18:$C$2015,J$13,$D$18:$D$2015,"&gt;="&amp;J233,$D$18:$D$2015,"&lt;"&amp;J234))</f>
        <v/>
      </c>
      <c r="L233" s="14" t="n"/>
      <c r="M233" s="16" t="n"/>
      <c r="N233" s="124">
        <f>IF(M233="","",COUNTIFS($C$18:$C$2015,M$13,$D$18:$D$2015,"&gt;="&amp;M233,$D$18:$D$2015,"&lt;"&amp;M234))</f>
        <v/>
      </c>
      <c r="O233" s="14" t="n"/>
      <c r="P233" s="16" t="n"/>
      <c r="Q233" s="124">
        <f>IF(P233="","",COUNTIFS($C$18:$C$2015,P$13,$D$18:$D$2015,"&gt;="&amp;P233,$D$18:$D$2015,"&lt;"&amp;P234))</f>
        <v/>
      </c>
      <c r="R233" s="14" t="n"/>
      <c r="S233" s="16" t="n"/>
      <c r="T233" s="124">
        <f>IF(S233="","",COUNTIFS($C$18:$C$2015,S$13,$D$18:$D$2015,"&gt;="&amp;S233,$D$18:$D$2015,"&lt;"&amp;S234))</f>
        <v/>
      </c>
      <c r="U233" s="14" t="n"/>
      <c r="V233" s="16" t="n"/>
      <c r="W233" s="124">
        <f>IF(V233="","",COUNTIFS($C$18:$C$2015,V$13,$D$18:$D$2015,"&gt;="&amp;V233,$D$18:$D$2015,"&lt;"&amp;V234))</f>
        <v/>
      </c>
      <c r="X233" s="14" t="n"/>
      <c r="Y233" s="16" t="n"/>
      <c r="Z233" s="124">
        <f>IF(Y233="","",COUNTIFS($C$18:$C$2015,Y$13,$D$18:$D$2015,"&gt;="&amp;Y233,$D$18:$D$2015,"&lt;"&amp;Y234))</f>
        <v/>
      </c>
      <c r="AA233" s="14" t="n"/>
      <c r="AB233" s="16" t="n"/>
      <c r="AC233" s="124">
        <f>IF(AB233="","",COUNTIFS($C$18:$C$2015,AB$13,$D$18:$D$2015,"&gt;="&amp;AB233,$D$18:$D$2015,"&lt;"&amp;AB234))</f>
        <v/>
      </c>
      <c r="AD233" s="14" t="n"/>
    </row>
    <row r="234">
      <c r="A234" s="56" t="n"/>
      <c r="B234" s="59" t="n"/>
      <c r="C234" s="59" t="n"/>
      <c r="E234" s="16" t="n"/>
      <c r="F234" s="13" t="n"/>
      <c r="G234" s="16" t="n"/>
      <c r="H234" s="124">
        <f>IF(G234="","",COUNTIFS($C$18:$C$2015,G$13,$D$18:$D$2015,"&gt;="&amp;G234,$D$18:$D$2015,"&lt;"&amp;G235))</f>
        <v/>
      </c>
      <c r="I234" s="14" t="n"/>
      <c r="J234" s="16" t="n"/>
      <c r="K234" s="124">
        <f>IF(J234="","",COUNTIFS($C$18:$C$2015,J$13,$D$18:$D$2015,"&gt;="&amp;J234,$D$18:$D$2015,"&lt;"&amp;J235))</f>
        <v/>
      </c>
      <c r="L234" s="14" t="n"/>
      <c r="M234" s="16" t="n"/>
      <c r="N234" s="124">
        <f>IF(M234="","",COUNTIFS($C$18:$C$2015,M$13,$D$18:$D$2015,"&gt;="&amp;M234,$D$18:$D$2015,"&lt;"&amp;M235))</f>
        <v/>
      </c>
      <c r="O234" s="14" t="n"/>
      <c r="P234" s="16" t="n"/>
      <c r="Q234" s="124">
        <f>IF(P234="","",COUNTIFS($C$18:$C$2015,P$13,$D$18:$D$2015,"&gt;="&amp;P234,$D$18:$D$2015,"&lt;"&amp;P235))</f>
        <v/>
      </c>
      <c r="R234" s="14" t="n"/>
      <c r="S234" s="16" t="n"/>
      <c r="T234" s="124">
        <f>IF(S234="","",COUNTIFS($C$18:$C$2015,S$13,$D$18:$D$2015,"&gt;="&amp;S234,$D$18:$D$2015,"&lt;"&amp;S235))</f>
        <v/>
      </c>
      <c r="U234" s="14" t="n"/>
      <c r="V234" s="16" t="n"/>
      <c r="W234" s="124">
        <f>IF(V234="","",COUNTIFS($C$18:$C$2015,V$13,$D$18:$D$2015,"&gt;="&amp;V234,$D$18:$D$2015,"&lt;"&amp;V235))</f>
        <v/>
      </c>
      <c r="X234" s="14" t="n"/>
      <c r="Y234" s="16" t="n"/>
      <c r="Z234" s="124">
        <f>IF(Y234="","",COUNTIFS($C$18:$C$2015,Y$13,$D$18:$D$2015,"&gt;="&amp;Y234,$D$18:$D$2015,"&lt;"&amp;Y235))</f>
        <v/>
      </c>
      <c r="AA234" s="14" t="n"/>
      <c r="AB234" s="16" t="n"/>
      <c r="AC234" s="124">
        <f>IF(AB234="","",COUNTIFS($C$18:$C$2015,AB$13,$D$18:$D$2015,"&gt;="&amp;AB234,$D$18:$D$2015,"&lt;"&amp;AB235))</f>
        <v/>
      </c>
      <c r="AD234" s="14" t="n"/>
    </row>
    <row r="235">
      <c r="A235" s="58" t="n"/>
      <c r="B235" s="59" t="n"/>
      <c r="C235" s="59" t="n"/>
      <c r="E235" s="16" t="n"/>
      <c r="F235" s="13" t="n"/>
      <c r="G235" s="16" t="n"/>
      <c r="H235" s="124">
        <f>IF(G235="","",COUNTIFS($C$18:$C$2015,G$13,$D$18:$D$2015,"&gt;="&amp;G235,$D$18:$D$2015,"&lt;"&amp;G236))</f>
        <v/>
      </c>
      <c r="I235" s="14" t="n"/>
      <c r="J235" s="16" t="n"/>
      <c r="K235" s="124">
        <f>IF(J235="","",COUNTIFS($C$18:$C$2015,J$13,$D$18:$D$2015,"&gt;="&amp;J235,$D$18:$D$2015,"&lt;"&amp;J236))</f>
        <v/>
      </c>
      <c r="L235" s="14" t="n"/>
      <c r="M235" s="16" t="n"/>
      <c r="N235" s="124">
        <f>IF(M235="","",COUNTIFS($C$18:$C$2015,M$13,$D$18:$D$2015,"&gt;="&amp;M235,$D$18:$D$2015,"&lt;"&amp;M236))</f>
        <v/>
      </c>
      <c r="O235" s="14" t="n"/>
      <c r="P235" s="16" t="n"/>
      <c r="Q235" s="124">
        <f>IF(P235="","",COUNTIFS($C$18:$C$2015,P$13,$D$18:$D$2015,"&gt;="&amp;P235,$D$18:$D$2015,"&lt;"&amp;P236))</f>
        <v/>
      </c>
      <c r="R235" s="14" t="n"/>
      <c r="S235" s="16" t="n"/>
      <c r="T235" s="124">
        <f>IF(S235="","",COUNTIFS($C$18:$C$2015,S$13,$D$18:$D$2015,"&gt;="&amp;S235,$D$18:$D$2015,"&lt;"&amp;S236))</f>
        <v/>
      </c>
      <c r="U235" s="14" t="n"/>
      <c r="V235" s="16" t="n"/>
      <c r="W235" s="124">
        <f>IF(V235="","",COUNTIFS($C$18:$C$2015,V$13,$D$18:$D$2015,"&gt;="&amp;V235,$D$18:$D$2015,"&lt;"&amp;V236))</f>
        <v/>
      </c>
      <c r="X235" s="14" t="n"/>
      <c r="Y235" s="16" t="n"/>
      <c r="Z235" s="124">
        <f>IF(Y235="","",COUNTIFS($C$18:$C$2015,Y$13,$D$18:$D$2015,"&gt;="&amp;Y235,$D$18:$D$2015,"&lt;"&amp;Y236))</f>
        <v/>
      </c>
      <c r="AA235" s="14" t="n"/>
      <c r="AB235" s="16" t="n"/>
      <c r="AC235" s="124">
        <f>IF(AB235="","",COUNTIFS($C$18:$C$2015,AB$13,$D$18:$D$2015,"&gt;="&amp;AB235,$D$18:$D$2015,"&lt;"&amp;AB236))</f>
        <v/>
      </c>
      <c r="AD235" s="14" t="n"/>
    </row>
    <row r="236">
      <c r="A236" s="56" t="n"/>
      <c r="B236" s="59" t="n"/>
      <c r="C236" s="59" t="n"/>
      <c r="E236" s="16" t="n"/>
      <c r="F236" s="13" t="n"/>
      <c r="G236" s="16" t="n"/>
      <c r="H236" s="124">
        <f>IF(G236="","",COUNTIFS($C$18:$C$2015,G$13,$D$18:$D$2015,"&gt;="&amp;G236,$D$18:$D$2015,"&lt;"&amp;G237))</f>
        <v/>
      </c>
      <c r="I236" s="14" t="n"/>
      <c r="J236" s="16" t="n"/>
      <c r="K236" s="124">
        <f>IF(J236="","",COUNTIFS($C$18:$C$2015,J$13,$D$18:$D$2015,"&gt;="&amp;J236,$D$18:$D$2015,"&lt;"&amp;J237))</f>
        <v/>
      </c>
      <c r="L236" s="14" t="n"/>
      <c r="M236" s="16" t="n"/>
      <c r="N236" s="124">
        <f>IF(M236="","",COUNTIFS($C$18:$C$2015,M$13,$D$18:$D$2015,"&gt;="&amp;M236,$D$18:$D$2015,"&lt;"&amp;M237))</f>
        <v/>
      </c>
      <c r="O236" s="14" t="n"/>
      <c r="P236" s="16" t="n"/>
      <c r="Q236" s="124">
        <f>IF(P236="","",COUNTIFS($C$18:$C$2015,P$13,$D$18:$D$2015,"&gt;="&amp;P236,$D$18:$D$2015,"&lt;"&amp;P237))</f>
        <v/>
      </c>
      <c r="R236" s="14" t="n"/>
      <c r="S236" s="16" t="n"/>
      <c r="T236" s="124">
        <f>IF(S236="","",COUNTIFS($C$18:$C$2015,S$13,$D$18:$D$2015,"&gt;="&amp;S236,$D$18:$D$2015,"&lt;"&amp;S237))</f>
        <v/>
      </c>
      <c r="U236" s="14" t="n"/>
      <c r="V236" s="16" t="n"/>
      <c r="W236" s="124">
        <f>IF(V236="","",COUNTIFS($C$18:$C$2015,V$13,$D$18:$D$2015,"&gt;="&amp;V236,$D$18:$D$2015,"&lt;"&amp;V237))</f>
        <v/>
      </c>
      <c r="X236" s="14" t="n"/>
      <c r="Y236" s="16" t="n"/>
      <c r="Z236" s="124">
        <f>IF(Y236="","",COUNTIFS($C$18:$C$2015,Y$13,$D$18:$D$2015,"&gt;="&amp;Y236,$D$18:$D$2015,"&lt;"&amp;Y237))</f>
        <v/>
      </c>
      <c r="AA236" s="14" t="n"/>
      <c r="AB236" s="16" t="n"/>
      <c r="AC236" s="124">
        <f>IF(AB236="","",COUNTIFS($C$18:$C$2015,AB$13,$D$18:$D$2015,"&gt;="&amp;AB236,$D$18:$D$2015,"&lt;"&amp;AB237))</f>
        <v/>
      </c>
      <c r="AD236" s="14" t="n"/>
    </row>
    <row r="237">
      <c r="A237" s="58" t="n"/>
      <c r="B237" s="59" t="n"/>
      <c r="C237" s="59" t="n"/>
      <c r="E237" s="16" t="n"/>
      <c r="F237" s="13" t="n"/>
      <c r="G237" s="16" t="n"/>
      <c r="H237" s="124">
        <f>IF(G237="","",COUNTIFS($C$18:$C$2015,G$13,$D$18:$D$2015,"&gt;="&amp;G237,$D$18:$D$2015,"&lt;"&amp;G238))</f>
        <v/>
      </c>
      <c r="I237" s="14" t="n"/>
      <c r="J237" s="16" t="n"/>
      <c r="K237" s="124">
        <f>IF(J237="","",COUNTIFS($C$18:$C$2015,J$13,$D$18:$D$2015,"&gt;="&amp;J237,$D$18:$D$2015,"&lt;"&amp;J238))</f>
        <v/>
      </c>
      <c r="L237" s="14" t="n"/>
      <c r="M237" s="16" t="n"/>
      <c r="N237" s="124">
        <f>IF(M237="","",COUNTIFS($C$18:$C$2015,M$13,$D$18:$D$2015,"&gt;="&amp;M237,$D$18:$D$2015,"&lt;"&amp;M238))</f>
        <v/>
      </c>
      <c r="O237" s="14" t="n"/>
      <c r="P237" s="16" t="n"/>
      <c r="Q237" s="124">
        <f>IF(P237="","",COUNTIFS($C$18:$C$2015,P$13,$D$18:$D$2015,"&gt;="&amp;P237,$D$18:$D$2015,"&lt;"&amp;P238))</f>
        <v/>
      </c>
      <c r="R237" s="14" t="n"/>
      <c r="S237" s="16" t="n"/>
      <c r="T237" s="124">
        <f>IF(S237="","",COUNTIFS($C$18:$C$2015,S$13,$D$18:$D$2015,"&gt;="&amp;S237,$D$18:$D$2015,"&lt;"&amp;S238))</f>
        <v/>
      </c>
      <c r="U237" s="14" t="n"/>
      <c r="V237" s="16" t="n"/>
      <c r="W237" s="124">
        <f>IF(V237="","",COUNTIFS($C$18:$C$2015,V$13,$D$18:$D$2015,"&gt;="&amp;V237,$D$18:$D$2015,"&lt;"&amp;V238))</f>
        <v/>
      </c>
      <c r="X237" s="14" t="n"/>
      <c r="Y237" s="16" t="n"/>
      <c r="Z237" s="124">
        <f>IF(Y237="","",COUNTIFS($C$18:$C$2015,Y$13,$D$18:$D$2015,"&gt;="&amp;Y237,$D$18:$D$2015,"&lt;"&amp;Y238))</f>
        <v/>
      </c>
      <c r="AA237" s="14" t="n"/>
      <c r="AB237" s="16" t="n"/>
      <c r="AC237" s="124">
        <f>IF(AB237="","",COUNTIFS($C$18:$C$2015,AB$13,$D$18:$D$2015,"&gt;="&amp;AB237,$D$18:$D$2015,"&lt;"&amp;AB238))</f>
        <v/>
      </c>
      <c r="AD237" s="14" t="n"/>
    </row>
    <row r="238">
      <c r="A238" s="56" t="n"/>
      <c r="B238" s="59" t="n"/>
      <c r="C238" s="59" t="n"/>
      <c r="E238" s="16" t="n"/>
      <c r="F238" s="13" t="n"/>
      <c r="G238" s="16" t="n"/>
      <c r="H238" s="124">
        <f>IF(G238="","",COUNTIFS($C$18:$C$2015,G$13,$D$18:$D$2015,"&gt;="&amp;G238,$D$18:$D$2015,"&lt;"&amp;G239))</f>
        <v/>
      </c>
      <c r="I238" s="14" t="n"/>
      <c r="J238" s="16" t="n"/>
      <c r="K238" s="124">
        <f>IF(J238="","",COUNTIFS($C$18:$C$2015,J$13,$D$18:$D$2015,"&gt;="&amp;J238,$D$18:$D$2015,"&lt;"&amp;J239))</f>
        <v/>
      </c>
      <c r="L238" s="14" t="n"/>
      <c r="M238" s="16" t="n"/>
      <c r="N238" s="124">
        <f>IF(M238="","",COUNTIFS($C$18:$C$2015,M$13,$D$18:$D$2015,"&gt;="&amp;M238,$D$18:$D$2015,"&lt;"&amp;M239))</f>
        <v/>
      </c>
      <c r="O238" s="14" t="n"/>
      <c r="P238" s="16" t="n"/>
      <c r="Q238" s="124">
        <f>IF(P238="","",COUNTIFS($C$18:$C$2015,P$13,$D$18:$D$2015,"&gt;="&amp;P238,$D$18:$D$2015,"&lt;"&amp;P239))</f>
        <v/>
      </c>
      <c r="R238" s="14" t="n"/>
      <c r="S238" s="16" t="n"/>
      <c r="T238" s="124">
        <f>IF(S238="","",COUNTIFS($C$18:$C$2015,S$13,$D$18:$D$2015,"&gt;="&amp;S238,$D$18:$D$2015,"&lt;"&amp;S239))</f>
        <v/>
      </c>
      <c r="U238" s="14" t="n"/>
      <c r="V238" s="16" t="n"/>
      <c r="W238" s="124">
        <f>IF(V238="","",COUNTIFS($C$18:$C$2015,V$13,$D$18:$D$2015,"&gt;="&amp;V238,$D$18:$D$2015,"&lt;"&amp;V239))</f>
        <v/>
      </c>
      <c r="X238" s="14" t="n"/>
      <c r="Y238" s="16" t="n"/>
      <c r="Z238" s="124">
        <f>IF(Y238="","",COUNTIFS($C$18:$C$2015,Y$13,$D$18:$D$2015,"&gt;="&amp;Y238,$D$18:$D$2015,"&lt;"&amp;Y239))</f>
        <v/>
      </c>
      <c r="AA238" s="14" t="n"/>
      <c r="AB238" s="16" t="n"/>
      <c r="AC238" s="124">
        <f>IF(AB238="","",COUNTIFS($C$18:$C$2015,AB$13,$D$18:$D$2015,"&gt;="&amp;AB238,$D$18:$D$2015,"&lt;"&amp;AB239))</f>
        <v/>
      </c>
      <c r="AD238" s="14" t="n"/>
    </row>
    <row r="239">
      <c r="A239" s="58" t="n"/>
      <c r="B239" s="59" t="n"/>
      <c r="C239" s="59" t="n"/>
      <c r="E239" s="16" t="n"/>
      <c r="F239" s="13" t="n"/>
      <c r="G239" s="16" t="n"/>
      <c r="H239" s="124">
        <f>IF(G239="","",COUNTIFS($C$18:$C$2015,G$13,$D$18:$D$2015,"&gt;="&amp;G239,$D$18:$D$2015,"&lt;"&amp;G240))</f>
        <v/>
      </c>
      <c r="I239" s="14" t="n"/>
      <c r="J239" s="16" t="n"/>
      <c r="K239" s="124">
        <f>IF(J239="","",COUNTIFS($C$18:$C$2015,J$13,$D$18:$D$2015,"&gt;="&amp;J239,$D$18:$D$2015,"&lt;"&amp;J240))</f>
        <v/>
      </c>
      <c r="L239" s="14" t="n"/>
      <c r="M239" s="16" t="n"/>
      <c r="N239" s="124">
        <f>IF(M239="","",COUNTIFS($C$18:$C$2015,M$13,$D$18:$D$2015,"&gt;="&amp;M239,$D$18:$D$2015,"&lt;"&amp;M240))</f>
        <v/>
      </c>
      <c r="O239" s="14" t="n"/>
      <c r="P239" s="16" t="n"/>
      <c r="Q239" s="124">
        <f>IF(P239="","",COUNTIFS($C$18:$C$2015,P$13,$D$18:$D$2015,"&gt;="&amp;P239,$D$18:$D$2015,"&lt;"&amp;P240))</f>
        <v/>
      </c>
      <c r="R239" s="14" t="n"/>
      <c r="S239" s="16" t="n"/>
      <c r="T239" s="124">
        <f>IF(S239="","",COUNTIFS($C$18:$C$2015,S$13,$D$18:$D$2015,"&gt;="&amp;S239,$D$18:$D$2015,"&lt;"&amp;S240))</f>
        <v/>
      </c>
      <c r="U239" s="14" t="n"/>
      <c r="V239" s="16" t="n"/>
      <c r="W239" s="124">
        <f>IF(V239="","",COUNTIFS($C$18:$C$2015,V$13,$D$18:$D$2015,"&gt;="&amp;V239,$D$18:$D$2015,"&lt;"&amp;V240))</f>
        <v/>
      </c>
      <c r="X239" s="14" t="n"/>
      <c r="Y239" s="16" t="n"/>
      <c r="Z239" s="124">
        <f>IF(Y239="","",COUNTIFS($C$18:$C$2015,Y$13,$D$18:$D$2015,"&gt;="&amp;Y239,$D$18:$D$2015,"&lt;"&amp;Y240))</f>
        <v/>
      </c>
      <c r="AA239" s="14" t="n"/>
      <c r="AB239" s="16" t="n"/>
      <c r="AC239" s="124">
        <f>IF(AB239="","",COUNTIFS($C$18:$C$2015,AB$13,$D$18:$D$2015,"&gt;="&amp;AB239,$D$18:$D$2015,"&lt;"&amp;AB240))</f>
        <v/>
      </c>
      <c r="AD239" s="14" t="n"/>
    </row>
    <row r="240">
      <c r="A240" s="56" t="n"/>
      <c r="B240" s="59" t="n"/>
      <c r="C240" s="59" t="n"/>
      <c r="E240" s="16" t="n"/>
      <c r="F240" s="13" t="n"/>
      <c r="G240" s="16" t="n"/>
      <c r="H240" s="124">
        <f>IF(G240="","",COUNTIFS($C$18:$C$2015,G$13,$D$18:$D$2015,"&gt;="&amp;G240,$D$18:$D$2015,"&lt;"&amp;G241))</f>
        <v/>
      </c>
      <c r="I240" s="14" t="n"/>
      <c r="J240" s="16" t="n"/>
      <c r="K240" s="124">
        <f>IF(J240="","",COUNTIFS($C$18:$C$2015,J$13,$D$18:$D$2015,"&gt;="&amp;J240,$D$18:$D$2015,"&lt;"&amp;J241))</f>
        <v/>
      </c>
      <c r="L240" s="14" t="n"/>
      <c r="M240" s="16" t="n"/>
      <c r="N240" s="124">
        <f>IF(M240="","",COUNTIFS($C$18:$C$2015,M$13,$D$18:$D$2015,"&gt;="&amp;M240,$D$18:$D$2015,"&lt;"&amp;M241))</f>
        <v/>
      </c>
      <c r="O240" s="14" t="n"/>
      <c r="P240" s="16" t="n"/>
      <c r="Q240" s="124">
        <f>IF(P240="","",COUNTIFS($C$18:$C$2015,P$13,$D$18:$D$2015,"&gt;="&amp;P240,$D$18:$D$2015,"&lt;"&amp;P241))</f>
        <v/>
      </c>
      <c r="R240" s="14" t="n"/>
      <c r="S240" s="16" t="n"/>
      <c r="T240" s="124">
        <f>IF(S240="","",COUNTIFS($C$18:$C$2015,S$13,$D$18:$D$2015,"&gt;="&amp;S240,$D$18:$D$2015,"&lt;"&amp;S241))</f>
        <v/>
      </c>
      <c r="U240" s="14" t="n"/>
      <c r="V240" s="16" t="n"/>
      <c r="W240" s="124">
        <f>IF(V240="","",COUNTIFS($C$18:$C$2015,V$13,$D$18:$D$2015,"&gt;="&amp;V240,$D$18:$D$2015,"&lt;"&amp;V241))</f>
        <v/>
      </c>
      <c r="X240" s="14" t="n"/>
      <c r="Y240" s="16" t="n"/>
      <c r="Z240" s="124">
        <f>IF(Y240="","",COUNTIFS($C$18:$C$2015,Y$13,$D$18:$D$2015,"&gt;="&amp;Y240,$D$18:$D$2015,"&lt;"&amp;Y241))</f>
        <v/>
      </c>
      <c r="AA240" s="14" t="n"/>
      <c r="AB240" s="16" t="n"/>
      <c r="AC240" s="124">
        <f>IF(AB240="","",COUNTIFS($C$18:$C$2015,AB$13,$D$18:$D$2015,"&gt;="&amp;AB240,$D$18:$D$2015,"&lt;"&amp;AB241))</f>
        <v/>
      </c>
      <c r="AD240" s="14" t="n"/>
    </row>
    <row r="241">
      <c r="A241" s="58" t="n"/>
      <c r="B241" s="59" t="n"/>
      <c r="C241" s="59" t="n"/>
      <c r="E241" s="16" t="n"/>
      <c r="F241" s="13" t="n"/>
      <c r="G241" s="16" t="n"/>
      <c r="H241" s="124">
        <f>IF(G241="","",COUNTIFS($C$18:$C$2015,G$13,$D$18:$D$2015,"&gt;="&amp;G241,$D$18:$D$2015,"&lt;"&amp;G242))</f>
        <v/>
      </c>
      <c r="I241" s="14" t="n"/>
      <c r="J241" s="16" t="n"/>
      <c r="K241" s="124">
        <f>IF(J241="","",COUNTIFS($C$18:$C$2015,J$13,$D$18:$D$2015,"&gt;="&amp;J241,$D$18:$D$2015,"&lt;"&amp;J242))</f>
        <v/>
      </c>
      <c r="L241" s="14" t="n"/>
      <c r="M241" s="16" t="n"/>
      <c r="N241" s="124">
        <f>IF(M241="","",COUNTIFS($C$18:$C$2015,M$13,$D$18:$D$2015,"&gt;="&amp;M241,$D$18:$D$2015,"&lt;"&amp;M242))</f>
        <v/>
      </c>
      <c r="O241" s="14" t="n"/>
      <c r="P241" s="16" t="n"/>
      <c r="Q241" s="124">
        <f>IF(P241="","",COUNTIFS($C$18:$C$2015,P$13,$D$18:$D$2015,"&gt;="&amp;P241,$D$18:$D$2015,"&lt;"&amp;P242))</f>
        <v/>
      </c>
      <c r="R241" s="14" t="n"/>
      <c r="S241" s="16" t="n"/>
      <c r="T241" s="124">
        <f>IF(S241="","",COUNTIFS($C$18:$C$2015,S$13,$D$18:$D$2015,"&gt;="&amp;S241,$D$18:$D$2015,"&lt;"&amp;S242))</f>
        <v/>
      </c>
      <c r="U241" s="14" t="n"/>
      <c r="V241" s="16" t="n"/>
      <c r="W241" s="124">
        <f>IF(V241="","",COUNTIFS($C$18:$C$2015,V$13,$D$18:$D$2015,"&gt;="&amp;V241,$D$18:$D$2015,"&lt;"&amp;V242))</f>
        <v/>
      </c>
      <c r="X241" s="14" t="n"/>
      <c r="Y241" s="16" t="n"/>
      <c r="Z241" s="124">
        <f>IF(Y241="","",COUNTIFS($C$18:$C$2015,Y$13,$D$18:$D$2015,"&gt;="&amp;Y241,$D$18:$D$2015,"&lt;"&amp;Y242))</f>
        <v/>
      </c>
      <c r="AA241" s="14" t="n"/>
      <c r="AB241" s="16" t="n"/>
      <c r="AC241" s="124">
        <f>IF(AB241="","",COUNTIFS($C$18:$C$2015,AB$13,$D$18:$D$2015,"&gt;="&amp;AB241,$D$18:$D$2015,"&lt;"&amp;AB242))</f>
        <v/>
      </c>
      <c r="AD241" s="14" t="n"/>
    </row>
    <row r="242">
      <c r="A242" s="56" t="n"/>
      <c r="B242" s="59" t="n"/>
      <c r="C242" s="59" t="n"/>
      <c r="E242" s="16" t="n"/>
      <c r="F242" s="13" t="n"/>
      <c r="G242" s="16" t="n"/>
      <c r="H242" s="124">
        <f>IF(G242="","",COUNTIFS($C$18:$C$2015,G$13,$D$18:$D$2015,"&gt;="&amp;G242,$D$18:$D$2015,"&lt;"&amp;G243))</f>
        <v/>
      </c>
      <c r="I242" s="14" t="n"/>
      <c r="J242" s="16" t="n"/>
      <c r="K242" s="124">
        <f>IF(J242="","",COUNTIFS($C$18:$C$2015,J$13,$D$18:$D$2015,"&gt;="&amp;J242,$D$18:$D$2015,"&lt;"&amp;J243))</f>
        <v/>
      </c>
      <c r="L242" s="14" t="n"/>
      <c r="M242" s="16" t="n"/>
      <c r="N242" s="124">
        <f>IF(M242="","",COUNTIFS($C$18:$C$2015,M$13,$D$18:$D$2015,"&gt;="&amp;M242,$D$18:$D$2015,"&lt;"&amp;M243))</f>
        <v/>
      </c>
      <c r="O242" s="14" t="n"/>
      <c r="P242" s="16" t="n"/>
      <c r="Q242" s="124">
        <f>IF(P242="","",COUNTIFS($C$18:$C$2015,P$13,$D$18:$D$2015,"&gt;="&amp;P242,$D$18:$D$2015,"&lt;"&amp;P243))</f>
        <v/>
      </c>
      <c r="R242" s="14" t="n"/>
      <c r="S242" s="16" t="n"/>
      <c r="T242" s="124">
        <f>IF(S242="","",COUNTIFS($C$18:$C$2015,S$13,$D$18:$D$2015,"&gt;="&amp;S242,$D$18:$D$2015,"&lt;"&amp;S243))</f>
        <v/>
      </c>
      <c r="U242" s="14" t="n"/>
      <c r="V242" s="16" t="n"/>
      <c r="W242" s="124">
        <f>IF(V242="","",COUNTIFS($C$18:$C$2015,V$13,$D$18:$D$2015,"&gt;="&amp;V242,$D$18:$D$2015,"&lt;"&amp;V243))</f>
        <v/>
      </c>
      <c r="X242" s="14" t="n"/>
      <c r="Y242" s="16" t="n"/>
      <c r="Z242" s="124">
        <f>IF(Y242="","",COUNTIFS($C$18:$C$2015,Y$13,$D$18:$D$2015,"&gt;="&amp;Y242,$D$18:$D$2015,"&lt;"&amp;Y243))</f>
        <v/>
      </c>
      <c r="AA242" s="14" t="n"/>
      <c r="AB242" s="16" t="n"/>
      <c r="AC242" s="124">
        <f>IF(AB242="","",COUNTIFS($C$18:$C$2015,AB$13,$D$18:$D$2015,"&gt;="&amp;AB242,$D$18:$D$2015,"&lt;"&amp;AB243))</f>
        <v/>
      </c>
      <c r="AD242" s="14" t="n"/>
    </row>
    <row r="243">
      <c r="A243" s="58" t="n"/>
      <c r="B243" s="59" t="n"/>
      <c r="C243" s="59" t="n"/>
      <c r="E243" s="16" t="n"/>
      <c r="F243" s="13" t="n"/>
      <c r="G243" s="16" t="n"/>
      <c r="H243" s="124">
        <f>IF(G243="","",COUNTIFS($C$18:$C$2015,G$13,$D$18:$D$2015,"&gt;="&amp;G243,$D$18:$D$2015,"&lt;"&amp;G244))</f>
        <v/>
      </c>
      <c r="I243" s="14" t="n"/>
      <c r="J243" s="16" t="n"/>
      <c r="K243" s="124">
        <f>IF(J243="","",COUNTIFS($C$18:$C$2015,J$13,$D$18:$D$2015,"&gt;="&amp;J243,$D$18:$D$2015,"&lt;"&amp;J244))</f>
        <v/>
      </c>
      <c r="L243" s="14" t="n"/>
      <c r="M243" s="16" t="n"/>
      <c r="N243" s="124">
        <f>IF(M243="","",COUNTIFS($C$18:$C$2015,M$13,$D$18:$D$2015,"&gt;="&amp;M243,$D$18:$D$2015,"&lt;"&amp;M244))</f>
        <v/>
      </c>
      <c r="O243" s="14" t="n"/>
      <c r="P243" s="16" t="n"/>
      <c r="Q243" s="124">
        <f>IF(P243="","",COUNTIFS($C$18:$C$2015,P$13,$D$18:$D$2015,"&gt;="&amp;P243,$D$18:$D$2015,"&lt;"&amp;P244))</f>
        <v/>
      </c>
      <c r="R243" s="14" t="n"/>
      <c r="S243" s="16" t="n"/>
      <c r="T243" s="124">
        <f>IF(S243="","",COUNTIFS($C$18:$C$2015,S$13,$D$18:$D$2015,"&gt;="&amp;S243,$D$18:$D$2015,"&lt;"&amp;S244))</f>
        <v/>
      </c>
      <c r="U243" s="14" t="n"/>
      <c r="V243" s="16" t="n"/>
      <c r="W243" s="124">
        <f>IF(V243="","",COUNTIFS($C$18:$C$2015,V$13,$D$18:$D$2015,"&gt;="&amp;V243,$D$18:$D$2015,"&lt;"&amp;V244))</f>
        <v/>
      </c>
      <c r="X243" s="14" t="n"/>
      <c r="Y243" s="16" t="n"/>
      <c r="Z243" s="124">
        <f>IF(Y243="","",COUNTIFS($C$18:$C$2015,Y$13,$D$18:$D$2015,"&gt;="&amp;Y243,$D$18:$D$2015,"&lt;"&amp;Y244))</f>
        <v/>
      </c>
      <c r="AA243" s="14" t="n"/>
      <c r="AB243" s="16" t="n"/>
      <c r="AC243" s="124">
        <f>IF(AB243="","",COUNTIFS($C$18:$C$2015,AB$13,$D$18:$D$2015,"&gt;="&amp;AB243,$D$18:$D$2015,"&lt;"&amp;AB244))</f>
        <v/>
      </c>
      <c r="AD243" s="14" t="n"/>
    </row>
    <row r="244">
      <c r="A244" s="56" t="n"/>
      <c r="B244" s="59" t="n"/>
      <c r="C244" s="59" t="n"/>
      <c r="E244" s="16" t="n"/>
      <c r="F244" s="13" t="n"/>
      <c r="G244" s="16" t="n"/>
      <c r="H244" s="124">
        <f>IF(G244="","",COUNTIFS($C$18:$C$2015,G$13,$D$18:$D$2015,"&gt;="&amp;G244,$D$18:$D$2015,"&lt;"&amp;G245))</f>
        <v/>
      </c>
      <c r="I244" s="14" t="n"/>
      <c r="J244" s="16" t="n"/>
      <c r="K244" s="124">
        <f>IF(J244="","",COUNTIFS($C$18:$C$2015,J$13,$D$18:$D$2015,"&gt;="&amp;J244,$D$18:$D$2015,"&lt;"&amp;J245))</f>
        <v/>
      </c>
      <c r="L244" s="14" t="n"/>
      <c r="M244" s="16" t="n"/>
      <c r="N244" s="124">
        <f>IF(M244="","",COUNTIFS($C$18:$C$2015,M$13,$D$18:$D$2015,"&gt;="&amp;M244,$D$18:$D$2015,"&lt;"&amp;M245))</f>
        <v/>
      </c>
      <c r="O244" s="14" t="n"/>
      <c r="P244" s="16" t="n"/>
      <c r="Q244" s="124">
        <f>IF(P244="","",COUNTIFS($C$18:$C$2015,P$13,$D$18:$D$2015,"&gt;="&amp;P244,$D$18:$D$2015,"&lt;"&amp;P245))</f>
        <v/>
      </c>
      <c r="R244" s="14" t="n"/>
      <c r="S244" s="16" t="n"/>
      <c r="T244" s="124">
        <f>IF(S244="","",COUNTIFS($C$18:$C$2015,S$13,$D$18:$D$2015,"&gt;="&amp;S244,$D$18:$D$2015,"&lt;"&amp;S245))</f>
        <v/>
      </c>
      <c r="U244" s="14" t="n"/>
      <c r="V244" s="16" t="n"/>
      <c r="W244" s="124">
        <f>IF(V244="","",COUNTIFS($C$18:$C$2015,V$13,$D$18:$D$2015,"&gt;="&amp;V244,$D$18:$D$2015,"&lt;"&amp;V245))</f>
        <v/>
      </c>
      <c r="X244" s="14" t="n"/>
      <c r="Y244" s="16" t="n"/>
      <c r="Z244" s="124">
        <f>IF(Y244="","",COUNTIFS($C$18:$C$2015,Y$13,$D$18:$D$2015,"&gt;="&amp;Y244,$D$18:$D$2015,"&lt;"&amp;Y245))</f>
        <v/>
      </c>
      <c r="AA244" s="14" t="n"/>
      <c r="AB244" s="16" t="n"/>
      <c r="AC244" s="124">
        <f>IF(AB244="","",COUNTIFS($C$18:$C$2015,AB$13,$D$18:$D$2015,"&gt;="&amp;AB244,$D$18:$D$2015,"&lt;"&amp;AB245))</f>
        <v/>
      </c>
      <c r="AD244" s="14" t="n"/>
    </row>
    <row r="245">
      <c r="A245" s="58" t="n"/>
      <c r="B245" s="59" t="n"/>
      <c r="C245" s="59" t="n"/>
      <c r="E245" s="16" t="n"/>
      <c r="F245" s="13" t="n"/>
      <c r="G245" s="16" t="n"/>
      <c r="H245" s="124">
        <f>IF(G245="","",COUNTIFS($C$18:$C$2015,G$13,$D$18:$D$2015,"&gt;="&amp;G245,$D$18:$D$2015,"&lt;"&amp;G246))</f>
        <v/>
      </c>
      <c r="I245" s="14" t="n"/>
      <c r="J245" s="16" t="n"/>
      <c r="K245" s="124">
        <f>IF(J245="","",COUNTIFS($C$18:$C$2015,J$13,$D$18:$D$2015,"&gt;="&amp;J245,$D$18:$D$2015,"&lt;"&amp;J246))</f>
        <v/>
      </c>
      <c r="L245" s="14" t="n"/>
      <c r="M245" s="16" t="n"/>
      <c r="N245" s="124">
        <f>IF(M245="","",COUNTIFS($C$18:$C$2015,M$13,$D$18:$D$2015,"&gt;="&amp;M245,$D$18:$D$2015,"&lt;"&amp;M246))</f>
        <v/>
      </c>
      <c r="O245" s="14" t="n"/>
      <c r="P245" s="16" t="n"/>
      <c r="Q245" s="124">
        <f>IF(P245="","",COUNTIFS($C$18:$C$2015,P$13,$D$18:$D$2015,"&gt;="&amp;P245,$D$18:$D$2015,"&lt;"&amp;P246))</f>
        <v/>
      </c>
      <c r="R245" s="14" t="n"/>
      <c r="S245" s="16" t="n"/>
      <c r="T245" s="124">
        <f>IF(S245="","",COUNTIFS($C$18:$C$2015,S$13,$D$18:$D$2015,"&gt;="&amp;S245,$D$18:$D$2015,"&lt;"&amp;S246))</f>
        <v/>
      </c>
      <c r="U245" s="14" t="n"/>
      <c r="V245" s="16" t="n"/>
      <c r="W245" s="124">
        <f>IF(V245="","",COUNTIFS($C$18:$C$2015,V$13,$D$18:$D$2015,"&gt;="&amp;V245,$D$18:$D$2015,"&lt;"&amp;V246))</f>
        <v/>
      </c>
      <c r="X245" s="14" t="n"/>
      <c r="Y245" s="16" t="n"/>
      <c r="Z245" s="124">
        <f>IF(Y245="","",COUNTIFS($C$18:$C$2015,Y$13,$D$18:$D$2015,"&gt;="&amp;Y245,$D$18:$D$2015,"&lt;"&amp;Y246))</f>
        <v/>
      </c>
      <c r="AA245" s="14" t="n"/>
      <c r="AB245" s="16" t="n"/>
      <c r="AC245" s="124">
        <f>IF(AB245="","",COUNTIFS($C$18:$C$2015,AB$13,$D$18:$D$2015,"&gt;="&amp;AB245,$D$18:$D$2015,"&lt;"&amp;AB246))</f>
        <v/>
      </c>
      <c r="AD245" s="14" t="n"/>
    </row>
    <row r="246">
      <c r="A246" s="56" t="n"/>
      <c r="B246" s="59" t="n"/>
      <c r="C246" s="59" t="n"/>
      <c r="E246" s="16" t="n"/>
      <c r="F246" s="13" t="n"/>
      <c r="G246" s="16" t="n"/>
      <c r="H246" s="124">
        <f>IF(G246="","",COUNTIFS($C$18:$C$2015,G$13,$D$18:$D$2015,"&gt;="&amp;G246,$D$18:$D$2015,"&lt;"&amp;G247))</f>
        <v/>
      </c>
      <c r="I246" s="14" t="n"/>
      <c r="J246" s="16" t="n"/>
      <c r="K246" s="124">
        <f>IF(J246="","",COUNTIFS($C$18:$C$2015,J$13,$D$18:$D$2015,"&gt;="&amp;J246,$D$18:$D$2015,"&lt;"&amp;J247))</f>
        <v/>
      </c>
      <c r="L246" s="14" t="n"/>
      <c r="M246" s="16" t="n"/>
      <c r="N246" s="124">
        <f>IF(M246="","",COUNTIFS($C$18:$C$2015,M$13,$D$18:$D$2015,"&gt;="&amp;M246,$D$18:$D$2015,"&lt;"&amp;M247))</f>
        <v/>
      </c>
      <c r="O246" s="14" t="n"/>
      <c r="P246" s="16" t="n"/>
      <c r="Q246" s="124">
        <f>IF(P246="","",COUNTIFS($C$18:$C$2015,P$13,$D$18:$D$2015,"&gt;="&amp;P246,$D$18:$D$2015,"&lt;"&amp;P247))</f>
        <v/>
      </c>
      <c r="R246" s="14" t="n"/>
      <c r="S246" s="16" t="n"/>
      <c r="T246" s="124">
        <f>IF(S246="","",COUNTIFS($C$18:$C$2015,S$13,$D$18:$D$2015,"&gt;="&amp;S246,$D$18:$D$2015,"&lt;"&amp;S247))</f>
        <v/>
      </c>
      <c r="U246" s="14" t="n"/>
      <c r="V246" s="16" t="n"/>
      <c r="W246" s="124">
        <f>IF(V246="","",COUNTIFS($C$18:$C$2015,V$13,$D$18:$D$2015,"&gt;="&amp;V246,$D$18:$D$2015,"&lt;"&amp;V247))</f>
        <v/>
      </c>
      <c r="X246" s="14" t="n"/>
      <c r="Y246" s="16" t="n"/>
      <c r="Z246" s="124">
        <f>IF(Y246="","",COUNTIFS($C$18:$C$2015,Y$13,$D$18:$D$2015,"&gt;="&amp;Y246,$D$18:$D$2015,"&lt;"&amp;Y247))</f>
        <v/>
      </c>
      <c r="AA246" s="14" t="n"/>
      <c r="AB246" s="16" t="n"/>
      <c r="AC246" s="124">
        <f>IF(AB246="","",COUNTIFS($C$18:$C$2015,AB$13,$D$18:$D$2015,"&gt;="&amp;AB246,$D$18:$D$2015,"&lt;"&amp;AB247))</f>
        <v/>
      </c>
      <c r="AD246" s="14" t="n"/>
    </row>
    <row r="247">
      <c r="A247" s="58" t="n"/>
      <c r="B247" s="59" t="n"/>
      <c r="C247" s="59" t="n"/>
      <c r="E247" s="16" t="n"/>
      <c r="F247" s="13" t="n"/>
      <c r="G247" s="16" t="n"/>
      <c r="H247" s="124">
        <f>IF(G247="","",COUNTIFS($C$18:$C$2015,G$13,$D$18:$D$2015,"&gt;="&amp;G247,$D$18:$D$2015,"&lt;"&amp;G248))</f>
        <v/>
      </c>
      <c r="I247" s="14" t="n"/>
      <c r="J247" s="16" t="n"/>
      <c r="K247" s="124">
        <f>IF(J247="","",COUNTIFS($C$18:$C$2015,J$13,$D$18:$D$2015,"&gt;="&amp;J247,$D$18:$D$2015,"&lt;"&amp;J248))</f>
        <v/>
      </c>
      <c r="L247" s="14" t="n"/>
      <c r="M247" s="16" t="n"/>
      <c r="N247" s="124">
        <f>IF(M247="","",COUNTIFS($C$18:$C$2015,M$13,$D$18:$D$2015,"&gt;="&amp;M247,$D$18:$D$2015,"&lt;"&amp;M248))</f>
        <v/>
      </c>
      <c r="O247" s="14" t="n"/>
      <c r="P247" s="16" t="n"/>
      <c r="Q247" s="124">
        <f>IF(P247="","",COUNTIFS($C$18:$C$2015,P$13,$D$18:$D$2015,"&gt;="&amp;P247,$D$18:$D$2015,"&lt;"&amp;P248))</f>
        <v/>
      </c>
      <c r="R247" s="14" t="n"/>
      <c r="S247" s="16" t="n"/>
      <c r="T247" s="124">
        <f>IF(S247="","",COUNTIFS($C$18:$C$2015,S$13,$D$18:$D$2015,"&gt;="&amp;S247,$D$18:$D$2015,"&lt;"&amp;S248))</f>
        <v/>
      </c>
      <c r="U247" s="14" t="n"/>
      <c r="V247" s="16" t="n"/>
      <c r="W247" s="124">
        <f>IF(V247="","",COUNTIFS($C$18:$C$2015,V$13,$D$18:$D$2015,"&gt;="&amp;V247,$D$18:$D$2015,"&lt;"&amp;V248))</f>
        <v/>
      </c>
      <c r="X247" s="14" t="n"/>
      <c r="Y247" s="16" t="n"/>
      <c r="Z247" s="124">
        <f>IF(Y247="","",COUNTIFS($C$18:$C$2015,Y$13,$D$18:$D$2015,"&gt;="&amp;Y247,$D$18:$D$2015,"&lt;"&amp;Y248))</f>
        <v/>
      </c>
      <c r="AA247" s="14" t="n"/>
      <c r="AB247" s="16" t="n"/>
      <c r="AC247" s="124">
        <f>IF(AB247="","",COUNTIFS($C$18:$C$2015,AB$13,$D$18:$D$2015,"&gt;="&amp;AB247,$D$18:$D$2015,"&lt;"&amp;AB248))</f>
        <v/>
      </c>
      <c r="AD247" s="14" t="n"/>
    </row>
    <row r="248">
      <c r="A248" s="56" t="n"/>
      <c r="B248" s="59" t="n"/>
      <c r="C248" s="59" t="n"/>
      <c r="E248" s="16" t="n"/>
      <c r="F248" s="13" t="n"/>
      <c r="G248" s="16" t="n"/>
      <c r="H248" s="124">
        <f>IF(G248="","",COUNTIFS($C$18:$C$2015,G$13,$D$18:$D$2015,"&gt;="&amp;G248,$D$18:$D$2015,"&lt;"&amp;G249))</f>
        <v/>
      </c>
      <c r="I248" s="14" t="n"/>
      <c r="J248" s="16" t="n"/>
      <c r="K248" s="124">
        <f>IF(J248="","",COUNTIFS($C$18:$C$2015,J$13,$D$18:$D$2015,"&gt;="&amp;J248,$D$18:$D$2015,"&lt;"&amp;J249))</f>
        <v/>
      </c>
      <c r="L248" s="14" t="n"/>
      <c r="M248" s="16" t="n"/>
      <c r="N248" s="124">
        <f>IF(M248="","",COUNTIFS($C$18:$C$2015,M$13,$D$18:$D$2015,"&gt;="&amp;M248,$D$18:$D$2015,"&lt;"&amp;M249))</f>
        <v/>
      </c>
      <c r="O248" s="14" t="n"/>
      <c r="P248" s="16" t="n"/>
      <c r="Q248" s="124">
        <f>IF(P248="","",COUNTIFS($C$18:$C$2015,P$13,$D$18:$D$2015,"&gt;="&amp;P248,$D$18:$D$2015,"&lt;"&amp;P249))</f>
        <v/>
      </c>
      <c r="R248" s="14" t="n"/>
      <c r="S248" s="16" t="n"/>
      <c r="T248" s="124">
        <f>IF(S248="","",COUNTIFS($C$18:$C$2015,S$13,$D$18:$D$2015,"&gt;="&amp;S248,$D$18:$D$2015,"&lt;"&amp;S249))</f>
        <v/>
      </c>
      <c r="U248" s="14" t="n"/>
      <c r="V248" s="16" t="n"/>
      <c r="W248" s="124">
        <f>IF(V248="","",COUNTIFS($C$18:$C$2015,V$13,$D$18:$D$2015,"&gt;="&amp;V248,$D$18:$D$2015,"&lt;"&amp;V249))</f>
        <v/>
      </c>
      <c r="X248" s="14" t="n"/>
      <c r="Y248" s="16" t="n"/>
      <c r="Z248" s="124">
        <f>IF(Y248="","",COUNTIFS($C$18:$C$2015,Y$13,$D$18:$D$2015,"&gt;="&amp;Y248,$D$18:$D$2015,"&lt;"&amp;Y249))</f>
        <v/>
      </c>
      <c r="AA248" s="14" t="n"/>
      <c r="AB248" s="16" t="n"/>
      <c r="AC248" s="124">
        <f>IF(AB248="","",COUNTIFS($C$18:$C$2015,AB$13,$D$18:$D$2015,"&gt;="&amp;AB248,$D$18:$D$2015,"&lt;"&amp;AB249))</f>
        <v/>
      </c>
      <c r="AD248" s="14" t="n"/>
    </row>
    <row r="249">
      <c r="A249" s="58" t="n"/>
      <c r="B249" s="59" t="n"/>
      <c r="C249" s="59" t="n"/>
      <c r="E249" s="16" t="n"/>
      <c r="F249" s="13" t="n"/>
      <c r="G249" s="16" t="n"/>
      <c r="H249" s="124">
        <f>IF(G249="","",COUNTIFS($C$18:$C$2015,G$13,$D$18:$D$2015,"&gt;="&amp;G249,$D$18:$D$2015,"&lt;"&amp;G250))</f>
        <v/>
      </c>
      <c r="I249" s="14" t="n"/>
      <c r="J249" s="16" t="n"/>
      <c r="K249" s="124">
        <f>IF(J249="","",COUNTIFS($C$18:$C$2015,J$13,$D$18:$D$2015,"&gt;="&amp;J249,$D$18:$D$2015,"&lt;"&amp;J250))</f>
        <v/>
      </c>
      <c r="L249" s="14" t="n"/>
      <c r="M249" s="16" t="n"/>
      <c r="N249" s="124">
        <f>IF(M249="","",COUNTIFS($C$18:$C$2015,M$13,$D$18:$D$2015,"&gt;="&amp;M249,$D$18:$D$2015,"&lt;"&amp;M250))</f>
        <v/>
      </c>
      <c r="O249" s="14" t="n"/>
      <c r="P249" s="16" t="n"/>
      <c r="Q249" s="124">
        <f>IF(P249="","",COUNTIFS($C$18:$C$2015,P$13,$D$18:$D$2015,"&gt;="&amp;P249,$D$18:$D$2015,"&lt;"&amp;P250))</f>
        <v/>
      </c>
      <c r="R249" s="14" t="n"/>
      <c r="S249" s="16" t="n"/>
      <c r="T249" s="124">
        <f>IF(S249="","",COUNTIFS($C$18:$C$2015,S$13,$D$18:$D$2015,"&gt;="&amp;S249,$D$18:$D$2015,"&lt;"&amp;S250))</f>
        <v/>
      </c>
      <c r="U249" s="14" t="n"/>
      <c r="V249" s="16" t="n"/>
      <c r="W249" s="124">
        <f>IF(V249="","",COUNTIFS($C$18:$C$2015,V$13,$D$18:$D$2015,"&gt;="&amp;V249,$D$18:$D$2015,"&lt;"&amp;V250))</f>
        <v/>
      </c>
      <c r="X249" s="14" t="n"/>
      <c r="Y249" s="16" t="n"/>
      <c r="Z249" s="124">
        <f>IF(Y249="","",COUNTIFS($C$18:$C$2015,Y$13,$D$18:$D$2015,"&gt;="&amp;Y249,$D$18:$D$2015,"&lt;"&amp;Y250))</f>
        <v/>
      </c>
      <c r="AA249" s="14" t="n"/>
      <c r="AB249" s="16" t="n"/>
      <c r="AC249" s="124">
        <f>IF(AB249="","",COUNTIFS($C$18:$C$2015,AB$13,$D$18:$D$2015,"&gt;="&amp;AB249,$D$18:$D$2015,"&lt;"&amp;AB250))</f>
        <v/>
      </c>
      <c r="AD249" s="14" t="n"/>
    </row>
    <row r="250">
      <c r="A250" s="56" t="n"/>
      <c r="B250" s="59" t="n"/>
      <c r="C250" s="59" t="n"/>
      <c r="E250" s="16" t="n"/>
      <c r="F250" s="13" t="n"/>
      <c r="G250" s="16" t="n"/>
      <c r="H250" s="124">
        <f>IF(G250="","",COUNTIFS($C$18:$C$2015,G$13,$D$18:$D$2015,"&gt;="&amp;G250,$D$18:$D$2015,"&lt;"&amp;G251))</f>
        <v/>
      </c>
      <c r="I250" s="14" t="n"/>
      <c r="J250" s="16" t="n"/>
      <c r="K250" s="124">
        <f>IF(J250="","",COUNTIFS($C$18:$C$2015,J$13,$D$18:$D$2015,"&gt;="&amp;J250,$D$18:$D$2015,"&lt;"&amp;J251))</f>
        <v/>
      </c>
      <c r="L250" s="14" t="n"/>
      <c r="M250" s="16" t="n"/>
      <c r="N250" s="124">
        <f>IF(M250="","",COUNTIFS($C$18:$C$2015,M$13,$D$18:$D$2015,"&gt;="&amp;M250,$D$18:$D$2015,"&lt;"&amp;M251))</f>
        <v/>
      </c>
      <c r="O250" s="14" t="n"/>
      <c r="P250" s="16" t="n"/>
      <c r="Q250" s="124">
        <f>IF(P250="","",COUNTIFS($C$18:$C$2015,P$13,$D$18:$D$2015,"&gt;="&amp;P250,$D$18:$D$2015,"&lt;"&amp;P251))</f>
        <v/>
      </c>
      <c r="R250" s="14" t="n"/>
      <c r="S250" s="16" t="n"/>
      <c r="T250" s="124">
        <f>IF(S250="","",COUNTIFS($C$18:$C$2015,S$13,$D$18:$D$2015,"&gt;="&amp;S250,$D$18:$D$2015,"&lt;"&amp;S251))</f>
        <v/>
      </c>
      <c r="U250" s="14" t="n"/>
      <c r="V250" s="16" t="n"/>
      <c r="W250" s="124">
        <f>IF(V250="","",COUNTIFS($C$18:$C$2015,V$13,$D$18:$D$2015,"&gt;="&amp;V250,$D$18:$D$2015,"&lt;"&amp;V251))</f>
        <v/>
      </c>
      <c r="X250" s="14" t="n"/>
      <c r="Y250" s="16" t="n"/>
      <c r="Z250" s="124">
        <f>IF(Y250="","",COUNTIFS($C$18:$C$2015,Y$13,$D$18:$D$2015,"&gt;="&amp;Y250,$D$18:$D$2015,"&lt;"&amp;Y251))</f>
        <v/>
      </c>
      <c r="AA250" s="14" t="n"/>
      <c r="AB250" s="16" t="n"/>
      <c r="AC250" s="124">
        <f>IF(AB250="","",COUNTIFS($C$18:$C$2015,AB$13,$D$18:$D$2015,"&gt;="&amp;AB250,$D$18:$D$2015,"&lt;"&amp;AB251))</f>
        <v/>
      </c>
      <c r="AD250" s="14" t="n"/>
    </row>
    <row r="251">
      <c r="A251" s="58" t="n"/>
      <c r="B251" s="59" t="n"/>
      <c r="C251" s="59" t="n"/>
      <c r="E251" s="16" t="n"/>
      <c r="F251" s="13" t="n"/>
      <c r="G251" s="16" t="n"/>
      <c r="H251" s="124">
        <f>IF(G251="","",COUNTIFS($C$18:$C$2015,G$13,$D$18:$D$2015,"&gt;="&amp;G251,$D$18:$D$2015,"&lt;"&amp;G252))</f>
        <v/>
      </c>
      <c r="I251" s="14" t="n"/>
      <c r="J251" s="16" t="n"/>
      <c r="K251" s="124">
        <f>IF(J251="","",COUNTIFS($C$18:$C$2015,J$13,$D$18:$D$2015,"&gt;="&amp;J251,$D$18:$D$2015,"&lt;"&amp;J252))</f>
        <v/>
      </c>
      <c r="L251" s="14" t="n"/>
      <c r="M251" s="16" t="n"/>
      <c r="N251" s="124">
        <f>IF(M251="","",COUNTIFS($C$18:$C$2015,M$13,$D$18:$D$2015,"&gt;="&amp;M251,$D$18:$D$2015,"&lt;"&amp;M252))</f>
        <v/>
      </c>
      <c r="O251" s="14" t="n"/>
      <c r="P251" s="16" t="n"/>
      <c r="Q251" s="124">
        <f>IF(P251="","",COUNTIFS($C$18:$C$2015,P$13,$D$18:$D$2015,"&gt;="&amp;P251,$D$18:$D$2015,"&lt;"&amp;P252))</f>
        <v/>
      </c>
      <c r="R251" s="14" t="n"/>
      <c r="S251" s="16" t="n"/>
      <c r="T251" s="124">
        <f>IF(S251="","",COUNTIFS($C$18:$C$2015,S$13,$D$18:$D$2015,"&gt;="&amp;S251,$D$18:$D$2015,"&lt;"&amp;S252))</f>
        <v/>
      </c>
      <c r="U251" s="14" t="n"/>
      <c r="V251" s="16" t="n"/>
      <c r="W251" s="124">
        <f>IF(V251="","",COUNTIFS($C$18:$C$2015,V$13,$D$18:$D$2015,"&gt;="&amp;V251,$D$18:$D$2015,"&lt;"&amp;V252))</f>
        <v/>
      </c>
      <c r="X251" s="14" t="n"/>
      <c r="Y251" s="16" t="n"/>
      <c r="Z251" s="124">
        <f>IF(Y251="","",COUNTIFS($C$18:$C$2015,Y$13,$D$18:$D$2015,"&gt;="&amp;Y251,$D$18:$D$2015,"&lt;"&amp;Y252))</f>
        <v/>
      </c>
      <c r="AA251" s="14" t="n"/>
      <c r="AB251" s="16" t="n"/>
      <c r="AC251" s="124">
        <f>IF(AB251="","",COUNTIFS($C$18:$C$2015,AB$13,$D$18:$D$2015,"&gt;="&amp;AB251,$D$18:$D$2015,"&lt;"&amp;AB252))</f>
        <v/>
      </c>
      <c r="AD251" s="14" t="n"/>
    </row>
    <row r="252">
      <c r="A252" s="56" t="n"/>
      <c r="B252" s="59" t="n"/>
      <c r="C252" s="59" t="n"/>
      <c r="E252" s="16" t="n"/>
      <c r="F252" s="13" t="n"/>
      <c r="G252" s="16" t="n"/>
      <c r="H252" s="124">
        <f>IF(G252="","",COUNTIFS($C$18:$C$2015,G$13,$D$18:$D$2015,"&gt;="&amp;G252,$D$18:$D$2015,"&lt;"&amp;G253))</f>
        <v/>
      </c>
      <c r="I252" s="14" t="n"/>
      <c r="J252" s="16" t="n"/>
      <c r="K252" s="124">
        <f>IF(J252="","",COUNTIFS($C$18:$C$2015,J$13,$D$18:$D$2015,"&gt;="&amp;J252,$D$18:$D$2015,"&lt;"&amp;J253))</f>
        <v/>
      </c>
      <c r="L252" s="14" t="n"/>
      <c r="M252" s="16" t="n"/>
      <c r="N252" s="124">
        <f>IF(M252="","",COUNTIFS($C$18:$C$2015,M$13,$D$18:$D$2015,"&gt;="&amp;M252,$D$18:$D$2015,"&lt;"&amp;M253))</f>
        <v/>
      </c>
      <c r="O252" s="14" t="n"/>
      <c r="P252" s="16" t="n"/>
      <c r="Q252" s="124">
        <f>IF(P252="","",COUNTIFS($C$18:$C$2015,P$13,$D$18:$D$2015,"&gt;="&amp;P252,$D$18:$D$2015,"&lt;"&amp;P253))</f>
        <v/>
      </c>
      <c r="R252" s="14" t="n"/>
      <c r="S252" s="16" t="n"/>
      <c r="T252" s="124">
        <f>IF(S252="","",COUNTIFS($C$18:$C$2015,S$13,$D$18:$D$2015,"&gt;="&amp;S252,$D$18:$D$2015,"&lt;"&amp;S253))</f>
        <v/>
      </c>
      <c r="U252" s="14" t="n"/>
      <c r="V252" s="16" t="n"/>
      <c r="W252" s="124">
        <f>IF(V252="","",COUNTIFS($C$18:$C$2015,V$13,$D$18:$D$2015,"&gt;="&amp;V252,$D$18:$D$2015,"&lt;"&amp;V253))</f>
        <v/>
      </c>
      <c r="X252" s="14" t="n"/>
      <c r="Y252" s="16" t="n"/>
      <c r="Z252" s="124">
        <f>IF(Y252="","",COUNTIFS($C$18:$C$2015,Y$13,$D$18:$D$2015,"&gt;="&amp;Y252,$D$18:$D$2015,"&lt;"&amp;Y253))</f>
        <v/>
      </c>
      <c r="AA252" s="14" t="n"/>
      <c r="AB252" s="16" t="n"/>
      <c r="AC252" s="124">
        <f>IF(AB252="","",COUNTIFS($C$18:$C$2015,AB$13,$D$18:$D$2015,"&gt;="&amp;AB252,$D$18:$D$2015,"&lt;"&amp;AB253))</f>
        <v/>
      </c>
      <c r="AD252" s="14" t="n"/>
    </row>
    <row r="253">
      <c r="A253" s="58" t="n"/>
      <c r="B253" s="59" t="n"/>
      <c r="C253" s="59" t="n"/>
      <c r="E253" s="16" t="n"/>
      <c r="F253" s="13" t="n"/>
      <c r="G253" s="16" t="n"/>
      <c r="H253" s="124">
        <f>IF(G253="","",COUNTIFS($C$18:$C$2015,G$13,$D$18:$D$2015,"&gt;="&amp;G253,$D$18:$D$2015,"&lt;"&amp;G254))</f>
        <v/>
      </c>
      <c r="I253" s="14" t="n"/>
      <c r="J253" s="16" t="n"/>
      <c r="K253" s="124">
        <f>IF(J253="","",COUNTIFS($C$18:$C$2015,J$13,$D$18:$D$2015,"&gt;="&amp;J253,$D$18:$D$2015,"&lt;"&amp;J254))</f>
        <v/>
      </c>
      <c r="L253" s="14" t="n"/>
      <c r="M253" s="16" t="n"/>
      <c r="N253" s="124">
        <f>IF(M253="","",COUNTIFS($C$18:$C$2015,M$13,$D$18:$D$2015,"&gt;="&amp;M253,$D$18:$D$2015,"&lt;"&amp;M254))</f>
        <v/>
      </c>
      <c r="O253" s="14" t="n"/>
      <c r="P253" s="16" t="n"/>
      <c r="Q253" s="124">
        <f>IF(P253="","",COUNTIFS($C$18:$C$2015,P$13,$D$18:$D$2015,"&gt;="&amp;P253,$D$18:$D$2015,"&lt;"&amp;P254))</f>
        <v/>
      </c>
      <c r="R253" s="14" t="n"/>
      <c r="S253" s="16" t="n"/>
      <c r="T253" s="124">
        <f>IF(S253="","",COUNTIFS($C$18:$C$2015,S$13,$D$18:$D$2015,"&gt;="&amp;S253,$D$18:$D$2015,"&lt;"&amp;S254))</f>
        <v/>
      </c>
      <c r="U253" s="14" t="n"/>
      <c r="V253" s="16" t="n"/>
      <c r="W253" s="124">
        <f>IF(V253="","",COUNTIFS($C$18:$C$2015,V$13,$D$18:$D$2015,"&gt;="&amp;V253,$D$18:$D$2015,"&lt;"&amp;V254))</f>
        <v/>
      </c>
      <c r="X253" s="14" t="n"/>
      <c r="Y253" s="16" t="n"/>
      <c r="Z253" s="124">
        <f>IF(Y253="","",COUNTIFS($C$18:$C$2015,Y$13,$D$18:$D$2015,"&gt;="&amp;Y253,$D$18:$D$2015,"&lt;"&amp;Y254))</f>
        <v/>
      </c>
      <c r="AA253" s="14" t="n"/>
      <c r="AB253" s="16" t="n"/>
      <c r="AC253" s="124">
        <f>IF(AB253="","",COUNTIFS($C$18:$C$2015,AB$13,$D$18:$D$2015,"&gt;="&amp;AB253,$D$18:$D$2015,"&lt;"&amp;AB254))</f>
        <v/>
      </c>
      <c r="AD253" s="14" t="n"/>
    </row>
    <row r="254">
      <c r="A254" s="56" t="n"/>
      <c r="B254" s="59" t="n"/>
      <c r="C254" s="59" t="n"/>
      <c r="E254" s="16" t="n"/>
      <c r="F254" s="13" t="n"/>
      <c r="G254" s="16" t="n"/>
      <c r="H254" s="124">
        <f>IF(G254="","",COUNTIFS($C$18:$C$2015,G$13,$D$18:$D$2015,"&gt;="&amp;G254,$D$18:$D$2015,"&lt;"&amp;G255))</f>
        <v/>
      </c>
      <c r="I254" s="14" t="n"/>
      <c r="J254" s="16" t="n"/>
      <c r="K254" s="124">
        <f>IF(J254="","",COUNTIFS($C$18:$C$2015,J$13,$D$18:$D$2015,"&gt;="&amp;J254,$D$18:$D$2015,"&lt;"&amp;J255))</f>
        <v/>
      </c>
      <c r="L254" s="14" t="n"/>
      <c r="M254" s="16" t="n"/>
      <c r="N254" s="124">
        <f>IF(M254="","",COUNTIFS($C$18:$C$2015,M$13,$D$18:$D$2015,"&gt;="&amp;M254,$D$18:$D$2015,"&lt;"&amp;M255))</f>
        <v/>
      </c>
      <c r="O254" s="14" t="n"/>
      <c r="P254" s="16" t="n"/>
      <c r="Q254" s="124">
        <f>IF(P254="","",COUNTIFS($C$18:$C$2015,P$13,$D$18:$D$2015,"&gt;="&amp;P254,$D$18:$D$2015,"&lt;"&amp;P255))</f>
        <v/>
      </c>
      <c r="R254" s="14" t="n"/>
      <c r="S254" s="16" t="n"/>
      <c r="T254" s="124">
        <f>IF(S254="","",COUNTIFS($C$18:$C$2015,S$13,$D$18:$D$2015,"&gt;="&amp;S254,$D$18:$D$2015,"&lt;"&amp;S255))</f>
        <v/>
      </c>
      <c r="U254" s="14" t="n"/>
      <c r="V254" s="16" t="n"/>
      <c r="W254" s="124">
        <f>IF(V254="","",COUNTIFS($C$18:$C$2015,V$13,$D$18:$D$2015,"&gt;="&amp;V254,$D$18:$D$2015,"&lt;"&amp;V255))</f>
        <v/>
      </c>
      <c r="X254" s="14" t="n"/>
      <c r="Y254" s="16" t="n"/>
      <c r="Z254" s="124">
        <f>IF(Y254="","",COUNTIFS($C$18:$C$2015,Y$13,$D$18:$D$2015,"&gt;="&amp;Y254,$D$18:$D$2015,"&lt;"&amp;Y255))</f>
        <v/>
      </c>
      <c r="AA254" s="14" t="n"/>
      <c r="AB254" s="16" t="n"/>
      <c r="AC254" s="124">
        <f>IF(AB254="","",COUNTIFS($C$18:$C$2015,AB$13,$D$18:$D$2015,"&gt;="&amp;AB254,$D$18:$D$2015,"&lt;"&amp;AB255))</f>
        <v/>
      </c>
      <c r="AD254" s="14" t="n"/>
    </row>
    <row r="255">
      <c r="A255" s="58" t="n"/>
      <c r="B255" s="59" t="n"/>
      <c r="C255" s="59" t="n"/>
      <c r="E255" s="16" t="n"/>
      <c r="F255" s="13" t="n"/>
      <c r="G255" s="16" t="n"/>
      <c r="H255" s="124">
        <f>IF(G255="","",COUNTIFS($C$18:$C$2015,G$13,$D$18:$D$2015,"&gt;="&amp;G255,$D$18:$D$2015,"&lt;"&amp;G256))</f>
        <v/>
      </c>
      <c r="I255" s="14" t="n"/>
      <c r="J255" s="16" t="n"/>
      <c r="K255" s="124">
        <f>IF(J255="","",COUNTIFS($C$18:$C$2015,J$13,$D$18:$D$2015,"&gt;="&amp;J255,$D$18:$D$2015,"&lt;"&amp;J256))</f>
        <v/>
      </c>
      <c r="L255" s="14" t="n"/>
      <c r="M255" s="16" t="n"/>
      <c r="N255" s="124">
        <f>IF(M255="","",COUNTIFS($C$18:$C$2015,M$13,$D$18:$D$2015,"&gt;="&amp;M255,$D$18:$D$2015,"&lt;"&amp;M256))</f>
        <v/>
      </c>
      <c r="O255" s="14" t="n"/>
      <c r="P255" s="16" t="n"/>
      <c r="Q255" s="124">
        <f>IF(P255="","",COUNTIFS($C$18:$C$2015,P$13,$D$18:$D$2015,"&gt;="&amp;P255,$D$18:$D$2015,"&lt;"&amp;P256))</f>
        <v/>
      </c>
      <c r="R255" s="14" t="n"/>
      <c r="S255" s="16" t="n"/>
      <c r="T255" s="124">
        <f>IF(S255="","",COUNTIFS($C$18:$C$2015,S$13,$D$18:$D$2015,"&gt;="&amp;S255,$D$18:$D$2015,"&lt;"&amp;S256))</f>
        <v/>
      </c>
      <c r="U255" s="14" t="n"/>
      <c r="V255" s="16" t="n"/>
      <c r="W255" s="124">
        <f>IF(V255="","",COUNTIFS($C$18:$C$2015,V$13,$D$18:$D$2015,"&gt;="&amp;V255,$D$18:$D$2015,"&lt;"&amp;V256))</f>
        <v/>
      </c>
      <c r="X255" s="14" t="n"/>
      <c r="Y255" s="16" t="n"/>
      <c r="Z255" s="124">
        <f>IF(Y255="","",COUNTIFS($C$18:$C$2015,Y$13,$D$18:$D$2015,"&gt;="&amp;Y255,$D$18:$D$2015,"&lt;"&amp;Y256))</f>
        <v/>
      </c>
      <c r="AA255" s="14" t="n"/>
      <c r="AB255" s="16" t="n"/>
      <c r="AC255" s="124">
        <f>IF(AB255="","",COUNTIFS($C$18:$C$2015,AB$13,$D$18:$D$2015,"&gt;="&amp;AB255,$D$18:$D$2015,"&lt;"&amp;AB256))</f>
        <v/>
      </c>
      <c r="AD255" s="14" t="n"/>
    </row>
    <row r="256">
      <c r="A256" s="56" t="n"/>
      <c r="B256" s="59" t="n"/>
      <c r="C256" s="59" t="n"/>
      <c r="E256" s="16" t="n"/>
      <c r="F256" s="13" t="n"/>
      <c r="G256" s="16" t="n"/>
      <c r="H256" s="124">
        <f>IF(G256="","",COUNTIFS($C$18:$C$2015,G$13,$D$18:$D$2015,"&gt;="&amp;G256,$D$18:$D$2015,"&lt;"&amp;G257))</f>
        <v/>
      </c>
      <c r="I256" s="14" t="n"/>
      <c r="J256" s="16" t="n"/>
      <c r="K256" s="124">
        <f>IF(J256="","",COUNTIFS($C$18:$C$2015,J$13,$D$18:$D$2015,"&gt;="&amp;J256,$D$18:$D$2015,"&lt;"&amp;J257))</f>
        <v/>
      </c>
      <c r="L256" s="14" t="n"/>
      <c r="M256" s="16" t="n"/>
      <c r="N256" s="124">
        <f>IF(M256="","",COUNTIFS($C$18:$C$2015,M$13,$D$18:$D$2015,"&gt;="&amp;M256,$D$18:$D$2015,"&lt;"&amp;M257))</f>
        <v/>
      </c>
      <c r="O256" s="14" t="n"/>
      <c r="P256" s="16" t="n"/>
      <c r="Q256" s="124">
        <f>IF(P256="","",COUNTIFS($C$18:$C$2015,P$13,$D$18:$D$2015,"&gt;="&amp;P256,$D$18:$D$2015,"&lt;"&amp;P257))</f>
        <v/>
      </c>
      <c r="R256" s="14" t="n"/>
      <c r="S256" s="16" t="n"/>
      <c r="T256" s="124">
        <f>IF(S256="","",COUNTIFS($C$18:$C$2015,S$13,$D$18:$D$2015,"&gt;="&amp;S256,$D$18:$D$2015,"&lt;"&amp;S257))</f>
        <v/>
      </c>
      <c r="U256" s="14" t="n"/>
      <c r="V256" s="16" t="n"/>
      <c r="W256" s="124">
        <f>IF(V256="","",COUNTIFS($C$18:$C$2015,V$13,$D$18:$D$2015,"&gt;="&amp;V256,$D$18:$D$2015,"&lt;"&amp;V257))</f>
        <v/>
      </c>
      <c r="X256" s="14" t="n"/>
      <c r="Y256" s="16" t="n"/>
      <c r="Z256" s="124">
        <f>IF(Y256="","",COUNTIFS($C$18:$C$2015,Y$13,$D$18:$D$2015,"&gt;="&amp;Y256,$D$18:$D$2015,"&lt;"&amp;Y257))</f>
        <v/>
      </c>
      <c r="AA256" s="14" t="n"/>
      <c r="AB256" s="16" t="n"/>
      <c r="AC256" s="124">
        <f>IF(AB256="","",COUNTIFS($C$18:$C$2015,AB$13,$D$18:$D$2015,"&gt;="&amp;AB256,$D$18:$D$2015,"&lt;"&amp;AB257))</f>
        <v/>
      </c>
      <c r="AD256" s="14" t="n"/>
    </row>
    <row r="257">
      <c r="A257" s="58" t="n"/>
      <c r="B257" s="59" t="n"/>
      <c r="C257" s="59" t="n"/>
      <c r="E257" s="16" t="n"/>
      <c r="F257" s="13" t="n"/>
      <c r="G257" s="16" t="n"/>
      <c r="H257" s="124">
        <f>IF(G257="","",COUNTIFS($C$18:$C$2015,G$13,$D$18:$D$2015,"&gt;="&amp;G257,$D$18:$D$2015,"&lt;"&amp;G258))</f>
        <v/>
      </c>
      <c r="I257" s="14" t="n"/>
      <c r="J257" s="16" t="n"/>
      <c r="K257" s="124">
        <f>IF(J257="","",COUNTIFS($C$18:$C$2015,J$13,$D$18:$D$2015,"&gt;="&amp;J257,$D$18:$D$2015,"&lt;"&amp;J258))</f>
        <v/>
      </c>
      <c r="L257" s="14" t="n"/>
      <c r="M257" s="16" t="n"/>
      <c r="N257" s="124">
        <f>IF(M257="","",COUNTIFS($C$18:$C$2015,M$13,$D$18:$D$2015,"&gt;="&amp;M257,$D$18:$D$2015,"&lt;"&amp;M258))</f>
        <v/>
      </c>
      <c r="O257" s="14" t="n"/>
      <c r="P257" s="16" t="n"/>
      <c r="Q257" s="124">
        <f>IF(P257="","",COUNTIFS($C$18:$C$2015,P$13,$D$18:$D$2015,"&gt;="&amp;P257,$D$18:$D$2015,"&lt;"&amp;P258))</f>
        <v/>
      </c>
      <c r="R257" s="14" t="n"/>
      <c r="S257" s="16" t="n"/>
      <c r="T257" s="124">
        <f>IF(S257="","",COUNTIFS($C$18:$C$2015,S$13,$D$18:$D$2015,"&gt;="&amp;S257,$D$18:$D$2015,"&lt;"&amp;S258))</f>
        <v/>
      </c>
      <c r="U257" s="14" t="n"/>
      <c r="V257" s="16" t="n"/>
      <c r="W257" s="124">
        <f>IF(V257="","",COUNTIFS($C$18:$C$2015,V$13,$D$18:$D$2015,"&gt;="&amp;V257,$D$18:$D$2015,"&lt;"&amp;V258))</f>
        <v/>
      </c>
      <c r="X257" s="14" t="n"/>
      <c r="Y257" s="16" t="n"/>
      <c r="Z257" s="124">
        <f>IF(Y257="","",COUNTIFS($C$18:$C$2015,Y$13,$D$18:$D$2015,"&gt;="&amp;Y257,$D$18:$D$2015,"&lt;"&amp;Y258))</f>
        <v/>
      </c>
      <c r="AA257" s="14" t="n"/>
      <c r="AB257" s="16" t="n"/>
      <c r="AC257" s="124">
        <f>IF(AB257="","",COUNTIFS($C$18:$C$2015,AB$13,$D$18:$D$2015,"&gt;="&amp;AB257,$D$18:$D$2015,"&lt;"&amp;AB258))</f>
        <v/>
      </c>
      <c r="AD257" s="14" t="n"/>
    </row>
    <row r="258">
      <c r="A258" s="56" t="n"/>
      <c r="B258" s="59" t="n"/>
      <c r="C258" s="59" t="n"/>
      <c r="E258" s="16" t="n"/>
      <c r="F258" s="13" t="n"/>
      <c r="G258" s="16" t="n"/>
      <c r="H258" s="124">
        <f>IF(G258="","",COUNTIFS($C$18:$C$2015,G$13,$D$18:$D$2015,"&gt;="&amp;G258,$D$18:$D$2015,"&lt;"&amp;G259))</f>
        <v/>
      </c>
      <c r="I258" s="14" t="n"/>
      <c r="J258" s="16" t="n"/>
      <c r="K258" s="124">
        <f>IF(J258="","",COUNTIFS($C$18:$C$2015,J$13,$D$18:$D$2015,"&gt;="&amp;J258,$D$18:$D$2015,"&lt;"&amp;J259))</f>
        <v/>
      </c>
      <c r="L258" s="14" t="n"/>
      <c r="M258" s="16" t="n"/>
      <c r="N258" s="124">
        <f>IF(M258="","",COUNTIFS($C$18:$C$2015,M$13,$D$18:$D$2015,"&gt;="&amp;M258,$D$18:$D$2015,"&lt;"&amp;M259))</f>
        <v/>
      </c>
      <c r="O258" s="14" t="n"/>
      <c r="P258" s="16" t="n"/>
      <c r="Q258" s="124">
        <f>IF(P258="","",COUNTIFS($C$18:$C$2015,P$13,$D$18:$D$2015,"&gt;="&amp;P258,$D$18:$D$2015,"&lt;"&amp;P259))</f>
        <v/>
      </c>
      <c r="R258" s="14" t="n"/>
      <c r="S258" s="16" t="n"/>
      <c r="T258" s="124">
        <f>IF(S258="","",COUNTIFS($C$18:$C$2015,S$13,$D$18:$D$2015,"&gt;="&amp;S258,$D$18:$D$2015,"&lt;"&amp;S259))</f>
        <v/>
      </c>
      <c r="U258" s="14" t="n"/>
      <c r="V258" s="16" t="n"/>
      <c r="W258" s="124">
        <f>IF(V258="","",COUNTIFS($C$18:$C$2015,V$13,$D$18:$D$2015,"&gt;="&amp;V258,$D$18:$D$2015,"&lt;"&amp;V259))</f>
        <v/>
      </c>
      <c r="X258" s="14" t="n"/>
      <c r="Y258" s="16" t="n"/>
      <c r="Z258" s="124">
        <f>IF(Y258="","",COUNTIFS($C$18:$C$2015,Y$13,$D$18:$D$2015,"&gt;="&amp;Y258,$D$18:$D$2015,"&lt;"&amp;Y259))</f>
        <v/>
      </c>
      <c r="AA258" s="14" t="n"/>
      <c r="AB258" s="16" t="n"/>
      <c r="AC258" s="124">
        <f>IF(AB258="","",COUNTIFS($C$18:$C$2015,AB$13,$D$18:$D$2015,"&gt;="&amp;AB258,$D$18:$D$2015,"&lt;"&amp;AB259))</f>
        <v/>
      </c>
      <c r="AD258" s="14" t="n"/>
    </row>
    <row r="259">
      <c r="A259" s="58" t="n"/>
      <c r="B259" s="59" t="n"/>
      <c r="C259" s="59" t="n"/>
      <c r="E259" s="16" t="n"/>
      <c r="F259" s="13" t="n"/>
      <c r="G259" s="16" t="n"/>
      <c r="H259" s="124">
        <f>IF(G259="","",COUNTIFS($C$18:$C$2015,G$13,$D$18:$D$2015,"&gt;="&amp;G259,$D$18:$D$2015,"&lt;"&amp;G260))</f>
        <v/>
      </c>
      <c r="I259" s="14" t="n"/>
      <c r="J259" s="16" t="n"/>
      <c r="K259" s="124">
        <f>IF(J259="","",COUNTIFS($C$18:$C$2015,J$13,$D$18:$D$2015,"&gt;="&amp;J259,$D$18:$D$2015,"&lt;"&amp;J260))</f>
        <v/>
      </c>
      <c r="L259" s="14" t="n"/>
      <c r="M259" s="16" t="n"/>
      <c r="N259" s="124">
        <f>IF(M259="","",COUNTIFS($C$18:$C$2015,M$13,$D$18:$D$2015,"&gt;="&amp;M259,$D$18:$D$2015,"&lt;"&amp;M260))</f>
        <v/>
      </c>
      <c r="O259" s="14" t="n"/>
      <c r="P259" s="16" t="n"/>
      <c r="Q259" s="124">
        <f>IF(P259="","",COUNTIFS($C$18:$C$2015,P$13,$D$18:$D$2015,"&gt;="&amp;P259,$D$18:$D$2015,"&lt;"&amp;P260))</f>
        <v/>
      </c>
      <c r="R259" s="14" t="n"/>
      <c r="S259" s="16" t="n"/>
      <c r="T259" s="124">
        <f>IF(S259="","",COUNTIFS($C$18:$C$2015,S$13,$D$18:$D$2015,"&gt;="&amp;S259,$D$18:$D$2015,"&lt;"&amp;S260))</f>
        <v/>
      </c>
      <c r="U259" s="14" t="n"/>
      <c r="V259" s="16" t="n"/>
      <c r="W259" s="124">
        <f>IF(V259="","",COUNTIFS($C$18:$C$2015,V$13,$D$18:$D$2015,"&gt;="&amp;V259,$D$18:$D$2015,"&lt;"&amp;V260))</f>
        <v/>
      </c>
      <c r="X259" s="14" t="n"/>
      <c r="Y259" s="16" t="n"/>
      <c r="Z259" s="124">
        <f>IF(Y259="","",COUNTIFS($C$18:$C$2015,Y$13,$D$18:$D$2015,"&gt;="&amp;Y259,$D$18:$D$2015,"&lt;"&amp;Y260))</f>
        <v/>
      </c>
      <c r="AA259" s="14" t="n"/>
      <c r="AB259" s="16" t="n"/>
      <c r="AC259" s="124">
        <f>IF(AB259="","",COUNTIFS($C$18:$C$2015,AB$13,$D$18:$D$2015,"&gt;="&amp;AB259,$D$18:$D$2015,"&lt;"&amp;AB260))</f>
        <v/>
      </c>
      <c r="AD259" s="14" t="n"/>
    </row>
    <row r="260">
      <c r="A260" s="56" t="n"/>
      <c r="B260" s="59" t="n"/>
      <c r="C260" s="59" t="n"/>
      <c r="E260" s="16" t="n"/>
      <c r="F260" s="13" t="n"/>
      <c r="G260" s="16" t="n"/>
      <c r="H260" s="124">
        <f>IF(G260="","",COUNTIFS($C$18:$C$2015,G$13,$D$18:$D$2015,"&gt;="&amp;G260,$D$18:$D$2015,"&lt;"&amp;G261))</f>
        <v/>
      </c>
      <c r="I260" s="14" t="n"/>
      <c r="J260" s="16" t="n"/>
      <c r="K260" s="124">
        <f>IF(J260="","",COUNTIFS($C$18:$C$2015,J$13,$D$18:$D$2015,"&gt;="&amp;J260,$D$18:$D$2015,"&lt;"&amp;J261))</f>
        <v/>
      </c>
      <c r="L260" s="14" t="n"/>
      <c r="M260" s="16" t="n"/>
      <c r="N260" s="124">
        <f>IF(M260="","",COUNTIFS($C$18:$C$2015,M$13,$D$18:$D$2015,"&gt;="&amp;M260,$D$18:$D$2015,"&lt;"&amp;M261))</f>
        <v/>
      </c>
      <c r="O260" s="14" t="n"/>
      <c r="P260" s="16" t="n"/>
      <c r="Q260" s="124">
        <f>IF(P260="","",COUNTIFS($C$18:$C$2015,P$13,$D$18:$D$2015,"&gt;="&amp;P260,$D$18:$D$2015,"&lt;"&amp;P261))</f>
        <v/>
      </c>
      <c r="R260" s="14" t="n"/>
      <c r="S260" s="16" t="n"/>
      <c r="T260" s="124">
        <f>IF(S260="","",COUNTIFS($C$18:$C$2015,S$13,$D$18:$D$2015,"&gt;="&amp;S260,$D$18:$D$2015,"&lt;"&amp;S261))</f>
        <v/>
      </c>
      <c r="U260" s="14" t="n"/>
      <c r="V260" s="16" t="n"/>
      <c r="W260" s="124">
        <f>IF(V260="","",COUNTIFS($C$18:$C$2015,V$13,$D$18:$D$2015,"&gt;="&amp;V260,$D$18:$D$2015,"&lt;"&amp;V261))</f>
        <v/>
      </c>
      <c r="X260" s="14" t="n"/>
      <c r="Y260" s="16" t="n"/>
      <c r="Z260" s="124">
        <f>IF(Y260="","",COUNTIFS($C$18:$C$2015,Y$13,$D$18:$D$2015,"&gt;="&amp;Y260,$D$18:$D$2015,"&lt;"&amp;Y261))</f>
        <v/>
      </c>
      <c r="AA260" s="14" t="n"/>
      <c r="AB260" s="16" t="n"/>
      <c r="AC260" s="124">
        <f>IF(AB260="","",COUNTIFS($C$18:$C$2015,AB$13,$D$18:$D$2015,"&gt;="&amp;AB260,$D$18:$D$2015,"&lt;"&amp;AB261))</f>
        <v/>
      </c>
      <c r="AD260" s="14" t="n"/>
    </row>
    <row r="261">
      <c r="A261" s="58" t="n"/>
      <c r="B261" s="59" t="n"/>
      <c r="C261" s="59" t="n"/>
      <c r="E261" s="16" t="n"/>
      <c r="F261" s="13" t="n"/>
      <c r="G261" s="16" t="n"/>
      <c r="H261" s="124">
        <f>IF(G261="","",COUNTIFS($C$18:$C$2015,G$13,$D$18:$D$2015,"&gt;="&amp;G261,$D$18:$D$2015,"&lt;"&amp;G262))</f>
        <v/>
      </c>
      <c r="I261" s="14" t="n"/>
      <c r="J261" s="16" t="n"/>
      <c r="K261" s="124">
        <f>IF(J261="","",COUNTIFS($C$18:$C$2015,J$13,$D$18:$D$2015,"&gt;="&amp;J261,$D$18:$D$2015,"&lt;"&amp;J262))</f>
        <v/>
      </c>
      <c r="L261" s="14" t="n"/>
      <c r="M261" s="16" t="n"/>
      <c r="N261" s="124">
        <f>IF(M261="","",COUNTIFS($C$18:$C$2015,M$13,$D$18:$D$2015,"&gt;="&amp;M261,$D$18:$D$2015,"&lt;"&amp;M262))</f>
        <v/>
      </c>
      <c r="O261" s="14" t="n"/>
      <c r="P261" s="16" t="n"/>
      <c r="Q261" s="124">
        <f>IF(P261="","",COUNTIFS($C$18:$C$2015,P$13,$D$18:$D$2015,"&gt;="&amp;P261,$D$18:$D$2015,"&lt;"&amp;P262))</f>
        <v/>
      </c>
      <c r="R261" s="14" t="n"/>
      <c r="S261" s="16" t="n"/>
      <c r="T261" s="124">
        <f>IF(S261="","",COUNTIFS($C$18:$C$2015,S$13,$D$18:$D$2015,"&gt;="&amp;S261,$D$18:$D$2015,"&lt;"&amp;S262))</f>
        <v/>
      </c>
      <c r="U261" s="14" t="n"/>
      <c r="V261" s="16" t="n"/>
      <c r="W261" s="124">
        <f>IF(V261="","",COUNTIFS($C$18:$C$2015,V$13,$D$18:$D$2015,"&gt;="&amp;V261,$D$18:$D$2015,"&lt;"&amp;V262))</f>
        <v/>
      </c>
      <c r="X261" s="14" t="n"/>
      <c r="Y261" s="16" t="n"/>
      <c r="Z261" s="124">
        <f>IF(Y261="","",COUNTIFS($C$18:$C$2015,Y$13,$D$18:$D$2015,"&gt;="&amp;Y261,$D$18:$D$2015,"&lt;"&amp;Y262))</f>
        <v/>
      </c>
      <c r="AA261" s="14" t="n"/>
      <c r="AB261" s="16" t="n"/>
      <c r="AC261" s="124">
        <f>IF(AB261="","",COUNTIFS($C$18:$C$2015,AB$13,$D$18:$D$2015,"&gt;="&amp;AB261,$D$18:$D$2015,"&lt;"&amp;AB262))</f>
        <v/>
      </c>
      <c r="AD261" s="14" t="n"/>
    </row>
    <row r="262">
      <c r="A262" s="56" t="n"/>
      <c r="B262" s="59" t="n"/>
      <c r="C262" s="59" t="n"/>
      <c r="E262" s="16" t="n"/>
      <c r="F262" s="13" t="n"/>
      <c r="G262" s="16" t="n"/>
      <c r="H262" s="124">
        <f>IF(G262="","",COUNTIFS($C$18:$C$2015,G$13,$D$18:$D$2015,"&gt;="&amp;G262,$D$18:$D$2015,"&lt;"&amp;G263))</f>
        <v/>
      </c>
      <c r="I262" s="14" t="n"/>
      <c r="J262" s="16" t="n"/>
      <c r="K262" s="124">
        <f>IF(J262="","",COUNTIFS($C$18:$C$2015,J$13,$D$18:$D$2015,"&gt;="&amp;J262,$D$18:$D$2015,"&lt;"&amp;J263))</f>
        <v/>
      </c>
      <c r="L262" s="14" t="n"/>
      <c r="M262" s="16" t="n"/>
      <c r="N262" s="124">
        <f>IF(M262="","",COUNTIFS($C$18:$C$2015,M$13,$D$18:$D$2015,"&gt;="&amp;M262,$D$18:$D$2015,"&lt;"&amp;M263))</f>
        <v/>
      </c>
      <c r="O262" s="14" t="n"/>
      <c r="P262" s="16" t="n"/>
      <c r="Q262" s="124">
        <f>IF(P262="","",COUNTIFS($C$18:$C$2015,P$13,$D$18:$D$2015,"&gt;="&amp;P262,$D$18:$D$2015,"&lt;"&amp;P263))</f>
        <v/>
      </c>
      <c r="R262" s="14" t="n"/>
      <c r="S262" s="16" t="n"/>
      <c r="T262" s="124">
        <f>IF(S262="","",COUNTIFS($C$18:$C$2015,S$13,$D$18:$D$2015,"&gt;="&amp;S262,$D$18:$D$2015,"&lt;"&amp;S263))</f>
        <v/>
      </c>
      <c r="U262" s="14" t="n"/>
      <c r="V262" s="16" t="n"/>
      <c r="W262" s="124">
        <f>IF(V262="","",COUNTIFS($C$18:$C$2015,V$13,$D$18:$D$2015,"&gt;="&amp;V262,$D$18:$D$2015,"&lt;"&amp;V263))</f>
        <v/>
      </c>
      <c r="X262" s="14" t="n"/>
      <c r="Y262" s="16" t="n"/>
      <c r="Z262" s="124">
        <f>IF(Y262="","",COUNTIFS($C$18:$C$2015,Y$13,$D$18:$D$2015,"&gt;="&amp;Y262,$D$18:$D$2015,"&lt;"&amp;Y263))</f>
        <v/>
      </c>
      <c r="AA262" s="14" t="n"/>
      <c r="AB262" s="16" t="n"/>
      <c r="AC262" s="124">
        <f>IF(AB262="","",COUNTIFS($C$18:$C$2015,AB$13,$D$18:$D$2015,"&gt;="&amp;AB262,$D$18:$D$2015,"&lt;"&amp;AB263))</f>
        <v/>
      </c>
      <c r="AD262" s="14" t="n"/>
    </row>
    <row r="263">
      <c r="A263" s="58" t="n"/>
      <c r="B263" s="59" t="n"/>
      <c r="C263" s="59" t="n"/>
      <c r="E263" s="16" t="n"/>
      <c r="F263" s="13" t="n"/>
      <c r="G263" s="16" t="n"/>
      <c r="H263" s="124">
        <f>IF(G263="","",COUNTIFS($C$18:$C$2015,G$13,$D$18:$D$2015,"&gt;="&amp;G263,$D$18:$D$2015,"&lt;"&amp;G264))</f>
        <v/>
      </c>
      <c r="I263" s="14" t="n"/>
      <c r="J263" s="16" t="n"/>
      <c r="K263" s="124">
        <f>IF(J263="","",COUNTIFS($C$18:$C$2015,J$13,$D$18:$D$2015,"&gt;="&amp;J263,$D$18:$D$2015,"&lt;"&amp;J264))</f>
        <v/>
      </c>
      <c r="L263" s="14" t="n"/>
      <c r="M263" s="16" t="n"/>
      <c r="N263" s="124">
        <f>IF(M263="","",COUNTIFS($C$18:$C$2015,M$13,$D$18:$D$2015,"&gt;="&amp;M263,$D$18:$D$2015,"&lt;"&amp;M264))</f>
        <v/>
      </c>
      <c r="O263" s="14" t="n"/>
      <c r="P263" s="16" t="n"/>
      <c r="Q263" s="124">
        <f>IF(P263="","",COUNTIFS($C$18:$C$2015,P$13,$D$18:$D$2015,"&gt;="&amp;P263,$D$18:$D$2015,"&lt;"&amp;P264))</f>
        <v/>
      </c>
      <c r="R263" s="14" t="n"/>
      <c r="S263" s="16" t="n"/>
      <c r="T263" s="124">
        <f>IF(S263="","",COUNTIFS($C$18:$C$2015,S$13,$D$18:$D$2015,"&gt;="&amp;S263,$D$18:$D$2015,"&lt;"&amp;S264))</f>
        <v/>
      </c>
      <c r="U263" s="14" t="n"/>
      <c r="V263" s="16" t="n"/>
      <c r="W263" s="124">
        <f>IF(V263="","",COUNTIFS($C$18:$C$2015,V$13,$D$18:$D$2015,"&gt;="&amp;V263,$D$18:$D$2015,"&lt;"&amp;V264))</f>
        <v/>
      </c>
      <c r="X263" s="14" t="n"/>
      <c r="Y263" s="16" t="n"/>
      <c r="Z263" s="124">
        <f>IF(Y263="","",COUNTIFS($C$18:$C$2015,Y$13,$D$18:$D$2015,"&gt;="&amp;Y263,$D$18:$D$2015,"&lt;"&amp;Y264))</f>
        <v/>
      </c>
      <c r="AA263" s="14" t="n"/>
      <c r="AB263" s="16" t="n"/>
      <c r="AC263" s="124">
        <f>IF(AB263="","",COUNTIFS($C$18:$C$2015,AB$13,$D$18:$D$2015,"&gt;="&amp;AB263,$D$18:$D$2015,"&lt;"&amp;AB264))</f>
        <v/>
      </c>
      <c r="AD263" s="14" t="n"/>
    </row>
    <row r="264">
      <c r="A264" s="56" t="n"/>
      <c r="B264" s="59" t="n"/>
      <c r="C264" s="59" t="n"/>
      <c r="E264" s="16" t="n"/>
      <c r="F264" s="13" t="n"/>
      <c r="G264" s="16" t="n"/>
      <c r="H264" s="124">
        <f>IF(G264="","",COUNTIFS($C$18:$C$2015,G$13,$D$18:$D$2015,"&gt;="&amp;G264,$D$18:$D$2015,"&lt;"&amp;G265))</f>
        <v/>
      </c>
      <c r="I264" s="14" t="n"/>
      <c r="J264" s="16" t="n"/>
      <c r="K264" s="124">
        <f>IF(J264="","",COUNTIFS($C$18:$C$2015,J$13,$D$18:$D$2015,"&gt;="&amp;J264,$D$18:$D$2015,"&lt;"&amp;J265))</f>
        <v/>
      </c>
      <c r="L264" s="14" t="n"/>
      <c r="M264" s="16" t="n"/>
      <c r="N264" s="124">
        <f>IF(M264="","",COUNTIFS($C$18:$C$2015,M$13,$D$18:$D$2015,"&gt;="&amp;M264,$D$18:$D$2015,"&lt;"&amp;M265))</f>
        <v/>
      </c>
      <c r="O264" s="14" t="n"/>
      <c r="P264" s="16" t="n"/>
      <c r="Q264" s="124">
        <f>IF(P264="","",COUNTIFS($C$18:$C$2015,P$13,$D$18:$D$2015,"&gt;="&amp;P264,$D$18:$D$2015,"&lt;"&amp;P265))</f>
        <v/>
      </c>
      <c r="R264" s="14" t="n"/>
      <c r="S264" s="16" t="n"/>
      <c r="T264" s="124">
        <f>IF(S264="","",COUNTIFS($C$18:$C$2015,S$13,$D$18:$D$2015,"&gt;="&amp;S264,$D$18:$D$2015,"&lt;"&amp;S265))</f>
        <v/>
      </c>
      <c r="U264" s="14" t="n"/>
      <c r="V264" s="16" t="n"/>
      <c r="W264" s="124">
        <f>IF(V264="","",COUNTIFS($C$18:$C$2015,V$13,$D$18:$D$2015,"&gt;="&amp;V264,$D$18:$D$2015,"&lt;"&amp;V265))</f>
        <v/>
      </c>
      <c r="X264" s="14" t="n"/>
      <c r="Y264" s="16" t="n"/>
      <c r="Z264" s="124">
        <f>IF(Y264="","",COUNTIFS($C$18:$C$2015,Y$13,$D$18:$D$2015,"&gt;="&amp;Y264,$D$18:$D$2015,"&lt;"&amp;Y265))</f>
        <v/>
      </c>
      <c r="AA264" s="14" t="n"/>
      <c r="AB264" s="16" t="n"/>
      <c r="AC264" s="124">
        <f>IF(AB264="","",COUNTIFS($C$18:$C$2015,AB$13,$D$18:$D$2015,"&gt;="&amp;AB264,$D$18:$D$2015,"&lt;"&amp;AB265))</f>
        <v/>
      </c>
      <c r="AD264" s="14" t="n"/>
    </row>
    <row r="265">
      <c r="A265" s="58" t="n"/>
      <c r="B265" s="59" t="n"/>
      <c r="C265" s="59" t="n"/>
      <c r="E265" s="16" t="n"/>
      <c r="F265" s="13" t="n"/>
      <c r="G265" s="16" t="n"/>
      <c r="H265" s="125" t="n"/>
      <c r="I265" s="14" t="n"/>
      <c r="J265" s="16" t="n"/>
      <c r="K265" s="125" t="n"/>
      <c r="L265" s="14" t="n"/>
      <c r="M265" s="16" t="n"/>
      <c r="N265" s="125" t="n"/>
      <c r="O265" s="14" t="n"/>
      <c r="P265" s="16" t="n"/>
      <c r="Q265" s="125" t="n"/>
      <c r="R265" s="14" t="n"/>
      <c r="S265" s="16" t="n"/>
      <c r="T265" s="125" t="n"/>
      <c r="U265" s="14" t="n"/>
      <c r="V265" s="16" t="n"/>
      <c r="W265" s="125" t="n"/>
      <c r="X265" s="14" t="n"/>
      <c r="Y265" s="16" t="n"/>
      <c r="Z265" s="125" t="n"/>
      <c r="AA265" s="14" t="n"/>
      <c r="AB265" s="16" t="n"/>
      <c r="AC265" s="125" t="n"/>
      <c r="AD265" s="14" t="n"/>
    </row>
    <row r="266">
      <c r="A266" s="56" t="n"/>
      <c r="B266" s="59" t="n"/>
      <c r="C266" s="59" t="n"/>
      <c r="E266" s="16" t="n"/>
      <c r="F266" s="13" t="n"/>
      <c r="G266" s="16" t="n"/>
      <c r="H266" s="125" t="n"/>
      <c r="I266" s="14" t="n"/>
      <c r="J266" s="16" t="n"/>
      <c r="K266" s="125" t="n"/>
      <c r="L266" s="14" t="n"/>
      <c r="M266" s="16" t="n"/>
      <c r="N266" s="125" t="n"/>
      <c r="O266" s="14" t="n"/>
      <c r="P266" s="16" t="n"/>
      <c r="Q266" s="125" t="n"/>
      <c r="R266" s="14" t="n"/>
      <c r="S266" s="16" t="n"/>
      <c r="T266" s="125" t="n"/>
      <c r="U266" s="14" t="n"/>
      <c r="V266" s="16" t="n"/>
      <c r="W266" s="125" t="n"/>
      <c r="X266" s="14" t="n"/>
      <c r="Y266" s="16" t="n"/>
      <c r="Z266" s="125" t="n"/>
      <c r="AA266" s="14" t="n"/>
      <c r="AB266" s="16" t="n"/>
      <c r="AC266" s="125" t="n"/>
      <c r="AD266" s="14" t="n"/>
    </row>
    <row r="267">
      <c r="A267" s="58" t="n"/>
      <c r="B267" s="59" t="n"/>
      <c r="C267" s="59" t="n"/>
      <c r="E267" s="16" t="n"/>
      <c r="F267" s="13" t="n"/>
      <c r="G267" s="16" t="n"/>
      <c r="H267" s="125" t="n"/>
      <c r="I267" s="14" t="n"/>
      <c r="J267" s="16" t="n"/>
      <c r="K267" s="125" t="n"/>
      <c r="L267" s="14" t="n"/>
      <c r="M267" s="16" t="n"/>
      <c r="N267" s="125" t="n"/>
      <c r="O267" s="14" t="n"/>
      <c r="P267" s="16" t="n"/>
      <c r="Q267" s="125" t="n"/>
      <c r="R267" s="14" t="n"/>
      <c r="S267" s="16" t="n"/>
      <c r="T267" s="125" t="n"/>
      <c r="U267" s="14" t="n"/>
      <c r="V267" s="16" t="n"/>
      <c r="W267" s="125" t="n"/>
      <c r="X267" s="14" t="n"/>
      <c r="Y267" s="16" t="n"/>
      <c r="Z267" s="125" t="n"/>
      <c r="AA267" s="14" t="n"/>
      <c r="AB267" s="16" t="n"/>
      <c r="AC267" s="125" t="n"/>
      <c r="AD267" s="14" t="n"/>
    </row>
    <row r="268">
      <c r="A268" s="56" t="n"/>
      <c r="B268" s="59" t="n"/>
      <c r="C268" s="59" t="n"/>
      <c r="E268" s="16" t="n"/>
      <c r="F268" s="13" t="n"/>
      <c r="G268" s="16" t="n"/>
      <c r="H268" s="125" t="n"/>
      <c r="I268" s="14" t="n"/>
      <c r="J268" s="16" t="n"/>
      <c r="K268" s="125" t="n"/>
      <c r="L268" s="14" t="n"/>
      <c r="M268" s="16" t="n"/>
      <c r="N268" s="125" t="n"/>
      <c r="O268" s="14" t="n"/>
      <c r="P268" s="16" t="n"/>
      <c r="Q268" s="125" t="n"/>
      <c r="R268" s="14" t="n"/>
      <c r="S268" s="16" t="n"/>
      <c r="T268" s="125" t="n"/>
      <c r="U268" s="14" t="n"/>
      <c r="V268" s="16" t="n"/>
      <c r="W268" s="125" t="n"/>
      <c r="X268" s="14" t="n"/>
      <c r="Y268" s="16" t="n"/>
      <c r="Z268" s="125" t="n"/>
      <c r="AA268" s="14" t="n"/>
      <c r="AB268" s="16" t="n"/>
      <c r="AC268" s="125" t="n"/>
      <c r="AD268" s="14" t="n"/>
    </row>
    <row r="269">
      <c r="A269" s="58" t="n"/>
      <c r="B269" s="59" t="n"/>
      <c r="C269" s="59" t="n"/>
      <c r="E269" s="16" t="n"/>
      <c r="F269" s="13" t="n"/>
      <c r="G269" s="16" t="n"/>
      <c r="H269" s="125" t="n"/>
      <c r="I269" s="14" t="n"/>
      <c r="J269" s="16" t="n"/>
      <c r="K269" s="125" t="n"/>
      <c r="L269" s="14" t="n"/>
      <c r="M269" s="16" t="n"/>
      <c r="N269" s="125" t="n"/>
      <c r="O269" s="14" t="n"/>
      <c r="P269" s="16" t="n"/>
      <c r="Q269" s="125" t="n"/>
      <c r="R269" s="14" t="n"/>
      <c r="S269" s="16" t="n"/>
      <c r="T269" s="125" t="n"/>
      <c r="U269" s="14" t="n"/>
      <c r="V269" s="16" t="n"/>
      <c r="W269" s="125" t="n"/>
      <c r="X269" s="14" t="n"/>
      <c r="Y269" s="16" t="n"/>
      <c r="Z269" s="125" t="n"/>
      <c r="AA269" s="14" t="n"/>
      <c r="AB269" s="16" t="n"/>
      <c r="AC269" s="125" t="n"/>
      <c r="AD269" s="14" t="n"/>
    </row>
    <row r="270">
      <c r="A270" s="56" t="n"/>
      <c r="B270" s="59" t="n"/>
      <c r="C270" s="59" t="n"/>
      <c r="E270" s="16" t="n"/>
      <c r="F270" s="13" t="n"/>
      <c r="G270" s="16" t="n"/>
      <c r="H270" s="125" t="n"/>
      <c r="I270" s="14" t="n"/>
      <c r="J270" s="16" t="n"/>
      <c r="K270" s="125" t="n"/>
      <c r="L270" s="14" t="n"/>
      <c r="M270" s="16" t="n"/>
      <c r="N270" s="125" t="n"/>
      <c r="O270" s="14" t="n"/>
      <c r="P270" s="16" t="n"/>
      <c r="Q270" s="125" t="n"/>
      <c r="R270" s="14" t="n"/>
      <c r="S270" s="16" t="n"/>
      <c r="T270" s="125" t="n"/>
      <c r="U270" s="14" t="n"/>
      <c r="V270" s="16" t="n"/>
      <c r="W270" s="125" t="n"/>
      <c r="X270" s="14" t="n"/>
      <c r="Y270" s="16" t="n"/>
      <c r="Z270" s="125" t="n"/>
      <c r="AA270" s="14" t="n"/>
      <c r="AB270" s="16" t="n"/>
      <c r="AC270" s="125" t="n"/>
      <c r="AD270" s="14" t="n"/>
    </row>
    <row r="271">
      <c r="A271" s="58" t="n"/>
      <c r="B271" s="59" t="n"/>
      <c r="C271" s="59" t="n"/>
      <c r="E271" s="16" t="n"/>
      <c r="F271" s="13" t="n"/>
      <c r="G271" s="16" t="n"/>
      <c r="H271" s="125" t="n"/>
      <c r="I271" s="14" t="n"/>
      <c r="J271" s="16" t="n"/>
      <c r="K271" s="125" t="n"/>
      <c r="L271" s="14" t="n"/>
      <c r="M271" s="16" t="n"/>
      <c r="N271" s="125" t="n"/>
      <c r="O271" s="14" t="n"/>
      <c r="P271" s="16" t="n"/>
      <c r="Q271" s="125" t="n"/>
      <c r="R271" s="14" t="n"/>
      <c r="S271" s="16" t="n"/>
      <c r="T271" s="125" t="n"/>
      <c r="U271" s="14" t="n"/>
      <c r="V271" s="16" t="n"/>
      <c r="W271" s="125" t="n"/>
      <c r="X271" s="14" t="n"/>
      <c r="Y271" s="16" t="n"/>
      <c r="Z271" s="125" t="n"/>
      <c r="AA271" s="14" t="n"/>
      <c r="AB271" s="16" t="n"/>
      <c r="AC271" s="125" t="n"/>
      <c r="AD271" s="14" t="n"/>
    </row>
    <row r="272">
      <c r="A272" s="56" t="n"/>
      <c r="B272" s="59" t="n"/>
      <c r="C272" s="59" t="n"/>
      <c r="E272" s="16" t="n"/>
      <c r="F272" s="13" t="n"/>
      <c r="G272" s="16" t="n"/>
      <c r="H272" s="125" t="n"/>
      <c r="I272" s="14" t="n"/>
      <c r="J272" s="16" t="n"/>
      <c r="K272" s="125" t="n"/>
      <c r="L272" s="14" t="n"/>
      <c r="M272" s="16" t="n"/>
      <c r="N272" s="125" t="n"/>
      <c r="O272" s="14" t="n"/>
      <c r="P272" s="16" t="n"/>
      <c r="Q272" s="125" t="n"/>
      <c r="R272" s="14" t="n"/>
      <c r="S272" s="16" t="n"/>
      <c r="T272" s="125" t="n"/>
      <c r="U272" s="14" t="n"/>
      <c r="V272" s="16" t="n"/>
      <c r="W272" s="125" t="n"/>
      <c r="X272" s="14" t="n"/>
      <c r="Y272" s="16" t="n"/>
      <c r="Z272" s="125" t="n"/>
      <c r="AA272" s="14" t="n"/>
      <c r="AB272" s="16" t="n"/>
      <c r="AC272" s="125" t="n"/>
      <c r="AD272" s="14" t="n"/>
    </row>
    <row r="273">
      <c r="A273" s="58" t="n"/>
      <c r="B273" s="59" t="n"/>
      <c r="C273" s="59" t="n"/>
      <c r="E273" s="16" t="n"/>
      <c r="F273" s="13" t="n"/>
      <c r="G273" s="16" t="n"/>
      <c r="H273" s="125" t="n"/>
      <c r="I273" s="14" t="n"/>
      <c r="J273" s="16" t="n"/>
      <c r="K273" s="125" t="n"/>
      <c r="L273" s="14" t="n"/>
      <c r="M273" s="16" t="n"/>
      <c r="N273" s="125" t="n"/>
      <c r="O273" s="14" t="n"/>
      <c r="P273" s="16" t="n"/>
      <c r="Q273" s="125" t="n"/>
      <c r="R273" s="14" t="n"/>
      <c r="S273" s="16" t="n"/>
      <c r="T273" s="125" t="n"/>
      <c r="U273" s="14" t="n"/>
      <c r="V273" s="16" t="n"/>
      <c r="W273" s="125" t="n"/>
      <c r="X273" s="14" t="n"/>
      <c r="Y273" s="16" t="n"/>
      <c r="Z273" s="125" t="n"/>
      <c r="AA273" s="14" t="n"/>
      <c r="AB273" s="16" t="n"/>
      <c r="AC273" s="125" t="n"/>
      <c r="AD273" s="14" t="n"/>
    </row>
    <row r="274">
      <c r="A274" s="56" t="n"/>
      <c r="B274" s="59" t="n"/>
      <c r="C274" s="59" t="n"/>
      <c r="E274" s="16" t="n"/>
      <c r="F274" s="13" t="n"/>
      <c r="G274" s="16" t="n"/>
      <c r="H274" s="125" t="n"/>
      <c r="I274" s="14" t="n"/>
      <c r="J274" s="16" t="n"/>
      <c r="K274" s="125" t="n"/>
      <c r="L274" s="14" t="n"/>
      <c r="M274" s="16" t="n"/>
      <c r="N274" s="125" t="n"/>
      <c r="O274" s="14" t="n"/>
      <c r="P274" s="16" t="n"/>
      <c r="Q274" s="125" t="n"/>
      <c r="R274" s="14" t="n"/>
      <c r="S274" s="16" t="n"/>
      <c r="T274" s="125" t="n"/>
      <c r="U274" s="14" t="n"/>
      <c r="V274" s="16" t="n"/>
      <c r="W274" s="125" t="n"/>
      <c r="X274" s="14" t="n"/>
      <c r="Y274" s="16" t="n"/>
      <c r="Z274" s="125" t="n"/>
      <c r="AA274" s="14" t="n"/>
      <c r="AB274" s="16" t="n"/>
      <c r="AC274" s="125" t="n"/>
      <c r="AD274" s="14" t="n"/>
    </row>
    <row r="275">
      <c r="A275" s="58" t="n"/>
      <c r="B275" s="59" t="n"/>
      <c r="C275" s="59" t="n"/>
      <c r="E275" s="16" t="n"/>
      <c r="F275" s="13" t="n"/>
      <c r="G275" s="16" t="n"/>
      <c r="H275" s="125" t="n"/>
      <c r="I275" s="14" t="n"/>
      <c r="J275" s="16" t="n"/>
      <c r="K275" s="125" t="n"/>
      <c r="L275" s="14" t="n"/>
      <c r="M275" s="16" t="n"/>
      <c r="N275" s="125" t="n"/>
      <c r="O275" s="14" t="n"/>
      <c r="P275" s="16" t="n"/>
      <c r="Q275" s="125" t="n"/>
      <c r="R275" s="14" t="n"/>
      <c r="S275" s="16" t="n"/>
      <c r="T275" s="125" t="n"/>
      <c r="U275" s="14" t="n"/>
      <c r="V275" s="16" t="n"/>
      <c r="W275" s="125" t="n"/>
      <c r="X275" s="14" t="n"/>
      <c r="Y275" s="16" t="n"/>
      <c r="Z275" s="125" t="n"/>
      <c r="AA275" s="14" t="n"/>
      <c r="AB275" s="16" t="n"/>
      <c r="AC275" s="125" t="n"/>
      <c r="AD275" s="14" t="n"/>
    </row>
    <row r="276">
      <c r="A276" s="56" t="n"/>
      <c r="B276" s="59" t="n"/>
      <c r="C276" s="59" t="n"/>
      <c r="E276" s="16" t="n"/>
      <c r="F276" s="13" t="n"/>
      <c r="G276" s="16" t="n"/>
      <c r="H276" s="125" t="n"/>
      <c r="I276" s="14" t="n"/>
      <c r="J276" s="16" t="n"/>
      <c r="K276" s="125" t="n"/>
      <c r="L276" s="14" t="n"/>
      <c r="M276" s="16" t="n"/>
      <c r="N276" s="125" t="n"/>
      <c r="O276" s="14" t="n"/>
      <c r="P276" s="16" t="n"/>
      <c r="Q276" s="125" t="n"/>
      <c r="R276" s="14" t="n"/>
      <c r="S276" s="16" t="n"/>
      <c r="T276" s="125" t="n"/>
      <c r="U276" s="14" t="n"/>
      <c r="V276" s="16" t="n"/>
      <c r="W276" s="125" t="n"/>
      <c r="X276" s="14" t="n"/>
      <c r="Y276" s="16" t="n"/>
      <c r="Z276" s="125" t="n"/>
      <c r="AA276" s="14" t="n"/>
      <c r="AB276" s="16" t="n"/>
      <c r="AC276" s="125" t="n"/>
      <c r="AD276" s="14" t="n"/>
    </row>
    <row r="277">
      <c r="A277" s="58" t="n"/>
      <c r="B277" s="59" t="n"/>
      <c r="C277" s="59" t="n"/>
      <c r="E277" s="16" t="n"/>
      <c r="F277" s="13" t="n"/>
      <c r="G277" s="16" t="n"/>
      <c r="H277" s="125" t="n"/>
      <c r="I277" s="14" t="n"/>
      <c r="J277" s="16" t="n"/>
      <c r="K277" s="125" t="n"/>
      <c r="L277" s="14" t="n"/>
      <c r="M277" s="16" t="n"/>
      <c r="N277" s="125" t="n"/>
      <c r="O277" s="14" t="n"/>
      <c r="P277" s="16" t="n"/>
      <c r="Q277" s="125" t="n"/>
      <c r="R277" s="14" t="n"/>
      <c r="S277" s="16" t="n"/>
      <c r="T277" s="125" t="n"/>
      <c r="U277" s="14" t="n"/>
      <c r="V277" s="16" t="n"/>
      <c r="W277" s="125" t="n"/>
      <c r="X277" s="14" t="n"/>
      <c r="Y277" s="16" t="n"/>
      <c r="Z277" s="125" t="n"/>
      <c r="AA277" s="14" t="n"/>
      <c r="AB277" s="16" t="n"/>
      <c r="AC277" s="125" t="n"/>
      <c r="AD277" s="14" t="n"/>
    </row>
    <row r="278">
      <c r="A278" s="56" t="n"/>
      <c r="B278" s="59" t="n"/>
      <c r="C278" s="59" t="n"/>
      <c r="E278" s="16" t="n"/>
      <c r="F278" s="13" t="n"/>
      <c r="G278" s="16" t="n"/>
      <c r="H278" s="125" t="n"/>
      <c r="I278" s="14" t="n"/>
      <c r="J278" s="16" t="n"/>
      <c r="K278" s="125" t="n"/>
      <c r="L278" s="14" t="n"/>
      <c r="M278" s="16" t="n"/>
      <c r="N278" s="125" t="n"/>
      <c r="O278" s="14" t="n"/>
      <c r="P278" s="16" t="n"/>
      <c r="Q278" s="125" t="n"/>
      <c r="R278" s="14" t="n"/>
      <c r="S278" s="16" t="n"/>
      <c r="T278" s="125" t="n"/>
      <c r="U278" s="14" t="n"/>
      <c r="V278" s="16" t="n"/>
      <c r="W278" s="125" t="n"/>
      <c r="X278" s="14" t="n"/>
      <c r="Y278" s="16" t="n"/>
      <c r="Z278" s="125" t="n"/>
      <c r="AA278" s="14" t="n"/>
      <c r="AB278" s="16" t="n"/>
      <c r="AC278" s="125" t="n"/>
      <c r="AD278" s="14" t="n"/>
    </row>
    <row r="279">
      <c r="A279" s="58" t="n"/>
      <c r="B279" s="59" t="n"/>
      <c r="C279" s="59" t="n"/>
      <c r="E279" s="16" t="n"/>
      <c r="F279" s="13" t="n"/>
      <c r="G279" s="16" t="n"/>
      <c r="H279" s="125" t="n"/>
      <c r="I279" s="14" t="n"/>
      <c r="J279" s="16" t="n"/>
      <c r="K279" s="125" t="n"/>
      <c r="L279" s="14" t="n"/>
      <c r="M279" s="16" t="n"/>
      <c r="N279" s="125" t="n"/>
      <c r="O279" s="14" t="n"/>
      <c r="P279" s="16" t="n"/>
      <c r="Q279" s="125" t="n"/>
      <c r="R279" s="14" t="n"/>
      <c r="S279" s="16" t="n"/>
      <c r="T279" s="125" t="n"/>
      <c r="U279" s="14" t="n"/>
      <c r="V279" s="16" t="n"/>
      <c r="W279" s="125" t="n"/>
      <c r="X279" s="14" t="n"/>
      <c r="Y279" s="16" t="n"/>
      <c r="Z279" s="125" t="n"/>
      <c r="AA279" s="14" t="n"/>
      <c r="AB279" s="16" t="n"/>
      <c r="AC279" s="125" t="n"/>
      <c r="AD279" s="14" t="n"/>
    </row>
    <row r="280">
      <c r="A280" s="56" t="n"/>
      <c r="B280" s="59" t="n"/>
      <c r="C280" s="59" t="n"/>
      <c r="E280" s="16" t="n"/>
      <c r="F280" s="13" t="n"/>
      <c r="G280" s="16" t="n"/>
      <c r="H280" s="125" t="n"/>
      <c r="I280" s="14" t="n"/>
      <c r="J280" s="16" t="n"/>
      <c r="K280" s="125" t="n"/>
      <c r="L280" s="14" t="n"/>
      <c r="M280" s="16" t="n"/>
      <c r="N280" s="125" t="n"/>
      <c r="O280" s="14" t="n"/>
      <c r="P280" s="16" t="n"/>
      <c r="Q280" s="125" t="n"/>
      <c r="R280" s="14" t="n"/>
      <c r="S280" s="16" t="n"/>
      <c r="T280" s="125" t="n"/>
      <c r="U280" s="14" t="n"/>
      <c r="V280" s="16" t="n"/>
      <c r="W280" s="125" t="n"/>
      <c r="X280" s="14" t="n"/>
      <c r="Y280" s="16" t="n"/>
      <c r="Z280" s="125" t="n"/>
      <c r="AA280" s="14" t="n"/>
      <c r="AB280" s="16" t="n"/>
      <c r="AC280" s="125" t="n"/>
      <c r="AD280" s="14" t="n"/>
    </row>
    <row r="281">
      <c r="A281" s="58" t="n"/>
      <c r="B281" s="59" t="n"/>
      <c r="C281" s="59" t="n"/>
      <c r="E281" s="16" t="n"/>
      <c r="F281" s="13" t="n"/>
      <c r="G281" s="16" t="n"/>
      <c r="H281" s="125" t="n"/>
      <c r="I281" s="14" t="n"/>
      <c r="J281" s="16" t="n"/>
      <c r="K281" s="125" t="n"/>
      <c r="L281" s="14" t="n"/>
      <c r="M281" s="16" t="n"/>
      <c r="N281" s="125" t="n"/>
      <c r="O281" s="14" t="n"/>
      <c r="P281" s="16" t="n"/>
      <c r="Q281" s="125" t="n"/>
      <c r="R281" s="14" t="n"/>
      <c r="S281" s="16" t="n"/>
      <c r="T281" s="125" t="n"/>
      <c r="U281" s="14" t="n"/>
      <c r="V281" s="16" t="n"/>
      <c r="W281" s="125" t="n"/>
      <c r="X281" s="14" t="n"/>
      <c r="Y281" s="16" t="n"/>
      <c r="Z281" s="125" t="n"/>
      <c r="AA281" s="14" t="n"/>
      <c r="AB281" s="16" t="n"/>
      <c r="AC281" s="125" t="n"/>
      <c r="AD281" s="14" t="n"/>
    </row>
    <row r="282">
      <c r="A282" s="56" t="n"/>
      <c r="B282" s="59" t="n"/>
      <c r="C282" s="59" t="n"/>
      <c r="E282" s="16" t="n"/>
      <c r="F282" s="13" t="n"/>
      <c r="G282" s="16" t="n"/>
      <c r="H282" s="125" t="n"/>
      <c r="I282" s="14" t="n"/>
      <c r="J282" s="16" t="n"/>
      <c r="K282" s="125" t="n"/>
      <c r="L282" s="14" t="n"/>
      <c r="M282" s="16" t="n"/>
      <c r="N282" s="125" t="n"/>
      <c r="O282" s="14" t="n"/>
      <c r="P282" s="16" t="n"/>
      <c r="Q282" s="125" t="n"/>
      <c r="R282" s="14" t="n"/>
      <c r="S282" s="16" t="n"/>
      <c r="T282" s="125" t="n"/>
      <c r="U282" s="14" t="n"/>
      <c r="V282" s="16" t="n"/>
      <c r="W282" s="125" t="n"/>
      <c r="X282" s="14" t="n"/>
      <c r="Y282" s="16" t="n"/>
      <c r="Z282" s="125" t="n"/>
      <c r="AA282" s="14" t="n"/>
      <c r="AB282" s="16" t="n"/>
      <c r="AC282" s="125" t="n"/>
      <c r="AD282" s="14" t="n"/>
    </row>
    <row r="283">
      <c r="A283" s="58" t="n"/>
      <c r="B283" s="59" t="n"/>
      <c r="C283" s="59" t="n"/>
      <c r="E283" s="16" t="n"/>
      <c r="F283" s="13" t="n"/>
      <c r="G283" s="16" t="n"/>
      <c r="H283" s="125" t="n"/>
      <c r="I283" s="14" t="n"/>
      <c r="J283" s="16" t="n"/>
      <c r="K283" s="125" t="n"/>
      <c r="L283" s="14" t="n"/>
      <c r="M283" s="16" t="n"/>
      <c r="N283" s="125" t="n"/>
      <c r="O283" s="14" t="n"/>
      <c r="P283" s="16" t="n"/>
      <c r="Q283" s="125" t="n"/>
      <c r="R283" s="14" t="n"/>
      <c r="S283" s="16" t="n"/>
      <c r="T283" s="125" t="n"/>
      <c r="U283" s="14" t="n"/>
      <c r="V283" s="16" t="n"/>
      <c r="W283" s="125" t="n"/>
      <c r="X283" s="14" t="n"/>
      <c r="Y283" s="16" t="n"/>
      <c r="Z283" s="125" t="n"/>
      <c r="AA283" s="14" t="n"/>
      <c r="AB283" s="16" t="n"/>
      <c r="AC283" s="125" t="n"/>
      <c r="AD283" s="14" t="n"/>
    </row>
    <row r="284">
      <c r="A284" s="56" t="n"/>
      <c r="B284" s="59" t="n"/>
      <c r="C284" s="59" t="n"/>
      <c r="E284" s="16" t="n"/>
      <c r="F284" s="13" t="n"/>
      <c r="G284" s="16" t="n"/>
      <c r="H284" s="125" t="n"/>
      <c r="I284" s="14" t="n"/>
      <c r="J284" s="16" t="n"/>
      <c r="K284" s="125" t="n"/>
      <c r="L284" s="14" t="n"/>
      <c r="M284" s="16" t="n"/>
      <c r="N284" s="125" t="n"/>
      <c r="O284" s="14" t="n"/>
      <c r="P284" s="16" t="n"/>
      <c r="Q284" s="125" t="n"/>
      <c r="R284" s="14" t="n"/>
      <c r="S284" s="16" t="n"/>
      <c r="T284" s="125" t="n"/>
      <c r="U284" s="14" t="n"/>
      <c r="V284" s="16" t="n"/>
      <c r="W284" s="125" t="n"/>
      <c r="X284" s="14" t="n"/>
      <c r="Y284" s="16" t="n"/>
      <c r="Z284" s="125" t="n"/>
      <c r="AA284" s="14" t="n"/>
      <c r="AB284" s="16" t="n"/>
      <c r="AC284" s="125" t="n"/>
      <c r="AD284" s="14" t="n"/>
    </row>
    <row r="285">
      <c r="A285" s="58" t="n"/>
      <c r="B285" s="59" t="n"/>
      <c r="C285" s="59" t="n"/>
      <c r="E285" s="16" t="n"/>
      <c r="F285" s="13" t="n"/>
      <c r="G285" s="16" t="n"/>
      <c r="H285" s="125" t="n"/>
      <c r="I285" s="14" t="n"/>
      <c r="J285" s="16" t="n"/>
      <c r="K285" s="125" t="n"/>
      <c r="L285" s="14" t="n"/>
      <c r="M285" s="16" t="n"/>
      <c r="N285" s="125" t="n"/>
      <c r="O285" s="14" t="n"/>
      <c r="P285" s="16" t="n"/>
      <c r="Q285" s="125" t="n"/>
      <c r="R285" s="14" t="n"/>
      <c r="S285" s="16" t="n"/>
      <c r="T285" s="125" t="n"/>
      <c r="U285" s="14" t="n"/>
      <c r="V285" s="16" t="n"/>
      <c r="W285" s="125" t="n"/>
      <c r="X285" s="14" t="n"/>
      <c r="Y285" s="16" t="n"/>
      <c r="Z285" s="125" t="n"/>
      <c r="AA285" s="14" t="n"/>
      <c r="AB285" s="16" t="n"/>
      <c r="AC285" s="125" t="n"/>
      <c r="AD285" s="14" t="n"/>
    </row>
    <row r="286">
      <c r="A286" s="56" t="n"/>
      <c r="B286" s="59" t="n"/>
      <c r="C286" s="59" t="n"/>
      <c r="E286" s="16" t="n"/>
      <c r="F286" s="13" t="n"/>
      <c r="G286" s="16" t="n"/>
      <c r="H286" s="125" t="n"/>
      <c r="I286" s="14" t="n"/>
      <c r="J286" s="16" t="n"/>
      <c r="K286" s="125" t="n"/>
      <c r="L286" s="14" t="n"/>
      <c r="M286" s="16" t="n"/>
      <c r="N286" s="125" t="n"/>
      <c r="O286" s="14" t="n"/>
      <c r="P286" s="16" t="n"/>
      <c r="Q286" s="125" t="n"/>
      <c r="R286" s="14" t="n"/>
      <c r="S286" s="16" t="n"/>
      <c r="T286" s="125" t="n"/>
      <c r="U286" s="14" t="n"/>
      <c r="V286" s="16" t="n"/>
      <c r="W286" s="125" t="n"/>
      <c r="X286" s="14" t="n"/>
      <c r="Y286" s="16" t="n"/>
      <c r="Z286" s="125" t="n"/>
      <c r="AA286" s="14" t="n"/>
      <c r="AB286" s="16" t="n"/>
      <c r="AC286" s="125" t="n"/>
      <c r="AD286" s="14" t="n"/>
    </row>
    <row r="287">
      <c r="A287" s="58" t="n"/>
      <c r="B287" s="59" t="n"/>
      <c r="C287" s="59" t="n"/>
      <c r="E287" s="16" t="n"/>
      <c r="F287" s="13" t="n"/>
      <c r="G287" s="16" t="n"/>
      <c r="H287" s="125" t="n"/>
      <c r="I287" s="14" t="n"/>
      <c r="J287" s="16" t="n"/>
      <c r="K287" s="125" t="n"/>
      <c r="L287" s="14" t="n"/>
      <c r="M287" s="16" t="n"/>
      <c r="N287" s="125" t="n"/>
      <c r="O287" s="14" t="n"/>
      <c r="P287" s="16" t="n"/>
      <c r="Q287" s="125" t="n"/>
      <c r="R287" s="14" t="n"/>
      <c r="S287" s="16" t="n"/>
      <c r="T287" s="125" t="n"/>
      <c r="U287" s="14" t="n"/>
      <c r="V287" s="16" t="n"/>
      <c r="W287" s="125" t="n"/>
      <c r="X287" s="14" t="n"/>
      <c r="Y287" s="16" t="n"/>
      <c r="Z287" s="125" t="n"/>
      <c r="AA287" s="14" t="n"/>
      <c r="AB287" s="16" t="n"/>
      <c r="AC287" s="125" t="n"/>
      <c r="AD287" s="14" t="n"/>
    </row>
    <row r="288">
      <c r="A288" s="56" t="n"/>
      <c r="B288" s="59" t="n"/>
      <c r="C288" s="59" t="n"/>
      <c r="E288" s="16" t="n"/>
      <c r="F288" s="13" t="n"/>
      <c r="G288" s="16" t="n"/>
      <c r="H288" s="125" t="n"/>
      <c r="I288" s="14" t="n"/>
      <c r="J288" s="16" t="n"/>
      <c r="K288" s="125" t="n"/>
      <c r="L288" s="14" t="n"/>
      <c r="M288" s="16" t="n"/>
      <c r="N288" s="125" t="n"/>
      <c r="O288" s="14" t="n"/>
      <c r="P288" s="16" t="n"/>
      <c r="Q288" s="125" t="n"/>
      <c r="R288" s="14" t="n"/>
      <c r="S288" s="16" t="n"/>
      <c r="T288" s="125" t="n"/>
      <c r="U288" s="14" t="n"/>
      <c r="V288" s="16" t="n"/>
      <c r="W288" s="125" t="n"/>
      <c r="X288" s="14" t="n"/>
      <c r="Y288" s="16" t="n"/>
      <c r="Z288" s="125" t="n"/>
      <c r="AA288" s="14" t="n"/>
      <c r="AB288" s="16" t="n"/>
      <c r="AC288" s="125" t="n"/>
      <c r="AD288" s="14" t="n"/>
    </row>
    <row r="289">
      <c r="A289" s="58" t="n"/>
      <c r="B289" s="59" t="n"/>
      <c r="C289" s="59" t="n"/>
      <c r="E289" s="16" t="n"/>
      <c r="F289" s="13" t="n"/>
      <c r="G289" s="16" t="n"/>
      <c r="H289" s="125" t="n"/>
      <c r="I289" s="14" t="n"/>
      <c r="J289" s="16" t="n"/>
      <c r="K289" s="125" t="n"/>
      <c r="L289" s="14" t="n"/>
      <c r="M289" s="16" t="n"/>
      <c r="N289" s="125" t="n"/>
      <c r="O289" s="14" t="n"/>
      <c r="P289" s="16" t="n"/>
      <c r="Q289" s="125" t="n"/>
      <c r="R289" s="14" t="n"/>
      <c r="S289" s="16" t="n"/>
      <c r="T289" s="125" t="n"/>
      <c r="U289" s="14" t="n"/>
      <c r="V289" s="16" t="n"/>
      <c r="W289" s="125" t="n"/>
      <c r="X289" s="14" t="n"/>
      <c r="Y289" s="16" t="n"/>
      <c r="Z289" s="125" t="n"/>
      <c r="AA289" s="14" t="n"/>
      <c r="AB289" s="16" t="n"/>
      <c r="AC289" s="125" t="n"/>
      <c r="AD289" s="14" t="n"/>
    </row>
    <row r="290">
      <c r="A290" s="56" t="n"/>
      <c r="B290" s="59" t="n"/>
      <c r="C290" s="59" t="n"/>
      <c r="E290" s="16" t="n"/>
      <c r="F290" s="13" t="n"/>
      <c r="G290" s="16" t="n"/>
      <c r="H290" s="125" t="n"/>
      <c r="I290" s="14" t="n"/>
      <c r="J290" s="16" t="n"/>
      <c r="K290" s="125" t="n"/>
      <c r="L290" s="14" t="n"/>
      <c r="M290" s="16" t="n"/>
      <c r="N290" s="125" t="n"/>
      <c r="O290" s="14" t="n"/>
      <c r="P290" s="16" t="n"/>
      <c r="Q290" s="125" t="n"/>
      <c r="R290" s="14" t="n"/>
      <c r="S290" s="16" t="n"/>
      <c r="T290" s="125" t="n"/>
      <c r="U290" s="14" t="n"/>
      <c r="V290" s="16" t="n"/>
      <c r="W290" s="125" t="n"/>
      <c r="X290" s="14" t="n"/>
      <c r="Y290" s="16" t="n"/>
      <c r="Z290" s="125" t="n"/>
      <c r="AA290" s="14" t="n"/>
      <c r="AB290" s="16" t="n"/>
      <c r="AC290" s="125" t="n"/>
      <c r="AD290" s="14" t="n"/>
    </row>
    <row r="291">
      <c r="A291" s="58" t="n"/>
      <c r="B291" s="59" t="n"/>
      <c r="C291" s="59" t="n"/>
      <c r="E291" s="16" t="n"/>
      <c r="F291" s="13" t="n"/>
      <c r="G291" s="16" t="n"/>
      <c r="H291" s="125" t="n"/>
      <c r="I291" s="14" t="n"/>
      <c r="J291" s="16" t="n"/>
      <c r="K291" s="125" t="n"/>
      <c r="L291" s="14" t="n"/>
      <c r="M291" s="16" t="n"/>
      <c r="N291" s="125" t="n"/>
      <c r="O291" s="14" t="n"/>
      <c r="P291" s="16" t="n"/>
      <c r="Q291" s="125" t="n"/>
      <c r="R291" s="14" t="n"/>
      <c r="S291" s="16" t="n"/>
      <c r="T291" s="125" t="n"/>
      <c r="U291" s="14" t="n"/>
      <c r="V291" s="16" t="n"/>
      <c r="W291" s="125" t="n"/>
      <c r="X291" s="14" t="n"/>
      <c r="Y291" s="16" t="n"/>
      <c r="Z291" s="125" t="n"/>
      <c r="AA291" s="14" t="n"/>
      <c r="AB291" s="16" t="n"/>
      <c r="AC291" s="125" t="n"/>
      <c r="AD291" s="14" t="n"/>
    </row>
    <row r="292">
      <c r="A292" s="56" t="n"/>
      <c r="B292" s="59" t="n"/>
      <c r="C292" s="59" t="n"/>
      <c r="E292" s="16" t="n"/>
      <c r="F292" s="13" t="n"/>
      <c r="G292" s="16" t="n"/>
      <c r="H292" s="125" t="n"/>
      <c r="I292" s="14" t="n"/>
      <c r="J292" s="16" t="n"/>
      <c r="K292" s="125" t="n"/>
      <c r="L292" s="14" t="n"/>
      <c r="M292" s="16" t="n"/>
      <c r="N292" s="125" t="n"/>
      <c r="O292" s="14" t="n"/>
      <c r="P292" s="16" t="n"/>
      <c r="Q292" s="125" t="n"/>
      <c r="R292" s="14" t="n"/>
      <c r="S292" s="16" t="n"/>
      <c r="T292" s="125" t="n"/>
      <c r="U292" s="14" t="n"/>
      <c r="V292" s="16" t="n"/>
      <c r="W292" s="125" t="n"/>
      <c r="X292" s="14" t="n"/>
      <c r="Y292" s="16" t="n"/>
      <c r="Z292" s="125" t="n"/>
      <c r="AA292" s="14" t="n"/>
      <c r="AB292" s="16" t="n"/>
      <c r="AC292" s="125" t="n"/>
      <c r="AD292" s="14" t="n"/>
    </row>
    <row r="293">
      <c r="A293" s="58" t="n"/>
      <c r="B293" s="59" t="n"/>
      <c r="C293" s="59" t="n"/>
      <c r="E293" s="16" t="n"/>
      <c r="F293" s="13" t="n"/>
      <c r="G293" s="16" t="n"/>
      <c r="H293" s="125" t="n"/>
      <c r="I293" s="14" t="n"/>
      <c r="J293" s="16" t="n"/>
      <c r="K293" s="125" t="n"/>
      <c r="L293" s="14" t="n"/>
      <c r="M293" s="16" t="n"/>
      <c r="N293" s="125" t="n"/>
      <c r="O293" s="14" t="n"/>
      <c r="P293" s="16" t="n"/>
      <c r="Q293" s="125" t="n"/>
      <c r="R293" s="14" t="n"/>
      <c r="S293" s="16" t="n"/>
      <c r="T293" s="125" t="n"/>
      <c r="U293" s="14" t="n"/>
      <c r="V293" s="16" t="n"/>
      <c r="W293" s="125" t="n"/>
      <c r="X293" s="14" t="n"/>
      <c r="Y293" s="16" t="n"/>
      <c r="Z293" s="125" t="n"/>
      <c r="AA293" s="14" t="n"/>
      <c r="AB293" s="16" t="n"/>
      <c r="AC293" s="125" t="n"/>
      <c r="AD293" s="14" t="n"/>
    </row>
    <row r="294">
      <c r="A294" s="56" t="n"/>
      <c r="B294" s="59" t="n"/>
      <c r="C294" s="59" t="n"/>
      <c r="E294" s="16" t="n"/>
      <c r="F294" s="13" t="n"/>
      <c r="G294" s="16" t="n"/>
      <c r="H294" s="125" t="n"/>
      <c r="I294" s="14" t="n"/>
      <c r="J294" s="16" t="n"/>
      <c r="K294" s="125" t="n"/>
      <c r="L294" s="14" t="n"/>
      <c r="M294" s="16" t="n"/>
      <c r="N294" s="125" t="n"/>
      <c r="O294" s="14" t="n"/>
      <c r="P294" s="16" t="n"/>
      <c r="Q294" s="125" t="n"/>
      <c r="R294" s="14" t="n"/>
      <c r="S294" s="16" t="n"/>
      <c r="T294" s="125" t="n"/>
      <c r="U294" s="14" t="n"/>
      <c r="V294" s="16" t="n"/>
      <c r="W294" s="125" t="n"/>
      <c r="X294" s="14" t="n"/>
      <c r="Y294" s="16" t="n"/>
      <c r="Z294" s="125" t="n"/>
      <c r="AA294" s="14" t="n"/>
      <c r="AB294" s="16" t="n"/>
      <c r="AC294" s="125" t="n"/>
      <c r="AD294" s="14" t="n"/>
    </row>
    <row r="295">
      <c r="A295" s="58" t="n"/>
      <c r="B295" s="59" t="n"/>
      <c r="C295" s="59" t="n"/>
      <c r="E295" s="16" t="n"/>
      <c r="F295" s="13" t="n"/>
      <c r="G295" s="16" t="n"/>
      <c r="H295" s="125" t="n"/>
      <c r="I295" s="14" t="n"/>
      <c r="J295" s="16" t="n"/>
      <c r="K295" s="125" t="n"/>
      <c r="L295" s="14" t="n"/>
      <c r="M295" s="16" t="n"/>
      <c r="N295" s="125" t="n"/>
      <c r="O295" s="14" t="n"/>
      <c r="P295" s="16" t="n"/>
      <c r="Q295" s="125" t="n"/>
      <c r="R295" s="14" t="n"/>
      <c r="S295" s="16" t="n"/>
      <c r="T295" s="125" t="n"/>
      <c r="U295" s="14" t="n"/>
      <c r="V295" s="16" t="n"/>
      <c r="W295" s="125" t="n"/>
      <c r="X295" s="14" t="n"/>
      <c r="Y295" s="16" t="n"/>
      <c r="Z295" s="125" t="n"/>
      <c r="AA295" s="14" t="n"/>
      <c r="AB295" s="16" t="n"/>
      <c r="AC295" s="125" t="n"/>
      <c r="AD295" s="14" t="n"/>
    </row>
    <row r="296">
      <c r="A296" s="56" t="n"/>
      <c r="B296" s="59" t="n"/>
      <c r="C296" s="59" t="n"/>
      <c r="E296" s="16" t="n"/>
      <c r="F296" s="13" t="n"/>
      <c r="G296" s="16" t="n"/>
      <c r="H296" s="125" t="n"/>
      <c r="I296" s="14" t="n"/>
      <c r="J296" s="16" t="n"/>
      <c r="K296" s="125" t="n"/>
      <c r="L296" s="14" t="n"/>
      <c r="M296" s="16" t="n"/>
      <c r="N296" s="125" t="n"/>
      <c r="O296" s="14" t="n"/>
      <c r="P296" s="16" t="n"/>
      <c r="Q296" s="125" t="n"/>
      <c r="R296" s="14" t="n"/>
      <c r="S296" s="16" t="n"/>
      <c r="T296" s="125" t="n"/>
      <c r="U296" s="14" t="n"/>
      <c r="V296" s="16" t="n"/>
      <c r="W296" s="125" t="n"/>
      <c r="X296" s="14" t="n"/>
      <c r="Y296" s="16" t="n"/>
      <c r="Z296" s="125" t="n"/>
      <c r="AA296" s="14" t="n"/>
      <c r="AB296" s="16" t="n"/>
      <c r="AC296" s="125" t="n"/>
      <c r="AD296" s="14" t="n"/>
    </row>
    <row r="297">
      <c r="A297" s="58" t="n"/>
      <c r="B297" s="59" t="n"/>
      <c r="C297" s="59" t="n"/>
      <c r="E297" s="16" t="n"/>
      <c r="F297" s="13" t="n"/>
      <c r="G297" s="16" t="n"/>
      <c r="H297" s="125" t="n"/>
      <c r="I297" s="14" t="n"/>
      <c r="J297" s="16" t="n"/>
      <c r="K297" s="125" t="n"/>
      <c r="L297" s="14" t="n"/>
      <c r="M297" s="16" t="n"/>
      <c r="N297" s="125" t="n"/>
      <c r="O297" s="14" t="n"/>
      <c r="P297" s="16" t="n"/>
      <c r="Q297" s="125" t="n"/>
      <c r="R297" s="14" t="n"/>
      <c r="S297" s="16" t="n"/>
      <c r="T297" s="125" t="n"/>
      <c r="U297" s="14" t="n"/>
      <c r="V297" s="16" t="n"/>
      <c r="W297" s="125" t="n"/>
      <c r="X297" s="14" t="n"/>
      <c r="Y297" s="16" t="n"/>
      <c r="Z297" s="125" t="n"/>
      <c r="AA297" s="14" t="n"/>
      <c r="AB297" s="16" t="n"/>
      <c r="AC297" s="125" t="n"/>
      <c r="AD297" s="14" t="n"/>
    </row>
    <row r="298">
      <c r="A298" s="56" t="n"/>
      <c r="B298" s="59" t="n"/>
      <c r="C298" s="59" t="n"/>
      <c r="E298" s="16" t="n"/>
      <c r="F298" s="13" t="n"/>
      <c r="G298" s="16" t="n"/>
      <c r="H298" s="125" t="n"/>
      <c r="I298" s="14" t="n"/>
      <c r="J298" s="16" t="n"/>
      <c r="K298" s="125" t="n"/>
      <c r="L298" s="14" t="n"/>
      <c r="M298" s="16" t="n"/>
      <c r="N298" s="125" t="n"/>
      <c r="O298" s="14" t="n"/>
      <c r="P298" s="16" t="n"/>
      <c r="Q298" s="125" t="n"/>
      <c r="R298" s="14" t="n"/>
      <c r="S298" s="16" t="n"/>
      <c r="T298" s="125" t="n"/>
      <c r="U298" s="14" t="n"/>
      <c r="V298" s="16" t="n"/>
      <c r="W298" s="125" t="n"/>
      <c r="X298" s="14" t="n"/>
      <c r="Y298" s="16" t="n"/>
      <c r="Z298" s="125" t="n"/>
      <c r="AA298" s="14" t="n"/>
      <c r="AB298" s="16" t="n"/>
      <c r="AC298" s="125" t="n"/>
      <c r="AD298" s="14" t="n"/>
    </row>
    <row r="299">
      <c r="A299" s="58" t="n"/>
      <c r="B299" s="59" t="n"/>
      <c r="C299" s="59" t="n"/>
      <c r="E299" s="16" t="n"/>
      <c r="F299" s="13" t="n"/>
      <c r="G299" s="16" t="n"/>
      <c r="H299" s="125" t="n"/>
      <c r="I299" s="14" t="n"/>
      <c r="J299" s="16" t="n"/>
      <c r="K299" s="125" t="n"/>
      <c r="L299" s="14" t="n"/>
      <c r="M299" s="16" t="n"/>
      <c r="N299" s="125" t="n"/>
      <c r="O299" s="14" t="n"/>
      <c r="P299" s="16" t="n"/>
      <c r="Q299" s="125" t="n"/>
      <c r="R299" s="14" t="n"/>
      <c r="S299" s="16" t="n"/>
      <c r="T299" s="125" t="n"/>
      <c r="U299" s="14" t="n"/>
      <c r="V299" s="16" t="n"/>
      <c r="W299" s="125" t="n"/>
      <c r="X299" s="14" t="n"/>
      <c r="Y299" s="16" t="n"/>
      <c r="Z299" s="125" t="n"/>
      <c r="AA299" s="14" t="n"/>
      <c r="AB299" s="16" t="n"/>
      <c r="AC299" s="125" t="n"/>
      <c r="AD299" s="14" t="n"/>
    </row>
    <row r="300">
      <c r="A300" s="56" t="n"/>
      <c r="B300" s="59" t="n"/>
      <c r="C300" s="59" t="n"/>
      <c r="E300" s="16" t="n"/>
      <c r="F300" s="13" t="n"/>
      <c r="G300" s="16" t="n"/>
      <c r="H300" s="125" t="n"/>
      <c r="I300" s="14" t="n"/>
      <c r="J300" s="16" t="n"/>
      <c r="K300" s="125" t="n"/>
      <c r="L300" s="14" t="n"/>
      <c r="M300" s="16" t="n"/>
      <c r="N300" s="125" t="n"/>
      <c r="O300" s="14" t="n"/>
      <c r="P300" s="16" t="n"/>
      <c r="Q300" s="125" t="n"/>
      <c r="R300" s="14" t="n"/>
      <c r="S300" s="16" t="n"/>
      <c r="T300" s="125" t="n"/>
      <c r="U300" s="14" t="n"/>
      <c r="V300" s="16" t="n"/>
      <c r="W300" s="125" t="n"/>
      <c r="X300" s="14" t="n"/>
      <c r="Y300" s="16" t="n"/>
      <c r="Z300" s="125" t="n"/>
      <c r="AA300" s="14" t="n"/>
      <c r="AB300" s="16" t="n"/>
      <c r="AC300" s="125" t="n"/>
      <c r="AD300" s="14" t="n"/>
    </row>
    <row r="301">
      <c r="A301" s="58" t="n"/>
      <c r="B301" s="59" t="n"/>
      <c r="C301" s="59" t="n"/>
      <c r="E301" s="16" t="n"/>
      <c r="F301" s="13" t="n"/>
      <c r="G301" s="16" t="n"/>
      <c r="H301" s="125" t="n"/>
      <c r="I301" s="14" t="n"/>
      <c r="J301" s="16" t="n"/>
      <c r="K301" s="125" t="n"/>
      <c r="L301" s="14" t="n"/>
      <c r="M301" s="16" t="n"/>
      <c r="N301" s="125" t="n"/>
      <c r="O301" s="14" t="n"/>
      <c r="P301" s="16" t="n"/>
      <c r="Q301" s="125" t="n"/>
      <c r="R301" s="14" t="n"/>
      <c r="S301" s="16" t="n"/>
      <c r="T301" s="125" t="n"/>
      <c r="U301" s="14" t="n"/>
      <c r="V301" s="16" t="n"/>
      <c r="W301" s="125" t="n"/>
      <c r="X301" s="14" t="n"/>
      <c r="Y301" s="16" t="n"/>
      <c r="Z301" s="125" t="n"/>
      <c r="AA301" s="14" t="n"/>
      <c r="AB301" s="16" t="n"/>
      <c r="AC301" s="125" t="n"/>
      <c r="AD301" s="14" t="n"/>
    </row>
    <row r="302">
      <c r="A302" s="56" t="n"/>
      <c r="B302" s="59" t="n"/>
      <c r="C302" s="59" t="n"/>
      <c r="E302" s="16" t="n"/>
      <c r="F302" s="13" t="n"/>
      <c r="G302" s="16" t="n"/>
      <c r="H302" s="125" t="n"/>
      <c r="I302" s="14" t="n"/>
      <c r="J302" s="16" t="n"/>
      <c r="K302" s="125" t="n"/>
      <c r="L302" s="14" t="n"/>
      <c r="M302" s="16" t="n"/>
      <c r="N302" s="125" t="n"/>
      <c r="O302" s="14" t="n"/>
      <c r="P302" s="16" t="n"/>
      <c r="Q302" s="125" t="n"/>
      <c r="R302" s="14" t="n"/>
      <c r="S302" s="16" t="n"/>
      <c r="T302" s="125" t="n"/>
      <c r="U302" s="14" t="n"/>
      <c r="V302" s="16" t="n"/>
      <c r="W302" s="125" t="n"/>
      <c r="X302" s="14" t="n"/>
      <c r="Y302" s="16" t="n"/>
      <c r="Z302" s="125" t="n"/>
      <c r="AA302" s="14" t="n"/>
      <c r="AB302" s="16" t="n"/>
      <c r="AC302" s="125" t="n"/>
      <c r="AD302" s="14" t="n"/>
    </row>
    <row r="303">
      <c r="A303" s="58" t="n"/>
      <c r="B303" s="59" t="n"/>
      <c r="C303" s="59" t="n"/>
      <c r="E303" s="16" t="n"/>
      <c r="F303" s="13" t="n"/>
      <c r="G303" s="16" t="n"/>
      <c r="H303" s="125" t="n"/>
      <c r="I303" s="14" t="n"/>
      <c r="J303" s="16" t="n"/>
      <c r="K303" s="125" t="n"/>
      <c r="L303" s="14" t="n"/>
      <c r="M303" s="16" t="n"/>
      <c r="N303" s="125" t="n"/>
      <c r="O303" s="14" t="n"/>
      <c r="P303" s="16" t="n"/>
      <c r="Q303" s="125" t="n"/>
      <c r="R303" s="14" t="n"/>
      <c r="S303" s="16" t="n"/>
      <c r="T303" s="125" t="n"/>
      <c r="U303" s="14" t="n"/>
      <c r="V303" s="16" t="n"/>
      <c r="W303" s="125" t="n"/>
      <c r="X303" s="14" t="n"/>
      <c r="Y303" s="16" t="n"/>
      <c r="Z303" s="125" t="n"/>
      <c r="AA303" s="14" t="n"/>
      <c r="AB303" s="16" t="n"/>
      <c r="AC303" s="125" t="n"/>
      <c r="AD303" s="14" t="n"/>
    </row>
    <row r="304">
      <c r="A304" s="56" t="n"/>
      <c r="B304" s="59" t="n"/>
      <c r="C304" s="59" t="n"/>
      <c r="E304" s="16" t="n"/>
      <c r="F304" s="13" t="n"/>
      <c r="G304" s="16" t="n"/>
      <c r="H304" s="125" t="n"/>
      <c r="I304" s="14" t="n"/>
      <c r="J304" s="16" t="n"/>
      <c r="K304" s="125" t="n"/>
      <c r="L304" s="14" t="n"/>
      <c r="M304" s="16" t="n"/>
      <c r="N304" s="125" t="n"/>
      <c r="O304" s="14" t="n"/>
      <c r="P304" s="16" t="n"/>
      <c r="Q304" s="125" t="n"/>
      <c r="R304" s="14" t="n"/>
      <c r="S304" s="16" t="n"/>
      <c r="T304" s="125" t="n"/>
      <c r="U304" s="14" t="n"/>
      <c r="V304" s="16" t="n"/>
      <c r="W304" s="125" t="n"/>
      <c r="X304" s="14" t="n"/>
      <c r="Y304" s="16" t="n"/>
      <c r="Z304" s="125" t="n"/>
      <c r="AA304" s="14" t="n"/>
      <c r="AB304" s="16" t="n"/>
      <c r="AC304" s="125" t="n"/>
      <c r="AD304" s="14" t="n"/>
    </row>
    <row r="305">
      <c r="A305" s="58" t="n"/>
      <c r="B305" s="59" t="n"/>
      <c r="C305" s="59" t="n"/>
      <c r="E305" s="16" t="n"/>
      <c r="F305" s="13" t="n"/>
      <c r="G305" s="16" t="n"/>
      <c r="H305" s="125" t="n"/>
      <c r="I305" s="14" t="n"/>
      <c r="J305" s="16" t="n"/>
      <c r="K305" s="125" t="n"/>
      <c r="L305" s="14" t="n"/>
      <c r="M305" s="16" t="n"/>
      <c r="N305" s="125" t="n"/>
      <c r="O305" s="14" t="n"/>
      <c r="P305" s="16" t="n"/>
      <c r="Q305" s="125" t="n"/>
      <c r="R305" s="14" t="n"/>
      <c r="S305" s="16" t="n"/>
      <c r="T305" s="125" t="n"/>
      <c r="U305" s="14" t="n"/>
      <c r="V305" s="16" t="n"/>
      <c r="W305" s="125" t="n"/>
      <c r="X305" s="14" t="n"/>
      <c r="Y305" s="16" t="n"/>
      <c r="Z305" s="125" t="n"/>
      <c r="AA305" s="14" t="n"/>
      <c r="AB305" s="16" t="n"/>
      <c r="AC305" s="125" t="n"/>
      <c r="AD305" s="14" t="n"/>
    </row>
    <row r="306">
      <c r="A306" s="56" t="n"/>
      <c r="B306" s="59" t="n"/>
      <c r="C306" s="59" t="n"/>
      <c r="E306" s="16" t="n"/>
      <c r="F306" s="13" t="n"/>
      <c r="G306" s="16" t="n"/>
      <c r="H306" s="125" t="n"/>
      <c r="I306" s="14" t="n"/>
      <c r="J306" s="16" t="n"/>
      <c r="K306" s="125" t="n"/>
      <c r="L306" s="14" t="n"/>
      <c r="M306" s="16" t="n"/>
      <c r="N306" s="125" t="n"/>
      <c r="O306" s="14" t="n"/>
      <c r="P306" s="16" t="n"/>
      <c r="Q306" s="125" t="n"/>
      <c r="R306" s="14" t="n"/>
      <c r="S306" s="16" t="n"/>
      <c r="T306" s="125" t="n"/>
      <c r="U306" s="14" t="n"/>
      <c r="V306" s="16" t="n"/>
      <c r="W306" s="125" t="n"/>
      <c r="X306" s="14" t="n"/>
      <c r="Y306" s="16" t="n"/>
      <c r="Z306" s="125" t="n"/>
      <c r="AA306" s="14" t="n"/>
      <c r="AB306" s="16" t="n"/>
      <c r="AC306" s="125" t="n"/>
      <c r="AD306" s="14" t="n"/>
    </row>
    <row r="307">
      <c r="A307" s="58" t="n"/>
      <c r="B307" s="59" t="n"/>
      <c r="C307" s="59" t="n"/>
      <c r="E307" s="16" t="n"/>
      <c r="F307" s="13" t="n"/>
      <c r="G307" s="16" t="n"/>
      <c r="H307" s="125" t="n"/>
      <c r="I307" s="14" t="n"/>
      <c r="J307" s="16" t="n"/>
      <c r="K307" s="125" t="n"/>
      <c r="L307" s="14" t="n"/>
      <c r="M307" s="16" t="n"/>
      <c r="N307" s="125" t="n"/>
      <c r="O307" s="14" t="n"/>
      <c r="P307" s="16" t="n"/>
      <c r="Q307" s="125" t="n"/>
      <c r="R307" s="14" t="n"/>
      <c r="S307" s="16" t="n"/>
      <c r="T307" s="125" t="n"/>
      <c r="U307" s="14" t="n"/>
      <c r="V307" s="16" t="n"/>
      <c r="W307" s="125" t="n"/>
      <c r="X307" s="14" t="n"/>
      <c r="Y307" s="16" t="n"/>
      <c r="Z307" s="125" t="n"/>
      <c r="AA307" s="14" t="n"/>
      <c r="AB307" s="16" t="n"/>
      <c r="AC307" s="125" t="n"/>
      <c r="AD307" s="14" t="n"/>
    </row>
    <row r="308">
      <c r="A308" s="56" t="n"/>
      <c r="B308" s="59" t="n"/>
      <c r="C308" s="59" t="n"/>
      <c r="E308" s="16" t="n"/>
      <c r="F308" s="13" t="n"/>
      <c r="G308" s="16" t="n"/>
      <c r="H308" s="125" t="n"/>
      <c r="I308" s="14" t="n"/>
      <c r="J308" s="16" t="n"/>
      <c r="K308" s="125" t="n"/>
      <c r="L308" s="14" t="n"/>
      <c r="M308" s="16" t="n"/>
      <c r="N308" s="125" t="n"/>
      <c r="O308" s="14" t="n"/>
      <c r="P308" s="16" t="n"/>
      <c r="Q308" s="125" t="n"/>
      <c r="R308" s="14" t="n"/>
      <c r="S308" s="16" t="n"/>
      <c r="T308" s="125" t="n"/>
      <c r="U308" s="14" t="n"/>
      <c r="V308" s="16" t="n"/>
      <c r="W308" s="125" t="n"/>
      <c r="X308" s="14" t="n"/>
      <c r="Y308" s="16" t="n"/>
      <c r="Z308" s="125" t="n"/>
      <c r="AA308" s="14" t="n"/>
      <c r="AB308" s="16" t="n"/>
      <c r="AC308" s="125" t="n"/>
      <c r="AD308" s="14" t="n"/>
    </row>
    <row r="309">
      <c r="A309" s="58" t="n"/>
      <c r="B309" s="59" t="n"/>
      <c r="C309" s="59" t="n"/>
      <c r="E309" s="16" t="n"/>
      <c r="F309" s="13" t="n"/>
      <c r="G309" s="16" t="n"/>
      <c r="H309" s="125" t="n"/>
      <c r="I309" s="14" t="n"/>
      <c r="J309" s="16" t="n"/>
      <c r="K309" s="125" t="n"/>
      <c r="L309" s="14" t="n"/>
      <c r="M309" s="16" t="n"/>
      <c r="N309" s="125" t="n"/>
      <c r="O309" s="14" t="n"/>
      <c r="P309" s="16" t="n"/>
      <c r="Q309" s="125" t="n"/>
      <c r="R309" s="14" t="n"/>
      <c r="S309" s="16" t="n"/>
      <c r="T309" s="125" t="n"/>
      <c r="U309" s="14" t="n"/>
      <c r="V309" s="16" t="n"/>
      <c r="W309" s="125" t="n"/>
      <c r="X309" s="14" t="n"/>
      <c r="Y309" s="16" t="n"/>
      <c r="Z309" s="125" t="n"/>
      <c r="AA309" s="14" t="n"/>
      <c r="AB309" s="16" t="n"/>
      <c r="AC309" s="125" t="n"/>
      <c r="AD309" s="14" t="n"/>
    </row>
    <row r="310">
      <c r="A310" s="56" t="n"/>
      <c r="B310" s="59" t="n"/>
      <c r="C310" s="59" t="n"/>
      <c r="E310" s="16" t="n"/>
      <c r="F310" s="13" t="n"/>
      <c r="G310" s="16" t="n"/>
      <c r="H310" s="125" t="n"/>
      <c r="I310" s="14" t="n"/>
      <c r="J310" s="16" t="n"/>
      <c r="K310" s="125" t="n"/>
      <c r="L310" s="14" t="n"/>
      <c r="M310" s="16" t="n"/>
      <c r="N310" s="125" t="n"/>
      <c r="O310" s="14" t="n"/>
      <c r="P310" s="16" t="n"/>
      <c r="Q310" s="125" t="n"/>
      <c r="R310" s="14" t="n"/>
      <c r="S310" s="16" t="n"/>
      <c r="T310" s="125" t="n"/>
      <c r="U310" s="14" t="n"/>
      <c r="V310" s="16" t="n"/>
      <c r="W310" s="125" t="n"/>
      <c r="X310" s="14" t="n"/>
      <c r="Y310" s="16" t="n"/>
      <c r="Z310" s="125" t="n"/>
      <c r="AA310" s="14" t="n"/>
      <c r="AB310" s="16" t="n"/>
      <c r="AC310" s="125" t="n"/>
      <c r="AD310" s="14" t="n"/>
    </row>
    <row r="311">
      <c r="A311" s="58" t="n"/>
      <c r="B311" s="59" t="n"/>
      <c r="C311" s="59" t="n"/>
      <c r="E311" s="16" t="n"/>
      <c r="F311" s="13" t="n"/>
      <c r="G311" s="16" t="n"/>
      <c r="H311" s="125" t="n"/>
      <c r="I311" s="14" t="n"/>
      <c r="J311" s="16" t="n"/>
      <c r="K311" s="125" t="n"/>
      <c r="L311" s="14" t="n"/>
      <c r="M311" s="16" t="n"/>
      <c r="N311" s="125" t="n"/>
      <c r="O311" s="14" t="n"/>
      <c r="P311" s="16" t="n"/>
      <c r="Q311" s="125" t="n"/>
      <c r="R311" s="14" t="n"/>
      <c r="S311" s="16" t="n"/>
      <c r="T311" s="125" t="n"/>
      <c r="U311" s="14" t="n"/>
      <c r="V311" s="16" t="n"/>
      <c r="W311" s="125" t="n"/>
      <c r="X311" s="14" t="n"/>
      <c r="Y311" s="16" t="n"/>
      <c r="Z311" s="125" t="n"/>
      <c r="AA311" s="14" t="n"/>
      <c r="AB311" s="16" t="n"/>
      <c r="AC311" s="125" t="n"/>
      <c r="AD311" s="14" t="n"/>
    </row>
    <row r="312">
      <c r="A312" s="56" t="n"/>
      <c r="B312" s="59" t="n"/>
      <c r="C312" s="59" t="n"/>
      <c r="E312" s="16" t="n"/>
      <c r="F312" s="13" t="n"/>
      <c r="G312" s="16" t="n"/>
      <c r="H312" s="125" t="n"/>
      <c r="I312" s="14" t="n"/>
      <c r="J312" s="16" t="n"/>
      <c r="K312" s="125" t="n"/>
      <c r="L312" s="14" t="n"/>
      <c r="M312" s="16" t="n"/>
      <c r="N312" s="125" t="n"/>
      <c r="O312" s="14" t="n"/>
      <c r="P312" s="16" t="n"/>
      <c r="Q312" s="125" t="n"/>
      <c r="R312" s="14" t="n"/>
      <c r="S312" s="16" t="n"/>
      <c r="T312" s="125" t="n"/>
      <c r="U312" s="14" t="n"/>
      <c r="V312" s="16" t="n"/>
      <c r="W312" s="125" t="n"/>
      <c r="X312" s="14" t="n"/>
      <c r="Y312" s="16" t="n"/>
      <c r="Z312" s="125" t="n"/>
      <c r="AA312" s="14" t="n"/>
      <c r="AB312" s="16" t="n"/>
      <c r="AC312" s="125" t="n"/>
      <c r="AD312" s="14" t="n"/>
    </row>
    <row r="313">
      <c r="A313" s="58" t="n"/>
      <c r="B313" s="59" t="n"/>
      <c r="C313" s="59" t="n"/>
      <c r="E313" s="16" t="n"/>
      <c r="F313" s="13" t="n"/>
      <c r="G313" s="16" t="n"/>
      <c r="H313" s="125" t="n"/>
      <c r="I313" s="14" t="n"/>
      <c r="J313" s="16" t="n"/>
      <c r="K313" s="125" t="n"/>
      <c r="L313" s="14" t="n"/>
      <c r="M313" s="16" t="n"/>
      <c r="N313" s="125" t="n"/>
      <c r="O313" s="14" t="n"/>
      <c r="P313" s="16" t="n"/>
      <c r="Q313" s="125" t="n"/>
      <c r="R313" s="14" t="n"/>
      <c r="S313" s="16" t="n"/>
      <c r="T313" s="125" t="n"/>
      <c r="U313" s="14" t="n"/>
      <c r="V313" s="16" t="n"/>
      <c r="W313" s="125" t="n"/>
      <c r="X313" s="14" t="n"/>
      <c r="Y313" s="16" t="n"/>
      <c r="Z313" s="125" t="n"/>
      <c r="AA313" s="14" t="n"/>
      <c r="AB313" s="16" t="n"/>
      <c r="AC313" s="125" t="n"/>
      <c r="AD313" s="14" t="n"/>
    </row>
    <row r="314">
      <c r="A314" s="56" t="n"/>
      <c r="B314" s="59" t="n"/>
      <c r="C314" s="59" t="n"/>
      <c r="E314" s="16" t="n"/>
      <c r="F314" s="13" t="n"/>
      <c r="G314" s="16" t="n"/>
      <c r="H314" s="125" t="n"/>
      <c r="I314" s="14" t="n"/>
      <c r="J314" s="16" t="n"/>
      <c r="K314" s="125" t="n"/>
      <c r="L314" s="14" t="n"/>
      <c r="M314" s="16" t="n"/>
      <c r="N314" s="125" t="n"/>
      <c r="O314" s="14" t="n"/>
      <c r="P314" s="16" t="n"/>
      <c r="Q314" s="125" t="n"/>
      <c r="R314" s="14" t="n"/>
      <c r="S314" s="16" t="n"/>
      <c r="T314" s="125" t="n"/>
      <c r="U314" s="14" t="n"/>
      <c r="V314" s="16" t="n"/>
      <c r="W314" s="125" t="n"/>
      <c r="X314" s="14" t="n"/>
      <c r="Y314" s="16" t="n"/>
      <c r="Z314" s="125" t="n"/>
      <c r="AA314" s="14" t="n"/>
      <c r="AB314" s="16" t="n"/>
      <c r="AC314" s="125" t="n"/>
      <c r="AD314" s="14" t="n"/>
    </row>
    <row r="315">
      <c r="A315" s="58" t="n"/>
      <c r="B315" s="59" t="n"/>
      <c r="C315" s="59" t="n"/>
      <c r="E315" s="16" t="n"/>
      <c r="F315" s="13" t="n"/>
      <c r="G315" s="16" t="n"/>
      <c r="H315" s="125" t="n"/>
      <c r="I315" s="14" t="n"/>
      <c r="J315" s="16" t="n"/>
      <c r="K315" s="125" t="n"/>
      <c r="L315" s="14" t="n"/>
      <c r="M315" s="16" t="n"/>
      <c r="N315" s="125" t="n"/>
      <c r="O315" s="14" t="n"/>
      <c r="P315" s="16" t="n"/>
      <c r="Q315" s="125" t="n"/>
      <c r="R315" s="14" t="n"/>
      <c r="S315" s="16" t="n"/>
      <c r="T315" s="125" t="n"/>
      <c r="U315" s="14" t="n"/>
      <c r="V315" s="16" t="n"/>
      <c r="W315" s="125" t="n"/>
      <c r="X315" s="14" t="n"/>
      <c r="Y315" s="16" t="n"/>
      <c r="Z315" s="125" t="n"/>
      <c r="AA315" s="14" t="n"/>
      <c r="AB315" s="16" t="n"/>
      <c r="AC315" s="125" t="n"/>
      <c r="AD315" s="14" t="n"/>
    </row>
    <row r="316">
      <c r="A316" s="56" t="n"/>
      <c r="B316" s="59" t="n"/>
      <c r="C316" s="59" t="n"/>
      <c r="E316" s="16" t="n"/>
      <c r="F316" s="13" t="n"/>
      <c r="G316" s="16" t="n"/>
      <c r="H316" s="125" t="n"/>
      <c r="I316" s="14" t="n"/>
      <c r="J316" s="16" t="n"/>
      <c r="K316" s="125" t="n"/>
      <c r="L316" s="14" t="n"/>
      <c r="M316" s="16" t="n"/>
      <c r="N316" s="125" t="n"/>
      <c r="O316" s="14" t="n"/>
      <c r="P316" s="16" t="n"/>
      <c r="Q316" s="125" t="n"/>
      <c r="R316" s="14" t="n"/>
      <c r="S316" s="16" t="n"/>
      <c r="T316" s="125" t="n"/>
      <c r="U316" s="14" t="n"/>
      <c r="V316" s="16" t="n"/>
      <c r="W316" s="125" t="n"/>
      <c r="X316" s="14" t="n"/>
      <c r="Y316" s="16" t="n"/>
      <c r="Z316" s="125" t="n"/>
      <c r="AA316" s="14" t="n"/>
      <c r="AB316" s="16" t="n"/>
      <c r="AC316" s="125" t="n"/>
      <c r="AD316" s="14" t="n"/>
    </row>
    <row r="317">
      <c r="A317" s="58" t="n"/>
      <c r="B317" s="59" t="n"/>
      <c r="C317" s="59" t="n"/>
      <c r="E317" s="16" t="n"/>
      <c r="F317" s="13" t="n"/>
      <c r="G317" s="16" t="n"/>
      <c r="H317" s="125" t="n"/>
      <c r="I317" s="14" t="n"/>
      <c r="J317" s="16" t="n"/>
      <c r="K317" s="125" t="n"/>
      <c r="L317" s="14" t="n"/>
      <c r="M317" s="16" t="n"/>
      <c r="N317" s="125" t="n"/>
      <c r="O317" s="14" t="n"/>
      <c r="P317" s="16" t="n"/>
      <c r="Q317" s="125" t="n"/>
      <c r="R317" s="14" t="n"/>
      <c r="S317" s="16" t="n"/>
      <c r="T317" s="125" t="n"/>
      <c r="U317" s="14" t="n"/>
      <c r="V317" s="16" t="n"/>
      <c r="W317" s="125" t="n"/>
      <c r="X317" s="14" t="n"/>
      <c r="Y317" s="16" t="n"/>
      <c r="Z317" s="125" t="n"/>
      <c r="AA317" s="14" t="n"/>
      <c r="AB317" s="16" t="n"/>
      <c r="AC317" s="125" t="n"/>
      <c r="AD317" s="14" t="n"/>
    </row>
    <row r="318">
      <c r="A318" s="56" t="n"/>
      <c r="B318" s="59" t="n"/>
      <c r="C318" s="59" t="n"/>
      <c r="E318" s="16" t="n"/>
      <c r="F318" s="13" t="n"/>
      <c r="G318" s="16" t="n"/>
      <c r="H318" s="125" t="n"/>
      <c r="I318" s="14" t="n"/>
      <c r="J318" s="16" t="n"/>
      <c r="K318" s="125" t="n"/>
      <c r="L318" s="14" t="n"/>
      <c r="M318" s="16" t="n"/>
      <c r="N318" s="125" t="n"/>
      <c r="O318" s="14" t="n"/>
      <c r="P318" s="16" t="n"/>
      <c r="Q318" s="125" t="n"/>
      <c r="R318" s="14" t="n"/>
      <c r="S318" s="16" t="n"/>
      <c r="T318" s="125" t="n"/>
      <c r="U318" s="14" t="n"/>
      <c r="V318" s="16" t="n"/>
      <c r="W318" s="125" t="n"/>
      <c r="X318" s="14" t="n"/>
      <c r="Y318" s="16" t="n"/>
      <c r="Z318" s="125" t="n"/>
      <c r="AA318" s="14" t="n"/>
      <c r="AB318" s="16" t="n"/>
      <c r="AC318" s="125" t="n"/>
      <c r="AD318" s="14" t="n"/>
    </row>
    <row r="319">
      <c r="A319" s="58" t="n"/>
      <c r="B319" s="59" t="n"/>
      <c r="C319" s="59" t="n"/>
      <c r="E319" s="16" t="n"/>
      <c r="F319" s="13" t="n"/>
      <c r="G319" s="16" t="n"/>
      <c r="H319" s="125" t="n"/>
      <c r="I319" s="14" t="n"/>
      <c r="J319" s="16" t="n"/>
      <c r="K319" s="125" t="n"/>
      <c r="L319" s="14" t="n"/>
      <c r="M319" s="16" t="n"/>
      <c r="N319" s="125" t="n"/>
      <c r="O319" s="14" t="n"/>
      <c r="P319" s="16" t="n"/>
      <c r="Q319" s="125" t="n"/>
      <c r="R319" s="14" t="n"/>
      <c r="S319" s="16" t="n"/>
      <c r="T319" s="125" t="n"/>
      <c r="U319" s="14" t="n"/>
      <c r="V319" s="16" t="n"/>
      <c r="W319" s="125" t="n"/>
      <c r="X319" s="14" t="n"/>
      <c r="Y319" s="16" t="n"/>
      <c r="Z319" s="125" t="n"/>
      <c r="AA319" s="14" t="n"/>
      <c r="AB319" s="16" t="n"/>
      <c r="AC319" s="125" t="n"/>
      <c r="AD319" s="14" t="n"/>
    </row>
    <row r="320">
      <c r="A320" s="56" t="n"/>
      <c r="B320" s="59" t="n"/>
      <c r="C320" s="59" t="n"/>
      <c r="E320" s="16" t="n"/>
      <c r="F320" s="13" t="n"/>
      <c r="G320" s="16" t="n"/>
      <c r="H320" s="125" t="n"/>
      <c r="I320" s="14" t="n"/>
      <c r="J320" s="16" t="n"/>
      <c r="K320" s="125" t="n"/>
      <c r="L320" s="14" t="n"/>
      <c r="M320" s="16" t="n"/>
      <c r="N320" s="125" t="n"/>
      <c r="O320" s="14" t="n"/>
      <c r="P320" s="16" t="n"/>
      <c r="Q320" s="125" t="n"/>
      <c r="R320" s="14" t="n"/>
      <c r="S320" s="16" t="n"/>
      <c r="T320" s="125" t="n"/>
      <c r="U320" s="14" t="n"/>
      <c r="V320" s="16" t="n"/>
      <c r="W320" s="125" t="n"/>
      <c r="X320" s="14" t="n"/>
      <c r="Y320" s="16" t="n"/>
      <c r="Z320" s="125" t="n"/>
      <c r="AA320" s="14" t="n"/>
      <c r="AB320" s="16" t="n"/>
      <c r="AC320" s="125" t="n"/>
      <c r="AD320" s="14" t="n"/>
    </row>
    <row r="321">
      <c r="A321" s="58" t="n"/>
      <c r="B321" s="59" t="n"/>
      <c r="C321" s="59" t="n"/>
      <c r="E321" s="16" t="n"/>
      <c r="F321" s="13" t="n"/>
      <c r="G321" s="16" t="n"/>
      <c r="H321" s="125" t="n"/>
      <c r="I321" s="14" t="n"/>
      <c r="J321" s="16" t="n"/>
      <c r="K321" s="125" t="n"/>
      <c r="L321" s="14" t="n"/>
      <c r="M321" s="16" t="n"/>
      <c r="N321" s="125" t="n"/>
      <c r="O321" s="14" t="n"/>
      <c r="P321" s="16" t="n"/>
      <c r="Q321" s="125" t="n"/>
      <c r="R321" s="14" t="n"/>
      <c r="S321" s="16" t="n"/>
      <c r="T321" s="125" t="n"/>
      <c r="U321" s="14" t="n"/>
      <c r="V321" s="16" t="n"/>
      <c r="W321" s="125" t="n"/>
      <c r="X321" s="14" t="n"/>
      <c r="Y321" s="16" t="n"/>
      <c r="Z321" s="125" t="n"/>
      <c r="AA321" s="14" t="n"/>
      <c r="AB321" s="16" t="n"/>
      <c r="AC321" s="125" t="n"/>
      <c r="AD321" s="14" t="n"/>
    </row>
    <row r="322">
      <c r="A322" s="56" t="n"/>
      <c r="B322" s="59" t="n"/>
      <c r="C322" s="59" t="n"/>
      <c r="E322" s="16" t="n"/>
      <c r="F322" s="13" t="n"/>
      <c r="G322" s="16" t="n"/>
      <c r="H322" s="125" t="n"/>
      <c r="I322" s="14" t="n"/>
      <c r="J322" s="16" t="n"/>
      <c r="K322" s="125" t="n"/>
      <c r="L322" s="14" t="n"/>
      <c r="M322" s="16" t="n"/>
      <c r="N322" s="125" t="n"/>
      <c r="O322" s="14" t="n"/>
      <c r="P322" s="16" t="n"/>
      <c r="Q322" s="125" t="n"/>
      <c r="R322" s="14" t="n"/>
      <c r="S322" s="16" t="n"/>
      <c r="T322" s="125" t="n"/>
      <c r="U322" s="14" t="n"/>
      <c r="V322" s="16" t="n"/>
      <c r="W322" s="125" t="n"/>
      <c r="X322" s="14" t="n"/>
      <c r="Y322" s="16" t="n"/>
      <c r="Z322" s="125" t="n"/>
      <c r="AA322" s="14" t="n"/>
      <c r="AB322" s="16" t="n"/>
      <c r="AC322" s="125" t="n"/>
      <c r="AD322" s="14" t="n"/>
    </row>
    <row r="323">
      <c r="A323" s="58" t="n"/>
      <c r="B323" s="59" t="n"/>
      <c r="C323" s="59" t="n"/>
      <c r="E323" s="16" t="n"/>
      <c r="F323" s="13" t="n"/>
      <c r="G323" s="16" t="n"/>
      <c r="H323" s="125" t="n"/>
      <c r="I323" s="14" t="n"/>
      <c r="J323" s="16" t="n"/>
      <c r="K323" s="125" t="n"/>
      <c r="L323" s="14" t="n"/>
      <c r="M323" s="16" t="n"/>
      <c r="N323" s="125" t="n"/>
      <c r="O323" s="14" t="n"/>
      <c r="P323" s="16" t="n"/>
      <c r="Q323" s="125" t="n"/>
      <c r="R323" s="14" t="n"/>
      <c r="S323" s="16" t="n"/>
      <c r="T323" s="125" t="n"/>
      <c r="U323" s="14" t="n"/>
      <c r="V323" s="16" t="n"/>
      <c r="W323" s="125" t="n"/>
      <c r="X323" s="14" t="n"/>
      <c r="Y323" s="16" t="n"/>
      <c r="Z323" s="125" t="n"/>
      <c r="AA323" s="14" t="n"/>
      <c r="AB323" s="16" t="n"/>
      <c r="AC323" s="125" t="n"/>
      <c r="AD323" s="14" t="n"/>
    </row>
    <row r="324">
      <c r="A324" s="56" t="n"/>
      <c r="B324" s="59" t="n"/>
      <c r="C324" s="59" t="n"/>
      <c r="E324" s="16" t="n"/>
      <c r="F324" s="13" t="n"/>
      <c r="G324" s="16" t="n"/>
      <c r="H324" s="125" t="n"/>
      <c r="I324" s="14" t="n"/>
      <c r="J324" s="16" t="n"/>
      <c r="K324" s="125" t="n"/>
      <c r="L324" s="14" t="n"/>
      <c r="M324" s="16" t="n"/>
      <c r="N324" s="125" t="n"/>
      <c r="O324" s="14" t="n"/>
      <c r="P324" s="16" t="n"/>
      <c r="Q324" s="125" t="n"/>
      <c r="R324" s="14" t="n"/>
      <c r="S324" s="16" t="n"/>
      <c r="T324" s="125" t="n"/>
      <c r="U324" s="14" t="n"/>
      <c r="V324" s="16" t="n"/>
      <c r="W324" s="125" t="n"/>
      <c r="X324" s="14" t="n"/>
      <c r="Y324" s="16" t="n"/>
      <c r="Z324" s="125" t="n"/>
      <c r="AA324" s="14" t="n"/>
      <c r="AB324" s="16" t="n"/>
      <c r="AC324" s="125" t="n"/>
      <c r="AD324" s="14" t="n"/>
    </row>
    <row r="325">
      <c r="A325" s="58" t="n"/>
      <c r="B325" s="59" t="n"/>
      <c r="C325" s="59" t="n"/>
      <c r="E325" s="16" t="n"/>
      <c r="F325" s="13" t="n"/>
      <c r="G325" s="16" t="n"/>
      <c r="H325" s="125" t="n"/>
      <c r="I325" s="14" t="n"/>
      <c r="J325" s="16" t="n"/>
      <c r="K325" s="125" t="n"/>
      <c r="L325" s="14" t="n"/>
      <c r="M325" s="16" t="n"/>
      <c r="N325" s="125" t="n"/>
      <c r="O325" s="14" t="n"/>
      <c r="P325" s="16" t="n"/>
      <c r="Q325" s="125" t="n"/>
      <c r="R325" s="14" t="n"/>
      <c r="S325" s="16" t="n"/>
      <c r="T325" s="125" t="n"/>
      <c r="U325" s="14" t="n"/>
      <c r="V325" s="16" t="n"/>
      <c r="W325" s="125" t="n"/>
      <c r="X325" s="14" t="n"/>
      <c r="Y325" s="16" t="n"/>
      <c r="Z325" s="125" t="n"/>
      <c r="AA325" s="14" t="n"/>
      <c r="AB325" s="16" t="n"/>
      <c r="AC325" s="125" t="n"/>
      <c r="AD325" s="14" t="n"/>
    </row>
    <row r="326">
      <c r="A326" s="56" t="n"/>
      <c r="B326" s="59" t="n"/>
      <c r="C326" s="59" t="n"/>
      <c r="E326" s="16" t="n"/>
      <c r="F326" s="13" t="n"/>
      <c r="G326" s="16" t="n"/>
      <c r="H326" s="125" t="n"/>
      <c r="I326" s="14" t="n"/>
      <c r="J326" s="16" t="n"/>
      <c r="K326" s="125" t="n"/>
      <c r="L326" s="14" t="n"/>
      <c r="M326" s="16" t="n"/>
      <c r="N326" s="125" t="n"/>
      <c r="O326" s="14" t="n"/>
      <c r="P326" s="16" t="n"/>
      <c r="Q326" s="125" t="n"/>
      <c r="R326" s="14" t="n"/>
      <c r="S326" s="16" t="n"/>
      <c r="T326" s="125" t="n"/>
      <c r="U326" s="14" t="n"/>
      <c r="V326" s="16" t="n"/>
      <c r="W326" s="125" t="n"/>
      <c r="X326" s="14" t="n"/>
      <c r="Y326" s="16" t="n"/>
      <c r="Z326" s="125" t="n"/>
      <c r="AA326" s="14" t="n"/>
      <c r="AB326" s="16" t="n"/>
      <c r="AC326" s="125" t="n"/>
      <c r="AD326" s="14" t="n"/>
    </row>
    <row r="327">
      <c r="A327" s="58" t="n"/>
      <c r="B327" s="59" t="n"/>
      <c r="C327" s="59" t="n"/>
      <c r="E327" s="16" t="n"/>
      <c r="F327" s="13" t="n"/>
      <c r="G327" s="16" t="n"/>
      <c r="H327" s="125" t="n"/>
      <c r="I327" s="14" t="n"/>
      <c r="J327" s="16" t="n"/>
      <c r="K327" s="125" t="n"/>
      <c r="L327" s="14" t="n"/>
      <c r="M327" s="16" t="n"/>
      <c r="N327" s="125" t="n"/>
      <c r="O327" s="14" t="n"/>
      <c r="P327" s="16" t="n"/>
      <c r="Q327" s="125" t="n"/>
      <c r="R327" s="14" t="n"/>
      <c r="S327" s="16" t="n"/>
      <c r="T327" s="125" t="n"/>
      <c r="U327" s="14" t="n"/>
      <c r="V327" s="16" t="n"/>
      <c r="W327" s="125" t="n"/>
      <c r="X327" s="14" t="n"/>
      <c r="Y327" s="16" t="n"/>
      <c r="Z327" s="125" t="n"/>
      <c r="AA327" s="14" t="n"/>
      <c r="AB327" s="16" t="n"/>
      <c r="AC327" s="125" t="n"/>
      <c r="AD327" s="14" t="n"/>
    </row>
    <row r="328">
      <c r="A328" s="56" t="n"/>
      <c r="B328" s="59" t="n"/>
      <c r="C328" s="59" t="n"/>
      <c r="E328" s="16" t="n"/>
      <c r="F328" s="13" t="n"/>
      <c r="G328" s="16" t="n"/>
      <c r="H328" s="125" t="n"/>
      <c r="I328" s="14" t="n"/>
      <c r="J328" s="16" t="n"/>
      <c r="K328" s="125" t="n"/>
      <c r="L328" s="14" t="n"/>
      <c r="M328" s="16" t="n"/>
      <c r="N328" s="125" t="n"/>
      <c r="O328" s="14" t="n"/>
      <c r="P328" s="16" t="n"/>
      <c r="Q328" s="125" t="n"/>
      <c r="R328" s="14" t="n"/>
      <c r="S328" s="16" t="n"/>
      <c r="T328" s="125" t="n"/>
      <c r="U328" s="14" t="n"/>
      <c r="V328" s="16" t="n"/>
      <c r="W328" s="125" t="n"/>
      <c r="X328" s="14" t="n"/>
      <c r="Y328" s="16" t="n"/>
      <c r="Z328" s="125" t="n"/>
      <c r="AA328" s="14" t="n"/>
      <c r="AB328" s="16" t="n"/>
      <c r="AC328" s="125" t="n"/>
      <c r="AD328" s="14" t="n"/>
    </row>
    <row r="329">
      <c r="A329" s="58" t="n"/>
      <c r="B329" s="59" t="n"/>
      <c r="C329" s="59" t="n"/>
      <c r="E329" s="16" t="n"/>
      <c r="F329" s="13" t="n"/>
      <c r="G329" s="16" t="n"/>
      <c r="H329" s="125" t="n"/>
      <c r="I329" s="14" t="n"/>
      <c r="J329" s="16" t="n"/>
      <c r="K329" s="125" t="n"/>
      <c r="L329" s="14" t="n"/>
      <c r="M329" s="16" t="n"/>
      <c r="N329" s="125" t="n"/>
      <c r="O329" s="14" t="n"/>
      <c r="P329" s="16" t="n"/>
      <c r="Q329" s="125" t="n"/>
      <c r="R329" s="14" t="n"/>
      <c r="S329" s="16" t="n"/>
      <c r="T329" s="125" t="n"/>
      <c r="U329" s="14" t="n"/>
      <c r="V329" s="16" t="n"/>
      <c r="W329" s="125" t="n"/>
      <c r="X329" s="14" t="n"/>
      <c r="Y329" s="16" t="n"/>
      <c r="Z329" s="125" t="n"/>
      <c r="AA329" s="14" t="n"/>
      <c r="AB329" s="16" t="n"/>
      <c r="AC329" s="125" t="n"/>
      <c r="AD329" s="14" t="n"/>
    </row>
    <row r="330">
      <c r="A330" s="56" t="n"/>
      <c r="B330" s="59" t="n"/>
      <c r="C330" s="59" t="n"/>
      <c r="E330" s="16" t="n"/>
      <c r="F330" s="13" t="n"/>
      <c r="G330" s="16" t="n"/>
      <c r="H330" s="125" t="n"/>
      <c r="I330" s="14" t="n"/>
      <c r="J330" s="16" t="n"/>
      <c r="K330" s="125" t="n"/>
      <c r="L330" s="14" t="n"/>
      <c r="M330" s="16" t="n"/>
      <c r="N330" s="125" t="n"/>
      <c r="O330" s="14" t="n"/>
      <c r="P330" s="16" t="n"/>
      <c r="Q330" s="125" t="n"/>
      <c r="R330" s="14" t="n"/>
      <c r="S330" s="16" t="n"/>
      <c r="T330" s="125" t="n"/>
      <c r="U330" s="14" t="n"/>
      <c r="V330" s="16" t="n"/>
      <c r="W330" s="125" t="n"/>
      <c r="X330" s="14" t="n"/>
      <c r="Y330" s="16" t="n"/>
      <c r="Z330" s="125" t="n"/>
      <c r="AA330" s="14" t="n"/>
      <c r="AB330" s="16" t="n"/>
      <c r="AC330" s="125" t="n"/>
      <c r="AD330" s="14" t="n"/>
    </row>
    <row r="331">
      <c r="A331" s="58" t="n"/>
      <c r="B331" s="59" t="n"/>
      <c r="C331" s="59" t="n"/>
      <c r="E331" s="16" t="n"/>
      <c r="F331" s="13" t="n"/>
      <c r="G331" s="16" t="n"/>
      <c r="H331" s="125" t="n"/>
      <c r="I331" s="14" t="n"/>
      <c r="J331" s="16" t="n"/>
      <c r="K331" s="125" t="n"/>
      <c r="L331" s="14" t="n"/>
      <c r="M331" s="16" t="n"/>
      <c r="N331" s="125" t="n"/>
      <c r="O331" s="14" t="n"/>
      <c r="P331" s="16" t="n"/>
      <c r="Q331" s="125" t="n"/>
      <c r="R331" s="14" t="n"/>
      <c r="S331" s="16" t="n"/>
      <c r="T331" s="125" t="n"/>
      <c r="U331" s="14" t="n"/>
      <c r="V331" s="16" t="n"/>
      <c r="W331" s="125" t="n"/>
      <c r="X331" s="14" t="n"/>
      <c r="Y331" s="16" t="n"/>
      <c r="Z331" s="125" t="n"/>
      <c r="AA331" s="14" t="n"/>
      <c r="AB331" s="16" t="n"/>
      <c r="AC331" s="125" t="n"/>
      <c r="AD331" s="14" t="n"/>
    </row>
    <row r="332">
      <c r="A332" s="56" t="n"/>
      <c r="B332" s="59" t="n"/>
      <c r="C332" s="59" t="n"/>
      <c r="E332" s="16" t="n"/>
      <c r="F332" s="13" t="n"/>
      <c r="G332" s="16" t="n"/>
      <c r="H332" s="125" t="n"/>
      <c r="I332" s="14" t="n"/>
      <c r="J332" s="16" t="n"/>
      <c r="K332" s="125" t="n"/>
      <c r="L332" s="14" t="n"/>
      <c r="M332" s="16" t="n"/>
      <c r="N332" s="125" t="n"/>
      <c r="O332" s="14" t="n"/>
      <c r="P332" s="16" t="n"/>
      <c r="Q332" s="125" t="n"/>
      <c r="R332" s="14" t="n"/>
      <c r="S332" s="16" t="n"/>
      <c r="T332" s="125" t="n"/>
      <c r="U332" s="14" t="n"/>
      <c r="V332" s="16" t="n"/>
      <c r="W332" s="125" t="n"/>
      <c r="X332" s="14" t="n"/>
      <c r="Y332" s="16" t="n"/>
      <c r="Z332" s="125" t="n"/>
      <c r="AA332" s="14" t="n"/>
      <c r="AB332" s="16" t="n"/>
      <c r="AC332" s="125" t="n"/>
      <c r="AD332" s="14" t="n"/>
    </row>
    <row r="333">
      <c r="A333" s="58" t="n"/>
      <c r="B333" s="59" t="n"/>
      <c r="C333" s="59" t="n"/>
      <c r="E333" s="16" t="n"/>
      <c r="F333" s="13" t="n"/>
      <c r="G333" s="16" t="n"/>
      <c r="H333" s="125" t="n"/>
      <c r="I333" s="14" t="n"/>
      <c r="J333" s="16" t="n"/>
      <c r="K333" s="125" t="n"/>
      <c r="L333" s="14" t="n"/>
      <c r="M333" s="16" t="n"/>
      <c r="N333" s="125" t="n"/>
      <c r="O333" s="14" t="n"/>
      <c r="P333" s="16" t="n"/>
      <c r="Q333" s="125" t="n"/>
      <c r="R333" s="14" t="n"/>
      <c r="S333" s="16" t="n"/>
      <c r="T333" s="125" t="n"/>
      <c r="U333" s="14" t="n"/>
      <c r="V333" s="16" t="n"/>
      <c r="W333" s="125" t="n"/>
      <c r="X333" s="14" t="n"/>
      <c r="Y333" s="16" t="n"/>
      <c r="Z333" s="125" t="n"/>
      <c r="AA333" s="14" t="n"/>
      <c r="AB333" s="16" t="n"/>
      <c r="AC333" s="125" t="n"/>
      <c r="AD333" s="14" t="n"/>
    </row>
    <row r="334">
      <c r="A334" s="56" t="n"/>
      <c r="B334" s="59" t="n"/>
      <c r="C334" s="59" t="n"/>
      <c r="E334" s="16" t="n"/>
      <c r="F334" s="13" t="n"/>
      <c r="G334" s="16" t="n"/>
      <c r="H334" s="125" t="n"/>
      <c r="I334" s="14" t="n"/>
      <c r="J334" s="16" t="n"/>
      <c r="K334" s="125" t="n"/>
      <c r="L334" s="14" t="n"/>
      <c r="M334" s="16" t="n"/>
      <c r="N334" s="125" t="n"/>
      <c r="O334" s="14" t="n"/>
      <c r="P334" s="16" t="n"/>
      <c r="Q334" s="125" t="n"/>
      <c r="R334" s="14" t="n"/>
      <c r="S334" s="16" t="n"/>
      <c r="T334" s="125" t="n"/>
      <c r="U334" s="14" t="n"/>
      <c r="V334" s="16" t="n"/>
      <c r="W334" s="125" t="n"/>
      <c r="X334" s="14" t="n"/>
      <c r="Y334" s="16" t="n"/>
      <c r="Z334" s="125" t="n"/>
      <c r="AA334" s="14" t="n"/>
      <c r="AB334" s="16" t="n"/>
      <c r="AC334" s="125" t="n"/>
      <c r="AD334" s="14" t="n"/>
    </row>
    <row r="335">
      <c r="A335" s="58" t="n"/>
      <c r="B335" s="59" t="n"/>
      <c r="C335" s="59" t="n"/>
      <c r="E335" s="16" t="n"/>
      <c r="F335" s="13" t="n"/>
      <c r="G335" s="16" t="n"/>
      <c r="H335" s="125" t="n"/>
      <c r="I335" s="14" t="n"/>
      <c r="J335" s="16" t="n"/>
      <c r="K335" s="125" t="n"/>
      <c r="L335" s="14" t="n"/>
      <c r="M335" s="16" t="n"/>
      <c r="N335" s="125" t="n"/>
      <c r="O335" s="14" t="n"/>
      <c r="P335" s="16" t="n"/>
      <c r="Q335" s="125" t="n"/>
      <c r="R335" s="14" t="n"/>
      <c r="S335" s="16" t="n"/>
      <c r="T335" s="125" t="n"/>
      <c r="U335" s="14" t="n"/>
      <c r="V335" s="16" t="n"/>
      <c r="W335" s="125" t="n"/>
      <c r="X335" s="14" t="n"/>
      <c r="Y335" s="16" t="n"/>
      <c r="Z335" s="125" t="n"/>
      <c r="AA335" s="14" t="n"/>
      <c r="AB335" s="16" t="n"/>
      <c r="AC335" s="125" t="n"/>
      <c r="AD335" s="14" t="n"/>
    </row>
    <row r="336">
      <c r="A336" s="56" t="n"/>
      <c r="B336" s="59" t="n"/>
      <c r="C336" s="59" t="n"/>
      <c r="E336" s="16" t="n"/>
      <c r="F336" s="13" t="n"/>
      <c r="G336" s="16" t="n"/>
      <c r="H336" s="125" t="n"/>
      <c r="I336" s="14" t="n"/>
      <c r="J336" s="16" t="n"/>
      <c r="K336" s="125" t="n"/>
      <c r="L336" s="14" t="n"/>
      <c r="M336" s="16" t="n"/>
      <c r="N336" s="125" t="n"/>
      <c r="O336" s="14" t="n"/>
      <c r="P336" s="16" t="n"/>
      <c r="Q336" s="125" t="n"/>
      <c r="R336" s="14" t="n"/>
      <c r="S336" s="16" t="n"/>
      <c r="T336" s="125" t="n"/>
      <c r="U336" s="14" t="n"/>
      <c r="V336" s="16" t="n"/>
      <c r="W336" s="125" t="n"/>
      <c r="X336" s="14" t="n"/>
      <c r="Y336" s="16" t="n"/>
      <c r="Z336" s="125" t="n"/>
      <c r="AA336" s="14" t="n"/>
      <c r="AB336" s="16" t="n"/>
      <c r="AC336" s="125" t="n"/>
      <c r="AD336" s="14" t="n"/>
    </row>
    <row r="337">
      <c r="A337" s="58" t="n"/>
      <c r="B337" s="59" t="n"/>
      <c r="C337" s="59" t="n"/>
      <c r="E337" s="16" t="n"/>
      <c r="F337" s="13" t="n"/>
      <c r="G337" s="16" t="n"/>
      <c r="H337" s="125" t="n"/>
      <c r="I337" s="14" t="n"/>
      <c r="J337" s="16" t="n"/>
      <c r="K337" s="125" t="n"/>
      <c r="L337" s="14" t="n"/>
      <c r="M337" s="16" t="n"/>
      <c r="N337" s="125" t="n"/>
      <c r="O337" s="14" t="n"/>
      <c r="P337" s="16" t="n"/>
      <c r="Q337" s="125" t="n"/>
      <c r="R337" s="14" t="n"/>
      <c r="S337" s="16" t="n"/>
      <c r="T337" s="125" t="n"/>
      <c r="U337" s="14" t="n"/>
      <c r="V337" s="16" t="n"/>
      <c r="W337" s="125" t="n"/>
      <c r="X337" s="14" t="n"/>
      <c r="Y337" s="16" t="n"/>
      <c r="Z337" s="125" t="n"/>
      <c r="AA337" s="14" t="n"/>
      <c r="AB337" s="16" t="n"/>
      <c r="AC337" s="125" t="n"/>
      <c r="AD337" s="14" t="n"/>
    </row>
    <row r="338">
      <c r="A338" s="56" t="n"/>
      <c r="B338" s="59" t="n"/>
      <c r="C338" s="59" t="n"/>
      <c r="E338" s="16" t="n"/>
      <c r="F338" s="13" t="n"/>
      <c r="G338" s="16" t="n"/>
      <c r="H338" s="125" t="n"/>
      <c r="I338" s="14" t="n"/>
      <c r="J338" s="16" t="n"/>
      <c r="K338" s="125" t="n"/>
      <c r="L338" s="14" t="n"/>
      <c r="M338" s="16" t="n"/>
      <c r="N338" s="125" t="n"/>
      <c r="O338" s="14" t="n"/>
      <c r="P338" s="16" t="n"/>
      <c r="Q338" s="125" t="n"/>
      <c r="R338" s="14" t="n"/>
      <c r="S338" s="16" t="n"/>
      <c r="T338" s="125" t="n"/>
      <c r="U338" s="14" t="n"/>
      <c r="V338" s="16" t="n"/>
      <c r="W338" s="125" t="n"/>
      <c r="X338" s="14" t="n"/>
      <c r="Y338" s="16" t="n"/>
      <c r="Z338" s="125" t="n"/>
      <c r="AA338" s="14" t="n"/>
      <c r="AB338" s="16" t="n"/>
      <c r="AC338" s="125" t="n"/>
      <c r="AD338" s="14" t="n"/>
    </row>
    <row r="339">
      <c r="A339" s="58" t="n"/>
      <c r="B339" s="59" t="n"/>
      <c r="C339" s="59" t="n"/>
      <c r="E339" s="16" t="n"/>
      <c r="F339" s="13" t="n"/>
      <c r="G339" s="16" t="n"/>
      <c r="H339" s="125" t="n"/>
      <c r="I339" s="14" t="n"/>
      <c r="J339" s="16" t="n"/>
      <c r="K339" s="125" t="n"/>
      <c r="L339" s="14" t="n"/>
      <c r="M339" s="16" t="n"/>
      <c r="N339" s="125" t="n"/>
      <c r="O339" s="14" t="n"/>
      <c r="P339" s="16" t="n"/>
      <c r="Q339" s="125" t="n"/>
      <c r="R339" s="14" t="n"/>
      <c r="S339" s="16" t="n"/>
      <c r="T339" s="125" t="n"/>
      <c r="U339" s="14" t="n"/>
      <c r="V339" s="16" t="n"/>
      <c r="W339" s="125" t="n"/>
      <c r="X339" s="14" t="n"/>
      <c r="Y339" s="16" t="n"/>
      <c r="Z339" s="125" t="n"/>
      <c r="AA339" s="14" t="n"/>
      <c r="AB339" s="16" t="n"/>
      <c r="AC339" s="125" t="n"/>
      <c r="AD339" s="14" t="n"/>
    </row>
    <row r="340">
      <c r="A340" s="56" t="n"/>
      <c r="B340" s="59" t="n"/>
      <c r="C340" s="59" t="n"/>
      <c r="E340" s="16" t="n"/>
      <c r="F340" s="13" t="n"/>
      <c r="G340" s="16" t="n"/>
      <c r="H340" s="125" t="n"/>
      <c r="I340" s="14" t="n"/>
      <c r="J340" s="16" t="n"/>
      <c r="K340" s="125" t="n"/>
      <c r="L340" s="14" t="n"/>
      <c r="M340" s="16" t="n"/>
      <c r="N340" s="125" t="n"/>
      <c r="O340" s="14" t="n"/>
      <c r="P340" s="16" t="n"/>
      <c r="Q340" s="125" t="n"/>
      <c r="R340" s="14" t="n"/>
      <c r="S340" s="16" t="n"/>
      <c r="T340" s="125" t="n"/>
      <c r="U340" s="14" t="n"/>
      <c r="V340" s="16" t="n"/>
      <c r="W340" s="125" t="n"/>
      <c r="X340" s="14" t="n"/>
      <c r="Y340" s="16" t="n"/>
      <c r="Z340" s="125" t="n"/>
      <c r="AA340" s="14" t="n"/>
      <c r="AB340" s="16" t="n"/>
      <c r="AC340" s="125" t="n"/>
      <c r="AD340" s="14" t="n"/>
    </row>
    <row r="341">
      <c r="A341" s="58" t="n"/>
      <c r="B341" s="59" t="n"/>
      <c r="C341" s="59" t="n"/>
      <c r="E341" s="16" t="n"/>
      <c r="F341" s="13" t="n"/>
      <c r="G341" s="16" t="n"/>
      <c r="H341" s="125" t="n"/>
      <c r="I341" s="14" t="n"/>
      <c r="J341" s="16" t="n"/>
      <c r="K341" s="125" t="n"/>
      <c r="L341" s="14" t="n"/>
      <c r="M341" s="16" t="n"/>
      <c r="N341" s="125" t="n"/>
      <c r="O341" s="14" t="n"/>
      <c r="P341" s="16" t="n"/>
      <c r="Q341" s="125" t="n"/>
      <c r="R341" s="14" t="n"/>
      <c r="S341" s="16" t="n"/>
      <c r="T341" s="125" t="n"/>
      <c r="U341" s="14" t="n"/>
      <c r="V341" s="16" t="n"/>
      <c r="W341" s="125" t="n"/>
      <c r="X341" s="14" t="n"/>
      <c r="Y341" s="16" t="n"/>
      <c r="Z341" s="125" t="n"/>
      <c r="AA341" s="14" t="n"/>
      <c r="AB341" s="16" t="n"/>
      <c r="AC341" s="125" t="n"/>
      <c r="AD341" s="14" t="n"/>
    </row>
    <row r="342">
      <c r="A342" s="56" t="n"/>
      <c r="B342" s="59" t="n"/>
      <c r="C342" s="59" t="n"/>
      <c r="E342" s="16" t="n"/>
      <c r="F342" s="13" t="n"/>
      <c r="G342" s="16" t="n"/>
      <c r="H342" s="125" t="n"/>
      <c r="I342" s="14" t="n"/>
      <c r="J342" s="16" t="n"/>
      <c r="K342" s="125" t="n"/>
      <c r="L342" s="14" t="n"/>
      <c r="M342" s="16" t="n"/>
      <c r="N342" s="125" t="n"/>
      <c r="O342" s="14" t="n"/>
      <c r="P342" s="16" t="n"/>
      <c r="Q342" s="125" t="n"/>
      <c r="R342" s="14" t="n"/>
      <c r="S342" s="16" t="n"/>
      <c r="T342" s="125" t="n"/>
      <c r="U342" s="14" t="n"/>
      <c r="V342" s="16" t="n"/>
      <c r="W342" s="125" t="n"/>
      <c r="X342" s="14" t="n"/>
      <c r="Y342" s="16" t="n"/>
      <c r="Z342" s="125" t="n"/>
      <c r="AA342" s="14" t="n"/>
      <c r="AB342" s="16" t="n"/>
      <c r="AC342" s="125" t="n"/>
      <c r="AD342" s="14" t="n"/>
    </row>
    <row r="343">
      <c r="A343" s="58" t="n"/>
      <c r="B343" s="59" t="n"/>
      <c r="C343" s="59" t="n"/>
      <c r="E343" s="16" t="n"/>
      <c r="F343" s="13" t="n"/>
      <c r="G343" s="16" t="n"/>
      <c r="H343" s="125" t="n"/>
      <c r="I343" s="14" t="n"/>
      <c r="J343" s="16" t="n"/>
      <c r="K343" s="125" t="n"/>
      <c r="L343" s="14" t="n"/>
      <c r="M343" s="16" t="n"/>
      <c r="N343" s="125" t="n"/>
      <c r="O343" s="14" t="n"/>
      <c r="P343" s="16" t="n"/>
      <c r="Q343" s="125" t="n"/>
      <c r="R343" s="14" t="n"/>
      <c r="S343" s="16" t="n"/>
      <c r="T343" s="125" t="n"/>
      <c r="U343" s="14" t="n"/>
      <c r="V343" s="16" t="n"/>
      <c r="W343" s="125" t="n"/>
      <c r="X343" s="14" t="n"/>
      <c r="Y343" s="16" t="n"/>
      <c r="Z343" s="125" t="n"/>
      <c r="AA343" s="14" t="n"/>
      <c r="AB343" s="16" t="n"/>
      <c r="AC343" s="125" t="n"/>
      <c r="AD343" s="14" t="n"/>
    </row>
    <row r="344">
      <c r="A344" s="56" t="n"/>
      <c r="B344" s="59" t="n"/>
      <c r="C344" s="59" t="n"/>
      <c r="E344" s="16" t="n"/>
      <c r="F344" s="13" t="n"/>
      <c r="G344" s="16" t="n"/>
      <c r="H344" s="125" t="n"/>
      <c r="I344" s="14" t="n"/>
      <c r="J344" s="16" t="n"/>
      <c r="K344" s="125" t="n"/>
      <c r="L344" s="14" t="n"/>
      <c r="M344" s="16" t="n"/>
      <c r="N344" s="125" t="n"/>
      <c r="O344" s="14" t="n"/>
      <c r="P344" s="16" t="n"/>
      <c r="Q344" s="125" t="n"/>
      <c r="R344" s="14" t="n"/>
      <c r="S344" s="16" t="n"/>
      <c r="T344" s="125" t="n"/>
      <c r="U344" s="14" t="n"/>
      <c r="V344" s="16" t="n"/>
      <c r="W344" s="125" t="n"/>
      <c r="X344" s="14" t="n"/>
      <c r="Y344" s="16" t="n"/>
      <c r="Z344" s="125" t="n"/>
      <c r="AA344" s="14" t="n"/>
      <c r="AB344" s="16" t="n"/>
      <c r="AC344" s="125" t="n"/>
      <c r="AD344" s="14" t="n"/>
    </row>
    <row r="345">
      <c r="A345" s="58" t="n"/>
      <c r="B345" s="59" t="n"/>
      <c r="C345" s="59" t="n"/>
      <c r="E345" s="16" t="n"/>
      <c r="F345" s="13" t="n"/>
      <c r="G345" s="16" t="n"/>
      <c r="H345" s="125" t="n"/>
      <c r="I345" s="14" t="n"/>
      <c r="J345" s="16" t="n"/>
      <c r="K345" s="125" t="n"/>
      <c r="L345" s="14" t="n"/>
      <c r="M345" s="16" t="n"/>
      <c r="N345" s="125" t="n"/>
      <c r="O345" s="14" t="n"/>
      <c r="P345" s="16" t="n"/>
      <c r="Q345" s="125" t="n"/>
      <c r="R345" s="14" t="n"/>
      <c r="S345" s="16" t="n"/>
      <c r="T345" s="125" t="n"/>
      <c r="U345" s="14" t="n"/>
      <c r="V345" s="16" t="n"/>
      <c r="W345" s="125" t="n"/>
      <c r="X345" s="14" t="n"/>
      <c r="Y345" s="16" t="n"/>
      <c r="Z345" s="125" t="n"/>
      <c r="AA345" s="14" t="n"/>
      <c r="AB345" s="16" t="n"/>
      <c r="AC345" s="125" t="n"/>
      <c r="AD345" s="14" t="n"/>
    </row>
    <row r="346">
      <c r="A346" s="56" t="n"/>
      <c r="B346" s="59" t="n"/>
      <c r="C346" s="59" t="n"/>
      <c r="E346" s="16" t="n"/>
      <c r="F346" s="13" t="n"/>
      <c r="G346" s="16" t="n"/>
      <c r="H346" s="125" t="n"/>
      <c r="I346" s="14" t="n"/>
      <c r="J346" s="16" t="n"/>
      <c r="K346" s="125" t="n"/>
      <c r="L346" s="14" t="n"/>
      <c r="M346" s="16" t="n"/>
      <c r="N346" s="125" t="n"/>
      <c r="O346" s="14" t="n"/>
      <c r="P346" s="16" t="n"/>
      <c r="Q346" s="125" t="n"/>
      <c r="R346" s="14" t="n"/>
      <c r="S346" s="16" t="n"/>
      <c r="T346" s="125" t="n"/>
      <c r="U346" s="14" t="n"/>
      <c r="V346" s="16" t="n"/>
      <c r="W346" s="125" t="n"/>
      <c r="X346" s="14" t="n"/>
      <c r="Y346" s="16" t="n"/>
      <c r="Z346" s="125" t="n"/>
      <c r="AA346" s="14" t="n"/>
      <c r="AB346" s="16" t="n"/>
      <c r="AC346" s="125" t="n"/>
      <c r="AD346" s="14" t="n"/>
    </row>
    <row r="347">
      <c r="A347" s="58" t="n"/>
      <c r="B347" s="59" t="n"/>
      <c r="C347" s="59" t="n"/>
      <c r="E347" s="16" t="n"/>
      <c r="F347" s="13" t="n"/>
      <c r="G347" s="16" t="n"/>
      <c r="H347" s="125" t="n"/>
      <c r="I347" s="14" t="n"/>
      <c r="J347" s="16" t="n"/>
      <c r="K347" s="125" t="n"/>
      <c r="L347" s="14" t="n"/>
      <c r="M347" s="16" t="n"/>
      <c r="N347" s="125" t="n"/>
      <c r="O347" s="14" t="n"/>
      <c r="P347" s="16" t="n"/>
      <c r="Q347" s="125" t="n"/>
      <c r="R347" s="14" t="n"/>
      <c r="S347" s="16" t="n"/>
      <c r="T347" s="125" t="n"/>
      <c r="U347" s="14" t="n"/>
      <c r="V347" s="16" t="n"/>
      <c r="W347" s="125" t="n"/>
      <c r="X347" s="14" t="n"/>
      <c r="Y347" s="16" t="n"/>
      <c r="Z347" s="125" t="n"/>
      <c r="AA347" s="14" t="n"/>
      <c r="AB347" s="16" t="n"/>
      <c r="AC347" s="125" t="n"/>
      <c r="AD347" s="14" t="n"/>
    </row>
    <row r="348">
      <c r="A348" s="56" t="n"/>
      <c r="B348" s="59" t="n"/>
      <c r="C348" s="59" t="n"/>
      <c r="E348" s="16" t="n"/>
      <c r="F348" s="13" t="n"/>
      <c r="G348" s="16" t="n"/>
      <c r="H348" s="125" t="n"/>
      <c r="I348" s="14" t="n"/>
      <c r="J348" s="16" t="n"/>
      <c r="K348" s="125" t="n"/>
      <c r="L348" s="14" t="n"/>
      <c r="M348" s="16" t="n"/>
      <c r="N348" s="125" t="n"/>
      <c r="O348" s="14" t="n"/>
      <c r="P348" s="16" t="n"/>
      <c r="Q348" s="125" t="n"/>
      <c r="R348" s="14" t="n"/>
      <c r="S348" s="16" t="n"/>
      <c r="T348" s="125" t="n"/>
      <c r="U348" s="14" t="n"/>
      <c r="V348" s="16" t="n"/>
      <c r="W348" s="125" t="n"/>
      <c r="X348" s="14" t="n"/>
      <c r="Y348" s="16" t="n"/>
      <c r="Z348" s="125" t="n"/>
      <c r="AA348" s="14" t="n"/>
      <c r="AB348" s="16" t="n"/>
      <c r="AC348" s="125" t="n"/>
      <c r="AD348" s="14" t="n"/>
    </row>
    <row r="349">
      <c r="A349" s="58" t="n"/>
      <c r="B349" s="59" t="n"/>
      <c r="C349" s="59" t="n"/>
      <c r="E349" s="16" t="n"/>
      <c r="F349" s="13" t="n"/>
      <c r="G349" s="16" t="n"/>
      <c r="H349" s="125" t="n"/>
      <c r="I349" s="14" t="n"/>
      <c r="J349" s="16" t="n"/>
      <c r="K349" s="125" t="n"/>
      <c r="L349" s="14" t="n"/>
      <c r="M349" s="16" t="n"/>
      <c r="N349" s="125" t="n"/>
      <c r="O349" s="14" t="n"/>
      <c r="P349" s="16" t="n"/>
      <c r="Q349" s="125" t="n"/>
      <c r="R349" s="14" t="n"/>
      <c r="S349" s="16" t="n"/>
      <c r="T349" s="125" t="n"/>
      <c r="U349" s="14" t="n"/>
      <c r="V349" s="16" t="n"/>
      <c r="W349" s="125" t="n"/>
      <c r="X349" s="14" t="n"/>
      <c r="Y349" s="16" t="n"/>
      <c r="Z349" s="125" t="n"/>
      <c r="AA349" s="14" t="n"/>
      <c r="AB349" s="16" t="n"/>
      <c r="AC349" s="125" t="n"/>
      <c r="AD349" s="14" t="n"/>
    </row>
    <row r="350">
      <c r="A350" s="56" t="n"/>
      <c r="B350" s="59" t="n"/>
      <c r="C350" s="59" t="n"/>
      <c r="E350" s="16" t="n"/>
      <c r="F350" s="13" t="n"/>
      <c r="G350" s="16" t="n"/>
      <c r="H350" s="125" t="n"/>
      <c r="I350" s="14" t="n"/>
      <c r="J350" s="16" t="n"/>
      <c r="K350" s="125" t="n"/>
      <c r="L350" s="14" t="n"/>
      <c r="M350" s="16" t="n"/>
      <c r="N350" s="125" t="n"/>
      <c r="O350" s="14" t="n"/>
      <c r="P350" s="16" t="n"/>
      <c r="Q350" s="125" t="n"/>
      <c r="R350" s="14" t="n"/>
      <c r="S350" s="16" t="n"/>
      <c r="T350" s="125" t="n"/>
      <c r="U350" s="14" t="n"/>
      <c r="V350" s="16" t="n"/>
      <c r="W350" s="125" t="n"/>
      <c r="X350" s="14" t="n"/>
      <c r="Y350" s="16" t="n"/>
      <c r="Z350" s="125" t="n"/>
      <c r="AA350" s="14" t="n"/>
      <c r="AB350" s="16" t="n"/>
      <c r="AC350" s="125" t="n"/>
      <c r="AD350" s="14" t="n"/>
    </row>
    <row r="351">
      <c r="A351" s="58" t="n"/>
      <c r="B351" s="59" t="n"/>
      <c r="C351" s="59" t="n"/>
      <c r="E351" s="16" t="n"/>
      <c r="F351" s="13" t="n"/>
      <c r="G351" s="16" t="n"/>
      <c r="H351" s="125" t="n"/>
      <c r="I351" s="14" t="n"/>
      <c r="J351" s="16" t="n"/>
      <c r="K351" s="125" t="n"/>
      <c r="L351" s="14" t="n"/>
      <c r="M351" s="16" t="n"/>
      <c r="N351" s="125" t="n"/>
      <c r="O351" s="14" t="n"/>
      <c r="P351" s="16" t="n"/>
      <c r="Q351" s="125" t="n"/>
      <c r="R351" s="14" t="n"/>
      <c r="S351" s="16" t="n"/>
      <c r="T351" s="125" t="n"/>
      <c r="U351" s="14" t="n"/>
      <c r="V351" s="16" t="n"/>
      <c r="W351" s="125" t="n"/>
      <c r="X351" s="14" t="n"/>
      <c r="Y351" s="16" t="n"/>
      <c r="Z351" s="125" t="n"/>
      <c r="AA351" s="14" t="n"/>
      <c r="AB351" s="16" t="n"/>
      <c r="AC351" s="125" t="n"/>
      <c r="AD351" s="14" t="n"/>
    </row>
    <row r="352">
      <c r="A352" s="56" t="n"/>
      <c r="B352" s="59" t="n"/>
      <c r="C352" s="59" t="n"/>
      <c r="E352" s="16" t="n"/>
      <c r="F352" s="13" t="n"/>
      <c r="G352" s="16" t="n"/>
      <c r="H352" s="125" t="n"/>
      <c r="I352" s="14" t="n"/>
      <c r="J352" s="16" t="n"/>
      <c r="K352" s="125" t="n"/>
      <c r="L352" s="14" t="n"/>
      <c r="M352" s="16" t="n"/>
      <c r="N352" s="125" t="n"/>
      <c r="O352" s="14" t="n"/>
      <c r="P352" s="16" t="n"/>
      <c r="Q352" s="125" t="n"/>
      <c r="R352" s="14" t="n"/>
      <c r="S352" s="16" t="n"/>
      <c r="T352" s="125" t="n"/>
      <c r="U352" s="14" t="n"/>
      <c r="V352" s="16" t="n"/>
      <c r="W352" s="125" t="n"/>
      <c r="X352" s="14" t="n"/>
      <c r="Y352" s="16" t="n"/>
      <c r="Z352" s="125" t="n"/>
      <c r="AA352" s="14" t="n"/>
      <c r="AB352" s="16" t="n"/>
      <c r="AC352" s="125" t="n"/>
      <c r="AD352" s="14" t="n"/>
    </row>
    <row r="353">
      <c r="A353" s="58" t="n"/>
      <c r="B353" s="59" t="n"/>
      <c r="C353" s="59" t="n"/>
      <c r="E353" s="16" t="n"/>
      <c r="F353" s="13" t="n"/>
      <c r="G353" s="16" t="n"/>
      <c r="H353" s="125" t="n"/>
      <c r="I353" s="14" t="n"/>
      <c r="J353" s="16" t="n"/>
      <c r="K353" s="125" t="n"/>
      <c r="L353" s="14" t="n"/>
      <c r="M353" s="16" t="n"/>
      <c r="N353" s="125" t="n"/>
      <c r="O353" s="14" t="n"/>
      <c r="P353" s="16" t="n"/>
      <c r="Q353" s="125" t="n"/>
      <c r="R353" s="14" t="n"/>
      <c r="S353" s="16" t="n"/>
      <c r="T353" s="125" t="n"/>
      <c r="U353" s="14" t="n"/>
      <c r="V353" s="16" t="n"/>
      <c r="W353" s="125" t="n"/>
      <c r="X353" s="14" t="n"/>
      <c r="Y353" s="16" t="n"/>
      <c r="Z353" s="125" t="n"/>
      <c r="AA353" s="14" t="n"/>
      <c r="AB353" s="16" t="n"/>
      <c r="AC353" s="125" t="n"/>
      <c r="AD353" s="14" t="n"/>
    </row>
    <row r="354">
      <c r="A354" s="56" t="n"/>
      <c r="B354" s="59" t="n"/>
      <c r="C354" s="59" t="n"/>
      <c r="E354" s="16" t="n"/>
      <c r="F354" s="13" t="n"/>
      <c r="G354" s="16" t="n"/>
      <c r="H354" s="125" t="n"/>
      <c r="I354" s="14" t="n"/>
      <c r="J354" s="16" t="n"/>
      <c r="K354" s="125" t="n"/>
      <c r="L354" s="14" t="n"/>
      <c r="M354" s="16" t="n"/>
      <c r="N354" s="125" t="n"/>
      <c r="O354" s="14" t="n"/>
      <c r="P354" s="16" t="n"/>
      <c r="Q354" s="125" t="n"/>
      <c r="R354" s="14" t="n"/>
      <c r="S354" s="16" t="n"/>
      <c r="T354" s="125" t="n"/>
      <c r="U354" s="14" t="n"/>
      <c r="V354" s="16" t="n"/>
      <c r="W354" s="125" t="n"/>
      <c r="X354" s="14" t="n"/>
      <c r="Y354" s="16" t="n"/>
      <c r="Z354" s="125" t="n"/>
      <c r="AA354" s="14" t="n"/>
      <c r="AB354" s="16" t="n"/>
      <c r="AC354" s="125" t="n"/>
      <c r="AD354" s="14" t="n"/>
    </row>
    <row r="355">
      <c r="A355" s="58" t="n"/>
      <c r="B355" s="59" t="n"/>
      <c r="C355" s="59" t="n"/>
      <c r="E355" s="16" t="n"/>
      <c r="F355" s="13" t="n"/>
      <c r="G355" s="16" t="n"/>
      <c r="H355" s="125" t="n"/>
      <c r="I355" s="14" t="n"/>
      <c r="J355" s="16" t="n"/>
      <c r="K355" s="125" t="n"/>
      <c r="L355" s="14" t="n"/>
      <c r="M355" s="16" t="n"/>
      <c r="N355" s="125" t="n"/>
      <c r="O355" s="14" t="n"/>
      <c r="P355" s="16" t="n"/>
      <c r="Q355" s="125" t="n"/>
      <c r="R355" s="14" t="n"/>
      <c r="S355" s="16" t="n"/>
      <c r="T355" s="125" t="n"/>
      <c r="U355" s="14" t="n"/>
      <c r="V355" s="16" t="n"/>
      <c r="W355" s="125" t="n"/>
      <c r="X355" s="14" t="n"/>
      <c r="Y355" s="16" t="n"/>
      <c r="Z355" s="125" t="n"/>
      <c r="AA355" s="14" t="n"/>
      <c r="AB355" s="16" t="n"/>
      <c r="AC355" s="125" t="n"/>
      <c r="AD355" s="14" t="n"/>
    </row>
    <row r="356">
      <c r="A356" s="56" t="n"/>
      <c r="B356" s="59" t="n"/>
      <c r="C356" s="59" t="n"/>
      <c r="E356" s="16" t="n"/>
      <c r="F356" s="13" t="n"/>
      <c r="G356" s="16" t="n"/>
      <c r="H356" s="125" t="n"/>
      <c r="I356" s="14" t="n"/>
      <c r="J356" s="16" t="n"/>
      <c r="K356" s="125" t="n"/>
      <c r="L356" s="14" t="n"/>
      <c r="M356" s="16" t="n"/>
      <c r="N356" s="125" t="n"/>
      <c r="O356" s="14" t="n"/>
      <c r="P356" s="16" t="n"/>
      <c r="Q356" s="125" t="n"/>
      <c r="R356" s="14" t="n"/>
      <c r="S356" s="16" t="n"/>
      <c r="T356" s="125" t="n"/>
      <c r="U356" s="14" t="n"/>
      <c r="V356" s="16" t="n"/>
      <c r="W356" s="125" t="n"/>
      <c r="X356" s="14" t="n"/>
      <c r="Y356" s="16" t="n"/>
      <c r="Z356" s="125" t="n"/>
      <c r="AA356" s="14" t="n"/>
      <c r="AB356" s="16" t="n"/>
      <c r="AC356" s="125" t="n"/>
      <c r="AD356" s="14" t="n"/>
    </row>
    <row r="357">
      <c r="A357" s="58" t="n"/>
      <c r="B357" s="59" t="n"/>
      <c r="C357" s="59" t="n"/>
      <c r="E357" s="16" t="n"/>
      <c r="F357" s="13" t="n"/>
      <c r="G357" s="16" t="n"/>
      <c r="H357" s="125" t="n"/>
      <c r="I357" s="14" t="n"/>
      <c r="J357" s="16" t="n"/>
      <c r="K357" s="125" t="n"/>
      <c r="L357" s="14" t="n"/>
      <c r="M357" s="16" t="n"/>
      <c r="N357" s="125" t="n"/>
      <c r="O357" s="14" t="n"/>
      <c r="P357" s="16" t="n"/>
      <c r="Q357" s="125" t="n"/>
      <c r="R357" s="14" t="n"/>
      <c r="S357" s="16" t="n"/>
      <c r="T357" s="125" t="n"/>
      <c r="U357" s="14" t="n"/>
      <c r="V357" s="16" t="n"/>
      <c r="W357" s="125" t="n"/>
      <c r="X357" s="14" t="n"/>
      <c r="Y357" s="16" t="n"/>
      <c r="Z357" s="125" t="n"/>
      <c r="AA357" s="14" t="n"/>
      <c r="AB357" s="16" t="n"/>
      <c r="AC357" s="125" t="n"/>
      <c r="AD357" s="14" t="n"/>
    </row>
    <row r="358">
      <c r="A358" s="56" t="n"/>
      <c r="B358" s="59" t="n"/>
      <c r="C358" s="59" t="n"/>
      <c r="E358" s="16" t="n"/>
      <c r="F358" s="13" t="n"/>
      <c r="G358" s="16" t="n"/>
      <c r="H358" s="125" t="n"/>
      <c r="I358" s="14" t="n"/>
      <c r="J358" s="16" t="n"/>
      <c r="K358" s="125" t="n"/>
      <c r="L358" s="14" t="n"/>
      <c r="M358" s="16" t="n"/>
      <c r="N358" s="125" t="n"/>
      <c r="O358" s="14" t="n"/>
      <c r="P358" s="16" t="n"/>
      <c r="Q358" s="125" t="n"/>
      <c r="R358" s="14" t="n"/>
      <c r="S358" s="16" t="n"/>
      <c r="T358" s="125" t="n"/>
      <c r="U358" s="14" t="n"/>
      <c r="V358" s="16" t="n"/>
      <c r="W358" s="125" t="n"/>
      <c r="X358" s="14" t="n"/>
      <c r="Y358" s="16" t="n"/>
      <c r="Z358" s="125" t="n"/>
      <c r="AA358" s="14" t="n"/>
      <c r="AB358" s="16" t="n"/>
      <c r="AC358" s="125" t="n"/>
      <c r="AD358" s="14" t="n"/>
    </row>
    <row r="359">
      <c r="A359" s="58" t="n"/>
      <c r="B359" s="59" t="n"/>
      <c r="C359" s="59" t="n"/>
      <c r="E359" s="16" t="n"/>
      <c r="F359" s="13" t="n"/>
      <c r="G359" s="16" t="n"/>
      <c r="H359" s="125" t="n"/>
      <c r="I359" s="14" t="n"/>
      <c r="J359" s="16" t="n"/>
      <c r="K359" s="125" t="n"/>
      <c r="L359" s="14" t="n"/>
      <c r="M359" s="16" t="n"/>
      <c r="N359" s="125" t="n"/>
      <c r="O359" s="14" t="n"/>
      <c r="P359" s="16" t="n"/>
      <c r="Q359" s="125" t="n"/>
      <c r="R359" s="14" t="n"/>
      <c r="S359" s="16" t="n"/>
      <c r="T359" s="125" t="n"/>
      <c r="U359" s="14" t="n"/>
      <c r="V359" s="16" t="n"/>
      <c r="W359" s="125" t="n"/>
      <c r="X359" s="14" t="n"/>
      <c r="Y359" s="16" t="n"/>
      <c r="Z359" s="125" t="n"/>
      <c r="AA359" s="14" t="n"/>
      <c r="AB359" s="16" t="n"/>
      <c r="AC359" s="125" t="n"/>
      <c r="AD359" s="14" t="n"/>
    </row>
    <row r="360">
      <c r="A360" s="56" t="n"/>
      <c r="B360" s="59" t="n"/>
      <c r="C360" s="59" t="n"/>
      <c r="E360" s="16" t="n"/>
      <c r="F360" s="13" t="n"/>
      <c r="G360" s="16" t="n"/>
      <c r="H360" s="125" t="n"/>
      <c r="I360" s="14" t="n"/>
      <c r="J360" s="16" t="n"/>
      <c r="K360" s="125" t="n"/>
      <c r="L360" s="14" t="n"/>
      <c r="M360" s="16" t="n"/>
      <c r="N360" s="125" t="n"/>
      <c r="O360" s="14" t="n"/>
      <c r="P360" s="16" t="n"/>
      <c r="Q360" s="125" t="n"/>
      <c r="R360" s="14" t="n"/>
      <c r="S360" s="16" t="n"/>
      <c r="T360" s="125" t="n"/>
      <c r="U360" s="14" t="n"/>
      <c r="V360" s="16" t="n"/>
      <c r="W360" s="125" t="n"/>
      <c r="X360" s="14" t="n"/>
      <c r="Y360" s="16" t="n"/>
      <c r="Z360" s="125" t="n"/>
      <c r="AA360" s="14" t="n"/>
      <c r="AB360" s="16" t="n"/>
      <c r="AC360" s="125" t="n"/>
      <c r="AD360" s="14" t="n"/>
    </row>
    <row r="361">
      <c r="A361" s="58" t="n"/>
      <c r="B361" s="59" t="n"/>
      <c r="C361" s="59" t="n"/>
      <c r="E361" s="16" t="n"/>
      <c r="F361" s="13" t="n"/>
      <c r="G361" s="16" t="n"/>
      <c r="H361" s="125" t="n"/>
      <c r="I361" s="14" t="n"/>
      <c r="J361" s="16" t="n"/>
      <c r="K361" s="125" t="n"/>
      <c r="L361" s="14" t="n"/>
      <c r="M361" s="16" t="n"/>
      <c r="N361" s="125" t="n"/>
      <c r="O361" s="14" t="n"/>
      <c r="P361" s="16" t="n"/>
      <c r="Q361" s="125" t="n"/>
      <c r="R361" s="14" t="n"/>
      <c r="S361" s="16" t="n"/>
      <c r="T361" s="125" t="n"/>
      <c r="U361" s="14" t="n"/>
      <c r="V361" s="16" t="n"/>
      <c r="W361" s="125" t="n"/>
      <c r="X361" s="14" t="n"/>
      <c r="Y361" s="16" t="n"/>
      <c r="Z361" s="125" t="n"/>
      <c r="AA361" s="14" t="n"/>
      <c r="AB361" s="16" t="n"/>
      <c r="AC361" s="125" t="n"/>
      <c r="AD361" s="14" t="n"/>
    </row>
    <row r="362">
      <c r="A362" s="56" t="n"/>
      <c r="B362" s="59" t="n"/>
      <c r="C362" s="59" t="n"/>
      <c r="E362" s="16" t="n"/>
      <c r="F362" s="13" t="n"/>
      <c r="G362" s="16" t="n"/>
      <c r="H362" s="125" t="n"/>
      <c r="I362" s="14" t="n"/>
      <c r="J362" s="16" t="n"/>
      <c r="K362" s="125" t="n"/>
      <c r="L362" s="14" t="n"/>
      <c r="M362" s="16" t="n"/>
      <c r="N362" s="125" t="n"/>
      <c r="O362" s="14" t="n"/>
      <c r="P362" s="16" t="n"/>
      <c r="Q362" s="125" t="n"/>
      <c r="R362" s="14" t="n"/>
      <c r="S362" s="16" t="n"/>
      <c r="T362" s="125" t="n"/>
      <c r="U362" s="14" t="n"/>
      <c r="V362" s="16" t="n"/>
      <c r="W362" s="125" t="n"/>
      <c r="X362" s="14" t="n"/>
      <c r="Y362" s="16" t="n"/>
      <c r="Z362" s="125" t="n"/>
      <c r="AA362" s="14" t="n"/>
      <c r="AB362" s="16" t="n"/>
      <c r="AC362" s="125" t="n"/>
      <c r="AD362" s="14" t="n"/>
    </row>
    <row r="363">
      <c r="A363" s="58" t="n"/>
      <c r="B363" s="59" t="n"/>
      <c r="C363" s="59" t="n"/>
      <c r="E363" s="16" t="n"/>
      <c r="F363" s="13" t="n"/>
      <c r="G363" s="16" t="n"/>
      <c r="H363" s="125" t="n"/>
      <c r="I363" s="14" t="n"/>
      <c r="J363" s="16" t="n"/>
      <c r="K363" s="125" t="n"/>
      <c r="L363" s="14" t="n"/>
      <c r="M363" s="16" t="n"/>
      <c r="N363" s="125" t="n"/>
      <c r="O363" s="14" t="n"/>
      <c r="P363" s="16" t="n"/>
      <c r="Q363" s="125" t="n"/>
      <c r="R363" s="14" t="n"/>
      <c r="S363" s="16" t="n"/>
      <c r="T363" s="125" t="n"/>
      <c r="U363" s="14" t="n"/>
      <c r="V363" s="16" t="n"/>
      <c r="W363" s="125" t="n"/>
      <c r="X363" s="14" t="n"/>
      <c r="Y363" s="16" t="n"/>
      <c r="Z363" s="125" t="n"/>
      <c r="AA363" s="14" t="n"/>
      <c r="AB363" s="16" t="n"/>
      <c r="AC363" s="125" t="n"/>
      <c r="AD363" s="14" t="n"/>
    </row>
    <row r="364">
      <c r="A364" s="56" t="n"/>
      <c r="B364" s="59" t="n"/>
      <c r="C364" s="59" t="n"/>
      <c r="E364" s="16" t="n"/>
      <c r="F364" s="13" t="n"/>
      <c r="G364" s="16" t="n"/>
      <c r="H364" s="125" t="n"/>
      <c r="I364" s="14" t="n"/>
      <c r="J364" s="16" t="n"/>
      <c r="K364" s="125" t="n"/>
      <c r="L364" s="14" t="n"/>
      <c r="M364" s="16" t="n"/>
      <c r="N364" s="125" t="n"/>
      <c r="O364" s="14" t="n"/>
      <c r="P364" s="16" t="n"/>
      <c r="Q364" s="125" t="n"/>
      <c r="R364" s="14" t="n"/>
      <c r="S364" s="16" t="n"/>
      <c r="T364" s="125" t="n"/>
      <c r="U364" s="14" t="n"/>
      <c r="V364" s="16" t="n"/>
      <c r="W364" s="125" t="n"/>
      <c r="X364" s="14" t="n"/>
      <c r="Y364" s="16" t="n"/>
      <c r="Z364" s="125" t="n"/>
      <c r="AA364" s="14" t="n"/>
      <c r="AB364" s="16" t="n"/>
      <c r="AC364" s="125" t="n"/>
      <c r="AD364" s="14" t="n"/>
    </row>
    <row r="365">
      <c r="A365" s="58" t="n"/>
      <c r="B365" s="59" t="n"/>
      <c r="C365" s="59" t="n"/>
      <c r="E365" s="16" t="n"/>
      <c r="F365" s="13" t="n"/>
      <c r="G365" s="16" t="n"/>
      <c r="H365" s="125" t="n"/>
      <c r="I365" s="14" t="n"/>
      <c r="J365" s="16" t="n"/>
      <c r="K365" s="125" t="n"/>
      <c r="L365" s="14" t="n"/>
      <c r="M365" s="16" t="n"/>
      <c r="N365" s="125" t="n"/>
      <c r="O365" s="14" t="n"/>
      <c r="P365" s="16" t="n"/>
      <c r="Q365" s="125" t="n"/>
      <c r="R365" s="14" t="n"/>
      <c r="S365" s="16" t="n"/>
      <c r="T365" s="125" t="n"/>
      <c r="U365" s="14" t="n"/>
      <c r="V365" s="16" t="n"/>
      <c r="W365" s="125" t="n"/>
      <c r="X365" s="14" t="n"/>
      <c r="Y365" s="16" t="n"/>
      <c r="Z365" s="125" t="n"/>
      <c r="AA365" s="14" t="n"/>
      <c r="AB365" s="16" t="n"/>
      <c r="AC365" s="125" t="n"/>
      <c r="AD365" s="14" t="n"/>
    </row>
    <row r="366">
      <c r="A366" s="56" t="n"/>
      <c r="B366" s="59" t="n"/>
      <c r="C366" s="59" t="n"/>
      <c r="E366" s="16" t="n"/>
      <c r="F366" s="13" t="n"/>
      <c r="G366" s="16" t="n"/>
      <c r="H366" s="125" t="n"/>
      <c r="I366" s="14" t="n"/>
      <c r="J366" s="16" t="n"/>
      <c r="K366" s="125" t="n"/>
      <c r="L366" s="14" t="n"/>
      <c r="M366" s="16" t="n"/>
      <c r="N366" s="125" t="n"/>
      <c r="O366" s="14" t="n"/>
      <c r="P366" s="16" t="n"/>
      <c r="Q366" s="125" t="n"/>
      <c r="R366" s="14" t="n"/>
      <c r="S366" s="16" t="n"/>
      <c r="T366" s="125" t="n"/>
      <c r="U366" s="14" t="n"/>
      <c r="V366" s="16" t="n"/>
      <c r="W366" s="125" t="n"/>
      <c r="X366" s="14" t="n"/>
      <c r="Y366" s="16" t="n"/>
      <c r="Z366" s="125" t="n"/>
      <c r="AA366" s="14" t="n"/>
      <c r="AB366" s="16" t="n"/>
      <c r="AC366" s="125" t="n"/>
      <c r="AD366" s="14" t="n"/>
    </row>
    <row r="367">
      <c r="A367" s="58" t="n"/>
      <c r="B367" s="59" t="n"/>
      <c r="C367" s="59" t="n"/>
      <c r="E367" s="16" t="n"/>
      <c r="F367" s="13" t="n"/>
      <c r="G367" s="16" t="n"/>
      <c r="H367" s="125" t="n"/>
      <c r="I367" s="14" t="n"/>
      <c r="J367" s="16" t="n"/>
      <c r="K367" s="125" t="n"/>
      <c r="L367" s="14" t="n"/>
      <c r="M367" s="16" t="n"/>
      <c r="N367" s="125" t="n"/>
      <c r="O367" s="14" t="n"/>
      <c r="P367" s="16" t="n"/>
      <c r="Q367" s="125" t="n"/>
      <c r="R367" s="14" t="n"/>
      <c r="S367" s="16" t="n"/>
      <c r="T367" s="125" t="n"/>
      <c r="U367" s="14" t="n"/>
      <c r="V367" s="16" t="n"/>
      <c r="W367" s="125" t="n"/>
      <c r="X367" s="14" t="n"/>
      <c r="Y367" s="16" t="n"/>
      <c r="Z367" s="125" t="n"/>
      <c r="AA367" s="14" t="n"/>
      <c r="AB367" s="16" t="n"/>
      <c r="AC367" s="125" t="n"/>
      <c r="AD367" s="14" t="n"/>
    </row>
    <row r="368">
      <c r="A368" s="56" t="n"/>
      <c r="B368" s="59" t="n"/>
      <c r="C368" s="59" t="n"/>
      <c r="E368" s="16" t="n"/>
      <c r="F368" s="13" t="n"/>
      <c r="G368" s="16" t="n"/>
      <c r="H368" s="125" t="n"/>
      <c r="I368" s="14" t="n"/>
      <c r="J368" s="16" t="n"/>
      <c r="K368" s="125" t="n"/>
      <c r="L368" s="14" t="n"/>
      <c r="M368" s="16" t="n"/>
      <c r="N368" s="125" t="n"/>
      <c r="O368" s="14" t="n"/>
      <c r="P368" s="16" t="n"/>
      <c r="Q368" s="125" t="n"/>
      <c r="R368" s="14" t="n"/>
      <c r="S368" s="16" t="n"/>
      <c r="T368" s="125" t="n"/>
      <c r="U368" s="14" t="n"/>
      <c r="V368" s="16" t="n"/>
      <c r="W368" s="125" t="n"/>
      <c r="X368" s="14" t="n"/>
      <c r="Y368" s="16" t="n"/>
      <c r="Z368" s="125" t="n"/>
      <c r="AA368" s="14" t="n"/>
      <c r="AB368" s="16" t="n"/>
      <c r="AC368" s="125" t="n"/>
      <c r="AD368" s="14" t="n"/>
    </row>
    <row r="369">
      <c r="A369" s="58" t="n"/>
      <c r="B369" s="59" t="n"/>
      <c r="C369" s="59" t="n"/>
      <c r="E369" s="16" t="n"/>
      <c r="F369" s="13" t="n"/>
      <c r="G369" s="16" t="n"/>
      <c r="H369" s="125" t="n"/>
      <c r="I369" s="14" t="n"/>
      <c r="J369" s="16" t="n"/>
      <c r="K369" s="125" t="n"/>
      <c r="L369" s="14" t="n"/>
      <c r="M369" s="16" t="n"/>
      <c r="N369" s="125" t="n"/>
      <c r="O369" s="14" t="n"/>
      <c r="P369" s="16" t="n"/>
      <c r="Q369" s="125" t="n"/>
      <c r="R369" s="14" t="n"/>
      <c r="S369" s="16" t="n"/>
      <c r="T369" s="125" t="n"/>
      <c r="U369" s="14" t="n"/>
      <c r="V369" s="16" t="n"/>
      <c r="W369" s="125" t="n"/>
      <c r="X369" s="14" t="n"/>
      <c r="Y369" s="16" t="n"/>
      <c r="Z369" s="125" t="n"/>
      <c r="AA369" s="14" t="n"/>
      <c r="AB369" s="16" t="n"/>
      <c r="AC369" s="125" t="n"/>
      <c r="AD369" s="14" t="n"/>
    </row>
    <row r="370">
      <c r="A370" s="56" t="n"/>
      <c r="B370" s="59" t="n"/>
      <c r="C370" s="59" t="n"/>
      <c r="E370" s="16" t="n"/>
      <c r="F370" s="13" t="n"/>
      <c r="G370" s="16" t="n"/>
      <c r="H370" s="125" t="n"/>
      <c r="I370" s="14" t="n"/>
      <c r="J370" s="16" t="n"/>
      <c r="K370" s="125" t="n"/>
      <c r="L370" s="14" t="n"/>
      <c r="M370" s="16" t="n"/>
      <c r="N370" s="125" t="n"/>
      <c r="O370" s="14" t="n"/>
      <c r="P370" s="16" t="n"/>
      <c r="Q370" s="125" t="n"/>
      <c r="R370" s="14" t="n"/>
      <c r="S370" s="16" t="n"/>
      <c r="T370" s="125" t="n"/>
      <c r="U370" s="14" t="n"/>
      <c r="V370" s="16" t="n"/>
      <c r="W370" s="125" t="n"/>
      <c r="X370" s="14" t="n"/>
      <c r="Y370" s="16" t="n"/>
      <c r="Z370" s="125" t="n"/>
      <c r="AA370" s="14" t="n"/>
      <c r="AB370" s="16" t="n"/>
      <c r="AC370" s="125" t="n"/>
      <c r="AD370" s="14" t="n"/>
    </row>
    <row r="371">
      <c r="A371" s="58" t="n"/>
      <c r="B371" s="59" t="n"/>
      <c r="C371" s="59" t="n"/>
      <c r="E371" s="16" t="n"/>
      <c r="F371" s="13" t="n"/>
      <c r="G371" s="16" t="n"/>
      <c r="H371" s="125" t="n"/>
      <c r="I371" s="14" t="n"/>
      <c r="J371" s="16" t="n"/>
      <c r="K371" s="125" t="n"/>
      <c r="L371" s="14" t="n"/>
      <c r="M371" s="16" t="n"/>
      <c r="N371" s="125" t="n"/>
      <c r="O371" s="14" t="n"/>
      <c r="P371" s="16" t="n"/>
      <c r="Q371" s="125" t="n"/>
      <c r="R371" s="14" t="n"/>
      <c r="S371" s="16" t="n"/>
      <c r="T371" s="125" t="n"/>
      <c r="U371" s="14" t="n"/>
      <c r="V371" s="16" t="n"/>
      <c r="W371" s="125" t="n"/>
      <c r="X371" s="14" t="n"/>
      <c r="Y371" s="16" t="n"/>
      <c r="Z371" s="125" t="n"/>
      <c r="AA371" s="14" t="n"/>
      <c r="AB371" s="16" t="n"/>
      <c r="AC371" s="125" t="n"/>
      <c r="AD371" s="14" t="n"/>
    </row>
    <row r="372">
      <c r="A372" s="56" t="n"/>
      <c r="B372" s="59" t="n"/>
      <c r="C372" s="59" t="n"/>
      <c r="E372" s="16" t="n"/>
      <c r="F372" s="13" t="n"/>
      <c r="G372" s="16" t="n"/>
      <c r="H372" s="125" t="n"/>
      <c r="I372" s="14" t="n"/>
      <c r="J372" s="16" t="n"/>
      <c r="K372" s="125" t="n"/>
      <c r="L372" s="14" t="n"/>
      <c r="M372" s="16" t="n"/>
      <c r="N372" s="125" t="n"/>
      <c r="O372" s="14" t="n"/>
      <c r="P372" s="16" t="n"/>
      <c r="Q372" s="125" t="n"/>
      <c r="R372" s="14" t="n"/>
      <c r="S372" s="16" t="n"/>
      <c r="T372" s="125" t="n"/>
      <c r="U372" s="14" t="n"/>
      <c r="V372" s="16" t="n"/>
      <c r="W372" s="125" t="n"/>
      <c r="X372" s="14" t="n"/>
      <c r="Y372" s="16" t="n"/>
      <c r="Z372" s="125" t="n"/>
      <c r="AA372" s="14" t="n"/>
      <c r="AB372" s="16" t="n"/>
      <c r="AC372" s="125" t="n"/>
      <c r="AD372" s="14" t="n"/>
    </row>
    <row r="373">
      <c r="A373" s="58" t="n"/>
      <c r="B373" s="59" t="n"/>
      <c r="C373" s="59" t="n"/>
      <c r="E373" s="16" t="n"/>
      <c r="F373" s="13" t="n"/>
      <c r="G373" s="16" t="n"/>
      <c r="H373" s="125" t="n"/>
      <c r="I373" s="14" t="n"/>
      <c r="J373" s="16" t="n"/>
      <c r="K373" s="125" t="n"/>
      <c r="L373" s="14" t="n"/>
      <c r="M373" s="16" t="n"/>
      <c r="N373" s="125" t="n"/>
      <c r="O373" s="14" t="n"/>
      <c r="P373" s="16" t="n"/>
      <c r="Q373" s="125" t="n"/>
      <c r="R373" s="14" t="n"/>
      <c r="S373" s="16" t="n"/>
      <c r="T373" s="125" t="n"/>
      <c r="U373" s="14" t="n"/>
      <c r="V373" s="16" t="n"/>
      <c r="W373" s="125" t="n"/>
      <c r="X373" s="14" t="n"/>
      <c r="Y373" s="16" t="n"/>
      <c r="Z373" s="125" t="n"/>
      <c r="AA373" s="14" t="n"/>
      <c r="AB373" s="16" t="n"/>
      <c r="AC373" s="125" t="n"/>
      <c r="AD373" s="14" t="n"/>
    </row>
    <row r="374">
      <c r="A374" s="56" t="n"/>
      <c r="B374" s="59" t="n"/>
      <c r="C374" s="59" t="n"/>
      <c r="E374" s="16" t="n"/>
      <c r="F374" s="13" t="n"/>
      <c r="G374" s="16" t="n"/>
      <c r="H374" s="125" t="n"/>
      <c r="I374" s="14" t="n"/>
      <c r="J374" s="16" t="n"/>
      <c r="K374" s="125" t="n"/>
      <c r="L374" s="14" t="n"/>
      <c r="M374" s="16" t="n"/>
      <c r="N374" s="125" t="n"/>
      <c r="O374" s="14" t="n"/>
      <c r="P374" s="16" t="n"/>
      <c r="Q374" s="125" t="n"/>
      <c r="R374" s="14" t="n"/>
      <c r="S374" s="16" t="n"/>
      <c r="T374" s="125" t="n"/>
      <c r="U374" s="14" t="n"/>
      <c r="V374" s="16" t="n"/>
      <c r="W374" s="125" t="n"/>
      <c r="X374" s="14" t="n"/>
      <c r="Y374" s="16" t="n"/>
      <c r="Z374" s="125" t="n"/>
      <c r="AA374" s="14" t="n"/>
      <c r="AB374" s="16" t="n"/>
      <c r="AC374" s="125" t="n"/>
      <c r="AD374" s="14" t="n"/>
    </row>
    <row r="375">
      <c r="A375" s="58" t="n"/>
      <c r="B375" s="59" t="n"/>
      <c r="C375" s="59" t="n"/>
      <c r="E375" s="16" t="n"/>
      <c r="F375" s="13" t="n"/>
      <c r="G375" s="16" t="n"/>
      <c r="H375" s="125" t="n"/>
      <c r="I375" s="14" t="n"/>
      <c r="J375" s="16" t="n"/>
      <c r="K375" s="125" t="n"/>
      <c r="L375" s="14" t="n"/>
      <c r="M375" s="16" t="n"/>
      <c r="N375" s="125" t="n"/>
      <c r="O375" s="14" t="n"/>
      <c r="P375" s="16" t="n"/>
      <c r="Q375" s="125" t="n"/>
      <c r="R375" s="14" t="n"/>
      <c r="S375" s="16" t="n"/>
      <c r="T375" s="125" t="n"/>
      <c r="U375" s="14" t="n"/>
      <c r="V375" s="16" t="n"/>
      <c r="W375" s="125" t="n"/>
      <c r="X375" s="14" t="n"/>
      <c r="Y375" s="16" t="n"/>
      <c r="Z375" s="125" t="n"/>
      <c r="AA375" s="14" t="n"/>
      <c r="AB375" s="16" t="n"/>
      <c r="AC375" s="125" t="n"/>
      <c r="AD375" s="14" t="n"/>
    </row>
    <row r="376">
      <c r="A376" s="56" t="n"/>
      <c r="B376" s="59" t="n"/>
      <c r="C376" s="59" t="n"/>
      <c r="E376" s="16" t="n"/>
      <c r="F376" s="13" t="n"/>
      <c r="G376" s="16" t="n"/>
      <c r="H376" s="125" t="n"/>
      <c r="I376" s="14" t="n"/>
      <c r="J376" s="16" t="n"/>
      <c r="K376" s="125" t="n"/>
      <c r="L376" s="14" t="n"/>
      <c r="M376" s="16" t="n"/>
      <c r="N376" s="125" t="n"/>
      <c r="O376" s="14" t="n"/>
      <c r="P376" s="16" t="n"/>
      <c r="Q376" s="125" t="n"/>
      <c r="R376" s="14" t="n"/>
      <c r="S376" s="16" t="n"/>
      <c r="T376" s="125" t="n"/>
      <c r="U376" s="14" t="n"/>
      <c r="V376" s="16" t="n"/>
      <c r="W376" s="125" t="n"/>
      <c r="X376" s="14" t="n"/>
      <c r="Y376" s="16" t="n"/>
      <c r="Z376" s="125" t="n"/>
      <c r="AA376" s="14" t="n"/>
      <c r="AB376" s="16" t="n"/>
      <c r="AC376" s="125" t="n"/>
      <c r="AD376" s="14" t="n"/>
    </row>
    <row r="377">
      <c r="A377" s="58" t="n"/>
      <c r="B377" s="59" t="n"/>
      <c r="C377" s="59" t="n"/>
      <c r="E377" s="16" t="n"/>
      <c r="F377" s="13" t="n"/>
      <c r="G377" s="16" t="n"/>
      <c r="H377" s="125" t="n"/>
      <c r="I377" s="14" t="n"/>
      <c r="J377" s="16" t="n"/>
      <c r="K377" s="125" t="n"/>
      <c r="L377" s="14" t="n"/>
      <c r="M377" s="16" t="n"/>
      <c r="N377" s="125" t="n"/>
      <c r="O377" s="14" t="n"/>
      <c r="P377" s="16" t="n"/>
      <c r="Q377" s="125" t="n"/>
      <c r="R377" s="14" t="n"/>
      <c r="S377" s="16" t="n"/>
      <c r="T377" s="125" t="n"/>
      <c r="U377" s="14" t="n"/>
      <c r="V377" s="16" t="n"/>
      <c r="W377" s="125" t="n"/>
      <c r="X377" s="14" t="n"/>
      <c r="Y377" s="16" t="n"/>
      <c r="Z377" s="125" t="n"/>
      <c r="AA377" s="14" t="n"/>
      <c r="AB377" s="16" t="n"/>
      <c r="AC377" s="125" t="n"/>
      <c r="AD377" s="14" t="n"/>
    </row>
    <row r="378">
      <c r="A378" s="56" t="n"/>
      <c r="B378" s="59" t="n"/>
      <c r="C378" s="59" t="n"/>
      <c r="E378" s="16" t="n"/>
      <c r="F378" s="13" t="n"/>
      <c r="G378" s="16" t="n"/>
      <c r="H378" s="125" t="n"/>
      <c r="I378" s="14" t="n"/>
      <c r="J378" s="16" t="n"/>
      <c r="K378" s="125" t="n"/>
      <c r="L378" s="14" t="n"/>
      <c r="M378" s="16" t="n"/>
      <c r="N378" s="125" t="n"/>
      <c r="O378" s="14" t="n"/>
      <c r="P378" s="16" t="n"/>
      <c r="Q378" s="125" t="n"/>
      <c r="R378" s="14" t="n"/>
      <c r="S378" s="16" t="n"/>
      <c r="T378" s="125" t="n"/>
      <c r="U378" s="14" t="n"/>
      <c r="V378" s="16" t="n"/>
      <c r="W378" s="125" t="n"/>
      <c r="X378" s="14" t="n"/>
      <c r="Y378" s="16" t="n"/>
      <c r="Z378" s="125" t="n"/>
      <c r="AA378" s="14" t="n"/>
      <c r="AB378" s="16" t="n"/>
      <c r="AC378" s="125" t="n"/>
      <c r="AD378" s="14" t="n"/>
    </row>
    <row r="379">
      <c r="A379" s="58" t="n"/>
      <c r="B379" s="59" t="n"/>
      <c r="C379" s="59" t="n"/>
      <c r="E379" s="16" t="n"/>
      <c r="F379" s="13" t="n"/>
      <c r="G379" s="16" t="n"/>
      <c r="H379" s="125" t="n"/>
      <c r="I379" s="14" t="n"/>
      <c r="J379" s="16" t="n"/>
      <c r="K379" s="125" t="n"/>
      <c r="L379" s="14" t="n"/>
      <c r="M379" s="16" t="n"/>
      <c r="N379" s="125" t="n"/>
      <c r="O379" s="14" t="n"/>
      <c r="P379" s="16" t="n"/>
      <c r="Q379" s="125" t="n"/>
      <c r="R379" s="14" t="n"/>
      <c r="S379" s="16" t="n"/>
      <c r="T379" s="125" t="n"/>
      <c r="U379" s="14" t="n"/>
      <c r="V379" s="16" t="n"/>
      <c r="W379" s="125" t="n"/>
      <c r="X379" s="14" t="n"/>
      <c r="Y379" s="16" t="n"/>
      <c r="Z379" s="125" t="n"/>
      <c r="AA379" s="14" t="n"/>
      <c r="AB379" s="16" t="n"/>
      <c r="AC379" s="125" t="n"/>
      <c r="AD379" s="14" t="n"/>
    </row>
    <row r="380">
      <c r="A380" s="56" t="n"/>
      <c r="B380" s="59" t="n"/>
      <c r="C380" s="59" t="n"/>
      <c r="E380" s="16" t="n"/>
      <c r="F380" s="13" t="n"/>
      <c r="G380" s="16" t="n"/>
      <c r="H380" s="125" t="n"/>
      <c r="I380" s="14" t="n"/>
      <c r="J380" s="16" t="n"/>
      <c r="K380" s="125" t="n"/>
      <c r="L380" s="14" t="n"/>
      <c r="M380" s="16" t="n"/>
      <c r="N380" s="125" t="n"/>
      <c r="O380" s="14" t="n"/>
      <c r="P380" s="16" t="n"/>
      <c r="Q380" s="125" t="n"/>
      <c r="R380" s="14" t="n"/>
      <c r="S380" s="16" t="n"/>
      <c r="T380" s="125" t="n"/>
      <c r="U380" s="14" t="n"/>
      <c r="V380" s="16" t="n"/>
      <c r="W380" s="125" t="n"/>
      <c r="X380" s="14" t="n"/>
      <c r="Y380" s="16" t="n"/>
      <c r="Z380" s="125" t="n"/>
      <c r="AA380" s="14" t="n"/>
      <c r="AB380" s="16" t="n"/>
      <c r="AC380" s="125" t="n"/>
      <c r="AD380" s="14" t="n"/>
    </row>
    <row r="381">
      <c r="A381" s="58" t="n"/>
      <c r="B381" s="59" t="n"/>
      <c r="C381" s="59" t="n"/>
      <c r="E381" s="16" t="n"/>
      <c r="F381" s="13" t="n"/>
      <c r="G381" s="16" t="n"/>
      <c r="H381" s="125" t="n"/>
      <c r="I381" s="14" t="n"/>
      <c r="J381" s="16" t="n"/>
      <c r="K381" s="125" t="n"/>
      <c r="L381" s="14" t="n"/>
      <c r="M381" s="16" t="n"/>
      <c r="N381" s="125" t="n"/>
      <c r="O381" s="14" t="n"/>
      <c r="P381" s="16" t="n"/>
      <c r="Q381" s="125" t="n"/>
      <c r="R381" s="14" t="n"/>
      <c r="S381" s="16" t="n"/>
      <c r="T381" s="125" t="n"/>
      <c r="U381" s="14" t="n"/>
      <c r="V381" s="16" t="n"/>
      <c r="W381" s="125" t="n"/>
      <c r="X381" s="14" t="n"/>
      <c r="Y381" s="16" t="n"/>
      <c r="Z381" s="125" t="n"/>
      <c r="AA381" s="14" t="n"/>
      <c r="AB381" s="16" t="n"/>
      <c r="AC381" s="125" t="n"/>
      <c r="AD381" s="14" t="n"/>
    </row>
    <row r="382">
      <c r="A382" s="56" t="n"/>
      <c r="B382" s="59" t="n"/>
      <c r="C382" s="59" t="n"/>
      <c r="E382" s="16" t="n"/>
      <c r="F382" s="13" t="n"/>
      <c r="G382" s="16" t="n"/>
      <c r="H382" s="125" t="n"/>
      <c r="I382" s="14" t="n"/>
      <c r="J382" s="16" t="n"/>
      <c r="K382" s="125" t="n"/>
      <c r="L382" s="14" t="n"/>
      <c r="M382" s="16" t="n"/>
      <c r="N382" s="125" t="n"/>
      <c r="O382" s="14" t="n"/>
      <c r="P382" s="16" t="n"/>
      <c r="Q382" s="125" t="n"/>
      <c r="R382" s="14" t="n"/>
      <c r="S382" s="16" t="n"/>
      <c r="T382" s="125" t="n"/>
      <c r="U382" s="14" t="n"/>
      <c r="V382" s="16" t="n"/>
      <c r="W382" s="125" t="n"/>
      <c r="X382" s="14" t="n"/>
      <c r="Y382" s="16" t="n"/>
      <c r="Z382" s="125" t="n"/>
      <c r="AA382" s="14" t="n"/>
      <c r="AB382" s="16" t="n"/>
      <c r="AC382" s="125" t="n"/>
      <c r="AD382" s="14" t="n"/>
    </row>
    <row r="383">
      <c r="A383" s="58" t="n"/>
      <c r="B383" s="59" t="n"/>
      <c r="C383" s="59" t="n"/>
      <c r="E383" s="16" t="n"/>
      <c r="F383" s="13" t="n"/>
      <c r="G383" s="16" t="n"/>
      <c r="H383" s="125" t="n"/>
      <c r="I383" s="14" t="n"/>
      <c r="J383" s="16" t="n"/>
      <c r="K383" s="125" t="n"/>
      <c r="L383" s="14" t="n"/>
      <c r="M383" s="16" t="n"/>
      <c r="N383" s="125" t="n"/>
      <c r="O383" s="14" t="n"/>
      <c r="P383" s="16" t="n"/>
      <c r="Q383" s="125" t="n"/>
      <c r="R383" s="14" t="n"/>
      <c r="S383" s="16" t="n"/>
      <c r="T383" s="125" t="n"/>
      <c r="U383" s="14" t="n"/>
      <c r="V383" s="16" t="n"/>
      <c r="W383" s="125" t="n"/>
      <c r="X383" s="14" t="n"/>
      <c r="Y383" s="16" t="n"/>
      <c r="Z383" s="125" t="n"/>
      <c r="AA383" s="14" t="n"/>
      <c r="AB383" s="16" t="n"/>
      <c r="AC383" s="125" t="n"/>
      <c r="AD383" s="14" t="n"/>
    </row>
    <row r="384">
      <c r="A384" s="56" t="n"/>
      <c r="B384" s="59" t="n"/>
      <c r="C384" s="59" t="n"/>
      <c r="E384" s="16" t="n"/>
      <c r="F384" s="13" t="n"/>
      <c r="G384" s="16" t="n"/>
      <c r="H384" s="125" t="n"/>
      <c r="I384" s="14" t="n"/>
      <c r="J384" s="16" t="n"/>
      <c r="K384" s="125" t="n"/>
      <c r="L384" s="14" t="n"/>
      <c r="M384" s="16" t="n"/>
      <c r="N384" s="125" t="n"/>
      <c r="O384" s="14" t="n"/>
      <c r="P384" s="16" t="n"/>
      <c r="Q384" s="125" t="n"/>
      <c r="R384" s="14" t="n"/>
      <c r="S384" s="16" t="n"/>
      <c r="T384" s="125" t="n"/>
      <c r="U384" s="14" t="n"/>
      <c r="V384" s="16" t="n"/>
      <c r="W384" s="125" t="n"/>
      <c r="X384" s="14" t="n"/>
      <c r="Y384" s="16" t="n"/>
      <c r="Z384" s="125" t="n"/>
      <c r="AA384" s="14" t="n"/>
      <c r="AB384" s="16" t="n"/>
      <c r="AC384" s="125" t="n"/>
      <c r="AD384" s="14" t="n"/>
    </row>
    <row r="385">
      <c r="A385" s="58" t="n"/>
      <c r="B385" s="59" t="n"/>
      <c r="C385" s="59" t="n"/>
      <c r="E385" s="16" t="n"/>
      <c r="F385" s="13" t="n"/>
      <c r="G385" s="16" t="n"/>
      <c r="H385" s="125" t="n"/>
      <c r="I385" s="14" t="n"/>
      <c r="J385" s="16" t="n"/>
      <c r="K385" s="125" t="n"/>
      <c r="L385" s="14" t="n"/>
      <c r="M385" s="16" t="n"/>
      <c r="N385" s="125" t="n"/>
      <c r="O385" s="14" t="n"/>
      <c r="P385" s="16" t="n"/>
      <c r="Q385" s="125" t="n"/>
      <c r="R385" s="14" t="n"/>
      <c r="S385" s="16" t="n"/>
      <c r="T385" s="125" t="n"/>
      <c r="U385" s="14" t="n"/>
      <c r="V385" s="16" t="n"/>
      <c r="W385" s="125" t="n"/>
      <c r="X385" s="14" t="n"/>
      <c r="Y385" s="16" t="n"/>
      <c r="Z385" s="125" t="n"/>
      <c r="AA385" s="14" t="n"/>
      <c r="AB385" s="16" t="n"/>
      <c r="AC385" s="125" t="n"/>
      <c r="AD385" s="14" t="n"/>
    </row>
    <row r="386">
      <c r="A386" s="56" t="n"/>
      <c r="B386" s="59" t="n"/>
      <c r="C386" s="59" t="n"/>
      <c r="E386" s="16" t="n"/>
      <c r="F386" s="13" t="n"/>
      <c r="G386" s="16" t="n"/>
      <c r="H386" s="125" t="n"/>
      <c r="I386" s="14" t="n"/>
      <c r="J386" s="16" t="n"/>
      <c r="K386" s="125" t="n"/>
      <c r="L386" s="14" t="n"/>
      <c r="M386" s="16" t="n"/>
      <c r="N386" s="125" t="n"/>
      <c r="O386" s="14" t="n"/>
      <c r="P386" s="16" t="n"/>
      <c r="Q386" s="125" t="n"/>
      <c r="R386" s="14" t="n"/>
      <c r="S386" s="16" t="n"/>
      <c r="T386" s="125" t="n"/>
      <c r="U386" s="14" t="n"/>
      <c r="V386" s="16" t="n"/>
      <c r="W386" s="125" t="n"/>
      <c r="X386" s="14" t="n"/>
      <c r="Y386" s="16" t="n"/>
      <c r="Z386" s="125" t="n"/>
      <c r="AA386" s="14" t="n"/>
      <c r="AB386" s="16" t="n"/>
      <c r="AC386" s="125" t="n"/>
      <c r="AD386" s="14" t="n"/>
    </row>
    <row r="387">
      <c r="A387" s="58" t="n"/>
      <c r="B387" s="59" t="n"/>
      <c r="C387" s="59" t="n"/>
      <c r="E387" s="16" t="n"/>
      <c r="F387" s="13" t="n"/>
      <c r="G387" s="16" t="n"/>
      <c r="H387" s="125" t="n"/>
      <c r="I387" s="14" t="n"/>
      <c r="J387" s="16" t="n"/>
      <c r="K387" s="125" t="n"/>
      <c r="L387" s="14" t="n"/>
      <c r="M387" s="16" t="n"/>
      <c r="N387" s="125" t="n"/>
      <c r="O387" s="14" t="n"/>
      <c r="P387" s="16" t="n"/>
      <c r="Q387" s="125" t="n"/>
      <c r="R387" s="14" t="n"/>
      <c r="S387" s="16" t="n"/>
      <c r="T387" s="125" t="n"/>
      <c r="U387" s="14" t="n"/>
      <c r="V387" s="16" t="n"/>
      <c r="W387" s="125" t="n"/>
      <c r="X387" s="14" t="n"/>
      <c r="Y387" s="16" t="n"/>
      <c r="Z387" s="125" t="n"/>
      <c r="AA387" s="14" t="n"/>
      <c r="AB387" s="16" t="n"/>
      <c r="AC387" s="125" t="n"/>
      <c r="AD387" s="14" t="n"/>
    </row>
    <row r="388">
      <c r="A388" s="56" t="n"/>
      <c r="B388" s="59" t="n"/>
      <c r="C388" s="59" t="n"/>
      <c r="E388" s="16" t="n"/>
      <c r="F388" s="13" t="n"/>
      <c r="G388" s="16" t="n"/>
      <c r="H388" s="125" t="n"/>
      <c r="I388" s="14" t="n"/>
      <c r="J388" s="16" t="n"/>
      <c r="K388" s="125" t="n"/>
      <c r="L388" s="14" t="n"/>
      <c r="M388" s="16" t="n"/>
      <c r="N388" s="125" t="n"/>
      <c r="O388" s="14" t="n"/>
      <c r="P388" s="16" t="n"/>
      <c r="Q388" s="125" t="n"/>
      <c r="R388" s="14" t="n"/>
      <c r="S388" s="16" t="n"/>
      <c r="T388" s="125" t="n"/>
      <c r="U388" s="14" t="n"/>
      <c r="V388" s="16" t="n"/>
      <c r="W388" s="125" t="n"/>
      <c r="X388" s="14" t="n"/>
      <c r="Y388" s="16" t="n"/>
      <c r="Z388" s="125" t="n"/>
      <c r="AA388" s="14" t="n"/>
      <c r="AB388" s="16" t="n"/>
      <c r="AC388" s="125" t="n"/>
      <c r="AD388" s="14" t="n"/>
    </row>
    <row r="389">
      <c r="A389" s="58" t="n"/>
      <c r="B389" s="59" t="n"/>
      <c r="C389" s="59" t="n"/>
      <c r="E389" s="16" t="n"/>
      <c r="F389" s="13" t="n"/>
      <c r="G389" s="16" t="n"/>
      <c r="H389" s="125" t="n"/>
      <c r="I389" s="14" t="n"/>
      <c r="J389" s="16" t="n"/>
      <c r="K389" s="125" t="n"/>
      <c r="L389" s="14" t="n"/>
      <c r="M389" s="16" t="n"/>
      <c r="N389" s="125" t="n"/>
      <c r="O389" s="14" t="n"/>
      <c r="P389" s="16" t="n"/>
      <c r="Q389" s="125" t="n"/>
      <c r="R389" s="14" t="n"/>
      <c r="S389" s="16" t="n"/>
      <c r="T389" s="125" t="n"/>
      <c r="U389" s="14" t="n"/>
      <c r="V389" s="16" t="n"/>
      <c r="W389" s="125" t="n"/>
      <c r="X389" s="14" t="n"/>
      <c r="Y389" s="16" t="n"/>
      <c r="Z389" s="125" t="n"/>
      <c r="AA389" s="14" t="n"/>
      <c r="AB389" s="16" t="n"/>
      <c r="AC389" s="125" t="n"/>
      <c r="AD389" s="14" t="n"/>
    </row>
    <row r="390">
      <c r="A390" s="56" t="n"/>
      <c r="B390" s="59" t="n"/>
      <c r="C390" s="59" t="n"/>
      <c r="E390" s="16" t="n"/>
      <c r="F390" s="13" t="n"/>
      <c r="G390" s="16" t="n"/>
      <c r="H390" s="125" t="n"/>
      <c r="I390" s="14" t="n"/>
      <c r="J390" s="16" t="n"/>
      <c r="K390" s="125" t="n"/>
      <c r="L390" s="14" t="n"/>
      <c r="M390" s="16" t="n"/>
      <c r="N390" s="125" t="n"/>
      <c r="O390" s="14" t="n"/>
      <c r="P390" s="16" t="n"/>
      <c r="Q390" s="125" t="n"/>
      <c r="R390" s="14" t="n"/>
      <c r="S390" s="16" t="n"/>
      <c r="T390" s="125" t="n"/>
      <c r="U390" s="14" t="n"/>
      <c r="V390" s="16" t="n"/>
      <c r="W390" s="125" t="n"/>
      <c r="X390" s="14" t="n"/>
      <c r="Y390" s="16" t="n"/>
      <c r="Z390" s="125" t="n"/>
      <c r="AA390" s="14" t="n"/>
      <c r="AB390" s="16" t="n"/>
      <c r="AC390" s="125" t="n"/>
      <c r="AD390" s="14" t="n"/>
    </row>
    <row r="391">
      <c r="A391" s="58" t="n"/>
      <c r="B391" s="59" t="n"/>
      <c r="C391" s="59" t="n"/>
      <c r="E391" s="16" t="n"/>
      <c r="F391" s="13" t="n"/>
      <c r="G391" s="16" t="n"/>
      <c r="H391" s="125" t="n"/>
      <c r="I391" s="14" t="n"/>
      <c r="J391" s="16" t="n"/>
      <c r="K391" s="125" t="n"/>
      <c r="L391" s="14" t="n"/>
      <c r="M391" s="16" t="n"/>
      <c r="N391" s="125" t="n"/>
      <c r="O391" s="14" t="n"/>
      <c r="P391" s="16" t="n"/>
      <c r="Q391" s="125" t="n"/>
      <c r="R391" s="14" t="n"/>
      <c r="S391" s="16" t="n"/>
      <c r="T391" s="125" t="n"/>
      <c r="U391" s="14" t="n"/>
      <c r="V391" s="16" t="n"/>
      <c r="W391" s="125" t="n"/>
      <c r="X391" s="14" t="n"/>
      <c r="Y391" s="16" t="n"/>
      <c r="Z391" s="125" t="n"/>
      <c r="AA391" s="14" t="n"/>
      <c r="AB391" s="16" t="n"/>
      <c r="AC391" s="125" t="n"/>
      <c r="AD391" s="14" t="n"/>
    </row>
    <row r="392">
      <c r="A392" s="56" t="n"/>
      <c r="B392" s="59" t="n"/>
      <c r="C392" s="59" t="n"/>
      <c r="E392" s="16" t="n"/>
      <c r="F392" s="13" t="n"/>
      <c r="G392" s="16" t="n"/>
      <c r="H392" s="125" t="n"/>
      <c r="I392" s="14" t="n"/>
      <c r="J392" s="16" t="n"/>
      <c r="K392" s="125" t="n"/>
      <c r="L392" s="14" t="n"/>
      <c r="M392" s="16" t="n"/>
      <c r="N392" s="125" t="n"/>
      <c r="O392" s="14" t="n"/>
      <c r="P392" s="16" t="n"/>
      <c r="Q392" s="125" t="n"/>
      <c r="R392" s="14" t="n"/>
      <c r="S392" s="16" t="n"/>
      <c r="T392" s="125" t="n"/>
      <c r="U392" s="14" t="n"/>
      <c r="V392" s="16" t="n"/>
      <c r="W392" s="125" t="n"/>
      <c r="X392" s="14" t="n"/>
      <c r="Y392" s="16" t="n"/>
      <c r="Z392" s="125" t="n"/>
      <c r="AA392" s="14" t="n"/>
      <c r="AB392" s="16" t="n"/>
      <c r="AC392" s="125" t="n"/>
      <c r="AD392" s="14" t="n"/>
    </row>
    <row r="393">
      <c r="A393" s="58" t="n"/>
      <c r="B393" s="59" t="n"/>
      <c r="C393" s="59" t="n"/>
      <c r="E393" s="16" t="n"/>
      <c r="F393" s="13" t="n"/>
      <c r="G393" s="16" t="n"/>
      <c r="H393" s="125" t="n"/>
      <c r="I393" s="14" t="n"/>
      <c r="J393" s="16" t="n"/>
      <c r="K393" s="125" t="n"/>
      <c r="L393" s="14" t="n"/>
      <c r="M393" s="16" t="n"/>
      <c r="N393" s="125" t="n"/>
      <c r="O393" s="14" t="n"/>
      <c r="P393" s="16" t="n"/>
      <c r="Q393" s="125" t="n"/>
      <c r="R393" s="14" t="n"/>
      <c r="S393" s="16" t="n"/>
      <c r="T393" s="125" t="n"/>
      <c r="U393" s="14" t="n"/>
      <c r="V393" s="16" t="n"/>
      <c r="W393" s="125" t="n"/>
      <c r="X393" s="14" t="n"/>
      <c r="Y393" s="16" t="n"/>
      <c r="Z393" s="125" t="n"/>
      <c r="AA393" s="14" t="n"/>
      <c r="AB393" s="16" t="n"/>
      <c r="AC393" s="125" t="n"/>
      <c r="AD393" s="14" t="n"/>
    </row>
    <row r="394">
      <c r="A394" s="56" t="n"/>
      <c r="B394" s="59" t="n"/>
      <c r="C394" s="59" t="n"/>
      <c r="E394" s="16" t="n"/>
      <c r="F394" s="13" t="n"/>
      <c r="G394" s="16" t="n"/>
      <c r="H394" s="125" t="n"/>
      <c r="I394" s="14" t="n"/>
      <c r="J394" s="16" t="n"/>
      <c r="K394" s="125" t="n"/>
      <c r="L394" s="14" t="n"/>
      <c r="M394" s="16" t="n"/>
      <c r="N394" s="125" t="n"/>
      <c r="O394" s="14" t="n"/>
      <c r="P394" s="16" t="n"/>
      <c r="Q394" s="125" t="n"/>
      <c r="R394" s="14" t="n"/>
      <c r="S394" s="16" t="n"/>
      <c r="T394" s="125" t="n"/>
      <c r="U394" s="14" t="n"/>
      <c r="V394" s="16" t="n"/>
      <c r="W394" s="125" t="n"/>
      <c r="X394" s="14" t="n"/>
      <c r="Y394" s="16" t="n"/>
      <c r="Z394" s="125" t="n"/>
      <c r="AA394" s="14" t="n"/>
      <c r="AB394" s="16" t="n"/>
      <c r="AC394" s="125" t="n"/>
      <c r="AD394" s="14" t="n"/>
    </row>
    <row r="395">
      <c r="A395" s="58" t="n"/>
      <c r="B395" s="59" t="n"/>
      <c r="C395" s="59" t="n"/>
      <c r="E395" s="16" t="n"/>
      <c r="F395" s="13" t="n"/>
      <c r="G395" s="16" t="n"/>
      <c r="H395" s="125" t="n"/>
      <c r="I395" s="14" t="n"/>
      <c r="J395" s="16" t="n"/>
      <c r="K395" s="125" t="n"/>
      <c r="L395" s="14" t="n"/>
      <c r="M395" s="16" t="n"/>
      <c r="N395" s="125" t="n"/>
      <c r="O395" s="14" t="n"/>
      <c r="P395" s="16" t="n"/>
      <c r="Q395" s="125" t="n"/>
      <c r="R395" s="14" t="n"/>
      <c r="S395" s="16" t="n"/>
      <c r="T395" s="125" t="n"/>
      <c r="U395" s="14" t="n"/>
      <c r="V395" s="16" t="n"/>
      <c r="W395" s="125" t="n"/>
      <c r="X395" s="14" t="n"/>
      <c r="Y395" s="16" t="n"/>
      <c r="Z395" s="125" t="n"/>
      <c r="AA395" s="14" t="n"/>
      <c r="AB395" s="16" t="n"/>
      <c r="AC395" s="125" t="n"/>
      <c r="AD395" s="14" t="n"/>
    </row>
    <row r="396">
      <c r="A396" s="56" t="n"/>
      <c r="B396" s="59" t="n"/>
      <c r="C396" s="59" t="n"/>
      <c r="E396" s="16" t="n"/>
      <c r="F396" s="13" t="n"/>
      <c r="G396" s="16" t="n"/>
      <c r="H396" s="125" t="n"/>
      <c r="I396" s="14" t="n"/>
      <c r="J396" s="16" t="n"/>
      <c r="K396" s="125" t="n"/>
      <c r="L396" s="14" t="n"/>
      <c r="M396" s="16" t="n"/>
      <c r="N396" s="125" t="n"/>
      <c r="O396" s="14" t="n"/>
      <c r="P396" s="16" t="n"/>
      <c r="Q396" s="125" t="n"/>
      <c r="R396" s="14" t="n"/>
      <c r="S396" s="16" t="n"/>
      <c r="T396" s="125" t="n"/>
      <c r="U396" s="14" t="n"/>
      <c r="V396" s="16" t="n"/>
      <c r="W396" s="125" t="n"/>
      <c r="X396" s="14" t="n"/>
      <c r="Y396" s="16" t="n"/>
      <c r="Z396" s="125" t="n"/>
      <c r="AA396" s="14" t="n"/>
      <c r="AB396" s="16" t="n"/>
      <c r="AC396" s="125" t="n"/>
      <c r="AD396" s="14" t="n"/>
    </row>
    <row r="397">
      <c r="A397" s="58" t="n"/>
      <c r="B397" s="59" t="n"/>
      <c r="C397" s="59" t="n"/>
      <c r="E397" s="16" t="n"/>
      <c r="F397" s="13" t="n"/>
      <c r="G397" s="16" t="n"/>
      <c r="H397" s="125" t="n"/>
      <c r="I397" s="14" t="n"/>
      <c r="J397" s="16" t="n"/>
      <c r="K397" s="125" t="n"/>
      <c r="L397" s="14" t="n"/>
      <c r="M397" s="16" t="n"/>
      <c r="N397" s="125" t="n"/>
      <c r="O397" s="14" t="n"/>
      <c r="P397" s="16" t="n"/>
      <c r="Q397" s="125" t="n"/>
      <c r="R397" s="14" t="n"/>
      <c r="S397" s="16" t="n"/>
      <c r="T397" s="125" t="n"/>
      <c r="U397" s="14" t="n"/>
      <c r="V397" s="16" t="n"/>
      <c r="W397" s="125" t="n"/>
      <c r="X397" s="14" t="n"/>
      <c r="Y397" s="16" t="n"/>
      <c r="Z397" s="125" t="n"/>
      <c r="AA397" s="14" t="n"/>
      <c r="AB397" s="16" t="n"/>
      <c r="AC397" s="125" t="n"/>
      <c r="AD397" s="14" t="n"/>
    </row>
    <row r="398">
      <c r="A398" s="56" t="n"/>
      <c r="B398" s="59" t="n"/>
      <c r="C398" s="59" t="n"/>
      <c r="E398" s="16" t="n"/>
      <c r="F398" s="13" t="n"/>
      <c r="G398" s="16" t="n"/>
      <c r="H398" s="125" t="n"/>
      <c r="I398" s="14" t="n"/>
      <c r="J398" s="16" t="n"/>
      <c r="K398" s="125" t="n"/>
      <c r="L398" s="14" t="n"/>
      <c r="M398" s="16" t="n"/>
      <c r="N398" s="125" t="n"/>
      <c r="O398" s="14" t="n"/>
      <c r="P398" s="16" t="n"/>
      <c r="Q398" s="125" t="n"/>
      <c r="R398" s="14" t="n"/>
      <c r="S398" s="16" t="n"/>
      <c r="T398" s="125" t="n"/>
      <c r="U398" s="14" t="n"/>
      <c r="V398" s="16" t="n"/>
      <c r="W398" s="125" t="n"/>
      <c r="X398" s="14" t="n"/>
      <c r="Y398" s="16" t="n"/>
      <c r="Z398" s="125" t="n"/>
      <c r="AA398" s="14" t="n"/>
      <c r="AB398" s="16" t="n"/>
      <c r="AC398" s="125" t="n"/>
      <c r="AD398" s="14" t="n"/>
    </row>
    <row r="399">
      <c r="A399" s="58" t="n"/>
      <c r="B399" s="59" t="n"/>
      <c r="C399" s="59" t="n"/>
      <c r="E399" s="16" t="n"/>
      <c r="F399" s="13" t="n"/>
      <c r="G399" s="16" t="n"/>
      <c r="H399" s="125" t="n"/>
      <c r="I399" s="14" t="n"/>
      <c r="J399" s="16" t="n"/>
      <c r="K399" s="125" t="n"/>
      <c r="L399" s="14" t="n"/>
      <c r="M399" s="16" t="n"/>
      <c r="N399" s="125" t="n"/>
      <c r="O399" s="14" t="n"/>
      <c r="P399" s="16" t="n"/>
      <c r="Q399" s="125" t="n"/>
      <c r="R399" s="14" t="n"/>
      <c r="S399" s="16" t="n"/>
      <c r="T399" s="125" t="n"/>
      <c r="U399" s="14" t="n"/>
      <c r="V399" s="16" t="n"/>
      <c r="W399" s="125" t="n"/>
      <c r="X399" s="14" t="n"/>
      <c r="Y399" s="16" t="n"/>
      <c r="Z399" s="125" t="n"/>
      <c r="AA399" s="14" t="n"/>
      <c r="AB399" s="16" t="n"/>
      <c r="AC399" s="125" t="n"/>
      <c r="AD399" s="14" t="n"/>
    </row>
    <row r="400">
      <c r="A400" s="56" t="n"/>
      <c r="B400" s="59" t="n"/>
      <c r="C400" s="59" t="n"/>
      <c r="E400" s="16" t="n"/>
      <c r="F400" s="13" t="n"/>
      <c r="G400" s="16" t="n"/>
      <c r="H400" s="125" t="n"/>
      <c r="I400" s="14" t="n"/>
      <c r="J400" s="16" t="n"/>
      <c r="K400" s="125" t="n"/>
      <c r="L400" s="14" t="n"/>
      <c r="M400" s="16" t="n"/>
      <c r="N400" s="125" t="n"/>
      <c r="O400" s="14" t="n"/>
      <c r="P400" s="16" t="n"/>
      <c r="Q400" s="125" t="n"/>
      <c r="R400" s="14" t="n"/>
      <c r="S400" s="16" t="n"/>
      <c r="T400" s="125" t="n"/>
      <c r="U400" s="14" t="n"/>
      <c r="V400" s="16" t="n"/>
      <c r="W400" s="125" t="n"/>
      <c r="X400" s="14" t="n"/>
      <c r="Y400" s="16" t="n"/>
      <c r="Z400" s="125" t="n"/>
      <c r="AA400" s="14" t="n"/>
      <c r="AB400" s="16" t="n"/>
      <c r="AC400" s="125" t="n"/>
      <c r="AD400" s="14" t="n"/>
    </row>
    <row r="401">
      <c r="A401" s="58" t="n"/>
      <c r="B401" s="59" t="n"/>
      <c r="C401" s="59" t="n"/>
      <c r="E401" s="16" t="n"/>
      <c r="F401" s="13" t="n"/>
      <c r="G401" s="16" t="n"/>
      <c r="H401" s="125" t="n"/>
      <c r="I401" s="14" t="n"/>
      <c r="J401" s="16" t="n"/>
      <c r="K401" s="125" t="n"/>
      <c r="L401" s="14" t="n"/>
      <c r="M401" s="16" t="n"/>
      <c r="N401" s="125" t="n"/>
      <c r="O401" s="14" t="n"/>
      <c r="P401" s="16" t="n"/>
      <c r="Q401" s="125" t="n"/>
      <c r="R401" s="14" t="n"/>
      <c r="S401" s="16" t="n"/>
      <c r="T401" s="125" t="n"/>
      <c r="U401" s="14" t="n"/>
      <c r="V401" s="16" t="n"/>
      <c r="W401" s="125" t="n"/>
      <c r="X401" s="14" t="n"/>
      <c r="Y401" s="16" t="n"/>
      <c r="Z401" s="125" t="n"/>
      <c r="AA401" s="14" t="n"/>
      <c r="AB401" s="16" t="n"/>
      <c r="AC401" s="125" t="n"/>
      <c r="AD401" s="14" t="n"/>
    </row>
    <row r="402">
      <c r="A402" s="56" t="n"/>
      <c r="B402" s="59" t="n"/>
      <c r="C402" s="59" t="n"/>
      <c r="E402" s="16" t="n"/>
      <c r="F402" s="13" t="n"/>
      <c r="G402" s="16" t="n"/>
      <c r="H402" s="125" t="n"/>
      <c r="I402" s="14" t="n"/>
      <c r="J402" s="16" t="n"/>
      <c r="K402" s="125" t="n"/>
      <c r="L402" s="14" t="n"/>
      <c r="M402" s="16" t="n"/>
      <c r="N402" s="125" t="n"/>
      <c r="O402" s="14" t="n"/>
      <c r="P402" s="16" t="n"/>
      <c r="Q402" s="125" t="n"/>
      <c r="R402" s="14" t="n"/>
      <c r="S402" s="16" t="n"/>
      <c r="T402" s="125" t="n"/>
      <c r="U402" s="14" t="n"/>
      <c r="V402" s="16" t="n"/>
      <c r="W402" s="125" t="n"/>
      <c r="X402" s="14" t="n"/>
      <c r="Y402" s="16" t="n"/>
      <c r="Z402" s="125" t="n"/>
      <c r="AA402" s="14" t="n"/>
      <c r="AB402" s="16" t="n"/>
      <c r="AC402" s="125" t="n"/>
      <c r="AD402" s="14" t="n"/>
    </row>
    <row r="403">
      <c r="A403" s="58" t="n"/>
      <c r="B403" s="59" t="n"/>
      <c r="C403" s="59" t="n"/>
      <c r="E403" s="16" t="n"/>
      <c r="F403" s="13" t="n"/>
      <c r="G403" s="16" t="n"/>
      <c r="H403" s="125" t="n"/>
      <c r="I403" s="14" t="n"/>
      <c r="J403" s="16" t="n"/>
      <c r="K403" s="125" t="n"/>
      <c r="L403" s="14" t="n"/>
      <c r="M403" s="16" t="n"/>
      <c r="N403" s="125" t="n"/>
      <c r="O403" s="14" t="n"/>
      <c r="P403" s="16" t="n"/>
      <c r="Q403" s="125" t="n"/>
      <c r="R403" s="14" t="n"/>
      <c r="S403" s="16" t="n"/>
      <c r="T403" s="125" t="n"/>
      <c r="U403" s="14" t="n"/>
      <c r="V403" s="16" t="n"/>
      <c r="W403" s="125" t="n"/>
      <c r="X403" s="14" t="n"/>
      <c r="Y403" s="16" t="n"/>
      <c r="Z403" s="125" t="n"/>
      <c r="AA403" s="14" t="n"/>
      <c r="AB403" s="16" t="n"/>
      <c r="AC403" s="125" t="n"/>
      <c r="AD403" s="14" t="n"/>
    </row>
    <row r="404">
      <c r="A404" s="56" t="n"/>
      <c r="B404" s="59" t="n"/>
      <c r="C404" s="59" t="n"/>
      <c r="E404" s="16" t="n"/>
      <c r="F404" s="13" t="n"/>
      <c r="G404" s="16" t="n"/>
      <c r="H404" s="125" t="n"/>
      <c r="I404" s="14" t="n"/>
      <c r="J404" s="16" t="n"/>
      <c r="K404" s="125" t="n"/>
      <c r="L404" s="14" t="n"/>
      <c r="M404" s="16" t="n"/>
      <c r="N404" s="125" t="n"/>
      <c r="O404" s="14" t="n"/>
      <c r="P404" s="16" t="n"/>
      <c r="Q404" s="125" t="n"/>
      <c r="R404" s="14" t="n"/>
      <c r="S404" s="16" t="n"/>
      <c r="T404" s="125" t="n"/>
      <c r="U404" s="14" t="n"/>
      <c r="V404" s="16" t="n"/>
      <c r="W404" s="125" t="n"/>
      <c r="X404" s="14" t="n"/>
      <c r="Y404" s="16" t="n"/>
      <c r="Z404" s="125" t="n"/>
      <c r="AA404" s="14" t="n"/>
      <c r="AB404" s="16" t="n"/>
      <c r="AC404" s="125" t="n"/>
      <c r="AD404" s="14" t="n"/>
    </row>
    <row r="405">
      <c r="A405" s="58" t="n"/>
      <c r="B405" s="59" t="n"/>
      <c r="C405" s="59" t="n"/>
      <c r="E405" s="16" t="n"/>
      <c r="F405" s="13" t="n"/>
      <c r="G405" s="16" t="n"/>
      <c r="H405" s="125" t="n"/>
      <c r="I405" s="14" t="n"/>
      <c r="J405" s="16" t="n"/>
      <c r="K405" s="125" t="n"/>
      <c r="L405" s="14" t="n"/>
      <c r="M405" s="16" t="n"/>
      <c r="N405" s="125" t="n"/>
      <c r="O405" s="14" t="n"/>
      <c r="P405" s="16" t="n"/>
      <c r="Q405" s="125" t="n"/>
      <c r="R405" s="14" t="n"/>
      <c r="S405" s="16" t="n"/>
      <c r="T405" s="125" t="n"/>
      <c r="U405" s="14" t="n"/>
      <c r="V405" s="16" t="n"/>
      <c r="W405" s="125" t="n"/>
      <c r="X405" s="14" t="n"/>
      <c r="Y405" s="16" t="n"/>
      <c r="Z405" s="125" t="n"/>
      <c r="AA405" s="14" t="n"/>
      <c r="AB405" s="16" t="n"/>
      <c r="AC405" s="125" t="n"/>
      <c r="AD405" s="14" t="n"/>
    </row>
    <row r="406">
      <c r="A406" s="56" t="n"/>
      <c r="B406" s="59" t="n"/>
      <c r="C406" s="59" t="n"/>
      <c r="E406" s="16" t="n"/>
      <c r="F406" s="13" t="n"/>
      <c r="G406" s="16" t="n"/>
      <c r="H406" s="125" t="n"/>
      <c r="I406" s="14" t="n"/>
      <c r="J406" s="16" t="n"/>
      <c r="K406" s="125" t="n"/>
      <c r="L406" s="14" t="n"/>
      <c r="M406" s="16" t="n"/>
      <c r="N406" s="125" t="n"/>
      <c r="O406" s="14" t="n"/>
      <c r="P406" s="16" t="n"/>
      <c r="Q406" s="125" t="n"/>
      <c r="R406" s="14" t="n"/>
      <c r="S406" s="16" t="n"/>
      <c r="T406" s="125" t="n"/>
      <c r="U406" s="14" t="n"/>
      <c r="V406" s="16" t="n"/>
      <c r="W406" s="125" t="n"/>
      <c r="X406" s="14" t="n"/>
      <c r="Y406" s="16" t="n"/>
      <c r="Z406" s="125" t="n"/>
      <c r="AA406" s="14" t="n"/>
      <c r="AB406" s="16" t="n"/>
      <c r="AC406" s="125" t="n"/>
      <c r="AD406" s="14" t="n"/>
    </row>
    <row r="407">
      <c r="A407" s="58" t="n"/>
      <c r="B407" s="59" t="n"/>
      <c r="C407" s="59" t="n"/>
      <c r="E407" s="16" t="n"/>
      <c r="F407" s="13" t="n"/>
      <c r="G407" s="16" t="n"/>
      <c r="H407" s="125" t="n"/>
      <c r="I407" s="14" t="n"/>
      <c r="J407" s="16" t="n"/>
      <c r="K407" s="125" t="n"/>
      <c r="L407" s="14" t="n"/>
      <c r="M407" s="16" t="n"/>
      <c r="N407" s="125" t="n"/>
      <c r="O407" s="14" t="n"/>
      <c r="P407" s="16" t="n"/>
      <c r="Q407" s="125" t="n"/>
      <c r="R407" s="14" t="n"/>
      <c r="S407" s="16" t="n"/>
      <c r="T407" s="125" t="n"/>
      <c r="U407" s="14" t="n"/>
      <c r="V407" s="16" t="n"/>
      <c r="W407" s="125" t="n"/>
      <c r="X407" s="14" t="n"/>
      <c r="Y407" s="16" t="n"/>
      <c r="Z407" s="125" t="n"/>
      <c r="AA407" s="14" t="n"/>
      <c r="AB407" s="16" t="n"/>
      <c r="AC407" s="125" t="n"/>
      <c r="AD407" s="14" t="n"/>
    </row>
    <row r="408">
      <c r="A408" s="56" t="n"/>
      <c r="B408" s="59" t="n"/>
      <c r="C408" s="59" t="n"/>
      <c r="E408" s="16" t="n"/>
      <c r="F408" s="13" t="n"/>
      <c r="G408" s="16" t="n"/>
      <c r="H408" s="125" t="n"/>
      <c r="I408" s="14" t="n"/>
      <c r="J408" s="16" t="n"/>
      <c r="K408" s="125" t="n"/>
      <c r="L408" s="14" t="n"/>
      <c r="M408" s="16" t="n"/>
      <c r="N408" s="125" t="n"/>
      <c r="O408" s="14" t="n"/>
      <c r="P408" s="16" t="n"/>
      <c r="Q408" s="125" t="n"/>
      <c r="R408" s="14" t="n"/>
      <c r="S408" s="16" t="n"/>
      <c r="T408" s="125" t="n"/>
      <c r="U408" s="14" t="n"/>
      <c r="V408" s="16" t="n"/>
      <c r="W408" s="125" t="n"/>
      <c r="X408" s="14" t="n"/>
      <c r="Y408" s="16" t="n"/>
      <c r="Z408" s="125" t="n"/>
      <c r="AA408" s="14" t="n"/>
      <c r="AB408" s="16" t="n"/>
      <c r="AC408" s="125" t="n"/>
      <c r="AD408" s="14" t="n"/>
    </row>
    <row r="409">
      <c r="A409" s="58" t="n"/>
      <c r="B409" s="59" t="n"/>
      <c r="C409" s="59" t="n"/>
      <c r="E409" s="16" t="n"/>
      <c r="F409" s="13" t="n"/>
      <c r="G409" s="16" t="n"/>
      <c r="H409" s="125" t="n"/>
      <c r="I409" s="14" t="n"/>
      <c r="J409" s="16" t="n"/>
      <c r="K409" s="125" t="n"/>
      <c r="L409" s="14" t="n"/>
      <c r="M409" s="16" t="n"/>
      <c r="N409" s="125" t="n"/>
      <c r="O409" s="14" t="n"/>
      <c r="P409" s="16" t="n"/>
      <c r="Q409" s="125" t="n"/>
      <c r="R409" s="14" t="n"/>
      <c r="S409" s="16" t="n"/>
      <c r="T409" s="125" t="n"/>
      <c r="U409" s="14" t="n"/>
      <c r="V409" s="16" t="n"/>
      <c r="W409" s="125" t="n"/>
      <c r="X409" s="14" t="n"/>
      <c r="Y409" s="16" t="n"/>
      <c r="Z409" s="125" t="n"/>
      <c r="AA409" s="14" t="n"/>
      <c r="AB409" s="16" t="n"/>
      <c r="AC409" s="125" t="n"/>
      <c r="AD409" s="14" t="n"/>
    </row>
    <row r="410">
      <c r="A410" s="56" t="n"/>
      <c r="B410" s="59" t="n"/>
      <c r="C410" s="59" t="n"/>
      <c r="E410" s="16" t="n"/>
      <c r="F410" s="13" t="n"/>
      <c r="G410" s="16" t="n"/>
      <c r="H410" s="125" t="n"/>
      <c r="I410" s="14" t="n"/>
      <c r="J410" s="16" t="n"/>
      <c r="K410" s="125" t="n"/>
      <c r="L410" s="14" t="n"/>
      <c r="M410" s="16" t="n"/>
      <c r="N410" s="125" t="n"/>
      <c r="O410" s="14" t="n"/>
      <c r="P410" s="16" t="n"/>
      <c r="Q410" s="125" t="n"/>
      <c r="R410" s="14" t="n"/>
      <c r="S410" s="16" t="n"/>
      <c r="T410" s="125" t="n"/>
      <c r="U410" s="14" t="n"/>
      <c r="V410" s="16" t="n"/>
      <c r="W410" s="125" t="n"/>
      <c r="X410" s="14" t="n"/>
      <c r="Y410" s="16" t="n"/>
      <c r="Z410" s="125" t="n"/>
      <c r="AA410" s="14" t="n"/>
      <c r="AB410" s="16" t="n"/>
      <c r="AC410" s="125" t="n"/>
      <c r="AD410" s="14" t="n"/>
    </row>
    <row r="411">
      <c r="A411" s="58" t="n"/>
      <c r="B411" s="59" t="n"/>
      <c r="C411" s="59" t="n"/>
      <c r="E411" s="16" t="n"/>
      <c r="F411" s="13" t="n"/>
      <c r="G411" s="16" t="n"/>
      <c r="H411" s="125" t="n"/>
      <c r="I411" s="14" t="n"/>
      <c r="J411" s="16" t="n"/>
      <c r="K411" s="125" t="n"/>
      <c r="L411" s="14" t="n"/>
      <c r="M411" s="16" t="n"/>
      <c r="N411" s="125" t="n"/>
      <c r="O411" s="14" t="n"/>
      <c r="P411" s="16" t="n"/>
      <c r="Q411" s="125" t="n"/>
      <c r="R411" s="14" t="n"/>
      <c r="S411" s="16" t="n"/>
      <c r="T411" s="125" t="n"/>
      <c r="U411" s="14" t="n"/>
      <c r="V411" s="16" t="n"/>
      <c r="W411" s="125" t="n"/>
      <c r="X411" s="14" t="n"/>
      <c r="Y411" s="16" t="n"/>
      <c r="Z411" s="125" t="n"/>
      <c r="AA411" s="14" t="n"/>
      <c r="AB411" s="16" t="n"/>
      <c r="AC411" s="125" t="n"/>
      <c r="AD411" s="14" t="n"/>
    </row>
    <row r="412">
      <c r="A412" s="56" t="n"/>
      <c r="B412" s="59" t="n"/>
      <c r="C412" s="59" t="n"/>
      <c r="E412" s="16" t="n"/>
      <c r="F412" s="13" t="n"/>
      <c r="G412" s="16" t="n"/>
      <c r="H412" s="125" t="n"/>
      <c r="I412" s="14" t="n"/>
      <c r="J412" s="16" t="n"/>
      <c r="K412" s="125" t="n"/>
      <c r="L412" s="14" t="n"/>
      <c r="M412" s="16" t="n"/>
      <c r="N412" s="125" t="n"/>
      <c r="O412" s="14" t="n"/>
      <c r="P412" s="16" t="n"/>
      <c r="Q412" s="125" t="n"/>
      <c r="R412" s="14" t="n"/>
      <c r="S412" s="16" t="n"/>
      <c r="T412" s="125" t="n"/>
      <c r="U412" s="14" t="n"/>
      <c r="V412" s="16" t="n"/>
      <c r="W412" s="125" t="n"/>
      <c r="X412" s="14" t="n"/>
      <c r="Y412" s="16" t="n"/>
      <c r="Z412" s="125" t="n"/>
      <c r="AA412" s="14" t="n"/>
      <c r="AB412" s="16" t="n"/>
      <c r="AC412" s="125" t="n"/>
      <c r="AD412" s="14" t="n"/>
    </row>
    <row r="413">
      <c r="A413" s="58" t="n"/>
      <c r="B413" s="59" t="n"/>
      <c r="C413" s="59" t="n"/>
      <c r="E413" s="16" t="n"/>
      <c r="F413" s="13" t="n"/>
      <c r="G413" s="16" t="n"/>
      <c r="H413" s="125" t="n"/>
      <c r="I413" s="14" t="n"/>
      <c r="J413" s="16" t="n"/>
      <c r="K413" s="125" t="n"/>
      <c r="L413" s="14" t="n"/>
      <c r="M413" s="16" t="n"/>
      <c r="N413" s="125" t="n"/>
      <c r="O413" s="14" t="n"/>
      <c r="P413" s="16" t="n"/>
      <c r="Q413" s="125" t="n"/>
      <c r="R413" s="14" t="n"/>
      <c r="S413" s="16" t="n"/>
      <c r="T413" s="125" t="n"/>
      <c r="U413" s="14" t="n"/>
      <c r="V413" s="16" t="n"/>
      <c r="W413" s="125" t="n"/>
      <c r="X413" s="14" t="n"/>
      <c r="Y413" s="16" t="n"/>
      <c r="Z413" s="125" t="n"/>
      <c r="AA413" s="14" t="n"/>
      <c r="AB413" s="16" t="n"/>
      <c r="AC413" s="125" t="n"/>
      <c r="AD413" s="14" t="n"/>
    </row>
    <row r="414">
      <c r="A414" s="56" t="n"/>
      <c r="B414" s="59" t="n"/>
      <c r="C414" s="59" t="n"/>
      <c r="E414" s="16" t="n"/>
      <c r="F414" s="13" t="n"/>
      <c r="G414" s="16" t="n"/>
      <c r="H414" s="125" t="n"/>
      <c r="I414" s="14" t="n"/>
      <c r="J414" s="16" t="n"/>
      <c r="K414" s="125" t="n"/>
      <c r="L414" s="14" t="n"/>
      <c r="M414" s="16" t="n"/>
      <c r="N414" s="125" t="n"/>
      <c r="O414" s="14" t="n"/>
      <c r="P414" s="16" t="n"/>
      <c r="Q414" s="125" t="n"/>
      <c r="R414" s="14" t="n"/>
      <c r="S414" s="16" t="n"/>
      <c r="T414" s="125" t="n"/>
      <c r="U414" s="14" t="n"/>
      <c r="V414" s="16" t="n"/>
      <c r="W414" s="125" t="n"/>
      <c r="X414" s="14" t="n"/>
      <c r="Y414" s="16" t="n"/>
      <c r="Z414" s="125" t="n"/>
      <c r="AA414" s="14" t="n"/>
      <c r="AB414" s="16" t="n"/>
      <c r="AC414" s="125" t="n"/>
      <c r="AD414" s="14" t="n"/>
    </row>
    <row r="415">
      <c r="A415" s="58" t="n"/>
      <c r="B415" s="59" t="n"/>
      <c r="C415" s="59" t="n"/>
      <c r="E415" s="16" t="n"/>
      <c r="F415" s="13" t="n"/>
      <c r="G415" s="16" t="n"/>
      <c r="H415" s="125" t="n"/>
      <c r="I415" s="14" t="n"/>
      <c r="J415" s="16" t="n"/>
      <c r="K415" s="125" t="n"/>
      <c r="L415" s="14" t="n"/>
      <c r="M415" s="16" t="n"/>
      <c r="N415" s="125" t="n"/>
      <c r="O415" s="14" t="n"/>
      <c r="P415" s="16" t="n"/>
      <c r="Q415" s="125" t="n"/>
      <c r="R415" s="14" t="n"/>
      <c r="S415" s="16" t="n"/>
      <c r="T415" s="125" t="n"/>
      <c r="U415" s="14" t="n"/>
      <c r="V415" s="16" t="n"/>
      <c r="W415" s="125" t="n"/>
      <c r="X415" s="14" t="n"/>
      <c r="Y415" s="16" t="n"/>
      <c r="Z415" s="125" t="n"/>
      <c r="AA415" s="14" t="n"/>
      <c r="AB415" s="16" t="n"/>
      <c r="AC415" s="125" t="n"/>
      <c r="AD415" s="14" t="n"/>
    </row>
    <row r="416">
      <c r="A416" s="56" t="n"/>
      <c r="B416" s="59" t="n"/>
      <c r="C416" s="59" t="n"/>
      <c r="E416" s="16" t="n"/>
      <c r="F416" s="13" t="n"/>
      <c r="G416" s="16" t="n"/>
      <c r="H416" s="125" t="n"/>
      <c r="I416" s="14" t="n"/>
      <c r="J416" s="16" t="n"/>
      <c r="K416" s="125" t="n"/>
      <c r="L416" s="14" t="n"/>
      <c r="M416" s="16" t="n"/>
      <c r="N416" s="125" t="n"/>
      <c r="O416" s="14" t="n"/>
      <c r="P416" s="16" t="n"/>
      <c r="Q416" s="125" t="n"/>
      <c r="R416" s="14" t="n"/>
      <c r="S416" s="16" t="n"/>
      <c r="T416" s="125" t="n"/>
      <c r="U416" s="14" t="n"/>
      <c r="V416" s="16" t="n"/>
      <c r="W416" s="125" t="n"/>
      <c r="X416" s="14" t="n"/>
      <c r="Y416" s="16" t="n"/>
      <c r="Z416" s="125" t="n"/>
      <c r="AA416" s="14" t="n"/>
      <c r="AB416" s="16" t="n"/>
      <c r="AC416" s="125" t="n"/>
      <c r="AD416" s="14" t="n"/>
    </row>
    <row r="417">
      <c r="A417" s="58" t="n"/>
      <c r="B417" s="59" t="n"/>
      <c r="C417" s="59" t="n"/>
      <c r="E417" s="16" t="n"/>
      <c r="F417" s="13" t="n"/>
      <c r="G417" s="16" t="n"/>
      <c r="H417" s="125" t="n"/>
      <c r="I417" s="14" t="n"/>
      <c r="J417" s="16" t="n"/>
      <c r="K417" s="125" t="n"/>
      <c r="L417" s="14" t="n"/>
      <c r="M417" s="16" t="n"/>
      <c r="N417" s="125" t="n"/>
      <c r="O417" s="14" t="n"/>
      <c r="P417" s="16" t="n"/>
      <c r="Q417" s="125" t="n"/>
      <c r="R417" s="14" t="n"/>
      <c r="S417" s="16" t="n"/>
      <c r="T417" s="125" t="n"/>
      <c r="U417" s="14" t="n"/>
      <c r="V417" s="16" t="n"/>
      <c r="W417" s="125" t="n"/>
      <c r="X417" s="14" t="n"/>
      <c r="Y417" s="16" t="n"/>
      <c r="Z417" s="125" t="n"/>
      <c r="AA417" s="14" t="n"/>
      <c r="AB417" s="16" t="n"/>
      <c r="AC417" s="125" t="n"/>
      <c r="AD417" s="14" t="n"/>
    </row>
    <row r="418">
      <c r="A418" s="56" t="n"/>
      <c r="B418" s="59" t="n"/>
      <c r="C418" s="59" t="n"/>
      <c r="E418" s="16" t="n"/>
      <c r="F418" s="13" t="n"/>
      <c r="G418" s="16" t="n"/>
      <c r="H418" s="125" t="n"/>
      <c r="I418" s="14" t="n"/>
      <c r="J418" s="16" t="n"/>
      <c r="K418" s="125" t="n"/>
      <c r="L418" s="14" t="n"/>
      <c r="M418" s="16" t="n"/>
      <c r="N418" s="125" t="n"/>
      <c r="O418" s="14" t="n"/>
      <c r="P418" s="16" t="n"/>
      <c r="Q418" s="125" t="n"/>
      <c r="R418" s="14" t="n"/>
      <c r="S418" s="16" t="n"/>
      <c r="T418" s="125" t="n"/>
      <c r="U418" s="14" t="n"/>
      <c r="V418" s="16" t="n"/>
      <c r="W418" s="125" t="n"/>
      <c r="X418" s="14" t="n"/>
      <c r="Y418" s="16" t="n"/>
      <c r="Z418" s="125" t="n"/>
      <c r="AA418" s="14" t="n"/>
      <c r="AB418" s="16" t="n"/>
      <c r="AC418" s="125" t="n"/>
      <c r="AD418" s="14" t="n"/>
    </row>
    <row r="419">
      <c r="A419" s="58" t="n"/>
      <c r="B419" s="59" t="n"/>
      <c r="C419" s="59" t="n"/>
      <c r="E419" s="16" t="n"/>
      <c r="F419" s="13" t="n"/>
      <c r="G419" s="16" t="n"/>
      <c r="H419" s="125" t="n"/>
      <c r="I419" s="14" t="n"/>
      <c r="J419" s="16" t="n"/>
      <c r="K419" s="125" t="n"/>
      <c r="L419" s="14" t="n"/>
      <c r="M419" s="16" t="n"/>
      <c r="N419" s="125" t="n"/>
      <c r="O419" s="14" t="n"/>
      <c r="P419" s="16" t="n"/>
      <c r="Q419" s="125" t="n"/>
      <c r="R419" s="14" t="n"/>
      <c r="S419" s="16" t="n"/>
      <c r="T419" s="125" t="n"/>
      <c r="U419" s="14" t="n"/>
      <c r="V419" s="16" t="n"/>
      <c r="W419" s="125" t="n"/>
      <c r="X419" s="14" t="n"/>
      <c r="Y419" s="16" t="n"/>
      <c r="Z419" s="125" t="n"/>
      <c r="AA419" s="14" t="n"/>
      <c r="AB419" s="16" t="n"/>
      <c r="AC419" s="125" t="n"/>
      <c r="AD419" s="14" t="n"/>
    </row>
    <row r="420">
      <c r="A420" s="56" t="n"/>
      <c r="B420" s="59" t="n"/>
      <c r="C420" s="59" t="n"/>
      <c r="E420" s="16" t="n"/>
      <c r="F420" s="13" t="n"/>
      <c r="G420" s="16" t="n"/>
      <c r="H420" s="125" t="n"/>
      <c r="I420" s="14" t="n"/>
      <c r="J420" s="16" t="n"/>
      <c r="K420" s="125" t="n"/>
      <c r="L420" s="14" t="n"/>
      <c r="M420" s="16" t="n"/>
      <c r="N420" s="125" t="n"/>
      <c r="O420" s="14" t="n"/>
      <c r="P420" s="16" t="n"/>
      <c r="Q420" s="125" t="n"/>
      <c r="R420" s="14" t="n"/>
      <c r="S420" s="16" t="n"/>
      <c r="T420" s="125" t="n"/>
      <c r="U420" s="14" t="n"/>
      <c r="V420" s="16" t="n"/>
      <c r="W420" s="125" t="n"/>
      <c r="X420" s="14" t="n"/>
      <c r="Y420" s="16" t="n"/>
      <c r="Z420" s="125" t="n"/>
      <c r="AA420" s="14" t="n"/>
      <c r="AB420" s="16" t="n"/>
      <c r="AC420" s="125" t="n"/>
      <c r="AD420" s="14" t="n"/>
    </row>
    <row r="421">
      <c r="A421" s="58" t="n"/>
      <c r="B421" s="59" t="n"/>
      <c r="C421" s="59" t="n"/>
      <c r="E421" s="16" t="n"/>
      <c r="F421" s="13" t="n"/>
      <c r="G421" s="16" t="n"/>
      <c r="H421" s="125" t="n"/>
      <c r="I421" s="14" t="n"/>
      <c r="J421" s="16" t="n"/>
      <c r="K421" s="125" t="n"/>
      <c r="L421" s="14" t="n"/>
      <c r="M421" s="16" t="n"/>
      <c r="N421" s="125" t="n"/>
      <c r="O421" s="14" t="n"/>
      <c r="P421" s="16" t="n"/>
      <c r="Q421" s="125" t="n"/>
      <c r="R421" s="14" t="n"/>
      <c r="S421" s="16" t="n"/>
      <c r="T421" s="125" t="n"/>
      <c r="U421" s="14" t="n"/>
      <c r="V421" s="16" t="n"/>
      <c r="W421" s="125" t="n"/>
      <c r="X421" s="14" t="n"/>
      <c r="Y421" s="16" t="n"/>
      <c r="Z421" s="125" t="n"/>
      <c r="AA421" s="14" t="n"/>
      <c r="AB421" s="16" t="n"/>
      <c r="AC421" s="125" t="n"/>
      <c r="AD421" s="14" t="n"/>
    </row>
    <row r="422">
      <c r="A422" s="56" t="n"/>
      <c r="B422" s="59" t="n"/>
      <c r="C422" s="59" t="n"/>
      <c r="E422" s="16" t="n"/>
      <c r="F422" s="13" t="n"/>
      <c r="G422" s="16" t="n"/>
      <c r="H422" s="125" t="n"/>
      <c r="I422" s="14" t="n"/>
      <c r="J422" s="16" t="n"/>
      <c r="K422" s="125" t="n"/>
      <c r="L422" s="14" t="n"/>
      <c r="M422" s="16" t="n"/>
      <c r="N422" s="125" t="n"/>
      <c r="O422" s="14" t="n"/>
      <c r="P422" s="16" t="n"/>
      <c r="Q422" s="125" t="n"/>
      <c r="R422" s="14" t="n"/>
      <c r="S422" s="16" t="n"/>
      <c r="T422" s="125" t="n"/>
      <c r="U422" s="14" t="n"/>
      <c r="V422" s="16" t="n"/>
      <c r="W422" s="125" t="n"/>
      <c r="X422" s="14" t="n"/>
      <c r="Y422" s="16" t="n"/>
      <c r="Z422" s="125" t="n"/>
      <c r="AA422" s="14" t="n"/>
      <c r="AB422" s="16" t="n"/>
      <c r="AC422" s="125" t="n"/>
      <c r="AD422" s="14" t="n"/>
    </row>
    <row r="423">
      <c r="A423" s="58" t="n"/>
      <c r="B423" s="59" t="n"/>
      <c r="C423" s="59" t="n"/>
      <c r="E423" s="16" t="n"/>
      <c r="F423" s="13" t="n"/>
      <c r="G423" s="16" t="n"/>
      <c r="H423" s="125" t="n"/>
      <c r="I423" s="14" t="n"/>
      <c r="J423" s="16" t="n"/>
      <c r="K423" s="125" t="n"/>
      <c r="L423" s="14" t="n"/>
      <c r="M423" s="16" t="n"/>
      <c r="N423" s="125" t="n"/>
      <c r="O423" s="14" t="n"/>
      <c r="P423" s="16" t="n"/>
      <c r="Q423" s="125" t="n"/>
      <c r="R423" s="14" t="n"/>
      <c r="S423" s="16" t="n"/>
      <c r="T423" s="125" t="n"/>
      <c r="U423" s="14" t="n"/>
      <c r="V423" s="16" t="n"/>
      <c r="W423" s="125" t="n"/>
      <c r="X423" s="14" t="n"/>
      <c r="Y423" s="16" t="n"/>
      <c r="Z423" s="125" t="n"/>
      <c r="AA423" s="14" t="n"/>
      <c r="AB423" s="16" t="n"/>
      <c r="AC423" s="125" t="n"/>
      <c r="AD423" s="14" t="n"/>
    </row>
    <row r="424">
      <c r="A424" s="56" t="n"/>
      <c r="B424" s="59" t="n"/>
      <c r="C424" s="59" t="n"/>
      <c r="E424" s="16" t="n"/>
      <c r="F424" s="13" t="n"/>
      <c r="G424" s="16" t="n"/>
      <c r="H424" s="125" t="n"/>
      <c r="I424" s="14" t="n"/>
      <c r="J424" s="16" t="n"/>
      <c r="K424" s="125" t="n"/>
      <c r="L424" s="14" t="n"/>
      <c r="M424" s="16" t="n"/>
      <c r="N424" s="125" t="n"/>
      <c r="O424" s="14" t="n"/>
      <c r="P424" s="16" t="n"/>
      <c r="Q424" s="125" t="n"/>
      <c r="R424" s="14" t="n"/>
      <c r="S424" s="16" t="n"/>
      <c r="T424" s="125" t="n"/>
      <c r="U424" s="14" t="n"/>
      <c r="V424" s="16" t="n"/>
      <c r="W424" s="125" t="n"/>
      <c r="X424" s="14" t="n"/>
      <c r="Y424" s="16" t="n"/>
      <c r="Z424" s="125" t="n"/>
      <c r="AA424" s="14" t="n"/>
      <c r="AB424" s="16" t="n"/>
      <c r="AC424" s="125" t="n"/>
      <c r="AD424" s="14" t="n"/>
    </row>
    <row r="425">
      <c r="A425" s="58" t="n"/>
      <c r="B425" s="59" t="n"/>
      <c r="C425" s="59" t="n"/>
      <c r="E425" s="16" t="n"/>
      <c r="F425" s="13" t="n"/>
      <c r="G425" s="16" t="n"/>
      <c r="H425" s="125" t="n"/>
      <c r="I425" s="14" t="n"/>
      <c r="J425" s="16" t="n"/>
      <c r="K425" s="125" t="n"/>
      <c r="L425" s="14" t="n"/>
      <c r="M425" s="16" t="n"/>
      <c r="N425" s="125" t="n"/>
      <c r="O425" s="14" t="n"/>
      <c r="P425" s="16" t="n"/>
      <c r="Q425" s="125" t="n"/>
      <c r="R425" s="14" t="n"/>
      <c r="S425" s="16" t="n"/>
      <c r="T425" s="125" t="n"/>
      <c r="U425" s="14" t="n"/>
      <c r="V425" s="16" t="n"/>
      <c r="W425" s="125" t="n"/>
      <c r="X425" s="14" t="n"/>
      <c r="Y425" s="16" t="n"/>
      <c r="Z425" s="125" t="n"/>
      <c r="AA425" s="14" t="n"/>
      <c r="AB425" s="16" t="n"/>
      <c r="AC425" s="125" t="n"/>
      <c r="AD425" s="14" t="n"/>
    </row>
    <row r="426">
      <c r="A426" s="56" t="n"/>
      <c r="B426" s="59" t="n"/>
      <c r="C426" s="59" t="n"/>
      <c r="E426" s="16" t="n"/>
      <c r="F426" s="13" t="n"/>
      <c r="G426" s="16" t="n"/>
      <c r="H426" s="125" t="n"/>
      <c r="I426" s="14" t="n"/>
      <c r="J426" s="16" t="n"/>
      <c r="K426" s="125" t="n"/>
      <c r="L426" s="14" t="n"/>
      <c r="M426" s="16" t="n"/>
      <c r="N426" s="125" t="n"/>
      <c r="O426" s="14" t="n"/>
      <c r="P426" s="16" t="n"/>
      <c r="Q426" s="125" t="n"/>
      <c r="R426" s="14" t="n"/>
      <c r="S426" s="16" t="n"/>
      <c r="T426" s="125" t="n"/>
      <c r="U426" s="14" t="n"/>
      <c r="V426" s="16" t="n"/>
      <c r="W426" s="125" t="n"/>
      <c r="X426" s="14" t="n"/>
      <c r="Y426" s="16" t="n"/>
      <c r="Z426" s="125" t="n"/>
      <c r="AA426" s="14" t="n"/>
      <c r="AB426" s="16" t="n"/>
      <c r="AC426" s="125" t="n"/>
      <c r="AD426" s="14" t="n"/>
    </row>
    <row r="427">
      <c r="A427" s="58" t="n"/>
      <c r="B427" s="59" t="n"/>
      <c r="C427" s="59" t="n"/>
      <c r="E427" s="16" t="n"/>
      <c r="F427" s="13" t="n"/>
      <c r="G427" s="16" t="n"/>
      <c r="H427" s="125" t="n"/>
      <c r="I427" s="14" t="n"/>
      <c r="J427" s="16" t="n"/>
      <c r="K427" s="125" t="n"/>
      <c r="L427" s="14" t="n"/>
      <c r="M427" s="16" t="n"/>
      <c r="N427" s="125" t="n"/>
      <c r="O427" s="14" t="n"/>
      <c r="P427" s="16" t="n"/>
      <c r="Q427" s="125" t="n"/>
      <c r="R427" s="14" t="n"/>
      <c r="S427" s="16" t="n"/>
      <c r="T427" s="125" t="n"/>
      <c r="U427" s="14" t="n"/>
      <c r="V427" s="16" t="n"/>
      <c r="W427" s="125" t="n"/>
      <c r="X427" s="14" t="n"/>
      <c r="Y427" s="16" t="n"/>
      <c r="Z427" s="125" t="n"/>
      <c r="AA427" s="14" t="n"/>
      <c r="AB427" s="16" t="n"/>
      <c r="AC427" s="125" t="n"/>
      <c r="AD427" s="14" t="n"/>
    </row>
    <row r="428">
      <c r="A428" s="56" t="n"/>
      <c r="B428" s="59" t="n"/>
      <c r="C428" s="59" t="n"/>
      <c r="E428" s="16" t="n"/>
      <c r="F428" s="13" t="n"/>
      <c r="G428" s="16" t="n"/>
      <c r="H428" s="125" t="n"/>
      <c r="I428" s="14" t="n"/>
      <c r="J428" s="16" t="n"/>
      <c r="K428" s="125" t="n"/>
      <c r="L428" s="14" t="n"/>
      <c r="M428" s="16" t="n"/>
      <c r="N428" s="125" t="n"/>
      <c r="O428" s="14" t="n"/>
      <c r="P428" s="16" t="n"/>
      <c r="Q428" s="125" t="n"/>
      <c r="R428" s="14" t="n"/>
      <c r="S428" s="16" t="n"/>
      <c r="T428" s="125" t="n"/>
      <c r="U428" s="14" t="n"/>
      <c r="V428" s="16" t="n"/>
      <c r="W428" s="125" t="n"/>
      <c r="X428" s="14" t="n"/>
      <c r="Y428" s="16" t="n"/>
      <c r="Z428" s="125" t="n"/>
      <c r="AA428" s="14" t="n"/>
      <c r="AB428" s="16" t="n"/>
      <c r="AC428" s="125" t="n"/>
      <c r="AD428" s="14" t="n"/>
    </row>
    <row r="429">
      <c r="A429" s="58" t="n"/>
      <c r="B429" s="59" t="n"/>
      <c r="C429" s="59" t="n"/>
      <c r="E429" s="16" t="n"/>
      <c r="F429" s="13" t="n"/>
      <c r="G429" s="16" t="n"/>
      <c r="H429" s="125" t="n"/>
      <c r="I429" s="14" t="n"/>
      <c r="J429" s="16" t="n"/>
      <c r="K429" s="125" t="n"/>
      <c r="L429" s="14" t="n"/>
      <c r="M429" s="16" t="n"/>
      <c r="N429" s="125" t="n"/>
      <c r="O429" s="14" t="n"/>
      <c r="P429" s="16" t="n"/>
      <c r="Q429" s="125" t="n"/>
      <c r="R429" s="14" t="n"/>
      <c r="S429" s="16" t="n"/>
      <c r="T429" s="125" t="n"/>
      <c r="U429" s="14" t="n"/>
      <c r="V429" s="16" t="n"/>
      <c r="W429" s="125" t="n"/>
      <c r="X429" s="14" t="n"/>
      <c r="Y429" s="16" t="n"/>
      <c r="Z429" s="125" t="n"/>
      <c r="AA429" s="14" t="n"/>
      <c r="AB429" s="16" t="n"/>
      <c r="AC429" s="125" t="n"/>
      <c r="AD429" s="14" t="n"/>
    </row>
    <row r="430">
      <c r="A430" s="56" t="n"/>
      <c r="B430" s="59" t="n"/>
      <c r="C430" s="59" t="n"/>
      <c r="E430" s="16" t="n"/>
      <c r="F430" s="13" t="n"/>
      <c r="G430" s="16" t="n"/>
      <c r="H430" s="125" t="n"/>
      <c r="I430" s="14" t="n"/>
      <c r="J430" s="16" t="n"/>
      <c r="K430" s="125" t="n"/>
      <c r="L430" s="14" t="n"/>
      <c r="M430" s="16" t="n"/>
      <c r="N430" s="125" t="n"/>
      <c r="O430" s="14" t="n"/>
      <c r="P430" s="16" t="n"/>
      <c r="Q430" s="125" t="n"/>
      <c r="R430" s="14" t="n"/>
      <c r="S430" s="16" t="n"/>
      <c r="T430" s="125" t="n"/>
      <c r="U430" s="14" t="n"/>
      <c r="V430" s="16" t="n"/>
      <c r="W430" s="125" t="n"/>
      <c r="X430" s="14" t="n"/>
      <c r="Y430" s="16" t="n"/>
      <c r="Z430" s="125" t="n"/>
      <c r="AA430" s="14" t="n"/>
      <c r="AB430" s="16" t="n"/>
      <c r="AC430" s="125" t="n"/>
      <c r="AD430" s="14" t="n"/>
    </row>
    <row r="431">
      <c r="A431" s="58" t="n"/>
      <c r="B431" s="59" t="n"/>
      <c r="C431" s="59" t="n"/>
      <c r="E431" s="16" t="n"/>
      <c r="F431" s="13" t="n"/>
      <c r="G431" s="16" t="n"/>
      <c r="H431" s="125" t="n"/>
      <c r="I431" s="14" t="n"/>
      <c r="J431" s="16" t="n"/>
      <c r="K431" s="125" t="n"/>
      <c r="L431" s="14" t="n"/>
      <c r="M431" s="16" t="n"/>
      <c r="N431" s="125" t="n"/>
      <c r="O431" s="14" t="n"/>
      <c r="P431" s="16" t="n"/>
      <c r="Q431" s="125" t="n"/>
      <c r="R431" s="14" t="n"/>
      <c r="S431" s="16" t="n"/>
      <c r="T431" s="125" t="n"/>
      <c r="U431" s="14" t="n"/>
      <c r="V431" s="16" t="n"/>
      <c r="W431" s="125" t="n"/>
      <c r="X431" s="14" t="n"/>
      <c r="Y431" s="16" t="n"/>
      <c r="Z431" s="125" t="n"/>
      <c r="AA431" s="14" t="n"/>
      <c r="AB431" s="16" t="n"/>
      <c r="AC431" s="125" t="n"/>
      <c r="AD431" s="14" t="n"/>
    </row>
    <row r="432">
      <c r="A432" s="56" t="n"/>
      <c r="B432" s="59" t="n"/>
      <c r="C432" s="59" t="n"/>
      <c r="E432" s="16" t="n"/>
      <c r="F432" s="13" t="n"/>
      <c r="G432" s="16" t="n"/>
      <c r="H432" s="125" t="n"/>
      <c r="I432" s="14" t="n"/>
      <c r="J432" s="16" t="n"/>
      <c r="K432" s="125" t="n"/>
      <c r="L432" s="14" t="n"/>
      <c r="M432" s="16" t="n"/>
      <c r="N432" s="125" t="n"/>
      <c r="O432" s="14" t="n"/>
      <c r="P432" s="16" t="n"/>
      <c r="Q432" s="125" t="n"/>
      <c r="R432" s="14" t="n"/>
      <c r="S432" s="16" t="n"/>
      <c r="T432" s="125" t="n"/>
      <c r="U432" s="14" t="n"/>
      <c r="V432" s="16" t="n"/>
      <c r="W432" s="125" t="n"/>
      <c r="X432" s="14" t="n"/>
      <c r="Y432" s="16" t="n"/>
      <c r="Z432" s="125" t="n"/>
      <c r="AA432" s="14" t="n"/>
      <c r="AB432" s="16" t="n"/>
      <c r="AC432" s="125" t="n"/>
      <c r="AD432" s="14" t="n"/>
    </row>
    <row r="433">
      <c r="A433" s="58" t="n"/>
      <c r="B433" s="59" t="n"/>
      <c r="C433" s="59" t="n"/>
      <c r="E433" s="16" t="n"/>
      <c r="F433" s="13" t="n"/>
      <c r="G433" s="16" t="n"/>
      <c r="H433" s="125" t="n"/>
      <c r="I433" s="14" t="n"/>
      <c r="J433" s="16" t="n"/>
      <c r="K433" s="125" t="n"/>
      <c r="L433" s="14" t="n"/>
      <c r="M433" s="16" t="n"/>
      <c r="N433" s="125" t="n"/>
      <c r="O433" s="14" t="n"/>
      <c r="P433" s="16" t="n"/>
      <c r="Q433" s="125" t="n"/>
      <c r="R433" s="14" t="n"/>
      <c r="S433" s="16" t="n"/>
      <c r="T433" s="125" t="n"/>
      <c r="U433" s="14" t="n"/>
      <c r="V433" s="16" t="n"/>
      <c r="W433" s="125" t="n"/>
      <c r="X433" s="14" t="n"/>
      <c r="Y433" s="16" t="n"/>
      <c r="Z433" s="125" t="n"/>
      <c r="AA433" s="14" t="n"/>
      <c r="AB433" s="16" t="n"/>
      <c r="AC433" s="125" t="n"/>
      <c r="AD433" s="14" t="n"/>
    </row>
    <row r="434">
      <c r="A434" s="56" t="n"/>
      <c r="B434" s="59" t="n"/>
      <c r="C434" s="59" t="n"/>
      <c r="E434" s="16" t="n"/>
      <c r="F434" s="13" t="n"/>
      <c r="G434" s="16" t="n"/>
      <c r="H434" s="125" t="n"/>
      <c r="I434" s="14" t="n"/>
      <c r="J434" s="16" t="n"/>
      <c r="K434" s="125" t="n"/>
      <c r="L434" s="14" t="n"/>
      <c r="M434" s="16" t="n"/>
      <c r="N434" s="125" t="n"/>
      <c r="O434" s="14" t="n"/>
      <c r="P434" s="16" t="n"/>
      <c r="Q434" s="125" t="n"/>
      <c r="R434" s="14" t="n"/>
      <c r="S434" s="16" t="n"/>
      <c r="T434" s="125" t="n"/>
      <c r="U434" s="14" t="n"/>
      <c r="V434" s="16" t="n"/>
      <c r="W434" s="125" t="n"/>
      <c r="X434" s="14" t="n"/>
      <c r="Y434" s="16" t="n"/>
      <c r="Z434" s="125" t="n"/>
      <c r="AA434" s="14" t="n"/>
      <c r="AB434" s="16" t="n"/>
      <c r="AC434" s="125" t="n"/>
      <c r="AD434" s="14" t="n"/>
    </row>
    <row r="435">
      <c r="A435" s="58" t="n"/>
      <c r="B435" s="59" t="n"/>
      <c r="C435" s="59" t="n"/>
      <c r="E435" s="16" t="n"/>
      <c r="F435" s="13" t="n"/>
      <c r="G435" s="16" t="n"/>
      <c r="H435" s="125" t="n"/>
      <c r="I435" s="14" t="n"/>
      <c r="J435" s="16" t="n"/>
      <c r="K435" s="125" t="n"/>
      <c r="L435" s="14" t="n"/>
      <c r="M435" s="16" t="n"/>
      <c r="N435" s="125" t="n"/>
      <c r="O435" s="14" t="n"/>
      <c r="P435" s="16" t="n"/>
      <c r="Q435" s="125" t="n"/>
      <c r="R435" s="14" t="n"/>
      <c r="S435" s="16" t="n"/>
      <c r="T435" s="125" t="n"/>
      <c r="U435" s="14" t="n"/>
      <c r="V435" s="16" t="n"/>
      <c r="W435" s="125" t="n"/>
      <c r="X435" s="14" t="n"/>
      <c r="Y435" s="16" t="n"/>
      <c r="Z435" s="125" t="n"/>
      <c r="AA435" s="14" t="n"/>
      <c r="AB435" s="16" t="n"/>
      <c r="AC435" s="125" t="n"/>
      <c r="AD435" s="14" t="n"/>
    </row>
    <row r="436">
      <c r="A436" s="56" t="n"/>
      <c r="B436" s="59" t="n"/>
      <c r="C436" s="59" t="n"/>
      <c r="E436" s="16" t="n"/>
      <c r="F436" s="13" t="n"/>
      <c r="G436" s="16" t="n"/>
      <c r="H436" s="125" t="n"/>
      <c r="I436" s="14" t="n"/>
      <c r="J436" s="16" t="n"/>
      <c r="K436" s="125" t="n"/>
      <c r="L436" s="14" t="n"/>
      <c r="M436" s="16" t="n"/>
      <c r="N436" s="125" t="n"/>
      <c r="O436" s="14" t="n"/>
      <c r="P436" s="16" t="n"/>
      <c r="Q436" s="125" t="n"/>
      <c r="R436" s="14" t="n"/>
      <c r="S436" s="16" t="n"/>
      <c r="T436" s="125" t="n"/>
      <c r="U436" s="14" t="n"/>
      <c r="V436" s="16" t="n"/>
      <c r="W436" s="125" t="n"/>
      <c r="X436" s="14" t="n"/>
      <c r="Y436" s="16" t="n"/>
      <c r="Z436" s="125" t="n"/>
      <c r="AA436" s="14" t="n"/>
      <c r="AB436" s="16" t="n"/>
      <c r="AC436" s="125" t="n"/>
      <c r="AD436" s="14" t="n"/>
    </row>
    <row r="437">
      <c r="A437" s="58" t="n"/>
      <c r="B437" s="59" t="n"/>
      <c r="C437" s="59" t="n"/>
      <c r="E437" s="16" t="n"/>
      <c r="F437" s="13" t="n"/>
      <c r="G437" s="16" t="n"/>
      <c r="H437" s="125" t="n"/>
      <c r="I437" s="14" t="n"/>
      <c r="J437" s="16" t="n"/>
      <c r="K437" s="125" t="n"/>
      <c r="L437" s="14" t="n"/>
      <c r="M437" s="16" t="n"/>
      <c r="N437" s="125" t="n"/>
      <c r="O437" s="14" t="n"/>
      <c r="P437" s="16" t="n"/>
      <c r="Q437" s="125" t="n"/>
      <c r="R437" s="14" t="n"/>
      <c r="S437" s="16" t="n"/>
      <c r="T437" s="125" t="n"/>
      <c r="U437" s="14" t="n"/>
      <c r="V437" s="16" t="n"/>
      <c r="W437" s="125" t="n"/>
      <c r="X437" s="14" t="n"/>
      <c r="Y437" s="16" t="n"/>
      <c r="Z437" s="125" t="n"/>
      <c r="AA437" s="14" t="n"/>
      <c r="AB437" s="16" t="n"/>
      <c r="AC437" s="125" t="n"/>
      <c r="AD437" s="14" t="n"/>
    </row>
    <row r="438">
      <c r="A438" s="56" t="n"/>
      <c r="B438" s="59" t="n"/>
      <c r="C438" s="59" t="n"/>
      <c r="E438" s="16" t="n"/>
      <c r="F438" s="13" t="n"/>
      <c r="G438" s="16" t="n"/>
      <c r="H438" s="125" t="n"/>
      <c r="I438" s="14" t="n"/>
      <c r="J438" s="16" t="n"/>
      <c r="K438" s="125" t="n"/>
      <c r="L438" s="14" t="n"/>
      <c r="M438" s="16" t="n"/>
      <c r="N438" s="125" t="n"/>
      <c r="O438" s="14" t="n"/>
      <c r="P438" s="16" t="n"/>
      <c r="Q438" s="125" t="n"/>
      <c r="R438" s="14" t="n"/>
      <c r="S438" s="16" t="n"/>
      <c r="T438" s="125" t="n"/>
      <c r="U438" s="14" t="n"/>
      <c r="V438" s="16" t="n"/>
      <c r="W438" s="125" t="n"/>
      <c r="X438" s="14" t="n"/>
      <c r="Y438" s="16" t="n"/>
      <c r="Z438" s="125" t="n"/>
      <c r="AA438" s="14" t="n"/>
      <c r="AB438" s="16" t="n"/>
      <c r="AC438" s="125" t="n"/>
      <c r="AD438" s="14" t="n"/>
    </row>
    <row r="439">
      <c r="A439" s="58" t="n"/>
      <c r="B439" s="59" t="n"/>
      <c r="C439" s="59" t="n"/>
      <c r="E439" s="16" t="n"/>
      <c r="F439" s="13" t="n"/>
      <c r="G439" s="16" t="n"/>
      <c r="H439" s="125" t="n"/>
      <c r="I439" s="14" t="n"/>
      <c r="J439" s="16" t="n"/>
      <c r="K439" s="125" t="n"/>
      <c r="L439" s="14" t="n"/>
      <c r="M439" s="16" t="n"/>
      <c r="N439" s="125" t="n"/>
      <c r="O439" s="14" t="n"/>
      <c r="P439" s="16" t="n"/>
      <c r="Q439" s="125" t="n"/>
      <c r="R439" s="14" t="n"/>
      <c r="S439" s="16" t="n"/>
      <c r="T439" s="125" t="n"/>
      <c r="U439" s="14" t="n"/>
      <c r="V439" s="16" t="n"/>
      <c r="W439" s="125" t="n"/>
      <c r="X439" s="14" t="n"/>
      <c r="Y439" s="16" t="n"/>
      <c r="Z439" s="125" t="n"/>
      <c r="AA439" s="14" t="n"/>
      <c r="AB439" s="16" t="n"/>
      <c r="AC439" s="125" t="n"/>
      <c r="AD439" s="14" t="n"/>
    </row>
    <row r="440">
      <c r="A440" s="56" t="n"/>
      <c r="B440" s="59" t="n"/>
      <c r="C440" s="59" t="n"/>
      <c r="E440" s="16" t="n"/>
      <c r="F440" s="13" t="n"/>
      <c r="G440" s="16" t="n"/>
      <c r="H440" s="125" t="n"/>
      <c r="I440" s="14" t="n"/>
      <c r="J440" s="16" t="n"/>
      <c r="K440" s="125" t="n"/>
      <c r="L440" s="14" t="n"/>
      <c r="M440" s="16" t="n"/>
      <c r="N440" s="125" t="n"/>
      <c r="O440" s="14" t="n"/>
      <c r="P440" s="16" t="n"/>
      <c r="Q440" s="125" t="n"/>
      <c r="R440" s="14" t="n"/>
      <c r="S440" s="16" t="n"/>
      <c r="T440" s="125" t="n"/>
      <c r="U440" s="14" t="n"/>
      <c r="V440" s="16" t="n"/>
      <c r="W440" s="125" t="n"/>
      <c r="X440" s="14" t="n"/>
      <c r="Y440" s="16" t="n"/>
      <c r="Z440" s="125" t="n"/>
      <c r="AA440" s="14" t="n"/>
      <c r="AB440" s="16" t="n"/>
      <c r="AC440" s="125" t="n"/>
      <c r="AD440" s="14" t="n"/>
    </row>
    <row r="441">
      <c r="A441" s="58" t="n"/>
      <c r="B441" s="59" t="n"/>
      <c r="C441" s="59" t="n"/>
      <c r="E441" s="16" t="n"/>
      <c r="F441" s="13" t="n"/>
      <c r="G441" s="16" t="n"/>
      <c r="H441" s="125" t="n"/>
      <c r="I441" s="14" t="n"/>
      <c r="J441" s="16" t="n"/>
      <c r="K441" s="125" t="n"/>
      <c r="L441" s="14" t="n"/>
      <c r="M441" s="16" t="n"/>
      <c r="N441" s="125" t="n"/>
      <c r="O441" s="14" t="n"/>
      <c r="P441" s="16" t="n"/>
      <c r="Q441" s="125" t="n"/>
      <c r="R441" s="14" t="n"/>
      <c r="S441" s="16" t="n"/>
      <c r="T441" s="125" t="n"/>
      <c r="U441" s="14" t="n"/>
      <c r="V441" s="16" t="n"/>
      <c r="W441" s="125" t="n"/>
      <c r="X441" s="14" t="n"/>
      <c r="Y441" s="16" t="n"/>
      <c r="Z441" s="125" t="n"/>
      <c r="AA441" s="14" t="n"/>
      <c r="AB441" s="16" t="n"/>
      <c r="AC441" s="125" t="n"/>
      <c r="AD441" s="14" t="n"/>
    </row>
    <row r="442">
      <c r="A442" s="56" t="n"/>
      <c r="B442" s="59" t="n"/>
      <c r="C442" s="59" t="n"/>
      <c r="E442" s="16" t="n"/>
      <c r="F442" s="13" t="n"/>
      <c r="G442" s="16" t="n"/>
      <c r="H442" s="125" t="n"/>
      <c r="I442" s="14" t="n"/>
      <c r="J442" s="16" t="n"/>
      <c r="K442" s="125" t="n"/>
      <c r="L442" s="14" t="n"/>
      <c r="M442" s="16" t="n"/>
      <c r="N442" s="125" t="n"/>
      <c r="O442" s="14" t="n"/>
      <c r="P442" s="16" t="n"/>
      <c r="Q442" s="125" t="n"/>
      <c r="R442" s="14" t="n"/>
      <c r="S442" s="16" t="n"/>
      <c r="T442" s="125" t="n"/>
      <c r="U442" s="14" t="n"/>
      <c r="V442" s="16" t="n"/>
      <c r="W442" s="125" t="n"/>
      <c r="X442" s="14" t="n"/>
      <c r="Y442" s="16" t="n"/>
      <c r="Z442" s="125" t="n"/>
      <c r="AA442" s="14" t="n"/>
      <c r="AB442" s="16" t="n"/>
      <c r="AC442" s="125" t="n"/>
      <c r="AD442" s="14" t="n"/>
    </row>
    <row r="443">
      <c r="A443" s="58" t="n"/>
      <c r="B443" s="59" t="n"/>
      <c r="C443" s="59" t="n"/>
      <c r="E443" s="16" t="n"/>
      <c r="F443" s="13" t="n"/>
      <c r="G443" s="16" t="n"/>
      <c r="H443" s="125" t="n"/>
      <c r="I443" s="14" t="n"/>
      <c r="J443" s="16" t="n"/>
      <c r="K443" s="125" t="n"/>
      <c r="L443" s="14" t="n"/>
      <c r="M443" s="16" t="n"/>
      <c r="N443" s="125" t="n"/>
      <c r="O443" s="14" t="n"/>
      <c r="P443" s="16" t="n"/>
      <c r="Q443" s="125" t="n"/>
      <c r="R443" s="14" t="n"/>
      <c r="S443" s="16" t="n"/>
      <c r="T443" s="125" t="n"/>
      <c r="U443" s="14" t="n"/>
      <c r="V443" s="16" t="n"/>
      <c r="W443" s="125" t="n"/>
      <c r="X443" s="14" t="n"/>
      <c r="Y443" s="16" t="n"/>
      <c r="Z443" s="125" t="n"/>
      <c r="AA443" s="14" t="n"/>
      <c r="AB443" s="16" t="n"/>
      <c r="AC443" s="125" t="n"/>
      <c r="AD443" s="14" t="n"/>
    </row>
    <row r="444">
      <c r="A444" s="56" t="n"/>
      <c r="B444" s="59" t="n"/>
      <c r="C444" s="59" t="n"/>
      <c r="E444" s="16" t="n"/>
      <c r="F444" s="13" t="n"/>
      <c r="G444" s="16" t="n"/>
      <c r="H444" s="125" t="n"/>
      <c r="I444" s="14" t="n"/>
      <c r="J444" s="16" t="n"/>
      <c r="K444" s="125" t="n"/>
      <c r="L444" s="14" t="n"/>
      <c r="M444" s="16" t="n"/>
      <c r="N444" s="125" t="n"/>
      <c r="O444" s="14" t="n"/>
      <c r="P444" s="16" t="n"/>
      <c r="Q444" s="125" t="n"/>
      <c r="R444" s="14" t="n"/>
      <c r="S444" s="16" t="n"/>
      <c r="T444" s="125" t="n"/>
      <c r="U444" s="14" t="n"/>
      <c r="V444" s="16" t="n"/>
      <c r="W444" s="125" t="n"/>
      <c r="X444" s="14" t="n"/>
      <c r="Y444" s="16" t="n"/>
      <c r="Z444" s="125" t="n"/>
      <c r="AA444" s="14" t="n"/>
      <c r="AB444" s="16" t="n"/>
      <c r="AC444" s="125" t="n"/>
      <c r="AD444" s="14" t="n"/>
    </row>
    <row r="445">
      <c r="A445" s="58" t="n"/>
      <c r="B445" s="59" t="n"/>
      <c r="C445" s="59" t="n"/>
      <c r="E445" s="16" t="n"/>
      <c r="F445" s="13" t="n"/>
      <c r="G445" s="16" t="n"/>
      <c r="H445" s="125" t="n"/>
      <c r="I445" s="14" t="n"/>
      <c r="J445" s="16" t="n"/>
      <c r="K445" s="125" t="n"/>
      <c r="L445" s="14" t="n"/>
      <c r="M445" s="16" t="n"/>
      <c r="N445" s="125" t="n"/>
      <c r="O445" s="14" t="n"/>
      <c r="P445" s="16" t="n"/>
      <c r="Q445" s="125" t="n"/>
      <c r="R445" s="14" t="n"/>
      <c r="S445" s="16" t="n"/>
      <c r="T445" s="125" t="n"/>
      <c r="U445" s="14" t="n"/>
      <c r="V445" s="16" t="n"/>
      <c r="W445" s="125" t="n"/>
      <c r="X445" s="14" t="n"/>
      <c r="Y445" s="16" t="n"/>
      <c r="Z445" s="125" t="n"/>
      <c r="AA445" s="14" t="n"/>
      <c r="AB445" s="16" t="n"/>
      <c r="AC445" s="125" t="n"/>
      <c r="AD445" s="14" t="n"/>
    </row>
    <row r="446">
      <c r="A446" s="56" t="n"/>
      <c r="B446" s="59" t="n"/>
      <c r="C446" s="59" t="n"/>
      <c r="E446" s="16" t="n"/>
      <c r="F446" s="13" t="n"/>
      <c r="G446" s="16" t="n"/>
      <c r="H446" s="125" t="n"/>
      <c r="I446" s="14" t="n"/>
      <c r="J446" s="16" t="n"/>
      <c r="K446" s="125" t="n"/>
      <c r="L446" s="14" t="n"/>
      <c r="M446" s="16" t="n"/>
      <c r="N446" s="125" t="n"/>
      <c r="O446" s="14" t="n"/>
      <c r="P446" s="16" t="n"/>
      <c r="Q446" s="125" t="n"/>
      <c r="R446" s="14" t="n"/>
      <c r="S446" s="16" t="n"/>
      <c r="T446" s="125" t="n"/>
      <c r="U446" s="14" t="n"/>
      <c r="V446" s="16" t="n"/>
      <c r="W446" s="125" t="n"/>
      <c r="X446" s="14" t="n"/>
      <c r="Y446" s="16" t="n"/>
      <c r="Z446" s="125" t="n"/>
      <c r="AA446" s="14" t="n"/>
      <c r="AB446" s="16" t="n"/>
      <c r="AC446" s="125" t="n"/>
      <c r="AD446" s="14" t="n"/>
    </row>
    <row r="447">
      <c r="A447" s="58" t="n"/>
      <c r="B447" s="59" t="n"/>
      <c r="C447" s="59" t="n"/>
      <c r="E447" s="16" t="n"/>
      <c r="F447" s="13" t="n"/>
      <c r="G447" s="16" t="n"/>
      <c r="H447" s="125" t="n"/>
      <c r="I447" s="14" t="n"/>
      <c r="J447" s="16" t="n"/>
      <c r="K447" s="125" t="n"/>
      <c r="L447" s="14" t="n"/>
      <c r="M447" s="16" t="n"/>
      <c r="N447" s="125" t="n"/>
      <c r="O447" s="14" t="n"/>
      <c r="P447" s="16" t="n"/>
      <c r="Q447" s="125" t="n"/>
      <c r="R447" s="14" t="n"/>
      <c r="S447" s="16" t="n"/>
      <c r="T447" s="125" t="n"/>
      <c r="U447" s="14" t="n"/>
      <c r="V447" s="16" t="n"/>
      <c r="W447" s="125" t="n"/>
      <c r="X447" s="14" t="n"/>
      <c r="Y447" s="16" t="n"/>
      <c r="Z447" s="125" t="n"/>
      <c r="AA447" s="14" t="n"/>
      <c r="AB447" s="16" t="n"/>
      <c r="AC447" s="125" t="n"/>
      <c r="AD447" s="14" t="n"/>
    </row>
    <row r="448">
      <c r="A448" s="56" t="n"/>
      <c r="B448" s="59" t="n"/>
      <c r="C448" s="59" t="n"/>
      <c r="E448" s="16" t="n"/>
      <c r="F448" s="13" t="n"/>
      <c r="G448" s="16" t="n"/>
      <c r="H448" s="125" t="n"/>
      <c r="I448" s="14" t="n"/>
      <c r="J448" s="16" t="n"/>
      <c r="K448" s="125" t="n"/>
      <c r="L448" s="14" t="n"/>
      <c r="M448" s="16" t="n"/>
      <c r="N448" s="125" t="n"/>
      <c r="O448" s="14" t="n"/>
      <c r="P448" s="16" t="n"/>
      <c r="Q448" s="125" t="n"/>
      <c r="R448" s="14" t="n"/>
      <c r="S448" s="16" t="n"/>
      <c r="T448" s="125" t="n"/>
      <c r="U448" s="14" t="n"/>
      <c r="V448" s="16" t="n"/>
      <c r="W448" s="125" t="n"/>
      <c r="X448" s="14" t="n"/>
      <c r="Y448" s="16" t="n"/>
      <c r="Z448" s="125" t="n"/>
      <c r="AA448" s="14" t="n"/>
      <c r="AB448" s="16" t="n"/>
      <c r="AC448" s="125" t="n"/>
      <c r="AD448" s="14" t="n"/>
    </row>
    <row r="449">
      <c r="A449" s="58" t="n"/>
      <c r="B449" s="59" t="n"/>
      <c r="C449" s="59" t="n"/>
      <c r="E449" s="16" t="n"/>
      <c r="F449" s="13" t="n"/>
      <c r="G449" s="16" t="n"/>
      <c r="H449" s="125" t="n"/>
      <c r="I449" s="14" t="n"/>
      <c r="J449" s="16" t="n"/>
      <c r="K449" s="125" t="n"/>
      <c r="L449" s="14" t="n"/>
      <c r="M449" s="16" t="n"/>
      <c r="N449" s="125" t="n"/>
      <c r="O449" s="14" t="n"/>
      <c r="P449" s="16" t="n"/>
      <c r="Q449" s="125" t="n"/>
      <c r="R449" s="14" t="n"/>
      <c r="S449" s="16" t="n"/>
      <c r="T449" s="125" t="n"/>
      <c r="U449" s="14" t="n"/>
      <c r="V449" s="16" t="n"/>
      <c r="W449" s="125" t="n"/>
      <c r="X449" s="14" t="n"/>
      <c r="Y449" s="16" t="n"/>
      <c r="Z449" s="125" t="n"/>
      <c r="AA449" s="14" t="n"/>
      <c r="AB449" s="16" t="n"/>
      <c r="AC449" s="125" t="n"/>
      <c r="AD449" s="14" t="n"/>
    </row>
    <row r="450">
      <c r="A450" s="56" t="n"/>
      <c r="B450" s="59" t="n"/>
      <c r="C450" s="59" t="n"/>
      <c r="E450" s="16" t="n"/>
      <c r="F450" s="13" t="n"/>
      <c r="G450" s="16" t="n"/>
      <c r="H450" s="125" t="n"/>
      <c r="I450" s="14" t="n"/>
      <c r="J450" s="16" t="n"/>
      <c r="K450" s="125" t="n"/>
      <c r="L450" s="14" t="n"/>
      <c r="M450" s="16" t="n"/>
      <c r="N450" s="125" t="n"/>
      <c r="O450" s="14" t="n"/>
      <c r="P450" s="16" t="n"/>
      <c r="Q450" s="125" t="n"/>
      <c r="R450" s="14" t="n"/>
      <c r="S450" s="16" t="n"/>
      <c r="T450" s="125" t="n"/>
      <c r="U450" s="14" t="n"/>
      <c r="V450" s="16" t="n"/>
      <c r="W450" s="125" t="n"/>
      <c r="X450" s="14" t="n"/>
      <c r="Y450" s="16" t="n"/>
      <c r="Z450" s="125" t="n"/>
      <c r="AA450" s="14" t="n"/>
      <c r="AB450" s="16" t="n"/>
      <c r="AC450" s="125" t="n"/>
      <c r="AD450" s="14" t="n"/>
    </row>
    <row r="451">
      <c r="A451" s="58" t="n"/>
      <c r="B451" s="59" t="n"/>
      <c r="C451" s="59" t="n"/>
      <c r="E451" s="16" t="n"/>
      <c r="F451" s="13" t="n"/>
      <c r="G451" s="16" t="n"/>
      <c r="H451" s="125" t="n"/>
      <c r="I451" s="14" t="n"/>
      <c r="J451" s="16" t="n"/>
      <c r="K451" s="125" t="n"/>
      <c r="L451" s="14" t="n"/>
      <c r="M451" s="16" t="n"/>
      <c r="N451" s="125" t="n"/>
      <c r="O451" s="14" t="n"/>
      <c r="P451" s="16" t="n"/>
      <c r="Q451" s="125" t="n"/>
      <c r="R451" s="14" t="n"/>
      <c r="S451" s="16" t="n"/>
      <c r="T451" s="125" t="n"/>
      <c r="U451" s="14" t="n"/>
      <c r="V451" s="16" t="n"/>
      <c r="W451" s="125" t="n"/>
      <c r="X451" s="14" t="n"/>
      <c r="Y451" s="16" t="n"/>
      <c r="Z451" s="125" t="n"/>
      <c r="AA451" s="14" t="n"/>
      <c r="AB451" s="16" t="n"/>
      <c r="AC451" s="125" t="n"/>
      <c r="AD451" s="14" t="n"/>
    </row>
    <row r="452">
      <c r="A452" s="56" t="n"/>
      <c r="B452" s="59" t="n"/>
      <c r="C452" s="59" t="n"/>
      <c r="E452" s="16" t="n"/>
      <c r="F452" s="13" t="n"/>
      <c r="G452" s="16" t="n"/>
      <c r="H452" s="125" t="n"/>
      <c r="I452" s="14" t="n"/>
      <c r="J452" s="16" t="n"/>
      <c r="K452" s="125" t="n"/>
      <c r="L452" s="14" t="n"/>
      <c r="M452" s="16" t="n"/>
      <c r="N452" s="125" t="n"/>
      <c r="O452" s="14" t="n"/>
      <c r="P452" s="16" t="n"/>
      <c r="Q452" s="125" t="n"/>
      <c r="R452" s="14" t="n"/>
      <c r="S452" s="16" t="n"/>
      <c r="T452" s="125" t="n"/>
      <c r="U452" s="14" t="n"/>
      <c r="V452" s="16" t="n"/>
      <c r="W452" s="125" t="n"/>
      <c r="X452" s="14" t="n"/>
      <c r="Y452" s="16" t="n"/>
      <c r="Z452" s="125" t="n"/>
      <c r="AA452" s="14" t="n"/>
      <c r="AB452" s="16" t="n"/>
      <c r="AC452" s="125" t="n"/>
      <c r="AD452" s="14" t="n"/>
    </row>
    <row r="453">
      <c r="A453" s="58" t="n"/>
      <c r="B453" s="59" t="n"/>
      <c r="C453" s="59" t="n"/>
      <c r="E453" s="16" t="n"/>
      <c r="F453" s="13" t="n"/>
      <c r="G453" s="16" t="n"/>
      <c r="H453" s="125" t="n"/>
      <c r="I453" s="14" t="n"/>
      <c r="J453" s="16" t="n"/>
      <c r="K453" s="125" t="n"/>
      <c r="L453" s="14" t="n"/>
      <c r="M453" s="16" t="n"/>
      <c r="N453" s="125" t="n"/>
      <c r="O453" s="14" t="n"/>
      <c r="P453" s="16" t="n"/>
      <c r="Q453" s="125" t="n"/>
      <c r="R453" s="14" t="n"/>
      <c r="S453" s="16" t="n"/>
      <c r="T453" s="125" t="n"/>
      <c r="U453" s="14" t="n"/>
      <c r="V453" s="16" t="n"/>
      <c r="W453" s="125" t="n"/>
      <c r="X453" s="14" t="n"/>
      <c r="Y453" s="16" t="n"/>
      <c r="Z453" s="125" t="n"/>
      <c r="AA453" s="14" t="n"/>
      <c r="AB453" s="16" t="n"/>
      <c r="AC453" s="125" t="n"/>
      <c r="AD453" s="14" t="n"/>
    </row>
    <row r="454">
      <c r="A454" s="56" t="n"/>
      <c r="B454" s="59" t="n"/>
      <c r="C454" s="59" t="n"/>
      <c r="E454" s="16" t="n"/>
      <c r="F454" s="13" t="n"/>
      <c r="G454" s="16" t="n"/>
      <c r="H454" s="125" t="n"/>
      <c r="I454" s="14" t="n"/>
      <c r="J454" s="16" t="n"/>
      <c r="K454" s="125" t="n"/>
      <c r="L454" s="14" t="n"/>
      <c r="M454" s="16" t="n"/>
      <c r="N454" s="125" t="n"/>
      <c r="O454" s="14" t="n"/>
      <c r="P454" s="16" t="n"/>
      <c r="Q454" s="125" t="n"/>
      <c r="R454" s="14" t="n"/>
      <c r="S454" s="16" t="n"/>
      <c r="T454" s="125" t="n"/>
      <c r="U454" s="14" t="n"/>
      <c r="V454" s="16" t="n"/>
      <c r="W454" s="125" t="n"/>
      <c r="X454" s="14" t="n"/>
      <c r="Y454" s="16" t="n"/>
      <c r="Z454" s="125" t="n"/>
      <c r="AA454" s="14" t="n"/>
      <c r="AB454" s="16" t="n"/>
      <c r="AC454" s="125" t="n"/>
      <c r="AD454" s="14" t="n"/>
    </row>
    <row r="455">
      <c r="A455" s="58" t="n"/>
      <c r="B455" s="59" t="n"/>
      <c r="C455" s="59" t="n"/>
      <c r="E455" s="16" t="n"/>
      <c r="F455" s="13" t="n"/>
      <c r="G455" s="16" t="n"/>
      <c r="H455" s="125" t="n"/>
      <c r="I455" s="14" t="n"/>
      <c r="J455" s="16" t="n"/>
      <c r="K455" s="125" t="n"/>
      <c r="L455" s="14" t="n"/>
      <c r="M455" s="16" t="n"/>
      <c r="N455" s="125" t="n"/>
      <c r="O455" s="14" t="n"/>
      <c r="P455" s="16" t="n"/>
      <c r="Q455" s="125" t="n"/>
      <c r="R455" s="14" t="n"/>
      <c r="S455" s="16" t="n"/>
      <c r="T455" s="125" t="n"/>
      <c r="U455" s="14" t="n"/>
      <c r="V455" s="16" t="n"/>
      <c r="W455" s="125" t="n"/>
      <c r="X455" s="14" t="n"/>
      <c r="Y455" s="16" t="n"/>
      <c r="Z455" s="125" t="n"/>
      <c r="AA455" s="14" t="n"/>
      <c r="AB455" s="16" t="n"/>
      <c r="AC455" s="125" t="n"/>
      <c r="AD455" s="14" t="n"/>
    </row>
    <row r="456">
      <c r="A456" s="56" t="n"/>
      <c r="B456" s="59" t="n"/>
      <c r="C456" s="59" t="n"/>
      <c r="E456" s="16" t="n"/>
      <c r="F456" s="13" t="n"/>
      <c r="G456" s="16" t="n"/>
      <c r="H456" s="125" t="n"/>
      <c r="I456" s="14" t="n"/>
      <c r="J456" s="16" t="n"/>
      <c r="K456" s="125" t="n"/>
      <c r="L456" s="14" t="n"/>
      <c r="M456" s="16" t="n"/>
      <c r="N456" s="125" t="n"/>
      <c r="O456" s="14" t="n"/>
      <c r="P456" s="16" t="n"/>
      <c r="Q456" s="125" t="n"/>
      <c r="R456" s="14" t="n"/>
      <c r="S456" s="16" t="n"/>
      <c r="T456" s="125" t="n"/>
      <c r="U456" s="14" t="n"/>
      <c r="V456" s="16" t="n"/>
      <c r="W456" s="125" t="n"/>
      <c r="X456" s="14" t="n"/>
      <c r="Y456" s="16" t="n"/>
      <c r="Z456" s="125" t="n"/>
      <c r="AA456" s="14" t="n"/>
      <c r="AB456" s="16" t="n"/>
      <c r="AC456" s="125" t="n"/>
      <c r="AD456" s="14" t="n"/>
    </row>
    <row r="457">
      <c r="A457" s="58" t="n"/>
      <c r="B457" s="59" t="n"/>
      <c r="C457" s="59" t="n"/>
      <c r="E457" s="16" t="n"/>
      <c r="F457" s="13" t="n"/>
      <c r="G457" s="16" t="n"/>
      <c r="H457" s="125" t="n"/>
      <c r="I457" s="14" t="n"/>
      <c r="J457" s="16" t="n"/>
      <c r="K457" s="125" t="n"/>
      <c r="L457" s="14" t="n"/>
      <c r="M457" s="16" t="n"/>
      <c r="N457" s="125" t="n"/>
      <c r="O457" s="14" t="n"/>
      <c r="P457" s="16" t="n"/>
      <c r="Q457" s="125" t="n"/>
      <c r="R457" s="14" t="n"/>
      <c r="S457" s="16" t="n"/>
      <c r="T457" s="125" t="n"/>
      <c r="U457" s="14" t="n"/>
      <c r="V457" s="16" t="n"/>
      <c r="W457" s="125" t="n"/>
      <c r="X457" s="14" t="n"/>
      <c r="Y457" s="16" t="n"/>
      <c r="Z457" s="125" t="n"/>
      <c r="AA457" s="14" t="n"/>
      <c r="AB457" s="16" t="n"/>
      <c r="AC457" s="125" t="n"/>
      <c r="AD457" s="14" t="n"/>
    </row>
    <row r="458">
      <c r="A458" s="56" t="n"/>
      <c r="B458" s="59" t="n"/>
      <c r="C458" s="59" t="n"/>
      <c r="E458" s="16" t="n"/>
      <c r="F458" s="13" t="n"/>
      <c r="G458" s="16" t="n"/>
      <c r="H458" s="125" t="n"/>
      <c r="I458" s="14" t="n"/>
      <c r="J458" s="16" t="n"/>
      <c r="K458" s="125" t="n"/>
      <c r="L458" s="14" t="n"/>
      <c r="M458" s="16" t="n"/>
      <c r="N458" s="125" t="n"/>
      <c r="O458" s="14" t="n"/>
      <c r="P458" s="16" t="n"/>
      <c r="Q458" s="125" t="n"/>
      <c r="R458" s="14" t="n"/>
      <c r="S458" s="16" t="n"/>
      <c r="T458" s="125" t="n"/>
      <c r="U458" s="14" t="n"/>
      <c r="V458" s="16" t="n"/>
      <c r="W458" s="125" t="n"/>
      <c r="X458" s="14" t="n"/>
      <c r="Y458" s="16" t="n"/>
      <c r="Z458" s="125" t="n"/>
      <c r="AA458" s="14" t="n"/>
      <c r="AB458" s="16" t="n"/>
      <c r="AC458" s="125" t="n"/>
      <c r="AD458" s="14" t="n"/>
    </row>
    <row r="459">
      <c r="A459" s="58" t="n"/>
      <c r="B459" s="59" t="n"/>
      <c r="C459" s="59" t="n"/>
      <c r="E459" s="16" t="n"/>
      <c r="F459" s="13" t="n"/>
      <c r="G459" s="16" t="n"/>
      <c r="H459" s="125" t="n"/>
      <c r="I459" s="14" t="n"/>
      <c r="J459" s="16" t="n"/>
      <c r="K459" s="125" t="n"/>
      <c r="L459" s="14" t="n"/>
      <c r="M459" s="16" t="n"/>
      <c r="N459" s="125" t="n"/>
      <c r="O459" s="14" t="n"/>
      <c r="P459" s="16" t="n"/>
      <c r="Q459" s="125" t="n"/>
      <c r="R459" s="14" t="n"/>
      <c r="S459" s="16" t="n"/>
      <c r="T459" s="125" t="n"/>
      <c r="U459" s="14" t="n"/>
      <c r="V459" s="16" t="n"/>
      <c r="W459" s="125" t="n"/>
      <c r="X459" s="14" t="n"/>
      <c r="Y459" s="16" t="n"/>
      <c r="Z459" s="125" t="n"/>
      <c r="AA459" s="14" t="n"/>
      <c r="AB459" s="16" t="n"/>
      <c r="AC459" s="125" t="n"/>
      <c r="AD459" s="14" t="n"/>
    </row>
    <row r="460">
      <c r="A460" s="56" t="n"/>
      <c r="B460" s="59" t="n"/>
      <c r="C460" s="59" t="n"/>
      <c r="E460" s="16" t="n"/>
      <c r="F460" s="13" t="n"/>
      <c r="G460" s="16" t="n"/>
      <c r="H460" s="125" t="n"/>
      <c r="I460" s="14" t="n"/>
      <c r="J460" s="16" t="n"/>
      <c r="K460" s="125" t="n"/>
      <c r="L460" s="14" t="n"/>
      <c r="M460" s="16" t="n"/>
      <c r="N460" s="125" t="n"/>
      <c r="O460" s="14" t="n"/>
      <c r="P460" s="16" t="n"/>
      <c r="Q460" s="125" t="n"/>
      <c r="R460" s="14" t="n"/>
      <c r="S460" s="16" t="n"/>
      <c r="T460" s="125" t="n"/>
      <c r="U460" s="14" t="n"/>
      <c r="V460" s="16" t="n"/>
      <c r="W460" s="125" t="n"/>
      <c r="X460" s="14" t="n"/>
      <c r="Y460" s="16" t="n"/>
      <c r="Z460" s="125" t="n"/>
      <c r="AA460" s="14" t="n"/>
      <c r="AB460" s="16" t="n"/>
      <c r="AC460" s="125" t="n"/>
      <c r="AD460" s="14" t="n"/>
    </row>
    <row r="461">
      <c r="A461" s="58" t="n"/>
      <c r="B461" s="59" t="n"/>
      <c r="C461" s="59" t="n"/>
      <c r="E461" s="16" t="n"/>
      <c r="F461" s="13" t="n"/>
      <c r="G461" s="16" t="n"/>
      <c r="H461" s="125" t="n"/>
      <c r="I461" s="14" t="n"/>
      <c r="J461" s="16" t="n"/>
      <c r="K461" s="125" t="n"/>
      <c r="L461" s="14" t="n"/>
      <c r="M461" s="16" t="n"/>
      <c r="N461" s="125" t="n"/>
      <c r="O461" s="14" t="n"/>
      <c r="P461" s="16" t="n"/>
      <c r="Q461" s="125" t="n"/>
      <c r="R461" s="14" t="n"/>
      <c r="S461" s="16" t="n"/>
      <c r="T461" s="125" t="n"/>
      <c r="U461" s="14" t="n"/>
      <c r="V461" s="16" t="n"/>
      <c r="W461" s="125" t="n"/>
      <c r="X461" s="14" t="n"/>
      <c r="Y461" s="16" t="n"/>
      <c r="Z461" s="125" t="n"/>
      <c r="AA461" s="14" t="n"/>
      <c r="AB461" s="16" t="n"/>
      <c r="AC461" s="125" t="n"/>
      <c r="AD461" s="14" t="n"/>
    </row>
    <row r="462">
      <c r="A462" s="56" t="n"/>
      <c r="B462" s="59" t="n"/>
      <c r="C462" s="59" t="n"/>
      <c r="E462" s="16" t="n"/>
      <c r="F462" s="13" t="n"/>
      <c r="G462" s="16" t="n"/>
      <c r="H462" s="125" t="n"/>
      <c r="I462" s="14" t="n"/>
      <c r="J462" s="16" t="n"/>
      <c r="K462" s="125" t="n"/>
      <c r="L462" s="14" t="n"/>
      <c r="M462" s="16" t="n"/>
      <c r="N462" s="125" t="n"/>
      <c r="O462" s="14" t="n"/>
      <c r="P462" s="16" t="n"/>
      <c r="Q462" s="125" t="n"/>
      <c r="R462" s="14" t="n"/>
      <c r="S462" s="16" t="n"/>
      <c r="T462" s="125" t="n"/>
      <c r="U462" s="14" t="n"/>
      <c r="V462" s="16" t="n"/>
      <c r="W462" s="125" t="n"/>
      <c r="X462" s="14" t="n"/>
      <c r="Y462" s="16" t="n"/>
      <c r="Z462" s="125" t="n"/>
      <c r="AA462" s="14" t="n"/>
      <c r="AB462" s="16" t="n"/>
      <c r="AC462" s="125" t="n"/>
      <c r="AD462" s="14" t="n"/>
    </row>
    <row r="463">
      <c r="A463" s="58" t="n"/>
      <c r="B463" s="59" t="n"/>
      <c r="C463" s="59" t="n"/>
      <c r="E463" s="16" t="n"/>
      <c r="F463" s="13" t="n"/>
      <c r="G463" s="16" t="n"/>
      <c r="H463" s="125" t="n"/>
      <c r="I463" s="14" t="n"/>
      <c r="J463" s="16" t="n"/>
      <c r="K463" s="125" t="n"/>
      <c r="L463" s="14" t="n"/>
      <c r="M463" s="16" t="n"/>
      <c r="N463" s="125" t="n"/>
      <c r="O463" s="14" t="n"/>
      <c r="P463" s="16" t="n"/>
      <c r="Q463" s="125" t="n"/>
      <c r="R463" s="14" t="n"/>
      <c r="S463" s="16" t="n"/>
      <c r="T463" s="125" t="n"/>
      <c r="U463" s="14" t="n"/>
      <c r="V463" s="16" t="n"/>
      <c r="W463" s="125" t="n"/>
      <c r="X463" s="14" t="n"/>
      <c r="Y463" s="16" t="n"/>
      <c r="Z463" s="125" t="n"/>
      <c r="AA463" s="14" t="n"/>
      <c r="AB463" s="16" t="n"/>
      <c r="AC463" s="125" t="n"/>
      <c r="AD463" s="14" t="n"/>
    </row>
    <row r="464">
      <c r="A464" s="56" t="n"/>
      <c r="B464" s="59" t="n"/>
      <c r="C464" s="59" t="n"/>
      <c r="E464" s="16" t="n"/>
      <c r="F464" s="13" t="n"/>
      <c r="G464" s="16" t="n"/>
      <c r="H464" s="125" t="n"/>
      <c r="I464" s="14" t="n"/>
      <c r="J464" s="16" t="n"/>
      <c r="K464" s="125" t="n"/>
      <c r="L464" s="14" t="n"/>
      <c r="M464" s="16" t="n"/>
      <c r="N464" s="125" t="n"/>
      <c r="O464" s="14" t="n"/>
      <c r="P464" s="16" t="n"/>
      <c r="Q464" s="125" t="n"/>
      <c r="R464" s="14" t="n"/>
      <c r="S464" s="16" t="n"/>
      <c r="T464" s="125" t="n"/>
      <c r="U464" s="14" t="n"/>
      <c r="V464" s="16" t="n"/>
      <c r="W464" s="125" t="n"/>
      <c r="X464" s="14" t="n"/>
      <c r="Y464" s="16" t="n"/>
      <c r="Z464" s="125" t="n"/>
      <c r="AA464" s="14" t="n"/>
      <c r="AB464" s="16" t="n"/>
      <c r="AC464" s="125" t="n"/>
      <c r="AD464" s="14" t="n"/>
    </row>
    <row r="465">
      <c r="A465" s="58" t="n"/>
      <c r="B465" s="59" t="n"/>
      <c r="C465" s="59" t="n"/>
      <c r="E465" s="16" t="n"/>
      <c r="F465" s="13" t="n"/>
      <c r="G465" s="16" t="n"/>
      <c r="H465" s="125" t="n"/>
      <c r="I465" s="14" t="n"/>
      <c r="J465" s="16" t="n"/>
      <c r="K465" s="125" t="n"/>
      <c r="L465" s="14" t="n"/>
      <c r="M465" s="16" t="n"/>
      <c r="N465" s="125" t="n"/>
      <c r="O465" s="14" t="n"/>
      <c r="P465" s="16" t="n"/>
      <c r="Q465" s="125" t="n"/>
      <c r="R465" s="14" t="n"/>
      <c r="S465" s="16" t="n"/>
      <c r="T465" s="125" t="n"/>
      <c r="U465" s="14" t="n"/>
      <c r="V465" s="16" t="n"/>
      <c r="W465" s="125" t="n"/>
      <c r="X465" s="14" t="n"/>
      <c r="Y465" s="16" t="n"/>
      <c r="Z465" s="125" t="n"/>
      <c r="AA465" s="14" t="n"/>
      <c r="AB465" s="16" t="n"/>
      <c r="AC465" s="125" t="n"/>
      <c r="AD465" s="14" t="n"/>
    </row>
    <row r="466">
      <c r="A466" s="56" t="n"/>
      <c r="B466" s="59" t="n"/>
      <c r="C466" s="59" t="n"/>
      <c r="E466" s="16" t="n"/>
      <c r="F466" s="13" t="n"/>
      <c r="G466" s="16" t="n"/>
      <c r="H466" s="125" t="n"/>
      <c r="I466" s="14" t="n"/>
      <c r="J466" s="16" t="n"/>
      <c r="K466" s="125" t="n"/>
      <c r="L466" s="14" t="n"/>
      <c r="M466" s="16" t="n"/>
      <c r="N466" s="125" t="n"/>
      <c r="O466" s="14" t="n"/>
      <c r="P466" s="16" t="n"/>
      <c r="Q466" s="125" t="n"/>
      <c r="R466" s="14" t="n"/>
      <c r="S466" s="16" t="n"/>
      <c r="T466" s="125" t="n"/>
      <c r="U466" s="14" t="n"/>
      <c r="V466" s="16" t="n"/>
      <c r="W466" s="125" t="n"/>
      <c r="X466" s="14" t="n"/>
      <c r="Y466" s="16" t="n"/>
      <c r="Z466" s="125" t="n"/>
      <c r="AA466" s="14" t="n"/>
      <c r="AB466" s="16" t="n"/>
      <c r="AC466" s="125" t="n"/>
      <c r="AD466" s="14" t="n"/>
    </row>
    <row r="467">
      <c r="A467" s="58" t="n"/>
      <c r="B467" s="59" t="n"/>
      <c r="C467" s="59" t="n"/>
      <c r="E467" s="16" t="n"/>
      <c r="F467" s="13" t="n"/>
      <c r="G467" s="16" t="n"/>
      <c r="H467" s="125" t="n"/>
      <c r="I467" s="14" t="n"/>
      <c r="J467" s="16" t="n"/>
      <c r="K467" s="125" t="n"/>
      <c r="L467" s="14" t="n"/>
      <c r="M467" s="16" t="n"/>
      <c r="N467" s="125" t="n"/>
      <c r="O467" s="14" t="n"/>
      <c r="P467" s="16" t="n"/>
      <c r="Q467" s="125" t="n"/>
      <c r="R467" s="14" t="n"/>
      <c r="S467" s="16" t="n"/>
      <c r="T467" s="125" t="n"/>
      <c r="U467" s="14" t="n"/>
      <c r="V467" s="16" t="n"/>
      <c r="W467" s="125" t="n"/>
      <c r="X467" s="14" t="n"/>
      <c r="Y467" s="16" t="n"/>
      <c r="Z467" s="125" t="n"/>
      <c r="AA467" s="14" t="n"/>
      <c r="AB467" s="16" t="n"/>
      <c r="AC467" s="125" t="n"/>
      <c r="AD467" s="14" t="n"/>
    </row>
    <row r="468">
      <c r="A468" s="56" t="n"/>
      <c r="B468" s="59" t="n"/>
      <c r="C468" s="59" t="n"/>
      <c r="E468" s="16" t="n"/>
      <c r="F468" s="13" t="n"/>
      <c r="G468" s="16" t="n"/>
      <c r="H468" s="125" t="n"/>
      <c r="I468" s="14" t="n"/>
      <c r="J468" s="16" t="n"/>
      <c r="K468" s="125" t="n"/>
      <c r="L468" s="14" t="n"/>
      <c r="M468" s="16" t="n"/>
      <c r="N468" s="125" t="n"/>
      <c r="O468" s="14" t="n"/>
      <c r="P468" s="16" t="n"/>
      <c r="Q468" s="125" t="n"/>
      <c r="R468" s="14" t="n"/>
      <c r="S468" s="16" t="n"/>
      <c r="T468" s="125" t="n"/>
      <c r="U468" s="14" t="n"/>
      <c r="V468" s="16" t="n"/>
      <c r="W468" s="125" t="n"/>
      <c r="X468" s="14" t="n"/>
      <c r="Y468" s="16" t="n"/>
      <c r="Z468" s="125" t="n"/>
      <c r="AA468" s="14" t="n"/>
      <c r="AB468" s="16" t="n"/>
      <c r="AC468" s="125" t="n"/>
      <c r="AD468" s="14" t="n"/>
    </row>
    <row r="469">
      <c r="A469" s="58" t="n"/>
      <c r="B469" s="59" t="n"/>
      <c r="C469" s="59" t="n"/>
      <c r="E469" s="16" t="n"/>
      <c r="F469" s="13" t="n"/>
      <c r="G469" s="16" t="n"/>
      <c r="H469" s="125" t="n"/>
      <c r="I469" s="14" t="n"/>
      <c r="J469" s="16" t="n"/>
      <c r="K469" s="125" t="n"/>
      <c r="L469" s="14" t="n"/>
      <c r="M469" s="16" t="n"/>
      <c r="N469" s="125" t="n"/>
      <c r="O469" s="14" t="n"/>
      <c r="P469" s="16" t="n"/>
      <c r="Q469" s="125" t="n"/>
      <c r="R469" s="14" t="n"/>
      <c r="S469" s="16" t="n"/>
      <c r="T469" s="125" t="n"/>
      <c r="U469" s="14" t="n"/>
      <c r="V469" s="16" t="n"/>
      <c r="W469" s="125" t="n"/>
      <c r="X469" s="14" t="n"/>
      <c r="Y469" s="16" t="n"/>
      <c r="Z469" s="125" t="n"/>
      <c r="AA469" s="14" t="n"/>
      <c r="AB469" s="16" t="n"/>
      <c r="AC469" s="125" t="n"/>
      <c r="AD469" s="14" t="n"/>
    </row>
    <row r="470">
      <c r="A470" s="56" t="n"/>
      <c r="B470" s="59" t="n"/>
      <c r="C470" s="59" t="n"/>
      <c r="E470" s="16" t="n"/>
      <c r="F470" s="13" t="n"/>
      <c r="G470" s="16" t="n"/>
      <c r="H470" s="125" t="n"/>
      <c r="I470" s="14" t="n"/>
      <c r="J470" s="16" t="n"/>
      <c r="K470" s="125" t="n"/>
      <c r="L470" s="14" t="n"/>
      <c r="M470" s="16" t="n"/>
      <c r="N470" s="125" t="n"/>
      <c r="O470" s="14" t="n"/>
      <c r="P470" s="16" t="n"/>
      <c r="Q470" s="125" t="n"/>
      <c r="R470" s="14" t="n"/>
      <c r="S470" s="16" t="n"/>
      <c r="T470" s="125" t="n"/>
      <c r="U470" s="14" t="n"/>
      <c r="V470" s="16" t="n"/>
      <c r="W470" s="125" t="n"/>
      <c r="X470" s="14" t="n"/>
      <c r="Y470" s="16" t="n"/>
      <c r="Z470" s="125" t="n"/>
      <c r="AA470" s="14" t="n"/>
      <c r="AB470" s="16" t="n"/>
      <c r="AC470" s="125" t="n"/>
      <c r="AD470" s="14" t="n"/>
    </row>
    <row r="471">
      <c r="A471" s="58" t="n"/>
      <c r="B471" s="59" t="n"/>
      <c r="C471" s="59" t="n"/>
      <c r="E471" s="16" t="n"/>
      <c r="F471" s="13" t="n"/>
      <c r="G471" s="16" t="n"/>
      <c r="H471" s="125" t="n"/>
      <c r="I471" s="14" t="n"/>
      <c r="J471" s="16" t="n"/>
      <c r="K471" s="125" t="n"/>
      <c r="L471" s="14" t="n"/>
      <c r="M471" s="16" t="n"/>
      <c r="N471" s="125" t="n"/>
      <c r="O471" s="14" t="n"/>
      <c r="P471" s="16" t="n"/>
      <c r="Q471" s="125" t="n"/>
      <c r="R471" s="14" t="n"/>
      <c r="S471" s="16" t="n"/>
      <c r="T471" s="125" t="n"/>
      <c r="U471" s="14" t="n"/>
      <c r="V471" s="16" t="n"/>
      <c r="W471" s="125" t="n"/>
      <c r="X471" s="14" t="n"/>
      <c r="Y471" s="16" t="n"/>
      <c r="Z471" s="125" t="n"/>
      <c r="AA471" s="14" t="n"/>
      <c r="AB471" s="16" t="n"/>
      <c r="AC471" s="125" t="n"/>
      <c r="AD471" s="14" t="n"/>
    </row>
    <row r="472">
      <c r="A472" s="56" t="n"/>
      <c r="B472" s="59" t="n"/>
      <c r="C472" s="59" t="n"/>
      <c r="E472" s="16" t="n"/>
      <c r="F472" s="13" t="n"/>
      <c r="G472" s="16" t="n"/>
      <c r="H472" s="125" t="n"/>
      <c r="I472" s="14" t="n"/>
      <c r="J472" s="16" t="n"/>
      <c r="K472" s="125" t="n"/>
      <c r="L472" s="14" t="n"/>
      <c r="M472" s="16" t="n"/>
      <c r="N472" s="125" t="n"/>
      <c r="O472" s="14" t="n"/>
      <c r="P472" s="16" t="n"/>
      <c r="Q472" s="125" t="n"/>
      <c r="R472" s="14" t="n"/>
      <c r="S472" s="16" t="n"/>
      <c r="T472" s="125" t="n"/>
      <c r="U472" s="14" t="n"/>
      <c r="V472" s="16" t="n"/>
      <c r="W472" s="125" t="n"/>
      <c r="X472" s="14" t="n"/>
      <c r="Y472" s="16" t="n"/>
      <c r="Z472" s="125" t="n"/>
      <c r="AA472" s="14" t="n"/>
      <c r="AB472" s="16" t="n"/>
      <c r="AC472" s="125" t="n"/>
      <c r="AD472" s="14" t="n"/>
    </row>
    <row r="473">
      <c r="A473" s="58" t="n"/>
      <c r="B473" s="59" t="n"/>
      <c r="C473" s="59" t="n"/>
      <c r="E473" s="16" t="n"/>
      <c r="F473" s="13" t="n"/>
      <c r="G473" s="16" t="n"/>
      <c r="H473" s="125" t="n"/>
      <c r="I473" s="14" t="n"/>
      <c r="J473" s="16" t="n"/>
      <c r="K473" s="125" t="n"/>
      <c r="L473" s="14" t="n"/>
      <c r="M473" s="16" t="n"/>
      <c r="N473" s="125" t="n"/>
      <c r="O473" s="14" t="n"/>
      <c r="P473" s="16" t="n"/>
      <c r="Q473" s="125" t="n"/>
      <c r="R473" s="14" t="n"/>
      <c r="S473" s="16" t="n"/>
      <c r="T473" s="125" t="n"/>
      <c r="U473" s="14" t="n"/>
      <c r="V473" s="16" t="n"/>
      <c r="W473" s="125" t="n"/>
      <c r="X473" s="14" t="n"/>
      <c r="Y473" s="16" t="n"/>
      <c r="Z473" s="125" t="n"/>
      <c r="AA473" s="14" t="n"/>
      <c r="AB473" s="16" t="n"/>
      <c r="AC473" s="125" t="n"/>
      <c r="AD473" s="14" t="n"/>
    </row>
    <row r="474">
      <c r="A474" s="56" t="n"/>
      <c r="B474" s="59" t="n"/>
      <c r="C474" s="59" t="n"/>
      <c r="E474" s="16" t="n"/>
      <c r="F474" s="13" t="n"/>
      <c r="G474" s="16" t="n"/>
      <c r="H474" s="125" t="n"/>
      <c r="I474" s="14" t="n"/>
      <c r="J474" s="16" t="n"/>
      <c r="K474" s="125" t="n"/>
      <c r="L474" s="14" t="n"/>
      <c r="M474" s="16" t="n"/>
      <c r="N474" s="125" t="n"/>
      <c r="O474" s="14" t="n"/>
      <c r="P474" s="16" t="n"/>
      <c r="Q474" s="125" t="n"/>
      <c r="R474" s="14" t="n"/>
      <c r="S474" s="16" t="n"/>
      <c r="T474" s="125" t="n"/>
      <c r="U474" s="14" t="n"/>
      <c r="V474" s="16" t="n"/>
      <c r="W474" s="125" t="n"/>
      <c r="X474" s="14" t="n"/>
      <c r="Y474" s="16" t="n"/>
      <c r="Z474" s="125" t="n"/>
      <c r="AA474" s="14" t="n"/>
      <c r="AB474" s="16" t="n"/>
      <c r="AC474" s="125" t="n"/>
      <c r="AD474" s="14" t="n"/>
    </row>
    <row r="475">
      <c r="A475" s="58" t="n"/>
      <c r="B475" s="59" t="n"/>
      <c r="C475" s="59" t="n"/>
      <c r="E475" s="16" t="n"/>
      <c r="F475" s="13" t="n"/>
      <c r="G475" s="16" t="n"/>
      <c r="H475" s="125" t="n"/>
      <c r="I475" s="14" t="n"/>
      <c r="J475" s="16" t="n"/>
      <c r="K475" s="125" t="n"/>
      <c r="L475" s="14" t="n"/>
      <c r="M475" s="16" t="n"/>
      <c r="N475" s="125" t="n"/>
      <c r="O475" s="14" t="n"/>
      <c r="P475" s="16" t="n"/>
      <c r="Q475" s="125" t="n"/>
      <c r="R475" s="14" t="n"/>
      <c r="S475" s="16" t="n"/>
      <c r="T475" s="125" t="n"/>
      <c r="U475" s="14" t="n"/>
      <c r="V475" s="16" t="n"/>
      <c r="W475" s="125" t="n"/>
      <c r="X475" s="14" t="n"/>
      <c r="Y475" s="16" t="n"/>
      <c r="Z475" s="125" t="n"/>
      <c r="AA475" s="14" t="n"/>
      <c r="AB475" s="16" t="n"/>
      <c r="AC475" s="125" t="n"/>
      <c r="AD475" s="14" t="n"/>
    </row>
    <row r="476">
      <c r="A476" s="56" t="n"/>
      <c r="B476" s="59" t="n"/>
      <c r="C476" s="59" t="n"/>
      <c r="E476" s="16" t="n"/>
      <c r="F476" s="13" t="n"/>
      <c r="G476" s="16" t="n"/>
      <c r="H476" s="125" t="n"/>
      <c r="I476" s="14" t="n"/>
      <c r="J476" s="16" t="n"/>
      <c r="K476" s="125" t="n"/>
      <c r="L476" s="14" t="n"/>
      <c r="M476" s="16" t="n"/>
      <c r="N476" s="125" t="n"/>
      <c r="O476" s="14" t="n"/>
      <c r="P476" s="16" t="n"/>
      <c r="Q476" s="125" t="n"/>
      <c r="R476" s="14" t="n"/>
      <c r="S476" s="16" t="n"/>
      <c r="T476" s="125" t="n"/>
      <c r="U476" s="14" t="n"/>
      <c r="V476" s="16" t="n"/>
      <c r="W476" s="125" t="n"/>
      <c r="X476" s="14" t="n"/>
      <c r="Y476" s="16" t="n"/>
      <c r="Z476" s="125" t="n"/>
      <c r="AA476" s="14" t="n"/>
      <c r="AB476" s="16" t="n"/>
      <c r="AC476" s="125" t="n"/>
      <c r="AD476" s="14" t="n"/>
    </row>
    <row r="477">
      <c r="A477" s="58" t="n"/>
      <c r="B477" s="59" t="n"/>
      <c r="C477" s="59" t="n"/>
      <c r="E477" s="16" t="n"/>
      <c r="F477" s="13" t="n"/>
      <c r="G477" s="16" t="n"/>
      <c r="H477" s="125" t="n"/>
      <c r="I477" s="14" t="n"/>
      <c r="J477" s="16" t="n"/>
      <c r="K477" s="125" t="n"/>
      <c r="L477" s="14" t="n"/>
      <c r="M477" s="16" t="n"/>
      <c r="N477" s="125" t="n"/>
      <c r="O477" s="14" t="n"/>
      <c r="P477" s="16" t="n"/>
      <c r="Q477" s="125" t="n"/>
      <c r="R477" s="14" t="n"/>
      <c r="S477" s="16" t="n"/>
      <c r="T477" s="125" t="n"/>
      <c r="U477" s="14" t="n"/>
      <c r="V477" s="16" t="n"/>
      <c r="W477" s="125" t="n"/>
      <c r="X477" s="14" t="n"/>
      <c r="Y477" s="16" t="n"/>
      <c r="Z477" s="125" t="n"/>
      <c r="AA477" s="14" t="n"/>
      <c r="AB477" s="16" t="n"/>
      <c r="AC477" s="125" t="n"/>
      <c r="AD477" s="14" t="n"/>
    </row>
    <row r="478">
      <c r="A478" s="56" t="n"/>
      <c r="B478" s="59" t="n"/>
      <c r="C478" s="59" t="n"/>
      <c r="E478" s="16" t="n"/>
      <c r="F478" s="13" t="n"/>
      <c r="G478" s="16" t="n"/>
      <c r="H478" s="125" t="n"/>
      <c r="I478" s="14" t="n"/>
      <c r="J478" s="16" t="n"/>
      <c r="K478" s="125" t="n"/>
      <c r="L478" s="14" t="n"/>
      <c r="M478" s="16" t="n"/>
      <c r="N478" s="125" t="n"/>
      <c r="O478" s="14" t="n"/>
      <c r="P478" s="16" t="n"/>
      <c r="Q478" s="125" t="n"/>
      <c r="R478" s="14" t="n"/>
      <c r="S478" s="16" t="n"/>
      <c r="T478" s="125" t="n"/>
      <c r="U478" s="14" t="n"/>
      <c r="V478" s="16" t="n"/>
      <c r="W478" s="125" t="n"/>
      <c r="X478" s="14" t="n"/>
      <c r="Y478" s="16" t="n"/>
      <c r="Z478" s="125" t="n"/>
      <c r="AA478" s="14" t="n"/>
      <c r="AB478" s="16" t="n"/>
      <c r="AC478" s="125" t="n"/>
      <c r="AD478" s="14" t="n"/>
    </row>
    <row r="479">
      <c r="A479" s="58" t="n"/>
      <c r="B479" s="59" t="n"/>
      <c r="C479" s="59" t="n"/>
      <c r="E479" s="16" t="n"/>
      <c r="F479" s="13" t="n"/>
      <c r="G479" s="16" t="n"/>
      <c r="H479" s="125" t="n"/>
      <c r="I479" s="14" t="n"/>
      <c r="J479" s="16" t="n"/>
      <c r="K479" s="125" t="n"/>
      <c r="L479" s="14" t="n"/>
      <c r="M479" s="16" t="n"/>
      <c r="N479" s="125" t="n"/>
      <c r="O479" s="14" t="n"/>
      <c r="P479" s="16" t="n"/>
      <c r="Q479" s="125" t="n"/>
      <c r="R479" s="14" t="n"/>
      <c r="S479" s="16" t="n"/>
      <c r="T479" s="125" t="n"/>
      <c r="U479" s="14" t="n"/>
      <c r="V479" s="16" t="n"/>
      <c r="W479" s="125" t="n"/>
      <c r="X479" s="14" t="n"/>
      <c r="Y479" s="16" t="n"/>
      <c r="Z479" s="125" t="n"/>
      <c r="AA479" s="14" t="n"/>
      <c r="AB479" s="16" t="n"/>
      <c r="AC479" s="125" t="n"/>
      <c r="AD479" s="14" t="n"/>
    </row>
    <row r="480">
      <c r="A480" s="56" t="n"/>
      <c r="B480" s="59" t="n"/>
      <c r="C480" s="59" t="n"/>
      <c r="E480" s="16" t="n"/>
      <c r="F480" s="13" t="n"/>
      <c r="G480" s="16" t="n"/>
      <c r="H480" s="125" t="n"/>
      <c r="I480" s="14" t="n"/>
      <c r="J480" s="16" t="n"/>
      <c r="K480" s="125" t="n"/>
      <c r="L480" s="14" t="n"/>
      <c r="M480" s="16" t="n"/>
      <c r="N480" s="125" t="n"/>
      <c r="O480" s="14" t="n"/>
      <c r="P480" s="16" t="n"/>
      <c r="Q480" s="125" t="n"/>
      <c r="R480" s="14" t="n"/>
      <c r="S480" s="16" t="n"/>
      <c r="T480" s="125" t="n"/>
      <c r="U480" s="14" t="n"/>
      <c r="V480" s="16" t="n"/>
      <c r="W480" s="125" t="n"/>
      <c r="X480" s="14" t="n"/>
      <c r="Y480" s="16" t="n"/>
      <c r="Z480" s="125" t="n"/>
      <c r="AA480" s="14" t="n"/>
      <c r="AB480" s="16" t="n"/>
      <c r="AC480" s="125" t="n"/>
      <c r="AD480" s="14" t="n"/>
    </row>
    <row r="481">
      <c r="A481" s="58" t="n"/>
      <c r="B481" s="59" t="n"/>
      <c r="C481" s="59" t="n"/>
      <c r="E481" s="16" t="n"/>
      <c r="F481" s="13" t="n"/>
      <c r="G481" s="16" t="n"/>
      <c r="H481" s="125" t="n"/>
      <c r="I481" s="14" t="n"/>
      <c r="J481" s="16" t="n"/>
      <c r="K481" s="125" t="n"/>
      <c r="L481" s="14" t="n"/>
      <c r="M481" s="16" t="n"/>
      <c r="N481" s="125" t="n"/>
      <c r="O481" s="14" t="n"/>
      <c r="P481" s="16" t="n"/>
      <c r="Q481" s="125" t="n"/>
      <c r="R481" s="14" t="n"/>
      <c r="S481" s="16" t="n"/>
      <c r="T481" s="125" t="n"/>
      <c r="U481" s="14" t="n"/>
      <c r="V481" s="16" t="n"/>
      <c r="W481" s="125" t="n"/>
      <c r="X481" s="14" t="n"/>
      <c r="Y481" s="16" t="n"/>
      <c r="Z481" s="125" t="n"/>
      <c r="AA481" s="14" t="n"/>
      <c r="AB481" s="16" t="n"/>
      <c r="AC481" s="125" t="n"/>
      <c r="AD481" s="14" t="n"/>
    </row>
    <row r="482">
      <c r="A482" s="56" t="n"/>
      <c r="B482" s="59" t="n"/>
      <c r="C482" s="59" t="n"/>
      <c r="E482" s="16" t="n"/>
      <c r="F482" s="13" t="n"/>
      <c r="G482" s="16" t="n"/>
      <c r="H482" s="125" t="n"/>
      <c r="I482" s="14" t="n"/>
      <c r="J482" s="16" t="n"/>
      <c r="K482" s="125" t="n"/>
      <c r="L482" s="14" t="n"/>
      <c r="M482" s="16" t="n"/>
      <c r="N482" s="125" t="n"/>
      <c r="O482" s="14" t="n"/>
      <c r="P482" s="16" t="n"/>
      <c r="Q482" s="125" t="n"/>
      <c r="R482" s="14" t="n"/>
      <c r="S482" s="16" t="n"/>
      <c r="T482" s="125" t="n"/>
      <c r="U482" s="14" t="n"/>
      <c r="V482" s="16" t="n"/>
      <c r="W482" s="125" t="n"/>
      <c r="X482" s="14" t="n"/>
      <c r="Y482" s="16" t="n"/>
      <c r="Z482" s="125" t="n"/>
      <c r="AA482" s="14" t="n"/>
      <c r="AB482" s="16" t="n"/>
      <c r="AC482" s="125" t="n"/>
      <c r="AD482" s="14" t="n"/>
    </row>
    <row r="483">
      <c r="A483" s="58" t="n"/>
      <c r="B483" s="59" t="n"/>
      <c r="C483" s="59" t="n"/>
      <c r="E483" s="16" t="n"/>
      <c r="F483" s="13" t="n"/>
      <c r="G483" s="16" t="n"/>
      <c r="H483" s="125" t="n"/>
      <c r="I483" s="14" t="n"/>
      <c r="J483" s="16" t="n"/>
      <c r="K483" s="125" t="n"/>
      <c r="L483" s="14" t="n"/>
      <c r="M483" s="16" t="n"/>
      <c r="N483" s="125" t="n"/>
      <c r="O483" s="14" t="n"/>
      <c r="P483" s="16" t="n"/>
      <c r="Q483" s="125" t="n"/>
      <c r="R483" s="14" t="n"/>
      <c r="S483" s="16" t="n"/>
      <c r="T483" s="125" t="n"/>
      <c r="U483" s="14" t="n"/>
      <c r="V483" s="16" t="n"/>
      <c r="W483" s="125" t="n"/>
      <c r="X483" s="14" t="n"/>
      <c r="Y483" s="16" t="n"/>
      <c r="Z483" s="125" t="n"/>
      <c r="AA483" s="14" t="n"/>
      <c r="AB483" s="16" t="n"/>
      <c r="AC483" s="125" t="n"/>
      <c r="AD483" s="14" t="n"/>
    </row>
    <row r="484">
      <c r="A484" s="56" t="n"/>
      <c r="B484" s="59" t="n"/>
      <c r="C484" s="59" t="n"/>
      <c r="E484" s="16" t="n"/>
      <c r="F484" s="13" t="n"/>
      <c r="G484" s="16" t="n"/>
      <c r="H484" s="125" t="n"/>
      <c r="I484" s="14" t="n"/>
      <c r="J484" s="16" t="n"/>
      <c r="K484" s="125" t="n"/>
      <c r="L484" s="14" t="n"/>
      <c r="M484" s="16" t="n"/>
      <c r="N484" s="125" t="n"/>
      <c r="O484" s="14" t="n"/>
      <c r="P484" s="16" t="n"/>
      <c r="Q484" s="125" t="n"/>
      <c r="R484" s="14" t="n"/>
      <c r="S484" s="16" t="n"/>
      <c r="T484" s="125" t="n"/>
      <c r="U484" s="14" t="n"/>
      <c r="V484" s="16" t="n"/>
      <c r="W484" s="125" t="n"/>
      <c r="X484" s="14" t="n"/>
      <c r="Y484" s="16" t="n"/>
      <c r="Z484" s="125" t="n"/>
      <c r="AA484" s="14" t="n"/>
      <c r="AB484" s="16" t="n"/>
      <c r="AC484" s="125" t="n"/>
      <c r="AD484" s="14" t="n"/>
    </row>
    <row r="485">
      <c r="A485" s="58" t="n"/>
      <c r="B485" s="59" t="n"/>
      <c r="C485" s="59" t="n"/>
      <c r="E485" s="16" t="n"/>
      <c r="F485" s="13" t="n"/>
      <c r="G485" s="16" t="n"/>
      <c r="H485" s="125" t="n"/>
      <c r="I485" s="14" t="n"/>
      <c r="J485" s="16" t="n"/>
      <c r="K485" s="125" t="n"/>
      <c r="L485" s="14" t="n"/>
      <c r="M485" s="16" t="n"/>
      <c r="N485" s="125" t="n"/>
      <c r="O485" s="14" t="n"/>
      <c r="P485" s="16" t="n"/>
      <c r="Q485" s="125" t="n"/>
      <c r="R485" s="14" t="n"/>
      <c r="S485" s="16" t="n"/>
      <c r="T485" s="125" t="n"/>
      <c r="U485" s="14" t="n"/>
      <c r="V485" s="16" t="n"/>
      <c r="W485" s="125" t="n"/>
      <c r="X485" s="14" t="n"/>
      <c r="Y485" s="16" t="n"/>
      <c r="Z485" s="125" t="n"/>
      <c r="AA485" s="14" t="n"/>
      <c r="AB485" s="16" t="n"/>
      <c r="AC485" s="125" t="n"/>
      <c r="AD485" s="14" t="n"/>
    </row>
    <row r="486">
      <c r="A486" s="56" t="n"/>
      <c r="B486" s="59" t="n"/>
      <c r="C486" s="59" t="n"/>
      <c r="E486" s="16" t="n"/>
      <c r="F486" s="13" t="n"/>
      <c r="G486" s="16" t="n"/>
      <c r="H486" s="125" t="n"/>
      <c r="I486" s="14" t="n"/>
      <c r="J486" s="16" t="n"/>
      <c r="K486" s="125" t="n"/>
      <c r="L486" s="14" t="n"/>
      <c r="M486" s="16" t="n"/>
      <c r="N486" s="125" t="n"/>
      <c r="O486" s="14" t="n"/>
      <c r="P486" s="16" t="n"/>
      <c r="Q486" s="125" t="n"/>
      <c r="R486" s="14" t="n"/>
      <c r="S486" s="16" t="n"/>
      <c r="T486" s="125" t="n"/>
      <c r="U486" s="14" t="n"/>
      <c r="V486" s="16" t="n"/>
      <c r="W486" s="125" t="n"/>
      <c r="X486" s="14" t="n"/>
      <c r="Y486" s="16" t="n"/>
      <c r="Z486" s="125" t="n"/>
      <c r="AA486" s="14" t="n"/>
      <c r="AB486" s="16" t="n"/>
      <c r="AC486" s="125" t="n"/>
      <c r="AD486" s="14" t="n"/>
    </row>
    <row r="487">
      <c r="A487" s="58" t="n"/>
      <c r="B487" s="59" t="n"/>
      <c r="C487" s="59" t="n"/>
      <c r="E487" s="16" t="n"/>
      <c r="F487" s="13" t="n"/>
      <c r="G487" s="16" t="n"/>
      <c r="H487" s="125" t="n"/>
      <c r="I487" s="14" t="n"/>
      <c r="J487" s="16" t="n"/>
      <c r="K487" s="125" t="n"/>
      <c r="L487" s="14" t="n"/>
      <c r="M487" s="16" t="n"/>
      <c r="N487" s="125" t="n"/>
      <c r="O487" s="14" t="n"/>
      <c r="P487" s="16" t="n"/>
      <c r="Q487" s="125" t="n"/>
      <c r="R487" s="14" t="n"/>
      <c r="S487" s="16" t="n"/>
      <c r="T487" s="125" t="n"/>
      <c r="U487" s="14" t="n"/>
      <c r="V487" s="16" t="n"/>
      <c r="W487" s="125" t="n"/>
      <c r="X487" s="14" t="n"/>
      <c r="Y487" s="16" t="n"/>
      <c r="Z487" s="125" t="n"/>
      <c r="AA487" s="14" t="n"/>
      <c r="AB487" s="16" t="n"/>
      <c r="AC487" s="125" t="n"/>
      <c r="AD487" s="14" t="n"/>
    </row>
    <row r="488">
      <c r="A488" s="56" t="n"/>
      <c r="B488" s="59" t="n"/>
      <c r="C488" s="59" t="n"/>
      <c r="E488" s="16" t="n"/>
      <c r="F488" s="13" t="n"/>
      <c r="G488" s="16" t="n"/>
      <c r="H488" s="125" t="n"/>
      <c r="I488" s="14" t="n"/>
      <c r="J488" s="16" t="n"/>
      <c r="K488" s="125" t="n"/>
      <c r="L488" s="14" t="n"/>
      <c r="M488" s="16" t="n"/>
      <c r="N488" s="125" t="n"/>
      <c r="O488" s="14" t="n"/>
      <c r="P488" s="16" t="n"/>
      <c r="Q488" s="125" t="n"/>
      <c r="R488" s="14" t="n"/>
      <c r="S488" s="16" t="n"/>
      <c r="T488" s="125" t="n"/>
      <c r="U488" s="14" t="n"/>
      <c r="V488" s="16" t="n"/>
      <c r="W488" s="125" t="n"/>
      <c r="X488" s="14" t="n"/>
      <c r="Y488" s="16" t="n"/>
      <c r="Z488" s="125" t="n"/>
      <c r="AA488" s="14" t="n"/>
      <c r="AB488" s="16" t="n"/>
      <c r="AC488" s="125" t="n"/>
      <c r="AD488" s="14" t="n"/>
    </row>
    <row r="489">
      <c r="A489" s="58" t="n"/>
      <c r="B489" s="59" t="n"/>
      <c r="C489" s="59" t="n"/>
      <c r="E489" s="16" t="n"/>
      <c r="F489" s="13" t="n"/>
      <c r="G489" s="16" t="n"/>
      <c r="H489" s="125" t="n"/>
      <c r="I489" s="14" t="n"/>
      <c r="J489" s="16" t="n"/>
      <c r="K489" s="125" t="n"/>
      <c r="L489" s="14" t="n"/>
      <c r="M489" s="16" t="n"/>
      <c r="N489" s="125" t="n"/>
      <c r="O489" s="14" t="n"/>
      <c r="P489" s="16" t="n"/>
      <c r="Q489" s="125" t="n"/>
      <c r="R489" s="14" t="n"/>
      <c r="S489" s="16" t="n"/>
      <c r="T489" s="125" t="n"/>
      <c r="U489" s="14" t="n"/>
      <c r="V489" s="16" t="n"/>
      <c r="W489" s="125" t="n"/>
      <c r="X489" s="14" t="n"/>
      <c r="Y489" s="16" t="n"/>
      <c r="Z489" s="125" t="n"/>
      <c r="AA489" s="14" t="n"/>
      <c r="AB489" s="16" t="n"/>
      <c r="AC489" s="125" t="n"/>
      <c r="AD489" s="14" t="n"/>
    </row>
    <row r="490">
      <c r="A490" s="56" t="n"/>
      <c r="B490" s="59" t="n"/>
      <c r="C490" s="59" t="n"/>
      <c r="E490" s="16" t="n"/>
      <c r="F490" s="13" t="n"/>
      <c r="G490" s="16" t="n"/>
      <c r="H490" s="125" t="n"/>
      <c r="I490" s="14" t="n"/>
      <c r="J490" s="16" t="n"/>
      <c r="K490" s="125" t="n"/>
      <c r="L490" s="14" t="n"/>
      <c r="M490" s="16" t="n"/>
      <c r="N490" s="125" t="n"/>
      <c r="O490" s="14" t="n"/>
      <c r="P490" s="16" t="n"/>
      <c r="Q490" s="125" t="n"/>
      <c r="R490" s="14" t="n"/>
      <c r="S490" s="16" t="n"/>
      <c r="T490" s="125" t="n"/>
      <c r="U490" s="14" t="n"/>
      <c r="V490" s="16" t="n"/>
      <c r="W490" s="125" t="n"/>
      <c r="X490" s="14" t="n"/>
      <c r="Y490" s="16" t="n"/>
      <c r="Z490" s="125" t="n"/>
      <c r="AA490" s="14" t="n"/>
      <c r="AB490" s="16" t="n"/>
      <c r="AC490" s="125" t="n"/>
      <c r="AD490" s="14" t="n"/>
    </row>
    <row r="491">
      <c r="A491" s="58" t="n"/>
      <c r="B491" s="59" t="n"/>
      <c r="C491" s="59" t="n"/>
      <c r="E491" s="16" t="n"/>
      <c r="F491" s="13" t="n"/>
      <c r="G491" s="16" t="n"/>
      <c r="H491" s="125" t="n"/>
      <c r="I491" s="14" t="n"/>
      <c r="J491" s="16" t="n"/>
      <c r="K491" s="125" t="n"/>
      <c r="L491" s="14" t="n"/>
      <c r="M491" s="16" t="n"/>
      <c r="N491" s="125" t="n"/>
      <c r="O491" s="14" t="n"/>
      <c r="P491" s="16" t="n"/>
      <c r="Q491" s="125" t="n"/>
      <c r="R491" s="14" t="n"/>
      <c r="S491" s="16" t="n"/>
      <c r="T491" s="125" t="n"/>
      <c r="U491" s="14" t="n"/>
      <c r="V491" s="16" t="n"/>
      <c r="W491" s="125" t="n"/>
      <c r="X491" s="14" t="n"/>
      <c r="Y491" s="16" t="n"/>
      <c r="Z491" s="125" t="n"/>
      <c r="AA491" s="14" t="n"/>
      <c r="AB491" s="16" t="n"/>
      <c r="AC491" s="125" t="n"/>
      <c r="AD491" s="14" t="n"/>
    </row>
    <row r="492">
      <c r="A492" s="56" t="n"/>
      <c r="B492" s="59" t="n"/>
      <c r="C492" s="59" t="n"/>
      <c r="E492" s="16" t="n"/>
      <c r="F492" s="13" t="n"/>
      <c r="G492" s="16" t="n"/>
      <c r="H492" s="125" t="n"/>
      <c r="I492" s="14" t="n"/>
      <c r="J492" s="16" t="n"/>
      <c r="K492" s="125" t="n"/>
      <c r="L492" s="14" t="n"/>
      <c r="M492" s="16" t="n"/>
      <c r="N492" s="125" t="n"/>
      <c r="O492" s="14" t="n"/>
      <c r="P492" s="16" t="n"/>
      <c r="Q492" s="125" t="n"/>
      <c r="R492" s="14" t="n"/>
      <c r="S492" s="16" t="n"/>
      <c r="T492" s="125" t="n"/>
      <c r="U492" s="14" t="n"/>
      <c r="V492" s="16" t="n"/>
      <c r="W492" s="125" t="n"/>
      <c r="X492" s="14" t="n"/>
      <c r="Y492" s="16" t="n"/>
      <c r="Z492" s="125" t="n"/>
      <c r="AA492" s="14" t="n"/>
      <c r="AB492" s="16" t="n"/>
      <c r="AC492" s="125" t="n"/>
      <c r="AD492" s="14" t="n"/>
    </row>
    <row r="493">
      <c r="A493" s="58" t="n"/>
      <c r="B493" s="59" t="n"/>
      <c r="C493" s="59" t="n"/>
      <c r="E493" s="16" t="n"/>
      <c r="F493" s="13" t="n"/>
      <c r="G493" s="16" t="n"/>
      <c r="H493" s="125" t="n"/>
      <c r="I493" s="14" t="n"/>
      <c r="J493" s="16" t="n"/>
      <c r="K493" s="125" t="n"/>
      <c r="L493" s="14" t="n"/>
      <c r="M493" s="16" t="n"/>
      <c r="N493" s="125" t="n"/>
      <c r="O493" s="14" t="n"/>
      <c r="P493" s="16" t="n"/>
      <c r="Q493" s="125" t="n"/>
      <c r="R493" s="14" t="n"/>
      <c r="S493" s="16" t="n"/>
      <c r="T493" s="125" t="n"/>
      <c r="U493" s="14" t="n"/>
      <c r="V493" s="16" t="n"/>
      <c r="W493" s="125" t="n"/>
      <c r="X493" s="14" t="n"/>
      <c r="Y493" s="16" t="n"/>
      <c r="Z493" s="125" t="n"/>
      <c r="AA493" s="14" t="n"/>
      <c r="AB493" s="16" t="n"/>
      <c r="AC493" s="125" t="n"/>
      <c r="AD493" s="14" t="n"/>
    </row>
    <row r="494">
      <c r="A494" s="56" t="n"/>
      <c r="B494" s="59" t="n"/>
      <c r="C494" s="59" t="n"/>
      <c r="E494" s="16" t="n"/>
      <c r="F494" s="13" t="n"/>
      <c r="G494" s="16" t="n"/>
      <c r="H494" s="125" t="n"/>
      <c r="I494" s="14" t="n"/>
      <c r="J494" s="16" t="n"/>
      <c r="K494" s="125" t="n"/>
      <c r="L494" s="14" t="n"/>
      <c r="M494" s="16" t="n"/>
      <c r="N494" s="125" t="n"/>
      <c r="O494" s="14" t="n"/>
      <c r="P494" s="16" t="n"/>
      <c r="Q494" s="125" t="n"/>
      <c r="R494" s="14" t="n"/>
      <c r="S494" s="16" t="n"/>
      <c r="T494" s="125" t="n"/>
      <c r="U494" s="14" t="n"/>
      <c r="V494" s="16" t="n"/>
      <c r="W494" s="125" t="n"/>
      <c r="X494" s="14" t="n"/>
      <c r="Y494" s="16" t="n"/>
      <c r="Z494" s="125" t="n"/>
      <c r="AA494" s="14" t="n"/>
      <c r="AB494" s="16" t="n"/>
      <c r="AC494" s="125" t="n"/>
      <c r="AD494" s="14" t="n"/>
    </row>
    <row r="495">
      <c r="A495" s="58" t="n"/>
      <c r="B495" s="59" t="n"/>
      <c r="C495" s="59" t="n"/>
      <c r="E495" s="16" t="n"/>
      <c r="F495" s="13" t="n"/>
      <c r="G495" s="16" t="n"/>
      <c r="H495" s="125" t="n"/>
      <c r="I495" s="14" t="n"/>
      <c r="J495" s="16" t="n"/>
      <c r="K495" s="125" t="n"/>
      <c r="L495" s="14" t="n"/>
      <c r="M495" s="16" t="n"/>
      <c r="N495" s="125" t="n"/>
      <c r="O495" s="14" t="n"/>
      <c r="P495" s="16" t="n"/>
      <c r="Q495" s="125" t="n"/>
      <c r="R495" s="14" t="n"/>
      <c r="S495" s="16" t="n"/>
      <c r="T495" s="125" t="n"/>
      <c r="U495" s="14" t="n"/>
      <c r="V495" s="16" t="n"/>
      <c r="W495" s="125" t="n"/>
      <c r="X495" s="14" t="n"/>
      <c r="Y495" s="16" t="n"/>
      <c r="Z495" s="125" t="n"/>
      <c r="AA495" s="14" t="n"/>
      <c r="AB495" s="16" t="n"/>
      <c r="AC495" s="125" t="n"/>
      <c r="AD495" s="14" t="n"/>
    </row>
    <row r="496">
      <c r="A496" s="56" t="n"/>
      <c r="B496" s="59" t="n"/>
      <c r="C496" s="59" t="n"/>
      <c r="E496" s="16" t="n"/>
      <c r="F496" s="13" t="n"/>
      <c r="G496" s="16" t="n"/>
      <c r="H496" s="125" t="n"/>
      <c r="I496" s="14" t="n"/>
      <c r="J496" s="16" t="n"/>
      <c r="K496" s="125" t="n"/>
      <c r="L496" s="14" t="n"/>
      <c r="M496" s="16" t="n"/>
      <c r="N496" s="125" t="n"/>
      <c r="O496" s="14" t="n"/>
      <c r="P496" s="16" t="n"/>
      <c r="Q496" s="125" t="n"/>
      <c r="R496" s="14" t="n"/>
      <c r="S496" s="16" t="n"/>
      <c r="T496" s="125" t="n"/>
      <c r="U496" s="14" t="n"/>
      <c r="V496" s="16" t="n"/>
      <c r="W496" s="125" t="n"/>
      <c r="X496" s="14" t="n"/>
      <c r="Y496" s="16" t="n"/>
      <c r="Z496" s="125" t="n"/>
      <c r="AA496" s="14" t="n"/>
      <c r="AB496" s="16" t="n"/>
      <c r="AC496" s="125" t="n"/>
      <c r="AD496" s="14" t="n"/>
    </row>
    <row r="497">
      <c r="A497" s="58" t="n"/>
      <c r="B497" s="59" t="n"/>
      <c r="C497" s="59" t="n"/>
      <c r="E497" s="16" t="n"/>
      <c r="F497" s="13" t="n"/>
      <c r="G497" s="16" t="n"/>
      <c r="H497" s="125" t="n"/>
      <c r="I497" s="14" t="n"/>
      <c r="J497" s="16" t="n"/>
      <c r="K497" s="125" t="n"/>
      <c r="L497" s="14" t="n"/>
      <c r="M497" s="16" t="n"/>
      <c r="N497" s="125" t="n"/>
      <c r="O497" s="14" t="n"/>
      <c r="P497" s="16" t="n"/>
      <c r="Q497" s="125" t="n"/>
      <c r="R497" s="14" t="n"/>
      <c r="S497" s="16" t="n"/>
      <c r="T497" s="125" t="n"/>
      <c r="U497" s="14" t="n"/>
      <c r="V497" s="16" t="n"/>
      <c r="W497" s="125" t="n"/>
      <c r="X497" s="14" t="n"/>
      <c r="Y497" s="16" t="n"/>
      <c r="Z497" s="125" t="n"/>
      <c r="AA497" s="14" t="n"/>
      <c r="AB497" s="16" t="n"/>
      <c r="AC497" s="125" t="n"/>
      <c r="AD497" s="14" t="n"/>
    </row>
    <row r="498">
      <c r="A498" s="56" t="n"/>
      <c r="B498" s="59" t="n"/>
      <c r="C498" s="59" t="n"/>
      <c r="E498" s="16" t="n"/>
      <c r="F498" s="13" t="n"/>
      <c r="G498" s="16" t="n"/>
      <c r="H498" s="125" t="n"/>
      <c r="I498" s="14" t="n"/>
      <c r="J498" s="16" t="n"/>
      <c r="K498" s="125" t="n"/>
      <c r="L498" s="14" t="n"/>
      <c r="M498" s="16" t="n"/>
      <c r="N498" s="125" t="n"/>
      <c r="O498" s="14" t="n"/>
      <c r="P498" s="16" t="n"/>
      <c r="Q498" s="125" t="n"/>
      <c r="R498" s="14" t="n"/>
      <c r="S498" s="16" t="n"/>
      <c r="T498" s="125" t="n"/>
      <c r="U498" s="14" t="n"/>
      <c r="V498" s="16" t="n"/>
      <c r="W498" s="125" t="n"/>
      <c r="X498" s="14" t="n"/>
      <c r="Y498" s="16" t="n"/>
      <c r="Z498" s="125" t="n"/>
      <c r="AA498" s="14" t="n"/>
      <c r="AB498" s="16" t="n"/>
      <c r="AC498" s="125" t="n"/>
      <c r="AD498" s="14" t="n"/>
    </row>
    <row r="499">
      <c r="A499" s="58" t="n"/>
      <c r="B499" s="59" t="n"/>
      <c r="C499" s="59" t="n"/>
      <c r="E499" s="16" t="n"/>
      <c r="F499" s="13" t="n"/>
      <c r="G499" s="16" t="n"/>
      <c r="H499" s="125" t="n"/>
      <c r="I499" s="14" t="n"/>
      <c r="J499" s="16" t="n"/>
      <c r="K499" s="125" t="n"/>
      <c r="L499" s="14" t="n"/>
      <c r="M499" s="16" t="n"/>
      <c r="N499" s="125" t="n"/>
      <c r="O499" s="14" t="n"/>
      <c r="P499" s="16" t="n"/>
      <c r="Q499" s="125" t="n"/>
      <c r="R499" s="14" t="n"/>
      <c r="S499" s="16" t="n"/>
      <c r="T499" s="125" t="n"/>
      <c r="U499" s="14" t="n"/>
      <c r="V499" s="16" t="n"/>
      <c r="W499" s="125" t="n"/>
      <c r="X499" s="14" t="n"/>
      <c r="Y499" s="16" t="n"/>
      <c r="Z499" s="125" t="n"/>
      <c r="AA499" s="14" t="n"/>
      <c r="AB499" s="16" t="n"/>
      <c r="AC499" s="125" t="n"/>
      <c r="AD499" s="14" t="n"/>
    </row>
    <row r="500">
      <c r="A500" s="56" t="n"/>
      <c r="B500" s="59" t="n"/>
      <c r="C500" s="59" t="n"/>
      <c r="E500" s="16" t="n"/>
      <c r="F500" s="13" t="n"/>
      <c r="G500" s="16" t="n"/>
      <c r="H500" s="125" t="n"/>
      <c r="I500" s="14" t="n"/>
      <c r="J500" s="16" t="n"/>
      <c r="K500" s="125" t="n"/>
      <c r="L500" s="14" t="n"/>
      <c r="M500" s="16" t="n"/>
      <c r="N500" s="125" t="n"/>
      <c r="O500" s="14" t="n"/>
      <c r="P500" s="16" t="n"/>
      <c r="Q500" s="125" t="n"/>
      <c r="R500" s="14" t="n"/>
      <c r="S500" s="16" t="n"/>
      <c r="T500" s="125" t="n"/>
      <c r="U500" s="14" t="n"/>
      <c r="V500" s="16" t="n"/>
      <c r="W500" s="125" t="n"/>
      <c r="X500" s="14" t="n"/>
      <c r="Y500" s="16" t="n"/>
      <c r="Z500" s="125" t="n"/>
      <c r="AA500" s="14" t="n"/>
      <c r="AB500" s="16" t="n"/>
      <c r="AC500" s="125" t="n"/>
      <c r="AD500" s="14" t="n"/>
    </row>
    <row r="501">
      <c r="A501" s="58" t="n"/>
      <c r="B501" s="59" t="n"/>
      <c r="C501" s="59" t="n"/>
      <c r="E501" s="16" t="n"/>
      <c r="F501" s="13" t="n"/>
      <c r="G501" s="16" t="n"/>
      <c r="H501" s="125" t="n"/>
      <c r="I501" s="14" t="n"/>
      <c r="J501" s="16" t="n"/>
      <c r="K501" s="125" t="n"/>
      <c r="L501" s="14" t="n"/>
      <c r="M501" s="16" t="n"/>
      <c r="N501" s="125" t="n"/>
      <c r="O501" s="14" t="n"/>
      <c r="P501" s="16" t="n"/>
      <c r="Q501" s="125" t="n"/>
      <c r="R501" s="14" t="n"/>
      <c r="S501" s="16" t="n"/>
      <c r="T501" s="125" t="n"/>
      <c r="U501" s="14" t="n"/>
      <c r="V501" s="16" t="n"/>
      <c r="W501" s="125" t="n"/>
      <c r="X501" s="14" t="n"/>
      <c r="Y501" s="16" t="n"/>
      <c r="Z501" s="125" t="n"/>
      <c r="AA501" s="14" t="n"/>
      <c r="AB501" s="16" t="n"/>
      <c r="AC501" s="125" t="n"/>
      <c r="AD501" s="14" t="n"/>
    </row>
    <row r="502">
      <c r="A502" s="56" t="n"/>
      <c r="B502" s="59" t="n"/>
      <c r="C502" s="59" t="n"/>
      <c r="E502" s="16" t="n"/>
      <c r="F502" s="13" t="n"/>
      <c r="G502" s="16" t="n"/>
      <c r="H502" s="125" t="n"/>
      <c r="I502" s="14" t="n"/>
      <c r="J502" s="16" t="n"/>
      <c r="K502" s="125" t="n"/>
      <c r="L502" s="14" t="n"/>
      <c r="M502" s="16" t="n"/>
      <c r="N502" s="125" t="n"/>
      <c r="O502" s="14" t="n"/>
      <c r="P502" s="16" t="n"/>
      <c r="Q502" s="125" t="n"/>
      <c r="R502" s="14" t="n"/>
      <c r="S502" s="16" t="n"/>
      <c r="T502" s="125" t="n"/>
      <c r="U502" s="14" t="n"/>
      <c r="V502" s="16" t="n"/>
      <c r="W502" s="125" t="n"/>
      <c r="X502" s="14" t="n"/>
      <c r="Y502" s="16" t="n"/>
      <c r="Z502" s="125" t="n"/>
      <c r="AA502" s="14" t="n"/>
      <c r="AB502" s="16" t="n"/>
      <c r="AC502" s="125" t="n"/>
      <c r="AD502" s="14" t="n"/>
    </row>
    <row r="503">
      <c r="A503" s="58" t="n"/>
      <c r="B503" s="59" t="n"/>
      <c r="C503" s="59" t="n"/>
      <c r="E503" s="16" t="n"/>
      <c r="F503" s="13" t="n"/>
      <c r="G503" s="16" t="n"/>
      <c r="H503" s="125" t="n"/>
      <c r="I503" s="14" t="n"/>
      <c r="J503" s="16" t="n"/>
      <c r="K503" s="125" t="n"/>
      <c r="L503" s="14" t="n"/>
      <c r="M503" s="16" t="n"/>
      <c r="N503" s="125" t="n"/>
      <c r="O503" s="14" t="n"/>
      <c r="P503" s="16" t="n"/>
      <c r="Q503" s="125" t="n"/>
      <c r="R503" s="14" t="n"/>
      <c r="S503" s="16" t="n"/>
      <c r="T503" s="125" t="n"/>
      <c r="U503" s="14" t="n"/>
      <c r="V503" s="16" t="n"/>
      <c r="W503" s="125" t="n"/>
      <c r="X503" s="14" t="n"/>
      <c r="Y503" s="16" t="n"/>
      <c r="Z503" s="125" t="n"/>
      <c r="AA503" s="14" t="n"/>
      <c r="AB503" s="16" t="n"/>
      <c r="AC503" s="125" t="n"/>
      <c r="AD503" s="14" t="n"/>
    </row>
    <row r="504">
      <c r="A504" s="56" t="n"/>
      <c r="B504" s="59" t="n"/>
      <c r="C504" s="59" t="n"/>
      <c r="E504" s="16" t="n"/>
      <c r="F504" s="13" t="n"/>
      <c r="G504" s="16" t="n"/>
      <c r="H504" s="125" t="n"/>
      <c r="I504" s="14" t="n"/>
      <c r="J504" s="16" t="n"/>
      <c r="K504" s="125" t="n"/>
      <c r="L504" s="14" t="n"/>
      <c r="M504" s="16" t="n"/>
      <c r="N504" s="125" t="n"/>
      <c r="O504" s="14" t="n"/>
      <c r="P504" s="16" t="n"/>
      <c r="Q504" s="125" t="n"/>
      <c r="R504" s="14" t="n"/>
      <c r="S504" s="16" t="n"/>
      <c r="T504" s="125" t="n"/>
      <c r="U504" s="14" t="n"/>
      <c r="V504" s="16" t="n"/>
      <c r="W504" s="125" t="n"/>
      <c r="X504" s="14" t="n"/>
      <c r="Y504" s="16" t="n"/>
      <c r="Z504" s="125" t="n"/>
      <c r="AA504" s="14" t="n"/>
      <c r="AB504" s="16" t="n"/>
      <c r="AC504" s="125" t="n"/>
      <c r="AD504" s="14" t="n"/>
    </row>
    <row r="505">
      <c r="A505" s="58" t="n"/>
      <c r="B505" s="59" t="n"/>
      <c r="C505" s="59" t="n"/>
      <c r="E505" s="16" t="n"/>
      <c r="F505" s="13" t="n"/>
      <c r="G505" s="16" t="n"/>
      <c r="H505" s="125" t="n"/>
      <c r="I505" s="14" t="n"/>
      <c r="J505" s="16" t="n"/>
      <c r="K505" s="125" t="n"/>
      <c r="L505" s="14" t="n"/>
      <c r="M505" s="16" t="n"/>
      <c r="N505" s="125" t="n"/>
      <c r="O505" s="14" t="n"/>
      <c r="P505" s="16" t="n"/>
      <c r="Q505" s="125" t="n"/>
      <c r="R505" s="14" t="n"/>
      <c r="S505" s="16" t="n"/>
      <c r="T505" s="125" t="n"/>
      <c r="U505" s="14" t="n"/>
      <c r="V505" s="16" t="n"/>
      <c r="W505" s="125" t="n"/>
      <c r="X505" s="14" t="n"/>
      <c r="Y505" s="16" t="n"/>
      <c r="Z505" s="125" t="n"/>
      <c r="AA505" s="14" t="n"/>
      <c r="AB505" s="16" t="n"/>
      <c r="AC505" s="125" t="n"/>
      <c r="AD505" s="14" t="n"/>
    </row>
    <row r="506">
      <c r="A506" s="56" t="n"/>
      <c r="B506" s="59" t="n"/>
      <c r="C506" s="59" t="n"/>
      <c r="E506" s="16" t="n"/>
      <c r="F506" s="13" t="n"/>
      <c r="G506" s="16" t="n"/>
      <c r="H506" s="125" t="n"/>
      <c r="I506" s="14" t="n"/>
      <c r="J506" s="16" t="n"/>
      <c r="K506" s="125" t="n"/>
      <c r="L506" s="14" t="n"/>
      <c r="M506" s="16" t="n"/>
      <c r="N506" s="125" t="n"/>
      <c r="O506" s="14" t="n"/>
      <c r="P506" s="16" t="n"/>
      <c r="Q506" s="125" t="n"/>
      <c r="R506" s="14" t="n"/>
      <c r="S506" s="16" t="n"/>
      <c r="T506" s="125" t="n"/>
      <c r="U506" s="14" t="n"/>
      <c r="V506" s="16" t="n"/>
      <c r="W506" s="125" t="n"/>
      <c r="X506" s="14" t="n"/>
      <c r="Y506" s="16" t="n"/>
      <c r="Z506" s="125" t="n"/>
      <c r="AA506" s="14" t="n"/>
      <c r="AB506" s="16" t="n"/>
      <c r="AC506" s="125" t="n"/>
      <c r="AD506" s="14" t="n"/>
    </row>
    <row r="507">
      <c r="A507" s="58" t="n"/>
      <c r="B507" s="59" t="n"/>
      <c r="C507" s="59" t="n"/>
      <c r="E507" s="16" t="n"/>
      <c r="F507" s="13" t="n"/>
      <c r="G507" s="16" t="n"/>
      <c r="H507" s="125" t="n"/>
      <c r="I507" s="14" t="n"/>
      <c r="J507" s="16" t="n"/>
      <c r="K507" s="125" t="n"/>
      <c r="L507" s="14" t="n"/>
      <c r="M507" s="16" t="n"/>
      <c r="N507" s="125" t="n"/>
      <c r="O507" s="14" t="n"/>
      <c r="P507" s="16" t="n"/>
      <c r="Q507" s="125" t="n"/>
      <c r="R507" s="14" t="n"/>
      <c r="S507" s="16" t="n"/>
      <c r="T507" s="125" t="n"/>
      <c r="U507" s="14" t="n"/>
      <c r="V507" s="16" t="n"/>
      <c r="W507" s="125" t="n"/>
      <c r="X507" s="14" t="n"/>
      <c r="Y507" s="16" t="n"/>
      <c r="Z507" s="125" t="n"/>
      <c r="AA507" s="14" t="n"/>
      <c r="AB507" s="16" t="n"/>
      <c r="AC507" s="125" t="n"/>
      <c r="AD507" s="14" t="n"/>
    </row>
    <row r="508">
      <c r="A508" s="56" t="n"/>
      <c r="B508" s="59" t="n"/>
      <c r="C508" s="59" t="n"/>
      <c r="E508" s="16" t="n"/>
      <c r="F508" s="13" t="n"/>
      <c r="G508" s="16" t="n"/>
      <c r="H508" s="125" t="n"/>
      <c r="I508" s="14" t="n"/>
      <c r="J508" s="16" t="n"/>
      <c r="K508" s="125" t="n"/>
      <c r="L508" s="14" t="n"/>
      <c r="M508" s="16" t="n"/>
      <c r="N508" s="125" t="n"/>
      <c r="O508" s="14" t="n"/>
      <c r="P508" s="16" t="n"/>
      <c r="Q508" s="125" t="n"/>
      <c r="R508" s="14" t="n"/>
      <c r="S508" s="16" t="n"/>
      <c r="T508" s="125" t="n"/>
      <c r="U508" s="14" t="n"/>
      <c r="V508" s="16" t="n"/>
      <c r="W508" s="125" t="n"/>
      <c r="X508" s="14" t="n"/>
      <c r="Y508" s="16" t="n"/>
      <c r="Z508" s="125" t="n"/>
      <c r="AA508" s="14" t="n"/>
      <c r="AB508" s="16" t="n"/>
      <c r="AC508" s="125" t="n"/>
      <c r="AD508" s="14" t="n"/>
    </row>
    <row r="509">
      <c r="A509" s="58" t="n"/>
      <c r="B509" s="59" t="n"/>
      <c r="C509" s="59" t="n"/>
      <c r="E509" s="16" t="n"/>
      <c r="F509" s="13" t="n"/>
      <c r="G509" s="16" t="n"/>
      <c r="H509" s="125" t="n"/>
      <c r="I509" s="14" t="n"/>
      <c r="J509" s="16" t="n"/>
      <c r="K509" s="125" t="n"/>
      <c r="L509" s="14" t="n"/>
      <c r="M509" s="16" t="n"/>
      <c r="N509" s="125" t="n"/>
      <c r="O509" s="14" t="n"/>
      <c r="P509" s="16" t="n"/>
      <c r="Q509" s="125" t="n"/>
      <c r="R509" s="14" t="n"/>
      <c r="S509" s="16" t="n"/>
      <c r="T509" s="125" t="n"/>
      <c r="U509" s="14" t="n"/>
      <c r="V509" s="16" t="n"/>
      <c r="W509" s="125" t="n"/>
      <c r="X509" s="14" t="n"/>
      <c r="Y509" s="16" t="n"/>
      <c r="Z509" s="125" t="n"/>
      <c r="AA509" s="14" t="n"/>
      <c r="AB509" s="16" t="n"/>
      <c r="AC509" s="125" t="n"/>
      <c r="AD509" s="14" t="n"/>
    </row>
    <row r="510">
      <c r="A510" s="56" t="n"/>
      <c r="B510" s="59" t="n"/>
      <c r="C510" s="59" t="n"/>
      <c r="E510" s="16" t="n"/>
      <c r="F510" s="13" t="n"/>
      <c r="G510" s="16" t="n"/>
      <c r="H510" s="125" t="n"/>
      <c r="I510" s="14" t="n"/>
      <c r="J510" s="16" t="n"/>
      <c r="K510" s="125" t="n"/>
      <c r="L510" s="14" t="n"/>
      <c r="M510" s="16" t="n"/>
      <c r="N510" s="125" t="n"/>
      <c r="O510" s="14" t="n"/>
      <c r="P510" s="16" t="n"/>
      <c r="Q510" s="125" t="n"/>
      <c r="R510" s="14" t="n"/>
      <c r="S510" s="16" t="n"/>
      <c r="T510" s="125" t="n"/>
      <c r="U510" s="14" t="n"/>
      <c r="V510" s="16" t="n"/>
      <c r="W510" s="125" t="n"/>
      <c r="X510" s="14" t="n"/>
      <c r="Y510" s="16" t="n"/>
      <c r="Z510" s="125" t="n"/>
      <c r="AA510" s="14" t="n"/>
      <c r="AB510" s="16" t="n"/>
      <c r="AC510" s="125" t="n"/>
      <c r="AD510" s="14" t="n"/>
    </row>
    <row r="511">
      <c r="A511" s="58" t="n"/>
      <c r="B511" s="59" t="n"/>
      <c r="C511" s="59" t="n"/>
      <c r="E511" s="16" t="n"/>
      <c r="F511" s="13" t="n"/>
      <c r="G511" s="16" t="n"/>
      <c r="H511" s="125" t="n"/>
      <c r="I511" s="14" t="n"/>
      <c r="J511" s="16" t="n"/>
      <c r="K511" s="125" t="n"/>
      <c r="L511" s="14" t="n"/>
      <c r="M511" s="16" t="n"/>
      <c r="N511" s="125" t="n"/>
      <c r="O511" s="14" t="n"/>
      <c r="P511" s="16" t="n"/>
      <c r="Q511" s="125" t="n"/>
      <c r="R511" s="14" t="n"/>
      <c r="S511" s="16" t="n"/>
      <c r="T511" s="125" t="n"/>
      <c r="U511" s="14" t="n"/>
      <c r="V511" s="16" t="n"/>
      <c r="W511" s="125" t="n"/>
      <c r="X511" s="14" t="n"/>
      <c r="Y511" s="16" t="n"/>
      <c r="Z511" s="125" t="n"/>
      <c r="AA511" s="14" t="n"/>
      <c r="AB511" s="16" t="n"/>
      <c r="AC511" s="125" t="n"/>
      <c r="AD511" s="14" t="n"/>
    </row>
    <row r="512">
      <c r="A512" s="56" t="n"/>
      <c r="B512" s="59" t="n"/>
      <c r="C512" s="59" t="n"/>
      <c r="E512" s="16" t="n"/>
      <c r="F512" s="13" t="n"/>
      <c r="G512" s="16" t="n"/>
      <c r="H512" s="125" t="n"/>
      <c r="I512" s="14" t="n"/>
      <c r="J512" s="16" t="n"/>
      <c r="K512" s="125" t="n"/>
      <c r="L512" s="14" t="n"/>
      <c r="M512" s="16" t="n"/>
      <c r="N512" s="125" t="n"/>
      <c r="O512" s="14" t="n"/>
      <c r="P512" s="16" t="n"/>
      <c r="Q512" s="125" t="n"/>
      <c r="R512" s="14" t="n"/>
      <c r="S512" s="16" t="n"/>
      <c r="T512" s="125" t="n"/>
      <c r="U512" s="14" t="n"/>
      <c r="V512" s="16" t="n"/>
      <c r="W512" s="125" t="n"/>
      <c r="X512" s="14" t="n"/>
      <c r="Y512" s="16" t="n"/>
      <c r="Z512" s="125" t="n"/>
      <c r="AA512" s="14" t="n"/>
      <c r="AB512" s="16" t="n"/>
      <c r="AC512" s="125" t="n"/>
      <c r="AD512" s="14" t="n"/>
    </row>
    <row r="513">
      <c r="A513" s="58" t="n"/>
      <c r="B513" s="59" t="n"/>
      <c r="C513" s="59" t="n"/>
      <c r="E513" s="16" t="n"/>
      <c r="F513" s="13" t="n"/>
      <c r="G513" s="16" t="n"/>
      <c r="H513" s="125" t="n"/>
      <c r="I513" s="14" t="n"/>
      <c r="J513" s="16" t="n"/>
      <c r="K513" s="125" t="n"/>
      <c r="L513" s="14" t="n"/>
      <c r="M513" s="16" t="n"/>
      <c r="N513" s="125" t="n"/>
      <c r="O513" s="14" t="n"/>
      <c r="P513" s="16" t="n"/>
      <c r="Q513" s="125" t="n"/>
      <c r="R513" s="14" t="n"/>
      <c r="S513" s="16" t="n"/>
      <c r="T513" s="125" t="n"/>
      <c r="U513" s="14" t="n"/>
      <c r="V513" s="16" t="n"/>
      <c r="W513" s="125" t="n"/>
      <c r="X513" s="14" t="n"/>
      <c r="Y513" s="16" t="n"/>
      <c r="Z513" s="125" t="n"/>
      <c r="AA513" s="14" t="n"/>
      <c r="AB513" s="16" t="n"/>
      <c r="AC513" s="125" t="n"/>
      <c r="AD513" s="14" t="n"/>
    </row>
    <row r="514">
      <c r="A514" s="56" t="n"/>
      <c r="B514" s="59" t="n"/>
      <c r="C514" s="59" t="n"/>
      <c r="E514" s="16" t="n"/>
      <c r="F514" s="13" t="n"/>
      <c r="G514" s="16" t="n"/>
      <c r="H514" s="125" t="n"/>
      <c r="I514" s="14" t="n"/>
      <c r="J514" s="16" t="n"/>
      <c r="K514" s="125" t="n"/>
      <c r="L514" s="14" t="n"/>
      <c r="M514" s="16" t="n"/>
      <c r="N514" s="125" t="n"/>
      <c r="O514" s="14" t="n"/>
      <c r="P514" s="16" t="n"/>
      <c r="Q514" s="125" t="n"/>
      <c r="R514" s="14" t="n"/>
      <c r="S514" s="16" t="n"/>
      <c r="T514" s="125" t="n"/>
      <c r="U514" s="14" t="n"/>
      <c r="V514" s="16" t="n"/>
      <c r="W514" s="125" t="n"/>
      <c r="X514" s="14" t="n"/>
      <c r="Y514" s="16" t="n"/>
      <c r="Z514" s="125" t="n"/>
      <c r="AA514" s="14" t="n"/>
      <c r="AB514" s="16" t="n"/>
      <c r="AC514" s="125" t="n"/>
      <c r="AD514" s="14" t="n"/>
    </row>
    <row r="515">
      <c r="A515" s="58" t="n"/>
      <c r="B515" s="59" t="n"/>
      <c r="C515" s="59" t="n"/>
      <c r="E515" s="16" t="n"/>
      <c r="F515" s="13" t="n"/>
      <c r="G515" s="16" t="n"/>
      <c r="H515" s="125" t="n"/>
      <c r="I515" s="14" t="n"/>
      <c r="J515" s="16" t="n"/>
      <c r="K515" s="125" t="n"/>
      <c r="L515" s="14" t="n"/>
      <c r="M515" s="16" t="n"/>
      <c r="N515" s="125" t="n"/>
      <c r="O515" s="14" t="n"/>
      <c r="P515" s="16" t="n"/>
      <c r="Q515" s="125" t="n"/>
      <c r="R515" s="14" t="n"/>
      <c r="S515" s="16" t="n"/>
      <c r="T515" s="125" t="n"/>
      <c r="U515" s="14" t="n"/>
      <c r="V515" s="16" t="n"/>
      <c r="W515" s="125" t="n"/>
      <c r="X515" s="14" t="n"/>
      <c r="Y515" s="16" t="n"/>
      <c r="Z515" s="125" t="n"/>
      <c r="AA515" s="14" t="n"/>
      <c r="AB515" s="16" t="n"/>
      <c r="AC515" s="125" t="n"/>
      <c r="AD515" s="14" t="n"/>
    </row>
    <row r="516">
      <c r="A516" s="56" t="n"/>
      <c r="B516" s="59" t="n"/>
      <c r="C516" s="59" t="n"/>
      <c r="E516" s="16" t="n"/>
      <c r="F516" s="13" t="n"/>
      <c r="G516" s="16" t="n"/>
      <c r="H516" s="125" t="n"/>
      <c r="I516" s="14" t="n"/>
      <c r="J516" s="16" t="n"/>
      <c r="K516" s="125" t="n"/>
      <c r="L516" s="14" t="n"/>
      <c r="M516" s="16" t="n"/>
      <c r="N516" s="125" t="n"/>
      <c r="O516" s="14" t="n"/>
      <c r="P516" s="16" t="n"/>
      <c r="Q516" s="125" t="n"/>
      <c r="R516" s="14" t="n"/>
      <c r="S516" s="16" t="n"/>
      <c r="T516" s="125" t="n"/>
      <c r="U516" s="14" t="n"/>
      <c r="V516" s="16" t="n"/>
      <c r="W516" s="125" t="n"/>
      <c r="X516" s="14" t="n"/>
      <c r="Y516" s="16" t="n"/>
      <c r="Z516" s="125" t="n"/>
      <c r="AA516" s="14" t="n"/>
      <c r="AB516" s="16" t="n"/>
      <c r="AC516" s="125" t="n"/>
      <c r="AD516" s="14" t="n"/>
    </row>
    <row r="517">
      <c r="A517" s="58" t="n"/>
      <c r="B517" s="59" t="n"/>
      <c r="C517" s="59" t="n"/>
      <c r="E517" s="16" t="n"/>
      <c r="F517" s="13" t="n"/>
      <c r="G517" s="16" t="n"/>
      <c r="H517" s="125" t="n"/>
      <c r="I517" s="14" t="n"/>
      <c r="J517" s="16" t="n"/>
      <c r="K517" s="125" t="n"/>
      <c r="L517" s="14" t="n"/>
      <c r="M517" s="16" t="n"/>
      <c r="N517" s="125" t="n"/>
      <c r="O517" s="14" t="n"/>
      <c r="P517" s="16" t="n"/>
      <c r="Q517" s="125" t="n"/>
      <c r="R517" s="14" t="n"/>
      <c r="S517" s="16" t="n"/>
      <c r="T517" s="125" t="n"/>
      <c r="U517" s="14" t="n"/>
      <c r="V517" s="16" t="n"/>
      <c r="W517" s="125" t="n"/>
      <c r="X517" s="14" t="n"/>
      <c r="Y517" s="16" t="n"/>
      <c r="Z517" s="125" t="n"/>
      <c r="AA517" s="14" t="n"/>
      <c r="AB517" s="16" t="n"/>
      <c r="AC517" s="125" t="n"/>
      <c r="AD517" s="14" t="n"/>
    </row>
    <row r="518">
      <c r="A518" s="56" t="n"/>
      <c r="B518" s="59" t="n"/>
      <c r="C518" s="59" t="n"/>
      <c r="E518" s="16" t="n"/>
      <c r="F518" s="13" t="n"/>
      <c r="G518" s="16" t="n"/>
      <c r="H518" s="125" t="n"/>
      <c r="I518" s="14" t="n"/>
      <c r="J518" s="16" t="n"/>
      <c r="K518" s="125" t="n"/>
      <c r="L518" s="14" t="n"/>
      <c r="M518" s="16" t="n"/>
      <c r="N518" s="125" t="n"/>
      <c r="O518" s="14" t="n"/>
      <c r="P518" s="16" t="n"/>
      <c r="Q518" s="125" t="n"/>
      <c r="R518" s="14" t="n"/>
      <c r="S518" s="16" t="n"/>
      <c r="T518" s="125" t="n"/>
      <c r="U518" s="14" t="n"/>
      <c r="V518" s="16" t="n"/>
      <c r="W518" s="125" t="n"/>
      <c r="X518" s="14" t="n"/>
      <c r="Y518" s="16" t="n"/>
      <c r="Z518" s="125" t="n"/>
      <c r="AA518" s="14" t="n"/>
      <c r="AB518" s="16" t="n"/>
      <c r="AC518" s="125" t="n"/>
      <c r="AD518" s="14" t="n"/>
    </row>
    <row r="519">
      <c r="A519" s="58" t="n"/>
      <c r="B519" s="59" t="n"/>
      <c r="C519" s="59" t="n"/>
      <c r="E519" s="16" t="n"/>
      <c r="F519" s="13" t="n"/>
      <c r="G519" s="16" t="n"/>
      <c r="H519" s="125" t="n"/>
      <c r="I519" s="14" t="n"/>
      <c r="J519" s="16" t="n"/>
      <c r="K519" s="125" t="n"/>
      <c r="L519" s="14" t="n"/>
      <c r="M519" s="16" t="n"/>
      <c r="N519" s="125" t="n"/>
      <c r="O519" s="14" t="n"/>
      <c r="P519" s="16" t="n"/>
      <c r="Q519" s="125" t="n"/>
      <c r="R519" s="14" t="n"/>
      <c r="S519" s="16" t="n"/>
      <c r="T519" s="125" t="n"/>
      <c r="U519" s="14" t="n"/>
      <c r="V519" s="16" t="n"/>
      <c r="W519" s="125" t="n"/>
      <c r="X519" s="14" t="n"/>
      <c r="Y519" s="16" t="n"/>
      <c r="Z519" s="125" t="n"/>
      <c r="AA519" s="14" t="n"/>
      <c r="AB519" s="16" t="n"/>
      <c r="AC519" s="125" t="n"/>
      <c r="AD519" s="14" t="n"/>
    </row>
    <row r="520">
      <c r="A520" s="56" t="n"/>
      <c r="B520" s="59" t="n"/>
      <c r="C520" s="59" t="n"/>
      <c r="E520" s="16" t="n"/>
      <c r="F520" s="13" t="n"/>
      <c r="G520" s="16" t="n"/>
      <c r="H520" s="125" t="n"/>
      <c r="I520" s="14" t="n"/>
      <c r="J520" s="16" t="n"/>
      <c r="K520" s="125" t="n"/>
      <c r="L520" s="14" t="n"/>
      <c r="M520" s="16" t="n"/>
      <c r="N520" s="125" t="n"/>
      <c r="O520" s="14" t="n"/>
      <c r="P520" s="16" t="n"/>
      <c r="Q520" s="125" t="n"/>
      <c r="R520" s="14" t="n"/>
      <c r="S520" s="16" t="n"/>
      <c r="T520" s="125" t="n"/>
      <c r="U520" s="14" t="n"/>
      <c r="V520" s="16" t="n"/>
      <c r="W520" s="125" t="n"/>
      <c r="X520" s="14" t="n"/>
      <c r="Y520" s="16" t="n"/>
      <c r="Z520" s="125" t="n"/>
      <c r="AA520" s="14" t="n"/>
      <c r="AB520" s="16" t="n"/>
      <c r="AC520" s="125" t="n"/>
      <c r="AD520" s="14" t="n"/>
    </row>
    <row r="521">
      <c r="A521" s="58" t="n"/>
      <c r="B521" s="59" t="n"/>
      <c r="C521" s="59" t="n"/>
      <c r="E521" s="16" t="n"/>
      <c r="F521" s="13" t="n"/>
      <c r="G521" s="16" t="n"/>
      <c r="H521" s="125" t="n"/>
      <c r="I521" s="14" t="n"/>
      <c r="J521" s="16" t="n"/>
      <c r="K521" s="125" t="n"/>
      <c r="L521" s="14" t="n"/>
      <c r="M521" s="16" t="n"/>
      <c r="N521" s="125" t="n"/>
      <c r="O521" s="14" t="n"/>
      <c r="P521" s="16" t="n"/>
      <c r="Q521" s="125" t="n"/>
      <c r="R521" s="14" t="n"/>
      <c r="S521" s="16" t="n"/>
      <c r="T521" s="125" t="n"/>
      <c r="U521" s="14" t="n"/>
      <c r="V521" s="16" t="n"/>
      <c r="W521" s="125" t="n"/>
      <c r="X521" s="14" t="n"/>
      <c r="Y521" s="16" t="n"/>
      <c r="Z521" s="125" t="n"/>
      <c r="AA521" s="14" t="n"/>
      <c r="AB521" s="16" t="n"/>
      <c r="AC521" s="125" t="n"/>
      <c r="AD521" s="14" t="n"/>
    </row>
    <row r="522">
      <c r="A522" s="56" t="n"/>
      <c r="B522" s="59" t="n"/>
      <c r="C522" s="59" t="n"/>
      <c r="E522" s="16" t="n"/>
      <c r="F522" s="13" t="n"/>
      <c r="G522" s="16" t="n"/>
      <c r="H522" s="125" t="n"/>
      <c r="I522" s="14" t="n"/>
      <c r="J522" s="16" t="n"/>
      <c r="K522" s="125" t="n"/>
      <c r="L522" s="14" t="n"/>
      <c r="M522" s="16" t="n"/>
      <c r="N522" s="125" t="n"/>
      <c r="O522" s="14" t="n"/>
      <c r="P522" s="16" t="n"/>
      <c r="Q522" s="125" t="n"/>
      <c r="R522" s="14" t="n"/>
      <c r="S522" s="16" t="n"/>
      <c r="T522" s="125" t="n"/>
      <c r="U522" s="14" t="n"/>
      <c r="V522" s="16" t="n"/>
      <c r="W522" s="125" t="n"/>
      <c r="X522" s="14" t="n"/>
      <c r="Y522" s="16" t="n"/>
      <c r="Z522" s="125" t="n"/>
      <c r="AA522" s="14" t="n"/>
      <c r="AB522" s="16" t="n"/>
      <c r="AC522" s="125" t="n"/>
      <c r="AD522" s="14" t="n"/>
    </row>
    <row r="523">
      <c r="A523" s="58" t="n"/>
      <c r="B523" s="59" t="n"/>
      <c r="C523" s="59" t="n"/>
      <c r="E523" s="16" t="n"/>
      <c r="F523" s="13" t="n"/>
      <c r="G523" s="16" t="n"/>
      <c r="H523" s="125" t="n"/>
      <c r="I523" s="14" t="n"/>
      <c r="J523" s="16" t="n"/>
      <c r="K523" s="125" t="n"/>
      <c r="L523" s="14" t="n"/>
      <c r="M523" s="16" t="n"/>
      <c r="N523" s="125" t="n"/>
      <c r="O523" s="14" t="n"/>
      <c r="P523" s="16" t="n"/>
      <c r="Q523" s="125" t="n"/>
      <c r="R523" s="14" t="n"/>
      <c r="S523" s="16" t="n"/>
      <c r="T523" s="125" t="n"/>
      <c r="U523" s="14" t="n"/>
      <c r="V523" s="16" t="n"/>
      <c r="W523" s="125" t="n"/>
      <c r="X523" s="14" t="n"/>
      <c r="Y523" s="16" t="n"/>
      <c r="Z523" s="125" t="n"/>
      <c r="AA523" s="14" t="n"/>
      <c r="AB523" s="16" t="n"/>
      <c r="AC523" s="125" t="n"/>
      <c r="AD523" s="14" t="n"/>
    </row>
    <row r="524">
      <c r="A524" s="56" t="n"/>
      <c r="B524" s="59" t="n"/>
      <c r="C524" s="59" t="n"/>
      <c r="E524" s="16" t="n"/>
      <c r="F524" s="13" t="n"/>
      <c r="G524" s="16" t="n"/>
      <c r="H524" s="125" t="n"/>
      <c r="I524" s="14" t="n"/>
      <c r="J524" s="16" t="n"/>
      <c r="K524" s="125" t="n"/>
      <c r="L524" s="14" t="n"/>
      <c r="M524" s="16" t="n"/>
      <c r="N524" s="125" t="n"/>
      <c r="O524" s="14" t="n"/>
      <c r="P524" s="16" t="n"/>
      <c r="Q524" s="125" t="n"/>
      <c r="R524" s="14" t="n"/>
      <c r="S524" s="16" t="n"/>
      <c r="T524" s="125" t="n"/>
      <c r="U524" s="14" t="n"/>
      <c r="V524" s="16" t="n"/>
      <c r="W524" s="125" t="n"/>
      <c r="X524" s="14" t="n"/>
      <c r="Y524" s="16" t="n"/>
      <c r="Z524" s="125" t="n"/>
      <c r="AA524" s="14" t="n"/>
      <c r="AB524" s="16" t="n"/>
      <c r="AC524" s="125" t="n"/>
      <c r="AD524" s="14" t="n"/>
    </row>
    <row r="525">
      <c r="A525" s="58" t="n"/>
      <c r="B525" s="59" t="n"/>
      <c r="C525" s="59" t="n"/>
      <c r="E525" s="16" t="n"/>
      <c r="F525" s="13" t="n"/>
      <c r="G525" s="16" t="n"/>
      <c r="H525" s="125" t="n"/>
      <c r="I525" s="14" t="n"/>
      <c r="J525" s="16" t="n"/>
      <c r="K525" s="125" t="n"/>
      <c r="L525" s="14" t="n"/>
      <c r="M525" s="16" t="n"/>
      <c r="N525" s="125" t="n"/>
      <c r="O525" s="14" t="n"/>
      <c r="P525" s="16" t="n"/>
      <c r="Q525" s="125" t="n"/>
      <c r="R525" s="14" t="n"/>
      <c r="S525" s="16" t="n"/>
      <c r="T525" s="125" t="n"/>
      <c r="U525" s="14" t="n"/>
      <c r="V525" s="16" t="n"/>
      <c r="W525" s="125" t="n"/>
      <c r="X525" s="14" t="n"/>
      <c r="Y525" s="16" t="n"/>
      <c r="Z525" s="125" t="n"/>
      <c r="AA525" s="14" t="n"/>
      <c r="AB525" s="16" t="n"/>
      <c r="AC525" s="125" t="n"/>
      <c r="AD525" s="14" t="n"/>
    </row>
    <row r="526">
      <c r="A526" s="56" t="n"/>
      <c r="B526" s="59" t="n"/>
      <c r="C526" s="59" t="n"/>
      <c r="E526" s="16" t="n"/>
      <c r="F526" s="13" t="n"/>
      <c r="G526" s="16" t="n"/>
      <c r="H526" s="125" t="n"/>
      <c r="I526" s="14" t="n"/>
      <c r="J526" s="16" t="n"/>
      <c r="K526" s="125" t="n"/>
      <c r="L526" s="14" t="n"/>
      <c r="M526" s="16" t="n"/>
      <c r="N526" s="125" t="n"/>
      <c r="O526" s="14" t="n"/>
      <c r="P526" s="16" t="n"/>
      <c r="Q526" s="125" t="n"/>
      <c r="R526" s="14" t="n"/>
      <c r="S526" s="16" t="n"/>
      <c r="T526" s="125" t="n"/>
      <c r="U526" s="14" t="n"/>
      <c r="V526" s="16" t="n"/>
      <c r="W526" s="125" t="n"/>
      <c r="X526" s="14" t="n"/>
      <c r="Y526" s="16" t="n"/>
      <c r="Z526" s="125" t="n"/>
      <c r="AA526" s="14" t="n"/>
      <c r="AB526" s="16" t="n"/>
      <c r="AC526" s="125" t="n"/>
      <c r="AD526" s="14" t="n"/>
    </row>
    <row r="527">
      <c r="A527" s="58" t="n"/>
      <c r="B527" s="59" t="n"/>
      <c r="C527" s="59" t="n"/>
      <c r="E527" s="16" t="n"/>
      <c r="F527" s="13" t="n"/>
      <c r="G527" s="16" t="n"/>
      <c r="H527" s="125" t="n"/>
      <c r="I527" s="14" t="n"/>
      <c r="J527" s="16" t="n"/>
      <c r="K527" s="125" t="n"/>
      <c r="L527" s="14" t="n"/>
      <c r="M527" s="16" t="n"/>
      <c r="N527" s="125" t="n"/>
      <c r="O527" s="14" t="n"/>
      <c r="P527" s="16" t="n"/>
      <c r="Q527" s="125" t="n"/>
      <c r="R527" s="14" t="n"/>
      <c r="S527" s="16" t="n"/>
      <c r="T527" s="125" t="n"/>
      <c r="U527" s="14" t="n"/>
      <c r="V527" s="16" t="n"/>
      <c r="W527" s="125" t="n"/>
      <c r="X527" s="14" t="n"/>
      <c r="Y527" s="16" t="n"/>
      <c r="Z527" s="125" t="n"/>
      <c r="AA527" s="14" t="n"/>
      <c r="AB527" s="16" t="n"/>
      <c r="AC527" s="125" t="n"/>
      <c r="AD527" s="14" t="n"/>
    </row>
    <row r="528">
      <c r="A528" s="56" t="n"/>
      <c r="B528" s="59" t="n"/>
      <c r="C528" s="59" t="n"/>
      <c r="E528" s="16" t="n"/>
      <c r="F528" s="13" t="n"/>
      <c r="G528" s="16" t="n"/>
      <c r="H528" s="125" t="n"/>
      <c r="I528" s="14" t="n"/>
      <c r="J528" s="16" t="n"/>
      <c r="K528" s="125" t="n"/>
      <c r="L528" s="14" t="n"/>
      <c r="M528" s="16" t="n"/>
      <c r="N528" s="125" t="n"/>
      <c r="O528" s="14" t="n"/>
      <c r="P528" s="16" t="n"/>
      <c r="Q528" s="125" t="n"/>
      <c r="R528" s="14" t="n"/>
      <c r="S528" s="16" t="n"/>
      <c r="T528" s="125" t="n"/>
      <c r="U528" s="14" t="n"/>
      <c r="V528" s="16" t="n"/>
      <c r="W528" s="125" t="n"/>
      <c r="X528" s="14" t="n"/>
      <c r="Y528" s="16" t="n"/>
      <c r="Z528" s="125" t="n"/>
      <c r="AA528" s="14" t="n"/>
      <c r="AB528" s="16" t="n"/>
      <c r="AC528" s="125" t="n"/>
      <c r="AD528" s="14" t="n"/>
    </row>
    <row r="529">
      <c r="A529" s="58" t="n"/>
      <c r="B529" s="59" t="n"/>
      <c r="C529" s="59" t="n"/>
      <c r="E529" s="16" t="n"/>
      <c r="F529" s="13" t="n"/>
      <c r="G529" s="16" t="n"/>
      <c r="H529" s="125" t="n"/>
      <c r="I529" s="14" t="n"/>
      <c r="J529" s="16" t="n"/>
      <c r="K529" s="125" t="n"/>
      <c r="L529" s="14" t="n"/>
      <c r="M529" s="16" t="n"/>
      <c r="N529" s="125" t="n"/>
      <c r="O529" s="14" t="n"/>
      <c r="P529" s="16" t="n"/>
      <c r="Q529" s="125" t="n"/>
      <c r="R529" s="14" t="n"/>
      <c r="S529" s="16" t="n"/>
      <c r="T529" s="125" t="n"/>
      <c r="U529" s="14" t="n"/>
      <c r="V529" s="16" t="n"/>
      <c r="W529" s="125" t="n"/>
      <c r="X529" s="14" t="n"/>
      <c r="Y529" s="16" t="n"/>
      <c r="Z529" s="125" t="n"/>
      <c r="AA529" s="14" t="n"/>
      <c r="AB529" s="16" t="n"/>
      <c r="AC529" s="125" t="n"/>
      <c r="AD529" s="14" t="n"/>
    </row>
    <row r="530">
      <c r="A530" s="56" t="n"/>
      <c r="B530" s="59" t="n"/>
      <c r="C530" s="59" t="n"/>
      <c r="E530" s="16" t="n"/>
      <c r="F530" s="13" t="n"/>
      <c r="G530" s="16" t="n"/>
      <c r="H530" s="125" t="n"/>
      <c r="I530" s="14" t="n"/>
      <c r="J530" s="16" t="n"/>
      <c r="K530" s="125" t="n"/>
      <c r="L530" s="14" t="n"/>
      <c r="M530" s="16" t="n"/>
      <c r="N530" s="125" t="n"/>
      <c r="O530" s="14" t="n"/>
      <c r="P530" s="16" t="n"/>
      <c r="Q530" s="125" t="n"/>
      <c r="R530" s="14" t="n"/>
      <c r="S530" s="16" t="n"/>
      <c r="T530" s="125" t="n"/>
      <c r="U530" s="14" t="n"/>
      <c r="V530" s="16" t="n"/>
      <c r="W530" s="125" t="n"/>
      <c r="X530" s="14" t="n"/>
      <c r="Y530" s="16" t="n"/>
      <c r="Z530" s="125" t="n"/>
      <c r="AA530" s="14" t="n"/>
      <c r="AB530" s="16" t="n"/>
      <c r="AC530" s="125" t="n"/>
      <c r="AD530" s="14" t="n"/>
    </row>
    <row r="531">
      <c r="A531" s="58" t="n"/>
      <c r="B531" s="59" t="n"/>
      <c r="C531" s="59" t="n"/>
      <c r="E531" s="16" t="n"/>
      <c r="F531" s="13" t="n"/>
      <c r="G531" s="16" t="n"/>
      <c r="H531" s="125" t="n"/>
      <c r="I531" s="14" t="n"/>
      <c r="J531" s="16" t="n"/>
      <c r="K531" s="125" t="n"/>
      <c r="L531" s="14" t="n"/>
      <c r="M531" s="16" t="n"/>
      <c r="N531" s="125" t="n"/>
      <c r="O531" s="14" t="n"/>
      <c r="P531" s="16" t="n"/>
      <c r="Q531" s="125" t="n"/>
      <c r="R531" s="14" t="n"/>
      <c r="S531" s="16" t="n"/>
      <c r="T531" s="125" t="n"/>
      <c r="U531" s="14" t="n"/>
      <c r="V531" s="16" t="n"/>
      <c r="W531" s="125" t="n"/>
      <c r="X531" s="14" t="n"/>
      <c r="Y531" s="16" t="n"/>
      <c r="Z531" s="125" t="n"/>
      <c r="AA531" s="14" t="n"/>
      <c r="AB531" s="16" t="n"/>
      <c r="AC531" s="125" t="n"/>
      <c r="AD531" s="14" t="n"/>
    </row>
    <row r="532">
      <c r="A532" s="56" t="n"/>
      <c r="B532" s="59" t="n"/>
      <c r="C532" s="59" t="n"/>
      <c r="E532" s="16" t="n"/>
      <c r="F532" s="13" t="n"/>
      <c r="G532" s="16" t="n"/>
      <c r="H532" s="125" t="n"/>
      <c r="I532" s="14" t="n"/>
      <c r="J532" s="16" t="n"/>
      <c r="K532" s="125" t="n"/>
      <c r="L532" s="14" t="n"/>
      <c r="M532" s="16" t="n"/>
      <c r="N532" s="125" t="n"/>
      <c r="O532" s="14" t="n"/>
      <c r="P532" s="16" t="n"/>
      <c r="Q532" s="125" t="n"/>
      <c r="R532" s="14" t="n"/>
      <c r="S532" s="16" t="n"/>
      <c r="T532" s="125" t="n"/>
      <c r="U532" s="14" t="n"/>
      <c r="V532" s="16" t="n"/>
      <c r="W532" s="125" t="n"/>
      <c r="X532" s="14" t="n"/>
      <c r="Y532" s="16" t="n"/>
      <c r="Z532" s="125" t="n"/>
      <c r="AA532" s="14" t="n"/>
      <c r="AB532" s="16" t="n"/>
      <c r="AC532" s="125" t="n"/>
      <c r="AD532" s="14" t="n"/>
    </row>
    <row r="533">
      <c r="A533" s="58" t="n"/>
      <c r="B533" s="59" t="n"/>
      <c r="C533" s="59" t="n"/>
      <c r="E533" s="16" t="n"/>
      <c r="F533" s="13" t="n"/>
      <c r="G533" s="16" t="n"/>
      <c r="H533" s="125" t="n"/>
      <c r="I533" s="14" t="n"/>
      <c r="J533" s="16" t="n"/>
      <c r="K533" s="125" t="n"/>
      <c r="L533" s="14" t="n"/>
      <c r="M533" s="16" t="n"/>
      <c r="N533" s="125" t="n"/>
      <c r="O533" s="14" t="n"/>
      <c r="P533" s="16" t="n"/>
      <c r="Q533" s="125" t="n"/>
      <c r="R533" s="14" t="n"/>
      <c r="S533" s="16" t="n"/>
      <c r="T533" s="125" t="n"/>
      <c r="U533" s="14" t="n"/>
      <c r="V533" s="16" t="n"/>
      <c r="W533" s="125" t="n"/>
      <c r="X533" s="14" t="n"/>
      <c r="Y533" s="16" t="n"/>
      <c r="Z533" s="125" t="n"/>
      <c r="AA533" s="14" t="n"/>
      <c r="AB533" s="16" t="n"/>
      <c r="AC533" s="125" t="n"/>
      <c r="AD533" s="14" t="n"/>
    </row>
    <row r="534">
      <c r="A534" s="56" t="n"/>
      <c r="B534" s="59" t="n"/>
      <c r="C534" s="59" t="n"/>
      <c r="E534" s="16" t="n"/>
      <c r="F534" s="13" t="n"/>
      <c r="G534" s="16" t="n"/>
      <c r="H534" s="125" t="n"/>
      <c r="I534" s="14" t="n"/>
      <c r="J534" s="16" t="n"/>
      <c r="K534" s="125" t="n"/>
      <c r="L534" s="14" t="n"/>
      <c r="M534" s="16" t="n"/>
      <c r="N534" s="125" t="n"/>
      <c r="O534" s="14" t="n"/>
      <c r="P534" s="16" t="n"/>
      <c r="Q534" s="125" t="n"/>
      <c r="R534" s="14" t="n"/>
      <c r="S534" s="16" t="n"/>
      <c r="T534" s="125" t="n"/>
      <c r="U534" s="14" t="n"/>
      <c r="V534" s="16" t="n"/>
      <c r="W534" s="125" t="n"/>
      <c r="X534" s="14" t="n"/>
      <c r="Y534" s="16" t="n"/>
      <c r="Z534" s="125" t="n"/>
      <c r="AA534" s="14" t="n"/>
      <c r="AB534" s="16" t="n"/>
      <c r="AC534" s="125" t="n"/>
      <c r="AD534" s="14" t="n"/>
    </row>
    <row r="535">
      <c r="A535" s="58" t="n"/>
      <c r="B535" s="59" t="n"/>
      <c r="C535" s="59" t="n"/>
      <c r="E535" s="16" t="n"/>
      <c r="F535" s="13" t="n"/>
      <c r="G535" s="16" t="n"/>
      <c r="H535" s="125" t="n"/>
      <c r="I535" s="14" t="n"/>
      <c r="J535" s="16" t="n"/>
      <c r="K535" s="125" t="n"/>
      <c r="L535" s="14" t="n"/>
      <c r="M535" s="16" t="n"/>
      <c r="N535" s="125" t="n"/>
      <c r="O535" s="14" t="n"/>
      <c r="P535" s="16" t="n"/>
      <c r="Q535" s="125" t="n"/>
      <c r="R535" s="14" t="n"/>
      <c r="S535" s="16" t="n"/>
      <c r="T535" s="125" t="n"/>
      <c r="U535" s="14" t="n"/>
      <c r="V535" s="16" t="n"/>
      <c r="W535" s="125" t="n"/>
      <c r="X535" s="14" t="n"/>
      <c r="Y535" s="16" t="n"/>
      <c r="Z535" s="125" t="n"/>
      <c r="AA535" s="14" t="n"/>
      <c r="AB535" s="16" t="n"/>
      <c r="AC535" s="125" t="n"/>
      <c r="AD535" s="14" t="n"/>
    </row>
    <row r="536">
      <c r="A536" s="56" t="n"/>
      <c r="B536" s="59" t="n"/>
      <c r="C536" s="59" t="n"/>
      <c r="E536" s="16" t="n"/>
      <c r="F536" s="13" t="n"/>
      <c r="G536" s="16" t="n"/>
      <c r="H536" s="125" t="n"/>
      <c r="I536" s="14" t="n"/>
      <c r="J536" s="16" t="n"/>
      <c r="K536" s="125" t="n"/>
      <c r="L536" s="14" t="n"/>
      <c r="M536" s="16" t="n"/>
      <c r="N536" s="125" t="n"/>
      <c r="O536" s="14" t="n"/>
      <c r="P536" s="16" t="n"/>
      <c r="Q536" s="125" t="n"/>
      <c r="R536" s="14" t="n"/>
      <c r="S536" s="16" t="n"/>
      <c r="T536" s="125" t="n"/>
      <c r="U536" s="14" t="n"/>
      <c r="V536" s="16" t="n"/>
      <c r="W536" s="125" t="n"/>
      <c r="X536" s="14" t="n"/>
      <c r="Y536" s="16" t="n"/>
      <c r="Z536" s="125" t="n"/>
      <c r="AA536" s="14" t="n"/>
      <c r="AB536" s="16" t="n"/>
      <c r="AC536" s="125" t="n"/>
      <c r="AD536" s="14" t="n"/>
    </row>
    <row r="537">
      <c r="A537" s="58" t="n"/>
      <c r="B537" s="59" t="n"/>
      <c r="C537" s="59" t="n"/>
      <c r="E537" s="16" t="n"/>
      <c r="F537" s="13" t="n"/>
      <c r="G537" s="16" t="n"/>
      <c r="H537" s="125" t="n"/>
      <c r="I537" s="14" t="n"/>
      <c r="J537" s="16" t="n"/>
      <c r="K537" s="125" t="n"/>
      <c r="L537" s="14" t="n"/>
      <c r="M537" s="16" t="n"/>
      <c r="N537" s="125" t="n"/>
      <c r="O537" s="14" t="n"/>
      <c r="P537" s="16" t="n"/>
      <c r="Q537" s="125" t="n"/>
      <c r="R537" s="14" t="n"/>
      <c r="S537" s="16" t="n"/>
      <c r="T537" s="125" t="n"/>
      <c r="U537" s="14" t="n"/>
      <c r="V537" s="16" t="n"/>
      <c r="W537" s="125" t="n"/>
      <c r="X537" s="14" t="n"/>
      <c r="Y537" s="16" t="n"/>
      <c r="Z537" s="125" t="n"/>
      <c r="AA537" s="14" t="n"/>
      <c r="AB537" s="16" t="n"/>
      <c r="AC537" s="125" t="n"/>
      <c r="AD537" s="14" t="n"/>
    </row>
    <row r="538">
      <c r="A538" s="56" t="n"/>
      <c r="B538" s="59" t="n"/>
      <c r="C538" s="59" t="n"/>
      <c r="E538" s="16" t="n"/>
      <c r="F538" s="13" t="n"/>
      <c r="G538" s="16" t="n"/>
      <c r="H538" s="125" t="n"/>
      <c r="I538" s="14" t="n"/>
      <c r="J538" s="16" t="n"/>
      <c r="K538" s="125" t="n"/>
      <c r="L538" s="14" t="n"/>
      <c r="M538" s="16" t="n"/>
      <c r="N538" s="125" t="n"/>
      <c r="O538" s="14" t="n"/>
      <c r="P538" s="16" t="n"/>
      <c r="Q538" s="125" t="n"/>
      <c r="R538" s="14" t="n"/>
      <c r="S538" s="16" t="n"/>
      <c r="T538" s="125" t="n"/>
      <c r="U538" s="14" t="n"/>
      <c r="V538" s="16" t="n"/>
      <c r="W538" s="125" t="n"/>
      <c r="X538" s="14" t="n"/>
      <c r="Y538" s="16" t="n"/>
      <c r="Z538" s="125" t="n"/>
      <c r="AA538" s="14" t="n"/>
      <c r="AB538" s="16" t="n"/>
      <c r="AC538" s="125" t="n"/>
      <c r="AD538" s="14" t="n"/>
    </row>
    <row r="539">
      <c r="A539" s="58" t="n"/>
      <c r="B539" s="59" t="n"/>
      <c r="C539" s="59" t="n"/>
      <c r="E539" s="16" t="n"/>
      <c r="F539" s="13" t="n"/>
      <c r="G539" s="16" t="n"/>
      <c r="H539" s="125" t="n"/>
      <c r="I539" s="14" t="n"/>
      <c r="J539" s="16" t="n"/>
      <c r="K539" s="125" t="n"/>
      <c r="L539" s="14" t="n"/>
      <c r="M539" s="16" t="n"/>
      <c r="N539" s="125" t="n"/>
      <c r="O539" s="14" t="n"/>
      <c r="P539" s="16" t="n"/>
      <c r="Q539" s="125" t="n"/>
      <c r="R539" s="14" t="n"/>
      <c r="S539" s="16" t="n"/>
      <c r="T539" s="125" t="n"/>
      <c r="U539" s="14" t="n"/>
      <c r="V539" s="16" t="n"/>
      <c r="W539" s="125" t="n"/>
      <c r="X539" s="14" t="n"/>
      <c r="Y539" s="16" t="n"/>
      <c r="Z539" s="125" t="n"/>
      <c r="AA539" s="14" t="n"/>
      <c r="AB539" s="16" t="n"/>
      <c r="AC539" s="125" t="n"/>
      <c r="AD539" s="14" t="n"/>
    </row>
    <row r="540">
      <c r="A540" s="56" t="n"/>
      <c r="B540" s="59" t="n"/>
      <c r="C540" s="59" t="n"/>
      <c r="E540" s="16" t="n"/>
      <c r="F540" s="13" t="n"/>
      <c r="G540" s="16" t="n"/>
      <c r="H540" s="125" t="n"/>
      <c r="I540" s="14" t="n"/>
      <c r="J540" s="16" t="n"/>
      <c r="K540" s="125" t="n"/>
      <c r="L540" s="14" t="n"/>
      <c r="M540" s="16" t="n"/>
      <c r="N540" s="125" t="n"/>
      <c r="O540" s="14" t="n"/>
      <c r="P540" s="16" t="n"/>
      <c r="Q540" s="125" t="n"/>
      <c r="R540" s="14" t="n"/>
      <c r="S540" s="16" t="n"/>
      <c r="T540" s="125" t="n"/>
      <c r="U540" s="14" t="n"/>
      <c r="V540" s="16" t="n"/>
      <c r="W540" s="125" t="n"/>
      <c r="X540" s="14" t="n"/>
      <c r="Y540" s="16" t="n"/>
      <c r="Z540" s="125" t="n"/>
      <c r="AA540" s="14" t="n"/>
      <c r="AB540" s="16" t="n"/>
      <c r="AC540" s="125" t="n"/>
      <c r="AD540" s="14" t="n"/>
    </row>
    <row r="541">
      <c r="A541" s="58" t="n"/>
      <c r="B541" s="59" t="n"/>
      <c r="C541" s="59" t="n"/>
      <c r="E541" s="16" t="n"/>
      <c r="F541" s="13" t="n"/>
      <c r="G541" s="16" t="n"/>
      <c r="H541" s="125" t="n"/>
      <c r="I541" s="14" t="n"/>
      <c r="J541" s="16" t="n"/>
      <c r="K541" s="125" t="n"/>
      <c r="L541" s="14" t="n"/>
      <c r="M541" s="16" t="n"/>
      <c r="N541" s="125" t="n"/>
      <c r="O541" s="14" t="n"/>
      <c r="P541" s="16" t="n"/>
      <c r="Q541" s="125" t="n"/>
      <c r="R541" s="14" t="n"/>
      <c r="S541" s="16" t="n"/>
      <c r="T541" s="125" t="n"/>
      <c r="U541" s="14" t="n"/>
      <c r="V541" s="16" t="n"/>
      <c r="W541" s="125" t="n"/>
      <c r="X541" s="14" t="n"/>
      <c r="Y541" s="16" t="n"/>
      <c r="Z541" s="125" t="n"/>
      <c r="AA541" s="14" t="n"/>
      <c r="AB541" s="16" t="n"/>
      <c r="AC541" s="125" t="n"/>
      <c r="AD541" s="14" t="n"/>
    </row>
    <row r="542">
      <c r="A542" s="56" t="n"/>
      <c r="B542" s="59" t="n"/>
      <c r="C542" s="59" t="n"/>
      <c r="E542" s="16" t="n"/>
      <c r="F542" s="13" t="n"/>
      <c r="G542" s="16" t="n"/>
      <c r="H542" s="125" t="n"/>
      <c r="I542" s="14" t="n"/>
      <c r="J542" s="16" t="n"/>
      <c r="K542" s="125" t="n"/>
      <c r="L542" s="14" t="n"/>
      <c r="M542" s="16" t="n"/>
      <c r="N542" s="125" t="n"/>
      <c r="O542" s="14" t="n"/>
      <c r="P542" s="16" t="n"/>
      <c r="Q542" s="125" t="n"/>
      <c r="R542" s="14" t="n"/>
      <c r="S542" s="16" t="n"/>
      <c r="T542" s="125" t="n"/>
      <c r="U542" s="14" t="n"/>
      <c r="V542" s="16" t="n"/>
      <c r="W542" s="125" t="n"/>
      <c r="X542" s="14" t="n"/>
      <c r="Y542" s="16" t="n"/>
      <c r="Z542" s="125" t="n"/>
      <c r="AA542" s="14" t="n"/>
      <c r="AB542" s="16" t="n"/>
      <c r="AC542" s="125" t="n"/>
      <c r="AD542" s="14" t="n"/>
    </row>
    <row r="543">
      <c r="A543" s="58" t="n"/>
      <c r="B543" s="59" t="n"/>
      <c r="C543" s="59" t="n"/>
      <c r="E543" s="16" t="n"/>
      <c r="F543" s="13" t="n"/>
      <c r="G543" s="16" t="n"/>
      <c r="H543" s="125" t="n"/>
      <c r="I543" s="14" t="n"/>
      <c r="J543" s="16" t="n"/>
      <c r="K543" s="125" t="n"/>
      <c r="L543" s="14" t="n"/>
      <c r="M543" s="16" t="n"/>
      <c r="N543" s="125" t="n"/>
      <c r="O543" s="14" t="n"/>
      <c r="P543" s="16" t="n"/>
      <c r="Q543" s="125" t="n"/>
      <c r="R543" s="14" t="n"/>
      <c r="S543" s="16" t="n"/>
      <c r="T543" s="125" t="n"/>
      <c r="U543" s="14" t="n"/>
      <c r="V543" s="16" t="n"/>
      <c r="W543" s="125" t="n"/>
      <c r="X543" s="14" t="n"/>
      <c r="Y543" s="16" t="n"/>
      <c r="Z543" s="125" t="n"/>
      <c r="AA543" s="14" t="n"/>
      <c r="AB543" s="16" t="n"/>
      <c r="AC543" s="125" t="n"/>
      <c r="AD543" s="14" t="n"/>
    </row>
    <row r="544">
      <c r="A544" s="56" t="n"/>
      <c r="B544" s="59" t="n"/>
      <c r="C544" s="59" t="n"/>
      <c r="E544" s="16" t="n"/>
      <c r="F544" s="13" t="n"/>
      <c r="G544" s="16" t="n"/>
      <c r="H544" s="125" t="n"/>
      <c r="I544" s="14" t="n"/>
      <c r="J544" s="16" t="n"/>
      <c r="K544" s="125" t="n"/>
      <c r="L544" s="14" t="n"/>
      <c r="M544" s="16" t="n"/>
      <c r="N544" s="125" t="n"/>
      <c r="O544" s="14" t="n"/>
      <c r="P544" s="16" t="n"/>
      <c r="Q544" s="125" t="n"/>
      <c r="R544" s="14" t="n"/>
      <c r="S544" s="16" t="n"/>
      <c r="T544" s="125" t="n"/>
      <c r="U544" s="14" t="n"/>
      <c r="V544" s="16" t="n"/>
      <c r="W544" s="125" t="n"/>
      <c r="X544" s="14" t="n"/>
      <c r="Y544" s="16" t="n"/>
      <c r="Z544" s="125" t="n"/>
      <c r="AA544" s="14" t="n"/>
      <c r="AB544" s="16" t="n"/>
      <c r="AC544" s="125" t="n"/>
      <c r="AD544" s="14" t="n"/>
    </row>
    <row r="545">
      <c r="A545" s="58" t="n"/>
      <c r="B545" s="59" t="n"/>
      <c r="C545" s="59" t="n"/>
      <c r="E545" s="16" t="n"/>
      <c r="F545" s="13" t="n"/>
      <c r="G545" s="16" t="n"/>
      <c r="H545" s="125" t="n"/>
      <c r="I545" s="14" t="n"/>
      <c r="J545" s="16" t="n"/>
      <c r="K545" s="125" t="n"/>
      <c r="L545" s="14" t="n"/>
      <c r="M545" s="16" t="n"/>
      <c r="N545" s="125" t="n"/>
      <c r="O545" s="14" t="n"/>
      <c r="P545" s="16" t="n"/>
      <c r="Q545" s="125" t="n"/>
      <c r="R545" s="14" t="n"/>
      <c r="S545" s="16" t="n"/>
      <c r="T545" s="125" t="n"/>
      <c r="U545" s="14" t="n"/>
      <c r="V545" s="16" t="n"/>
      <c r="W545" s="125" t="n"/>
      <c r="X545" s="14" t="n"/>
      <c r="Y545" s="16" t="n"/>
      <c r="Z545" s="125" t="n"/>
      <c r="AA545" s="14" t="n"/>
      <c r="AB545" s="16" t="n"/>
      <c r="AC545" s="125" t="n"/>
      <c r="AD545" s="14" t="n"/>
    </row>
    <row r="546">
      <c r="A546" s="56" t="n"/>
      <c r="B546" s="59" t="n"/>
      <c r="C546" s="59" t="n"/>
      <c r="E546" s="16" t="n"/>
      <c r="F546" s="13" t="n"/>
      <c r="G546" s="16" t="n"/>
      <c r="H546" s="125" t="n"/>
      <c r="I546" s="14" t="n"/>
      <c r="J546" s="16" t="n"/>
      <c r="K546" s="125" t="n"/>
      <c r="L546" s="14" t="n"/>
      <c r="M546" s="16" t="n"/>
      <c r="N546" s="125" t="n"/>
      <c r="O546" s="14" t="n"/>
      <c r="P546" s="16" t="n"/>
      <c r="Q546" s="125" t="n"/>
      <c r="R546" s="14" t="n"/>
      <c r="S546" s="16" t="n"/>
      <c r="T546" s="125" t="n"/>
      <c r="U546" s="14" t="n"/>
      <c r="V546" s="16" t="n"/>
      <c r="W546" s="125" t="n"/>
      <c r="X546" s="14" t="n"/>
      <c r="Y546" s="16" t="n"/>
      <c r="Z546" s="125" t="n"/>
      <c r="AA546" s="14" t="n"/>
      <c r="AB546" s="16" t="n"/>
      <c r="AC546" s="125" t="n"/>
      <c r="AD546" s="14" t="n"/>
    </row>
    <row r="547">
      <c r="A547" s="58" t="n"/>
      <c r="B547" s="59" t="n"/>
      <c r="C547" s="59" t="n"/>
      <c r="E547" s="16" t="n"/>
      <c r="F547" s="13" t="n"/>
      <c r="G547" s="16" t="n"/>
      <c r="H547" s="125" t="n"/>
      <c r="I547" s="14" t="n"/>
      <c r="J547" s="16" t="n"/>
      <c r="K547" s="125" t="n"/>
      <c r="L547" s="14" t="n"/>
      <c r="M547" s="16" t="n"/>
      <c r="N547" s="125" t="n"/>
      <c r="O547" s="14" t="n"/>
      <c r="P547" s="16" t="n"/>
      <c r="Q547" s="125" t="n"/>
      <c r="R547" s="14" t="n"/>
      <c r="S547" s="16" t="n"/>
      <c r="T547" s="125" t="n"/>
      <c r="U547" s="14" t="n"/>
      <c r="V547" s="16" t="n"/>
      <c r="W547" s="125" t="n"/>
      <c r="X547" s="14" t="n"/>
      <c r="Y547" s="16" t="n"/>
      <c r="Z547" s="125" t="n"/>
      <c r="AA547" s="14" t="n"/>
      <c r="AB547" s="16" t="n"/>
      <c r="AC547" s="125" t="n"/>
      <c r="AD547" s="14" t="n"/>
    </row>
    <row r="548">
      <c r="A548" s="56" t="n"/>
      <c r="B548" s="59" t="n"/>
      <c r="C548" s="59" t="n"/>
      <c r="E548" s="16" t="n"/>
      <c r="F548" s="13" t="n"/>
      <c r="G548" s="16" t="n"/>
      <c r="H548" s="125" t="n"/>
      <c r="I548" s="14" t="n"/>
      <c r="J548" s="16" t="n"/>
      <c r="K548" s="125" t="n"/>
      <c r="L548" s="14" t="n"/>
      <c r="M548" s="16" t="n"/>
      <c r="N548" s="125" t="n"/>
      <c r="O548" s="14" t="n"/>
      <c r="P548" s="16" t="n"/>
      <c r="Q548" s="125" t="n"/>
      <c r="R548" s="14" t="n"/>
      <c r="S548" s="16" t="n"/>
      <c r="T548" s="125" t="n"/>
      <c r="U548" s="14" t="n"/>
      <c r="V548" s="16" t="n"/>
      <c r="W548" s="125" t="n"/>
      <c r="X548" s="14" t="n"/>
      <c r="Y548" s="16" t="n"/>
      <c r="Z548" s="125" t="n"/>
      <c r="AA548" s="14" t="n"/>
      <c r="AB548" s="16" t="n"/>
      <c r="AC548" s="125" t="n"/>
      <c r="AD548" s="14" t="n"/>
    </row>
    <row r="549">
      <c r="A549" s="58" t="n"/>
      <c r="B549" s="59" t="n"/>
      <c r="C549" s="59" t="n"/>
      <c r="E549" s="16" t="n"/>
      <c r="F549" s="13" t="n"/>
      <c r="G549" s="16" t="n"/>
      <c r="H549" s="125" t="n"/>
      <c r="I549" s="14" t="n"/>
      <c r="J549" s="16" t="n"/>
      <c r="K549" s="125" t="n"/>
      <c r="L549" s="14" t="n"/>
      <c r="M549" s="16" t="n"/>
      <c r="N549" s="125" t="n"/>
      <c r="O549" s="14" t="n"/>
      <c r="P549" s="16" t="n"/>
      <c r="Q549" s="125" t="n"/>
      <c r="R549" s="14" t="n"/>
      <c r="S549" s="16" t="n"/>
      <c r="T549" s="125" t="n"/>
      <c r="U549" s="14" t="n"/>
      <c r="V549" s="16" t="n"/>
      <c r="W549" s="125" t="n"/>
      <c r="X549" s="14" t="n"/>
      <c r="Y549" s="16" t="n"/>
      <c r="Z549" s="125" t="n"/>
      <c r="AA549" s="14" t="n"/>
      <c r="AB549" s="16" t="n"/>
      <c r="AC549" s="125" t="n"/>
      <c r="AD549" s="14" t="n"/>
    </row>
    <row r="550">
      <c r="A550" s="56" t="n"/>
      <c r="B550" s="59" t="n"/>
      <c r="C550" s="59" t="n"/>
      <c r="E550" s="16" t="n"/>
      <c r="F550" s="13" t="n"/>
      <c r="G550" s="16" t="n"/>
      <c r="H550" s="125" t="n"/>
      <c r="I550" s="14" t="n"/>
      <c r="J550" s="16" t="n"/>
      <c r="K550" s="125" t="n"/>
      <c r="L550" s="14" t="n"/>
      <c r="M550" s="16" t="n"/>
      <c r="N550" s="125" t="n"/>
      <c r="O550" s="14" t="n"/>
      <c r="P550" s="16" t="n"/>
      <c r="Q550" s="125" t="n"/>
      <c r="R550" s="14" t="n"/>
      <c r="S550" s="16" t="n"/>
      <c r="T550" s="125" t="n"/>
      <c r="U550" s="14" t="n"/>
      <c r="V550" s="16" t="n"/>
      <c r="W550" s="125" t="n"/>
      <c r="X550" s="14" t="n"/>
      <c r="Y550" s="16" t="n"/>
      <c r="Z550" s="125" t="n"/>
      <c r="AA550" s="14" t="n"/>
      <c r="AB550" s="16" t="n"/>
      <c r="AC550" s="125" t="n"/>
      <c r="AD550" s="14" t="n"/>
    </row>
    <row r="551">
      <c r="A551" s="58" t="n"/>
      <c r="B551" s="59" t="n"/>
      <c r="C551" s="59" t="n"/>
      <c r="E551" s="16" t="n"/>
      <c r="F551" s="13" t="n"/>
      <c r="G551" s="16" t="n"/>
      <c r="H551" s="125" t="n"/>
      <c r="I551" s="14" t="n"/>
      <c r="J551" s="16" t="n"/>
      <c r="K551" s="125" t="n"/>
      <c r="L551" s="14" t="n"/>
      <c r="M551" s="16" t="n"/>
      <c r="N551" s="125" t="n"/>
      <c r="O551" s="14" t="n"/>
      <c r="P551" s="16" t="n"/>
      <c r="Q551" s="125" t="n"/>
      <c r="R551" s="14" t="n"/>
      <c r="S551" s="16" t="n"/>
      <c r="T551" s="125" t="n"/>
      <c r="U551" s="14" t="n"/>
      <c r="V551" s="16" t="n"/>
      <c r="W551" s="125" t="n"/>
      <c r="X551" s="14" t="n"/>
      <c r="Y551" s="16" t="n"/>
      <c r="Z551" s="125" t="n"/>
      <c r="AA551" s="14" t="n"/>
      <c r="AB551" s="16" t="n"/>
      <c r="AC551" s="125" t="n"/>
      <c r="AD551" s="14" t="n"/>
    </row>
    <row r="552">
      <c r="A552" s="56" t="n"/>
      <c r="B552" s="59" t="n"/>
      <c r="C552" s="59" t="n"/>
      <c r="E552" s="16" t="n"/>
      <c r="F552" s="13" t="n"/>
      <c r="G552" s="16" t="n"/>
      <c r="H552" s="125" t="n"/>
      <c r="I552" s="14" t="n"/>
      <c r="J552" s="16" t="n"/>
      <c r="K552" s="125" t="n"/>
      <c r="L552" s="14" t="n"/>
      <c r="M552" s="16" t="n"/>
      <c r="N552" s="125" t="n"/>
      <c r="O552" s="14" t="n"/>
      <c r="P552" s="16" t="n"/>
      <c r="Q552" s="125" t="n"/>
      <c r="R552" s="14" t="n"/>
      <c r="S552" s="16" t="n"/>
      <c r="T552" s="125" t="n"/>
      <c r="U552" s="14" t="n"/>
      <c r="V552" s="16" t="n"/>
      <c r="W552" s="125" t="n"/>
      <c r="X552" s="14" t="n"/>
      <c r="Y552" s="16" t="n"/>
      <c r="Z552" s="125" t="n"/>
      <c r="AA552" s="14" t="n"/>
      <c r="AB552" s="16" t="n"/>
      <c r="AC552" s="125" t="n"/>
      <c r="AD552" s="14" t="n"/>
    </row>
    <row r="553">
      <c r="A553" s="58" t="n"/>
      <c r="B553" s="59" t="n"/>
      <c r="C553" s="59" t="n"/>
      <c r="E553" s="16" t="n"/>
      <c r="F553" s="13" t="n"/>
      <c r="G553" s="16" t="n"/>
      <c r="H553" s="125" t="n"/>
      <c r="I553" s="14" t="n"/>
      <c r="J553" s="16" t="n"/>
      <c r="K553" s="125" t="n"/>
      <c r="L553" s="14" t="n"/>
      <c r="M553" s="16" t="n"/>
      <c r="N553" s="125" t="n"/>
      <c r="O553" s="14" t="n"/>
      <c r="P553" s="16" t="n"/>
      <c r="Q553" s="125" t="n"/>
      <c r="R553" s="14" t="n"/>
      <c r="S553" s="16" t="n"/>
      <c r="T553" s="125" t="n"/>
      <c r="U553" s="14" t="n"/>
      <c r="V553" s="16" t="n"/>
      <c r="W553" s="125" t="n"/>
      <c r="X553" s="14" t="n"/>
      <c r="Y553" s="16" t="n"/>
      <c r="Z553" s="125" t="n"/>
      <c r="AA553" s="14" t="n"/>
      <c r="AB553" s="16" t="n"/>
      <c r="AC553" s="125" t="n"/>
      <c r="AD553" s="14" t="n"/>
    </row>
    <row r="554">
      <c r="A554" s="56" t="n"/>
      <c r="B554" s="59" t="n"/>
      <c r="C554" s="59" t="n"/>
      <c r="E554" s="16" t="n"/>
      <c r="F554" s="13" t="n"/>
      <c r="G554" s="16" t="n"/>
      <c r="H554" s="125" t="n"/>
      <c r="I554" s="14" t="n"/>
      <c r="J554" s="16" t="n"/>
      <c r="K554" s="125" t="n"/>
      <c r="L554" s="14" t="n"/>
      <c r="M554" s="16" t="n"/>
      <c r="N554" s="125" t="n"/>
      <c r="O554" s="14" t="n"/>
      <c r="P554" s="16" t="n"/>
      <c r="Q554" s="125" t="n"/>
      <c r="R554" s="14" t="n"/>
      <c r="S554" s="16" t="n"/>
      <c r="T554" s="125" t="n"/>
      <c r="U554" s="14" t="n"/>
      <c r="V554" s="16" t="n"/>
      <c r="W554" s="125" t="n"/>
      <c r="X554" s="14" t="n"/>
      <c r="Y554" s="16" t="n"/>
      <c r="Z554" s="125" t="n"/>
      <c r="AA554" s="14" t="n"/>
      <c r="AB554" s="16" t="n"/>
      <c r="AC554" s="125" t="n"/>
      <c r="AD554" s="14" t="n"/>
    </row>
    <row r="555">
      <c r="A555" s="58" t="n"/>
      <c r="B555" s="59" t="n"/>
      <c r="C555" s="59" t="n"/>
      <c r="E555" s="16" t="n"/>
      <c r="F555" s="13" t="n"/>
      <c r="G555" s="16" t="n"/>
      <c r="H555" s="125" t="n"/>
      <c r="I555" s="14" t="n"/>
      <c r="J555" s="16" t="n"/>
      <c r="K555" s="125" t="n"/>
      <c r="L555" s="14" t="n"/>
      <c r="M555" s="16" t="n"/>
      <c r="N555" s="125" t="n"/>
      <c r="O555" s="14" t="n"/>
      <c r="P555" s="16" t="n"/>
      <c r="Q555" s="125" t="n"/>
      <c r="R555" s="14" t="n"/>
      <c r="S555" s="16" t="n"/>
      <c r="T555" s="125" t="n"/>
      <c r="U555" s="14" t="n"/>
      <c r="V555" s="16" t="n"/>
      <c r="W555" s="125" t="n"/>
      <c r="X555" s="14" t="n"/>
      <c r="Y555" s="16" t="n"/>
      <c r="Z555" s="125" t="n"/>
      <c r="AA555" s="14" t="n"/>
      <c r="AB555" s="16" t="n"/>
      <c r="AC555" s="125" t="n"/>
      <c r="AD555" s="14" t="n"/>
    </row>
    <row r="556">
      <c r="A556" s="56" t="n"/>
      <c r="B556" s="59" t="n"/>
      <c r="C556" s="59" t="n"/>
      <c r="E556" s="16" t="n"/>
      <c r="F556" s="13" t="n"/>
      <c r="G556" s="16" t="n"/>
      <c r="H556" s="125" t="n"/>
      <c r="I556" s="14" t="n"/>
      <c r="J556" s="16" t="n"/>
      <c r="K556" s="125" t="n"/>
      <c r="L556" s="14" t="n"/>
      <c r="M556" s="16" t="n"/>
      <c r="N556" s="125" t="n"/>
      <c r="O556" s="14" t="n"/>
      <c r="P556" s="16" t="n"/>
      <c r="Q556" s="125" t="n"/>
      <c r="R556" s="14" t="n"/>
      <c r="S556" s="16" t="n"/>
      <c r="T556" s="125" t="n"/>
      <c r="U556" s="14" t="n"/>
      <c r="V556" s="16" t="n"/>
      <c r="W556" s="125" t="n"/>
      <c r="X556" s="14" t="n"/>
      <c r="Y556" s="16" t="n"/>
      <c r="Z556" s="125" t="n"/>
      <c r="AA556" s="14" t="n"/>
      <c r="AB556" s="16" t="n"/>
      <c r="AC556" s="125" t="n"/>
      <c r="AD556" s="14" t="n"/>
    </row>
    <row r="557">
      <c r="A557" s="58" t="n"/>
      <c r="B557" s="59" t="n"/>
      <c r="C557" s="59" t="n"/>
      <c r="E557" s="16" t="n"/>
      <c r="F557" s="13" t="n"/>
      <c r="G557" s="16" t="n"/>
      <c r="H557" s="125" t="n"/>
      <c r="I557" s="14" t="n"/>
      <c r="J557" s="16" t="n"/>
      <c r="K557" s="125" t="n"/>
      <c r="L557" s="14" t="n"/>
      <c r="M557" s="16" t="n"/>
      <c r="N557" s="125" t="n"/>
      <c r="O557" s="14" t="n"/>
      <c r="P557" s="16" t="n"/>
      <c r="Q557" s="125" t="n"/>
      <c r="R557" s="14" t="n"/>
      <c r="S557" s="16" t="n"/>
      <c r="T557" s="125" t="n"/>
      <c r="U557" s="14" t="n"/>
      <c r="V557" s="16" t="n"/>
      <c r="W557" s="125" t="n"/>
      <c r="X557" s="14" t="n"/>
      <c r="Y557" s="16" t="n"/>
      <c r="Z557" s="125" t="n"/>
      <c r="AA557" s="14" t="n"/>
      <c r="AB557" s="16" t="n"/>
      <c r="AC557" s="125" t="n"/>
      <c r="AD557" s="14" t="n"/>
    </row>
    <row r="558">
      <c r="A558" s="56" t="n"/>
      <c r="B558" s="59" t="n"/>
      <c r="C558" s="59" t="n"/>
      <c r="E558" s="16" t="n"/>
      <c r="F558" s="13" t="n"/>
      <c r="G558" s="16" t="n"/>
      <c r="H558" s="125" t="n"/>
      <c r="I558" s="14" t="n"/>
      <c r="J558" s="16" t="n"/>
      <c r="K558" s="125" t="n"/>
      <c r="L558" s="14" t="n"/>
      <c r="M558" s="16" t="n"/>
      <c r="N558" s="125" t="n"/>
      <c r="O558" s="14" t="n"/>
      <c r="P558" s="16" t="n"/>
      <c r="Q558" s="125" t="n"/>
      <c r="R558" s="14" t="n"/>
      <c r="S558" s="16" t="n"/>
      <c r="T558" s="125" t="n"/>
      <c r="U558" s="14" t="n"/>
      <c r="V558" s="16" t="n"/>
      <c r="W558" s="125" t="n"/>
      <c r="X558" s="14" t="n"/>
      <c r="Y558" s="16" t="n"/>
      <c r="Z558" s="125" t="n"/>
      <c r="AA558" s="14" t="n"/>
      <c r="AB558" s="16" t="n"/>
      <c r="AC558" s="125" t="n"/>
      <c r="AD558" s="14" t="n"/>
    </row>
    <row r="559">
      <c r="A559" s="58" t="n"/>
      <c r="B559" s="59" t="n"/>
      <c r="C559" s="59" t="n"/>
      <c r="E559" s="16" t="n"/>
      <c r="F559" s="13" t="n"/>
      <c r="G559" s="16" t="n"/>
      <c r="H559" s="125" t="n"/>
      <c r="I559" s="14" t="n"/>
      <c r="J559" s="16" t="n"/>
      <c r="K559" s="125" t="n"/>
      <c r="L559" s="14" t="n"/>
      <c r="M559" s="16" t="n"/>
      <c r="N559" s="125" t="n"/>
      <c r="O559" s="14" t="n"/>
      <c r="P559" s="16" t="n"/>
      <c r="Q559" s="125" t="n"/>
      <c r="R559" s="14" t="n"/>
      <c r="S559" s="16" t="n"/>
      <c r="T559" s="125" t="n"/>
      <c r="U559" s="14" t="n"/>
      <c r="V559" s="16" t="n"/>
      <c r="W559" s="125" t="n"/>
      <c r="X559" s="14" t="n"/>
      <c r="Y559" s="16" t="n"/>
      <c r="Z559" s="125" t="n"/>
      <c r="AA559" s="14" t="n"/>
      <c r="AB559" s="16" t="n"/>
      <c r="AC559" s="125" t="n"/>
      <c r="AD559" s="14" t="n"/>
    </row>
    <row r="560">
      <c r="A560" s="56" t="n"/>
      <c r="B560" s="59" t="n"/>
      <c r="C560" s="59" t="n"/>
      <c r="E560" s="16" t="n"/>
      <c r="F560" s="13" t="n"/>
      <c r="G560" s="16" t="n"/>
      <c r="H560" s="125" t="n"/>
      <c r="I560" s="14" t="n"/>
      <c r="J560" s="16" t="n"/>
      <c r="K560" s="125" t="n"/>
      <c r="L560" s="14" t="n"/>
      <c r="M560" s="16" t="n"/>
      <c r="N560" s="125" t="n"/>
      <c r="O560" s="14" t="n"/>
      <c r="P560" s="16" t="n"/>
      <c r="Q560" s="125" t="n"/>
      <c r="R560" s="14" t="n"/>
      <c r="S560" s="16" t="n"/>
      <c r="T560" s="125" t="n"/>
      <c r="U560" s="14" t="n"/>
      <c r="V560" s="16" t="n"/>
      <c r="W560" s="125" t="n"/>
      <c r="X560" s="14" t="n"/>
      <c r="Y560" s="16" t="n"/>
      <c r="Z560" s="125" t="n"/>
      <c r="AA560" s="14" t="n"/>
      <c r="AB560" s="16" t="n"/>
      <c r="AC560" s="125" t="n"/>
      <c r="AD560" s="14" t="n"/>
    </row>
    <row r="561">
      <c r="A561" s="58" t="n"/>
      <c r="B561" s="59" t="n"/>
      <c r="C561" s="59" t="n"/>
      <c r="E561" s="16" t="n"/>
      <c r="F561" s="13" t="n"/>
      <c r="G561" s="16" t="n"/>
      <c r="H561" s="125" t="n"/>
      <c r="I561" s="14" t="n"/>
      <c r="J561" s="16" t="n"/>
      <c r="K561" s="125" t="n"/>
      <c r="L561" s="14" t="n"/>
      <c r="M561" s="16" t="n"/>
      <c r="N561" s="125" t="n"/>
      <c r="O561" s="14" t="n"/>
      <c r="P561" s="16" t="n"/>
      <c r="Q561" s="125" t="n"/>
      <c r="R561" s="14" t="n"/>
      <c r="S561" s="16" t="n"/>
      <c r="T561" s="125" t="n"/>
      <c r="U561" s="14" t="n"/>
      <c r="V561" s="16" t="n"/>
      <c r="W561" s="125" t="n"/>
      <c r="X561" s="14" t="n"/>
      <c r="Y561" s="16" t="n"/>
      <c r="Z561" s="125" t="n"/>
      <c r="AA561" s="14" t="n"/>
      <c r="AB561" s="16" t="n"/>
      <c r="AC561" s="125" t="n"/>
      <c r="AD561" s="14" t="n"/>
    </row>
    <row r="562">
      <c r="A562" s="56" t="n"/>
      <c r="B562" s="59" t="n"/>
      <c r="C562" s="59" t="n"/>
      <c r="E562" s="16" t="n"/>
      <c r="F562" s="13" t="n"/>
      <c r="G562" s="16" t="n"/>
      <c r="H562" s="125" t="n"/>
      <c r="I562" s="14" t="n"/>
      <c r="J562" s="16" t="n"/>
      <c r="K562" s="125" t="n"/>
      <c r="L562" s="14" t="n"/>
      <c r="M562" s="16" t="n"/>
      <c r="N562" s="125" t="n"/>
      <c r="O562" s="14" t="n"/>
      <c r="P562" s="16" t="n"/>
      <c r="Q562" s="125" t="n"/>
      <c r="R562" s="14" t="n"/>
      <c r="S562" s="16" t="n"/>
      <c r="T562" s="125" t="n"/>
      <c r="U562" s="14" t="n"/>
      <c r="V562" s="16" t="n"/>
      <c r="W562" s="125" t="n"/>
      <c r="X562" s="14" t="n"/>
      <c r="Y562" s="16" t="n"/>
      <c r="Z562" s="125" t="n"/>
      <c r="AA562" s="14" t="n"/>
      <c r="AB562" s="16" t="n"/>
      <c r="AC562" s="125" t="n"/>
      <c r="AD562" s="14" t="n"/>
    </row>
    <row r="563">
      <c r="A563" s="58" t="n"/>
      <c r="B563" s="59" t="n"/>
      <c r="C563" s="59" t="n"/>
      <c r="E563" s="16" t="n"/>
      <c r="F563" s="13" t="n"/>
      <c r="G563" s="16" t="n"/>
      <c r="H563" s="125" t="n"/>
      <c r="I563" s="14" t="n"/>
      <c r="J563" s="16" t="n"/>
      <c r="K563" s="125" t="n"/>
      <c r="L563" s="14" t="n"/>
      <c r="M563" s="16" t="n"/>
      <c r="N563" s="125" t="n"/>
      <c r="O563" s="14" t="n"/>
      <c r="P563" s="16" t="n"/>
      <c r="Q563" s="125" t="n"/>
      <c r="R563" s="14" t="n"/>
      <c r="S563" s="16" t="n"/>
      <c r="T563" s="125" t="n"/>
      <c r="U563" s="14" t="n"/>
      <c r="V563" s="16" t="n"/>
      <c r="W563" s="125" t="n"/>
      <c r="X563" s="14" t="n"/>
      <c r="Y563" s="16" t="n"/>
      <c r="Z563" s="125" t="n"/>
      <c r="AA563" s="14" t="n"/>
      <c r="AB563" s="16" t="n"/>
      <c r="AC563" s="125" t="n"/>
      <c r="AD563" s="14" t="n"/>
    </row>
    <row r="564">
      <c r="A564" s="56" t="n"/>
      <c r="B564" s="59" t="n"/>
      <c r="C564" s="59" t="n"/>
      <c r="E564" s="16" t="n"/>
      <c r="F564" s="13" t="n"/>
      <c r="G564" s="16" t="n"/>
      <c r="H564" s="125" t="n"/>
      <c r="I564" s="14" t="n"/>
      <c r="J564" s="16" t="n"/>
      <c r="K564" s="125" t="n"/>
      <c r="L564" s="14" t="n"/>
      <c r="M564" s="16" t="n"/>
      <c r="N564" s="125" t="n"/>
      <c r="O564" s="14" t="n"/>
      <c r="P564" s="16" t="n"/>
      <c r="Q564" s="125" t="n"/>
      <c r="R564" s="14" t="n"/>
      <c r="S564" s="16" t="n"/>
      <c r="T564" s="125" t="n"/>
      <c r="U564" s="14" t="n"/>
      <c r="V564" s="16" t="n"/>
      <c r="W564" s="125" t="n"/>
      <c r="X564" s="14" t="n"/>
      <c r="Y564" s="16" t="n"/>
      <c r="Z564" s="125" t="n"/>
      <c r="AA564" s="14" t="n"/>
      <c r="AB564" s="16" t="n"/>
      <c r="AC564" s="125" t="n"/>
      <c r="AD564" s="14" t="n"/>
    </row>
    <row r="565">
      <c r="A565" s="58" t="n"/>
      <c r="B565" s="59" t="n"/>
      <c r="C565" s="59" t="n"/>
      <c r="E565" s="16" t="n"/>
      <c r="F565" s="13" t="n"/>
      <c r="G565" s="16" t="n"/>
      <c r="H565" s="125" t="n"/>
      <c r="I565" s="14" t="n"/>
      <c r="J565" s="16" t="n"/>
      <c r="K565" s="125" t="n"/>
      <c r="L565" s="14" t="n"/>
      <c r="M565" s="16" t="n"/>
      <c r="N565" s="125" t="n"/>
      <c r="O565" s="14" t="n"/>
      <c r="P565" s="16" t="n"/>
      <c r="Q565" s="125" t="n"/>
      <c r="R565" s="14" t="n"/>
      <c r="S565" s="16" t="n"/>
      <c r="T565" s="125" t="n"/>
      <c r="U565" s="14" t="n"/>
      <c r="V565" s="16" t="n"/>
      <c r="W565" s="125" t="n"/>
      <c r="X565" s="14" t="n"/>
      <c r="Y565" s="16" t="n"/>
      <c r="Z565" s="125" t="n"/>
      <c r="AA565" s="14" t="n"/>
      <c r="AB565" s="16" t="n"/>
      <c r="AC565" s="125" t="n"/>
      <c r="AD565" s="14" t="n"/>
    </row>
    <row r="566">
      <c r="A566" s="56" t="n"/>
      <c r="B566" s="59" t="n"/>
      <c r="C566" s="59" t="n"/>
      <c r="E566" s="16" t="n"/>
      <c r="F566" s="13" t="n"/>
      <c r="G566" s="16" t="n"/>
      <c r="H566" s="125" t="n"/>
      <c r="I566" s="14" t="n"/>
      <c r="J566" s="16" t="n"/>
      <c r="K566" s="125" t="n"/>
      <c r="L566" s="14" t="n"/>
      <c r="M566" s="16" t="n"/>
      <c r="N566" s="125" t="n"/>
      <c r="O566" s="14" t="n"/>
      <c r="P566" s="16" t="n"/>
      <c r="Q566" s="125" t="n"/>
      <c r="R566" s="14" t="n"/>
      <c r="S566" s="16" t="n"/>
      <c r="T566" s="125" t="n"/>
      <c r="U566" s="14" t="n"/>
      <c r="V566" s="16" t="n"/>
      <c r="W566" s="125" t="n"/>
      <c r="X566" s="14" t="n"/>
      <c r="Y566" s="16" t="n"/>
      <c r="Z566" s="125" t="n"/>
      <c r="AA566" s="14" t="n"/>
      <c r="AB566" s="16" t="n"/>
      <c r="AC566" s="125" t="n"/>
      <c r="AD566" s="14" t="n"/>
    </row>
    <row r="567">
      <c r="A567" s="58" t="n"/>
      <c r="B567" s="59" t="n"/>
      <c r="C567" s="59" t="n"/>
      <c r="E567" s="16" t="n"/>
      <c r="F567" s="13" t="n"/>
      <c r="G567" s="16" t="n"/>
      <c r="H567" s="125" t="n"/>
      <c r="I567" s="14" t="n"/>
      <c r="J567" s="16" t="n"/>
      <c r="K567" s="125" t="n"/>
      <c r="L567" s="14" t="n"/>
      <c r="M567" s="16" t="n"/>
      <c r="N567" s="125" t="n"/>
      <c r="O567" s="14" t="n"/>
      <c r="P567" s="16" t="n"/>
      <c r="Q567" s="125" t="n"/>
      <c r="R567" s="14" t="n"/>
      <c r="S567" s="16" t="n"/>
      <c r="T567" s="125" t="n"/>
      <c r="U567" s="14" t="n"/>
      <c r="V567" s="16" t="n"/>
      <c r="W567" s="125" t="n"/>
      <c r="X567" s="14" t="n"/>
      <c r="Y567" s="16" t="n"/>
      <c r="Z567" s="125" t="n"/>
      <c r="AA567" s="14" t="n"/>
      <c r="AB567" s="16" t="n"/>
      <c r="AC567" s="125" t="n"/>
      <c r="AD567" s="14" t="n"/>
    </row>
    <row r="568">
      <c r="A568" s="56" t="n"/>
      <c r="B568" s="59" t="n"/>
      <c r="C568" s="59" t="n"/>
      <c r="E568" s="16" t="n"/>
      <c r="F568" s="13" t="n"/>
      <c r="G568" s="16" t="n"/>
      <c r="H568" s="125" t="n"/>
      <c r="I568" s="14" t="n"/>
      <c r="J568" s="16" t="n"/>
      <c r="K568" s="125" t="n"/>
      <c r="L568" s="14" t="n"/>
      <c r="M568" s="16" t="n"/>
      <c r="N568" s="125" t="n"/>
      <c r="O568" s="14" t="n"/>
      <c r="P568" s="16" t="n"/>
      <c r="Q568" s="125" t="n"/>
      <c r="R568" s="14" t="n"/>
      <c r="S568" s="16" t="n"/>
      <c r="T568" s="125" t="n"/>
      <c r="U568" s="14" t="n"/>
      <c r="V568" s="16" t="n"/>
      <c r="W568" s="125" t="n"/>
      <c r="X568" s="14" t="n"/>
      <c r="Y568" s="16" t="n"/>
      <c r="Z568" s="125" t="n"/>
      <c r="AA568" s="14" t="n"/>
      <c r="AB568" s="16" t="n"/>
      <c r="AC568" s="125" t="n"/>
      <c r="AD568" s="14" t="n"/>
    </row>
    <row r="569">
      <c r="A569" s="58" t="n"/>
      <c r="B569" s="59" t="n"/>
      <c r="C569" s="59" t="n"/>
      <c r="E569" s="16" t="n"/>
      <c r="F569" s="13" t="n"/>
      <c r="G569" s="16" t="n"/>
      <c r="H569" s="125" t="n"/>
      <c r="I569" s="14" t="n"/>
      <c r="J569" s="16" t="n"/>
      <c r="K569" s="125" t="n"/>
      <c r="L569" s="14" t="n"/>
      <c r="M569" s="16" t="n"/>
      <c r="N569" s="125" t="n"/>
      <c r="O569" s="14" t="n"/>
      <c r="P569" s="16" t="n"/>
      <c r="Q569" s="125" t="n"/>
      <c r="R569" s="14" t="n"/>
      <c r="S569" s="16" t="n"/>
      <c r="T569" s="125" t="n"/>
      <c r="U569" s="14" t="n"/>
      <c r="V569" s="16" t="n"/>
      <c r="W569" s="125" t="n"/>
      <c r="X569" s="14" t="n"/>
      <c r="Y569" s="16" t="n"/>
      <c r="Z569" s="125" t="n"/>
      <c r="AA569" s="14" t="n"/>
      <c r="AB569" s="16" t="n"/>
      <c r="AC569" s="125" t="n"/>
      <c r="AD569" s="14" t="n"/>
    </row>
    <row r="570">
      <c r="A570" s="56" t="n"/>
      <c r="B570" s="59" t="n"/>
      <c r="C570" s="59" t="n"/>
      <c r="E570" s="16" t="n"/>
      <c r="F570" s="13" t="n"/>
      <c r="G570" s="16" t="n"/>
      <c r="H570" s="125" t="n"/>
      <c r="I570" s="14" t="n"/>
      <c r="J570" s="16" t="n"/>
      <c r="K570" s="125" t="n"/>
      <c r="L570" s="14" t="n"/>
      <c r="M570" s="16" t="n"/>
      <c r="N570" s="125" t="n"/>
      <c r="O570" s="14" t="n"/>
      <c r="P570" s="16" t="n"/>
      <c r="Q570" s="125" t="n"/>
      <c r="R570" s="14" t="n"/>
      <c r="S570" s="16" t="n"/>
      <c r="T570" s="125" t="n"/>
      <c r="U570" s="14" t="n"/>
      <c r="V570" s="16" t="n"/>
      <c r="W570" s="125" t="n"/>
      <c r="X570" s="14" t="n"/>
      <c r="Y570" s="16" t="n"/>
      <c r="Z570" s="125" t="n"/>
      <c r="AA570" s="14" t="n"/>
      <c r="AB570" s="16" t="n"/>
      <c r="AC570" s="125" t="n"/>
      <c r="AD570" s="14" t="n"/>
    </row>
    <row r="571">
      <c r="A571" s="58" t="n"/>
      <c r="B571" s="59" t="n"/>
      <c r="C571" s="59" t="n"/>
      <c r="E571" s="16" t="n"/>
      <c r="F571" s="13" t="n"/>
      <c r="G571" s="16" t="n"/>
      <c r="H571" s="125" t="n"/>
      <c r="I571" s="14" t="n"/>
      <c r="J571" s="16" t="n"/>
      <c r="K571" s="125" t="n"/>
      <c r="L571" s="14" t="n"/>
      <c r="M571" s="16" t="n"/>
      <c r="N571" s="125" t="n"/>
      <c r="O571" s="14" t="n"/>
      <c r="P571" s="16" t="n"/>
      <c r="Q571" s="125" t="n"/>
      <c r="R571" s="14" t="n"/>
      <c r="S571" s="16" t="n"/>
      <c r="T571" s="125" t="n"/>
      <c r="U571" s="14" t="n"/>
      <c r="V571" s="16" t="n"/>
      <c r="W571" s="125" t="n"/>
      <c r="X571" s="14" t="n"/>
      <c r="Y571" s="16" t="n"/>
      <c r="Z571" s="125" t="n"/>
      <c r="AA571" s="14" t="n"/>
      <c r="AB571" s="16" t="n"/>
      <c r="AC571" s="125" t="n"/>
      <c r="AD571" s="14" t="n"/>
    </row>
    <row r="572">
      <c r="A572" s="56" t="n"/>
      <c r="B572" s="59" t="n"/>
      <c r="C572" s="59" t="n"/>
      <c r="E572" s="16" t="n"/>
      <c r="F572" s="13" t="n"/>
      <c r="G572" s="16" t="n"/>
      <c r="H572" s="125" t="n"/>
      <c r="I572" s="14" t="n"/>
      <c r="J572" s="16" t="n"/>
      <c r="K572" s="125" t="n"/>
      <c r="L572" s="14" t="n"/>
      <c r="M572" s="16" t="n"/>
      <c r="N572" s="125" t="n"/>
      <c r="O572" s="14" t="n"/>
      <c r="P572" s="16" t="n"/>
      <c r="Q572" s="125" t="n"/>
      <c r="R572" s="14" t="n"/>
      <c r="S572" s="16" t="n"/>
      <c r="T572" s="125" t="n"/>
      <c r="U572" s="14" t="n"/>
      <c r="V572" s="16" t="n"/>
      <c r="W572" s="125" t="n"/>
      <c r="X572" s="14" t="n"/>
      <c r="Y572" s="16" t="n"/>
      <c r="Z572" s="125" t="n"/>
      <c r="AA572" s="14" t="n"/>
      <c r="AB572" s="16" t="n"/>
      <c r="AC572" s="125" t="n"/>
      <c r="AD572" s="14" t="n"/>
    </row>
    <row r="573">
      <c r="A573" s="58" t="n"/>
      <c r="B573" s="59" t="n"/>
      <c r="C573" s="59" t="n"/>
      <c r="E573" s="16" t="n"/>
      <c r="F573" s="13" t="n"/>
      <c r="G573" s="16" t="n"/>
      <c r="H573" s="125" t="n"/>
      <c r="I573" s="14" t="n"/>
      <c r="J573" s="16" t="n"/>
      <c r="K573" s="125" t="n"/>
      <c r="L573" s="14" t="n"/>
      <c r="M573" s="16" t="n"/>
      <c r="N573" s="125" t="n"/>
      <c r="O573" s="14" t="n"/>
      <c r="P573" s="16" t="n"/>
      <c r="Q573" s="125" t="n"/>
      <c r="R573" s="14" t="n"/>
      <c r="S573" s="16" t="n"/>
      <c r="T573" s="125" t="n"/>
      <c r="U573" s="14" t="n"/>
      <c r="V573" s="16" t="n"/>
      <c r="W573" s="125" t="n"/>
      <c r="X573" s="14" t="n"/>
      <c r="Y573" s="16" t="n"/>
      <c r="Z573" s="125" t="n"/>
      <c r="AA573" s="14" t="n"/>
      <c r="AB573" s="16" t="n"/>
      <c r="AC573" s="125" t="n"/>
      <c r="AD573" s="14" t="n"/>
    </row>
    <row r="574">
      <c r="A574" s="56" t="n"/>
      <c r="B574" s="59" t="n"/>
      <c r="C574" s="59" t="n"/>
      <c r="E574" s="16" t="n"/>
      <c r="F574" s="13" t="n"/>
      <c r="G574" s="16" t="n"/>
      <c r="H574" s="125" t="n"/>
      <c r="I574" s="14" t="n"/>
      <c r="J574" s="16" t="n"/>
      <c r="K574" s="125" t="n"/>
      <c r="L574" s="14" t="n"/>
      <c r="M574" s="16" t="n"/>
      <c r="N574" s="125" t="n"/>
      <c r="O574" s="14" t="n"/>
      <c r="P574" s="16" t="n"/>
      <c r="Q574" s="125" t="n"/>
      <c r="R574" s="14" t="n"/>
      <c r="S574" s="16" t="n"/>
      <c r="T574" s="125" t="n"/>
      <c r="U574" s="14" t="n"/>
      <c r="V574" s="16" t="n"/>
      <c r="W574" s="125" t="n"/>
      <c r="X574" s="14" t="n"/>
      <c r="Y574" s="16" t="n"/>
      <c r="Z574" s="125" t="n"/>
      <c r="AA574" s="14" t="n"/>
      <c r="AB574" s="16" t="n"/>
      <c r="AC574" s="125" t="n"/>
      <c r="AD574" s="14" t="n"/>
    </row>
    <row r="575">
      <c r="A575" s="58" t="n"/>
      <c r="B575" s="59" t="n"/>
      <c r="C575" s="59" t="n"/>
      <c r="E575" s="16" t="n"/>
      <c r="F575" s="13" t="n"/>
      <c r="G575" s="16" t="n"/>
      <c r="H575" s="125" t="n"/>
      <c r="I575" s="14" t="n"/>
      <c r="J575" s="16" t="n"/>
      <c r="K575" s="125" t="n"/>
      <c r="L575" s="14" t="n"/>
      <c r="M575" s="16" t="n"/>
      <c r="N575" s="125" t="n"/>
      <c r="O575" s="14" t="n"/>
      <c r="P575" s="16" t="n"/>
      <c r="Q575" s="125" t="n"/>
      <c r="R575" s="14" t="n"/>
      <c r="S575" s="16" t="n"/>
      <c r="T575" s="125" t="n"/>
      <c r="U575" s="14" t="n"/>
      <c r="V575" s="16" t="n"/>
      <c r="W575" s="125" t="n"/>
      <c r="X575" s="14" t="n"/>
      <c r="Y575" s="16" t="n"/>
      <c r="Z575" s="125" t="n"/>
      <c r="AA575" s="14" t="n"/>
      <c r="AB575" s="16" t="n"/>
      <c r="AC575" s="125" t="n"/>
      <c r="AD575" s="14" t="n"/>
    </row>
    <row r="576">
      <c r="A576" s="56" t="n"/>
      <c r="B576" s="59" t="n"/>
      <c r="C576" s="59" t="n"/>
      <c r="E576" s="16" t="n"/>
      <c r="F576" s="13" t="n"/>
      <c r="G576" s="16" t="n"/>
      <c r="H576" s="125" t="n"/>
      <c r="I576" s="14" t="n"/>
      <c r="J576" s="16" t="n"/>
      <c r="K576" s="125" t="n"/>
      <c r="L576" s="14" t="n"/>
      <c r="M576" s="16" t="n"/>
      <c r="N576" s="125" t="n"/>
      <c r="O576" s="14" t="n"/>
      <c r="P576" s="16" t="n"/>
      <c r="Q576" s="125" t="n"/>
      <c r="R576" s="14" t="n"/>
      <c r="S576" s="16" t="n"/>
      <c r="T576" s="125" t="n"/>
      <c r="U576" s="14" t="n"/>
      <c r="V576" s="16" t="n"/>
      <c r="W576" s="125" t="n"/>
      <c r="X576" s="14" t="n"/>
      <c r="Y576" s="16" t="n"/>
      <c r="Z576" s="125" t="n"/>
      <c r="AA576" s="14" t="n"/>
      <c r="AB576" s="16" t="n"/>
      <c r="AC576" s="125" t="n"/>
      <c r="AD576" s="14" t="n"/>
    </row>
    <row r="577">
      <c r="A577" s="58" t="n"/>
      <c r="B577" s="59" t="n"/>
      <c r="C577" s="59" t="n"/>
      <c r="E577" s="16" t="n"/>
      <c r="F577" s="13" t="n"/>
      <c r="G577" s="16" t="n"/>
      <c r="H577" s="125" t="n"/>
      <c r="I577" s="14" t="n"/>
      <c r="J577" s="16" t="n"/>
      <c r="K577" s="125" t="n"/>
      <c r="L577" s="14" t="n"/>
      <c r="M577" s="16" t="n"/>
      <c r="N577" s="125" t="n"/>
      <c r="O577" s="14" t="n"/>
      <c r="P577" s="16" t="n"/>
      <c r="Q577" s="125" t="n"/>
      <c r="R577" s="14" t="n"/>
      <c r="S577" s="16" t="n"/>
      <c r="T577" s="125" t="n"/>
      <c r="U577" s="14" t="n"/>
      <c r="V577" s="16" t="n"/>
      <c r="W577" s="125" t="n"/>
      <c r="X577" s="14" t="n"/>
      <c r="Y577" s="16" t="n"/>
      <c r="Z577" s="125" t="n"/>
      <c r="AA577" s="14" t="n"/>
      <c r="AB577" s="16" t="n"/>
      <c r="AC577" s="125" t="n"/>
      <c r="AD577" s="14" t="n"/>
    </row>
    <row r="578">
      <c r="A578" s="56" t="n"/>
      <c r="B578" s="59" t="n"/>
      <c r="C578" s="59" t="n"/>
      <c r="E578" s="16" t="n"/>
      <c r="F578" s="13" t="n"/>
      <c r="G578" s="16" t="n"/>
      <c r="H578" s="125" t="n"/>
      <c r="I578" s="14" t="n"/>
      <c r="J578" s="16" t="n"/>
      <c r="K578" s="125" t="n"/>
      <c r="L578" s="14" t="n"/>
      <c r="M578" s="16" t="n"/>
      <c r="N578" s="125" t="n"/>
      <c r="O578" s="14" t="n"/>
      <c r="P578" s="16" t="n"/>
      <c r="Q578" s="125" t="n"/>
      <c r="R578" s="14" t="n"/>
      <c r="S578" s="16" t="n"/>
      <c r="T578" s="125" t="n"/>
      <c r="U578" s="14" t="n"/>
      <c r="V578" s="16" t="n"/>
      <c r="W578" s="125" t="n"/>
      <c r="X578" s="14" t="n"/>
      <c r="Y578" s="16" t="n"/>
      <c r="Z578" s="125" t="n"/>
      <c r="AA578" s="14" t="n"/>
      <c r="AB578" s="16" t="n"/>
      <c r="AC578" s="125" t="n"/>
      <c r="AD578" s="14" t="n"/>
    </row>
    <row r="579">
      <c r="A579" s="58" t="n"/>
      <c r="B579" s="59" t="n"/>
      <c r="C579" s="59" t="n"/>
      <c r="E579" s="16" t="n"/>
      <c r="F579" s="13" t="n"/>
      <c r="G579" s="16" t="n"/>
      <c r="H579" s="125" t="n"/>
      <c r="I579" s="14" t="n"/>
      <c r="J579" s="16" t="n"/>
      <c r="K579" s="125" t="n"/>
      <c r="L579" s="14" t="n"/>
      <c r="M579" s="16" t="n"/>
      <c r="N579" s="125" t="n"/>
      <c r="O579" s="14" t="n"/>
      <c r="P579" s="16" t="n"/>
      <c r="Q579" s="125" t="n"/>
      <c r="R579" s="14" t="n"/>
      <c r="S579" s="16" t="n"/>
      <c r="T579" s="125" t="n"/>
      <c r="U579" s="14" t="n"/>
      <c r="V579" s="16" t="n"/>
      <c r="W579" s="125" t="n"/>
      <c r="X579" s="14" t="n"/>
      <c r="Y579" s="16" t="n"/>
      <c r="Z579" s="125" t="n"/>
      <c r="AA579" s="14" t="n"/>
      <c r="AB579" s="16" t="n"/>
      <c r="AC579" s="125" t="n"/>
      <c r="AD579" s="14" t="n"/>
    </row>
    <row r="580">
      <c r="A580" s="56" t="n"/>
      <c r="B580" s="59" t="n"/>
      <c r="C580" s="59" t="n"/>
      <c r="E580" s="16" t="n"/>
      <c r="F580" s="13" t="n"/>
      <c r="G580" s="16" t="n"/>
      <c r="H580" s="125" t="n"/>
      <c r="I580" s="14" t="n"/>
      <c r="J580" s="16" t="n"/>
      <c r="K580" s="125" t="n"/>
      <c r="L580" s="14" t="n"/>
      <c r="M580" s="16" t="n"/>
      <c r="N580" s="125" t="n"/>
      <c r="O580" s="14" t="n"/>
      <c r="P580" s="16" t="n"/>
      <c r="Q580" s="125" t="n"/>
      <c r="R580" s="14" t="n"/>
      <c r="S580" s="16" t="n"/>
      <c r="T580" s="125" t="n"/>
      <c r="U580" s="14" t="n"/>
      <c r="V580" s="16" t="n"/>
      <c r="W580" s="125" t="n"/>
      <c r="X580" s="14" t="n"/>
      <c r="Y580" s="16" t="n"/>
      <c r="Z580" s="125" t="n"/>
      <c r="AA580" s="14" t="n"/>
      <c r="AB580" s="16" t="n"/>
      <c r="AC580" s="125" t="n"/>
      <c r="AD580" s="14" t="n"/>
    </row>
    <row r="581">
      <c r="A581" s="58" t="n"/>
      <c r="B581" s="59" t="n"/>
      <c r="C581" s="59" t="n"/>
      <c r="E581" s="16" t="n"/>
      <c r="F581" s="13" t="n"/>
      <c r="G581" s="16" t="n"/>
      <c r="H581" s="125" t="n"/>
      <c r="I581" s="14" t="n"/>
      <c r="J581" s="16" t="n"/>
      <c r="K581" s="125" t="n"/>
      <c r="L581" s="14" t="n"/>
      <c r="M581" s="16" t="n"/>
      <c r="N581" s="125" t="n"/>
      <c r="O581" s="14" t="n"/>
      <c r="P581" s="16" t="n"/>
      <c r="Q581" s="125" t="n"/>
      <c r="R581" s="14" t="n"/>
      <c r="S581" s="16" t="n"/>
      <c r="T581" s="125" t="n"/>
      <c r="U581" s="14" t="n"/>
      <c r="V581" s="16" t="n"/>
      <c r="W581" s="125" t="n"/>
      <c r="X581" s="14" t="n"/>
      <c r="Y581" s="16" t="n"/>
      <c r="Z581" s="125" t="n"/>
      <c r="AA581" s="14" t="n"/>
      <c r="AB581" s="16" t="n"/>
      <c r="AC581" s="125" t="n"/>
      <c r="AD581" s="14" t="n"/>
    </row>
    <row r="582">
      <c r="A582" s="56" t="n"/>
      <c r="B582" s="59" t="n"/>
      <c r="C582" s="59" t="n"/>
      <c r="E582" s="16" t="n"/>
      <c r="F582" s="13" t="n"/>
      <c r="G582" s="16" t="n"/>
      <c r="H582" s="125" t="n"/>
      <c r="I582" s="14" t="n"/>
      <c r="J582" s="16" t="n"/>
      <c r="K582" s="125" t="n"/>
      <c r="L582" s="14" t="n"/>
      <c r="M582" s="16" t="n"/>
      <c r="N582" s="125" t="n"/>
      <c r="O582" s="14" t="n"/>
      <c r="P582" s="16" t="n"/>
      <c r="Q582" s="125" t="n"/>
      <c r="R582" s="14" t="n"/>
      <c r="S582" s="16" t="n"/>
      <c r="T582" s="125" t="n"/>
      <c r="U582" s="14" t="n"/>
      <c r="V582" s="16" t="n"/>
      <c r="W582" s="125" t="n"/>
      <c r="X582" s="14" t="n"/>
      <c r="Y582" s="16" t="n"/>
      <c r="Z582" s="125" t="n"/>
      <c r="AA582" s="14" t="n"/>
      <c r="AB582" s="16" t="n"/>
      <c r="AC582" s="125" t="n"/>
      <c r="AD582" s="14" t="n"/>
    </row>
    <row r="583">
      <c r="A583" s="58" t="n"/>
      <c r="B583" s="59" t="n"/>
      <c r="C583" s="59" t="n"/>
      <c r="E583" s="16" t="n"/>
      <c r="F583" s="13" t="n"/>
      <c r="G583" s="16" t="n"/>
      <c r="H583" s="125" t="n"/>
      <c r="I583" s="14" t="n"/>
      <c r="J583" s="16" t="n"/>
      <c r="K583" s="125" t="n"/>
      <c r="L583" s="14" t="n"/>
      <c r="M583" s="16" t="n"/>
      <c r="N583" s="125" t="n"/>
      <c r="O583" s="14" t="n"/>
      <c r="P583" s="16" t="n"/>
      <c r="Q583" s="125" t="n"/>
      <c r="R583" s="14" t="n"/>
      <c r="S583" s="16" t="n"/>
      <c r="T583" s="125" t="n"/>
      <c r="U583" s="14" t="n"/>
      <c r="V583" s="16" t="n"/>
      <c r="W583" s="125" t="n"/>
      <c r="X583" s="14" t="n"/>
      <c r="Y583" s="16" t="n"/>
      <c r="Z583" s="125" t="n"/>
      <c r="AA583" s="14" t="n"/>
      <c r="AB583" s="16" t="n"/>
      <c r="AC583" s="125" t="n"/>
      <c r="AD583" s="14" t="n"/>
    </row>
    <row r="584">
      <c r="A584" s="56" t="n"/>
      <c r="B584" s="59" t="n"/>
      <c r="C584" s="59" t="n"/>
      <c r="E584" s="16" t="n"/>
      <c r="F584" s="13" t="n"/>
      <c r="G584" s="16" t="n"/>
      <c r="H584" s="125" t="n"/>
      <c r="I584" s="14" t="n"/>
      <c r="J584" s="16" t="n"/>
      <c r="K584" s="125" t="n"/>
      <c r="L584" s="14" t="n"/>
      <c r="M584" s="16" t="n"/>
      <c r="N584" s="125" t="n"/>
      <c r="O584" s="14" t="n"/>
      <c r="P584" s="16" t="n"/>
      <c r="Q584" s="125" t="n"/>
      <c r="R584" s="14" t="n"/>
      <c r="S584" s="16" t="n"/>
      <c r="T584" s="125" t="n"/>
      <c r="U584" s="14" t="n"/>
      <c r="V584" s="16" t="n"/>
      <c r="W584" s="125" t="n"/>
      <c r="X584" s="14" t="n"/>
      <c r="Y584" s="16" t="n"/>
      <c r="Z584" s="125" t="n"/>
      <c r="AA584" s="14" t="n"/>
      <c r="AB584" s="16" t="n"/>
      <c r="AC584" s="125" t="n"/>
      <c r="AD584" s="14" t="n"/>
    </row>
    <row r="585">
      <c r="A585" s="58" t="n"/>
      <c r="B585" s="59" t="n"/>
      <c r="C585" s="59" t="n"/>
      <c r="E585" s="16" t="n"/>
      <c r="F585" s="13" t="n"/>
      <c r="G585" s="16" t="n"/>
      <c r="H585" s="125" t="n"/>
      <c r="I585" s="14" t="n"/>
      <c r="J585" s="16" t="n"/>
      <c r="K585" s="125" t="n"/>
      <c r="L585" s="14" t="n"/>
      <c r="M585" s="16" t="n"/>
      <c r="N585" s="125" t="n"/>
      <c r="O585" s="14" t="n"/>
      <c r="P585" s="16" t="n"/>
      <c r="Q585" s="125" t="n"/>
      <c r="R585" s="14" t="n"/>
      <c r="S585" s="16" t="n"/>
      <c r="T585" s="125" t="n"/>
      <c r="U585" s="14" t="n"/>
      <c r="V585" s="16" t="n"/>
      <c r="W585" s="125" t="n"/>
      <c r="X585" s="14" t="n"/>
      <c r="Y585" s="16" t="n"/>
      <c r="Z585" s="125" t="n"/>
      <c r="AA585" s="14" t="n"/>
      <c r="AB585" s="16" t="n"/>
      <c r="AC585" s="125" t="n"/>
      <c r="AD585" s="14" t="n"/>
    </row>
    <row r="586">
      <c r="A586" s="56" t="n"/>
      <c r="B586" s="59" t="n"/>
      <c r="C586" s="59" t="n"/>
      <c r="E586" s="16" t="n"/>
      <c r="F586" s="13" t="n"/>
      <c r="G586" s="16" t="n"/>
      <c r="H586" s="125" t="n"/>
      <c r="I586" s="14" t="n"/>
      <c r="J586" s="16" t="n"/>
      <c r="K586" s="125" t="n"/>
      <c r="L586" s="14" t="n"/>
      <c r="M586" s="16" t="n"/>
      <c r="N586" s="125" t="n"/>
      <c r="O586" s="14" t="n"/>
      <c r="P586" s="16" t="n"/>
      <c r="Q586" s="125" t="n"/>
      <c r="R586" s="14" t="n"/>
      <c r="S586" s="16" t="n"/>
      <c r="T586" s="125" t="n"/>
      <c r="U586" s="14" t="n"/>
      <c r="V586" s="16" t="n"/>
      <c r="W586" s="125" t="n"/>
      <c r="X586" s="14" t="n"/>
      <c r="Y586" s="16" t="n"/>
      <c r="Z586" s="125" t="n"/>
      <c r="AA586" s="14" t="n"/>
      <c r="AB586" s="16" t="n"/>
      <c r="AC586" s="125" t="n"/>
      <c r="AD586" s="14" t="n"/>
    </row>
    <row r="587">
      <c r="A587" s="58" t="n"/>
      <c r="B587" s="59" t="n"/>
      <c r="C587" s="59" t="n"/>
      <c r="E587" s="16" t="n"/>
      <c r="F587" s="13" t="n"/>
      <c r="G587" s="16" t="n"/>
      <c r="H587" s="125" t="n"/>
      <c r="I587" s="14" t="n"/>
      <c r="J587" s="16" t="n"/>
      <c r="K587" s="125" t="n"/>
      <c r="L587" s="14" t="n"/>
      <c r="M587" s="16" t="n"/>
      <c r="N587" s="125" t="n"/>
      <c r="O587" s="14" t="n"/>
      <c r="P587" s="16" t="n"/>
      <c r="Q587" s="125" t="n"/>
      <c r="R587" s="14" t="n"/>
      <c r="S587" s="16" t="n"/>
      <c r="T587" s="125" t="n"/>
      <c r="U587" s="14" t="n"/>
      <c r="V587" s="16" t="n"/>
      <c r="W587" s="125" t="n"/>
      <c r="X587" s="14" t="n"/>
      <c r="Y587" s="16" t="n"/>
      <c r="Z587" s="125" t="n"/>
      <c r="AA587" s="14" t="n"/>
      <c r="AB587" s="16" t="n"/>
      <c r="AC587" s="125" t="n"/>
      <c r="AD587" s="14" t="n"/>
    </row>
    <row r="588">
      <c r="A588" s="56" t="n"/>
      <c r="B588" s="59" t="n"/>
      <c r="C588" s="59" t="n"/>
      <c r="E588" s="16" t="n"/>
      <c r="F588" s="13" t="n"/>
      <c r="G588" s="16" t="n"/>
      <c r="H588" s="125" t="n"/>
      <c r="I588" s="14" t="n"/>
      <c r="J588" s="16" t="n"/>
      <c r="K588" s="125" t="n"/>
      <c r="L588" s="14" t="n"/>
      <c r="M588" s="16" t="n"/>
      <c r="N588" s="125" t="n"/>
      <c r="O588" s="14" t="n"/>
      <c r="P588" s="16" t="n"/>
      <c r="Q588" s="125" t="n"/>
      <c r="R588" s="14" t="n"/>
      <c r="S588" s="16" t="n"/>
      <c r="T588" s="125" t="n"/>
      <c r="U588" s="14" t="n"/>
      <c r="V588" s="16" t="n"/>
      <c r="W588" s="125" t="n"/>
      <c r="X588" s="14" t="n"/>
      <c r="Y588" s="16" t="n"/>
      <c r="Z588" s="125" t="n"/>
      <c r="AA588" s="14" t="n"/>
      <c r="AB588" s="16" t="n"/>
      <c r="AC588" s="125" t="n"/>
      <c r="AD588" s="14" t="n"/>
    </row>
    <row r="589">
      <c r="A589" s="58" t="n"/>
      <c r="B589" s="59" t="n"/>
      <c r="C589" s="59" t="n"/>
      <c r="E589" s="16" t="n"/>
      <c r="F589" s="13" t="n"/>
      <c r="G589" s="16" t="n"/>
      <c r="H589" s="125" t="n"/>
      <c r="I589" s="14" t="n"/>
      <c r="J589" s="16" t="n"/>
      <c r="K589" s="125" t="n"/>
      <c r="L589" s="14" t="n"/>
      <c r="M589" s="16" t="n"/>
      <c r="N589" s="125" t="n"/>
      <c r="O589" s="14" t="n"/>
      <c r="P589" s="16" t="n"/>
      <c r="Q589" s="125" t="n"/>
      <c r="R589" s="14" t="n"/>
      <c r="S589" s="16" t="n"/>
      <c r="T589" s="125" t="n"/>
      <c r="U589" s="14" t="n"/>
      <c r="V589" s="16" t="n"/>
      <c r="W589" s="125" t="n"/>
      <c r="X589" s="14" t="n"/>
      <c r="Y589" s="16" t="n"/>
      <c r="Z589" s="125" t="n"/>
      <c r="AA589" s="14" t="n"/>
      <c r="AB589" s="16" t="n"/>
      <c r="AC589" s="125" t="n"/>
      <c r="AD589" s="14" t="n"/>
    </row>
    <row r="590">
      <c r="A590" s="56" t="n"/>
      <c r="B590" s="59" t="n"/>
      <c r="C590" s="59" t="n"/>
      <c r="E590" s="16" t="n"/>
      <c r="F590" s="13" t="n"/>
      <c r="G590" s="16" t="n"/>
      <c r="H590" s="125" t="n"/>
      <c r="I590" s="14" t="n"/>
      <c r="J590" s="16" t="n"/>
      <c r="K590" s="125" t="n"/>
      <c r="L590" s="14" t="n"/>
      <c r="M590" s="16" t="n"/>
      <c r="N590" s="125" t="n"/>
      <c r="O590" s="14" t="n"/>
      <c r="P590" s="16" t="n"/>
      <c r="Q590" s="125" t="n"/>
      <c r="R590" s="14" t="n"/>
      <c r="S590" s="16" t="n"/>
      <c r="T590" s="125" t="n"/>
      <c r="U590" s="14" t="n"/>
      <c r="V590" s="16" t="n"/>
      <c r="W590" s="125" t="n"/>
      <c r="X590" s="14" t="n"/>
      <c r="Y590" s="16" t="n"/>
      <c r="Z590" s="125" t="n"/>
      <c r="AA590" s="14" t="n"/>
      <c r="AB590" s="16" t="n"/>
      <c r="AC590" s="125" t="n"/>
      <c r="AD590" s="14" t="n"/>
    </row>
    <row r="591">
      <c r="A591" s="58" t="n"/>
      <c r="B591" s="59" t="n"/>
      <c r="C591" s="59" t="n"/>
      <c r="E591" s="16" t="n"/>
      <c r="F591" s="13" t="n"/>
      <c r="G591" s="16" t="n"/>
      <c r="H591" s="125" t="n"/>
      <c r="I591" s="14" t="n"/>
      <c r="J591" s="16" t="n"/>
      <c r="K591" s="125" t="n"/>
      <c r="L591" s="14" t="n"/>
      <c r="M591" s="16" t="n"/>
      <c r="N591" s="125" t="n"/>
      <c r="O591" s="14" t="n"/>
      <c r="P591" s="16" t="n"/>
      <c r="Q591" s="125" t="n"/>
      <c r="R591" s="14" t="n"/>
      <c r="S591" s="16" t="n"/>
      <c r="T591" s="125" t="n"/>
      <c r="U591" s="14" t="n"/>
      <c r="V591" s="16" t="n"/>
      <c r="W591" s="125" t="n"/>
      <c r="X591" s="14" t="n"/>
      <c r="Y591" s="16" t="n"/>
      <c r="Z591" s="125" t="n"/>
      <c r="AA591" s="14" t="n"/>
      <c r="AB591" s="16" t="n"/>
      <c r="AC591" s="125" t="n"/>
      <c r="AD591" s="14" t="n"/>
    </row>
    <row r="592">
      <c r="A592" s="56" t="n"/>
      <c r="B592" s="59" t="n"/>
      <c r="C592" s="59" t="n"/>
      <c r="E592" s="16" t="n"/>
      <c r="F592" s="13" t="n"/>
      <c r="G592" s="16" t="n"/>
      <c r="H592" s="125" t="n"/>
      <c r="I592" s="14" t="n"/>
      <c r="J592" s="16" t="n"/>
      <c r="K592" s="125" t="n"/>
      <c r="L592" s="14" t="n"/>
      <c r="M592" s="16" t="n"/>
      <c r="N592" s="125" t="n"/>
      <c r="O592" s="14" t="n"/>
      <c r="P592" s="16" t="n"/>
      <c r="Q592" s="125" t="n"/>
      <c r="R592" s="14" t="n"/>
      <c r="S592" s="16" t="n"/>
      <c r="T592" s="125" t="n"/>
      <c r="U592" s="14" t="n"/>
      <c r="V592" s="16" t="n"/>
      <c r="W592" s="125" t="n"/>
      <c r="X592" s="14" t="n"/>
      <c r="Y592" s="16" t="n"/>
      <c r="Z592" s="125" t="n"/>
      <c r="AA592" s="14" t="n"/>
      <c r="AB592" s="16" t="n"/>
      <c r="AC592" s="125" t="n"/>
      <c r="AD592" s="14" t="n"/>
    </row>
    <row r="593">
      <c r="A593" s="58" t="n"/>
      <c r="B593" s="59" t="n"/>
      <c r="C593" s="59" t="n"/>
      <c r="E593" s="16" t="n"/>
      <c r="F593" s="13" t="n"/>
      <c r="G593" s="16" t="n"/>
      <c r="H593" s="125" t="n"/>
      <c r="I593" s="14" t="n"/>
      <c r="J593" s="16" t="n"/>
      <c r="K593" s="125" t="n"/>
      <c r="L593" s="14" t="n"/>
      <c r="M593" s="16" t="n"/>
      <c r="N593" s="125" t="n"/>
      <c r="O593" s="14" t="n"/>
      <c r="P593" s="16" t="n"/>
      <c r="Q593" s="125" t="n"/>
      <c r="R593" s="14" t="n"/>
      <c r="S593" s="16" t="n"/>
      <c r="T593" s="125" t="n"/>
      <c r="U593" s="14" t="n"/>
      <c r="V593" s="16" t="n"/>
      <c r="W593" s="125" t="n"/>
      <c r="X593" s="14" t="n"/>
      <c r="Y593" s="16" t="n"/>
      <c r="Z593" s="125" t="n"/>
      <c r="AA593" s="14" t="n"/>
      <c r="AB593" s="16" t="n"/>
      <c r="AC593" s="125" t="n"/>
      <c r="AD593" s="14" t="n"/>
    </row>
    <row r="594">
      <c r="A594" s="56" t="n"/>
      <c r="B594" s="59" t="n"/>
      <c r="C594" s="59" t="n"/>
      <c r="E594" s="16" t="n"/>
      <c r="F594" s="13" t="n"/>
      <c r="G594" s="16" t="n"/>
      <c r="H594" s="125" t="n"/>
      <c r="I594" s="14" t="n"/>
      <c r="J594" s="16" t="n"/>
      <c r="K594" s="125" t="n"/>
      <c r="L594" s="14" t="n"/>
      <c r="M594" s="16" t="n"/>
      <c r="N594" s="125" t="n"/>
      <c r="O594" s="14" t="n"/>
      <c r="P594" s="16" t="n"/>
      <c r="Q594" s="125" t="n"/>
      <c r="R594" s="14" t="n"/>
      <c r="S594" s="16" t="n"/>
      <c r="T594" s="125" t="n"/>
      <c r="U594" s="14" t="n"/>
      <c r="V594" s="16" t="n"/>
      <c r="W594" s="125" t="n"/>
      <c r="X594" s="14" t="n"/>
      <c r="Y594" s="16" t="n"/>
      <c r="Z594" s="125" t="n"/>
      <c r="AA594" s="14" t="n"/>
      <c r="AB594" s="16" t="n"/>
      <c r="AC594" s="125" t="n"/>
      <c r="AD594" s="14" t="n"/>
    </row>
    <row r="595">
      <c r="A595" s="58" t="n"/>
      <c r="B595" s="59" t="n"/>
      <c r="C595" s="59" t="n"/>
      <c r="E595" s="16" t="n"/>
      <c r="F595" s="13" t="n"/>
      <c r="G595" s="16" t="n"/>
      <c r="H595" s="125" t="n"/>
      <c r="I595" s="14" t="n"/>
      <c r="J595" s="16" t="n"/>
      <c r="K595" s="125" t="n"/>
      <c r="L595" s="14" t="n"/>
      <c r="M595" s="16" t="n"/>
      <c r="N595" s="125" t="n"/>
      <c r="O595" s="14" t="n"/>
      <c r="P595" s="16" t="n"/>
      <c r="Q595" s="125" t="n"/>
      <c r="R595" s="14" t="n"/>
      <c r="S595" s="16" t="n"/>
      <c r="T595" s="125" t="n"/>
      <c r="U595" s="14" t="n"/>
      <c r="V595" s="16" t="n"/>
      <c r="W595" s="125" t="n"/>
      <c r="X595" s="14" t="n"/>
      <c r="Y595" s="16" t="n"/>
      <c r="Z595" s="125" t="n"/>
      <c r="AA595" s="14" t="n"/>
      <c r="AB595" s="16" t="n"/>
      <c r="AC595" s="125" t="n"/>
      <c r="AD595" s="14" t="n"/>
    </row>
    <row r="596">
      <c r="A596" s="56" t="n"/>
      <c r="B596" s="59" t="n"/>
      <c r="C596" s="59" t="n"/>
      <c r="E596" s="16" t="n"/>
      <c r="F596" s="13" t="n"/>
      <c r="G596" s="16" t="n"/>
      <c r="H596" s="125" t="n"/>
      <c r="I596" s="14" t="n"/>
      <c r="J596" s="16" t="n"/>
      <c r="K596" s="125" t="n"/>
      <c r="L596" s="14" t="n"/>
      <c r="M596" s="16" t="n"/>
      <c r="N596" s="125" t="n"/>
      <c r="O596" s="14" t="n"/>
      <c r="P596" s="16" t="n"/>
      <c r="Q596" s="125" t="n"/>
      <c r="R596" s="14" t="n"/>
      <c r="S596" s="16" t="n"/>
      <c r="T596" s="125" t="n"/>
      <c r="U596" s="14" t="n"/>
      <c r="V596" s="16" t="n"/>
      <c r="W596" s="125" t="n"/>
      <c r="X596" s="14" t="n"/>
      <c r="Y596" s="16" t="n"/>
      <c r="Z596" s="125" t="n"/>
      <c r="AA596" s="14" t="n"/>
      <c r="AB596" s="16" t="n"/>
      <c r="AC596" s="125" t="n"/>
      <c r="AD596" s="14" t="n"/>
    </row>
    <row r="597">
      <c r="A597" s="58" t="n"/>
      <c r="B597" s="59" t="n"/>
      <c r="C597" s="59" t="n"/>
      <c r="E597" s="16" t="n"/>
      <c r="F597" s="13" t="n"/>
      <c r="G597" s="16" t="n"/>
      <c r="H597" s="125" t="n"/>
      <c r="I597" s="14" t="n"/>
      <c r="J597" s="16" t="n"/>
      <c r="K597" s="125" t="n"/>
      <c r="L597" s="14" t="n"/>
      <c r="M597" s="16" t="n"/>
      <c r="N597" s="125" t="n"/>
      <c r="O597" s="14" t="n"/>
      <c r="P597" s="16" t="n"/>
      <c r="Q597" s="125" t="n"/>
      <c r="R597" s="14" t="n"/>
      <c r="S597" s="16" t="n"/>
      <c r="T597" s="125" t="n"/>
      <c r="U597" s="14" t="n"/>
      <c r="V597" s="16" t="n"/>
      <c r="W597" s="125" t="n"/>
      <c r="X597" s="14" t="n"/>
      <c r="Y597" s="16" t="n"/>
      <c r="Z597" s="125" t="n"/>
      <c r="AA597" s="14" t="n"/>
      <c r="AB597" s="16" t="n"/>
      <c r="AC597" s="125" t="n"/>
      <c r="AD597" s="14" t="n"/>
    </row>
    <row r="598">
      <c r="A598" s="56" t="n"/>
      <c r="B598" s="59" t="n"/>
      <c r="C598" s="59" t="n"/>
      <c r="E598" s="16" t="n"/>
      <c r="F598" s="13" t="n"/>
      <c r="G598" s="16" t="n"/>
      <c r="H598" s="125" t="n"/>
      <c r="I598" s="14" t="n"/>
      <c r="J598" s="16" t="n"/>
      <c r="K598" s="125" t="n"/>
      <c r="L598" s="14" t="n"/>
      <c r="M598" s="16" t="n"/>
      <c r="N598" s="125" t="n"/>
      <c r="O598" s="14" t="n"/>
      <c r="P598" s="16" t="n"/>
      <c r="Q598" s="125" t="n"/>
      <c r="R598" s="14" t="n"/>
      <c r="S598" s="16" t="n"/>
      <c r="T598" s="125" t="n"/>
      <c r="U598" s="14" t="n"/>
      <c r="V598" s="16" t="n"/>
      <c r="W598" s="125" t="n"/>
      <c r="X598" s="14" t="n"/>
      <c r="Y598" s="16" t="n"/>
      <c r="Z598" s="125" t="n"/>
      <c r="AA598" s="14" t="n"/>
      <c r="AB598" s="16" t="n"/>
      <c r="AC598" s="125" t="n"/>
      <c r="AD598" s="14" t="n"/>
    </row>
    <row r="599">
      <c r="A599" s="58" t="n"/>
      <c r="B599" s="59" t="n"/>
      <c r="C599" s="59" t="n"/>
      <c r="E599" s="16" t="n"/>
      <c r="F599" s="13" t="n"/>
      <c r="G599" s="16" t="n"/>
      <c r="H599" s="125" t="n"/>
      <c r="I599" s="14" t="n"/>
      <c r="J599" s="16" t="n"/>
      <c r="K599" s="125" t="n"/>
      <c r="L599" s="14" t="n"/>
      <c r="M599" s="16" t="n"/>
      <c r="N599" s="125" t="n"/>
      <c r="O599" s="14" t="n"/>
      <c r="P599" s="16" t="n"/>
      <c r="Q599" s="125" t="n"/>
      <c r="R599" s="14" t="n"/>
      <c r="S599" s="16" t="n"/>
      <c r="T599" s="125" t="n"/>
      <c r="U599" s="14" t="n"/>
      <c r="V599" s="16" t="n"/>
      <c r="W599" s="125" t="n"/>
      <c r="X599" s="14" t="n"/>
      <c r="Y599" s="16" t="n"/>
      <c r="Z599" s="125" t="n"/>
      <c r="AA599" s="14" t="n"/>
      <c r="AB599" s="16" t="n"/>
      <c r="AC599" s="125" t="n"/>
      <c r="AD599" s="14" t="n"/>
    </row>
    <row r="600">
      <c r="A600" s="56" t="n"/>
      <c r="B600" s="59" t="n"/>
      <c r="C600" s="59" t="n"/>
      <c r="E600" s="16" t="n"/>
      <c r="F600" s="13" t="n"/>
      <c r="G600" s="16" t="n"/>
      <c r="H600" s="125" t="n"/>
      <c r="I600" s="14" t="n"/>
      <c r="J600" s="16" t="n"/>
      <c r="K600" s="125" t="n"/>
      <c r="L600" s="14" t="n"/>
      <c r="M600" s="16" t="n"/>
      <c r="N600" s="125" t="n"/>
      <c r="O600" s="14" t="n"/>
      <c r="P600" s="16" t="n"/>
      <c r="Q600" s="125" t="n"/>
      <c r="R600" s="14" t="n"/>
      <c r="S600" s="16" t="n"/>
      <c r="T600" s="125" t="n"/>
      <c r="U600" s="14" t="n"/>
      <c r="V600" s="16" t="n"/>
      <c r="W600" s="125" t="n"/>
      <c r="X600" s="14" t="n"/>
      <c r="Y600" s="16" t="n"/>
      <c r="Z600" s="125" t="n"/>
      <c r="AA600" s="14" t="n"/>
      <c r="AB600" s="16" t="n"/>
      <c r="AC600" s="125" t="n"/>
      <c r="AD600" s="14" t="n"/>
    </row>
    <row r="601">
      <c r="A601" s="58" t="n"/>
      <c r="B601" s="59" t="n"/>
      <c r="C601" s="59" t="n"/>
      <c r="E601" s="16" t="n"/>
      <c r="F601" s="13" t="n"/>
      <c r="G601" s="16" t="n"/>
      <c r="H601" s="125" t="n"/>
      <c r="I601" s="14" t="n"/>
      <c r="J601" s="16" t="n"/>
      <c r="K601" s="125" t="n"/>
      <c r="L601" s="14" t="n"/>
      <c r="M601" s="16" t="n"/>
      <c r="N601" s="125" t="n"/>
      <c r="O601" s="14" t="n"/>
      <c r="P601" s="16" t="n"/>
      <c r="Q601" s="125" t="n"/>
      <c r="R601" s="14" t="n"/>
      <c r="S601" s="16" t="n"/>
      <c r="T601" s="125" t="n"/>
      <c r="U601" s="14" t="n"/>
      <c r="V601" s="16" t="n"/>
      <c r="W601" s="125" t="n"/>
      <c r="X601" s="14" t="n"/>
      <c r="Y601" s="16" t="n"/>
      <c r="Z601" s="125" t="n"/>
      <c r="AA601" s="14" t="n"/>
      <c r="AB601" s="16" t="n"/>
      <c r="AC601" s="125" t="n"/>
      <c r="AD601" s="14" t="n"/>
    </row>
    <row r="602">
      <c r="A602" s="56" t="n"/>
      <c r="B602" s="59" t="n"/>
      <c r="C602" s="59" t="n"/>
      <c r="E602" s="16" t="n"/>
      <c r="F602" s="13" t="n"/>
      <c r="G602" s="16" t="n"/>
      <c r="H602" s="125" t="n"/>
      <c r="I602" s="14" t="n"/>
      <c r="J602" s="16" t="n"/>
      <c r="K602" s="125" t="n"/>
      <c r="L602" s="14" t="n"/>
      <c r="M602" s="16" t="n"/>
      <c r="N602" s="125" t="n"/>
      <c r="O602" s="14" t="n"/>
      <c r="P602" s="16" t="n"/>
      <c r="Q602" s="125" t="n"/>
      <c r="R602" s="14" t="n"/>
      <c r="S602" s="16" t="n"/>
      <c r="T602" s="125" t="n"/>
      <c r="U602" s="14" t="n"/>
      <c r="V602" s="16" t="n"/>
      <c r="W602" s="125" t="n"/>
      <c r="X602" s="14" t="n"/>
      <c r="Y602" s="16" t="n"/>
      <c r="Z602" s="125" t="n"/>
      <c r="AA602" s="14" t="n"/>
      <c r="AB602" s="16" t="n"/>
      <c r="AC602" s="125" t="n"/>
      <c r="AD602" s="14" t="n"/>
    </row>
    <row r="603">
      <c r="A603" s="58" t="n"/>
      <c r="B603" s="59" t="n"/>
      <c r="C603" s="59" t="n"/>
      <c r="E603" s="16" t="n"/>
      <c r="F603" s="13" t="n"/>
      <c r="G603" s="16" t="n"/>
      <c r="H603" s="125" t="n"/>
      <c r="I603" s="14" t="n"/>
      <c r="J603" s="16" t="n"/>
      <c r="K603" s="125" t="n"/>
      <c r="L603" s="14" t="n"/>
      <c r="M603" s="16" t="n"/>
      <c r="N603" s="125" t="n"/>
      <c r="O603" s="14" t="n"/>
      <c r="P603" s="16" t="n"/>
      <c r="Q603" s="125" t="n"/>
      <c r="R603" s="14" t="n"/>
      <c r="S603" s="16" t="n"/>
      <c r="T603" s="125" t="n"/>
      <c r="U603" s="14" t="n"/>
      <c r="V603" s="16" t="n"/>
      <c r="W603" s="125" t="n"/>
      <c r="X603" s="14" t="n"/>
      <c r="Y603" s="16" t="n"/>
      <c r="Z603" s="125" t="n"/>
      <c r="AA603" s="14" t="n"/>
      <c r="AB603" s="16" t="n"/>
      <c r="AC603" s="125" t="n"/>
      <c r="AD603" s="14" t="n"/>
    </row>
    <row r="604">
      <c r="A604" s="56" t="n"/>
      <c r="B604" s="59" t="n"/>
      <c r="C604" s="59" t="n"/>
      <c r="E604" s="16" t="n"/>
      <c r="F604" s="13" t="n"/>
      <c r="G604" s="16" t="n"/>
      <c r="H604" s="125" t="n"/>
      <c r="I604" s="14" t="n"/>
      <c r="J604" s="16" t="n"/>
      <c r="K604" s="125" t="n"/>
      <c r="L604" s="14" t="n"/>
      <c r="M604" s="16" t="n"/>
      <c r="N604" s="125" t="n"/>
      <c r="O604" s="14" t="n"/>
      <c r="P604" s="16" t="n"/>
      <c r="Q604" s="125" t="n"/>
      <c r="R604" s="14" t="n"/>
      <c r="S604" s="16" t="n"/>
      <c r="T604" s="125" t="n"/>
      <c r="U604" s="14" t="n"/>
      <c r="V604" s="16" t="n"/>
      <c r="W604" s="125" t="n"/>
      <c r="X604" s="14" t="n"/>
      <c r="Y604" s="16" t="n"/>
      <c r="Z604" s="125" t="n"/>
      <c r="AA604" s="14" t="n"/>
      <c r="AB604" s="16" t="n"/>
      <c r="AC604" s="125" t="n"/>
      <c r="AD604" s="14" t="n"/>
    </row>
    <row r="605">
      <c r="A605" s="58" t="n"/>
      <c r="B605" s="59" t="n"/>
      <c r="C605" s="59" t="n"/>
      <c r="E605" s="16" t="n"/>
      <c r="F605" s="13" t="n"/>
      <c r="G605" s="16" t="n"/>
      <c r="H605" s="125" t="n"/>
      <c r="I605" s="14" t="n"/>
      <c r="J605" s="16" t="n"/>
      <c r="K605" s="125" t="n"/>
      <c r="L605" s="14" t="n"/>
      <c r="M605" s="16" t="n"/>
      <c r="N605" s="125" t="n"/>
      <c r="O605" s="14" t="n"/>
      <c r="P605" s="16" t="n"/>
      <c r="Q605" s="125" t="n"/>
      <c r="R605" s="14" t="n"/>
      <c r="S605" s="16" t="n"/>
      <c r="T605" s="125" t="n"/>
      <c r="U605" s="14" t="n"/>
      <c r="V605" s="16" t="n"/>
      <c r="W605" s="125" t="n"/>
      <c r="X605" s="14" t="n"/>
      <c r="Y605" s="16" t="n"/>
      <c r="Z605" s="125" t="n"/>
      <c r="AA605" s="14" t="n"/>
      <c r="AB605" s="16" t="n"/>
      <c r="AC605" s="125" t="n"/>
      <c r="AD605" s="14" t="n"/>
    </row>
    <row r="606">
      <c r="A606" s="56" t="n"/>
      <c r="B606" s="59" t="n"/>
      <c r="C606" s="59" t="n"/>
      <c r="E606" s="16" t="n"/>
      <c r="F606" s="13" t="n"/>
      <c r="G606" s="16" t="n"/>
      <c r="H606" s="125" t="n"/>
      <c r="I606" s="14" t="n"/>
      <c r="J606" s="16" t="n"/>
      <c r="K606" s="125" t="n"/>
      <c r="L606" s="14" t="n"/>
      <c r="M606" s="16" t="n"/>
      <c r="N606" s="125" t="n"/>
      <c r="O606" s="14" t="n"/>
      <c r="P606" s="16" t="n"/>
      <c r="Q606" s="125" t="n"/>
      <c r="R606" s="14" t="n"/>
      <c r="S606" s="16" t="n"/>
      <c r="T606" s="125" t="n"/>
      <c r="U606" s="14" t="n"/>
      <c r="V606" s="16" t="n"/>
      <c r="W606" s="125" t="n"/>
      <c r="X606" s="14" t="n"/>
      <c r="Y606" s="16" t="n"/>
      <c r="Z606" s="125" t="n"/>
      <c r="AA606" s="14" t="n"/>
      <c r="AB606" s="16" t="n"/>
      <c r="AC606" s="125" t="n"/>
      <c r="AD606" s="14" t="n"/>
    </row>
    <row r="607">
      <c r="A607" s="58" t="n"/>
      <c r="B607" s="59" t="n"/>
      <c r="C607" s="59" t="n"/>
      <c r="E607" s="16" t="n"/>
      <c r="F607" s="13" t="n"/>
      <c r="G607" s="16" t="n"/>
      <c r="H607" s="125" t="n"/>
      <c r="I607" s="14" t="n"/>
      <c r="J607" s="16" t="n"/>
      <c r="K607" s="125" t="n"/>
      <c r="L607" s="14" t="n"/>
      <c r="M607" s="16" t="n"/>
      <c r="N607" s="125" t="n"/>
      <c r="O607" s="14" t="n"/>
      <c r="P607" s="16" t="n"/>
      <c r="Q607" s="125" t="n"/>
      <c r="R607" s="14" t="n"/>
      <c r="S607" s="16" t="n"/>
      <c r="T607" s="125" t="n"/>
      <c r="U607" s="14" t="n"/>
      <c r="V607" s="16" t="n"/>
      <c r="W607" s="125" t="n"/>
      <c r="X607" s="14" t="n"/>
      <c r="Y607" s="16" t="n"/>
      <c r="Z607" s="125" t="n"/>
      <c r="AA607" s="14" t="n"/>
      <c r="AB607" s="16" t="n"/>
      <c r="AC607" s="125" t="n"/>
      <c r="AD607" s="14" t="n"/>
    </row>
    <row r="608">
      <c r="A608" s="56" t="n"/>
      <c r="B608" s="59" t="n"/>
      <c r="C608" s="59" t="n"/>
      <c r="E608" s="16" t="n"/>
      <c r="F608" s="13" t="n"/>
      <c r="G608" s="16" t="n"/>
      <c r="H608" s="125" t="n"/>
      <c r="I608" s="14" t="n"/>
      <c r="J608" s="16" t="n"/>
      <c r="K608" s="125" t="n"/>
      <c r="L608" s="14" t="n"/>
      <c r="M608" s="16" t="n"/>
      <c r="N608" s="125" t="n"/>
      <c r="O608" s="14" t="n"/>
      <c r="P608" s="16" t="n"/>
      <c r="Q608" s="125" t="n"/>
      <c r="R608" s="14" t="n"/>
      <c r="S608" s="16" t="n"/>
      <c r="T608" s="125" t="n"/>
      <c r="U608" s="14" t="n"/>
      <c r="V608" s="16" t="n"/>
      <c r="W608" s="125" t="n"/>
      <c r="X608" s="14" t="n"/>
      <c r="Y608" s="16" t="n"/>
      <c r="Z608" s="125" t="n"/>
      <c r="AA608" s="14" t="n"/>
      <c r="AB608" s="16" t="n"/>
      <c r="AC608" s="125" t="n"/>
      <c r="AD608" s="14" t="n"/>
    </row>
    <row r="609">
      <c r="A609" s="58" t="n"/>
      <c r="B609" s="59" t="n"/>
      <c r="C609" s="59" t="n"/>
      <c r="E609" s="16" t="n"/>
      <c r="F609" s="13" t="n"/>
      <c r="G609" s="16" t="n"/>
      <c r="H609" s="125" t="n"/>
      <c r="I609" s="14" t="n"/>
      <c r="J609" s="16" t="n"/>
      <c r="K609" s="125" t="n"/>
      <c r="L609" s="14" t="n"/>
      <c r="M609" s="16" t="n"/>
      <c r="N609" s="125" t="n"/>
      <c r="O609" s="14" t="n"/>
      <c r="P609" s="16" t="n"/>
      <c r="Q609" s="125" t="n"/>
      <c r="R609" s="14" t="n"/>
      <c r="S609" s="16" t="n"/>
      <c r="T609" s="125" t="n"/>
      <c r="U609" s="14" t="n"/>
      <c r="V609" s="16" t="n"/>
      <c r="W609" s="125" t="n"/>
      <c r="X609" s="14" t="n"/>
      <c r="Y609" s="16" t="n"/>
      <c r="Z609" s="125" t="n"/>
      <c r="AA609" s="14" t="n"/>
      <c r="AB609" s="16" t="n"/>
      <c r="AC609" s="125" t="n"/>
      <c r="AD609" s="14" t="n"/>
    </row>
    <row r="610">
      <c r="A610" s="56" t="n"/>
      <c r="B610" s="59" t="n"/>
      <c r="C610" s="59" t="n"/>
      <c r="E610" s="16" t="n"/>
      <c r="F610" s="13" t="n"/>
      <c r="G610" s="16" t="n"/>
      <c r="H610" s="125" t="n"/>
      <c r="I610" s="14" t="n"/>
      <c r="J610" s="16" t="n"/>
      <c r="K610" s="125" t="n"/>
      <c r="L610" s="14" t="n"/>
      <c r="M610" s="16" t="n"/>
      <c r="N610" s="125" t="n"/>
      <c r="O610" s="14" t="n"/>
      <c r="P610" s="16" t="n"/>
      <c r="Q610" s="125" t="n"/>
      <c r="R610" s="14" t="n"/>
      <c r="S610" s="16" t="n"/>
      <c r="T610" s="125" t="n"/>
      <c r="U610" s="14" t="n"/>
      <c r="V610" s="16" t="n"/>
      <c r="W610" s="125" t="n"/>
      <c r="X610" s="14" t="n"/>
      <c r="Y610" s="16" t="n"/>
      <c r="Z610" s="125" t="n"/>
      <c r="AA610" s="14" t="n"/>
      <c r="AB610" s="16" t="n"/>
      <c r="AC610" s="125" t="n"/>
      <c r="AD610" s="14" t="n"/>
    </row>
    <row r="611">
      <c r="A611" s="58" t="n"/>
      <c r="B611" s="59" t="n"/>
      <c r="C611" s="59" t="n"/>
      <c r="E611" s="16" t="n"/>
      <c r="F611" s="13" t="n"/>
      <c r="G611" s="16" t="n"/>
      <c r="H611" s="125" t="n"/>
      <c r="I611" s="14" t="n"/>
      <c r="J611" s="16" t="n"/>
      <c r="K611" s="125" t="n"/>
      <c r="L611" s="14" t="n"/>
      <c r="M611" s="16" t="n"/>
      <c r="N611" s="125" t="n"/>
      <c r="O611" s="14" t="n"/>
      <c r="P611" s="16" t="n"/>
      <c r="Q611" s="125" t="n"/>
      <c r="R611" s="14" t="n"/>
      <c r="S611" s="16" t="n"/>
      <c r="T611" s="125" t="n"/>
      <c r="U611" s="14" t="n"/>
      <c r="V611" s="16" t="n"/>
      <c r="W611" s="125" t="n"/>
      <c r="X611" s="14" t="n"/>
      <c r="Y611" s="16" t="n"/>
      <c r="Z611" s="125" t="n"/>
      <c r="AA611" s="14" t="n"/>
      <c r="AB611" s="16" t="n"/>
      <c r="AC611" s="125" t="n"/>
      <c r="AD611" s="14" t="n"/>
    </row>
    <row r="612">
      <c r="A612" s="56" t="n"/>
      <c r="B612" s="59" t="n"/>
      <c r="C612" s="59" t="n"/>
      <c r="E612" s="16" t="n"/>
      <c r="F612" s="13" t="n"/>
      <c r="G612" s="16" t="n"/>
      <c r="H612" s="125" t="n"/>
      <c r="I612" s="14" t="n"/>
      <c r="J612" s="16" t="n"/>
      <c r="K612" s="125" t="n"/>
      <c r="L612" s="14" t="n"/>
      <c r="M612" s="16" t="n"/>
      <c r="N612" s="125" t="n"/>
      <c r="O612" s="14" t="n"/>
      <c r="P612" s="16" t="n"/>
      <c r="Q612" s="125" t="n"/>
      <c r="R612" s="14" t="n"/>
      <c r="S612" s="16" t="n"/>
      <c r="T612" s="125" t="n"/>
      <c r="U612" s="14" t="n"/>
      <c r="V612" s="16" t="n"/>
      <c r="W612" s="125" t="n"/>
      <c r="X612" s="14" t="n"/>
      <c r="Y612" s="16" t="n"/>
      <c r="Z612" s="125" t="n"/>
      <c r="AA612" s="14" t="n"/>
      <c r="AB612" s="16" t="n"/>
      <c r="AC612" s="125" t="n"/>
      <c r="AD612" s="14" t="n"/>
    </row>
    <row r="613">
      <c r="A613" s="58" t="n"/>
      <c r="B613" s="59" t="n"/>
      <c r="C613" s="59" t="n"/>
      <c r="E613" s="16" t="n"/>
      <c r="F613" s="13" t="n"/>
      <c r="G613" s="16" t="n"/>
      <c r="H613" s="125" t="n"/>
      <c r="I613" s="14" t="n"/>
      <c r="J613" s="16" t="n"/>
      <c r="K613" s="125" t="n"/>
      <c r="L613" s="14" t="n"/>
      <c r="M613" s="16" t="n"/>
      <c r="N613" s="125" t="n"/>
      <c r="O613" s="14" t="n"/>
      <c r="P613" s="16" t="n"/>
      <c r="Q613" s="125" t="n"/>
      <c r="R613" s="14" t="n"/>
      <c r="S613" s="16" t="n"/>
      <c r="T613" s="125" t="n"/>
      <c r="U613" s="14" t="n"/>
      <c r="V613" s="16" t="n"/>
      <c r="W613" s="125" t="n"/>
      <c r="X613" s="14" t="n"/>
      <c r="Y613" s="16" t="n"/>
      <c r="Z613" s="125" t="n"/>
      <c r="AA613" s="14" t="n"/>
      <c r="AB613" s="16" t="n"/>
      <c r="AC613" s="125" t="n"/>
      <c r="AD613" s="14" t="n"/>
    </row>
    <row r="614">
      <c r="A614" s="56" t="n"/>
      <c r="B614" s="59" t="n"/>
      <c r="C614" s="59" t="n"/>
      <c r="E614" s="16" t="n"/>
      <c r="F614" s="13" t="n"/>
      <c r="G614" s="16" t="n"/>
      <c r="H614" s="125" t="n"/>
      <c r="I614" s="14" t="n"/>
      <c r="J614" s="16" t="n"/>
      <c r="K614" s="125" t="n"/>
      <c r="L614" s="14" t="n"/>
      <c r="M614" s="16" t="n"/>
      <c r="N614" s="125" t="n"/>
      <c r="O614" s="14" t="n"/>
      <c r="P614" s="16" t="n"/>
      <c r="Q614" s="125" t="n"/>
      <c r="R614" s="14" t="n"/>
      <c r="S614" s="16" t="n"/>
      <c r="T614" s="125" t="n"/>
      <c r="U614" s="14" t="n"/>
      <c r="V614" s="16" t="n"/>
      <c r="W614" s="125" t="n"/>
      <c r="X614" s="14" t="n"/>
      <c r="Y614" s="16" t="n"/>
      <c r="Z614" s="125" t="n"/>
      <c r="AA614" s="14" t="n"/>
      <c r="AB614" s="16" t="n"/>
      <c r="AC614" s="125" t="n"/>
      <c r="AD614" s="14" t="n"/>
    </row>
    <row r="615">
      <c r="A615" s="58" t="n"/>
      <c r="B615" s="59" t="n"/>
      <c r="C615" s="59" t="n"/>
      <c r="E615" s="16" t="n"/>
      <c r="F615" s="13" t="n"/>
      <c r="G615" s="16" t="n"/>
      <c r="H615" s="125" t="n"/>
      <c r="I615" s="14" t="n"/>
      <c r="J615" s="16" t="n"/>
      <c r="K615" s="125" t="n"/>
      <c r="L615" s="14" t="n"/>
      <c r="M615" s="16" t="n"/>
      <c r="N615" s="125" t="n"/>
      <c r="O615" s="14" t="n"/>
      <c r="P615" s="16" t="n"/>
      <c r="Q615" s="125" t="n"/>
      <c r="R615" s="14" t="n"/>
      <c r="S615" s="16" t="n"/>
      <c r="T615" s="125" t="n"/>
      <c r="U615" s="14" t="n"/>
      <c r="V615" s="16" t="n"/>
      <c r="W615" s="125" t="n"/>
      <c r="X615" s="14" t="n"/>
      <c r="Y615" s="16" t="n"/>
      <c r="Z615" s="125" t="n"/>
      <c r="AA615" s="14" t="n"/>
      <c r="AB615" s="16" t="n"/>
      <c r="AC615" s="125" t="n"/>
      <c r="AD615" s="14" t="n"/>
    </row>
    <row r="616">
      <c r="A616" s="56" t="n"/>
      <c r="B616" s="59" t="n"/>
      <c r="C616" s="59" t="n"/>
      <c r="E616" s="16" t="n"/>
      <c r="F616" s="13" t="n"/>
      <c r="G616" s="16" t="n"/>
      <c r="H616" s="125" t="n"/>
      <c r="I616" s="14" t="n"/>
      <c r="J616" s="16" t="n"/>
      <c r="K616" s="125" t="n"/>
      <c r="L616" s="14" t="n"/>
      <c r="M616" s="16" t="n"/>
      <c r="N616" s="125" t="n"/>
      <c r="O616" s="14" t="n"/>
      <c r="P616" s="16" t="n"/>
      <c r="Q616" s="125" t="n"/>
      <c r="R616" s="14" t="n"/>
      <c r="S616" s="16" t="n"/>
      <c r="T616" s="125" t="n"/>
      <c r="U616" s="14" t="n"/>
      <c r="V616" s="16" t="n"/>
      <c r="W616" s="125" t="n"/>
      <c r="X616" s="14" t="n"/>
      <c r="Y616" s="16" t="n"/>
      <c r="Z616" s="125" t="n"/>
      <c r="AA616" s="14" t="n"/>
      <c r="AB616" s="16" t="n"/>
      <c r="AC616" s="125" t="n"/>
      <c r="AD616" s="14" t="n"/>
    </row>
    <row r="617">
      <c r="A617" s="58" t="n"/>
      <c r="B617" s="59" t="n"/>
      <c r="C617" s="59" t="n"/>
      <c r="E617" s="16" t="n"/>
      <c r="F617" s="13" t="n"/>
      <c r="G617" s="16" t="n"/>
      <c r="H617" s="125" t="n"/>
      <c r="I617" s="14" t="n"/>
      <c r="J617" s="16" t="n"/>
      <c r="K617" s="125" t="n"/>
      <c r="L617" s="14" t="n"/>
      <c r="M617" s="16" t="n"/>
      <c r="N617" s="125" t="n"/>
      <c r="O617" s="14" t="n"/>
      <c r="P617" s="16" t="n"/>
      <c r="Q617" s="125" t="n"/>
      <c r="R617" s="14" t="n"/>
      <c r="S617" s="16" t="n"/>
      <c r="T617" s="125" t="n"/>
      <c r="U617" s="14" t="n"/>
      <c r="V617" s="16" t="n"/>
      <c r="W617" s="125" t="n"/>
      <c r="X617" s="14" t="n"/>
      <c r="Y617" s="16" t="n"/>
      <c r="Z617" s="125" t="n"/>
      <c r="AA617" s="14" t="n"/>
      <c r="AB617" s="16" t="n"/>
      <c r="AC617" s="125" t="n"/>
      <c r="AD617" s="14" t="n"/>
    </row>
    <row r="618">
      <c r="A618" s="56" t="n"/>
      <c r="B618" s="59" t="n"/>
      <c r="C618" s="59" t="n"/>
      <c r="E618" s="16" t="n"/>
      <c r="F618" s="13" t="n"/>
      <c r="G618" s="16" t="n"/>
      <c r="H618" s="125" t="n"/>
      <c r="I618" s="14" t="n"/>
      <c r="J618" s="16" t="n"/>
      <c r="K618" s="125" t="n"/>
      <c r="L618" s="14" t="n"/>
      <c r="M618" s="16" t="n"/>
      <c r="N618" s="125" t="n"/>
      <c r="O618" s="14" t="n"/>
      <c r="P618" s="16" t="n"/>
      <c r="Q618" s="125" t="n"/>
      <c r="R618" s="14" t="n"/>
      <c r="S618" s="16" t="n"/>
      <c r="T618" s="125" t="n"/>
      <c r="U618" s="14" t="n"/>
      <c r="V618" s="16" t="n"/>
      <c r="W618" s="125" t="n"/>
      <c r="X618" s="14" t="n"/>
      <c r="Y618" s="16" t="n"/>
      <c r="Z618" s="125" t="n"/>
      <c r="AA618" s="14" t="n"/>
      <c r="AB618" s="16" t="n"/>
      <c r="AC618" s="125" t="n"/>
      <c r="AD618" s="14" t="n"/>
    </row>
    <row r="619">
      <c r="A619" s="58" t="n"/>
      <c r="B619" s="59" t="n"/>
      <c r="C619" s="59" t="n"/>
      <c r="E619" s="16" t="n"/>
      <c r="F619" s="13" t="n"/>
      <c r="G619" s="16" t="n"/>
      <c r="H619" s="125" t="n"/>
      <c r="I619" s="14" t="n"/>
      <c r="J619" s="16" t="n"/>
      <c r="K619" s="125" t="n"/>
      <c r="L619" s="14" t="n"/>
      <c r="M619" s="16" t="n"/>
      <c r="N619" s="125" t="n"/>
      <c r="O619" s="14" t="n"/>
      <c r="P619" s="16" t="n"/>
      <c r="Q619" s="125" t="n"/>
      <c r="R619" s="14" t="n"/>
      <c r="S619" s="16" t="n"/>
      <c r="T619" s="125" t="n"/>
      <c r="U619" s="14" t="n"/>
      <c r="V619" s="16" t="n"/>
      <c r="W619" s="125" t="n"/>
      <c r="X619" s="14" t="n"/>
      <c r="Y619" s="16" t="n"/>
      <c r="Z619" s="125" t="n"/>
      <c r="AA619" s="14" t="n"/>
      <c r="AB619" s="16" t="n"/>
      <c r="AC619" s="125" t="n"/>
      <c r="AD619" s="14" t="n"/>
    </row>
    <row r="620">
      <c r="A620" s="56" t="n"/>
      <c r="B620" s="59" t="n"/>
      <c r="C620" s="59" t="n"/>
      <c r="E620" s="16" t="n"/>
      <c r="F620" s="13" t="n"/>
      <c r="G620" s="16" t="n"/>
      <c r="H620" s="125" t="n"/>
      <c r="I620" s="14" t="n"/>
      <c r="J620" s="16" t="n"/>
      <c r="K620" s="125" t="n"/>
      <c r="L620" s="14" t="n"/>
      <c r="M620" s="16" t="n"/>
      <c r="N620" s="125" t="n"/>
      <c r="O620" s="14" t="n"/>
      <c r="P620" s="16" t="n"/>
      <c r="Q620" s="125" t="n"/>
      <c r="R620" s="14" t="n"/>
      <c r="S620" s="16" t="n"/>
      <c r="T620" s="125" t="n"/>
      <c r="U620" s="14" t="n"/>
      <c r="V620" s="16" t="n"/>
      <c r="W620" s="125" t="n"/>
      <c r="X620" s="14" t="n"/>
      <c r="Y620" s="16" t="n"/>
      <c r="Z620" s="125" t="n"/>
      <c r="AA620" s="14" t="n"/>
      <c r="AB620" s="16" t="n"/>
      <c r="AC620" s="125" t="n"/>
      <c r="AD620" s="14" t="n"/>
    </row>
    <row r="621">
      <c r="A621" s="58" t="n"/>
      <c r="B621" s="59" t="n"/>
      <c r="C621" s="59" t="n"/>
      <c r="E621" s="16" t="n"/>
      <c r="F621" s="13" t="n"/>
      <c r="G621" s="16" t="n"/>
      <c r="H621" s="125" t="n"/>
      <c r="I621" s="14" t="n"/>
      <c r="J621" s="16" t="n"/>
      <c r="K621" s="125" t="n"/>
      <c r="L621" s="14" t="n"/>
      <c r="M621" s="16" t="n"/>
      <c r="N621" s="125" t="n"/>
      <c r="O621" s="14" t="n"/>
      <c r="P621" s="16" t="n"/>
      <c r="Q621" s="125" t="n"/>
      <c r="R621" s="14" t="n"/>
      <c r="S621" s="16" t="n"/>
      <c r="T621" s="125" t="n"/>
      <c r="U621" s="14" t="n"/>
      <c r="V621" s="16" t="n"/>
      <c r="W621" s="125" t="n"/>
      <c r="X621" s="14" t="n"/>
      <c r="Y621" s="16" t="n"/>
      <c r="Z621" s="125" t="n"/>
      <c r="AA621" s="14" t="n"/>
      <c r="AB621" s="16" t="n"/>
      <c r="AC621" s="125" t="n"/>
      <c r="AD621" s="14" t="n"/>
    </row>
    <row r="622">
      <c r="A622" s="56" t="n"/>
      <c r="B622" s="59" t="n"/>
      <c r="C622" s="59" t="n"/>
      <c r="E622" s="16" t="n"/>
      <c r="F622" s="13" t="n"/>
      <c r="G622" s="16" t="n"/>
      <c r="H622" s="125" t="n"/>
      <c r="I622" s="14" t="n"/>
      <c r="J622" s="16" t="n"/>
      <c r="K622" s="125" t="n"/>
      <c r="L622" s="14" t="n"/>
      <c r="M622" s="16" t="n"/>
      <c r="N622" s="125" t="n"/>
      <c r="O622" s="14" t="n"/>
      <c r="P622" s="16" t="n"/>
      <c r="Q622" s="125" t="n"/>
      <c r="R622" s="14" t="n"/>
      <c r="S622" s="16" t="n"/>
      <c r="T622" s="125" t="n"/>
      <c r="U622" s="14" t="n"/>
      <c r="V622" s="16" t="n"/>
      <c r="W622" s="125" t="n"/>
      <c r="X622" s="14" t="n"/>
      <c r="Y622" s="16" t="n"/>
      <c r="Z622" s="125" t="n"/>
      <c r="AA622" s="14" t="n"/>
      <c r="AB622" s="16" t="n"/>
      <c r="AC622" s="125" t="n"/>
      <c r="AD622" s="14" t="n"/>
    </row>
    <row r="623">
      <c r="A623" s="58" t="n"/>
      <c r="B623" s="59" t="n"/>
      <c r="C623" s="59" t="n"/>
      <c r="E623" s="16" t="n"/>
      <c r="F623" s="13" t="n"/>
      <c r="G623" s="16" t="n"/>
      <c r="H623" s="125" t="n"/>
      <c r="I623" s="14" t="n"/>
      <c r="J623" s="16" t="n"/>
      <c r="K623" s="125" t="n"/>
      <c r="L623" s="14" t="n"/>
      <c r="M623" s="16" t="n"/>
      <c r="N623" s="125" t="n"/>
      <c r="O623" s="14" t="n"/>
      <c r="P623" s="16" t="n"/>
      <c r="Q623" s="125" t="n"/>
      <c r="R623" s="14" t="n"/>
      <c r="S623" s="16" t="n"/>
      <c r="T623" s="125" t="n"/>
      <c r="U623" s="14" t="n"/>
      <c r="V623" s="16" t="n"/>
      <c r="W623" s="125" t="n"/>
      <c r="X623" s="14" t="n"/>
      <c r="Y623" s="16" t="n"/>
      <c r="Z623" s="125" t="n"/>
      <c r="AA623" s="14" t="n"/>
      <c r="AB623" s="16" t="n"/>
      <c r="AC623" s="125" t="n"/>
      <c r="AD623" s="14" t="n"/>
    </row>
    <row r="624">
      <c r="A624" s="56" t="n"/>
      <c r="B624" s="59" t="n"/>
      <c r="C624" s="59" t="n"/>
      <c r="E624" s="16" t="n"/>
      <c r="F624" s="13" t="n"/>
      <c r="G624" s="16" t="n"/>
      <c r="H624" s="125" t="n"/>
      <c r="I624" s="14" t="n"/>
      <c r="J624" s="16" t="n"/>
      <c r="K624" s="125" t="n"/>
      <c r="L624" s="14" t="n"/>
      <c r="M624" s="16" t="n"/>
      <c r="N624" s="125" t="n"/>
      <c r="O624" s="14" t="n"/>
      <c r="P624" s="16" t="n"/>
      <c r="Q624" s="125" t="n"/>
      <c r="R624" s="14" t="n"/>
      <c r="S624" s="16" t="n"/>
      <c r="T624" s="125" t="n"/>
      <c r="U624" s="14" t="n"/>
      <c r="V624" s="16" t="n"/>
      <c r="W624" s="125" t="n"/>
      <c r="X624" s="14" t="n"/>
      <c r="Y624" s="16" t="n"/>
      <c r="Z624" s="125" t="n"/>
      <c r="AA624" s="14" t="n"/>
      <c r="AB624" s="16" t="n"/>
      <c r="AC624" s="125" t="n"/>
      <c r="AD624" s="14" t="n"/>
    </row>
    <row r="625">
      <c r="A625" s="58" t="n"/>
      <c r="B625" s="59" t="n"/>
      <c r="C625" s="59" t="n"/>
      <c r="E625" s="16" t="n"/>
      <c r="F625" s="13" t="n"/>
      <c r="G625" s="16" t="n"/>
      <c r="H625" s="125" t="n"/>
      <c r="I625" s="14" t="n"/>
      <c r="J625" s="16" t="n"/>
      <c r="K625" s="125" t="n"/>
      <c r="L625" s="14" t="n"/>
      <c r="M625" s="16" t="n"/>
      <c r="N625" s="125" t="n"/>
      <c r="O625" s="14" t="n"/>
      <c r="P625" s="16" t="n"/>
      <c r="Q625" s="125" t="n"/>
      <c r="R625" s="14" t="n"/>
      <c r="S625" s="16" t="n"/>
      <c r="T625" s="125" t="n"/>
      <c r="U625" s="14" t="n"/>
      <c r="V625" s="16" t="n"/>
      <c r="W625" s="125" t="n"/>
      <c r="X625" s="14" t="n"/>
      <c r="Y625" s="16" t="n"/>
      <c r="Z625" s="125" t="n"/>
      <c r="AA625" s="14" t="n"/>
      <c r="AB625" s="16" t="n"/>
      <c r="AC625" s="125" t="n"/>
      <c r="AD625" s="14" t="n"/>
    </row>
    <row r="626">
      <c r="A626" s="56" t="n"/>
      <c r="B626" s="59" t="n"/>
      <c r="C626" s="59" t="n"/>
      <c r="E626" s="16" t="n"/>
      <c r="F626" s="13" t="n"/>
      <c r="G626" s="16" t="n"/>
      <c r="H626" s="125" t="n"/>
      <c r="I626" s="14" t="n"/>
      <c r="J626" s="16" t="n"/>
      <c r="K626" s="125" t="n"/>
      <c r="L626" s="14" t="n"/>
      <c r="M626" s="16" t="n"/>
      <c r="N626" s="125" t="n"/>
      <c r="O626" s="14" t="n"/>
      <c r="P626" s="16" t="n"/>
      <c r="Q626" s="125" t="n"/>
      <c r="R626" s="14" t="n"/>
      <c r="S626" s="16" t="n"/>
      <c r="T626" s="125" t="n"/>
      <c r="U626" s="14" t="n"/>
      <c r="V626" s="16" t="n"/>
      <c r="W626" s="125" t="n"/>
      <c r="X626" s="14" t="n"/>
      <c r="Y626" s="16" t="n"/>
      <c r="Z626" s="125" t="n"/>
      <c r="AA626" s="14" t="n"/>
      <c r="AB626" s="16" t="n"/>
      <c r="AC626" s="125" t="n"/>
      <c r="AD626" s="14" t="n"/>
    </row>
    <row r="627">
      <c r="A627" s="58" t="n"/>
      <c r="B627" s="59" t="n"/>
      <c r="C627" s="59" t="n"/>
      <c r="E627" s="16" t="n"/>
      <c r="F627" s="13" t="n"/>
      <c r="G627" s="16" t="n"/>
      <c r="H627" s="125" t="n"/>
      <c r="I627" s="14" t="n"/>
      <c r="J627" s="16" t="n"/>
      <c r="K627" s="125" t="n"/>
      <c r="L627" s="14" t="n"/>
      <c r="M627" s="16" t="n"/>
      <c r="N627" s="125" t="n"/>
      <c r="O627" s="14" t="n"/>
      <c r="P627" s="16" t="n"/>
      <c r="Q627" s="125" t="n"/>
      <c r="R627" s="14" t="n"/>
      <c r="S627" s="16" t="n"/>
      <c r="T627" s="125" t="n"/>
      <c r="U627" s="14" t="n"/>
      <c r="V627" s="16" t="n"/>
      <c r="W627" s="125" t="n"/>
      <c r="X627" s="14" t="n"/>
      <c r="Y627" s="16" t="n"/>
      <c r="Z627" s="125" t="n"/>
      <c r="AA627" s="14" t="n"/>
      <c r="AB627" s="16" t="n"/>
      <c r="AC627" s="125" t="n"/>
      <c r="AD627" s="14" t="n"/>
    </row>
    <row r="628">
      <c r="A628" s="56" t="n"/>
      <c r="B628" s="59" t="n"/>
      <c r="C628" s="59" t="n"/>
      <c r="E628" s="16" t="n"/>
      <c r="F628" s="13" t="n"/>
      <c r="G628" s="16" t="n"/>
      <c r="H628" s="125" t="n"/>
      <c r="I628" s="14" t="n"/>
      <c r="J628" s="16" t="n"/>
      <c r="K628" s="125" t="n"/>
      <c r="L628" s="14" t="n"/>
      <c r="M628" s="16" t="n"/>
      <c r="N628" s="125" t="n"/>
      <c r="O628" s="14" t="n"/>
      <c r="P628" s="16" t="n"/>
      <c r="Q628" s="125" t="n"/>
      <c r="R628" s="14" t="n"/>
      <c r="S628" s="16" t="n"/>
      <c r="T628" s="125" t="n"/>
      <c r="U628" s="14" t="n"/>
      <c r="V628" s="16" t="n"/>
      <c r="W628" s="125" t="n"/>
      <c r="X628" s="14" t="n"/>
      <c r="Y628" s="16" t="n"/>
      <c r="Z628" s="125" t="n"/>
      <c r="AA628" s="14" t="n"/>
      <c r="AB628" s="16" t="n"/>
      <c r="AC628" s="125" t="n"/>
      <c r="AD628" s="14" t="n"/>
    </row>
    <row r="629">
      <c r="A629" s="58" t="n"/>
      <c r="B629" s="59" t="n"/>
      <c r="C629" s="59" t="n"/>
      <c r="E629" s="16" t="n"/>
      <c r="F629" s="13" t="n"/>
      <c r="G629" s="16" t="n"/>
      <c r="H629" s="125" t="n"/>
      <c r="I629" s="14" t="n"/>
      <c r="J629" s="16" t="n"/>
      <c r="K629" s="125" t="n"/>
      <c r="L629" s="14" t="n"/>
      <c r="M629" s="16" t="n"/>
      <c r="N629" s="125" t="n"/>
      <c r="O629" s="14" t="n"/>
      <c r="P629" s="16" t="n"/>
      <c r="Q629" s="125" t="n"/>
      <c r="R629" s="14" t="n"/>
      <c r="S629" s="16" t="n"/>
      <c r="T629" s="125" t="n"/>
      <c r="U629" s="14" t="n"/>
      <c r="V629" s="16" t="n"/>
      <c r="W629" s="125" t="n"/>
      <c r="X629" s="14" t="n"/>
      <c r="Y629" s="16" t="n"/>
      <c r="Z629" s="125" t="n"/>
      <c r="AA629" s="14" t="n"/>
      <c r="AB629" s="16" t="n"/>
      <c r="AC629" s="125" t="n"/>
      <c r="AD629" s="14" t="n"/>
    </row>
    <row r="630">
      <c r="A630" s="56" t="n"/>
      <c r="B630" s="59" t="n"/>
      <c r="C630" s="59" t="n"/>
      <c r="E630" s="16" t="n"/>
      <c r="F630" s="13" t="n"/>
      <c r="G630" s="16" t="n"/>
      <c r="H630" s="125" t="n"/>
      <c r="I630" s="14" t="n"/>
      <c r="J630" s="16" t="n"/>
      <c r="K630" s="125" t="n"/>
      <c r="L630" s="14" t="n"/>
      <c r="M630" s="16" t="n"/>
      <c r="N630" s="125" t="n"/>
      <c r="O630" s="14" t="n"/>
      <c r="P630" s="16" t="n"/>
      <c r="Q630" s="125" t="n"/>
      <c r="R630" s="14" t="n"/>
      <c r="S630" s="16" t="n"/>
      <c r="T630" s="125" t="n"/>
      <c r="U630" s="14" t="n"/>
      <c r="V630" s="16" t="n"/>
      <c r="W630" s="125" t="n"/>
      <c r="X630" s="14" t="n"/>
      <c r="Y630" s="16" t="n"/>
      <c r="Z630" s="125" t="n"/>
      <c r="AA630" s="14" t="n"/>
      <c r="AB630" s="16" t="n"/>
      <c r="AC630" s="125" t="n"/>
      <c r="AD630" s="14" t="n"/>
    </row>
    <row r="631">
      <c r="A631" s="58" t="n"/>
      <c r="B631" s="59" t="n"/>
      <c r="C631" s="59" t="n"/>
      <c r="E631" s="16" t="n"/>
      <c r="F631" s="13" t="n"/>
      <c r="G631" s="16" t="n"/>
      <c r="H631" s="125" t="n"/>
      <c r="I631" s="14" t="n"/>
      <c r="J631" s="16" t="n"/>
      <c r="K631" s="125" t="n"/>
      <c r="L631" s="14" t="n"/>
      <c r="M631" s="16" t="n"/>
      <c r="N631" s="125" t="n"/>
      <c r="O631" s="14" t="n"/>
      <c r="P631" s="16" t="n"/>
      <c r="Q631" s="125" t="n"/>
      <c r="R631" s="14" t="n"/>
      <c r="S631" s="16" t="n"/>
      <c r="T631" s="125" t="n"/>
      <c r="U631" s="14" t="n"/>
      <c r="V631" s="16" t="n"/>
      <c r="W631" s="125" t="n"/>
      <c r="X631" s="14" t="n"/>
      <c r="Y631" s="16" t="n"/>
      <c r="Z631" s="125" t="n"/>
      <c r="AA631" s="14" t="n"/>
      <c r="AB631" s="16" t="n"/>
      <c r="AC631" s="125" t="n"/>
      <c r="AD631" s="14" t="n"/>
    </row>
    <row r="632">
      <c r="A632" s="56" t="n"/>
      <c r="B632" s="59" t="n"/>
      <c r="C632" s="59" t="n"/>
      <c r="E632" s="16" t="n"/>
      <c r="F632" s="13" t="n"/>
      <c r="G632" s="16" t="n"/>
      <c r="H632" s="125" t="n"/>
      <c r="I632" s="14" t="n"/>
      <c r="J632" s="16" t="n"/>
      <c r="K632" s="125" t="n"/>
      <c r="L632" s="14" t="n"/>
      <c r="M632" s="16" t="n"/>
      <c r="N632" s="125" t="n"/>
      <c r="O632" s="14" t="n"/>
      <c r="P632" s="16" t="n"/>
      <c r="Q632" s="125" t="n"/>
      <c r="R632" s="14" t="n"/>
      <c r="S632" s="16" t="n"/>
      <c r="T632" s="125" t="n"/>
      <c r="U632" s="14" t="n"/>
      <c r="V632" s="16" t="n"/>
      <c r="W632" s="125" t="n"/>
      <c r="X632" s="14" t="n"/>
      <c r="Y632" s="16" t="n"/>
      <c r="Z632" s="125" t="n"/>
      <c r="AA632" s="14" t="n"/>
      <c r="AB632" s="16" t="n"/>
      <c r="AC632" s="125" t="n"/>
      <c r="AD632" s="14" t="n"/>
    </row>
    <row r="633">
      <c r="A633" s="58" t="n"/>
      <c r="B633" s="59" t="n"/>
      <c r="C633" s="59" t="n"/>
      <c r="E633" s="16" t="n"/>
      <c r="F633" s="13" t="n"/>
      <c r="G633" s="16" t="n"/>
      <c r="H633" s="125" t="n"/>
      <c r="I633" s="14" t="n"/>
      <c r="J633" s="16" t="n"/>
      <c r="K633" s="125" t="n"/>
      <c r="L633" s="14" t="n"/>
      <c r="M633" s="16" t="n"/>
      <c r="N633" s="125" t="n"/>
      <c r="O633" s="14" t="n"/>
      <c r="P633" s="16" t="n"/>
      <c r="Q633" s="125" t="n"/>
      <c r="R633" s="14" t="n"/>
      <c r="S633" s="16" t="n"/>
      <c r="T633" s="125" t="n"/>
      <c r="U633" s="14" t="n"/>
      <c r="V633" s="16" t="n"/>
      <c r="W633" s="125" t="n"/>
      <c r="X633" s="14" t="n"/>
      <c r="Y633" s="16" t="n"/>
      <c r="Z633" s="125" t="n"/>
      <c r="AA633" s="14" t="n"/>
      <c r="AB633" s="16" t="n"/>
      <c r="AC633" s="125" t="n"/>
      <c r="AD633" s="14" t="n"/>
    </row>
    <row r="634">
      <c r="A634" s="56" t="n"/>
      <c r="B634" s="59" t="n"/>
      <c r="C634" s="59" t="n"/>
      <c r="E634" s="16" t="n"/>
      <c r="F634" s="13" t="n"/>
      <c r="G634" s="16" t="n"/>
      <c r="H634" s="125" t="n"/>
      <c r="I634" s="14" t="n"/>
      <c r="J634" s="16" t="n"/>
      <c r="K634" s="125" t="n"/>
      <c r="L634" s="14" t="n"/>
      <c r="M634" s="16" t="n"/>
      <c r="N634" s="125" t="n"/>
      <c r="O634" s="14" t="n"/>
      <c r="P634" s="16" t="n"/>
      <c r="Q634" s="125" t="n"/>
      <c r="R634" s="14" t="n"/>
      <c r="S634" s="16" t="n"/>
      <c r="T634" s="125" t="n"/>
      <c r="U634" s="14" t="n"/>
      <c r="V634" s="16" t="n"/>
      <c r="W634" s="125" t="n"/>
      <c r="X634" s="14" t="n"/>
      <c r="Y634" s="16" t="n"/>
      <c r="Z634" s="125" t="n"/>
      <c r="AA634" s="14" t="n"/>
      <c r="AB634" s="16" t="n"/>
      <c r="AC634" s="125" t="n"/>
      <c r="AD634" s="14" t="n"/>
    </row>
    <row r="635">
      <c r="A635" s="58" t="n"/>
      <c r="B635" s="59" t="n"/>
      <c r="C635" s="59" t="n"/>
      <c r="E635" s="16" t="n"/>
      <c r="F635" s="13" t="n"/>
      <c r="G635" s="16" t="n"/>
      <c r="H635" s="125" t="n"/>
      <c r="I635" s="14" t="n"/>
      <c r="J635" s="16" t="n"/>
      <c r="K635" s="125" t="n"/>
      <c r="L635" s="14" t="n"/>
      <c r="M635" s="16" t="n"/>
      <c r="N635" s="125" t="n"/>
      <c r="O635" s="14" t="n"/>
      <c r="P635" s="16" t="n"/>
      <c r="Q635" s="125" t="n"/>
      <c r="R635" s="14" t="n"/>
      <c r="S635" s="16" t="n"/>
      <c r="T635" s="125" t="n"/>
      <c r="U635" s="14" t="n"/>
      <c r="V635" s="16" t="n"/>
      <c r="W635" s="125" t="n"/>
      <c r="X635" s="14" t="n"/>
      <c r="Y635" s="16" t="n"/>
      <c r="Z635" s="125" t="n"/>
      <c r="AA635" s="14" t="n"/>
      <c r="AB635" s="16" t="n"/>
      <c r="AC635" s="125" t="n"/>
      <c r="AD635" s="14" t="n"/>
    </row>
    <row r="636">
      <c r="A636" s="56" t="n"/>
      <c r="B636" s="59" t="n"/>
      <c r="C636" s="59" t="n"/>
      <c r="E636" s="16" t="n"/>
      <c r="F636" s="13" t="n"/>
      <c r="G636" s="16" t="n"/>
      <c r="H636" s="125" t="n"/>
      <c r="I636" s="14" t="n"/>
      <c r="J636" s="16" t="n"/>
      <c r="K636" s="125" t="n"/>
      <c r="L636" s="14" t="n"/>
      <c r="M636" s="16" t="n"/>
      <c r="N636" s="125" t="n"/>
      <c r="O636" s="14" t="n"/>
      <c r="P636" s="16" t="n"/>
      <c r="Q636" s="125" t="n"/>
      <c r="R636" s="14" t="n"/>
      <c r="S636" s="16" t="n"/>
      <c r="T636" s="125" t="n"/>
      <c r="U636" s="14" t="n"/>
      <c r="V636" s="16" t="n"/>
      <c r="W636" s="125" t="n"/>
      <c r="X636" s="14" t="n"/>
      <c r="Y636" s="16" t="n"/>
      <c r="Z636" s="125" t="n"/>
      <c r="AA636" s="14" t="n"/>
      <c r="AB636" s="16" t="n"/>
      <c r="AC636" s="125" t="n"/>
      <c r="AD636" s="14" t="n"/>
    </row>
    <row r="637">
      <c r="A637" s="58" t="n"/>
      <c r="B637" s="59" t="n"/>
      <c r="C637" s="59" t="n"/>
      <c r="E637" s="16" t="n"/>
      <c r="F637" s="13" t="n"/>
      <c r="G637" s="16" t="n"/>
      <c r="H637" s="125" t="n"/>
      <c r="I637" s="14" t="n"/>
      <c r="J637" s="16" t="n"/>
      <c r="K637" s="125" t="n"/>
      <c r="L637" s="14" t="n"/>
      <c r="M637" s="16" t="n"/>
      <c r="N637" s="125" t="n"/>
      <c r="O637" s="14" t="n"/>
      <c r="P637" s="16" t="n"/>
      <c r="Q637" s="125" t="n"/>
      <c r="R637" s="14" t="n"/>
      <c r="S637" s="16" t="n"/>
      <c r="T637" s="125" t="n"/>
      <c r="U637" s="14" t="n"/>
      <c r="V637" s="16" t="n"/>
      <c r="W637" s="125" t="n"/>
      <c r="X637" s="14" t="n"/>
      <c r="Y637" s="16" t="n"/>
      <c r="Z637" s="125" t="n"/>
      <c r="AA637" s="14" t="n"/>
      <c r="AB637" s="16" t="n"/>
      <c r="AC637" s="125" t="n"/>
      <c r="AD637" s="14" t="n"/>
    </row>
    <row r="638">
      <c r="A638" s="56" t="n"/>
      <c r="B638" s="59" t="n"/>
      <c r="C638" s="59" t="n"/>
      <c r="E638" s="16" t="n"/>
      <c r="F638" s="13" t="n"/>
      <c r="G638" s="16" t="n"/>
      <c r="H638" s="125" t="n"/>
      <c r="I638" s="14" t="n"/>
      <c r="J638" s="16" t="n"/>
      <c r="K638" s="125" t="n"/>
      <c r="L638" s="14" t="n"/>
      <c r="M638" s="16" t="n"/>
      <c r="N638" s="125" t="n"/>
      <c r="O638" s="14" t="n"/>
      <c r="P638" s="16" t="n"/>
      <c r="Q638" s="125" t="n"/>
      <c r="R638" s="14" t="n"/>
      <c r="S638" s="16" t="n"/>
      <c r="T638" s="125" t="n"/>
      <c r="U638" s="14" t="n"/>
      <c r="V638" s="16" t="n"/>
      <c r="W638" s="125" t="n"/>
      <c r="X638" s="14" t="n"/>
      <c r="Y638" s="16" t="n"/>
      <c r="Z638" s="125" t="n"/>
      <c r="AA638" s="14" t="n"/>
      <c r="AB638" s="16" t="n"/>
      <c r="AC638" s="125" t="n"/>
      <c r="AD638" s="14" t="n"/>
    </row>
    <row r="639">
      <c r="A639" s="58" t="n"/>
      <c r="B639" s="59" t="n"/>
      <c r="C639" s="59" t="n"/>
      <c r="E639" s="16" t="n"/>
      <c r="F639" s="13" t="n"/>
      <c r="G639" s="16" t="n"/>
      <c r="H639" s="125" t="n"/>
      <c r="I639" s="14" t="n"/>
      <c r="J639" s="16" t="n"/>
      <c r="K639" s="125" t="n"/>
      <c r="L639" s="14" t="n"/>
      <c r="M639" s="16" t="n"/>
      <c r="N639" s="125" t="n"/>
      <c r="O639" s="14" t="n"/>
      <c r="P639" s="16" t="n"/>
      <c r="Q639" s="125" t="n"/>
      <c r="R639" s="14" t="n"/>
      <c r="S639" s="16" t="n"/>
      <c r="T639" s="125" t="n"/>
      <c r="U639" s="14" t="n"/>
      <c r="V639" s="16" t="n"/>
      <c r="W639" s="125" t="n"/>
      <c r="X639" s="14" t="n"/>
      <c r="Y639" s="16" t="n"/>
      <c r="Z639" s="125" t="n"/>
      <c r="AA639" s="14" t="n"/>
      <c r="AB639" s="16" t="n"/>
      <c r="AC639" s="125" t="n"/>
      <c r="AD639" s="14" t="n"/>
    </row>
    <row r="640">
      <c r="A640" s="56" t="n"/>
      <c r="B640" s="59" t="n"/>
      <c r="C640" s="59" t="n"/>
      <c r="E640" s="16" t="n"/>
      <c r="F640" s="13" t="n"/>
      <c r="G640" s="16" t="n"/>
      <c r="H640" s="125" t="n"/>
      <c r="I640" s="14" t="n"/>
      <c r="J640" s="16" t="n"/>
      <c r="K640" s="125" t="n"/>
      <c r="L640" s="14" t="n"/>
      <c r="M640" s="16" t="n"/>
      <c r="N640" s="125" t="n"/>
      <c r="O640" s="14" t="n"/>
      <c r="P640" s="16" t="n"/>
      <c r="Q640" s="125" t="n"/>
      <c r="R640" s="14" t="n"/>
      <c r="S640" s="16" t="n"/>
      <c r="T640" s="125" t="n"/>
      <c r="U640" s="14" t="n"/>
      <c r="V640" s="16" t="n"/>
      <c r="W640" s="125" t="n"/>
      <c r="X640" s="14" t="n"/>
      <c r="Y640" s="16" t="n"/>
      <c r="Z640" s="125" t="n"/>
      <c r="AA640" s="14" t="n"/>
      <c r="AB640" s="16" t="n"/>
      <c r="AC640" s="125" t="n"/>
      <c r="AD640" s="14" t="n"/>
    </row>
    <row r="641">
      <c r="A641" s="58" t="n"/>
      <c r="B641" s="59" t="n"/>
      <c r="C641" s="59" t="n"/>
      <c r="E641" s="16" t="n"/>
      <c r="F641" s="13" t="n"/>
      <c r="G641" s="16" t="n"/>
      <c r="H641" s="125" t="n"/>
      <c r="I641" s="14" t="n"/>
      <c r="J641" s="16" t="n"/>
      <c r="K641" s="125" t="n"/>
      <c r="L641" s="14" t="n"/>
      <c r="M641" s="16" t="n"/>
      <c r="N641" s="125" t="n"/>
      <c r="O641" s="14" t="n"/>
      <c r="P641" s="16" t="n"/>
      <c r="Q641" s="125" t="n"/>
      <c r="R641" s="14" t="n"/>
      <c r="S641" s="16" t="n"/>
      <c r="T641" s="125" t="n"/>
      <c r="U641" s="14" t="n"/>
      <c r="V641" s="16" t="n"/>
      <c r="W641" s="125" t="n"/>
      <c r="X641" s="14" t="n"/>
      <c r="Y641" s="16" t="n"/>
      <c r="Z641" s="125" t="n"/>
      <c r="AA641" s="14" t="n"/>
      <c r="AB641" s="16" t="n"/>
      <c r="AC641" s="125" t="n"/>
      <c r="AD641" s="14" t="n"/>
    </row>
    <row r="642">
      <c r="A642" s="56" t="n"/>
      <c r="B642" s="59" t="n"/>
      <c r="C642" s="59" t="n"/>
      <c r="E642" s="16" t="n"/>
      <c r="F642" s="13" t="n"/>
      <c r="G642" s="16" t="n"/>
      <c r="H642" s="125" t="n"/>
      <c r="I642" s="14" t="n"/>
      <c r="J642" s="16" t="n"/>
      <c r="K642" s="125" t="n"/>
      <c r="L642" s="14" t="n"/>
      <c r="M642" s="16" t="n"/>
      <c r="N642" s="125" t="n"/>
      <c r="O642" s="14" t="n"/>
      <c r="P642" s="16" t="n"/>
      <c r="Q642" s="125" t="n"/>
      <c r="R642" s="14" t="n"/>
      <c r="S642" s="16" t="n"/>
      <c r="T642" s="125" t="n"/>
      <c r="U642" s="14" t="n"/>
      <c r="V642" s="16" t="n"/>
      <c r="W642" s="125" t="n"/>
      <c r="X642" s="14" t="n"/>
      <c r="Y642" s="16" t="n"/>
      <c r="Z642" s="125" t="n"/>
      <c r="AA642" s="14" t="n"/>
      <c r="AB642" s="16" t="n"/>
      <c r="AC642" s="125" t="n"/>
      <c r="AD642" s="14" t="n"/>
    </row>
    <row r="643">
      <c r="A643" s="58" t="n"/>
      <c r="B643" s="59" t="n"/>
      <c r="C643" s="59" t="n"/>
      <c r="E643" s="16" t="n"/>
      <c r="F643" s="13" t="n"/>
      <c r="G643" s="16" t="n"/>
      <c r="H643" s="125" t="n"/>
      <c r="I643" s="14" t="n"/>
      <c r="J643" s="16" t="n"/>
      <c r="K643" s="125" t="n"/>
      <c r="L643" s="14" t="n"/>
      <c r="M643" s="16" t="n"/>
      <c r="N643" s="125" t="n"/>
      <c r="O643" s="14" t="n"/>
      <c r="P643" s="16" t="n"/>
      <c r="Q643" s="125" t="n"/>
      <c r="R643" s="14" t="n"/>
      <c r="S643" s="16" t="n"/>
      <c r="T643" s="125" t="n"/>
      <c r="U643" s="14" t="n"/>
      <c r="V643" s="16" t="n"/>
      <c r="W643" s="125" t="n"/>
      <c r="X643" s="14" t="n"/>
      <c r="Y643" s="16" t="n"/>
      <c r="Z643" s="125" t="n"/>
      <c r="AA643" s="14" t="n"/>
      <c r="AB643" s="16" t="n"/>
      <c r="AC643" s="125" t="n"/>
      <c r="AD643" s="14" t="n"/>
    </row>
    <row r="644">
      <c r="A644" s="56" t="n"/>
      <c r="B644" s="59" t="n"/>
      <c r="C644" s="59" t="n"/>
      <c r="E644" s="16" t="n"/>
      <c r="F644" s="13" t="n"/>
      <c r="G644" s="16" t="n"/>
      <c r="H644" s="125" t="n"/>
      <c r="I644" s="14" t="n"/>
      <c r="J644" s="16" t="n"/>
      <c r="K644" s="125" t="n"/>
      <c r="L644" s="14" t="n"/>
      <c r="M644" s="16" t="n"/>
      <c r="N644" s="125" t="n"/>
      <c r="O644" s="14" t="n"/>
      <c r="P644" s="16" t="n"/>
      <c r="Q644" s="125" t="n"/>
      <c r="R644" s="14" t="n"/>
      <c r="S644" s="16" t="n"/>
      <c r="T644" s="125" t="n"/>
      <c r="U644" s="14" t="n"/>
      <c r="V644" s="16" t="n"/>
      <c r="W644" s="125" t="n"/>
      <c r="X644" s="14" t="n"/>
      <c r="Y644" s="16" t="n"/>
      <c r="Z644" s="125" t="n"/>
      <c r="AA644" s="14" t="n"/>
      <c r="AB644" s="16" t="n"/>
      <c r="AC644" s="125" t="n"/>
      <c r="AD644" s="14" t="n"/>
    </row>
    <row r="645">
      <c r="A645" s="58" t="n"/>
      <c r="B645" s="59" t="n"/>
      <c r="C645" s="59" t="n"/>
      <c r="E645" s="16" t="n"/>
      <c r="F645" s="13" t="n"/>
      <c r="G645" s="16" t="n"/>
      <c r="H645" s="125" t="n"/>
      <c r="I645" s="14" t="n"/>
      <c r="J645" s="16" t="n"/>
      <c r="K645" s="125" t="n"/>
      <c r="L645" s="14" t="n"/>
      <c r="M645" s="16" t="n"/>
      <c r="N645" s="125" t="n"/>
      <c r="O645" s="14" t="n"/>
      <c r="P645" s="16" t="n"/>
      <c r="Q645" s="125" t="n"/>
      <c r="R645" s="14" t="n"/>
      <c r="S645" s="16" t="n"/>
      <c r="T645" s="125" t="n"/>
      <c r="U645" s="14" t="n"/>
      <c r="V645" s="16" t="n"/>
      <c r="W645" s="125" t="n"/>
      <c r="X645" s="14" t="n"/>
      <c r="Y645" s="16" t="n"/>
      <c r="Z645" s="125" t="n"/>
      <c r="AA645" s="14" t="n"/>
      <c r="AB645" s="16" t="n"/>
      <c r="AC645" s="125" t="n"/>
      <c r="AD645" s="14" t="n"/>
    </row>
    <row r="646">
      <c r="A646" s="56" t="n"/>
      <c r="B646" s="59" t="n"/>
      <c r="C646" s="59" t="n"/>
      <c r="E646" s="16" t="n"/>
      <c r="F646" s="13" t="n"/>
      <c r="G646" s="16" t="n"/>
      <c r="H646" s="125" t="n"/>
      <c r="I646" s="14" t="n"/>
      <c r="J646" s="16" t="n"/>
      <c r="K646" s="125" t="n"/>
      <c r="L646" s="14" t="n"/>
      <c r="M646" s="16" t="n"/>
      <c r="N646" s="125" t="n"/>
      <c r="O646" s="14" t="n"/>
      <c r="P646" s="16" t="n"/>
      <c r="Q646" s="125" t="n"/>
      <c r="R646" s="14" t="n"/>
      <c r="S646" s="16" t="n"/>
      <c r="T646" s="125" t="n"/>
      <c r="U646" s="14" t="n"/>
      <c r="V646" s="16" t="n"/>
      <c r="W646" s="125" t="n"/>
      <c r="X646" s="14" t="n"/>
      <c r="Y646" s="16" t="n"/>
      <c r="Z646" s="125" t="n"/>
      <c r="AA646" s="14" t="n"/>
      <c r="AB646" s="16" t="n"/>
      <c r="AC646" s="125" t="n"/>
      <c r="AD646" s="14" t="n"/>
    </row>
    <row r="647">
      <c r="A647" s="58" t="n"/>
      <c r="B647" s="59" t="n"/>
      <c r="C647" s="59" t="n"/>
      <c r="E647" s="16" t="n"/>
      <c r="F647" s="13" t="n"/>
      <c r="G647" s="16" t="n"/>
      <c r="H647" s="125" t="n"/>
      <c r="I647" s="14" t="n"/>
      <c r="J647" s="16" t="n"/>
      <c r="K647" s="125" t="n"/>
      <c r="L647" s="14" t="n"/>
      <c r="M647" s="16" t="n"/>
      <c r="N647" s="125" t="n"/>
      <c r="O647" s="14" t="n"/>
      <c r="P647" s="16" t="n"/>
      <c r="Q647" s="125" t="n"/>
      <c r="R647" s="14" t="n"/>
      <c r="S647" s="16" t="n"/>
      <c r="T647" s="125" t="n"/>
      <c r="U647" s="14" t="n"/>
      <c r="V647" s="16" t="n"/>
      <c r="W647" s="125" t="n"/>
      <c r="X647" s="14" t="n"/>
      <c r="Y647" s="16" t="n"/>
      <c r="Z647" s="125" t="n"/>
      <c r="AA647" s="14" t="n"/>
      <c r="AB647" s="16" t="n"/>
      <c r="AC647" s="125" t="n"/>
      <c r="AD647" s="14" t="n"/>
    </row>
    <row r="648">
      <c r="A648" s="56" t="n"/>
      <c r="B648" s="59" t="n"/>
      <c r="C648" s="59" t="n"/>
      <c r="E648" s="16" t="n"/>
      <c r="F648" s="13" t="n"/>
      <c r="G648" s="16" t="n"/>
      <c r="H648" s="125" t="n"/>
      <c r="I648" s="14" t="n"/>
      <c r="J648" s="16" t="n"/>
      <c r="K648" s="125" t="n"/>
      <c r="L648" s="14" t="n"/>
      <c r="M648" s="16" t="n"/>
      <c r="N648" s="125" t="n"/>
      <c r="O648" s="14" t="n"/>
      <c r="P648" s="16" t="n"/>
      <c r="Q648" s="125" t="n"/>
      <c r="R648" s="14" t="n"/>
      <c r="S648" s="16" t="n"/>
      <c r="T648" s="125" t="n"/>
      <c r="U648" s="14" t="n"/>
      <c r="V648" s="16" t="n"/>
      <c r="W648" s="125" t="n"/>
      <c r="X648" s="14" t="n"/>
      <c r="Y648" s="16" t="n"/>
      <c r="Z648" s="125" t="n"/>
      <c r="AA648" s="14" t="n"/>
      <c r="AB648" s="16" t="n"/>
      <c r="AC648" s="125" t="n"/>
      <c r="AD648" s="14" t="n"/>
    </row>
    <row r="649">
      <c r="A649" s="58" t="n"/>
      <c r="B649" s="59" t="n"/>
      <c r="C649" s="59" t="n"/>
      <c r="E649" s="16" t="n"/>
      <c r="F649" s="13" t="n"/>
      <c r="G649" s="16" t="n"/>
      <c r="H649" s="125" t="n"/>
      <c r="I649" s="14" t="n"/>
      <c r="J649" s="16" t="n"/>
      <c r="K649" s="125" t="n"/>
      <c r="L649" s="14" t="n"/>
      <c r="M649" s="16" t="n"/>
      <c r="N649" s="125" t="n"/>
      <c r="O649" s="14" t="n"/>
      <c r="P649" s="16" t="n"/>
      <c r="Q649" s="125" t="n"/>
      <c r="R649" s="14" t="n"/>
      <c r="S649" s="16" t="n"/>
      <c r="T649" s="125" t="n"/>
      <c r="U649" s="14" t="n"/>
      <c r="V649" s="16" t="n"/>
      <c r="W649" s="125" t="n"/>
      <c r="X649" s="14" t="n"/>
      <c r="Y649" s="16" t="n"/>
      <c r="Z649" s="125" t="n"/>
      <c r="AA649" s="14" t="n"/>
      <c r="AB649" s="16" t="n"/>
      <c r="AC649" s="125" t="n"/>
      <c r="AD649" s="14" t="n"/>
    </row>
    <row r="650">
      <c r="A650" s="56" t="n"/>
      <c r="B650" s="59" t="n"/>
      <c r="C650" s="59" t="n"/>
      <c r="E650" s="16" t="n"/>
      <c r="F650" s="13" t="n"/>
      <c r="G650" s="16" t="n"/>
      <c r="H650" s="125" t="n"/>
      <c r="I650" s="14" t="n"/>
      <c r="J650" s="16" t="n"/>
      <c r="K650" s="125" t="n"/>
      <c r="L650" s="14" t="n"/>
      <c r="M650" s="16" t="n"/>
      <c r="N650" s="125" t="n"/>
      <c r="O650" s="14" t="n"/>
      <c r="P650" s="16" t="n"/>
      <c r="Q650" s="125" t="n"/>
      <c r="R650" s="14" t="n"/>
      <c r="S650" s="16" t="n"/>
      <c r="T650" s="125" t="n"/>
      <c r="U650" s="14" t="n"/>
      <c r="V650" s="16" t="n"/>
      <c r="W650" s="125" t="n"/>
      <c r="X650" s="14" t="n"/>
      <c r="Y650" s="16" t="n"/>
      <c r="Z650" s="125" t="n"/>
      <c r="AA650" s="14" t="n"/>
      <c r="AB650" s="16" t="n"/>
      <c r="AC650" s="125" t="n"/>
      <c r="AD650" s="14" t="n"/>
    </row>
    <row r="651">
      <c r="A651" s="58" t="n"/>
      <c r="B651" s="59" t="n"/>
      <c r="C651" s="59" t="n"/>
      <c r="E651" s="16" t="n"/>
      <c r="F651" s="13" t="n"/>
      <c r="G651" s="16" t="n"/>
      <c r="H651" s="125" t="n"/>
      <c r="I651" s="14" t="n"/>
      <c r="J651" s="16" t="n"/>
      <c r="K651" s="125" t="n"/>
      <c r="L651" s="14" t="n"/>
      <c r="M651" s="16" t="n"/>
      <c r="N651" s="125" t="n"/>
      <c r="O651" s="14" t="n"/>
      <c r="P651" s="16" t="n"/>
      <c r="Q651" s="125" t="n"/>
      <c r="R651" s="14" t="n"/>
      <c r="S651" s="16" t="n"/>
      <c r="T651" s="125" t="n"/>
      <c r="U651" s="14" t="n"/>
      <c r="V651" s="16" t="n"/>
      <c r="W651" s="125" t="n"/>
      <c r="X651" s="14" t="n"/>
      <c r="Y651" s="16" t="n"/>
      <c r="Z651" s="125" t="n"/>
      <c r="AA651" s="14" t="n"/>
      <c r="AB651" s="16" t="n"/>
      <c r="AC651" s="125" t="n"/>
      <c r="AD651" s="14" t="n"/>
    </row>
    <row r="652">
      <c r="A652" s="56" t="n"/>
      <c r="B652" s="59" t="n"/>
      <c r="C652" s="59" t="n"/>
      <c r="E652" s="16" t="n"/>
      <c r="F652" s="13" t="n"/>
      <c r="G652" s="16" t="n"/>
      <c r="H652" s="125" t="n"/>
      <c r="I652" s="14" t="n"/>
      <c r="J652" s="16" t="n"/>
      <c r="K652" s="125" t="n"/>
      <c r="L652" s="14" t="n"/>
      <c r="M652" s="16" t="n"/>
      <c r="N652" s="125" t="n"/>
      <c r="O652" s="14" t="n"/>
      <c r="P652" s="16" t="n"/>
      <c r="Q652" s="125" t="n"/>
      <c r="R652" s="14" t="n"/>
      <c r="S652" s="16" t="n"/>
      <c r="T652" s="125" t="n"/>
      <c r="U652" s="14" t="n"/>
      <c r="V652" s="16" t="n"/>
      <c r="W652" s="125" t="n"/>
      <c r="X652" s="14" t="n"/>
      <c r="Y652" s="16" t="n"/>
      <c r="Z652" s="125" t="n"/>
      <c r="AA652" s="14" t="n"/>
      <c r="AB652" s="16" t="n"/>
      <c r="AC652" s="125" t="n"/>
      <c r="AD652" s="14" t="n"/>
    </row>
    <row r="653">
      <c r="A653" s="58" t="n"/>
      <c r="B653" s="59" t="n"/>
      <c r="C653" s="59" t="n"/>
      <c r="E653" s="16" t="n"/>
      <c r="F653" s="13" t="n"/>
      <c r="G653" s="16" t="n"/>
      <c r="H653" s="125" t="n"/>
      <c r="I653" s="14" t="n"/>
      <c r="J653" s="16" t="n"/>
      <c r="K653" s="125" t="n"/>
      <c r="L653" s="14" t="n"/>
      <c r="M653" s="16" t="n"/>
      <c r="N653" s="125" t="n"/>
      <c r="O653" s="14" t="n"/>
      <c r="P653" s="16" t="n"/>
      <c r="Q653" s="125" t="n"/>
      <c r="R653" s="14" t="n"/>
      <c r="S653" s="16" t="n"/>
      <c r="T653" s="125" t="n"/>
      <c r="U653" s="14" t="n"/>
      <c r="V653" s="16" t="n"/>
      <c r="W653" s="125" t="n"/>
      <c r="X653" s="14" t="n"/>
      <c r="Y653" s="16" t="n"/>
      <c r="Z653" s="125" t="n"/>
      <c r="AA653" s="14" t="n"/>
      <c r="AB653" s="16" t="n"/>
      <c r="AC653" s="125" t="n"/>
      <c r="AD653" s="14" t="n"/>
    </row>
    <row r="654">
      <c r="A654" s="56" t="n"/>
      <c r="B654" s="59" t="n"/>
      <c r="C654" s="59" t="n"/>
      <c r="E654" s="16" t="n"/>
      <c r="F654" s="13" t="n"/>
      <c r="G654" s="16" t="n"/>
      <c r="H654" s="125" t="n"/>
      <c r="I654" s="14" t="n"/>
      <c r="J654" s="16" t="n"/>
      <c r="K654" s="125" t="n"/>
      <c r="L654" s="14" t="n"/>
      <c r="M654" s="16" t="n"/>
      <c r="N654" s="125" t="n"/>
      <c r="O654" s="14" t="n"/>
      <c r="P654" s="16" t="n"/>
      <c r="Q654" s="125" t="n"/>
      <c r="R654" s="14" t="n"/>
      <c r="S654" s="16" t="n"/>
      <c r="T654" s="125" t="n"/>
      <c r="U654" s="14" t="n"/>
      <c r="V654" s="16" t="n"/>
      <c r="W654" s="125" t="n"/>
      <c r="X654" s="14" t="n"/>
      <c r="Y654" s="16" t="n"/>
      <c r="Z654" s="125" t="n"/>
      <c r="AA654" s="14" t="n"/>
      <c r="AB654" s="16" t="n"/>
      <c r="AC654" s="125" t="n"/>
      <c r="AD654" s="14" t="n"/>
    </row>
    <row r="655">
      <c r="A655" s="58" t="n"/>
      <c r="B655" s="59" t="n"/>
      <c r="C655" s="59" t="n"/>
      <c r="E655" s="16" t="n"/>
      <c r="F655" s="13" t="n"/>
      <c r="G655" s="16" t="n"/>
      <c r="H655" s="125" t="n"/>
      <c r="I655" s="14" t="n"/>
      <c r="J655" s="16" t="n"/>
      <c r="K655" s="125" t="n"/>
      <c r="L655" s="14" t="n"/>
      <c r="M655" s="16" t="n"/>
      <c r="N655" s="125" t="n"/>
      <c r="O655" s="14" t="n"/>
      <c r="P655" s="16" t="n"/>
      <c r="Q655" s="125" t="n"/>
      <c r="R655" s="14" t="n"/>
      <c r="S655" s="16" t="n"/>
      <c r="T655" s="125" t="n"/>
      <c r="U655" s="14" t="n"/>
      <c r="V655" s="16" t="n"/>
      <c r="W655" s="125" t="n"/>
      <c r="X655" s="14" t="n"/>
      <c r="Y655" s="16" t="n"/>
      <c r="Z655" s="125" t="n"/>
      <c r="AA655" s="14" t="n"/>
      <c r="AB655" s="16" t="n"/>
      <c r="AC655" s="125" t="n"/>
      <c r="AD655" s="14" t="n"/>
    </row>
    <row r="656">
      <c r="A656" s="56" t="n"/>
      <c r="B656" s="59" t="n"/>
      <c r="C656" s="59" t="n"/>
      <c r="E656" s="16" t="n"/>
      <c r="F656" s="13" t="n"/>
      <c r="G656" s="16" t="n"/>
      <c r="H656" s="125" t="n"/>
      <c r="I656" s="14" t="n"/>
      <c r="J656" s="16" t="n"/>
      <c r="K656" s="125" t="n"/>
      <c r="L656" s="14" t="n"/>
      <c r="M656" s="16" t="n"/>
      <c r="N656" s="125" t="n"/>
      <c r="O656" s="14" t="n"/>
      <c r="P656" s="16" t="n"/>
      <c r="Q656" s="125" t="n"/>
      <c r="R656" s="14" t="n"/>
      <c r="S656" s="16" t="n"/>
      <c r="T656" s="125" t="n"/>
      <c r="U656" s="14" t="n"/>
      <c r="V656" s="16" t="n"/>
      <c r="W656" s="125" t="n"/>
      <c r="X656" s="14" t="n"/>
      <c r="Y656" s="16" t="n"/>
      <c r="Z656" s="125" t="n"/>
      <c r="AA656" s="14" t="n"/>
      <c r="AB656" s="16" t="n"/>
      <c r="AC656" s="125" t="n"/>
      <c r="AD656" s="14" t="n"/>
    </row>
    <row r="657">
      <c r="A657" s="58" t="n"/>
      <c r="B657" s="59" t="n"/>
      <c r="C657" s="59" t="n"/>
      <c r="E657" s="16" t="n"/>
      <c r="F657" s="13" t="n"/>
      <c r="G657" s="16" t="n"/>
      <c r="H657" s="125" t="n"/>
      <c r="I657" s="14" t="n"/>
      <c r="J657" s="16" t="n"/>
      <c r="K657" s="125" t="n"/>
      <c r="L657" s="14" t="n"/>
      <c r="M657" s="16" t="n"/>
      <c r="N657" s="125" t="n"/>
      <c r="O657" s="14" t="n"/>
      <c r="P657" s="16" t="n"/>
      <c r="Q657" s="125" t="n"/>
      <c r="R657" s="14" t="n"/>
      <c r="S657" s="16" t="n"/>
      <c r="T657" s="125" t="n"/>
      <c r="U657" s="14" t="n"/>
      <c r="V657" s="16" t="n"/>
      <c r="W657" s="125" t="n"/>
      <c r="X657" s="14" t="n"/>
      <c r="Y657" s="16" t="n"/>
      <c r="Z657" s="125" t="n"/>
      <c r="AA657" s="14" t="n"/>
      <c r="AB657" s="16" t="n"/>
      <c r="AC657" s="125" t="n"/>
      <c r="AD657" s="14" t="n"/>
    </row>
    <row r="658">
      <c r="A658" s="56" t="n"/>
      <c r="B658" s="59" t="n"/>
      <c r="C658" s="59" t="n"/>
      <c r="E658" s="16" t="n"/>
      <c r="F658" s="13" t="n"/>
      <c r="G658" s="16" t="n"/>
      <c r="H658" s="125" t="n"/>
      <c r="I658" s="14" t="n"/>
      <c r="J658" s="16" t="n"/>
      <c r="K658" s="125" t="n"/>
      <c r="L658" s="14" t="n"/>
      <c r="M658" s="16" t="n"/>
      <c r="N658" s="125" t="n"/>
      <c r="O658" s="14" t="n"/>
      <c r="P658" s="16" t="n"/>
      <c r="Q658" s="125" t="n"/>
      <c r="R658" s="14" t="n"/>
      <c r="S658" s="16" t="n"/>
      <c r="T658" s="125" t="n"/>
      <c r="U658" s="14" t="n"/>
      <c r="V658" s="16" t="n"/>
      <c r="W658" s="125" t="n"/>
      <c r="X658" s="14" t="n"/>
      <c r="Y658" s="16" t="n"/>
      <c r="Z658" s="125" t="n"/>
      <c r="AA658" s="14" t="n"/>
      <c r="AB658" s="16" t="n"/>
      <c r="AC658" s="125" t="n"/>
      <c r="AD658" s="14" t="n"/>
    </row>
    <row r="659">
      <c r="A659" s="58" t="n"/>
      <c r="B659" s="59" t="n"/>
      <c r="C659" s="59" t="n"/>
      <c r="E659" s="16" t="n"/>
      <c r="F659" s="13" t="n"/>
      <c r="G659" s="16" t="n"/>
      <c r="H659" s="125" t="n"/>
      <c r="I659" s="14" t="n"/>
      <c r="J659" s="16" t="n"/>
      <c r="K659" s="125" t="n"/>
      <c r="L659" s="14" t="n"/>
      <c r="M659" s="16" t="n"/>
      <c r="N659" s="125" t="n"/>
      <c r="O659" s="14" t="n"/>
      <c r="P659" s="16" t="n"/>
      <c r="Q659" s="125" t="n"/>
      <c r="R659" s="14" t="n"/>
      <c r="S659" s="16" t="n"/>
      <c r="T659" s="125" t="n"/>
      <c r="U659" s="14" t="n"/>
      <c r="V659" s="16" t="n"/>
      <c r="W659" s="125" t="n"/>
      <c r="X659" s="14" t="n"/>
      <c r="Y659" s="16" t="n"/>
      <c r="Z659" s="125" t="n"/>
      <c r="AA659" s="14" t="n"/>
      <c r="AB659" s="16" t="n"/>
      <c r="AC659" s="125" t="n"/>
      <c r="AD659" s="14" t="n"/>
    </row>
    <row r="660">
      <c r="A660" s="56" t="n"/>
      <c r="B660" s="59" t="n"/>
      <c r="C660" s="59" t="n"/>
      <c r="E660" s="16" t="n"/>
      <c r="F660" s="13" t="n"/>
      <c r="G660" s="16" t="n"/>
      <c r="H660" s="125" t="n"/>
      <c r="I660" s="14" t="n"/>
      <c r="J660" s="16" t="n"/>
      <c r="K660" s="125" t="n"/>
      <c r="L660" s="14" t="n"/>
      <c r="M660" s="16" t="n"/>
      <c r="N660" s="125" t="n"/>
      <c r="O660" s="14" t="n"/>
      <c r="P660" s="16" t="n"/>
      <c r="Q660" s="125" t="n"/>
      <c r="R660" s="14" t="n"/>
      <c r="S660" s="16" t="n"/>
      <c r="T660" s="125" t="n"/>
      <c r="U660" s="14" t="n"/>
      <c r="V660" s="16" t="n"/>
      <c r="W660" s="125" t="n"/>
      <c r="X660" s="14" t="n"/>
      <c r="Y660" s="16" t="n"/>
      <c r="Z660" s="125" t="n"/>
      <c r="AA660" s="14" t="n"/>
      <c r="AB660" s="16" t="n"/>
      <c r="AC660" s="125" t="n"/>
      <c r="AD660" s="14" t="n"/>
    </row>
    <row r="661">
      <c r="A661" s="58" t="n"/>
      <c r="B661" s="59" t="n"/>
      <c r="C661" s="59" t="n"/>
      <c r="E661" s="16" t="n"/>
      <c r="F661" s="13" t="n"/>
      <c r="G661" s="16" t="n"/>
      <c r="H661" s="125" t="n"/>
      <c r="I661" s="14" t="n"/>
      <c r="J661" s="16" t="n"/>
      <c r="K661" s="125" t="n"/>
      <c r="L661" s="14" t="n"/>
      <c r="M661" s="16" t="n"/>
      <c r="N661" s="125" t="n"/>
      <c r="O661" s="14" t="n"/>
      <c r="P661" s="16" t="n"/>
      <c r="Q661" s="125" t="n"/>
      <c r="R661" s="14" t="n"/>
      <c r="S661" s="16" t="n"/>
      <c r="T661" s="125" t="n"/>
      <c r="U661" s="14" t="n"/>
      <c r="V661" s="16" t="n"/>
      <c r="W661" s="125" t="n"/>
      <c r="X661" s="14" t="n"/>
      <c r="Y661" s="16" t="n"/>
      <c r="Z661" s="125" t="n"/>
      <c r="AA661" s="14" t="n"/>
      <c r="AB661" s="16" t="n"/>
      <c r="AC661" s="125" t="n"/>
      <c r="AD661" s="14" t="n"/>
    </row>
    <row r="662">
      <c r="A662" s="56" t="n"/>
      <c r="B662" s="59" t="n"/>
      <c r="C662" s="59" t="n"/>
      <c r="E662" s="16" t="n"/>
      <c r="F662" s="13" t="n"/>
      <c r="G662" s="16" t="n"/>
      <c r="H662" s="125" t="n"/>
      <c r="I662" s="14" t="n"/>
      <c r="J662" s="16" t="n"/>
      <c r="K662" s="125" t="n"/>
      <c r="L662" s="14" t="n"/>
      <c r="M662" s="16" t="n"/>
      <c r="N662" s="125" t="n"/>
      <c r="O662" s="14" t="n"/>
      <c r="P662" s="16" t="n"/>
      <c r="Q662" s="125" t="n"/>
      <c r="R662" s="14" t="n"/>
      <c r="S662" s="16" t="n"/>
      <c r="T662" s="125" t="n"/>
      <c r="U662" s="14" t="n"/>
      <c r="V662" s="16" t="n"/>
      <c r="W662" s="125" t="n"/>
      <c r="X662" s="14" t="n"/>
      <c r="Y662" s="16" t="n"/>
      <c r="Z662" s="125" t="n"/>
      <c r="AA662" s="14" t="n"/>
      <c r="AB662" s="16" t="n"/>
      <c r="AC662" s="125" t="n"/>
      <c r="AD662" s="14" t="n"/>
    </row>
    <row r="663">
      <c r="A663" s="58" t="n"/>
      <c r="B663" s="59" t="n"/>
      <c r="C663" s="59" t="n"/>
      <c r="E663" s="16" t="n"/>
      <c r="F663" s="13" t="n"/>
      <c r="G663" s="16" t="n"/>
      <c r="H663" s="125" t="n"/>
      <c r="I663" s="14" t="n"/>
      <c r="J663" s="16" t="n"/>
      <c r="K663" s="125" t="n"/>
      <c r="L663" s="14" t="n"/>
      <c r="M663" s="16" t="n"/>
      <c r="N663" s="125" t="n"/>
      <c r="O663" s="14" t="n"/>
      <c r="P663" s="16" t="n"/>
      <c r="Q663" s="125" t="n"/>
      <c r="R663" s="14" t="n"/>
      <c r="S663" s="16" t="n"/>
      <c r="T663" s="125" t="n"/>
      <c r="U663" s="14" t="n"/>
      <c r="V663" s="16" t="n"/>
      <c r="W663" s="125" t="n"/>
      <c r="X663" s="14" t="n"/>
      <c r="Y663" s="16" t="n"/>
      <c r="Z663" s="125" t="n"/>
      <c r="AA663" s="14" t="n"/>
      <c r="AB663" s="16" t="n"/>
      <c r="AC663" s="125" t="n"/>
      <c r="AD663" s="14" t="n"/>
    </row>
    <row r="664">
      <c r="A664" s="56" t="n"/>
      <c r="B664" s="59" t="n"/>
      <c r="C664" s="59" t="n"/>
      <c r="E664" s="16" t="n"/>
      <c r="F664" s="13" t="n"/>
      <c r="G664" s="16" t="n"/>
      <c r="H664" s="125" t="n"/>
      <c r="I664" s="14" t="n"/>
      <c r="J664" s="16" t="n"/>
      <c r="K664" s="125" t="n"/>
      <c r="L664" s="14" t="n"/>
      <c r="M664" s="16" t="n"/>
      <c r="N664" s="125" t="n"/>
      <c r="O664" s="14" t="n"/>
      <c r="P664" s="16" t="n"/>
      <c r="Q664" s="125" t="n"/>
      <c r="R664" s="14" t="n"/>
      <c r="S664" s="16" t="n"/>
      <c r="T664" s="125" t="n"/>
      <c r="U664" s="14" t="n"/>
      <c r="V664" s="16" t="n"/>
      <c r="W664" s="125" t="n"/>
      <c r="X664" s="14" t="n"/>
      <c r="Y664" s="16" t="n"/>
      <c r="Z664" s="125" t="n"/>
      <c r="AA664" s="14" t="n"/>
      <c r="AB664" s="16" t="n"/>
      <c r="AC664" s="125" t="n"/>
      <c r="AD664" s="14" t="n"/>
    </row>
    <row r="665">
      <c r="A665" s="58" t="n"/>
      <c r="B665" s="59" t="n"/>
      <c r="C665" s="59" t="n"/>
      <c r="E665" s="16" t="n"/>
      <c r="F665" s="13" t="n"/>
      <c r="G665" s="16" t="n"/>
      <c r="H665" s="125" t="n"/>
      <c r="I665" s="14" t="n"/>
      <c r="J665" s="16" t="n"/>
      <c r="K665" s="125" t="n"/>
      <c r="L665" s="14" t="n"/>
      <c r="M665" s="16" t="n"/>
      <c r="N665" s="125" t="n"/>
      <c r="O665" s="14" t="n"/>
      <c r="P665" s="16" t="n"/>
      <c r="Q665" s="125" t="n"/>
      <c r="R665" s="14" t="n"/>
      <c r="S665" s="16" t="n"/>
      <c r="T665" s="125" t="n"/>
      <c r="U665" s="14" t="n"/>
      <c r="V665" s="16" t="n"/>
      <c r="W665" s="125" t="n"/>
      <c r="X665" s="14" t="n"/>
      <c r="Y665" s="16" t="n"/>
      <c r="Z665" s="125" t="n"/>
      <c r="AA665" s="14" t="n"/>
      <c r="AB665" s="16" t="n"/>
      <c r="AC665" s="125" t="n"/>
      <c r="AD665" s="14" t="n"/>
    </row>
    <row r="666">
      <c r="A666" s="56" t="n"/>
      <c r="B666" s="59" t="n"/>
      <c r="C666" s="59" t="n"/>
      <c r="E666" s="16" t="n"/>
      <c r="F666" s="13" t="n"/>
      <c r="G666" s="16" t="n"/>
      <c r="H666" s="125" t="n"/>
      <c r="I666" s="14" t="n"/>
      <c r="J666" s="16" t="n"/>
      <c r="K666" s="125" t="n"/>
      <c r="L666" s="14" t="n"/>
      <c r="M666" s="16" t="n"/>
      <c r="N666" s="125" t="n"/>
      <c r="O666" s="14" t="n"/>
      <c r="P666" s="16" t="n"/>
      <c r="Q666" s="125" t="n"/>
      <c r="R666" s="14" t="n"/>
      <c r="S666" s="16" t="n"/>
      <c r="T666" s="125" t="n"/>
      <c r="U666" s="14" t="n"/>
      <c r="V666" s="16" t="n"/>
      <c r="W666" s="125" t="n"/>
      <c r="X666" s="14" t="n"/>
      <c r="Y666" s="16" t="n"/>
      <c r="Z666" s="125" t="n"/>
      <c r="AA666" s="14" t="n"/>
      <c r="AB666" s="16" t="n"/>
      <c r="AC666" s="125" t="n"/>
      <c r="AD666" s="14" t="n"/>
    </row>
    <row r="667">
      <c r="A667" s="55" t="n"/>
      <c r="B667" s="59" t="n"/>
      <c r="C667" s="59" t="n"/>
      <c r="E667" s="16" t="n"/>
      <c r="F667" s="13" t="n"/>
      <c r="G667" s="16" t="n"/>
      <c r="H667" s="125" t="n"/>
      <c r="I667" s="14" t="n"/>
      <c r="J667" s="16" t="n"/>
      <c r="K667" s="125" t="n"/>
      <c r="L667" s="14" t="n"/>
      <c r="M667" s="16" t="n"/>
      <c r="N667" s="125" t="n"/>
      <c r="O667" s="14" t="n"/>
      <c r="P667" s="16" t="n"/>
      <c r="Q667" s="125" t="n"/>
      <c r="R667" s="14" t="n"/>
      <c r="S667" s="16" t="n"/>
      <c r="T667" s="125" t="n"/>
      <c r="U667" s="14" t="n"/>
      <c r="V667" s="16" t="n"/>
      <c r="W667" s="125" t="n"/>
      <c r="X667" s="14" t="n"/>
      <c r="Y667" s="16" t="n"/>
      <c r="Z667" s="125" t="n"/>
      <c r="AA667" s="14" t="n"/>
      <c r="AB667" s="16" t="n"/>
      <c r="AC667" s="125" t="n"/>
      <c r="AD667" s="14" t="n"/>
    </row>
    <row r="668">
      <c r="B668" s="59" t="n"/>
      <c r="C668" s="59" t="n"/>
      <c r="E668" s="16" t="n"/>
      <c r="F668" s="13" t="n"/>
      <c r="G668" s="16" t="n"/>
      <c r="H668" s="125" t="n"/>
      <c r="I668" s="14" t="n"/>
      <c r="J668" s="16" t="n"/>
      <c r="K668" s="125" t="n"/>
      <c r="L668" s="14" t="n"/>
      <c r="M668" s="16" t="n"/>
      <c r="N668" s="125" t="n"/>
      <c r="O668" s="14" t="n"/>
      <c r="P668" s="16" t="n"/>
      <c r="Q668" s="125" t="n"/>
      <c r="R668" s="14" t="n"/>
      <c r="S668" s="16" t="n"/>
      <c r="T668" s="125" t="n"/>
      <c r="U668" s="14" t="n"/>
      <c r="V668" s="16" t="n"/>
      <c r="W668" s="125" t="n"/>
      <c r="X668" s="14" t="n"/>
      <c r="Y668" s="16" t="n"/>
      <c r="Z668" s="125" t="n"/>
      <c r="AA668" s="14" t="n"/>
      <c r="AB668" s="16" t="n"/>
      <c r="AC668" s="125" t="n"/>
      <c r="AD668" s="14" t="n"/>
    </row>
    <row r="669">
      <c r="B669" s="59" t="n"/>
      <c r="C669" s="59" t="n"/>
      <c r="E669" s="16" t="n"/>
      <c r="F669" s="13" t="n"/>
      <c r="G669" s="16" t="n"/>
      <c r="H669" s="125" t="n"/>
      <c r="I669" s="14" t="n"/>
      <c r="J669" s="16" t="n"/>
      <c r="K669" s="125" t="n"/>
      <c r="L669" s="14" t="n"/>
      <c r="M669" s="16" t="n"/>
      <c r="N669" s="125" t="n"/>
      <c r="O669" s="14" t="n"/>
      <c r="P669" s="16" t="n"/>
      <c r="Q669" s="125" t="n"/>
      <c r="R669" s="14" t="n"/>
      <c r="S669" s="16" t="n"/>
      <c r="T669" s="125" t="n"/>
      <c r="U669" s="14" t="n"/>
      <c r="V669" s="16" t="n"/>
      <c r="W669" s="125" t="n"/>
      <c r="X669" s="14" t="n"/>
      <c r="Y669" s="16" t="n"/>
      <c r="Z669" s="125" t="n"/>
      <c r="AA669" s="14" t="n"/>
      <c r="AB669" s="16" t="n"/>
      <c r="AC669" s="125" t="n"/>
      <c r="AD669" s="14" t="n"/>
    </row>
    <row r="670">
      <c r="B670" s="59" t="n"/>
      <c r="C670" s="59" t="n"/>
      <c r="E670" s="16" t="n"/>
      <c r="F670" s="13" t="n"/>
      <c r="G670" s="16" t="n"/>
      <c r="H670" s="125" t="n"/>
      <c r="I670" s="14" t="n"/>
      <c r="J670" s="16" t="n"/>
      <c r="K670" s="125" t="n"/>
      <c r="L670" s="14" t="n"/>
      <c r="M670" s="16" t="n"/>
      <c r="N670" s="125" t="n"/>
      <c r="O670" s="14" t="n"/>
      <c r="P670" s="16" t="n"/>
      <c r="Q670" s="125" t="n"/>
      <c r="R670" s="14" t="n"/>
      <c r="S670" s="16" t="n"/>
      <c r="T670" s="125" t="n"/>
      <c r="U670" s="14" t="n"/>
      <c r="V670" s="16" t="n"/>
      <c r="W670" s="125" t="n"/>
      <c r="X670" s="14" t="n"/>
      <c r="Y670" s="16" t="n"/>
      <c r="Z670" s="125" t="n"/>
      <c r="AA670" s="14" t="n"/>
      <c r="AB670" s="16" t="n"/>
      <c r="AC670" s="125" t="n"/>
      <c r="AD670" s="14" t="n"/>
    </row>
    <row r="671">
      <c r="B671" s="59" t="n"/>
      <c r="C671" s="59" t="n"/>
      <c r="E671" s="16" t="n"/>
      <c r="F671" s="13" t="n"/>
      <c r="G671" s="16" t="n"/>
      <c r="H671" s="125" t="n"/>
      <c r="I671" s="14" t="n"/>
      <c r="J671" s="16" t="n"/>
      <c r="K671" s="125" t="n"/>
      <c r="L671" s="14" t="n"/>
      <c r="M671" s="16" t="n"/>
      <c r="N671" s="125" t="n"/>
      <c r="O671" s="14" t="n"/>
      <c r="P671" s="16" t="n"/>
      <c r="Q671" s="125" t="n"/>
      <c r="R671" s="14" t="n"/>
      <c r="S671" s="16" t="n"/>
      <c r="T671" s="125" t="n"/>
      <c r="U671" s="14" t="n"/>
      <c r="V671" s="16" t="n"/>
      <c r="W671" s="125" t="n"/>
      <c r="X671" s="14" t="n"/>
      <c r="Y671" s="16" t="n"/>
      <c r="Z671" s="125" t="n"/>
      <c r="AA671" s="14" t="n"/>
      <c r="AB671" s="16" t="n"/>
      <c r="AC671" s="125" t="n"/>
      <c r="AD671" s="14" t="n"/>
    </row>
    <row r="672">
      <c r="B672" s="59" t="n"/>
      <c r="C672" s="59" t="n"/>
      <c r="E672" s="16" t="n"/>
      <c r="F672" s="13" t="n"/>
      <c r="G672" s="16" t="n"/>
      <c r="H672" s="125" t="n"/>
      <c r="I672" s="14" t="n"/>
      <c r="J672" s="16" t="n"/>
      <c r="K672" s="125" t="n"/>
      <c r="L672" s="14" t="n"/>
      <c r="M672" s="16" t="n"/>
      <c r="N672" s="125" t="n"/>
      <c r="O672" s="14" t="n"/>
      <c r="P672" s="16" t="n"/>
      <c r="Q672" s="125" t="n"/>
      <c r="R672" s="14" t="n"/>
      <c r="S672" s="16" t="n"/>
      <c r="T672" s="125" t="n"/>
      <c r="U672" s="14" t="n"/>
      <c r="V672" s="16" t="n"/>
      <c r="W672" s="125" t="n"/>
      <c r="X672" s="14" t="n"/>
      <c r="Y672" s="16" t="n"/>
      <c r="Z672" s="125" t="n"/>
      <c r="AA672" s="14" t="n"/>
      <c r="AB672" s="16" t="n"/>
      <c r="AC672" s="125" t="n"/>
      <c r="AD672" s="14" t="n"/>
    </row>
    <row r="673">
      <c r="B673" s="59" t="n"/>
      <c r="C673" s="59" t="n"/>
      <c r="E673" s="16" t="n"/>
      <c r="F673" s="13" t="n"/>
      <c r="G673" s="16" t="n"/>
      <c r="H673" s="125" t="n"/>
      <c r="I673" s="14" t="n"/>
      <c r="J673" s="16" t="n"/>
      <c r="K673" s="125" t="n"/>
      <c r="L673" s="14" t="n"/>
      <c r="M673" s="16" t="n"/>
      <c r="N673" s="125" t="n"/>
      <c r="O673" s="14" t="n"/>
      <c r="P673" s="16" t="n"/>
      <c r="Q673" s="125" t="n"/>
      <c r="R673" s="14" t="n"/>
      <c r="S673" s="16" t="n"/>
      <c r="T673" s="125" t="n"/>
      <c r="U673" s="14" t="n"/>
      <c r="V673" s="16" t="n"/>
      <c r="W673" s="125" t="n"/>
      <c r="X673" s="14" t="n"/>
      <c r="Y673" s="16" t="n"/>
      <c r="Z673" s="125" t="n"/>
      <c r="AA673" s="14" t="n"/>
      <c r="AB673" s="16" t="n"/>
      <c r="AC673" s="125" t="n"/>
      <c r="AD673" s="14" t="n"/>
    </row>
    <row r="674">
      <c r="B674" s="59" t="n"/>
      <c r="C674" s="59" t="n"/>
      <c r="E674" s="16" t="n"/>
      <c r="F674" s="13" t="n"/>
      <c r="G674" s="16" t="n"/>
      <c r="H674" s="125" t="n"/>
      <c r="I674" s="14" t="n"/>
      <c r="J674" s="16" t="n"/>
      <c r="K674" s="125" t="n"/>
      <c r="L674" s="14" t="n"/>
      <c r="M674" s="16" t="n"/>
      <c r="N674" s="125" t="n"/>
      <c r="O674" s="14" t="n"/>
      <c r="P674" s="16" t="n"/>
      <c r="Q674" s="125" t="n"/>
      <c r="R674" s="14" t="n"/>
      <c r="S674" s="16" t="n"/>
      <c r="T674" s="125" t="n"/>
      <c r="U674" s="14" t="n"/>
      <c r="V674" s="16" t="n"/>
      <c r="W674" s="125" t="n"/>
      <c r="X674" s="14" t="n"/>
      <c r="Y674" s="16" t="n"/>
      <c r="Z674" s="125" t="n"/>
      <c r="AA674" s="14" t="n"/>
      <c r="AB674" s="16" t="n"/>
      <c r="AC674" s="125" t="n"/>
      <c r="AD674" s="14" t="n"/>
    </row>
    <row r="675">
      <c r="B675" s="59" t="n"/>
      <c r="C675" s="59" t="n"/>
      <c r="E675" s="16" t="n"/>
      <c r="F675" s="13" t="n"/>
      <c r="G675" s="16" t="n"/>
      <c r="H675" s="125" t="n"/>
      <c r="I675" s="14" t="n"/>
      <c r="J675" s="16" t="n"/>
      <c r="K675" s="125" t="n"/>
      <c r="L675" s="14" t="n"/>
      <c r="M675" s="16" t="n"/>
      <c r="N675" s="125" t="n"/>
      <c r="O675" s="14" t="n"/>
      <c r="P675" s="16" t="n"/>
      <c r="Q675" s="125" t="n"/>
      <c r="R675" s="14" t="n"/>
      <c r="S675" s="16" t="n"/>
      <c r="T675" s="125" t="n"/>
      <c r="U675" s="14" t="n"/>
      <c r="V675" s="16" t="n"/>
      <c r="W675" s="125" t="n"/>
      <c r="X675" s="14" t="n"/>
      <c r="Y675" s="16" t="n"/>
      <c r="Z675" s="125" t="n"/>
      <c r="AA675" s="14" t="n"/>
      <c r="AB675" s="16" t="n"/>
      <c r="AC675" s="125" t="n"/>
      <c r="AD675" s="14" t="n"/>
    </row>
    <row r="676">
      <c r="B676" s="59" t="n"/>
      <c r="C676" s="59" t="n"/>
      <c r="E676" s="16" t="n"/>
      <c r="F676" s="13" t="n"/>
      <c r="G676" s="16" t="n"/>
      <c r="H676" s="125" t="n"/>
      <c r="I676" s="14" t="n"/>
      <c r="J676" s="16" t="n"/>
      <c r="K676" s="125" t="n"/>
      <c r="L676" s="14" t="n"/>
      <c r="M676" s="16" t="n"/>
      <c r="N676" s="125" t="n"/>
      <c r="O676" s="14" t="n"/>
      <c r="P676" s="16" t="n"/>
      <c r="Q676" s="125" t="n"/>
      <c r="R676" s="14" t="n"/>
      <c r="S676" s="16" t="n"/>
      <c r="T676" s="125" t="n"/>
      <c r="U676" s="14" t="n"/>
      <c r="V676" s="16" t="n"/>
      <c r="W676" s="125" t="n"/>
      <c r="X676" s="14" t="n"/>
      <c r="Y676" s="16" t="n"/>
      <c r="Z676" s="125" t="n"/>
      <c r="AA676" s="14" t="n"/>
      <c r="AB676" s="16" t="n"/>
      <c r="AC676" s="125" t="n"/>
      <c r="AD676" s="14" t="n"/>
    </row>
    <row r="677">
      <c r="B677" s="59" t="n"/>
      <c r="C677" s="59" t="n"/>
      <c r="E677" s="16" t="n"/>
      <c r="F677" s="13" t="n"/>
      <c r="G677" s="16" t="n"/>
      <c r="H677" s="125" t="n"/>
      <c r="I677" s="14" t="n"/>
      <c r="J677" s="16" t="n"/>
      <c r="K677" s="125" t="n"/>
      <c r="L677" s="14" t="n"/>
      <c r="M677" s="16" t="n"/>
      <c r="N677" s="125" t="n"/>
      <c r="O677" s="14" t="n"/>
      <c r="P677" s="16" t="n"/>
      <c r="Q677" s="125" t="n"/>
      <c r="R677" s="14" t="n"/>
      <c r="S677" s="16" t="n"/>
      <c r="T677" s="125" t="n"/>
      <c r="U677" s="14" t="n"/>
      <c r="V677" s="16" t="n"/>
      <c r="W677" s="125" t="n"/>
      <c r="X677" s="14" t="n"/>
      <c r="Y677" s="16" t="n"/>
      <c r="Z677" s="125" t="n"/>
      <c r="AA677" s="14" t="n"/>
      <c r="AB677" s="16" t="n"/>
      <c r="AC677" s="125" t="n"/>
      <c r="AD677" s="14" t="n"/>
    </row>
    <row r="678">
      <c r="B678" s="59" t="n"/>
      <c r="C678" s="59" t="n"/>
      <c r="E678" s="16" t="n"/>
      <c r="F678" s="13" t="n"/>
      <c r="G678" s="16" t="n"/>
      <c r="H678" s="125" t="n"/>
      <c r="I678" s="14" t="n"/>
      <c r="J678" s="16" t="n"/>
      <c r="K678" s="125" t="n"/>
      <c r="L678" s="14" t="n"/>
      <c r="M678" s="16" t="n"/>
      <c r="N678" s="125" t="n"/>
      <c r="O678" s="14" t="n"/>
      <c r="P678" s="16" t="n"/>
      <c r="Q678" s="125" t="n"/>
      <c r="R678" s="14" t="n"/>
      <c r="S678" s="16" t="n"/>
      <c r="T678" s="125" t="n"/>
      <c r="U678" s="14" t="n"/>
      <c r="V678" s="16" t="n"/>
      <c r="W678" s="125" t="n"/>
      <c r="X678" s="14" t="n"/>
      <c r="Y678" s="16" t="n"/>
      <c r="Z678" s="125" t="n"/>
      <c r="AA678" s="14" t="n"/>
      <c r="AB678" s="16" t="n"/>
      <c r="AC678" s="125" t="n"/>
      <c r="AD678" s="14" t="n"/>
    </row>
    <row r="679">
      <c r="B679" s="59" t="n"/>
      <c r="C679" s="59" t="n"/>
      <c r="E679" s="16" t="n"/>
      <c r="F679" s="13" t="n"/>
      <c r="G679" s="16" t="n"/>
      <c r="H679" s="125" t="n"/>
      <c r="I679" s="14" t="n"/>
      <c r="J679" s="16" t="n"/>
      <c r="K679" s="125" t="n"/>
      <c r="L679" s="14" t="n"/>
      <c r="M679" s="16" t="n"/>
      <c r="N679" s="125" t="n"/>
      <c r="O679" s="14" t="n"/>
      <c r="P679" s="16" t="n"/>
      <c r="Q679" s="125" t="n"/>
      <c r="R679" s="14" t="n"/>
      <c r="S679" s="16" t="n"/>
      <c r="T679" s="125" t="n"/>
      <c r="U679" s="14" t="n"/>
      <c r="V679" s="16" t="n"/>
      <c r="W679" s="125" t="n"/>
      <c r="X679" s="14" t="n"/>
      <c r="Y679" s="16" t="n"/>
      <c r="Z679" s="125" t="n"/>
      <c r="AA679" s="14" t="n"/>
      <c r="AB679" s="16" t="n"/>
      <c r="AC679" s="125" t="n"/>
      <c r="AD679" s="14" t="n"/>
    </row>
    <row r="680">
      <c r="B680" s="59" t="n"/>
      <c r="C680" s="59" t="n"/>
      <c r="E680" s="16" t="n"/>
      <c r="F680" s="13" t="n"/>
      <c r="G680" s="16" t="n"/>
      <c r="H680" s="125" t="n"/>
      <c r="I680" s="14" t="n"/>
      <c r="J680" s="16" t="n"/>
      <c r="K680" s="125" t="n"/>
      <c r="L680" s="14" t="n"/>
      <c r="M680" s="16" t="n"/>
      <c r="N680" s="125" t="n"/>
      <c r="O680" s="14" t="n"/>
      <c r="P680" s="16" t="n"/>
      <c r="Q680" s="125" t="n"/>
      <c r="R680" s="14" t="n"/>
      <c r="S680" s="16" t="n"/>
      <c r="T680" s="125" t="n"/>
      <c r="U680" s="14" t="n"/>
      <c r="V680" s="16" t="n"/>
      <c r="W680" s="125" t="n"/>
      <c r="X680" s="14" t="n"/>
      <c r="Y680" s="16" t="n"/>
      <c r="Z680" s="125" t="n"/>
      <c r="AA680" s="14" t="n"/>
      <c r="AB680" s="16" t="n"/>
      <c r="AC680" s="125" t="n"/>
      <c r="AD680" s="14" t="n"/>
    </row>
    <row r="681">
      <c r="B681" s="59" t="n"/>
      <c r="C681" s="59" t="n"/>
      <c r="E681" s="16" t="n"/>
      <c r="F681" s="13" t="n"/>
      <c r="G681" s="16" t="n"/>
      <c r="H681" s="125" t="n"/>
      <c r="I681" s="14" t="n"/>
      <c r="J681" s="16" t="n"/>
      <c r="K681" s="125" t="n"/>
      <c r="L681" s="14" t="n"/>
      <c r="M681" s="16" t="n"/>
      <c r="N681" s="125" t="n"/>
      <c r="O681" s="14" t="n"/>
      <c r="P681" s="16" t="n"/>
      <c r="Q681" s="125" t="n"/>
      <c r="R681" s="14" t="n"/>
      <c r="S681" s="16" t="n"/>
      <c r="T681" s="125" t="n"/>
      <c r="U681" s="14" t="n"/>
      <c r="V681" s="16" t="n"/>
      <c r="W681" s="125" t="n"/>
      <c r="X681" s="14" t="n"/>
      <c r="Y681" s="16" t="n"/>
      <c r="Z681" s="125" t="n"/>
      <c r="AA681" s="14" t="n"/>
      <c r="AB681" s="16" t="n"/>
      <c r="AC681" s="125" t="n"/>
      <c r="AD681" s="14" t="n"/>
    </row>
    <row r="682">
      <c r="B682" s="59" t="n"/>
      <c r="C682" s="59" t="n"/>
      <c r="E682" s="16" t="n"/>
      <c r="F682" s="13" t="n"/>
      <c r="G682" s="16" t="n"/>
      <c r="H682" s="125" t="n"/>
      <c r="I682" s="14" t="n"/>
      <c r="J682" s="16" t="n"/>
      <c r="K682" s="125" t="n"/>
      <c r="L682" s="14" t="n"/>
      <c r="M682" s="16" t="n"/>
      <c r="N682" s="125" t="n"/>
      <c r="O682" s="14" t="n"/>
      <c r="P682" s="16" t="n"/>
      <c r="Q682" s="125" t="n"/>
      <c r="R682" s="14" t="n"/>
      <c r="S682" s="16" t="n"/>
      <c r="T682" s="125" t="n"/>
      <c r="U682" s="14" t="n"/>
      <c r="V682" s="16" t="n"/>
      <c r="W682" s="125" t="n"/>
      <c r="X682" s="14" t="n"/>
      <c r="Y682" s="16" t="n"/>
      <c r="Z682" s="125" t="n"/>
      <c r="AA682" s="14" t="n"/>
      <c r="AB682" s="16" t="n"/>
      <c r="AC682" s="125" t="n"/>
      <c r="AD682" s="14" t="n"/>
    </row>
    <row r="683">
      <c r="B683" s="59" t="n"/>
      <c r="C683" s="59" t="n"/>
      <c r="E683" s="16" t="n"/>
      <c r="F683" s="13" t="n"/>
      <c r="G683" s="16" t="n"/>
      <c r="H683" s="125" t="n"/>
      <c r="I683" s="14" t="n"/>
      <c r="J683" s="16" t="n"/>
      <c r="K683" s="125" t="n"/>
      <c r="L683" s="14" t="n"/>
      <c r="M683" s="16" t="n"/>
      <c r="N683" s="125" t="n"/>
      <c r="O683" s="14" t="n"/>
      <c r="P683" s="16" t="n"/>
      <c r="Q683" s="125" t="n"/>
      <c r="R683" s="14" t="n"/>
      <c r="S683" s="16" t="n"/>
      <c r="T683" s="125" t="n"/>
      <c r="U683" s="14" t="n"/>
      <c r="V683" s="16" t="n"/>
      <c r="W683" s="125" t="n"/>
      <c r="X683" s="14" t="n"/>
      <c r="Y683" s="16" t="n"/>
      <c r="Z683" s="125" t="n"/>
      <c r="AA683" s="14" t="n"/>
      <c r="AB683" s="16" t="n"/>
      <c r="AC683" s="125" t="n"/>
      <c r="AD683" s="14" t="n"/>
    </row>
    <row r="684">
      <c r="B684" s="59" t="n"/>
      <c r="C684" s="59" t="n"/>
      <c r="E684" s="16" t="n"/>
      <c r="F684" s="13" t="n"/>
      <c r="G684" s="16" t="n"/>
      <c r="H684" s="125" t="n"/>
      <c r="I684" s="14" t="n"/>
      <c r="J684" s="16" t="n"/>
      <c r="K684" s="125" t="n"/>
      <c r="L684" s="14" t="n"/>
      <c r="M684" s="16" t="n"/>
      <c r="N684" s="125" t="n"/>
      <c r="O684" s="14" t="n"/>
      <c r="P684" s="16" t="n"/>
      <c r="Q684" s="125" t="n"/>
      <c r="R684" s="14" t="n"/>
      <c r="S684" s="16" t="n"/>
      <c r="T684" s="125" t="n"/>
      <c r="U684" s="14" t="n"/>
      <c r="V684" s="16" t="n"/>
      <c r="W684" s="125" t="n"/>
      <c r="X684" s="14" t="n"/>
      <c r="Y684" s="16" t="n"/>
      <c r="Z684" s="125" t="n"/>
      <c r="AA684" s="14" t="n"/>
      <c r="AB684" s="16" t="n"/>
      <c r="AC684" s="125" t="n"/>
      <c r="AD684" s="14" t="n"/>
    </row>
    <row r="685">
      <c r="B685" s="59" t="n"/>
      <c r="C685" s="59" t="n"/>
      <c r="E685" s="16" t="n"/>
      <c r="F685" s="13" t="n"/>
      <c r="G685" s="16" t="n"/>
      <c r="H685" s="125" t="n"/>
      <c r="I685" s="14" t="n"/>
      <c r="J685" s="16" t="n"/>
      <c r="K685" s="125" t="n"/>
      <c r="L685" s="14" t="n"/>
      <c r="M685" s="16" t="n"/>
      <c r="N685" s="125" t="n"/>
      <c r="O685" s="14" t="n"/>
      <c r="P685" s="16" t="n"/>
      <c r="Q685" s="125" t="n"/>
      <c r="R685" s="14" t="n"/>
      <c r="S685" s="16" t="n"/>
      <c r="T685" s="125" t="n"/>
      <c r="U685" s="14" t="n"/>
      <c r="V685" s="16" t="n"/>
      <c r="W685" s="125" t="n"/>
      <c r="X685" s="14" t="n"/>
      <c r="Y685" s="16" t="n"/>
      <c r="Z685" s="125" t="n"/>
      <c r="AA685" s="14" t="n"/>
      <c r="AB685" s="16" t="n"/>
      <c r="AC685" s="125" t="n"/>
      <c r="AD685" s="14" t="n"/>
    </row>
    <row r="686">
      <c r="B686" s="59" t="n"/>
      <c r="C686" s="59" t="n"/>
      <c r="E686" s="16" t="n"/>
      <c r="F686" s="13" t="n"/>
      <c r="G686" s="16" t="n"/>
      <c r="H686" s="125" t="n"/>
      <c r="I686" s="14" t="n"/>
      <c r="J686" s="16" t="n"/>
      <c r="K686" s="125" t="n"/>
      <c r="L686" s="14" t="n"/>
      <c r="M686" s="16" t="n"/>
      <c r="N686" s="125" t="n"/>
      <c r="O686" s="14" t="n"/>
      <c r="P686" s="16" t="n"/>
      <c r="Q686" s="125" t="n"/>
      <c r="R686" s="14" t="n"/>
      <c r="S686" s="16" t="n"/>
      <c r="T686" s="125" t="n"/>
      <c r="U686" s="14" t="n"/>
      <c r="V686" s="16" t="n"/>
      <c r="W686" s="125" t="n"/>
      <c r="X686" s="14" t="n"/>
      <c r="Y686" s="16" t="n"/>
      <c r="Z686" s="125" t="n"/>
      <c r="AA686" s="14" t="n"/>
      <c r="AB686" s="16" t="n"/>
      <c r="AC686" s="125" t="n"/>
      <c r="AD686" s="14" t="n"/>
    </row>
    <row r="687">
      <c r="B687" s="59" t="n"/>
      <c r="C687" s="59" t="n"/>
      <c r="E687" s="16" t="n"/>
      <c r="F687" s="13" t="n"/>
      <c r="G687" s="16" t="n"/>
      <c r="H687" s="125" t="n"/>
      <c r="I687" s="14" t="n"/>
      <c r="J687" s="16" t="n"/>
      <c r="K687" s="125" t="n"/>
      <c r="L687" s="14" t="n"/>
      <c r="M687" s="16" t="n"/>
      <c r="N687" s="125" t="n"/>
      <c r="O687" s="14" t="n"/>
      <c r="P687" s="16" t="n"/>
      <c r="Q687" s="125" t="n"/>
      <c r="R687" s="14" t="n"/>
      <c r="S687" s="16" t="n"/>
      <c r="T687" s="125" t="n"/>
      <c r="U687" s="14" t="n"/>
      <c r="V687" s="16" t="n"/>
      <c r="W687" s="125" t="n"/>
      <c r="X687" s="14" t="n"/>
      <c r="Y687" s="16" t="n"/>
      <c r="Z687" s="125" t="n"/>
      <c r="AA687" s="14" t="n"/>
      <c r="AB687" s="16" t="n"/>
      <c r="AC687" s="125" t="n"/>
      <c r="AD687" s="14" t="n"/>
    </row>
    <row r="688">
      <c r="B688" s="59" t="n"/>
      <c r="C688" s="59" t="n"/>
      <c r="E688" s="16" t="n"/>
      <c r="F688" s="13" t="n"/>
      <c r="G688" s="16" t="n"/>
      <c r="H688" s="125" t="n"/>
      <c r="I688" s="14" t="n"/>
      <c r="J688" s="16" t="n"/>
      <c r="K688" s="125" t="n"/>
      <c r="L688" s="14" t="n"/>
      <c r="M688" s="16" t="n"/>
      <c r="N688" s="125" t="n"/>
      <c r="O688" s="14" t="n"/>
      <c r="P688" s="16" t="n"/>
      <c r="Q688" s="125" t="n"/>
      <c r="R688" s="14" t="n"/>
      <c r="S688" s="16" t="n"/>
      <c r="T688" s="125" t="n"/>
      <c r="U688" s="14" t="n"/>
      <c r="V688" s="16" t="n"/>
      <c r="W688" s="125" t="n"/>
      <c r="X688" s="14" t="n"/>
      <c r="Y688" s="16" t="n"/>
      <c r="Z688" s="125" t="n"/>
      <c r="AA688" s="14" t="n"/>
      <c r="AB688" s="16" t="n"/>
      <c r="AC688" s="125" t="n"/>
      <c r="AD688" s="14" t="n"/>
    </row>
    <row r="689">
      <c r="B689" s="59" t="n"/>
      <c r="C689" s="59" t="n"/>
      <c r="E689" s="16" t="n"/>
      <c r="F689" s="13" t="n"/>
      <c r="G689" s="16" t="n"/>
      <c r="H689" s="125" t="n"/>
      <c r="I689" s="14" t="n"/>
      <c r="J689" s="16" t="n"/>
      <c r="K689" s="125" t="n"/>
      <c r="L689" s="14" t="n"/>
      <c r="M689" s="16" t="n"/>
      <c r="N689" s="125" t="n"/>
      <c r="O689" s="14" t="n"/>
      <c r="P689" s="16" t="n"/>
      <c r="Q689" s="125" t="n"/>
      <c r="R689" s="14" t="n"/>
      <c r="S689" s="16" t="n"/>
      <c r="T689" s="125" t="n"/>
      <c r="U689" s="14" t="n"/>
      <c r="V689" s="16" t="n"/>
      <c r="W689" s="125" t="n"/>
      <c r="X689" s="14" t="n"/>
      <c r="Y689" s="16" t="n"/>
      <c r="Z689" s="125" t="n"/>
      <c r="AA689" s="14" t="n"/>
      <c r="AB689" s="16" t="n"/>
      <c r="AC689" s="125" t="n"/>
      <c r="AD689" s="14" t="n"/>
    </row>
    <row r="690">
      <c r="B690" s="59" t="n"/>
      <c r="C690" s="59" t="n"/>
      <c r="E690" s="16" t="n"/>
      <c r="F690" s="13" t="n"/>
      <c r="G690" s="16" t="n"/>
      <c r="H690" s="125" t="n"/>
      <c r="I690" s="14" t="n"/>
      <c r="J690" s="16" t="n"/>
      <c r="K690" s="125" t="n"/>
      <c r="L690" s="14" t="n"/>
      <c r="M690" s="16" t="n"/>
      <c r="N690" s="125" t="n"/>
      <c r="O690" s="14" t="n"/>
      <c r="P690" s="16" t="n"/>
      <c r="Q690" s="125" t="n"/>
      <c r="R690" s="14" t="n"/>
      <c r="S690" s="16" t="n"/>
      <c r="T690" s="125" t="n"/>
      <c r="U690" s="14" t="n"/>
      <c r="V690" s="16" t="n"/>
      <c r="W690" s="125" t="n"/>
      <c r="X690" s="14" t="n"/>
      <c r="Y690" s="16" t="n"/>
      <c r="Z690" s="125" t="n"/>
      <c r="AA690" s="14" t="n"/>
      <c r="AB690" s="16" t="n"/>
      <c r="AC690" s="125" t="n"/>
      <c r="AD690" s="14" t="n"/>
    </row>
    <row r="691">
      <c r="B691" s="59" t="n"/>
      <c r="C691" s="59" t="n"/>
      <c r="E691" s="16" t="n"/>
      <c r="F691" s="13" t="n"/>
      <c r="G691" s="16" t="n"/>
      <c r="H691" s="125" t="n"/>
      <c r="I691" s="14" t="n"/>
      <c r="J691" s="16" t="n"/>
      <c r="K691" s="125" t="n"/>
      <c r="L691" s="14" t="n"/>
      <c r="M691" s="16" t="n"/>
      <c r="N691" s="125" t="n"/>
      <c r="O691" s="14" t="n"/>
      <c r="P691" s="16" t="n"/>
      <c r="Q691" s="125" t="n"/>
      <c r="R691" s="14" t="n"/>
      <c r="S691" s="16" t="n"/>
      <c r="T691" s="125" t="n"/>
      <c r="U691" s="14" t="n"/>
      <c r="V691" s="16" t="n"/>
      <c r="W691" s="125" t="n"/>
      <c r="X691" s="14" t="n"/>
      <c r="Y691" s="16" t="n"/>
      <c r="Z691" s="125" t="n"/>
      <c r="AA691" s="14" t="n"/>
      <c r="AB691" s="16" t="n"/>
      <c r="AC691" s="125" t="n"/>
      <c r="AD691" s="14" t="n"/>
    </row>
    <row r="692">
      <c r="B692" s="59" t="n"/>
      <c r="C692" s="59" t="n"/>
      <c r="E692" s="16" t="n"/>
      <c r="F692" s="13" t="n"/>
      <c r="G692" s="16" t="n"/>
      <c r="H692" s="125" t="n"/>
      <c r="I692" s="14" t="n"/>
      <c r="J692" s="16" t="n"/>
      <c r="K692" s="125" t="n"/>
      <c r="L692" s="14" t="n"/>
      <c r="M692" s="16" t="n"/>
      <c r="N692" s="125" t="n"/>
      <c r="O692" s="14" t="n"/>
      <c r="P692" s="16" t="n"/>
      <c r="Q692" s="125" t="n"/>
      <c r="R692" s="14" t="n"/>
      <c r="S692" s="16" t="n"/>
      <c r="T692" s="125" t="n"/>
      <c r="U692" s="14" t="n"/>
      <c r="V692" s="16" t="n"/>
      <c r="W692" s="125" t="n"/>
      <c r="X692" s="14" t="n"/>
      <c r="Y692" s="16" t="n"/>
      <c r="Z692" s="125" t="n"/>
      <c r="AA692" s="14" t="n"/>
      <c r="AB692" s="16" t="n"/>
      <c r="AC692" s="125" t="n"/>
      <c r="AD692" s="14" t="n"/>
    </row>
    <row r="693">
      <c r="B693" s="59" t="n"/>
      <c r="C693" s="59" t="n"/>
      <c r="E693" s="16" t="n"/>
      <c r="F693" s="13" t="n"/>
      <c r="G693" s="16" t="n"/>
      <c r="H693" s="125" t="n"/>
      <c r="I693" s="14" t="n"/>
      <c r="J693" s="16" t="n"/>
      <c r="K693" s="125" t="n"/>
      <c r="L693" s="14" t="n"/>
      <c r="M693" s="16" t="n"/>
      <c r="N693" s="125" t="n"/>
      <c r="O693" s="14" t="n"/>
      <c r="P693" s="16" t="n"/>
      <c r="Q693" s="125" t="n"/>
      <c r="R693" s="14" t="n"/>
      <c r="S693" s="16" t="n"/>
      <c r="T693" s="125" t="n"/>
      <c r="U693" s="14" t="n"/>
      <c r="V693" s="16" t="n"/>
      <c r="W693" s="125" t="n"/>
      <c r="X693" s="14" t="n"/>
      <c r="Y693" s="16" t="n"/>
      <c r="Z693" s="125" t="n"/>
      <c r="AA693" s="14" t="n"/>
      <c r="AB693" s="16" t="n"/>
      <c r="AC693" s="125" t="n"/>
      <c r="AD693" s="14" t="n"/>
    </row>
    <row r="694">
      <c r="B694" s="59" t="n"/>
      <c r="C694" s="59" t="n"/>
      <c r="E694" s="16" t="n"/>
      <c r="F694" s="13" t="n"/>
      <c r="G694" s="16" t="n"/>
      <c r="H694" s="125" t="n"/>
      <c r="I694" s="14" t="n"/>
      <c r="J694" s="16" t="n"/>
      <c r="K694" s="125" t="n"/>
      <c r="L694" s="14" t="n"/>
      <c r="M694" s="16" t="n"/>
      <c r="N694" s="125" t="n"/>
      <c r="O694" s="14" t="n"/>
      <c r="P694" s="16" t="n"/>
      <c r="Q694" s="125" t="n"/>
      <c r="R694" s="14" t="n"/>
      <c r="S694" s="16" t="n"/>
      <c r="T694" s="125" t="n"/>
      <c r="U694" s="14" t="n"/>
      <c r="V694" s="16" t="n"/>
      <c r="W694" s="125" t="n"/>
      <c r="X694" s="14" t="n"/>
      <c r="Y694" s="16" t="n"/>
      <c r="Z694" s="125" t="n"/>
      <c r="AA694" s="14" t="n"/>
      <c r="AB694" s="16" t="n"/>
      <c r="AC694" s="125" t="n"/>
      <c r="AD694" s="14" t="n"/>
    </row>
    <row r="695">
      <c r="B695" s="59" t="n"/>
      <c r="C695" s="59" t="n"/>
      <c r="E695" s="16" t="n"/>
      <c r="F695" s="13" t="n"/>
      <c r="G695" s="16" t="n"/>
      <c r="H695" s="125" t="n"/>
      <c r="I695" s="14" t="n"/>
      <c r="J695" s="16" t="n"/>
      <c r="K695" s="125" t="n"/>
      <c r="L695" s="14" t="n"/>
      <c r="M695" s="16" t="n"/>
      <c r="N695" s="125" t="n"/>
      <c r="O695" s="14" t="n"/>
      <c r="P695" s="16" t="n"/>
      <c r="Q695" s="125" t="n"/>
      <c r="R695" s="14" t="n"/>
      <c r="S695" s="16" t="n"/>
      <c r="T695" s="125" t="n"/>
      <c r="U695" s="14" t="n"/>
      <c r="V695" s="16" t="n"/>
      <c r="W695" s="125" t="n"/>
      <c r="X695" s="14" t="n"/>
      <c r="Y695" s="16" t="n"/>
      <c r="Z695" s="125" t="n"/>
      <c r="AA695" s="14" t="n"/>
      <c r="AB695" s="16" t="n"/>
      <c r="AC695" s="125" t="n"/>
      <c r="AD695" s="14" t="n"/>
    </row>
    <row r="696">
      <c r="B696" s="59" t="n"/>
      <c r="C696" s="59" t="n"/>
      <c r="E696" s="16" t="n"/>
      <c r="F696" s="13" t="n"/>
      <c r="G696" s="16" t="n"/>
      <c r="H696" s="125" t="n"/>
      <c r="I696" s="14" t="n"/>
      <c r="J696" s="16" t="n"/>
      <c r="K696" s="125" t="n"/>
      <c r="L696" s="14" t="n"/>
      <c r="M696" s="16" t="n"/>
      <c r="N696" s="125" t="n"/>
      <c r="O696" s="14" t="n"/>
      <c r="P696" s="16" t="n"/>
      <c r="Q696" s="125" t="n"/>
      <c r="R696" s="14" t="n"/>
      <c r="S696" s="16" t="n"/>
      <c r="T696" s="125" t="n"/>
      <c r="U696" s="14" t="n"/>
      <c r="V696" s="16" t="n"/>
      <c r="W696" s="125" t="n"/>
      <c r="X696" s="14" t="n"/>
      <c r="Y696" s="16" t="n"/>
      <c r="Z696" s="125" t="n"/>
      <c r="AA696" s="14" t="n"/>
      <c r="AB696" s="16" t="n"/>
      <c r="AC696" s="125" t="n"/>
      <c r="AD696" s="14" t="n"/>
    </row>
    <row r="697">
      <c r="B697" s="59" t="n"/>
      <c r="C697" s="59" t="n"/>
      <c r="E697" s="16" t="n"/>
      <c r="F697" s="13" t="n"/>
      <c r="G697" s="16" t="n"/>
      <c r="H697" s="125" t="n"/>
      <c r="I697" s="14" t="n"/>
      <c r="J697" s="16" t="n"/>
      <c r="K697" s="125" t="n"/>
      <c r="L697" s="14" t="n"/>
      <c r="M697" s="16" t="n"/>
      <c r="N697" s="125" t="n"/>
      <c r="O697" s="14" t="n"/>
      <c r="P697" s="16" t="n"/>
      <c r="Q697" s="125" t="n"/>
      <c r="R697" s="14" t="n"/>
      <c r="S697" s="16" t="n"/>
      <c r="T697" s="125" t="n"/>
      <c r="U697" s="14" t="n"/>
      <c r="V697" s="16" t="n"/>
      <c r="W697" s="125" t="n"/>
      <c r="X697" s="14" t="n"/>
      <c r="Y697" s="16" t="n"/>
      <c r="Z697" s="125" t="n"/>
      <c r="AA697" s="14" t="n"/>
      <c r="AB697" s="16" t="n"/>
      <c r="AC697" s="125" t="n"/>
      <c r="AD697" s="14" t="n"/>
    </row>
    <row r="698">
      <c r="B698" s="59" t="n"/>
      <c r="C698" s="59" t="n"/>
      <c r="E698" s="16" t="n"/>
      <c r="F698" s="13" t="n"/>
      <c r="G698" s="16" t="n"/>
      <c r="H698" s="125" t="n"/>
      <c r="I698" s="14" t="n"/>
      <c r="J698" s="16" t="n"/>
      <c r="K698" s="125" t="n"/>
      <c r="L698" s="14" t="n"/>
      <c r="M698" s="16" t="n"/>
      <c r="N698" s="125" t="n"/>
      <c r="O698" s="14" t="n"/>
      <c r="P698" s="16" t="n"/>
      <c r="Q698" s="125" t="n"/>
      <c r="R698" s="14" t="n"/>
      <c r="S698" s="16" t="n"/>
      <c r="T698" s="125" t="n"/>
      <c r="U698" s="14" t="n"/>
      <c r="V698" s="16" t="n"/>
      <c r="W698" s="125" t="n"/>
      <c r="X698" s="14" t="n"/>
      <c r="Y698" s="16" t="n"/>
      <c r="Z698" s="125" t="n"/>
      <c r="AA698" s="14" t="n"/>
      <c r="AB698" s="16" t="n"/>
      <c r="AC698" s="125" t="n"/>
      <c r="AD698" s="14" t="n"/>
    </row>
    <row r="699">
      <c r="B699" s="59" t="n"/>
      <c r="C699" s="59" t="n"/>
      <c r="E699" s="16" t="n"/>
      <c r="F699" s="13" t="n"/>
      <c r="G699" s="16" t="n"/>
      <c r="H699" s="125" t="n"/>
      <c r="I699" s="14" t="n"/>
      <c r="J699" s="16" t="n"/>
      <c r="K699" s="125" t="n"/>
      <c r="L699" s="14" t="n"/>
      <c r="M699" s="16" t="n"/>
      <c r="N699" s="125" t="n"/>
      <c r="O699" s="14" t="n"/>
      <c r="P699" s="16" t="n"/>
      <c r="Q699" s="125" t="n"/>
      <c r="R699" s="14" t="n"/>
      <c r="S699" s="16" t="n"/>
      <c r="T699" s="125" t="n"/>
      <c r="U699" s="14" t="n"/>
      <c r="V699" s="16" t="n"/>
      <c r="W699" s="125" t="n"/>
      <c r="X699" s="14" t="n"/>
      <c r="Y699" s="16" t="n"/>
      <c r="Z699" s="125" t="n"/>
      <c r="AA699" s="14" t="n"/>
      <c r="AB699" s="16" t="n"/>
      <c r="AC699" s="125" t="n"/>
      <c r="AD699" s="14" t="n"/>
    </row>
    <row r="700">
      <c r="B700" s="59" t="n"/>
      <c r="C700" s="59" t="n"/>
      <c r="E700" s="16" t="n"/>
      <c r="F700" s="13" t="n"/>
      <c r="G700" s="16" t="n"/>
      <c r="H700" s="125" t="n"/>
      <c r="I700" s="14" t="n"/>
      <c r="J700" s="16" t="n"/>
      <c r="K700" s="125" t="n"/>
      <c r="L700" s="14" t="n"/>
      <c r="M700" s="16" t="n"/>
      <c r="N700" s="125" t="n"/>
      <c r="O700" s="14" t="n"/>
      <c r="P700" s="16" t="n"/>
      <c r="Q700" s="125" t="n"/>
      <c r="R700" s="14" t="n"/>
      <c r="S700" s="16" t="n"/>
      <c r="T700" s="125" t="n"/>
      <c r="U700" s="14" t="n"/>
      <c r="V700" s="16" t="n"/>
      <c r="W700" s="125" t="n"/>
      <c r="X700" s="14" t="n"/>
      <c r="Y700" s="16" t="n"/>
      <c r="Z700" s="125" t="n"/>
      <c r="AA700" s="14" t="n"/>
      <c r="AB700" s="16" t="n"/>
      <c r="AC700" s="125" t="n"/>
      <c r="AD700" s="14" t="n"/>
    </row>
    <row r="701">
      <c r="B701" s="59" t="n"/>
      <c r="C701" s="59" t="n"/>
      <c r="E701" s="16" t="n"/>
      <c r="F701" s="13" t="n"/>
      <c r="G701" s="16" t="n"/>
      <c r="H701" s="125" t="n"/>
      <c r="I701" s="14" t="n"/>
      <c r="J701" s="16" t="n"/>
      <c r="K701" s="125" t="n"/>
      <c r="L701" s="14" t="n"/>
      <c r="M701" s="16" t="n"/>
      <c r="N701" s="125" t="n"/>
      <c r="O701" s="14" t="n"/>
      <c r="P701" s="16" t="n"/>
      <c r="Q701" s="125" t="n"/>
      <c r="R701" s="14" t="n"/>
      <c r="S701" s="16" t="n"/>
      <c r="T701" s="125" t="n"/>
      <c r="U701" s="14" t="n"/>
      <c r="V701" s="16" t="n"/>
      <c r="W701" s="125" t="n"/>
      <c r="X701" s="14" t="n"/>
      <c r="Y701" s="16" t="n"/>
      <c r="Z701" s="125" t="n"/>
      <c r="AA701" s="14" t="n"/>
      <c r="AB701" s="16" t="n"/>
      <c r="AC701" s="125" t="n"/>
      <c r="AD701" s="14" t="n"/>
    </row>
    <row r="702">
      <c r="B702" s="59" t="n"/>
      <c r="C702" s="59" t="n"/>
      <c r="E702" s="16" t="n"/>
      <c r="F702" s="13" t="n"/>
      <c r="G702" s="16" t="n"/>
      <c r="H702" s="125" t="n"/>
      <c r="I702" s="14" t="n"/>
      <c r="J702" s="16" t="n"/>
      <c r="K702" s="125" t="n"/>
      <c r="L702" s="14" t="n"/>
      <c r="M702" s="16" t="n"/>
      <c r="N702" s="125" t="n"/>
      <c r="O702" s="14" t="n"/>
      <c r="P702" s="16" t="n"/>
      <c r="Q702" s="125" t="n"/>
      <c r="R702" s="14" t="n"/>
      <c r="S702" s="16" t="n"/>
      <c r="T702" s="125" t="n"/>
      <c r="U702" s="14" t="n"/>
      <c r="V702" s="16" t="n"/>
      <c r="W702" s="125" t="n"/>
      <c r="X702" s="14" t="n"/>
      <c r="Y702" s="16" t="n"/>
      <c r="Z702" s="125" t="n"/>
      <c r="AA702" s="14" t="n"/>
      <c r="AB702" s="16" t="n"/>
      <c r="AC702" s="125" t="n"/>
      <c r="AD702" s="14" t="n"/>
    </row>
    <row r="703">
      <c r="B703" s="59" t="n"/>
      <c r="C703" s="59" t="n"/>
      <c r="E703" s="16" t="n"/>
      <c r="F703" s="13" t="n"/>
      <c r="G703" s="16" t="n"/>
      <c r="H703" s="125" t="n"/>
      <c r="I703" s="14" t="n"/>
      <c r="J703" s="16" t="n"/>
      <c r="K703" s="125" t="n"/>
      <c r="L703" s="14" t="n"/>
      <c r="M703" s="16" t="n"/>
      <c r="N703" s="125" t="n"/>
      <c r="O703" s="14" t="n"/>
      <c r="P703" s="16" t="n"/>
      <c r="Q703" s="125" t="n"/>
      <c r="R703" s="14" t="n"/>
      <c r="S703" s="16" t="n"/>
      <c r="T703" s="125" t="n"/>
      <c r="U703" s="14" t="n"/>
      <c r="V703" s="16" t="n"/>
      <c r="W703" s="125" t="n"/>
      <c r="X703" s="14" t="n"/>
      <c r="Y703" s="16" t="n"/>
      <c r="Z703" s="125" t="n"/>
      <c r="AA703" s="14" t="n"/>
      <c r="AB703" s="16" t="n"/>
      <c r="AC703" s="125" t="n"/>
      <c r="AD703" s="14" t="n"/>
    </row>
    <row r="704">
      <c r="B704" s="59" t="n"/>
      <c r="C704" s="59" t="n"/>
      <c r="E704" s="16" t="n"/>
      <c r="F704" s="13" t="n"/>
      <c r="G704" s="16" t="n"/>
      <c r="H704" s="125" t="n"/>
      <c r="I704" s="14" t="n"/>
      <c r="J704" s="16" t="n"/>
      <c r="K704" s="125" t="n"/>
      <c r="L704" s="14" t="n"/>
      <c r="M704" s="16" t="n"/>
      <c r="N704" s="125" t="n"/>
      <c r="O704" s="14" t="n"/>
      <c r="P704" s="16" t="n"/>
      <c r="Q704" s="125" t="n"/>
      <c r="R704" s="14" t="n"/>
      <c r="S704" s="16" t="n"/>
      <c r="T704" s="125" t="n"/>
      <c r="U704" s="14" t="n"/>
      <c r="V704" s="16" t="n"/>
      <c r="W704" s="125" t="n"/>
      <c r="X704" s="14" t="n"/>
      <c r="Y704" s="16" t="n"/>
      <c r="Z704" s="125" t="n"/>
      <c r="AA704" s="14" t="n"/>
      <c r="AB704" s="16" t="n"/>
      <c r="AC704" s="125" t="n"/>
      <c r="AD704" s="14" t="n"/>
    </row>
    <row r="705">
      <c r="B705" s="59" t="n"/>
      <c r="C705" s="59" t="n"/>
      <c r="E705" s="16" t="n"/>
      <c r="F705" s="13" t="n"/>
      <c r="G705" s="16" t="n"/>
      <c r="H705" s="125" t="n"/>
      <c r="I705" s="14" t="n"/>
      <c r="J705" s="16" t="n"/>
      <c r="K705" s="125" t="n"/>
      <c r="L705" s="14" t="n"/>
      <c r="M705" s="16" t="n"/>
      <c r="N705" s="125" t="n"/>
      <c r="O705" s="14" t="n"/>
      <c r="P705" s="16" t="n"/>
      <c r="Q705" s="125" t="n"/>
      <c r="R705" s="14" t="n"/>
      <c r="S705" s="16" t="n"/>
      <c r="T705" s="125" t="n"/>
      <c r="U705" s="14" t="n"/>
      <c r="V705" s="16" t="n"/>
      <c r="W705" s="125" t="n"/>
      <c r="X705" s="14" t="n"/>
      <c r="Y705" s="16" t="n"/>
      <c r="Z705" s="125" t="n"/>
      <c r="AA705" s="14" t="n"/>
      <c r="AB705" s="16" t="n"/>
      <c r="AC705" s="125" t="n"/>
      <c r="AD705" s="14" t="n"/>
    </row>
    <row r="706">
      <c r="B706" s="59" t="n"/>
      <c r="C706" s="59" t="n"/>
      <c r="E706" s="16" t="n"/>
      <c r="F706" s="13" t="n"/>
      <c r="G706" s="16" t="n"/>
      <c r="H706" s="125" t="n"/>
      <c r="I706" s="14" t="n"/>
      <c r="J706" s="16" t="n"/>
      <c r="K706" s="125" t="n"/>
      <c r="L706" s="14" t="n"/>
      <c r="M706" s="16" t="n"/>
      <c r="N706" s="125" t="n"/>
      <c r="O706" s="14" t="n"/>
      <c r="P706" s="16" t="n"/>
      <c r="Q706" s="125" t="n"/>
      <c r="R706" s="14" t="n"/>
      <c r="S706" s="16" t="n"/>
      <c r="T706" s="125" t="n"/>
      <c r="U706" s="14" t="n"/>
      <c r="V706" s="16" t="n"/>
      <c r="W706" s="125" t="n"/>
      <c r="X706" s="14" t="n"/>
      <c r="Y706" s="16" t="n"/>
      <c r="Z706" s="125" t="n"/>
      <c r="AA706" s="14" t="n"/>
      <c r="AB706" s="16" t="n"/>
      <c r="AC706" s="125" t="n"/>
      <c r="AD706" s="14" t="n"/>
    </row>
    <row r="707">
      <c r="B707" s="59" t="n"/>
      <c r="C707" s="59" t="n"/>
      <c r="E707" s="16" t="n"/>
      <c r="F707" s="13" t="n"/>
      <c r="G707" s="16" t="n"/>
      <c r="H707" s="125" t="n"/>
      <c r="I707" s="14" t="n"/>
      <c r="J707" s="16" t="n"/>
      <c r="K707" s="125" t="n"/>
      <c r="L707" s="14" t="n"/>
      <c r="M707" s="16" t="n"/>
      <c r="N707" s="125" t="n"/>
      <c r="O707" s="14" t="n"/>
      <c r="P707" s="16" t="n"/>
      <c r="Q707" s="125" t="n"/>
      <c r="R707" s="14" t="n"/>
      <c r="S707" s="16" t="n"/>
      <c r="T707" s="125" t="n"/>
      <c r="U707" s="14" t="n"/>
      <c r="V707" s="16" t="n"/>
      <c r="W707" s="125" t="n"/>
      <c r="X707" s="14" t="n"/>
      <c r="Y707" s="16" t="n"/>
      <c r="Z707" s="125" t="n"/>
      <c r="AA707" s="14" t="n"/>
      <c r="AB707" s="16" t="n"/>
      <c r="AC707" s="125" t="n"/>
      <c r="AD707" s="14" t="n"/>
    </row>
    <row r="708">
      <c r="B708" s="59" t="n"/>
      <c r="C708" s="59" t="n"/>
      <c r="E708" s="16" t="n"/>
      <c r="F708" s="13" t="n"/>
      <c r="G708" s="16" t="n"/>
      <c r="H708" s="125" t="n"/>
      <c r="I708" s="14" t="n"/>
      <c r="J708" s="16" t="n"/>
      <c r="K708" s="125" t="n"/>
      <c r="L708" s="14" t="n"/>
      <c r="M708" s="16" t="n"/>
      <c r="N708" s="125" t="n"/>
      <c r="O708" s="14" t="n"/>
      <c r="P708" s="16" t="n"/>
      <c r="Q708" s="125" t="n"/>
      <c r="R708" s="14" t="n"/>
      <c r="S708" s="16" t="n"/>
      <c r="T708" s="125" t="n"/>
      <c r="U708" s="14" t="n"/>
      <c r="V708" s="16" t="n"/>
      <c r="W708" s="125" t="n"/>
      <c r="X708" s="14" t="n"/>
      <c r="Y708" s="16" t="n"/>
      <c r="Z708" s="125" t="n"/>
      <c r="AA708" s="14" t="n"/>
      <c r="AB708" s="16" t="n"/>
      <c r="AC708" s="125" t="n"/>
      <c r="AD708" s="14" t="n"/>
    </row>
    <row r="709">
      <c r="B709" s="59" t="n"/>
      <c r="C709" s="59" t="n"/>
      <c r="E709" s="16" t="n"/>
      <c r="F709" s="13" t="n"/>
      <c r="G709" s="16" t="n"/>
      <c r="H709" s="125" t="n"/>
      <c r="I709" s="14" t="n"/>
      <c r="J709" s="16" t="n"/>
      <c r="K709" s="125" t="n"/>
      <c r="L709" s="14" t="n"/>
      <c r="M709" s="16" t="n"/>
      <c r="N709" s="125" t="n"/>
      <c r="O709" s="14" t="n"/>
      <c r="P709" s="16" t="n"/>
      <c r="Q709" s="125" t="n"/>
      <c r="R709" s="14" t="n"/>
      <c r="S709" s="16" t="n"/>
      <c r="T709" s="125" t="n"/>
      <c r="U709" s="14" t="n"/>
      <c r="V709" s="16" t="n"/>
      <c r="W709" s="125" t="n"/>
      <c r="X709" s="14" t="n"/>
      <c r="Y709" s="16" t="n"/>
      <c r="Z709" s="125" t="n"/>
      <c r="AA709" s="14" t="n"/>
      <c r="AB709" s="16" t="n"/>
      <c r="AC709" s="125" t="n"/>
      <c r="AD709" s="14" t="n"/>
    </row>
    <row r="710">
      <c r="B710" s="59" t="n"/>
      <c r="C710" s="59" t="n"/>
      <c r="E710" s="16" t="n"/>
      <c r="F710" s="13" t="n"/>
      <c r="G710" s="16" t="n"/>
      <c r="H710" s="125" t="n"/>
      <c r="I710" s="14" t="n"/>
      <c r="J710" s="16" t="n"/>
      <c r="K710" s="125" t="n"/>
      <c r="L710" s="14" t="n"/>
      <c r="M710" s="16" t="n"/>
      <c r="N710" s="125" t="n"/>
      <c r="O710" s="14" t="n"/>
      <c r="P710" s="16" t="n"/>
      <c r="Q710" s="125" t="n"/>
      <c r="R710" s="14" t="n"/>
      <c r="S710" s="16" t="n"/>
      <c r="T710" s="125" t="n"/>
      <c r="U710" s="14" t="n"/>
      <c r="V710" s="16" t="n"/>
      <c r="W710" s="125" t="n"/>
      <c r="X710" s="14" t="n"/>
      <c r="Y710" s="16" t="n"/>
      <c r="Z710" s="125" t="n"/>
      <c r="AA710" s="14" t="n"/>
      <c r="AB710" s="16" t="n"/>
      <c r="AC710" s="125" t="n"/>
      <c r="AD710" s="14" t="n"/>
    </row>
    <row r="711">
      <c r="B711" s="59" t="n"/>
      <c r="C711" s="59" t="n"/>
      <c r="E711" s="16" t="n"/>
      <c r="F711" s="13" t="n"/>
      <c r="G711" s="16" t="n"/>
      <c r="H711" s="125" t="n"/>
      <c r="I711" s="14" t="n"/>
      <c r="J711" s="16" t="n"/>
      <c r="K711" s="125" t="n"/>
      <c r="L711" s="14" t="n"/>
      <c r="M711" s="16" t="n"/>
      <c r="N711" s="125" t="n"/>
      <c r="O711" s="14" t="n"/>
      <c r="P711" s="16" t="n"/>
      <c r="Q711" s="125" t="n"/>
      <c r="R711" s="14" t="n"/>
      <c r="S711" s="16" t="n"/>
      <c r="T711" s="125" t="n"/>
      <c r="U711" s="14" t="n"/>
      <c r="V711" s="16" t="n"/>
      <c r="W711" s="125" t="n"/>
      <c r="X711" s="14" t="n"/>
      <c r="Y711" s="16" t="n"/>
      <c r="Z711" s="125" t="n"/>
      <c r="AA711" s="14" t="n"/>
      <c r="AB711" s="16" t="n"/>
      <c r="AC711" s="125" t="n"/>
      <c r="AD711" s="14" t="n"/>
    </row>
    <row r="712">
      <c r="B712" s="59" t="n"/>
      <c r="C712" s="59" t="n"/>
      <c r="E712" s="16" t="n"/>
      <c r="F712" s="13" t="n"/>
      <c r="G712" s="16" t="n"/>
      <c r="H712" s="125" t="n"/>
      <c r="I712" s="14" t="n"/>
      <c r="J712" s="16" t="n"/>
      <c r="K712" s="125" t="n"/>
      <c r="L712" s="14" t="n"/>
      <c r="M712" s="16" t="n"/>
      <c r="N712" s="125" t="n"/>
      <c r="O712" s="14" t="n"/>
      <c r="P712" s="16" t="n"/>
      <c r="Q712" s="125" t="n"/>
      <c r="R712" s="14" t="n"/>
      <c r="S712" s="16" t="n"/>
      <c r="T712" s="125" t="n"/>
      <c r="U712" s="14" t="n"/>
      <c r="V712" s="16" t="n"/>
      <c r="W712" s="125" t="n"/>
      <c r="X712" s="14" t="n"/>
      <c r="Y712" s="16" t="n"/>
      <c r="Z712" s="125" t="n"/>
      <c r="AA712" s="14" t="n"/>
      <c r="AB712" s="16" t="n"/>
      <c r="AC712" s="125" t="n"/>
      <c r="AD712" s="14" t="n"/>
    </row>
    <row r="713">
      <c r="B713" s="59" t="n"/>
      <c r="C713" s="59" t="n"/>
      <c r="E713" s="16" t="n"/>
      <c r="F713" s="13" t="n"/>
      <c r="G713" s="16" t="n"/>
      <c r="H713" s="125" t="n"/>
      <c r="I713" s="14" t="n"/>
      <c r="J713" s="16" t="n"/>
      <c r="K713" s="125" t="n"/>
      <c r="L713" s="14" t="n"/>
      <c r="M713" s="16" t="n"/>
      <c r="N713" s="125" t="n"/>
      <c r="O713" s="14" t="n"/>
      <c r="P713" s="16" t="n"/>
      <c r="Q713" s="125" t="n"/>
      <c r="R713" s="14" t="n"/>
      <c r="S713" s="16" t="n"/>
      <c r="T713" s="125" t="n"/>
      <c r="U713" s="14" t="n"/>
      <c r="V713" s="16" t="n"/>
      <c r="W713" s="125" t="n"/>
      <c r="X713" s="14" t="n"/>
      <c r="Y713" s="16" t="n"/>
      <c r="Z713" s="125" t="n"/>
      <c r="AA713" s="14" t="n"/>
      <c r="AB713" s="16" t="n"/>
      <c r="AC713" s="125" t="n"/>
      <c r="AD713" s="14" t="n"/>
    </row>
    <row r="714">
      <c r="B714" s="59" t="n"/>
      <c r="C714" s="59" t="n"/>
      <c r="E714" s="16" t="n"/>
      <c r="F714" s="13" t="n"/>
      <c r="G714" s="16" t="n"/>
      <c r="H714" s="125" t="n"/>
      <c r="I714" s="14" t="n"/>
      <c r="J714" s="16" t="n"/>
      <c r="K714" s="125" t="n"/>
      <c r="L714" s="14" t="n"/>
      <c r="M714" s="16" t="n"/>
      <c r="N714" s="125" t="n"/>
      <c r="O714" s="14" t="n"/>
      <c r="P714" s="16" t="n"/>
      <c r="Q714" s="125" t="n"/>
      <c r="R714" s="14" t="n"/>
      <c r="S714" s="16" t="n"/>
      <c r="T714" s="125" t="n"/>
      <c r="U714" s="14" t="n"/>
      <c r="V714" s="16" t="n"/>
      <c r="W714" s="125" t="n"/>
      <c r="X714" s="14" t="n"/>
      <c r="Y714" s="16" t="n"/>
      <c r="Z714" s="125" t="n"/>
      <c r="AA714" s="14" t="n"/>
      <c r="AB714" s="16" t="n"/>
      <c r="AC714" s="125" t="n"/>
      <c r="AD714" s="14" t="n"/>
    </row>
    <row r="715">
      <c r="B715" s="59" t="n"/>
      <c r="C715" s="59" t="n"/>
      <c r="E715" s="16" t="n"/>
      <c r="F715" s="13" t="n"/>
      <c r="G715" s="16" t="n"/>
      <c r="H715" s="125" t="n"/>
      <c r="I715" s="14" t="n"/>
      <c r="J715" s="16" t="n"/>
      <c r="K715" s="125" t="n"/>
      <c r="L715" s="14" t="n"/>
      <c r="M715" s="16" t="n"/>
      <c r="N715" s="125" t="n"/>
      <c r="O715" s="14" t="n"/>
      <c r="P715" s="16" t="n"/>
      <c r="Q715" s="125" t="n"/>
      <c r="R715" s="14" t="n"/>
      <c r="S715" s="16" t="n"/>
      <c r="T715" s="125" t="n"/>
      <c r="U715" s="14" t="n"/>
      <c r="V715" s="16" t="n"/>
      <c r="W715" s="125" t="n"/>
      <c r="X715" s="14" t="n"/>
      <c r="Y715" s="16" t="n"/>
      <c r="Z715" s="125" t="n"/>
      <c r="AA715" s="14" t="n"/>
      <c r="AB715" s="16" t="n"/>
      <c r="AC715" s="125" t="n"/>
      <c r="AD715" s="14" t="n"/>
    </row>
    <row r="716">
      <c r="B716" s="59" t="n"/>
      <c r="C716" s="59" t="n"/>
      <c r="E716" s="16" t="n"/>
      <c r="F716" s="13" t="n"/>
      <c r="G716" s="16" t="n"/>
      <c r="H716" s="125" t="n"/>
      <c r="I716" s="14" t="n"/>
      <c r="J716" s="16" t="n"/>
      <c r="K716" s="125" t="n"/>
      <c r="L716" s="14" t="n"/>
      <c r="M716" s="16" t="n"/>
      <c r="N716" s="125" t="n"/>
      <c r="O716" s="14" t="n"/>
      <c r="P716" s="16" t="n"/>
      <c r="Q716" s="125" t="n"/>
      <c r="R716" s="14" t="n"/>
      <c r="S716" s="16" t="n"/>
      <c r="T716" s="125" t="n"/>
      <c r="U716" s="14" t="n"/>
      <c r="V716" s="16" t="n"/>
      <c r="W716" s="125" t="n"/>
      <c r="X716" s="14" t="n"/>
      <c r="Y716" s="16" t="n"/>
      <c r="Z716" s="125" t="n"/>
      <c r="AA716" s="14" t="n"/>
      <c r="AB716" s="16" t="n"/>
      <c r="AC716" s="125" t="n"/>
      <c r="AD716" s="14" t="n"/>
    </row>
    <row r="717">
      <c r="B717" s="59" t="n"/>
      <c r="C717" s="59" t="n"/>
      <c r="E717" s="16" t="n"/>
      <c r="F717" s="13" t="n"/>
      <c r="G717" s="16" t="n"/>
      <c r="H717" s="125" t="n"/>
      <c r="I717" s="14" t="n"/>
      <c r="J717" s="16" t="n"/>
      <c r="K717" s="125" t="n"/>
      <c r="L717" s="14" t="n"/>
      <c r="M717" s="16" t="n"/>
      <c r="N717" s="125" t="n"/>
      <c r="O717" s="14" t="n"/>
      <c r="P717" s="16" t="n"/>
      <c r="Q717" s="125" t="n"/>
      <c r="R717" s="14" t="n"/>
      <c r="S717" s="16" t="n"/>
      <c r="T717" s="125" t="n"/>
      <c r="U717" s="14" t="n"/>
      <c r="V717" s="16" t="n"/>
      <c r="W717" s="125" t="n"/>
      <c r="X717" s="14" t="n"/>
      <c r="Y717" s="16" t="n"/>
      <c r="Z717" s="125" t="n"/>
      <c r="AA717" s="14" t="n"/>
      <c r="AB717" s="16" t="n"/>
      <c r="AC717" s="125" t="n"/>
      <c r="AD717" s="14" t="n"/>
    </row>
    <row r="718">
      <c r="B718" s="59" t="n"/>
      <c r="C718" s="59" t="n"/>
      <c r="E718" s="16" t="n"/>
      <c r="F718" s="13" t="n"/>
      <c r="G718" s="16" t="n"/>
      <c r="H718" s="125" t="n"/>
      <c r="I718" s="14" t="n"/>
      <c r="J718" s="16" t="n"/>
      <c r="K718" s="125" t="n"/>
      <c r="L718" s="14" t="n"/>
      <c r="M718" s="16" t="n"/>
      <c r="N718" s="125" t="n"/>
      <c r="O718" s="14" t="n"/>
      <c r="P718" s="16" t="n"/>
      <c r="Q718" s="125" t="n"/>
      <c r="R718" s="14" t="n"/>
      <c r="S718" s="16" t="n"/>
      <c r="T718" s="125" t="n"/>
      <c r="U718" s="14" t="n"/>
      <c r="V718" s="16" t="n"/>
      <c r="W718" s="125" t="n"/>
      <c r="X718" s="14" t="n"/>
      <c r="Y718" s="16" t="n"/>
      <c r="Z718" s="125" t="n"/>
      <c r="AA718" s="14" t="n"/>
      <c r="AB718" s="16" t="n"/>
      <c r="AC718" s="125" t="n"/>
      <c r="AD718" s="14" t="n"/>
    </row>
    <row r="719">
      <c r="B719" s="59" t="n"/>
      <c r="C719" s="59" t="n"/>
      <c r="E719" s="16" t="n"/>
      <c r="F719" s="13" t="n"/>
      <c r="G719" s="16" t="n"/>
      <c r="H719" s="125" t="n"/>
      <c r="I719" s="14" t="n"/>
      <c r="J719" s="16" t="n"/>
      <c r="K719" s="125" t="n"/>
      <c r="L719" s="14" t="n"/>
      <c r="M719" s="16" t="n"/>
      <c r="N719" s="125" t="n"/>
      <c r="O719" s="14" t="n"/>
      <c r="P719" s="16" t="n"/>
      <c r="Q719" s="125" t="n"/>
      <c r="R719" s="14" t="n"/>
      <c r="S719" s="16" t="n"/>
      <c r="T719" s="125" t="n"/>
      <c r="U719" s="14" t="n"/>
      <c r="V719" s="16" t="n"/>
      <c r="W719" s="125" t="n"/>
      <c r="X719" s="14" t="n"/>
      <c r="Y719" s="16" t="n"/>
      <c r="Z719" s="125" t="n"/>
      <c r="AA719" s="14" t="n"/>
      <c r="AB719" s="16" t="n"/>
      <c r="AC719" s="125" t="n"/>
      <c r="AD719" s="14" t="n"/>
    </row>
    <row r="720">
      <c r="B720" s="59" t="n"/>
      <c r="C720" s="59" t="n"/>
      <c r="E720" s="16" t="n"/>
      <c r="F720" s="13" t="n"/>
      <c r="G720" s="16" t="n"/>
      <c r="H720" s="125" t="n"/>
      <c r="I720" s="14" t="n"/>
      <c r="J720" s="16" t="n"/>
      <c r="K720" s="125" t="n"/>
      <c r="L720" s="14" t="n"/>
      <c r="M720" s="16" t="n"/>
      <c r="N720" s="125" t="n"/>
      <c r="O720" s="14" t="n"/>
      <c r="P720" s="16" t="n"/>
      <c r="Q720" s="125" t="n"/>
      <c r="R720" s="14" t="n"/>
      <c r="S720" s="16" t="n"/>
      <c r="T720" s="125" t="n"/>
      <c r="U720" s="14" t="n"/>
      <c r="V720" s="16" t="n"/>
      <c r="W720" s="125" t="n"/>
      <c r="X720" s="14" t="n"/>
      <c r="Y720" s="16" t="n"/>
      <c r="Z720" s="125" t="n"/>
      <c r="AA720" s="14" t="n"/>
      <c r="AB720" s="16" t="n"/>
      <c r="AC720" s="125" t="n"/>
      <c r="AD720" s="14" t="n"/>
    </row>
    <row r="721">
      <c r="B721" s="59" t="n"/>
      <c r="C721" s="59" t="n"/>
      <c r="E721" s="16" t="n"/>
      <c r="F721" s="13" t="n"/>
      <c r="G721" s="16" t="n"/>
      <c r="H721" s="125" t="n"/>
      <c r="I721" s="14" t="n"/>
      <c r="J721" s="16" t="n"/>
      <c r="K721" s="125" t="n"/>
      <c r="L721" s="14" t="n"/>
      <c r="M721" s="16" t="n"/>
      <c r="N721" s="125" t="n"/>
      <c r="O721" s="14" t="n"/>
      <c r="P721" s="16" t="n"/>
      <c r="Q721" s="125" t="n"/>
      <c r="R721" s="14" t="n"/>
      <c r="S721" s="16" t="n"/>
      <c r="T721" s="125" t="n"/>
      <c r="U721" s="14" t="n"/>
      <c r="V721" s="16" t="n"/>
      <c r="W721" s="125" t="n"/>
      <c r="X721" s="14" t="n"/>
      <c r="Y721" s="16" t="n"/>
      <c r="Z721" s="125" t="n"/>
      <c r="AA721" s="14" t="n"/>
      <c r="AB721" s="16" t="n"/>
      <c r="AC721" s="125" t="n"/>
      <c r="AD721" s="14" t="n"/>
    </row>
    <row r="722">
      <c r="B722" s="59" t="n"/>
      <c r="C722" s="59" t="n"/>
      <c r="E722" s="16" t="n"/>
      <c r="F722" s="13" t="n"/>
      <c r="G722" s="16" t="n"/>
      <c r="H722" s="125" t="n"/>
      <c r="I722" s="14" t="n"/>
      <c r="J722" s="16" t="n"/>
      <c r="K722" s="125" t="n"/>
      <c r="L722" s="14" t="n"/>
      <c r="M722" s="16" t="n"/>
      <c r="N722" s="125" t="n"/>
      <c r="O722" s="14" t="n"/>
      <c r="P722" s="16" t="n"/>
      <c r="Q722" s="125" t="n"/>
      <c r="R722" s="14" t="n"/>
      <c r="S722" s="16" t="n"/>
      <c r="T722" s="125" t="n"/>
      <c r="U722" s="14" t="n"/>
      <c r="V722" s="16" t="n"/>
      <c r="W722" s="125" t="n"/>
      <c r="X722" s="14" t="n"/>
      <c r="Y722" s="16" t="n"/>
      <c r="Z722" s="125" t="n"/>
      <c r="AA722" s="14" t="n"/>
      <c r="AB722" s="16" t="n"/>
      <c r="AC722" s="125" t="n"/>
      <c r="AD722" s="14" t="n"/>
    </row>
    <row r="723">
      <c r="B723" s="59" t="n"/>
      <c r="C723" s="59" t="n"/>
      <c r="E723" s="16" t="n"/>
      <c r="F723" s="13" t="n"/>
      <c r="G723" s="16" t="n"/>
      <c r="H723" s="125" t="n"/>
      <c r="I723" s="14" t="n"/>
      <c r="J723" s="16" t="n"/>
      <c r="K723" s="125" t="n"/>
      <c r="L723" s="14" t="n"/>
      <c r="M723" s="16" t="n"/>
      <c r="N723" s="125" t="n"/>
      <c r="O723" s="14" t="n"/>
      <c r="P723" s="16" t="n"/>
      <c r="Q723" s="125" t="n"/>
      <c r="R723" s="14" t="n"/>
      <c r="S723" s="16" t="n"/>
      <c r="T723" s="125" t="n"/>
      <c r="U723" s="14" t="n"/>
      <c r="V723" s="16" t="n"/>
      <c r="W723" s="125" t="n"/>
      <c r="X723" s="14" t="n"/>
      <c r="Y723" s="16" t="n"/>
      <c r="Z723" s="125" t="n"/>
      <c r="AA723" s="14" t="n"/>
      <c r="AB723" s="16" t="n"/>
      <c r="AC723" s="125" t="n"/>
      <c r="AD723" s="14" t="n"/>
    </row>
    <row r="724">
      <c r="B724" s="59" t="n"/>
      <c r="C724" s="59" t="n"/>
      <c r="E724" s="16" t="n"/>
      <c r="F724" s="13" t="n"/>
      <c r="G724" s="16" t="n"/>
      <c r="H724" s="125" t="n"/>
      <c r="I724" s="14" t="n"/>
      <c r="J724" s="16" t="n"/>
      <c r="K724" s="125" t="n"/>
      <c r="L724" s="14" t="n"/>
      <c r="M724" s="16" t="n"/>
      <c r="N724" s="125" t="n"/>
      <c r="O724" s="14" t="n"/>
      <c r="P724" s="16" t="n"/>
      <c r="Q724" s="125" t="n"/>
      <c r="R724" s="14" t="n"/>
      <c r="S724" s="16" t="n"/>
      <c r="T724" s="125" t="n"/>
      <c r="U724" s="14" t="n"/>
      <c r="V724" s="16" t="n"/>
      <c r="W724" s="125" t="n"/>
      <c r="X724" s="14" t="n"/>
      <c r="Y724" s="16" t="n"/>
      <c r="Z724" s="125" t="n"/>
      <c r="AA724" s="14" t="n"/>
      <c r="AB724" s="16" t="n"/>
      <c r="AC724" s="125" t="n"/>
      <c r="AD724" s="14" t="n"/>
    </row>
    <row r="725">
      <c r="B725" s="59" t="n"/>
      <c r="C725" s="59" t="n"/>
      <c r="E725" s="16" t="n"/>
      <c r="F725" s="13" t="n"/>
      <c r="G725" s="16" t="n"/>
      <c r="H725" s="125" t="n"/>
      <c r="I725" s="14" t="n"/>
      <c r="J725" s="16" t="n"/>
      <c r="K725" s="125" t="n"/>
      <c r="L725" s="14" t="n"/>
      <c r="M725" s="16" t="n"/>
      <c r="N725" s="125" t="n"/>
      <c r="O725" s="14" t="n"/>
      <c r="P725" s="16" t="n"/>
      <c r="Q725" s="125" t="n"/>
      <c r="R725" s="14" t="n"/>
      <c r="S725" s="16" t="n"/>
      <c r="T725" s="125" t="n"/>
      <c r="U725" s="14" t="n"/>
      <c r="V725" s="16" t="n"/>
      <c r="W725" s="125" t="n"/>
      <c r="X725" s="14" t="n"/>
      <c r="Y725" s="16" t="n"/>
      <c r="Z725" s="125" t="n"/>
      <c r="AA725" s="14" t="n"/>
      <c r="AB725" s="16" t="n"/>
      <c r="AC725" s="125" t="n"/>
      <c r="AD725" s="14" t="n"/>
    </row>
    <row r="726">
      <c r="B726" s="59" t="n"/>
      <c r="C726" s="59" t="n"/>
      <c r="E726" s="16" t="n"/>
      <c r="F726" s="13" t="n"/>
      <c r="G726" s="16" t="n"/>
      <c r="H726" s="125" t="n"/>
      <c r="I726" s="14" t="n"/>
      <c r="J726" s="16" t="n"/>
      <c r="K726" s="125" t="n"/>
      <c r="L726" s="14" t="n"/>
      <c r="M726" s="16" t="n"/>
      <c r="N726" s="125" t="n"/>
      <c r="O726" s="14" t="n"/>
      <c r="P726" s="16" t="n"/>
      <c r="Q726" s="125" t="n"/>
      <c r="R726" s="14" t="n"/>
      <c r="S726" s="16" t="n"/>
      <c r="T726" s="125" t="n"/>
      <c r="U726" s="14" t="n"/>
      <c r="V726" s="16" t="n"/>
      <c r="W726" s="125" t="n"/>
      <c r="X726" s="14" t="n"/>
      <c r="Y726" s="16" t="n"/>
      <c r="Z726" s="125" t="n"/>
      <c r="AA726" s="14" t="n"/>
      <c r="AB726" s="16" t="n"/>
      <c r="AC726" s="125" t="n"/>
      <c r="AD726" s="14" t="n"/>
    </row>
    <row r="727">
      <c r="B727" s="59" t="n"/>
      <c r="C727" s="59" t="n"/>
      <c r="E727" s="16" t="n"/>
      <c r="F727" s="13" t="n"/>
      <c r="G727" s="16" t="n"/>
      <c r="H727" s="125" t="n"/>
      <c r="I727" s="14" t="n"/>
      <c r="J727" s="16" t="n"/>
      <c r="K727" s="125" t="n"/>
      <c r="L727" s="14" t="n"/>
      <c r="M727" s="16" t="n"/>
      <c r="N727" s="125" t="n"/>
      <c r="O727" s="14" t="n"/>
      <c r="P727" s="16" t="n"/>
      <c r="Q727" s="125" t="n"/>
      <c r="R727" s="14" t="n"/>
      <c r="S727" s="16" t="n"/>
      <c r="T727" s="125" t="n"/>
      <c r="U727" s="14" t="n"/>
      <c r="V727" s="16" t="n"/>
      <c r="W727" s="125" t="n"/>
      <c r="X727" s="14" t="n"/>
      <c r="Y727" s="16" t="n"/>
      <c r="Z727" s="125" t="n"/>
      <c r="AA727" s="14" t="n"/>
      <c r="AB727" s="16" t="n"/>
      <c r="AC727" s="125" t="n"/>
      <c r="AD727" s="14" t="n"/>
    </row>
    <row r="728">
      <c r="B728" s="59" t="n"/>
      <c r="C728" s="59" t="n"/>
      <c r="E728" s="16" t="n"/>
      <c r="F728" s="13" t="n"/>
      <c r="G728" s="16" t="n"/>
      <c r="H728" s="125" t="n"/>
      <c r="I728" s="14" t="n"/>
      <c r="J728" s="16" t="n"/>
      <c r="K728" s="125" t="n"/>
      <c r="L728" s="14" t="n"/>
      <c r="M728" s="16" t="n"/>
      <c r="N728" s="125" t="n"/>
      <c r="O728" s="14" t="n"/>
      <c r="P728" s="16" t="n"/>
      <c r="Q728" s="125" t="n"/>
      <c r="R728" s="14" t="n"/>
      <c r="S728" s="16" t="n"/>
      <c r="T728" s="125" t="n"/>
      <c r="U728" s="14" t="n"/>
      <c r="V728" s="16" t="n"/>
      <c r="W728" s="125" t="n"/>
      <c r="X728" s="14" t="n"/>
      <c r="Y728" s="16" t="n"/>
      <c r="Z728" s="125" t="n"/>
      <c r="AA728" s="14" t="n"/>
      <c r="AB728" s="16" t="n"/>
      <c r="AC728" s="125" t="n"/>
      <c r="AD728" s="14" t="n"/>
    </row>
    <row r="729">
      <c r="B729" s="59" t="n"/>
      <c r="C729" s="59" t="n"/>
      <c r="E729" s="16" t="n"/>
      <c r="F729" s="13" t="n"/>
      <c r="G729" s="16" t="n"/>
      <c r="H729" s="125" t="n"/>
      <c r="I729" s="14" t="n"/>
      <c r="J729" s="16" t="n"/>
      <c r="K729" s="125" t="n"/>
      <c r="L729" s="14" t="n"/>
      <c r="M729" s="16" t="n"/>
      <c r="N729" s="125" t="n"/>
      <c r="O729" s="14" t="n"/>
      <c r="P729" s="16" t="n"/>
      <c r="Q729" s="125" t="n"/>
      <c r="R729" s="14" t="n"/>
      <c r="S729" s="16" t="n"/>
      <c r="T729" s="125" t="n"/>
      <c r="U729" s="14" t="n"/>
      <c r="V729" s="16" t="n"/>
      <c r="W729" s="125" t="n"/>
      <c r="X729" s="14" t="n"/>
      <c r="Y729" s="16" t="n"/>
      <c r="Z729" s="125" t="n"/>
      <c r="AA729" s="14" t="n"/>
      <c r="AB729" s="16" t="n"/>
      <c r="AC729" s="125" t="n"/>
      <c r="AD729" s="14" t="n"/>
    </row>
    <row r="730">
      <c r="B730" s="59" t="n"/>
      <c r="C730" s="59" t="n"/>
      <c r="E730" s="16" t="n"/>
      <c r="F730" s="13" t="n"/>
      <c r="G730" s="16" t="n"/>
      <c r="H730" s="125" t="n"/>
      <c r="I730" s="14" t="n"/>
      <c r="J730" s="16" t="n"/>
      <c r="K730" s="125" t="n"/>
      <c r="L730" s="14" t="n"/>
      <c r="M730" s="16" t="n"/>
      <c r="N730" s="125" t="n"/>
      <c r="O730" s="14" t="n"/>
      <c r="P730" s="16" t="n"/>
      <c r="Q730" s="125" t="n"/>
      <c r="R730" s="14" t="n"/>
      <c r="S730" s="16" t="n"/>
      <c r="T730" s="125" t="n"/>
      <c r="U730" s="14" t="n"/>
      <c r="V730" s="16" t="n"/>
      <c r="W730" s="125" t="n"/>
      <c r="X730" s="14" t="n"/>
      <c r="Y730" s="16" t="n"/>
      <c r="Z730" s="125" t="n"/>
      <c r="AA730" s="14" t="n"/>
      <c r="AB730" s="16" t="n"/>
      <c r="AC730" s="125" t="n"/>
      <c r="AD730" s="14" t="n"/>
    </row>
    <row r="731">
      <c r="B731" s="59" t="n"/>
      <c r="C731" s="59" t="n"/>
      <c r="E731" s="16" t="n"/>
      <c r="F731" s="13" t="n"/>
      <c r="G731" s="16" t="n"/>
      <c r="H731" s="125" t="n"/>
      <c r="I731" s="14" t="n"/>
      <c r="J731" s="16" t="n"/>
      <c r="K731" s="125" t="n"/>
      <c r="L731" s="14" t="n"/>
      <c r="M731" s="16" t="n"/>
      <c r="N731" s="125" t="n"/>
      <c r="O731" s="14" t="n"/>
      <c r="P731" s="16" t="n"/>
      <c r="Q731" s="125" t="n"/>
      <c r="R731" s="14" t="n"/>
      <c r="S731" s="16" t="n"/>
      <c r="T731" s="125" t="n"/>
      <c r="U731" s="14" t="n"/>
      <c r="V731" s="16" t="n"/>
      <c r="W731" s="125" t="n"/>
      <c r="X731" s="14" t="n"/>
      <c r="Y731" s="16" t="n"/>
      <c r="Z731" s="125" t="n"/>
      <c r="AA731" s="14" t="n"/>
      <c r="AB731" s="16" t="n"/>
      <c r="AC731" s="125" t="n"/>
      <c r="AD731" s="14" t="n"/>
    </row>
    <row r="732">
      <c r="B732" s="59" t="n"/>
      <c r="C732" s="59" t="n"/>
      <c r="E732" s="16" t="n"/>
      <c r="F732" s="13" t="n"/>
      <c r="G732" s="16" t="n"/>
      <c r="H732" s="125" t="n"/>
      <c r="I732" s="14" t="n"/>
      <c r="J732" s="16" t="n"/>
      <c r="K732" s="125" t="n"/>
      <c r="L732" s="14" t="n"/>
      <c r="M732" s="16" t="n"/>
      <c r="N732" s="125" t="n"/>
      <c r="O732" s="14" t="n"/>
      <c r="P732" s="16" t="n"/>
      <c r="Q732" s="125" t="n"/>
      <c r="R732" s="14" t="n"/>
      <c r="S732" s="16" t="n"/>
      <c r="T732" s="125" t="n"/>
      <c r="U732" s="14" t="n"/>
      <c r="V732" s="16" t="n"/>
      <c r="W732" s="125" t="n"/>
      <c r="X732" s="14" t="n"/>
      <c r="Y732" s="16" t="n"/>
      <c r="Z732" s="125" t="n"/>
      <c r="AA732" s="14" t="n"/>
      <c r="AB732" s="16" t="n"/>
      <c r="AC732" s="125" t="n"/>
      <c r="AD732" s="14" t="n"/>
    </row>
    <row r="733">
      <c r="B733" s="59" t="n"/>
      <c r="C733" s="59" t="n"/>
      <c r="E733" s="16" t="n"/>
      <c r="F733" s="13" t="n"/>
      <c r="G733" s="16" t="n"/>
      <c r="H733" s="125" t="n"/>
      <c r="I733" s="14" t="n"/>
      <c r="J733" s="16" t="n"/>
      <c r="K733" s="125" t="n"/>
      <c r="L733" s="14" t="n"/>
      <c r="M733" s="16" t="n"/>
      <c r="N733" s="125" t="n"/>
      <c r="O733" s="14" t="n"/>
      <c r="P733" s="16" t="n"/>
      <c r="Q733" s="125" t="n"/>
      <c r="R733" s="14" t="n"/>
      <c r="S733" s="16" t="n"/>
      <c r="T733" s="125" t="n"/>
      <c r="U733" s="14" t="n"/>
      <c r="V733" s="16" t="n"/>
      <c r="W733" s="125" t="n"/>
      <c r="X733" s="14" t="n"/>
      <c r="Y733" s="16" t="n"/>
      <c r="Z733" s="125" t="n"/>
      <c r="AA733" s="14" t="n"/>
      <c r="AB733" s="16" t="n"/>
      <c r="AC733" s="125" t="n"/>
      <c r="AD733" s="14" t="n"/>
    </row>
    <row r="734">
      <c r="B734" s="59" t="n"/>
      <c r="C734" s="59" t="n"/>
      <c r="E734" s="16" t="n"/>
      <c r="F734" s="13" t="n"/>
      <c r="G734" s="16" t="n"/>
      <c r="H734" s="125" t="n"/>
      <c r="I734" s="14" t="n"/>
      <c r="J734" s="16" t="n"/>
      <c r="K734" s="125" t="n"/>
      <c r="L734" s="14" t="n"/>
      <c r="M734" s="16" t="n"/>
      <c r="N734" s="125" t="n"/>
      <c r="O734" s="14" t="n"/>
      <c r="P734" s="16" t="n"/>
      <c r="Q734" s="125" t="n"/>
      <c r="R734" s="14" t="n"/>
      <c r="S734" s="16" t="n"/>
      <c r="T734" s="125" t="n"/>
      <c r="U734" s="14" t="n"/>
      <c r="V734" s="16" t="n"/>
      <c r="W734" s="125" t="n"/>
      <c r="X734" s="14" t="n"/>
      <c r="Y734" s="16" t="n"/>
      <c r="Z734" s="125" t="n"/>
      <c r="AA734" s="14" t="n"/>
      <c r="AB734" s="16" t="n"/>
      <c r="AC734" s="125" t="n"/>
      <c r="AD734" s="14" t="n"/>
    </row>
    <row r="735">
      <c r="B735" s="59" t="n"/>
      <c r="C735" s="59" t="n"/>
      <c r="E735" s="16" t="n"/>
      <c r="F735" s="13" t="n"/>
      <c r="G735" s="16" t="n"/>
      <c r="H735" s="125" t="n"/>
      <c r="I735" s="14" t="n"/>
      <c r="J735" s="16" t="n"/>
      <c r="K735" s="125" t="n"/>
      <c r="L735" s="14" t="n"/>
      <c r="M735" s="16" t="n"/>
      <c r="N735" s="125" t="n"/>
      <c r="O735" s="14" t="n"/>
      <c r="P735" s="16" t="n"/>
      <c r="Q735" s="125" t="n"/>
      <c r="R735" s="14" t="n"/>
      <c r="S735" s="16" t="n"/>
      <c r="T735" s="125" t="n"/>
      <c r="U735" s="14" t="n"/>
      <c r="V735" s="16" t="n"/>
      <c r="W735" s="125" t="n"/>
      <c r="X735" s="14" t="n"/>
      <c r="Y735" s="16" t="n"/>
      <c r="Z735" s="125" t="n"/>
      <c r="AA735" s="14" t="n"/>
      <c r="AB735" s="16" t="n"/>
      <c r="AC735" s="125" t="n"/>
      <c r="AD735" s="14" t="n"/>
    </row>
    <row r="736">
      <c r="B736" s="59" t="n"/>
      <c r="C736" s="59" t="n"/>
      <c r="E736" s="16" t="n"/>
      <c r="F736" s="13" t="n"/>
      <c r="G736" s="16" t="n"/>
      <c r="H736" s="125" t="n"/>
      <c r="I736" s="14" t="n"/>
      <c r="J736" s="16" t="n"/>
      <c r="K736" s="125" t="n"/>
      <c r="L736" s="14" t="n"/>
      <c r="M736" s="16" t="n"/>
      <c r="N736" s="125" t="n"/>
      <c r="O736" s="14" t="n"/>
      <c r="P736" s="16" t="n"/>
      <c r="Q736" s="125" t="n"/>
      <c r="R736" s="14" t="n"/>
      <c r="S736" s="16" t="n"/>
      <c r="T736" s="125" t="n"/>
      <c r="U736" s="14" t="n"/>
      <c r="V736" s="16" t="n"/>
      <c r="W736" s="125" t="n"/>
      <c r="X736" s="14" t="n"/>
      <c r="Y736" s="16" t="n"/>
      <c r="Z736" s="125" t="n"/>
      <c r="AA736" s="14" t="n"/>
      <c r="AB736" s="16" t="n"/>
      <c r="AC736" s="125" t="n"/>
      <c r="AD736" s="14" t="n"/>
    </row>
    <row r="737">
      <c r="B737" s="59" t="n"/>
      <c r="C737" s="59" t="n"/>
      <c r="E737" s="16" t="n"/>
      <c r="F737" s="13" t="n"/>
      <c r="G737" s="16" t="n"/>
      <c r="H737" s="125" t="n"/>
      <c r="I737" s="14" t="n"/>
      <c r="J737" s="16" t="n"/>
      <c r="K737" s="125" t="n"/>
      <c r="L737" s="14" t="n"/>
      <c r="M737" s="16" t="n"/>
      <c r="N737" s="125" t="n"/>
      <c r="O737" s="14" t="n"/>
      <c r="P737" s="16" t="n"/>
      <c r="Q737" s="125" t="n"/>
      <c r="R737" s="14" t="n"/>
      <c r="S737" s="16" t="n"/>
      <c r="T737" s="125" t="n"/>
      <c r="U737" s="14" t="n"/>
      <c r="V737" s="16" t="n"/>
      <c r="W737" s="125" t="n"/>
      <c r="X737" s="14" t="n"/>
      <c r="Y737" s="16" t="n"/>
      <c r="Z737" s="125" t="n"/>
      <c r="AA737" s="14" t="n"/>
      <c r="AB737" s="16" t="n"/>
      <c r="AC737" s="125" t="n"/>
      <c r="AD737" s="14" t="n"/>
    </row>
    <row r="738">
      <c r="B738" s="59" t="n"/>
      <c r="C738" s="59" t="n"/>
      <c r="E738" s="16" t="n"/>
      <c r="F738" s="13" t="n"/>
      <c r="G738" s="16" t="n"/>
      <c r="H738" s="125" t="n"/>
      <c r="I738" s="14" t="n"/>
      <c r="J738" s="16" t="n"/>
      <c r="K738" s="125" t="n"/>
      <c r="L738" s="14" t="n"/>
      <c r="M738" s="16" t="n"/>
      <c r="N738" s="125" t="n"/>
      <c r="O738" s="14" t="n"/>
      <c r="P738" s="16" t="n"/>
      <c r="Q738" s="125" t="n"/>
      <c r="R738" s="14" t="n"/>
      <c r="S738" s="16" t="n"/>
      <c r="T738" s="125" t="n"/>
      <c r="U738" s="14" t="n"/>
      <c r="V738" s="16" t="n"/>
      <c r="W738" s="125" t="n"/>
      <c r="X738" s="14" t="n"/>
      <c r="Y738" s="16" t="n"/>
      <c r="Z738" s="125" t="n"/>
      <c r="AA738" s="14" t="n"/>
      <c r="AB738" s="16" t="n"/>
      <c r="AC738" s="125" t="n"/>
      <c r="AD738" s="14" t="n"/>
    </row>
    <row r="739">
      <c r="B739" s="59" t="n"/>
      <c r="C739" s="59" t="n"/>
      <c r="E739" s="16" t="n"/>
      <c r="F739" s="13" t="n"/>
      <c r="G739" s="16" t="n"/>
      <c r="H739" s="125" t="n"/>
      <c r="I739" s="14" t="n"/>
      <c r="J739" s="16" t="n"/>
      <c r="K739" s="125" t="n"/>
      <c r="L739" s="14" t="n"/>
      <c r="M739" s="16" t="n"/>
      <c r="N739" s="125" t="n"/>
      <c r="O739" s="14" t="n"/>
      <c r="P739" s="16" t="n"/>
      <c r="Q739" s="125" t="n"/>
      <c r="R739" s="14" t="n"/>
      <c r="S739" s="16" t="n"/>
      <c r="T739" s="125" t="n"/>
      <c r="U739" s="14" t="n"/>
      <c r="V739" s="16" t="n"/>
      <c r="W739" s="125" t="n"/>
      <c r="X739" s="14" t="n"/>
      <c r="Y739" s="16" t="n"/>
      <c r="Z739" s="125" t="n"/>
      <c r="AA739" s="14" t="n"/>
      <c r="AB739" s="16" t="n"/>
      <c r="AC739" s="125" t="n"/>
      <c r="AD739" s="14" t="n"/>
    </row>
    <row r="740">
      <c r="B740" s="59" t="n"/>
      <c r="C740" s="59" t="n"/>
      <c r="E740" s="16" t="n"/>
      <c r="F740" s="13" t="n"/>
      <c r="G740" s="16" t="n"/>
      <c r="H740" s="125" t="n"/>
      <c r="I740" s="14" t="n"/>
      <c r="J740" s="16" t="n"/>
      <c r="K740" s="125" t="n"/>
      <c r="L740" s="14" t="n"/>
      <c r="M740" s="16" t="n"/>
      <c r="N740" s="125" t="n"/>
      <c r="O740" s="14" t="n"/>
      <c r="P740" s="16" t="n"/>
      <c r="Q740" s="125" t="n"/>
      <c r="R740" s="14" t="n"/>
      <c r="S740" s="16" t="n"/>
      <c r="T740" s="125" t="n"/>
      <c r="U740" s="14" t="n"/>
      <c r="V740" s="16" t="n"/>
      <c r="W740" s="125" t="n"/>
      <c r="X740" s="14" t="n"/>
      <c r="Y740" s="16" t="n"/>
      <c r="Z740" s="125" t="n"/>
      <c r="AA740" s="14" t="n"/>
      <c r="AB740" s="16" t="n"/>
      <c r="AC740" s="125" t="n"/>
      <c r="AD740" s="14" t="n"/>
    </row>
    <row r="741">
      <c r="B741" s="59" t="n"/>
      <c r="C741" s="59" t="n"/>
      <c r="E741" s="16" t="n"/>
      <c r="F741" s="13" t="n"/>
      <c r="G741" s="16" t="n"/>
      <c r="H741" s="125" t="n"/>
      <c r="I741" s="14" t="n"/>
      <c r="J741" s="16" t="n"/>
      <c r="K741" s="125" t="n"/>
      <c r="L741" s="14" t="n"/>
      <c r="M741" s="16" t="n"/>
      <c r="N741" s="125" t="n"/>
      <c r="O741" s="14" t="n"/>
      <c r="P741" s="16" t="n"/>
      <c r="Q741" s="125" t="n"/>
      <c r="R741" s="14" t="n"/>
      <c r="S741" s="16" t="n"/>
      <c r="T741" s="125" t="n"/>
      <c r="U741" s="14" t="n"/>
      <c r="V741" s="16" t="n"/>
      <c r="W741" s="125" t="n"/>
      <c r="X741" s="14" t="n"/>
      <c r="Y741" s="16" t="n"/>
      <c r="Z741" s="125" t="n"/>
      <c r="AA741" s="14" t="n"/>
      <c r="AB741" s="16" t="n"/>
      <c r="AC741" s="125" t="n"/>
      <c r="AD741" s="14" t="n"/>
    </row>
    <row r="742">
      <c r="B742" s="59" t="n"/>
      <c r="C742" s="59" t="n"/>
      <c r="E742" s="16" t="n"/>
      <c r="F742" s="13" t="n"/>
      <c r="G742" s="16" t="n"/>
      <c r="H742" s="125" t="n"/>
      <c r="I742" s="14" t="n"/>
      <c r="J742" s="16" t="n"/>
      <c r="K742" s="125" t="n"/>
      <c r="L742" s="14" t="n"/>
      <c r="M742" s="16" t="n"/>
      <c r="N742" s="125" t="n"/>
      <c r="O742" s="14" t="n"/>
      <c r="P742" s="16" t="n"/>
      <c r="Q742" s="125" t="n"/>
      <c r="R742" s="14" t="n"/>
      <c r="S742" s="16" t="n"/>
      <c r="T742" s="125" t="n"/>
      <c r="U742" s="14" t="n"/>
      <c r="V742" s="16" t="n"/>
      <c r="W742" s="125" t="n"/>
      <c r="X742" s="14" t="n"/>
      <c r="Y742" s="16" t="n"/>
      <c r="Z742" s="125" t="n"/>
      <c r="AA742" s="14" t="n"/>
      <c r="AB742" s="16" t="n"/>
      <c r="AC742" s="125" t="n"/>
      <c r="AD742" s="14" t="n"/>
    </row>
    <row r="743">
      <c r="B743" s="59" t="n"/>
      <c r="C743" s="59" t="n"/>
      <c r="E743" s="16" t="n"/>
      <c r="F743" s="13" t="n"/>
      <c r="G743" s="16" t="n"/>
      <c r="H743" s="125" t="n"/>
      <c r="I743" s="14" t="n"/>
      <c r="J743" s="16" t="n"/>
      <c r="K743" s="125" t="n"/>
      <c r="L743" s="14" t="n"/>
      <c r="M743" s="16" t="n"/>
      <c r="N743" s="125" t="n"/>
      <c r="O743" s="14" t="n"/>
      <c r="P743" s="16" t="n"/>
      <c r="Q743" s="125" t="n"/>
      <c r="R743" s="14" t="n"/>
      <c r="S743" s="16" t="n"/>
      <c r="T743" s="125" t="n"/>
      <c r="U743" s="14" t="n"/>
      <c r="V743" s="16" t="n"/>
      <c r="W743" s="125" t="n"/>
      <c r="X743" s="14" t="n"/>
      <c r="Y743" s="16" t="n"/>
      <c r="Z743" s="125" t="n"/>
      <c r="AA743" s="14" t="n"/>
      <c r="AB743" s="16" t="n"/>
      <c r="AC743" s="125" t="n"/>
      <c r="AD743" s="14" t="n"/>
    </row>
    <row r="744">
      <c r="B744" s="59" t="n"/>
      <c r="C744" s="59" t="n"/>
      <c r="E744" s="16" t="n"/>
      <c r="F744" s="13" t="n"/>
      <c r="G744" s="16" t="n"/>
      <c r="H744" s="125" t="n"/>
      <c r="I744" s="14" t="n"/>
      <c r="J744" s="16" t="n"/>
      <c r="K744" s="125" t="n"/>
      <c r="L744" s="14" t="n"/>
      <c r="M744" s="16" t="n"/>
      <c r="N744" s="125" t="n"/>
      <c r="O744" s="14" t="n"/>
      <c r="P744" s="16" t="n"/>
      <c r="Q744" s="125" t="n"/>
      <c r="R744" s="14" t="n"/>
      <c r="S744" s="16" t="n"/>
      <c r="T744" s="125" t="n"/>
      <c r="U744" s="14" t="n"/>
      <c r="V744" s="16" t="n"/>
      <c r="W744" s="125" t="n"/>
      <c r="X744" s="14" t="n"/>
      <c r="Y744" s="16" t="n"/>
      <c r="Z744" s="125" t="n"/>
      <c r="AA744" s="14" t="n"/>
      <c r="AB744" s="16" t="n"/>
      <c r="AC744" s="125" t="n"/>
      <c r="AD744" s="14" t="n"/>
    </row>
    <row r="745">
      <c r="B745" s="59" t="n"/>
      <c r="C745" s="59" t="n"/>
      <c r="E745" s="16" t="n"/>
      <c r="F745" s="13" t="n"/>
      <c r="G745" s="16" t="n"/>
      <c r="H745" s="125" t="n"/>
      <c r="I745" s="14" t="n"/>
      <c r="J745" s="16" t="n"/>
      <c r="K745" s="125" t="n"/>
      <c r="L745" s="14" t="n"/>
      <c r="M745" s="16" t="n"/>
      <c r="N745" s="125" t="n"/>
      <c r="O745" s="14" t="n"/>
      <c r="P745" s="16" t="n"/>
      <c r="Q745" s="125" t="n"/>
      <c r="R745" s="14" t="n"/>
      <c r="S745" s="16" t="n"/>
      <c r="T745" s="125" t="n"/>
      <c r="U745" s="14" t="n"/>
      <c r="V745" s="16" t="n"/>
      <c r="W745" s="125" t="n"/>
      <c r="X745" s="14" t="n"/>
      <c r="Y745" s="16" t="n"/>
      <c r="Z745" s="125" t="n"/>
      <c r="AA745" s="14" t="n"/>
      <c r="AB745" s="16" t="n"/>
      <c r="AC745" s="125" t="n"/>
      <c r="AD745" s="14" t="n"/>
    </row>
    <row r="746">
      <c r="B746" s="59" t="n"/>
      <c r="C746" s="59" t="n"/>
      <c r="E746" s="16" t="n"/>
      <c r="F746" s="13" t="n"/>
      <c r="G746" s="16" t="n"/>
      <c r="H746" s="125" t="n"/>
      <c r="I746" s="14" t="n"/>
      <c r="J746" s="16" t="n"/>
      <c r="K746" s="125" t="n"/>
      <c r="L746" s="14" t="n"/>
      <c r="M746" s="16" t="n"/>
      <c r="N746" s="125" t="n"/>
      <c r="O746" s="14" t="n"/>
      <c r="P746" s="16" t="n"/>
      <c r="Q746" s="125" t="n"/>
      <c r="R746" s="14" t="n"/>
      <c r="S746" s="16" t="n"/>
      <c r="T746" s="125" t="n"/>
      <c r="U746" s="14" t="n"/>
      <c r="V746" s="16" t="n"/>
      <c r="W746" s="125" t="n"/>
      <c r="X746" s="14" t="n"/>
      <c r="Y746" s="16" t="n"/>
      <c r="Z746" s="125" t="n"/>
      <c r="AA746" s="14" t="n"/>
      <c r="AB746" s="16" t="n"/>
      <c r="AC746" s="125" t="n"/>
      <c r="AD746" s="14" t="n"/>
    </row>
    <row r="747">
      <c r="B747" s="59" t="n"/>
      <c r="C747" s="59" t="n"/>
      <c r="E747" s="16" t="n"/>
      <c r="F747" s="13" t="n"/>
      <c r="G747" s="16" t="n"/>
      <c r="H747" s="125" t="n"/>
      <c r="I747" s="14" t="n"/>
      <c r="J747" s="16" t="n"/>
      <c r="K747" s="125" t="n"/>
      <c r="L747" s="14" t="n"/>
      <c r="M747" s="16" t="n"/>
      <c r="N747" s="125" t="n"/>
      <c r="O747" s="14" t="n"/>
      <c r="P747" s="16" t="n"/>
      <c r="Q747" s="125" t="n"/>
      <c r="R747" s="14" t="n"/>
      <c r="S747" s="16" t="n"/>
      <c r="T747" s="125" t="n"/>
      <c r="U747" s="14" t="n"/>
      <c r="V747" s="16" t="n"/>
      <c r="W747" s="125" t="n"/>
      <c r="X747" s="14" t="n"/>
      <c r="Y747" s="16" t="n"/>
      <c r="Z747" s="125" t="n"/>
      <c r="AA747" s="14" t="n"/>
      <c r="AB747" s="16" t="n"/>
      <c r="AC747" s="125" t="n"/>
      <c r="AD747" s="14" t="n"/>
    </row>
    <row r="748">
      <c r="B748" s="59" t="n"/>
      <c r="C748" s="59" t="n"/>
      <c r="E748" s="16" t="n"/>
      <c r="F748" s="13" t="n"/>
      <c r="G748" s="16" t="n"/>
      <c r="H748" s="125" t="n"/>
      <c r="I748" s="14" t="n"/>
      <c r="J748" s="16" t="n"/>
      <c r="K748" s="125" t="n"/>
      <c r="L748" s="14" t="n"/>
      <c r="M748" s="16" t="n"/>
      <c r="N748" s="125" t="n"/>
      <c r="O748" s="14" t="n"/>
      <c r="P748" s="16" t="n"/>
      <c r="Q748" s="125" t="n"/>
      <c r="R748" s="14" t="n"/>
      <c r="S748" s="16" t="n"/>
      <c r="T748" s="125" t="n"/>
      <c r="U748" s="14" t="n"/>
      <c r="V748" s="16" t="n"/>
      <c r="W748" s="125" t="n"/>
      <c r="X748" s="14" t="n"/>
      <c r="Y748" s="16" t="n"/>
      <c r="Z748" s="125" t="n"/>
      <c r="AA748" s="14" t="n"/>
      <c r="AB748" s="16" t="n"/>
      <c r="AC748" s="125" t="n"/>
      <c r="AD748" s="14" t="n"/>
    </row>
    <row r="749">
      <c r="B749" s="59" t="n"/>
      <c r="C749" s="59" t="n"/>
      <c r="E749" s="16" t="n"/>
      <c r="F749" s="13" t="n"/>
      <c r="G749" s="16" t="n"/>
      <c r="H749" s="125" t="n"/>
      <c r="I749" s="14" t="n"/>
      <c r="J749" s="16" t="n"/>
      <c r="K749" s="125" t="n"/>
      <c r="L749" s="14" t="n"/>
      <c r="M749" s="16" t="n"/>
      <c r="N749" s="125" t="n"/>
      <c r="O749" s="14" t="n"/>
      <c r="P749" s="16" t="n"/>
      <c r="Q749" s="125" t="n"/>
      <c r="R749" s="14" t="n"/>
      <c r="S749" s="16" t="n"/>
      <c r="T749" s="125" t="n"/>
      <c r="U749" s="14" t="n"/>
      <c r="V749" s="16" t="n"/>
      <c r="W749" s="125" t="n"/>
      <c r="X749" s="14" t="n"/>
      <c r="Y749" s="16" t="n"/>
      <c r="Z749" s="125" t="n"/>
      <c r="AA749" s="14" t="n"/>
      <c r="AB749" s="16" t="n"/>
      <c r="AC749" s="125" t="n"/>
      <c r="AD749" s="14" t="n"/>
    </row>
    <row r="750">
      <c r="B750" s="59" t="n"/>
      <c r="C750" s="59" t="n"/>
      <c r="E750" s="16" t="n"/>
      <c r="F750" s="13" t="n"/>
      <c r="G750" s="16" t="n"/>
      <c r="H750" s="125" t="n"/>
      <c r="I750" s="14" t="n"/>
      <c r="J750" s="16" t="n"/>
      <c r="K750" s="125" t="n"/>
      <c r="L750" s="14" t="n"/>
      <c r="M750" s="16" t="n"/>
      <c r="N750" s="125" t="n"/>
      <c r="O750" s="14" t="n"/>
      <c r="P750" s="16" t="n"/>
      <c r="Q750" s="125" t="n"/>
      <c r="R750" s="14" t="n"/>
      <c r="S750" s="16" t="n"/>
      <c r="T750" s="125" t="n"/>
      <c r="U750" s="14" t="n"/>
      <c r="V750" s="16" t="n"/>
      <c r="W750" s="125" t="n"/>
      <c r="X750" s="14" t="n"/>
      <c r="Y750" s="16" t="n"/>
      <c r="Z750" s="125" t="n"/>
      <c r="AA750" s="14" t="n"/>
      <c r="AB750" s="16" t="n"/>
      <c r="AC750" s="125" t="n"/>
      <c r="AD750" s="14" t="n"/>
    </row>
    <row r="751">
      <c r="B751" s="59" t="n"/>
      <c r="C751" s="59" t="n"/>
      <c r="E751" s="16" t="n"/>
      <c r="F751" s="13" t="n"/>
      <c r="G751" s="16" t="n"/>
      <c r="H751" s="125" t="n"/>
      <c r="I751" s="14" t="n"/>
      <c r="J751" s="16" t="n"/>
      <c r="K751" s="125" t="n"/>
      <c r="L751" s="14" t="n"/>
      <c r="M751" s="16" t="n"/>
      <c r="N751" s="125" t="n"/>
      <c r="O751" s="14" t="n"/>
      <c r="P751" s="16" t="n"/>
      <c r="Q751" s="125" t="n"/>
      <c r="R751" s="14" t="n"/>
      <c r="S751" s="16" t="n"/>
      <c r="T751" s="125" t="n"/>
      <c r="U751" s="14" t="n"/>
      <c r="V751" s="16" t="n"/>
      <c r="W751" s="125" t="n"/>
      <c r="X751" s="14" t="n"/>
      <c r="Y751" s="16" t="n"/>
      <c r="Z751" s="125" t="n"/>
      <c r="AA751" s="14" t="n"/>
      <c r="AB751" s="16" t="n"/>
      <c r="AC751" s="125" t="n"/>
      <c r="AD751" s="14" t="n"/>
    </row>
    <row r="752">
      <c r="B752" s="59" t="n"/>
      <c r="C752" s="59" t="n"/>
      <c r="E752" s="16" t="n"/>
      <c r="F752" s="13" t="n"/>
      <c r="G752" s="16" t="n"/>
      <c r="H752" s="125" t="n"/>
      <c r="I752" s="14" t="n"/>
      <c r="J752" s="16" t="n"/>
      <c r="K752" s="125" t="n"/>
      <c r="L752" s="14" t="n"/>
      <c r="M752" s="16" t="n"/>
      <c r="N752" s="125" t="n"/>
      <c r="O752" s="14" t="n"/>
      <c r="P752" s="16" t="n"/>
      <c r="Q752" s="125" t="n"/>
      <c r="R752" s="14" t="n"/>
      <c r="S752" s="16" t="n"/>
      <c r="T752" s="125" t="n"/>
      <c r="U752" s="14" t="n"/>
      <c r="V752" s="16" t="n"/>
      <c r="W752" s="125" t="n"/>
      <c r="X752" s="14" t="n"/>
      <c r="Y752" s="16" t="n"/>
      <c r="Z752" s="125" t="n"/>
      <c r="AA752" s="14" t="n"/>
      <c r="AB752" s="16" t="n"/>
      <c r="AC752" s="125" t="n"/>
      <c r="AD752" s="14" t="n"/>
    </row>
    <row r="753">
      <c r="B753" s="59" t="n"/>
      <c r="C753" s="59" t="n"/>
      <c r="E753" s="16" t="n"/>
      <c r="F753" s="13" t="n"/>
      <c r="G753" s="16" t="n"/>
      <c r="H753" s="125" t="n"/>
      <c r="I753" s="14" t="n"/>
      <c r="J753" s="16" t="n"/>
      <c r="K753" s="125" t="n"/>
      <c r="L753" s="14" t="n"/>
      <c r="M753" s="16" t="n"/>
      <c r="N753" s="125" t="n"/>
      <c r="O753" s="14" t="n"/>
      <c r="P753" s="16" t="n"/>
      <c r="Q753" s="125" t="n"/>
      <c r="R753" s="14" t="n"/>
      <c r="S753" s="16" t="n"/>
      <c r="T753" s="125" t="n"/>
      <c r="U753" s="14" t="n"/>
      <c r="V753" s="16" t="n"/>
      <c r="W753" s="125" t="n"/>
      <c r="X753" s="14" t="n"/>
      <c r="Y753" s="16" t="n"/>
      <c r="Z753" s="125" t="n"/>
      <c r="AA753" s="14" t="n"/>
      <c r="AB753" s="16" t="n"/>
      <c r="AC753" s="125" t="n"/>
      <c r="AD753" s="14" t="n"/>
    </row>
    <row r="754">
      <c r="B754" s="59" t="n"/>
      <c r="C754" s="59" t="n"/>
      <c r="E754" s="16" t="n"/>
      <c r="F754" s="13" t="n"/>
      <c r="G754" s="16" t="n"/>
      <c r="H754" s="125" t="n"/>
      <c r="I754" s="14" t="n"/>
      <c r="J754" s="16" t="n"/>
      <c r="K754" s="125" t="n"/>
      <c r="L754" s="14" t="n"/>
      <c r="M754" s="16" t="n"/>
      <c r="N754" s="125" t="n"/>
      <c r="O754" s="14" t="n"/>
      <c r="P754" s="16" t="n"/>
      <c r="Q754" s="125" t="n"/>
      <c r="R754" s="14" t="n"/>
      <c r="S754" s="16" t="n"/>
      <c r="T754" s="125" t="n"/>
      <c r="U754" s="14" t="n"/>
      <c r="V754" s="16" t="n"/>
      <c r="W754" s="125" t="n"/>
      <c r="X754" s="14" t="n"/>
      <c r="Y754" s="16" t="n"/>
      <c r="Z754" s="125" t="n"/>
      <c r="AA754" s="14" t="n"/>
      <c r="AB754" s="16" t="n"/>
      <c r="AC754" s="125" t="n"/>
      <c r="AD754" s="14" t="n"/>
    </row>
    <row r="755">
      <c r="B755" s="59" t="n"/>
      <c r="C755" s="59" t="n"/>
      <c r="E755" s="16" t="n"/>
      <c r="F755" s="13" t="n"/>
      <c r="G755" s="16" t="n"/>
      <c r="H755" s="125" t="n"/>
      <c r="I755" s="14" t="n"/>
      <c r="J755" s="16" t="n"/>
      <c r="K755" s="125" t="n"/>
      <c r="L755" s="14" t="n"/>
      <c r="M755" s="16" t="n"/>
      <c r="N755" s="125" t="n"/>
      <c r="O755" s="14" t="n"/>
      <c r="P755" s="16" t="n"/>
      <c r="Q755" s="125" t="n"/>
      <c r="R755" s="14" t="n"/>
      <c r="S755" s="16" t="n"/>
      <c r="T755" s="125" t="n"/>
      <c r="U755" s="14" t="n"/>
      <c r="V755" s="16" t="n"/>
      <c r="W755" s="125" t="n"/>
      <c r="X755" s="14" t="n"/>
      <c r="Y755" s="16" t="n"/>
      <c r="Z755" s="125" t="n"/>
      <c r="AA755" s="14" t="n"/>
      <c r="AB755" s="16" t="n"/>
      <c r="AC755" s="125" t="n"/>
      <c r="AD755" s="14" t="n"/>
    </row>
    <row r="756">
      <c r="B756" s="59" t="n"/>
      <c r="C756" s="59" t="n"/>
      <c r="E756" s="16" t="n"/>
      <c r="F756" s="13" t="n"/>
      <c r="G756" s="16" t="n"/>
      <c r="H756" s="125" t="n"/>
      <c r="I756" s="14" t="n"/>
      <c r="J756" s="16" t="n"/>
      <c r="K756" s="125" t="n"/>
      <c r="L756" s="14" t="n"/>
      <c r="M756" s="16" t="n"/>
      <c r="N756" s="125" t="n"/>
      <c r="O756" s="14" t="n"/>
      <c r="P756" s="16" t="n"/>
      <c r="Q756" s="125" t="n"/>
      <c r="R756" s="14" t="n"/>
      <c r="S756" s="16" t="n"/>
      <c r="T756" s="125" t="n"/>
      <c r="U756" s="14" t="n"/>
      <c r="V756" s="16" t="n"/>
      <c r="W756" s="125" t="n"/>
      <c r="X756" s="14" t="n"/>
      <c r="Y756" s="16" t="n"/>
      <c r="Z756" s="125" t="n"/>
      <c r="AA756" s="14" t="n"/>
      <c r="AB756" s="16" t="n"/>
      <c r="AC756" s="125" t="n"/>
      <c r="AD756" s="14" t="n"/>
    </row>
    <row r="757">
      <c r="B757" s="59" t="n"/>
      <c r="C757" s="59" t="n"/>
      <c r="E757" s="16" t="n"/>
      <c r="F757" s="13" t="n"/>
      <c r="G757" s="16" t="n"/>
      <c r="H757" s="125" t="n"/>
      <c r="I757" s="14" t="n"/>
      <c r="J757" s="16" t="n"/>
      <c r="K757" s="125" t="n"/>
      <c r="L757" s="14" t="n"/>
      <c r="M757" s="16" t="n"/>
      <c r="N757" s="125" t="n"/>
      <c r="O757" s="14" t="n"/>
      <c r="P757" s="16" t="n"/>
      <c r="Q757" s="125" t="n"/>
      <c r="R757" s="14" t="n"/>
      <c r="S757" s="16" t="n"/>
      <c r="T757" s="125" t="n"/>
      <c r="U757" s="14" t="n"/>
      <c r="V757" s="16" t="n"/>
      <c r="W757" s="125" t="n"/>
      <c r="X757" s="14" t="n"/>
      <c r="Y757" s="16" t="n"/>
      <c r="Z757" s="125" t="n"/>
      <c r="AA757" s="14" t="n"/>
      <c r="AB757" s="16" t="n"/>
      <c r="AC757" s="125" t="n"/>
      <c r="AD757" s="14" t="n"/>
    </row>
    <row r="758">
      <c r="B758" s="59" t="n"/>
      <c r="C758" s="59" t="n"/>
      <c r="E758" s="16" t="n"/>
      <c r="F758" s="13" t="n"/>
      <c r="G758" s="16" t="n"/>
      <c r="H758" s="125" t="n"/>
      <c r="I758" s="14" t="n"/>
      <c r="J758" s="16" t="n"/>
      <c r="K758" s="125" t="n"/>
      <c r="L758" s="14" t="n"/>
      <c r="M758" s="16" t="n"/>
      <c r="N758" s="125" t="n"/>
      <c r="O758" s="14" t="n"/>
      <c r="P758" s="16" t="n"/>
      <c r="Q758" s="125" t="n"/>
      <c r="R758" s="14" t="n"/>
      <c r="S758" s="16" t="n"/>
      <c r="T758" s="125" t="n"/>
      <c r="U758" s="14" t="n"/>
      <c r="V758" s="16" t="n"/>
      <c r="W758" s="125" t="n"/>
      <c r="X758" s="14" t="n"/>
      <c r="Y758" s="16" t="n"/>
      <c r="Z758" s="125" t="n"/>
      <c r="AA758" s="14" t="n"/>
      <c r="AB758" s="16" t="n"/>
      <c r="AC758" s="125" t="n"/>
      <c r="AD758" s="14" t="n"/>
    </row>
    <row r="759">
      <c r="B759" s="59" t="n"/>
      <c r="C759" s="59" t="n"/>
      <c r="E759" s="16" t="n"/>
      <c r="F759" s="13" t="n"/>
      <c r="G759" s="16" t="n"/>
      <c r="H759" s="125" t="n"/>
      <c r="I759" s="14" t="n"/>
      <c r="J759" s="16" t="n"/>
      <c r="K759" s="125" t="n"/>
      <c r="L759" s="14" t="n"/>
      <c r="M759" s="16" t="n"/>
      <c r="N759" s="125" t="n"/>
      <c r="O759" s="14" t="n"/>
      <c r="P759" s="16" t="n"/>
      <c r="Q759" s="125" t="n"/>
      <c r="R759" s="14" t="n"/>
      <c r="S759" s="16" t="n"/>
      <c r="T759" s="125" t="n"/>
      <c r="U759" s="14" t="n"/>
      <c r="V759" s="16" t="n"/>
      <c r="W759" s="125" t="n"/>
      <c r="X759" s="14" t="n"/>
      <c r="Y759" s="16" t="n"/>
      <c r="Z759" s="125" t="n"/>
      <c r="AA759" s="14" t="n"/>
      <c r="AB759" s="16" t="n"/>
      <c r="AC759" s="125" t="n"/>
      <c r="AD759" s="14" t="n"/>
    </row>
    <row r="760">
      <c r="B760" s="59" t="n"/>
      <c r="C760" s="59" t="n"/>
      <c r="E760" s="16" t="n"/>
      <c r="F760" s="13" t="n"/>
      <c r="G760" s="16" t="n"/>
      <c r="H760" s="125" t="n"/>
      <c r="I760" s="14" t="n"/>
      <c r="J760" s="16" t="n"/>
      <c r="K760" s="125" t="n"/>
      <c r="L760" s="14" t="n"/>
      <c r="M760" s="16" t="n"/>
      <c r="N760" s="125" t="n"/>
      <c r="O760" s="14" t="n"/>
      <c r="P760" s="16" t="n"/>
      <c r="Q760" s="125" t="n"/>
      <c r="R760" s="14" t="n"/>
      <c r="S760" s="16" t="n"/>
      <c r="T760" s="125" t="n"/>
      <c r="U760" s="14" t="n"/>
      <c r="V760" s="16" t="n"/>
      <c r="W760" s="125" t="n"/>
      <c r="X760" s="14" t="n"/>
      <c r="Y760" s="16" t="n"/>
      <c r="Z760" s="125" t="n"/>
      <c r="AA760" s="14" t="n"/>
      <c r="AB760" s="16" t="n"/>
      <c r="AC760" s="125" t="n"/>
      <c r="AD760" s="14" t="n"/>
    </row>
    <row r="761">
      <c r="B761" s="59" t="n"/>
      <c r="C761" s="59" t="n"/>
      <c r="E761" s="16" t="n"/>
      <c r="F761" s="13" t="n"/>
      <c r="G761" s="16" t="n"/>
      <c r="H761" s="125" t="n"/>
      <c r="I761" s="14" t="n"/>
      <c r="J761" s="16" t="n"/>
      <c r="K761" s="125" t="n"/>
      <c r="L761" s="14" t="n"/>
      <c r="M761" s="16" t="n"/>
      <c r="N761" s="125" t="n"/>
      <c r="O761" s="14" t="n"/>
      <c r="P761" s="16" t="n"/>
      <c r="Q761" s="125" t="n"/>
      <c r="R761" s="14" t="n"/>
      <c r="S761" s="16" t="n"/>
      <c r="T761" s="125" t="n"/>
      <c r="U761" s="14" t="n"/>
      <c r="V761" s="16" t="n"/>
      <c r="W761" s="125" t="n"/>
      <c r="X761" s="14" t="n"/>
      <c r="Y761" s="16" t="n"/>
      <c r="Z761" s="125" t="n"/>
      <c r="AA761" s="14" t="n"/>
      <c r="AB761" s="16" t="n"/>
      <c r="AC761" s="125" t="n"/>
      <c r="AD761" s="14" t="n"/>
    </row>
    <row r="762">
      <c r="B762" s="59" t="n"/>
      <c r="C762" s="59" t="n"/>
      <c r="E762" s="16" t="n"/>
      <c r="F762" s="13" t="n"/>
      <c r="G762" s="16" t="n"/>
      <c r="H762" s="125" t="n"/>
      <c r="I762" s="14" t="n"/>
      <c r="J762" s="16" t="n"/>
      <c r="K762" s="125" t="n"/>
      <c r="L762" s="14" t="n"/>
      <c r="M762" s="16" t="n"/>
      <c r="N762" s="125" t="n"/>
      <c r="O762" s="14" t="n"/>
      <c r="P762" s="16" t="n"/>
      <c r="Q762" s="125" t="n"/>
      <c r="R762" s="14" t="n"/>
      <c r="S762" s="16" t="n"/>
      <c r="T762" s="125" t="n"/>
      <c r="U762" s="14" t="n"/>
      <c r="V762" s="16" t="n"/>
      <c r="W762" s="125" t="n"/>
      <c r="X762" s="14" t="n"/>
      <c r="Y762" s="16" t="n"/>
      <c r="Z762" s="125" t="n"/>
      <c r="AA762" s="14" t="n"/>
      <c r="AB762" s="16" t="n"/>
      <c r="AC762" s="125" t="n"/>
      <c r="AD762" s="14" t="n"/>
    </row>
    <row r="763">
      <c r="B763" s="59" t="n"/>
      <c r="C763" s="59" t="n"/>
      <c r="E763" s="16" t="n"/>
      <c r="F763" s="13" t="n"/>
      <c r="G763" s="16" t="n"/>
      <c r="H763" s="125" t="n"/>
      <c r="I763" s="14" t="n"/>
      <c r="J763" s="16" t="n"/>
      <c r="K763" s="125" t="n"/>
      <c r="L763" s="14" t="n"/>
      <c r="M763" s="16" t="n"/>
      <c r="N763" s="125" t="n"/>
      <c r="O763" s="14" t="n"/>
      <c r="P763" s="16" t="n"/>
      <c r="Q763" s="125" t="n"/>
      <c r="R763" s="14" t="n"/>
      <c r="S763" s="16" t="n"/>
      <c r="T763" s="125" t="n"/>
      <c r="U763" s="14" t="n"/>
      <c r="V763" s="16" t="n"/>
      <c r="W763" s="125" t="n"/>
      <c r="X763" s="14" t="n"/>
      <c r="Y763" s="16" t="n"/>
      <c r="Z763" s="125" t="n"/>
      <c r="AA763" s="14" t="n"/>
      <c r="AB763" s="16" t="n"/>
      <c r="AC763" s="125" t="n"/>
      <c r="AD763" s="14" t="n"/>
    </row>
    <row r="764">
      <c r="B764" s="59" t="n"/>
      <c r="C764" s="59" t="n"/>
      <c r="E764" s="16" t="n"/>
      <c r="F764" s="13" t="n"/>
      <c r="G764" s="16" t="n"/>
      <c r="H764" s="125" t="n"/>
      <c r="I764" s="14" t="n"/>
      <c r="J764" s="16" t="n"/>
      <c r="K764" s="125" t="n"/>
      <c r="L764" s="14" t="n"/>
      <c r="M764" s="16" t="n"/>
      <c r="N764" s="125" t="n"/>
      <c r="O764" s="14" t="n"/>
      <c r="P764" s="16" t="n"/>
      <c r="Q764" s="125" t="n"/>
      <c r="R764" s="14" t="n"/>
      <c r="S764" s="16" t="n"/>
      <c r="T764" s="125" t="n"/>
      <c r="U764" s="14" t="n"/>
      <c r="V764" s="16" t="n"/>
      <c r="W764" s="125" t="n"/>
      <c r="X764" s="14" t="n"/>
      <c r="Y764" s="16" t="n"/>
      <c r="Z764" s="125" t="n"/>
      <c r="AA764" s="14" t="n"/>
      <c r="AB764" s="16" t="n"/>
      <c r="AC764" s="125" t="n"/>
      <c r="AD764" s="14" t="n"/>
    </row>
    <row r="765">
      <c r="B765" s="59" t="n"/>
      <c r="C765" s="59" t="n"/>
      <c r="E765" s="16" t="n"/>
      <c r="F765" s="13" t="n"/>
      <c r="G765" s="16" t="n"/>
      <c r="H765" s="125" t="n"/>
      <c r="I765" s="14" t="n"/>
      <c r="J765" s="16" t="n"/>
      <c r="K765" s="125" t="n"/>
      <c r="L765" s="14" t="n"/>
      <c r="M765" s="16" t="n"/>
      <c r="N765" s="125" t="n"/>
      <c r="O765" s="14" t="n"/>
      <c r="P765" s="16" t="n"/>
      <c r="Q765" s="125" t="n"/>
      <c r="R765" s="14" t="n"/>
      <c r="S765" s="16" t="n"/>
      <c r="T765" s="125" t="n"/>
      <c r="U765" s="14" t="n"/>
      <c r="V765" s="16" t="n"/>
      <c r="W765" s="125" t="n"/>
      <c r="X765" s="14" t="n"/>
      <c r="Y765" s="16" t="n"/>
      <c r="Z765" s="125" t="n"/>
      <c r="AA765" s="14" t="n"/>
      <c r="AB765" s="16" t="n"/>
      <c r="AC765" s="125" t="n"/>
      <c r="AD765" s="14" t="n"/>
    </row>
    <row r="766">
      <c r="B766" s="59" t="n"/>
      <c r="C766" s="59" t="n"/>
      <c r="E766" s="16" t="n"/>
      <c r="F766" s="13" t="n"/>
      <c r="G766" s="16" t="n"/>
      <c r="H766" s="125" t="n"/>
      <c r="I766" s="14" t="n"/>
      <c r="J766" s="16" t="n"/>
      <c r="K766" s="125" t="n"/>
      <c r="L766" s="14" t="n"/>
      <c r="M766" s="16" t="n"/>
      <c r="N766" s="125" t="n"/>
      <c r="O766" s="14" t="n"/>
      <c r="P766" s="16" t="n"/>
      <c r="Q766" s="125" t="n"/>
      <c r="R766" s="14" t="n"/>
      <c r="S766" s="16" t="n"/>
      <c r="T766" s="125" t="n"/>
      <c r="U766" s="14" t="n"/>
      <c r="V766" s="16" t="n"/>
      <c r="W766" s="125" t="n"/>
      <c r="X766" s="14" t="n"/>
      <c r="Y766" s="16" t="n"/>
      <c r="Z766" s="125" t="n"/>
      <c r="AA766" s="14" t="n"/>
      <c r="AB766" s="16" t="n"/>
      <c r="AC766" s="125" t="n"/>
      <c r="AD766" s="14" t="n"/>
    </row>
  </sheetData>
  <autoFilter ref="A14:E14"/>
  <conditionalFormatting sqref="E15:E766">
    <cfRule type="cellIs" priority="1" operator="greaterThan" dxfId="3">
      <formula>0</formula>
    </cfRule>
  </conditionalFormatting>
  <conditionalFormatting sqref="G15:G215">
    <cfRule type="expression" priority="54" dxfId="2">
      <formula>AND(NOT(ISBLANK(G15)),G15&lt;H$7)</formula>
    </cfRule>
    <cfRule type="expression" priority="55" dxfId="1">
      <formula>AND(G15&lt;=(H$7),(G15+H$5)&gt;(H$7))</formula>
    </cfRule>
    <cfRule type="expression" priority="56" dxfId="0">
      <formula>AND(NOT(ISBLANK(G15)),G15&gt;H$7)</formula>
    </cfRule>
  </conditionalFormatting>
  <conditionalFormatting sqref="G15:G264">
    <cfRule type="cellIs" priority="58" operator="greaterThan" dxfId="3">
      <formula>0</formula>
    </cfRule>
  </conditionalFormatting>
  <conditionalFormatting sqref="H2">
    <cfRule type="iconSet" priority="53">
      <iconSet iconSet="3Symbols2">
        <cfvo type="percent" val="0"/>
        <cfvo type="num" val="30" gte="0"/>
        <cfvo type="num" val="50" gte="0"/>
      </iconSet>
    </cfRule>
  </conditionalFormatting>
  <conditionalFormatting sqref="H15:H264">
    <cfRule type="dataBar" priority="57">
      <dataBar>
        <cfvo type="num" val="0"/>
        <cfvo type="max"/>
        <color rgb="FF638EC6"/>
      </dataBar>
    </cfRule>
  </conditionalFormatting>
  <conditionalFormatting sqref="J15:J215">
    <cfRule type="expression" priority="47" dxfId="2">
      <formula>AND(NOT(ISBLANK(J15)),J15&lt;K$7)</formula>
    </cfRule>
    <cfRule type="expression" priority="48" dxfId="1">
      <formula>AND(J15&lt;=(K$7),(J15+K$5)&gt;(K$7))</formula>
    </cfRule>
    <cfRule type="expression" priority="49" dxfId="0">
      <formula>AND(NOT(ISBLANK(J15)),J15&gt;K$7)</formula>
    </cfRule>
  </conditionalFormatting>
  <conditionalFormatting sqref="J15:J264">
    <cfRule type="cellIs" priority="51" operator="greaterThan" dxfId="3">
      <formula>0</formula>
    </cfRule>
  </conditionalFormatting>
  <conditionalFormatting sqref="K2">
    <cfRule type="iconSet" priority="46">
      <iconSet iconSet="3Symbols2">
        <cfvo type="percent" val="0"/>
        <cfvo type="num" val="30" gte="0"/>
        <cfvo type="num" val="50" gte="0"/>
      </iconSet>
    </cfRule>
  </conditionalFormatting>
  <conditionalFormatting sqref="K15:K264">
    <cfRule type="dataBar" priority="50">
      <dataBar>
        <cfvo type="num" val="0"/>
        <cfvo type="max"/>
        <color rgb="FF638EC6"/>
      </dataBar>
    </cfRule>
  </conditionalFormatting>
  <conditionalFormatting sqref="M15:M215">
    <cfRule type="expression" priority="40" dxfId="2">
      <formula>AND(NOT(ISBLANK(M15)),M15&lt;N$7)</formula>
    </cfRule>
    <cfRule type="expression" priority="41" dxfId="1">
      <formula>AND(M15&lt;=(N$7),(M15+N$5)&gt;(N$7))</formula>
    </cfRule>
    <cfRule type="expression" priority="42" dxfId="0">
      <formula>AND(NOT(ISBLANK(M15)),M15&gt;N$7)</formula>
    </cfRule>
  </conditionalFormatting>
  <conditionalFormatting sqref="M15:M264">
    <cfRule type="cellIs" priority="44" operator="greaterThan" dxfId="3">
      <formula>0</formula>
    </cfRule>
  </conditionalFormatting>
  <conditionalFormatting sqref="N2">
    <cfRule type="iconSet" priority="39">
      <iconSet iconSet="3Symbols2">
        <cfvo type="percent" val="0"/>
        <cfvo type="num" val="30" gte="0"/>
        <cfvo type="num" val="50" gte="0"/>
      </iconSet>
    </cfRule>
  </conditionalFormatting>
  <conditionalFormatting sqref="N15:N264">
    <cfRule type="dataBar" priority="43">
      <dataBar>
        <cfvo type="num" val="0"/>
        <cfvo type="max"/>
        <color rgb="FF638EC6"/>
      </dataBar>
    </cfRule>
  </conditionalFormatting>
  <conditionalFormatting sqref="P15:P215">
    <cfRule type="expression" priority="33" dxfId="2">
      <formula>AND(NOT(ISBLANK(P15)),P15&lt;Q$7)</formula>
    </cfRule>
    <cfRule type="expression" priority="34" dxfId="1">
      <formula>AND(P15&lt;=(Q$7),(P15+Q$5)&gt;(Q$7))</formula>
    </cfRule>
    <cfRule type="expression" priority="35" dxfId="0">
      <formula>AND(NOT(ISBLANK(P15)),P15&gt;Q$7)</formula>
    </cfRule>
  </conditionalFormatting>
  <conditionalFormatting sqref="P15:P264">
    <cfRule type="cellIs" priority="37" operator="greaterThan" dxfId="3">
      <formula>0</formula>
    </cfRule>
  </conditionalFormatting>
  <conditionalFormatting sqref="Q2">
    <cfRule type="iconSet" priority="32">
      <iconSet iconSet="3Symbols2">
        <cfvo type="percent" val="0"/>
        <cfvo type="num" val="30" gte="0"/>
        <cfvo type="num" val="50" gte="0"/>
      </iconSet>
    </cfRule>
  </conditionalFormatting>
  <conditionalFormatting sqref="Q15:Q264">
    <cfRule type="dataBar" priority="36">
      <dataBar>
        <cfvo type="num" val="0"/>
        <cfvo type="max"/>
        <color rgb="FF638EC6"/>
      </dataBar>
    </cfRule>
  </conditionalFormatting>
  <conditionalFormatting sqref="S15:S215">
    <cfRule type="expression" priority="26" dxfId="2">
      <formula>AND(NOT(ISBLANK(S15)),S15&lt;T$7)</formula>
    </cfRule>
    <cfRule type="expression" priority="27" dxfId="1">
      <formula>AND(S15&lt;=(T$7),(S15+T$5)&gt;(T$7))</formula>
    </cfRule>
    <cfRule type="expression" priority="28" dxfId="0">
      <formula>AND(NOT(ISBLANK(S15)),S15&gt;T$7)</formula>
    </cfRule>
  </conditionalFormatting>
  <conditionalFormatting sqref="S15:S264">
    <cfRule type="cellIs" priority="30" operator="greaterThan" dxfId="3">
      <formula>0</formula>
    </cfRule>
  </conditionalFormatting>
  <conditionalFormatting sqref="T2">
    <cfRule type="iconSet" priority="25">
      <iconSet iconSet="3Symbols2">
        <cfvo type="percent" val="0"/>
        <cfvo type="num" val="30" gte="0"/>
        <cfvo type="num" val="50" gte="0"/>
      </iconSet>
    </cfRule>
  </conditionalFormatting>
  <conditionalFormatting sqref="T15:T264">
    <cfRule type="dataBar" priority="29">
      <dataBar>
        <cfvo type="num" val="0"/>
        <cfvo type="max"/>
        <color rgb="FF638EC6"/>
      </dataBar>
    </cfRule>
  </conditionalFormatting>
  <conditionalFormatting sqref="V15:V215">
    <cfRule type="expression" priority="19" dxfId="2">
      <formula>AND(NOT(ISBLANK(V15)),V15&lt;W$7)</formula>
    </cfRule>
    <cfRule type="expression" priority="20" dxfId="1">
      <formula>AND(V15&lt;=(W$7),(V15+W$5)&gt;(W$7))</formula>
    </cfRule>
    <cfRule type="expression" priority="21" dxfId="0">
      <formula>AND(NOT(ISBLANK(V15)),V15&gt;W$7)</formula>
    </cfRule>
  </conditionalFormatting>
  <conditionalFormatting sqref="V15:V264">
    <cfRule type="cellIs" priority="23" operator="greaterThan" dxfId="3">
      <formula>0</formula>
    </cfRule>
  </conditionalFormatting>
  <conditionalFormatting sqref="W2">
    <cfRule type="iconSet" priority="18">
      <iconSet iconSet="3Symbols2">
        <cfvo type="percent" val="0"/>
        <cfvo type="num" val="30" gte="0"/>
        <cfvo type="num" val="50" gte="0"/>
      </iconSet>
    </cfRule>
  </conditionalFormatting>
  <conditionalFormatting sqref="W15:W264">
    <cfRule type="dataBar" priority="22">
      <dataBar>
        <cfvo type="num" val="0"/>
        <cfvo type="max"/>
        <color rgb="FF638EC6"/>
      </dataBar>
    </cfRule>
  </conditionalFormatting>
  <conditionalFormatting sqref="Y15:Y215">
    <cfRule type="expression" priority="12" dxfId="2">
      <formula>AND(NOT(ISBLANK(Y15)),Y15&lt;Z$7)</formula>
    </cfRule>
    <cfRule type="expression" priority="13" dxfId="1">
      <formula>AND(Y15&lt;=(Z$7),(Y15+Z$5)&gt;(Z$7))</formula>
    </cfRule>
    <cfRule type="expression" priority="14" dxfId="0">
      <formula>AND(NOT(ISBLANK(Y15)),Y15&gt;Z$7)</formula>
    </cfRule>
  </conditionalFormatting>
  <conditionalFormatting sqref="Y15:Y264">
    <cfRule type="cellIs" priority="16" operator="greaterThan" dxfId="3">
      <formula>0</formula>
    </cfRule>
  </conditionalFormatting>
  <conditionalFormatting sqref="Z2">
    <cfRule type="iconSet" priority="11">
      <iconSet iconSet="3Symbols2">
        <cfvo type="percent" val="0"/>
        <cfvo type="num" val="30" gte="0"/>
        <cfvo type="num" val="50" gte="0"/>
      </iconSet>
    </cfRule>
  </conditionalFormatting>
  <conditionalFormatting sqref="Z15:Z264">
    <cfRule type="dataBar" priority="15">
      <dataBar>
        <cfvo type="num" val="0"/>
        <cfvo type="max"/>
        <color rgb="FF638EC6"/>
      </dataBar>
    </cfRule>
  </conditionalFormatting>
  <conditionalFormatting sqref="AB15:AB215">
    <cfRule type="expression" priority="5" dxfId="2">
      <formula>AND(NOT(ISBLANK(AB15)),AB15&lt;AC$7)</formula>
    </cfRule>
    <cfRule type="expression" priority="6" dxfId="1">
      <formula>AND(AB15&lt;=(AC$7),(AB15+AC$5)&gt;(AC$7))</formula>
    </cfRule>
    <cfRule type="expression" priority="7" dxfId="0">
      <formula>AND(NOT(ISBLANK(AB15)),AB15&gt;AC$7)</formula>
    </cfRule>
  </conditionalFormatting>
  <conditionalFormatting sqref="AB15:AB264">
    <cfRule type="cellIs" priority="9" operator="greaterThan" dxfId="3">
      <formula>0</formula>
    </cfRule>
  </conditionalFormatting>
  <conditionalFormatting sqref="AC2">
    <cfRule type="iconSet" priority="4">
      <iconSet iconSet="3Symbols2">
        <cfvo type="percent" val="0"/>
        <cfvo type="num" val="30" gte="0"/>
        <cfvo type="num" val="50" gte="0"/>
      </iconSet>
    </cfRule>
  </conditionalFormatting>
  <conditionalFormatting sqref="AC15:AC264">
    <cfRule type="dataBar" priority="8">
      <dataBar>
        <cfvo type="num" val="0"/>
        <cfvo type="max"/>
        <color rgb="FF638EC6"/>
      </dataBar>
    </cfRule>
  </conditionalFormatting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tabColor rgb="FFFFC000"/>
    <outlinePr summaryBelow="1" summaryRight="1"/>
    <pageSetUpPr/>
  </sheetPr>
  <dimension ref="A1:AE85"/>
  <sheetViews>
    <sheetView showGridLines="0" showZeros="0" zoomScale="70" zoomScaleNormal="70" workbookViewId="0">
      <selection activeCell="A15" sqref="A15:D1048576"/>
    </sheetView>
  </sheetViews>
  <sheetFormatPr baseColWidth="8" defaultRowHeight="14.4"/>
  <cols>
    <col width="8.44140625" customWidth="1" style="113" min="1" max="1"/>
    <col width="11.88671875" customWidth="1" style="113" min="2" max="2"/>
    <col width="7.109375" customWidth="1" style="113" min="3" max="3"/>
    <col width="8.5546875" customWidth="1" style="113" min="4" max="4"/>
    <col width="4.5546875" bestFit="1" customWidth="1" style="113" min="5" max="5"/>
    <col width="2.6640625" customWidth="1" style="113" min="6" max="6"/>
    <col width="11.5546875" customWidth="1" style="113" min="7" max="8"/>
    <col width="2.33203125" customWidth="1" style="113" min="9" max="9"/>
    <col width="11.5546875" customWidth="1" style="113" min="10" max="11"/>
    <col width="2.33203125" customWidth="1" style="113" min="12" max="12"/>
    <col width="11.5546875" customWidth="1" style="113" min="13" max="14"/>
    <col width="2.33203125" customWidth="1" style="113" min="15" max="15"/>
    <col width="11.5546875" customWidth="1" style="113" min="16" max="17"/>
    <col width="2.33203125" customWidth="1" style="113" min="18" max="18"/>
    <col width="11.5546875" customWidth="1" style="113" min="19" max="20"/>
    <col width="2.33203125" customWidth="1" style="113" min="21" max="21"/>
    <col width="11.5546875" customWidth="1" style="113" min="22" max="23"/>
    <col width="2.33203125" customWidth="1" style="113" min="24" max="24"/>
    <col width="11.5546875" customWidth="1" style="113" min="25" max="26"/>
    <col width="2.33203125" customWidth="1" style="113" min="27" max="27"/>
    <col width="11.5546875" customWidth="1" style="113" min="28" max="29"/>
    <col width="2.33203125" customWidth="1" style="113" min="30" max="30"/>
  </cols>
  <sheetData>
    <row r="1">
      <c r="D1" s="114" t="n"/>
      <c r="E1" s="115" t="n"/>
      <c r="F1" s="31" t="n"/>
      <c r="G1" s="36">
        <f>FAO!B1&amp;" max ="</f>
        <v/>
      </c>
      <c r="H1" s="116">
        <f>+FAO!B10</f>
        <v/>
      </c>
      <c r="I1" s="32" t="n"/>
      <c r="J1" s="36">
        <f>FAO!E1&amp;" max ="</f>
        <v/>
      </c>
      <c r="K1" s="116">
        <f>+FAO!E10</f>
        <v/>
      </c>
      <c r="L1" s="32" t="n"/>
      <c r="M1" s="36">
        <f>FAO!H1&amp;" max ="</f>
        <v/>
      </c>
      <c r="N1" s="116">
        <f>+FAO!H10</f>
        <v/>
      </c>
      <c r="O1" s="32" t="n"/>
      <c r="P1" s="36">
        <f>FAO!K1&amp;" max ="</f>
        <v/>
      </c>
      <c r="Q1" s="116">
        <f>+FAO!K10</f>
        <v/>
      </c>
      <c r="R1" s="32" t="n"/>
      <c r="S1" s="36">
        <f>FAO!N1&amp;" max ="</f>
        <v/>
      </c>
      <c r="T1" s="116">
        <f>+FAO!N10</f>
        <v/>
      </c>
      <c r="U1" s="32" t="n"/>
      <c r="V1" s="36">
        <f>FAO!Q1&amp;" max ="</f>
        <v/>
      </c>
      <c r="W1" s="116">
        <f>+FAO!Q10</f>
        <v/>
      </c>
      <c r="X1" s="32" t="n"/>
      <c r="Y1" s="36">
        <f>FAO!T1&amp;" max ="</f>
        <v/>
      </c>
      <c r="Z1" s="116">
        <f>+FAO!T10</f>
        <v/>
      </c>
      <c r="AA1" s="32" t="n"/>
      <c r="AB1" s="36">
        <f>FAO!W1&amp;" max ="</f>
        <v/>
      </c>
      <c r="AC1" s="116">
        <f>+FAO!W10</f>
        <v/>
      </c>
      <c r="AD1" s="32" t="n"/>
      <c r="AE1">
        <f>COUNTA($C$15:$C$10001)</f>
        <v/>
      </c>
    </row>
    <row r="2">
      <c r="D2" s="114" t="n"/>
      <c r="E2" s="115" t="n"/>
      <c r="F2" s="31" t="n"/>
      <c r="G2" s="48" t="inlineStr">
        <is>
          <t>obs n =</t>
        </is>
      </c>
      <c r="H2">
        <f>COUNTIF($C$18:$C$1003,G13)</f>
        <v/>
      </c>
      <c r="I2" s="32" t="n"/>
      <c r="J2" s="48" t="inlineStr">
        <is>
          <t>obs n =</t>
        </is>
      </c>
      <c r="K2">
        <f>COUNTIF($C$18:$C$1003,J13)</f>
        <v/>
      </c>
      <c r="L2" s="32" t="n"/>
      <c r="M2" s="48" t="inlineStr">
        <is>
          <t>obs n =</t>
        </is>
      </c>
      <c r="N2">
        <f>COUNTIF($C$18:$C$1003,M13)</f>
        <v/>
      </c>
      <c r="O2" s="32" t="n"/>
      <c r="P2" s="48" t="inlineStr">
        <is>
          <t>obs n =</t>
        </is>
      </c>
      <c r="Q2">
        <f>COUNTIF($C$18:$C$1003,P13)</f>
        <v/>
      </c>
      <c r="R2" s="32" t="n"/>
      <c r="S2" s="48" t="inlineStr">
        <is>
          <t>obs n =</t>
        </is>
      </c>
      <c r="T2">
        <f>COUNTIF($C$18:$C$1003,S13)</f>
        <v/>
      </c>
      <c r="U2" s="32" t="n"/>
      <c r="V2" s="48" t="inlineStr">
        <is>
          <t>obs n =</t>
        </is>
      </c>
      <c r="W2">
        <f>COUNTIF($C$18:$C$1003,V13)</f>
        <v/>
      </c>
      <c r="X2" s="32" t="n"/>
      <c r="Y2" s="48" t="inlineStr">
        <is>
          <t>obs n =</t>
        </is>
      </c>
      <c r="Z2">
        <f>COUNTIF($C$18:$C$1003,Y13)</f>
        <v/>
      </c>
      <c r="AA2" s="32" t="n"/>
      <c r="AB2" s="48" t="inlineStr">
        <is>
          <t>obs n =</t>
        </is>
      </c>
      <c r="AC2">
        <f>COUNTIF($C$18:$C$1003,AB13)</f>
        <v/>
      </c>
      <c r="AD2" s="32" t="n"/>
    </row>
    <row r="3">
      <c r="D3" s="114" t="n"/>
      <c r="E3" s="115" t="n"/>
      <c r="F3" s="31" t="n"/>
      <c r="G3" s="48" t="inlineStr">
        <is>
          <t xml:space="preserve">freq n= </t>
        </is>
      </c>
      <c r="H3">
        <f>+SUM(H15:H1003)</f>
        <v/>
      </c>
      <c r="I3" s="32" t="n"/>
      <c r="J3" s="48" t="inlineStr">
        <is>
          <t xml:space="preserve">freq n= </t>
        </is>
      </c>
      <c r="K3">
        <f>+SUM(K15:K1003)</f>
        <v/>
      </c>
      <c r="L3" s="32" t="n"/>
      <c r="M3" s="48" t="inlineStr">
        <is>
          <t xml:space="preserve">freq n= </t>
        </is>
      </c>
      <c r="N3">
        <f>+SUM(N15:N1003)</f>
        <v/>
      </c>
      <c r="O3" s="32" t="n"/>
      <c r="P3" s="48" t="inlineStr">
        <is>
          <t xml:space="preserve">freq n= </t>
        </is>
      </c>
      <c r="Q3">
        <f>+SUM(Q15:Q1003)</f>
        <v/>
      </c>
      <c r="R3" s="32" t="n"/>
      <c r="S3" s="48" t="inlineStr">
        <is>
          <t xml:space="preserve">freq n= </t>
        </is>
      </c>
      <c r="T3">
        <f>+SUM(T15:T1003)</f>
        <v/>
      </c>
      <c r="U3" s="32" t="n"/>
      <c r="V3" s="48" t="inlineStr">
        <is>
          <t xml:space="preserve">freq n= </t>
        </is>
      </c>
      <c r="W3">
        <f>+SUM(W15:W1003)</f>
        <v/>
      </c>
      <c r="X3" s="32" t="n"/>
      <c r="Y3" s="48" t="inlineStr">
        <is>
          <t xml:space="preserve">freq n= </t>
        </is>
      </c>
      <c r="Z3">
        <f>+SUM(Z15:Z1003)</f>
        <v/>
      </c>
      <c r="AA3" s="32" t="n"/>
      <c r="AB3" s="48" t="inlineStr">
        <is>
          <t xml:space="preserve">freq n= </t>
        </is>
      </c>
      <c r="AC3">
        <f>+SUM(AC15:AC1003)</f>
        <v/>
      </c>
      <c r="AD3" s="32" t="n"/>
    </row>
    <row r="4">
      <c r="D4" s="114" t="n"/>
      <c r="E4" s="115" t="n"/>
      <c r="F4" s="31" t="n"/>
      <c r="G4" s="48" t="inlineStr">
        <is>
          <t>first bin =</t>
        </is>
      </c>
      <c r="H4" t="n">
        <v>10</v>
      </c>
      <c r="I4" s="32" t="n"/>
      <c r="J4" s="48" t="inlineStr">
        <is>
          <t>first bin =</t>
        </is>
      </c>
      <c r="K4" t="n">
        <v>10</v>
      </c>
      <c r="L4" s="32" t="n"/>
      <c r="M4" s="48" t="inlineStr">
        <is>
          <t>first bin =</t>
        </is>
      </c>
      <c r="N4" t="n">
        <v>10</v>
      </c>
      <c r="O4" s="32" t="n"/>
      <c r="P4" s="48" t="inlineStr">
        <is>
          <t>first bin =</t>
        </is>
      </c>
      <c r="Q4" t="n">
        <v>10</v>
      </c>
      <c r="R4" s="32" t="n"/>
      <c r="S4" s="48" t="inlineStr">
        <is>
          <t>first bin =</t>
        </is>
      </c>
      <c r="T4" t="n">
        <v>10</v>
      </c>
      <c r="U4" s="32" t="n"/>
      <c r="V4" s="48" t="inlineStr">
        <is>
          <t>first bin =</t>
        </is>
      </c>
      <c r="W4" t="n">
        <v>10</v>
      </c>
      <c r="X4" s="32" t="n"/>
      <c r="Y4" s="48" t="inlineStr">
        <is>
          <t>first bin =</t>
        </is>
      </c>
      <c r="Z4" t="n">
        <v>10</v>
      </c>
      <c r="AA4" s="32" t="n"/>
      <c r="AB4" s="48" t="inlineStr">
        <is>
          <t>first bin =</t>
        </is>
      </c>
      <c r="AC4" t="n">
        <v>10</v>
      </c>
      <c r="AD4" s="32" t="n"/>
    </row>
    <row r="5">
      <c r="D5" s="114" t="n"/>
      <c r="E5" s="115" t="n"/>
      <c r="F5" s="31" t="n"/>
      <c r="G5" s="48" t="inlineStr">
        <is>
          <t>increment =</t>
        </is>
      </c>
      <c r="H5">
        <f>+FAO!B14</f>
        <v/>
      </c>
      <c r="I5" s="32" t="n"/>
      <c r="J5" s="48" t="inlineStr">
        <is>
          <t>increment =</t>
        </is>
      </c>
      <c r="K5">
        <f>+FAO!E14</f>
        <v/>
      </c>
      <c r="L5" s="32" t="n"/>
      <c r="M5" s="48" t="inlineStr">
        <is>
          <t>increment =</t>
        </is>
      </c>
      <c r="N5">
        <f>+FAO!H14</f>
        <v/>
      </c>
      <c r="O5" s="32" t="n"/>
      <c r="P5" s="48" t="inlineStr">
        <is>
          <t>increment =</t>
        </is>
      </c>
      <c r="Q5">
        <f>+FAO!K14</f>
        <v/>
      </c>
      <c r="R5" s="32" t="n"/>
      <c r="S5" s="48" t="inlineStr">
        <is>
          <t>increment =</t>
        </is>
      </c>
      <c r="T5">
        <f>+FAO!N14</f>
        <v/>
      </c>
      <c r="U5" s="32" t="n"/>
      <c r="V5" s="48" t="inlineStr">
        <is>
          <t>increment =</t>
        </is>
      </c>
      <c r="W5">
        <f>+FAO!Q14</f>
        <v/>
      </c>
      <c r="X5" s="32" t="n"/>
      <c r="Y5" s="48" t="inlineStr">
        <is>
          <t>increment =</t>
        </is>
      </c>
      <c r="Z5">
        <f>+FAO!T14</f>
        <v/>
      </c>
      <c r="AA5" s="32" t="n"/>
      <c r="AB5" s="48" t="inlineStr">
        <is>
          <t>increment =</t>
        </is>
      </c>
      <c r="AC5">
        <f>+FAO!W14</f>
        <v/>
      </c>
      <c r="AD5" s="32" t="n"/>
    </row>
    <row r="6">
      <c r="D6" s="114" t="n"/>
      <c r="E6" s="115" t="n"/>
      <c r="F6" s="31" t="n"/>
      <c r="G6" s="48" t="inlineStr">
        <is>
          <t>Complete =</t>
        </is>
      </c>
      <c r="H6">
        <f>COUNTIFS($C$18:$C$2015,G$13,$D$18:$D$2015,"&gt;5")/COUNTIF($C$18:$C$2015,G$13)*100</f>
        <v/>
      </c>
      <c r="I6" s="32" t="n"/>
      <c r="J6" s="48" t="inlineStr">
        <is>
          <t>Complete =</t>
        </is>
      </c>
      <c r="K6">
        <f>COUNTIFS($C$18:$C$2015,J$13,$D$18:$D$2015,"&gt;5")/COUNTIF($C$18:$C$2015,J$13)*100</f>
        <v/>
      </c>
      <c r="L6" s="32" t="n"/>
      <c r="M6" s="48" t="inlineStr">
        <is>
          <t>Complete =</t>
        </is>
      </c>
      <c r="N6">
        <f>COUNTIFS($C$18:$C$2015,M$13,$D$18:$D$2015,"&gt;5")/COUNTIF($C$18:$C$2015,M$13)*100</f>
        <v/>
      </c>
      <c r="O6" s="32" t="n"/>
      <c r="P6" s="48" t="inlineStr">
        <is>
          <t>Complete =</t>
        </is>
      </c>
      <c r="Q6">
        <f>COUNTIFS($C$18:$C$2015,P$13,$D$18:$D$2015,"&gt;5")/COUNTIF($C$18:$C$2015,P$13)*100</f>
        <v/>
      </c>
      <c r="R6" s="32" t="n"/>
      <c r="S6" s="48" t="inlineStr">
        <is>
          <t>Complete =</t>
        </is>
      </c>
      <c r="T6">
        <f>COUNTIFS($C$18:$C$2015,S$13,$D$18:$D$2015,"&gt;5")/COUNTIF($C$18:$C$2015,S$13)*100</f>
        <v/>
      </c>
      <c r="U6" s="32" t="n"/>
      <c r="V6" s="48" t="inlineStr">
        <is>
          <t>Complete =</t>
        </is>
      </c>
      <c r="W6">
        <f>COUNTIFS($C$18:$C$2015,V$13,$D$18:$D$2015,"&gt;5")/COUNTIF($C$18:$C$2015,V$13)*100</f>
        <v/>
      </c>
      <c r="X6" s="32" t="n"/>
      <c r="Y6" s="48" t="inlineStr">
        <is>
          <t>Complete =</t>
        </is>
      </c>
      <c r="Z6">
        <f>COUNTIFS($C$18:$C$2015,Y$13,$D$18:$D$2015,"&gt;5")/COUNTIF($C$18:$C$2015,Y$13)*100</f>
        <v/>
      </c>
      <c r="AA6" s="32" t="n"/>
      <c r="AB6" s="48" t="inlineStr">
        <is>
          <t>Complete =</t>
        </is>
      </c>
      <c r="AC6">
        <f>COUNTIFS($C$18:$C$2015,AB$13,$D$18:$D$2015,"&gt;5")/COUNTIF($C$18:$C$2015,AB$13)*100</f>
        <v/>
      </c>
      <c r="AD6" s="32" t="n"/>
    </row>
    <row r="7">
      <c r="D7" s="114" t="n"/>
      <c r="E7" s="115" t="n"/>
      <c r="F7" s="31" t="n"/>
      <c r="G7" s="48" t="inlineStr">
        <is>
          <t>L50 (cm) =</t>
        </is>
      </c>
      <c r="H7">
        <f>+FAO!B11</f>
        <v/>
      </c>
      <c r="I7" s="32" t="n"/>
      <c r="J7" s="48" t="inlineStr">
        <is>
          <t>L50 (cm) =</t>
        </is>
      </c>
      <c r="K7">
        <f>+FAO!E11</f>
        <v/>
      </c>
      <c r="L7" s="32" t="n"/>
      <c r="M7" s="48" t="inlineStr">
        <is>
          <t>L50 (cm) =</t>
        </is>
      </c>
      <c r="N7">
        <f>+FAO!H11</f>
        <v/>
      </c>
      <c r="O7" s="32" t="n"/>
      <c r="P7" s="48" t="inlineStr">
        <is>
          <t>L50 (cm) =</t>
        </is>
      </c>
      <c r="Q7">
        <f>+FAO!K11</f>
        <v/>
      </c>
      <c r="R7" s="32" t="n"/>
      <c r="S7" s="48" t="inlineStr">
        <is>
          <t>L50 (cm) =</t>
        </is>
      </c>
      <c r="T7">
        <f>+FAO!N11</f>
        <v/>
      </c>
      <c r="U7" s="32" t="n"/>
      <c r="V7" s="48" t="inlineStr">
        <is>
          <t>L50 (cm) =</t>
        </is>
      </c>
      <c r="W7">
        <f>+FAO!Q11</f>
        <v/>
      </c>
      <c r="X7" s="32" t="n"/>
      <c r="Y7" s="48" t="inlineStr">
        <is>
          <t>L50 (cm) =</t>
        </is>
      </c>
      <c r="Z7">
        <f>+FAO!T11</f>
        <v/>
      </c>
      <c r="AA7" s="32" t="n"/>
      <c r="AB7" s="48" t="inlineStr">
        <is>
          <t>L50 (cm) =</t>
        </is>
      </c>
      <c r="AC7">
        <f>+FAO!W11</f>
        <v/>
      </c>
      <c r="AD7" s="32" t="n"/>
    </row>
    <row r="8">
      <c r="D8" s="114" t="n"/>
      <c r="E8" s="115" t="n"/>
      <c r="F8" s="31" t="n"/>
      <c r="G8" s="48" t="inlineStr">
        <is>
          <t>Juven. (%) =</t>
        </is>
      </c>
      <c r="H8">
        <f>+ROUND(COUNTIFS($C$18:$C$2015,G$13,$D$18:$D$2015,"&lt;"&amp;H7)/COUNTIF($C$18:$C$2015,G$13)*100,0)</f>
        <v/>
      </c>
      <c r="I8" s="32" t="n"/>
      <c r="J8" s="48" t="inlineStr">
        <is>
          <t>Juven. (%) =</t>
        </is>
      </c>
      <c r="K8">
        <f>+ROUND(COUNTIFS($C$18:$C$2015,J$13,$D$18:$D$2015,"&lt;"&amp;K7)/COUNTIF($C$18:$C$2015,J$13)*100,0)</f>
        <v/>
      </c>
      <c r="L8" s="32" t="n"/>
      <c r="M8" s="48" t="inlineStr">
        <is>
          <t>Juven. (%) =</t>
        </is>
      </c>
      <c r="N8">
        <f>+ROUND(COUNTIFS($C$18:$C$2015,M$13,$D$18:$D$2015,"&lt;"&amp;N7)/COUNTIF($C$18:$C$2015,M$13)*100,0)</f>
        <v/>
      </c>
      <c r="O8" s="32" t="n"/>
      <c r="P8" s="48" t="inlineStr">
        <is>
          <t>Juven. (%) =</t>
        </is>
      </c>
      <c r="Q8">
        <f>+ROUND(COUNTIFS($C$18:$C$2015,P$13,$D$18:$D$2015,"&lt;"&amp;Q7)/COUNTIF($C$18:$C$2015,P$13)*100,0)</f>
        <v/>
      </c>
      <c r="R8" s="32" t="n"/>
      <c r="S8" s="48" t="inlineStr">
        <is>
          <t>Juven. (%) =</t>
        </is>
      </c>
      <c r="T8">
        <f>+ROUND(COUNTIFS($C$18:$C$2015,S$13,$D$18:$D$2015,"&lt;"&amp;T7)/COUNTIF($C$18:$C$2015,S$13)*100,0)</f>
        <v/>
      </c>
      <c r="U8" s="32" t="n"/>
      <c r="V8" s="48" t="inlineStr">
        <is>
          <t>Juven. (%) =</t>
        </is>
      </c>
      <c r="W8">
        <f>+ROUND(COUNTIFS($C$18:$C$2015,V$13,$D$18:$D$2015,"&lt;"&amp;W7)/COUNTIF($C$18:$C$2015,V$13)*100,0)</f>
        <v/>
      </c>
      <c r="X8" s="32" t="n"/>
      <c r="Y8" s="48" t="inlineStr">
        <is>
          <t>Juven. (%) =</t>
        </is>
      </c>
      <c r="Z8">
        <f>+ROUND(COUNTIFS($C$18:$C$2015,Y$13,$D$18:$D$2015,"&lt;"&amp;Z7)/COUNTIF($C$18:$C$2015,Y$13)*100,0)</f>
        <v/>
      </c>
      <c r="AA8" s="32" t="n"/>
      <c r="AB8" s="48" t="inlineStr">
        <is>
          <t>Juven. (%) =</t>
        </is>
      </c>
      <c r="AC8">
        <f>+ROUND(COUNTIFS($C$18:$C$2015,AB$13,$D$18:$D$2015,"&lt;"&amp;AC7)/COUNTIF($C$18:$C$2015,AB$13)*100,0)</f>
        <v/>
      </c>
      <c r="AD8" s="32" t="n"/>
    </row>
    <row r="9" customFormat="1" s="17">
      <c r="D9" s="114" t="n"/>
      <c r="E9" s="18" t="n"/>
      <c r="F9" s="31" t="n"/>
      <c r="G9" s="20">
        <f>+FAO!B6</f>
        <v/>
      </c>
      <c r="H9" s="117" t="n"/>
      <c r="I9" s="32" t="n"/>
      <c r="J9" s="20">
        <f>+FAO!E6</f>
        <v/>
      </c>
      <c r="K9" s="117" t="n"/>
      <c r="L9" s="32" t="n"/>
      <c r="M9" s="20">
        <f>+FAO!H6</f>
        <v/>
      </c>
      <c r="N9" s="117" t="n"/>
      <c r="O9" s="32" t="n"/>
      <c r="P9" s="20">
        <f>+FAO!K6</f>
        <v/>
      </c>
      <c r="Q9" s="117" t="n"/>
      <c r="R9" s="32" t="n"/>
      <c r="S9" s="20">
        <f>+FAO!N6</f>
        <v/>
      </c>
      <c r="T9" s="117" t="n"/>
      <c r="U9" s="32" t="n"/>
      <c r="V9" s="20">
        <f>+FAO!Q6</f>
        <v/>
      </c>
      <c r="W9" s="117" t="n"/>
      <c r="X9" s="32" t="n"/>
      <c r="Y9" s="20">
        <f>+FAO!T6</f>
        <v/>
      </c>
      <c r="Z9" s="117" t="n"/>
      <c r="AA9" s="32" t="n"/>
      <c r="AB9" s="20">
        <f>+FAO!W6</f>
        <v/>
      </c>
      <c r="AC9" s="117" t="n"/>
      <c r="AD9" s="32" t="n"/>
    </row>
    <row r="10" customFormat="1" s="1">
      <c r="D10" s="114" t="n"/>
      <c r="E10" s="33" t="n"/>
      <c r="F10" s="31" t="n"/>
      <c r="G10" s="20">
        <f>+FAO!B7</f>
        <v/>
      </c>
      <c r="H10" s="118" t="n"/>
      <c r="I10" s="32" t="n"/>
      <c r="J10" s="20">
        <f>+FAO!E7</f>
        <v/>
      </c>
      <c r="K10" s="118" t="n"/>
      <c r="L10" s="32" t="n"/>
      <c r="M10" s="20">
        <f>+FAO!H7</f>
        <v/>
      </c>
      <c r="N10" s="118" t="n"/>
      <c r="O10" s="32" t="n"/>
      <c r="P10" s="20">
        <f>+FAO!K7</f>
        <v/>
      </c>
      <c r="Q10" s="118" t="n"/>
      <c r="R10" s="32" t="n"/>
      <c r="S10" s="20">
        <f>+FAO!N7</f>
        <v/>
      </c>
      <c r="T10" s="118" t="n"/>
      <c r="U10" s="32" t="n"/>
      <c r="V10" s="20">
        <f>+FAO!Q7</f>
        <v/>
      </c>
      <c r="W10" s="118" t="n"/>
      <c r="X10" s="32" t="n"/>
      <c r="Y10" s="20">
        <f>+FAO!T7</f>
        <v/>
      </c>
      <c r="Z10" s="118" t="n"/>
      <c r="AA10" s="32" t="n"/>
      <c r="AB10" s="20">
        <f>+FAO!W7</f>
        <v/>
      </c>
      <c r="AC10" s="118" t="n"/>
      <c r="AD10" s="32" t="n"/>
    </row>
    <row r="11" customFormat="1" s="1">
      <c r="D11" s="114" t="n"/>
      <c r="E11" s="19" t="n"/>
      <c r="F11" s="31" t="n"/>
      <c r="G11" s="34">
        <f>+FAO!B9</f>
        <v/>
      </c>
      <c r="H11" s="119" t="n"/>
      <c r="I11" s="32" t="n"/>
      <c r="J11" s="34">
        <f>+FAO!E9</f>
        <v/>
      </c>
      <c r="K11" s="119" t="n"/>
      <c r="L11" s="32" t="n"/>
      <c r="M11" s="34">
        <f>+FAO!H9</f>
        <v/>
      </c>
      <c r="N11" s="119" t="n"/>
      <c r="O11" s="32" t="n"/>
      <c r="P11" s="34">
        <f>+FAO!K9</f>
        <v/>
      </c>
      <c r="Q11" s="119" t="n"/>
      <c r="R11" s="32" t="n"/>
      <c r="S11" s="34">
        <f>+FAO!N9</f>
        <v/>
      </c>
      <c r="T11" s="119" t="n"/>
      <c r="U11" s="32" t="n"/>
      <c r="V11" s="34">
        <f>+FAO!Q9</f>
        <v/>
      </c>
      <c r="W11" s="119" t="n"/>
      <c r="X11" s="32" t="n"/>
      <c r="Y11" s="34">
        <f>+FAO!T9</f>
        <v/>
      </c>
      <c r="Z11" s="119" t="n"/>
      <c r="AA11" s="32" t="n"/>
      <c r="AB11" s="34">
        <f>+FAO!W9</f>
        <v/>
      </c>
      <c r="AC11" s="119" t="n"/>
      <c r="AD11" s="32" t="n"/>
    </row>
    <row r="12">
      <c r="D12" s="114" t="n"/>
      <c r="E12" s="115" t="n"/>
      <c r="F12" s="31" t="n"/>
      <c r="G12" s="34">
        <f>+FAO!B5</f>
        <v/>
      </c>
      <c r="H12" s="120" t="n"/>
      <c r="I12" s="32" t="n"/>
      <c r="J12" s="34">
        <f>+FAO!E5</f>
        <v/>
      </c>
      <c r="K12" s="120" t="n"/>
      <c r="L12" s="32" t="n"/>
      <c r="M12" s="34">
        <f>+FAO!H5</f>
        <v/>
      </c>
      <c r="N12" s="120" t="n"/>
      <c r="O12" s="32" t="n"/>
      <c r="P12" s="34">
        <f>+FAO!K5</f>
        <v/>
      </c>
      <c r="Q12" s="120" t="n"/>
      <c r="R12" s="32" t="n"/>
      <c r="S12" s="34">
        <f>+FAO!N5</f>
        <v/>
      </c>
      <c r="T12" s="120" t="n"/>
      <c r="U12" s="32" t="n"/>
      <c r="V12" s="34">
        <f>+FAO!Q5</f>
        <v/>
      </c>
      <c r="W12" s="120" t="n"/>
      <c r="X12" s="32" t="n"/>
      <c r="Y12" s="34">
        <f>+FAO!T5</f>
        <v/>
      </c>
      <c r="Z12" s="120" t="n"/>
      <c r="AA12" s="32" t="n"/>
      <c r="AB12" s="34">
        <f>+FAO!W5</f>
        <v/>
      </c>
      <c r="AC12" s="120" t="n"/>
      <c r="AD12" s="32" t="n"/>
    </row>
    <row r="13" ht="39" customHeight="1" s="113">
      <c r="B13" s="49" t="n"/>
      <c r="D13" t="e">
        <v>#VALUE!</v>
      </c>
      <c r="E13" s="51">
        <f>COUNTA(C15:C1003)</f>
        <v/>
      </c>
      <c r="F13" s="31" t="n"/>
      <c r="G13" s="35">
        <f>+FAO!B1</f>
        <v/>
      </c>
      <c r="H13" s="121">
        <f>+FAO!B3</f>
        <v/>
      </c>
      <c r="I13" s="32" t="n"/>
      <c r="J13" s="35">
        <f>+FAO!E1</f>
        <v/>
      </c>
      <c r="K13" s="121">
        <f>+FAO!E3</f>
        <v/>
      </c>
      <c r="L13" s="32" t="n"/>
      <c r="M13" s="35">
        <f>+FAO!H1</f>
        <v/>
      </c>
      <c r="N13" s="121">
        <f>+FAO!H3</f>
        <v/>
      </c>
      <c r="O13" s="32" t="n"/>
      <c r="P13" s="35">
        <f>+FAO!K1</f>
        <v/>
      </c>
      <c r="Q13" s="121">
        <f>+FAO!K3</f>
        <v/>
      </c>
      <c r="R13" s="32" t="n"/>
      <c r="S13" s="35">
        <f>+FAO!N1</f>
        <v/>
      </c>
      <c r="T13" s="121">
        <f>+FAO!N3</f>
        <v/>
      </c>
      <c r="U13" s="32" t="n"/>
      <c r="V13" s="35">
        <f>+FAO!Q1</f>
        <v/>
      </c>
      <c r="W13" s="121">
        <f>+FAO!Q3</f>
        <v/>
      </c>
      <c r="X13" s="32" t="n"/>
      <c r="Y13" s="35">
        <f>+FAO!T1</f>
        <v/>
      </c>
      <c r="Z13" s="121">
        <f>+FAO!T3</f>
        <v/>
      </c>
      <c r="AA13" s="32" t="n"/>
      <c r="AB13" s="35">
        <f>+FAO!W1</f>
        <v/>
      </c>
      <c r="AC13" s="121">
        <f>+FAO!W3</f>
        <v/>
      </c>
      <c r="AD13" s="32" t="n"/>
    </row>
    <row r="14" customFormat="1" s="54">
      <c r="A14" s="99" t="inlineStr">
        <is>
          <t>TRIP</t>
        </is>
      </c>
      <c r="B14" s="99" t="inlineStr">
        <is>
          <t>DATE</t>
        </is>
      </c>
      <c r="C14" s="99" t="inlineStr">
        <is>
          <t>FAO</t>
        </is>
      </c>
      <c r="D14" s="122" t="inlineStr">
        <is>
          <t>OBS</t>
        </is>
      </c>
      <c r="E14" s="99" t="inlineStr">
        <is>
          <t>ID</t>
        </is>
      </c>
      <c r="F14" s="52" t="n"/>
      <c r="G14" s="50">
        <f>"LC-"&amp;G13</f>
        <v/>
      </c>
      <c r="H14" s="123">
        <f>"FQ-"&amp;G13</f>
        <v/>
      </c>
      <c r="I14" s="53" t="n"/>
      <c r="J14" s="50">
        <f>"LC-"&amp;J13</f>
        <v/>
      </c>
      <c r="K14" s="123">
        <f>"FQ-"&amp;J13</f>
        <v/>
      </c>
      <c r="L14" s="53" t="n"/>
      <c r="M14" s="50">
        <f>"LC-"&amp;M13</f>
        <v/>
      </c>
      <c r="N14" s="123">
        <f>"FQ-"&amp;M13</f>
        <v/>
      </c>
      <c r="O14" s="53" t="n"/>
      <c r="P14" s="50">
        <f>"LC-"&amp;P13</f>
        <v/>
      </c>
      <c r="Q14" s="123">
        <f>"FQ-"&amp;P13</f>
        <v/>
      </c>
      <c r="R14" s="53" t="n"/>
      <c r="S14" s="50">
        <f>"LC-"&amp;S13</f>
        <v/>
      </c>
      <c r="T14" s="123">
        <f>"FQ-"&amp;S13</f>
        <v/>
      </c>
      <c r="U14" s="53" t="n"/>
      <c r="V14" s="50">
        <f>"LC-"&amp;V13</f>
        <v/>
      </c>
      <c r="W14" s="123">
        <f>"FQ-"&amp;V13</f>
        <v/>
      </c>
      <c r="X14" s="53" t="n"/>
      <c r="Y14" s="50">
        <f>"LC-"&amp;Y13</f>
        <v/>
      </c>
      <c r="Z14" s="123">
        <f>"FQ-"&amp;Y13</f>
        <v/>
      </c>
      <c r="AA14" s="53" t="n"/>
      <c r="AB14" s="50">
        <f>"LC-"&amp;AB13</f>
        <v/>
      </c>
      <c r="AC14" s="123">
        <f>"FQ-"&amp;AB13</f>
        <v/>
      </c>
      <c r="AD14" s="53" t="n"/>
    </row>
    <row r="15">
      <c r="A15" s="58" t="n"/>
      <c r="B15" s="59" t="n"/>
      <c r="C15" s="59" t="n"/>
      <c r="D15" s="126" t="n"/>
      <c r="E15" s="16">
        <f t="array" ref="E15">+_xlfn.SEQUENCE(E13,1,1)</f>
        <v/>
      </c>
      <c r="F15" s="13" t="n"/>
      <c r="G15" s="16">
        <f t="array" ref="G15:G85">_xlfn.SEQUENCE(((H1-H4)/H5)+1, 1, H4, H5)</f>
        <v/>
      </c>
      <c r="H15" s="124">
        <f>IF(G15="","",COUNTIFS($C$18:$C$2015,G$13,$D$18:$D$2015,"&gt;="&amp;G15,$D$18:$D$2015,"&lt;"&amp;G16))</f>
        <v/>
      </c>
      <c r="I15" s="14" t="n"/>
      <c r="J15" s="16">
        <f t="array" ref="J15:J43">_xlfn.SEQUENCE(((K1-K4)/K5)+1, 1, K4, K5)</f>
        <v/>
      </c>
      <c r="K15" s="124">
        <f>IF(J15="","",COUNTIFS($C$18:$C$2015,J$13,$D$18:$D$2015,"&gt;="&amp;J15,$D$18:$D$2015,"&lt;"&amp;J16))</f>
        <v/>
      </c>
      <c r="L15" s="14" t="n"/>
      <c r="M15" s="16">
        <f t="array" ref="M15:M55">_xlfn.SEQUENCE(((N1-N4)/N5)+1, 1, N4, N5)</f>
        <v/>
      </c>
      <c r="N15" s="124">
        <f>IF(M15="","",COUNTIFS($C$18:$C$2015,M$13,$D$18:$D$2015,"&gt;="&amp;M15,$D$18:$D$2015,"&lt;"&amp;M16))</f>
        <v/>
      </c>
      <c r="O15" s="14" t="n"/>
      <c r="P15" s="16">
        <f t="array" ref="P15:P85">_xlfn.SEQUENCE(((Q1-Q4)/Q5)+1, 1, Q4, Q5)</f>
        <v/>
      </c>
      <c r="Q15" s="124">
        <f>IF(P15="","",COUNTIFS($C$18:$C$2015,P$13,$D$18:$D$2015,"&gt;="&amp;P15,$D$18:$D$2015,"&lt;"&amp;P16))</f>
        <v/>
      </c>
      <c r="R15" s="14" t="n"/>
      <c r="S15" s="16">
        <f t="array" ref="S15:S60">_xlfn.SEQUENCE(((T1-T4)/T5)+1, 1, T4, T5)</f>
        <v/>
      </c>
      <c r="T15" s="124">
        <f>IF(S15="","",COUNTIFS($C$18:$C$2015,S$13,$D$18:$D$2015,"&gt;="&amp;S15,$D$18:$D$2015,"&lt;"&amp;S16))</f>
        <v/>
      </c>
      <c r="U15" s="14" t="n"/>
      <c r="V15" s="16">
        <f t="array" ref="V15:V50">_xlfn.SEQUENCE(((W1-W4)/W5)+1, 1, W4, W5)</f>
        <v/>
      </c>
      <c r="W15" s="124">
        <f>IF(V15="","",COUNTIFS($C$18:$C$2015,V$13,$D$18:$D$2015,"&gt;="&amp;V15,$D$18:$D$2015,"&lt;"&amp;V16))</f>
        <v/>
      </c>
      <c r="X15" s="14" t="n"/>
      <c r="Y15" s="16">
        <f t="array" ref="Y15:Y50">_xlfn.SEQUENCE(((Z1-Z4)/Z5)+1, 1, Z4, Z5)</f>
        <v/>
      </c>
      <c r="Z15" s="124">
        <f>IF(Y15="","",COUNTIFS($C$18:$C$2015,Y$13,$D$18:$D$2015,"&gt;="&amp;Y15,$D$18:$D$2015,"&lt;"&amp;Y16))</f>
        <v/>
      </c>
      <c r="AA15" s="14" t="n"/>
      <c r="AB15" s="16">
        <f t="array" ref="AB15:AB67">_xlfn.SEQUENCE(((AC1-AC4)/AC5)+1, 1, AC4, AC5)</f>
        <v/>
      </c>
      <c r="AC15" s="124">
        <f>IF(AB15="","",COUNTIFS($C$18:$C$2015,AB$13,$D$18:$D$2015,"&gt;="&amp;AB15,$D$18:$D$2015,"&lt;"&amp;AB16))</f>
        <v/>
      </c>
      <c r="AD15" s="14" t="n"/>
    </row>
    <row r="16">
      <c r="A16" s="56" t="n"/>
      <c r="B16" s="57" t="n"/>
      <c r="C16" s="57" t="n"/>
      <c r="D16" s="127" t="n"/>
      <c r="E16" s="16" t="n"/>
      <c r="F16" s="13" t="n"/>
      <c r="G16" s="16" t="n">
        <v>11</v>
      </c>
      <c r="H16" s="124">
        <f>IF(G16="","",COUNTIFS($C$18:$C$2015,G$13,$D$18:$D$2015,"&gt;="&amp;G16,$D$18:$D$2015,"&lt;"&amp;G17))</f>
        <v/>
      </c>
      <c r="I16" s="14" t="n"/>
      <c r="J16" s="16" t="n">
        <v>15</v>
      </c>
      <c r="K16" s="124">
        <f>IF(J16="","",COUNTIFS($C$18:$C$2015,J$13,$D$18:$D$2015,"&gt;="&amp;J16,$D$18:$D$2015,"&lt;"&amp;J17))</f>
        <v/>
      </c>
      <c r="L16" s="14" t="n"/>
      <c r="M16" s="16" t="n">
        <v>12</v>
      </c>
      <c r="N16" s="124">
        <f>IF(M16="","",COUNTIFS($C$18:$C$2015,M$13,$D$18:$D$2015,"&gt;="&amp;M16,$D$18:$D$2015,"&lt;"&amp;M17))</f>
        <v/>
      </c>
      <c r="O16" s="14" t="n"/>
      <c r="P16" s="16" t="n">
        <v>11</v>
      </c>
      <c r="Q16" s="124">
        <f>IF(P16="","",COUNTIFS($C$18:$C$2015,P$13,$D$18:$D$2015,"&gt;="&amp;P16,$D$18:$D$2015,"&lt;"&amp;P17))</f>
        <v/>
      </c>
      <c r="R16" s="14" t="n"/>
      <c r="S16" s="16" t="n">
        <v>12</v>
      </c>
      <c r="T16" s="124">
        <f>IF(S16="","",COUNTIFS($C$18:$C$2015,S$13,$D$18:$D$2015,"&gt;="&amp;S16,$D$18:$D$2015,"&lt;"&amp;S17))</f>
        <v/>
      </c>
      <c r="U16" s="14" t="n"/>
      <c r="V16" s="16" t="n">
        <v>12</v>
      </c>
      <c r="W16" s="124">
        <f>IF(V16="","",COUNTIFS($C$18:$C$2015,V$13,$D$18:$D$2015,"&gt;="&amp;V16,$D$18:$D$2015,"&lt;"&amp;V17))</f>
        <v/>
      </c>
      <c r="X16" s="14" t="n"/>
      <c r="Y16" s="16" t="n">
        <v>12</v>
      </c>
      <c r="Z16" s="124">
        <f>IF(Y16="","",COUNTIFS($C$18:$C$2015,Y$13,$D$18:$D$2015,"&gt;="&amp;Y16,$D$18:$D$2015,"&lt;"&amp;Y17))</f>
        <v/>
      </c>
      <c r="AA16" s="14" t="n"/>
      <c r="AB16" s="16" t="n">
        <v>11</v>
      </c>
      <c r="AC16" s="124">
        <f>IF(AB16="","",COUNTIFS($C$18:$C$2015,AB$13,$D$18:$D$2015,"&gt;="&amp;AB16,$D$18:$D$2015,"&lt;"&amp;AB17))</f>
        <v/>
      </c>
      <c r="AD16" s="14" t="n"/>
    </row>
    <row r="17">
      <c r="A17" s="58" t="n"/>
      <c r="B17" s="59" t="n"/>
      <c r="C17" s="59" t="n"/>
      <c r="D17" s="126" t="n"/>
      <c r="E17" s="16" t="n"/>
      <c r="F17" s="13" t="n"/>
      <c r="G17" s="16" t="n">
        <v>12</v>
      </c>
      <c r="H17" s="124">
        <f>IF(G17="","",COUNTIFS($C$18:$C$2015,G$13,$D$18:$D$2015,"&gt;="&amp;G17,$D$18:$D$2015,"&lt;"&amp;G18))</f>
        <v/>
      </c>
      <c r="I17" s="14" t="n"/>
      <c r="J17" s="16" t="n">
        <v>20</v>
      </c>
      <c r="K17" s="124">
        <f>IF(J17="","",COUNTIFS($C$18:$C$2015,J$13,$D$18:$D$2015,"&gt;="&amp;J17,$D$18:$D$2015,"&lt;"&amp;J18))</f>
        <v/>
      </c>
      <c r="L17" s="14" t="n"/>
      <c r="M17" s="16" t="n">
        <v>14</v>
      </c>
      <c r="N17" s="124">
        <f>IF(M17="","",COUNTIFS($C$18:$C$2015,M$13,$D$18:$D$2015,"&gt;="&amp;M17,$D$18:$D$2015,"&lt;"&amp;M18))</f>
        <v/>
      </c>
      <c r="O17" s="14" t="n"/>
      <c r="P17" s="16" t="n">
        <v>12</v>
      </c>
      <c r="Q17" s="124">
        <f>IF(P17="","",COUNTIFS($C$18:$C$2015,P$13,$D$18:$D$2015,"&gt;="&amp;P17,$D$18:$D$2015,"&lt;"&amp;P18))</f>
        <v/>
      </c>
      <c r="R17" s="14" t="n"/>
      <c r="S17" s="16" t="n">
        <v>14</v>
      </c>
      <c r="T17" s="124">
        <f>IF(S17="","",COUNTIFS($C$18:$C$2015,S$13,$D$18:$D$2015,"&gt;="&amp;S17,$D$18:$D$2015,"&lt;"&amp;S18))</f>
        <v/>
      </c>
      <c r="U17" s="14" t="n"/>
      <c r="V17" s="16" t="n">
        <v>14</v>
      </c>
      <c r="W17" s="124">
        <f>IF(V17="","",COUNTIFS($C$18:$C$2015,V$13,$D$18:$D$2015,"&gt;="&amp;V17,$D$18:$D$2015,"&lt;"&amp;V18))</f>
        <v/>
      </c>
      <c r="X17" s="14" t="n"/>
      <c r="Y17" s="16" t="n">
        <v>14</v>
      </c>
      <c r="Z17" s="124">
        <f>IF(Y17="","",COUNTIFS($C$18:$C$2015,Y$13,$D$18:$D$2015,"&gt;="&amp;Y17,$D$18:$D$2015,"&lt;"&amp;Y18))</f>
        <v/>
      </c>
      <c r="AA17" s="14" t="n"/>
      <c r="AB17" s="16" t="n">
        <v>12</v>
      </c>
      <c r="AC17" s="124">
        <f>IF(AB17="","",COUNTIFS($C$18:$C$2015,AB$13,$D$18:$D$2015,"&gt;="&amp;AB17,$D$18:$D$2015,"&lt;"&amp;AB18))</f>
        <v/>
      </c>
      <c r="AD17" s="14" t="n"/>
    </row>
    <row r="18">
      <c r="A18" s="56" t="n"/>
      <c r="B18" s="57" t="n"/>
      <c r="C18" s="57" t="n"/>
      <c r="D18" s="127" t="n"/>
      <c r="E18" s="16" t="n"/>
      <c r="F18" s="13" t="n"/>
      <c r="G18" s="16" t="n">
        <v>13</v>
      </c>
      <c r="H18" s="124">
        <f>IF(G18="","",COUNTIFS($C$18:$C$2015,G$13,$D$18:$D$2015,"&gt;="&amp;G18,$D$18:$D$2015,"&lt;"&amp;G19))</f>
        <v/>
      </c>
      <c r="I18" s="14" t="n"/>
      <c r="J18" s="16" t="n">
        <v>25</v>
      </c>
      <c r="K18" s="124">
        <f>IF(J18="","",COUNTIFS($C$18:$C$2015,J$13,$D$18:$D$2015,"&gt;="&amp;J18,$D$18:$D$2015,"&lt;"&amp;J19))</f>
        <v/>
      </c>
      <c r="L18" s="14" t="n"/>
      <c r="M18" s="16" t="n">
        <v>16</v>
      </c>
      <c r="N18" s="124">
        <f>IF(M18="","",COUNTIFS($C$18:$C$2015,M$13,$D$18:$D$2015,"&gt;="&amp;M18,$D$18:$D$2015,"&lt;"&amp;M19))</f>
        <v/>
      </c>
      <c r="O18" s="14" t="n"/>
      <c r="P18" s="16" t="n">
        <v>13</v>
      </c>
      <c r="Q18" s="124">
        <f>IF(P18="","",COUNTIFS($C$18:$C$2015,P$13,$D$18:$D$2015,"&gt;="&amp;P18,$D$18:$D$2015,"&lt;"&amp;P19))</f>
        <v/>
      </c>
      <c r="R18" s="14" t="n"/>
      <c r="S18" s="16" t="n">
        <v>16</v>
      </c>
      <c r="T18" s="124">
        <f>IF(S18="","",COUNTIFS($C$18:$C$2015,S$13,$D$18:$D$2015,"&gt;="&amp;S18,$D$18:$D$2015,"&lt;"&amp;S19))</f>
        <v/>
      </c>
      <c r="U18" s="14" t="n"/>
      <c r="V18" s="16" t="n">
        <v>16</v>
      </c>
      <c r="W18" s="124">
        <f>IF(V18="","",COUNTIFS($C$18:$C$2015,V$13,$D$18:$D$2015,"&gt;="&amp;V18,$D$18:$D$2015,"&lt;"&amp;V19))</f>
        <v/>
      </c>
      <c r="X18" s="14" t="n"/>
      <c r="Y18" s="16" t="n">
        <v>16</v>
      </c>
      <c r="Z18" s="124">
        <f>IF(Y18="","",COUNTIFS($C$18:$C$2015,Y$13,$D$18:$D$2015,"&gt;="&amp;Y18,$D$18:$D$2015,"&lt;"&amp;Y19))</f>
        <v/>
      </c>
      <c r="AA18" s="14" t="n"/>
      <c r="AB18" s="16" t="n">
        <v>13</v>
      </c>
      <c r="AC18" s="124">
        <f>IF(AB18="","",COUNTIFS($C$18:$C$2015,AB$13,$D$18:$D$2015,"&gt;="&amp;AB18,$D$18:$D$2015,"&lt;"&amp;AB19))</f>
        <v/>
      </c>
      <c r="AD18" s="14" t="n"/>
    </row>
    <row r="19">
      <c r="A19" s="58" t="n"/>
      <c r="B19" s="59" t="n"/>
      <c r="C19" s="59" t="n"/>
      <c r="D19" s="126" t="n"/>
      <c r="E19" s="16" t="n"/>
      <c r="F19" s="13" t="n"/>
      <c r="G19" s="16" t="n">
        <v>14</v>
      </c>
      <c r="H19" s="124">
        <f>IF(G19="","",COUNTIFS($C$18:$C$2015,G$13,$D$18:$D$2015,"&gt;="&amp;G19,$D$18:$D$2015,"&lt;"&amp;G20))</f>
        <v/>
      </c>
      <c r="I19" s="14" t="n"/>
      <c r="J19" s="16" t="n">
        <v>30</v>
      </c>
      <c r="K19" s="124">
        <f>IF(J19="","",COUNTIFS($C$18:$C$2015,J$13,$D$18:$D$2015,"&gt;="&amp;J19,$D$18:$D$2015,"&lt;"&amp;J20))</f>
        <v/>
      </c>
      <c r="L19" s="14" t="n"/>
      <c r="M19" s="16" t="n">
        <v>18</v>
      </c>
      <c r="N19" s="124">
        <f>IF(M19="","",COUNTIFS($C$18:$C$2015,M$13,$D$18:$D$2015,"&gt;="&amp;M19,$D$18:$D$2015,"&lt;"&amp;M20))</f>
        <v/>
      </c>
      <c r="O19" s="14" t="n"/>
      <c r="P19" s="16" t="n">
        <v>14</v>
      </c>
      <c r="Q19" s="124">
        <f>IF(P19="","",COUNTIFS($C$18:$C$2015,P$13,$D$18:$D$2015,"&gt;="&amp;P19,$D$18:$D$2015,"&lt;"&amp;P20))</f>
        <v/>
      </c>
      <c r="R19" s="14" t="n"/>
      <c r="S19" s="16" t="n">
        <v>18</v>
      </c>
      <c r="T19" s="124">
        <f>IF(S19="","",COUNTIFS($C$18:$C$2015,S$13,$D$18:$D$2015,"&gt;="&amp;S19,$D$18:$D$2015,"&lt;"&amp;S20))</f>
        <v/>
      </c>
      <c r="U19" s="14" t="n"/>
      <c r="V19" s="16" t="n">
        <v>18</v>
      </c>
      <c r="W19" s="124">
        <f>IF(V19="","",COUNTIFS($C$18:$C$2015,V$13,$D$18:$D$2015,"&gt;="&amp;V19,$D$18:$D$2015,"&lt;"&amp;V20))</f>
        <v/>
      </c>
      <c r="X19" s="14" t="n"/>
      <c r="Y19" s="16" t="n">
        <v>18</v>
      </c>
      <c r="Z19" s="124">
        <f>IF(Y19="","",COUNTIFS($C$18:$C$2015,Y$13,$D$18:$D$2015,"&gt;="&amp;Y19,$D$18:$D$2015,"&lt;"&amp;Y20))</f>
        <v/>
      </c>
      <c r="AA19" s="14" t="n"/>
      <c r="AB19" s="16" t="n">
        <v>14</v>
      </c>
      <c r="AC19" s="124">
        <f>IF(AB19="","",COUNTIFS($C$18:$C$2015,AB$13,$D$18:$D$2015,"&gt;="&amp;AB19,$D$18:$D$2015,"&lt;"&amp;AB20))</f>
        <v/>
      </c>
      <c r="AD19" s="14" t="n"/>
    </row>
    <row r="20">
      <c r="A20" s="56" t="n"/>
      <c r="B20" s="57" t="n"/>
      <c r="C20" s="57" t="n"/>
      <c r="D20" s="127" t="n"/>
      <c r="E20" s="16" t="n"/>
      <c r="F20" s="13" t="n"/>
      <c r="G20" s="16" t="n">
        <v>15</v>
      </c>
      <c r="H20" s="124">
        <f>IF(G20="","",COUNTIFS($C$18:$C$2015,G$13,$D$18:$D$2015,"&gt;="&amp;G20,$D$18:$D$2015,"&lt;"&amp;G21))</f>
        <v/>
      </c>
      <c r="I20" s="14" t="n"/>
      <c r="J20" s="16" t="n">
        <v>35</v>
      </c>
      <c r="K20" s="124">
        <f>IF(J20="","",COUNTIFS($C$18:$C$2015,J$13,$D$18:$D$2015,"&gt;="&amp;J20,$D$18:$D$2015,"&lt;"&amp;J21))</f>
        <v/>
      </c>
      <c r="L20" s="14" t="n"/>
      <c r="M20" s="16" t="n">
        <v>20</v>
      </c>
      <c r="N20" s="124">
        <f>IF(M20="","",COUNTIFS($C$18:$C$2015,M$13,$D$18:$D$2015,"&gt;="&amp;M20,$D$18:$D$2015,"&lt;"&amp;M21))</f>
        <v/>
      </c>
      <c r="O20" s="14" t="n"/>
      <c r="P20" s="16" t="n">
        <v>15</v>
      </c>
      <c r="Q20" s="124">
        <f>IF(P20="","",COUNTIFS($C$18:$C$2015,P$13,$D$18:$D$2015,"&gt;="&amp;P20,$D$18:$D$2015,"&lt;"&amp;P21))</f>
        <v/>
      </c>
      <c r="R20" s="14" t="n"/>
      <c r="S20" s="16" t="n">
        <v>20</v>
      </c>
      <c r="T20" s="124">
        <f>IF(S20="","",COUNTIFS($C$18:$C$2015,S$13,$D$18:$D$2015,"&gt;="&amp;S20,$D$18:$D$2015,"&lt;"&amp;S21))</f>
        <v/>
      </c>
      <c r="U20" s="14" t="n"/>
      <c r="V20" s="16" t="n">
        <v>20</v>
      </c>
      <c r="W20" s="124">
        <f>IF(V20="","",COUNTIFS($C$18:$C$2015,V$13,$D$18:$D$2015,"&gt;="&amp;V20,$D$18:$D$2015,"&lt;"&amp;V21))</f>
        <v/>
      </c>
      <c r="X20" s="14" t="n"/>
      <c r="Y20" s="16" t="n">
        <v>20</v>
      </c>
      <c r="Z20" s="124">
        <f>IF(Y20="","",COUNTIFS($C$18:$C$2015,Y$13,$D$18:$D$2015,"&gt;="&amp;Y20,$D$18:$D$2015,"&lt;"&amp;Y21))</f>
        <v/>
      </c>
      <c r="AA20" s="14" t="n"/>
      <c r="AB20" s="16" t="n">
        <v>15</v>
      </c>
      <c r="AC20" s="124">
        <f>IF(AB20="","",COUNTIFS($C$18:$C$2015,AB$13,$D$18:$D$2015,"&gt;="&amp;AB20,$D$18:$D$2015,"&lt;"&amp;AB21))</f>
        <v/>
      </c>
      <c r="AD20" s="14" t="n"/>
    </row>
    <row r="21">
      <c r="A21" s="58" t="n"/>
      <c r="B21" s="59" t="n"/>
      <c r="C21" s="59" t="n"/>
      <c r="D21" s="126" t="n"/>
      <c r="E21" s="16" t="n"/>
      <c r="F21" s="13" t="n"/>
      <c r="G21" s="16" t="n">
        <v>16</v>
      </c>
      <c r="H21" s="124">
        <f>IF(G21="","",COUNTIFS($C$18:$C$2015,G$13,$D$18:$D$2015,"&gt;="&amp;G21,$D$18:$D$2015,"&lt;"&amp;G22))</f>
        <v/>
      </c>
      <c r="I21" s="14" t="n"/>
      <c r="J21" s="16" t="n">
        <v>40</v>
      </c>
      <c r="K21" s="124">
        <f>IF(J21="","",COUNTIFS($C$18:$C$2015,J$13,$D$18:$D$2015,"&gt;="&amp;J21,$D$18:$D$2015,"&lt;"&amp;J22))</f>
        <v/>
      </c>
      <c r="L21" s="14" t="n"/>
      <c r="M21" s="16" t="n">
        <v>22</v>
      </c>
      <c r="N21" s="124">
        <f>IF(M21="","",COUNTIFS($C$18:$C$2015,M$13,$D$18:$D$2015,"&gt;="&amp;M21,$D$18:$D$2015,"&lt;"&amp;M22))</f>
        <v/>
      </c>
      <c r="O21" s="14" t="n"/>
      <c r="P21" s="16" t="n">
        <v>16</v>
      </c>
      <c r="Q21" s="124">
        <f>IF(P21="","",COUNTIFS($C$18:$C$2015,P$13,$D$18:$D$2015,"&gt;="&amp;P21,$D$18:$D$2015,"&lt;"&amp;P22))</f>
        <v/>
      </c>
      <c r="R21" s="14" t="n"/>
      <c r="S21" s="16" t="n">
        <v>22</v>
      </c>
      <c r="T21" s="124">
        <f>IF(S21="","",COUNTIFS($C$18:$C$2015,S$13,$D$18:$D$2015,"&gt;="&amp;S21,$D$18:$D$2015,"&lt;"&amp;S22))</f>
        <v/>
      </c>
      <c r="U21" s="14" t="n"/>
      <c r="V21" s="16" t="n">
        <v>22</v>
      </c>
      <c r="W21" s="124">
        <f>IF(V21="","",COUNTIFS($C$18:$C$2015,V$13,$D$18:$D$2015,"&gt;="&amp;V21,$D$18:$D$2015,"&lt;"&amp;V22))</f>
        <v/>
      </c>
      <c r="X21" s="14" t="n"/>
      <c r="Y21" s="16" t="n">
        <v>22</v>
      </c>
      <c r="Z21" s="124">
        <f>IF(Y21="","",COUNTIFS($C$18:$C$2015,Y$13,$D$18:$D$2015,"&gt;="&amp;Y21,$D$18:$D$2015,"&lt;"&amp;Y22))</f>
        <v/>
      </c>
      <c r="AA21" s="14" t="n"/>
      <c r="AB21" s="16" t="n">
        <v>16</v>
      </c>
      <c r="AC21" s="124">
        <f>IF(AB21="","",COUNTIFS($C$18:$C$2015,AB$13,$D$18:$D$2015,"&gt;="&amp;AB21,$D$18:$D$2015,"&lt;"&amp;AB22))</f>
        <v/>
      </c>
      <c r="AD21" s="14" t="n"/>
    </row>
    <row r="22">
      <c r="A22" s="56" t="n"/>
      <c r="B22" s="57" t="n"/>
      <c r="C22" s="57" t="n"/>
      <c r="D22" s="127" t="n"/>
      <c r="E22" s="16" t="n"/>
      <c r="F22" s="13" t="n"/>
      <c r="G22" s="16" t="n">
        <v>17</v>
      </c>
      <c r="H22" s="124">
        <f>IF(G22="","",COUNTIFS($C$18:$C$2015,G$13,$D$18:$D$2015,"&gt;="&amp;G22,$D$18:$D$2015,"&lt;"&amp;G23))</f>
        <v/>
      </c>
      <c r="I22" s="14" t="n"/>
      <c r="J22" s="16" t="n">
        <v>45</v>
      </c>
      <c r="K22" s="124">
        <f>IF(J22="","",COUNTIFS($C$18:$C$2015,J$13,$D$18:$D$2015,"&gt;="&amp;J22,$D$18:$D$2015,"&lt;"&amp;J23))</f>
        <v/>
      </c>
      <c r="L22" s="14" t="n"/>
      <c r="M22" s="16" t="n">
        <v>24</v>
      </c>
      <c r="N22" s="124">
        <f>IF(M22="","",COUNTIFS($C$18:$C$2015,M$13,$D$18:$D$2015,"&gt;="&amp;M22,$D$18:$D$2015,"&lt;"&amp;M23))</f>
        <v/>
      </c>
      <c r="O22" s="14" t="n"/>
      <c r="P22" s="16" t="n">
        <v>17</v>
      </c>
      <c r="Q22" s="124">
        <f>IF(P22="","",COUNTIFS($C$18:$C$2015,P$13,$D$18:$D$2015,"&gt;="&amp;P22,$D$18:$D$2015,"&lt;"&amp;P23))</f>
        <v/>
      </c>
      <c r="R22" s="14" t="n"/>
      <c r="S22" s="16" t="n">
        <v>24</v>
      </c>
      <c r="T22" s="124">
        <f>IF(S22="","",COUNTIFS($C$18:$C$2015,S$13,$D$18:$D$2015,"&gt;="&amp;S22,$D$18:$D$2015,"&lt;"&amp;S23))</f>
        <v/>
      </c>
      <c r="U22" s="14" t="n"/>
      <c r="V22" s="16" t="n">
        <v>24</v>
      </c>
      <c r="W22" s="124">
        <f>IF(V22="","",COUNTIFS($C$18:$C$2015,V$13,$D$18:$D$2015,"&gt;="&amp;V22,$D$18:$D$2015,"&lt;"&amp;V23))</f>
        <v/>
      </c>
      <c r="X22" s="14" t="n"/>
      <c r="Y22" s="16" t="n">
        <v>24</v>
      </c>
      <c r="Z22" s="124">
        <f>IF(Y22="","",COUNTIFS($C$18:$C$2015,Y$13,$D$18:$D$2015,"&gt;="&amp;Y22,$D$18:$D$2015,"&lt;"&amp;Y23))</f>
        <v/>
      </c>
      <c r="AA22" s="14" t="n"/>
      <c r="AB22" s="16" t="n">
        <v>17</v>
      </c>
      <c r="AC22" s="124">
        <f>IF(AB22="","",COUNTIFS($C$18:$C$2015,AB$13,$D$18:$D$2015,"&gt;="&amp;AB22,$D$18:$D$2015,"&lt;"&amp;AB23))</f>
        <v/>
      </c>
      <c r="AD22" s="14" t="n"/>
    </row>
    <row r="23">
      <c r="A23" s="58" t="n"/>
      <c r="B23" s="59" t="n"/>
      <c r="C23" s="59" t="n"/>
      <c r="D23" s="126" t="n"/>
      <c r="E23" s="16" t="n"/>
      <c r="F23" s="13" t="n"/>
      <c r="G23" s="16" t="n">
        <v>18</v>
      </c>
      <c r="H23" s="124">
        <f>IF(G23="","",COUNTIFS($C$18:$C$2015,G$13,$D$18:$D$2015,"&gt;="&amp;G23,$D$18:$D$2015,"&lt;"&amp;G24))</f>
        <v/>
      </c>
      <c r="I23" s="14" t="n"/>
      <c r="J23" s="16" t="n">
        <v>50</v>
      </c>
      <c r="K23" s="124">
        <f>IF(J23="","",COUNTIFS($C$18:$C$2015,J$13,$D$18:$D$2015,"&gt;="&amp;J23,$D$18:$D$2015,"&lt;"&amp;J24))</f>
        <v/>
      </c>
      <c r="L23" s="14" t="n"/>
      <c r="M23" s="16" t="n">
        <v>26</v>
      </c>
      <c r="N23" s="124">
        <f>IF(M23="","",COUNTIFS($C$18:$C$2015,M$13,$D$18:$D$2015,"&gt;="&amp;M23,$D$18:$D$2015,"&lt;"&amp;M24))</f>
        <v/>
      </c>
      <c r="O23" s="14" t="n"/>
      <c r="P23" s="16" t="n">
        <v>18</v>
      </c>
      <c r="Q23" s="124">
        <f>IF(P23="","",COUNTIFS($C$18:$C$2015,P$13,$D$18:$D$2015,"&gt;="&amp;P23,$D$18:$D$2015,"&lt;"&amp;P24))</f>
        <v/>
      </c>
      <c r="R23" s="14" t="n"/>
      <c r="S23" s="16" t="n">
        <v>26</v>
      </c>
      <c r="T23" s="124">
        <f>IF(S23="","",COUNTIFS($C$18:$C$2015,S$13,$D$18:$D$2015,"&gt;="&amp;S23,$D$18:$D$2015,"&lt;"&amp;S24))</f>
        <v/>
      </c>
      <c r="U23" s="14" t="n"/>
      <c r="V23" s="16" t="n">
        <v>26</v>
      </c>
      <c r="W23" s="124">
        <f>IF(V23="","",COUNTIFS($C$18:$C$2015,V$13,$D$18:$D$2015,"&gt;="&amp;V23,$D$18:$D$2015,"&lt;"&amp;V24))</f>
        <v/>
      </c>
      <c r="X23" s="14" t="n"/>
      <c r="Y23" s="16" t="n">
        <v>26</v>
      </c>
      <c r="Z23" s="124">
        <f>IF(Y23="","",COUNTIFS($C$18:$C$2015,Y$13,$D$18:$D$2015,"&gt;="&amp;Y23,$D$18:$D$2015,"&lt;"&amp;Y24))</f>
        <v/>
      </c>
      <c r="AA23" s="14" t="n"/>
      <c r="AB23" s="16" t="n">
        <v>18</v>
      </c>
      <c r="AC23" s="124">
        <f>IF(AB23="","",COUNTIFS($C$18:$C$2015,AB$13,$D$18:$D$2015,"&gt;="&amp;AB23,$D$18:$D$2015,"&lt;"&amp;AB24))</f>
        <v/>
      </c>
      <c r="AD23" s="14" t="n"/>
    </row>
    <row r="24">
      <c r="A24" s="56" t="n"/>
      <c r="B24" s="57" t="n"/>
      <c r="C24" s="57" t="n"/>
      <c r="D24" s="127" t="n"/>
      <c r="E24" s="16" t="n"/>
      <c r="F24" s="13" t="n"/>
      <c r="G24" s="16" t="n">
        <v>19</v>
      </c>
      <c r="H24" s="124">
        <f>IF(G24="","",COUNTIFS($C$18:$C$2015,G$13,$D$18:$D$2015,"&gt;="&amp;G24,$D$18:$D$2015,"&lt;"&amp;G25))</f>
        <v/>
      </c>
      <c r="I24" s="14" t="n"/>
      <c r="J24" s="16" t="n">
        <v>55</v>
      </c>
      <c r="K24" s="124">
        <f>IF(J24="","",COUNTIFS($C$18:$C$2015,J$13,$D$18:$D$2015,"&gt;="&amp;J24,$D$18:$D$2015,"&lt;"&amp;J25))</f>
        <v/>
      </c>
      <c r="L24" s="14" t="n"/>
      <c r="M24" s="16" t="n">
        <v>28</v>
      </c>
      <c r="N24" s="124">
        <f>IF(M24="","",COUNTIFS($C$18:$C$2015,M$13,$D$18:$D$2015,"&gt;="&amp;M24,$D$18:$D$2015,"&lt;"&amp;M25))</f>
        <v/>
      </c>
      <c r="O24" s="14" t="n"/>
      <c r="P24" s="16" t="n">
        <v>19</v>
      </c>
      <c r="Q24" s="124">
        <f>IF(P24="","",COUNTIFS($C$18:$C$2015,P$13,$D$18:$D$2015,"&gt;="&amp;P24,$D$18:$D$2015,"&lt;"&amp;P25))</f>
        <v/>
      </c>
      <c r="R24" s="14" t="n"/>
      <c r="S24" s="16" t="n">
        <v>28</v>
      </c>
      <c r="T24" s="124">
        <f>IF(S24="","",COUNTIFS($C$18:$C$2015,S$13,$D$18:$D$2015,"&gt;="&amp;S24,$D$18:$D$2015,"&lt;"&amp;S25))</f>
        <v/>
      </c>
      <c r="U24" s="14" t="n"/>
      <c r="V24" s="16" t="n">
        <v>28</v>
      </c>
      <c r="W24" s="124">
        <f>IF(V24="","",COUNTIFS($C$18:$C$2015,V$13,$D$18:$D$2015,"&gt;="&amp;V24,$D$18:$D$2015,"&lt;"&amp;V25))</f>
        <v/>
      </c>
      <c r="X24" s="14" t="n"/>
      <c r="Y24" s="16" t="n">
        <v>28</v>
      </c>
      <c r="Z24" s="124">
        <f>IF(Y24="","",COUNTIFS($C$18:$C$2015,Y$13,$D$18:$D$2015,"&gt;="&amp;Y24,$D$18:$D$2015,"&lt;"&amp;Y25))</f>
        <v/>
      </c>
      <c r="AA24" s="14" t="n"/>
      <c r="AB24" s="16" t="n">
        <v>19</v>
      </c>
      <c r="AC24" s="124">
        <f>IF(AB24="","",COUNTIFS($C$18:$C$2015,AB$13,$D$18:$D$2015,"&gt;="&amp;AB24,$D$18:$D$2015,"&lt;"&amp;AB25))</f>
        <v/>
      </c>
      <c r="AD24" s="14" t="n"/>
    </row>
    <row r="25">
      <c r="A25" s="58" t="n"/>
      <c r="B25" s="59" t="n"/>
      <c r="C25" s="59" t="n"/>
      <c r="D25" s="126" t="n"/>
      <c r="E25" s="16" t="n"/>
      <c r="F25" s="13" t="n"/>
      <c r="G25" s="16" t="n">
        <v>20</v>
      </c>
      <c r="H25" s="124">
        <f>IF(G25="","",COUNTIFS($C$18:$C$2015,G$13,$D$18:$D$2015,"&gt;="&amp;G25,$D$18:$D$2015,"&lt;"&amp;G26))</f>
        <v/>
      </c>
      <c r="I25" s="14" t="n"/>
      <c r="J25" s="16" t="n">
        <v>60</v>
      </c>
      <c r="K25" s="124">
        <f>IF(J25="","",COUNTIFS($C$18:$C$2015,J$13,$D$18:$D$2015,"&gt;="&amp;J25,$D$18:$D$2015,"&lt;"&amp;J26))</f>
        <v/>
      </c>
      <c r="L25" s="14" t="n"/>
      <c r="M25" s="16" t="n">
        <v>30</v>
      </c>
      <c r="N25" s="124">
        <f>IF(M25="","",COUNTIFS($C$18:$C$2015,M$13,$D$18:$D$2015,"&gt;="&amp;M25,$D$18:$D$2015,"&lt;"&amp;M26))</f>
        <v/>
      </c>
      <c r="O25" s="14" t="n"/>
      <c r="P25" s="16" t="n">
        <v>20</v>
      </c>
      <c r="Q25" s="124">
        <f>IF(P25="","",COUNTIFS($C$18:$C$2015,P$13,$D$18:$D$2015,"&gt;="&amp;P25,$D$18:$D$2015,"&lt;"&amp;P26))</f>
        <v/>
      </c>
      <c r="R25" s="14" t="n"/>
      <c r="S25" s="16" t="n">
        <v>30</v>
      </c>
      <c r="T25" s="124">
        <f>IF(S25="","",COUNTIFS($C$18:$C$2015,S$13,$D$18:$D$2015,"&gt;="&amp;S25,$D$18:$D$2015,"&lt;"&amp;S26))</f>
        <v/>
      </c>
      <c r="U25" s="14" t="n"/>
      <c r="V25" s="16" t="n">
        <v>30</v>
      </c>
      <c r="W25" s="124">
        <f>IF(V25="","",COUNTIFS($C$18:$C$2015,V$13,$D$18:$D$2015,"&gt;="&amp;V25,$D$18:$D$2015,"&lt;"&amp;V26))</f>
        <v/>
      </c>
      <c r="X25" s="14" t="n"/>
      <c r="Y25" s="16" t="n">
        <v>30</v>
      </c>
      <c r="Z25" s="124">
        <f>IF(Y25="","",COUNTIFS($C$18:$C$2015,Y$13,$D$18:$D$2015,"&gt;="&amp;Y25,$D$18:$D$2015,"&lt;"&amp;Y26))</f>
        <v/>
      </c>
      <c r="AA25" s="14" t="n"/>
      <c r="AB25" s="16" t="n">
        <v>20</v>
      </c>
      <c r="AC25" s="124">
        <f>IF(AB25="","",COUNTIFS($C$18:$C$2015,AB$13,$D$18:$D$2015,"&gt;="&amp;AB25,$D$18:$D$2015,"&lt;"&amp;AB26))</f>
        <v/>
      </c>
      <c r="AD25" s="14" t="n"/>
    </row>
    <row r="26">
      <c r="A26" s="56" t="n"/>
      <c r="B26" s="57" t="n"/>
      <c r="C26" s="57" t="n"/>
      <c r="D26" s="127" t="n"/>
      <c r="E26" s="16" t="n"/>
      <c r="F26" s="13" t="n"/>
      <c r="G26" s="16" t="n">
        <v>21</v>
      </c>
      <c r="H26" s="124">
        <f>IF(G26="","",COUNTIFS($C$18:$C$2015,G$13,$D$18:$D$2015,"&gt;="&amp;G26,$D$18:$D$2015,"&lt;"&amp;G27))</f>
        <v/>
      </c>
      <c r="I26" s="14" t="n"/>
      <c r="J26" s="16" t="n">
        <v>65</v>
      </c>
      <c r="K26" s="124">
        <f>IF(J26="","",COUNTIFS($C$18:$C$2015,J$13,$D$18:$D$2015,"&gt;="&amp;J26,$D$18:$D$2015,"&lt;"&amp;J27))</f>
        <v/>
      </c>
      <c r="L26" s="14" t="n"/>
      <c r="M26" s="16" t="n">
        <v>32</v>
      </c>
      <c r="N26" s="124">
        <f>IF(M26="","",COUNTIFS($C$18:$C$2015,M$13,$D$18:$D$2015,"&gt;="&amp;M26,$D$18:$D$2015,"&lt;"&amp;M27))</f>
        <v/>
      </c>
      <c r="O26" s="14" t="n"/>
      <c r="P26" s="16" t="n">
        <v>21</v>
      </c>
      <c r="Q26" s="124">
        <f>IF(P26="","",COUNTIFS($C$18:$C$2015,P$13,$D$18:$D$2015,"&gt;="&amp;P26,$D$18:$D$2015,"&lt;"&amp;P27))</f>
        <v/>
      </c>
      <c r="R26" s="14" t="n"/>
      <c r="S26" s="16" t="n">
        <v>32</v>
      </c>
      <c r="T26" s="124">
        <f>IF(S26="","",COUNTIFS($C$18:$C$2015,S$13,$D$18:$D$2015,"&gt;="&amp;S26,$D$18:$D$2015,"&lt;"&amp;S27))</f>
        <v/>
      </c>
      <c r="U26" s="14" t="n"/>
      <c r="V26" s="16" t="n">
        <v>32</v>
      </c>
      <c r="W26" s="124">
        <f>IF(V26="","",COUNTIFS($C$18:$C$2015,V$13,$D$18:$D$2015,"&gt;="&amp;V26,$D$18:$D$2015,"&lt;"&amp;V27))</f>
        <v/>
      </c>
      <c r="X26" s="14" t="n"/>
      <c r="Y26" s="16" t="n">
        <v>32</v>
      </c>
      <c r="Z26" s="124">
        <f>IF(Y26="","",COUNTIFS($C$18:$C$2015,Y$13,$D$18:$D$2015,"&gt;="&amp;Y26,$D$18:$D$2015,"&lt;"&amp;Y27))</f>
        <v/>
      </c>
      <c r="AA26" s="14" t="n"/>
      <c r="AB26" s="16" t="n">
        <v>21</v>
      </c>
      <c r="AC26" s="124">
        <f>IF(AB26="","",COUNTIFS($C$18:$C$2015,AB$13,$D$18:$D$2015,"&gt;="&amp;AB26,$D$18:$D$2015,"&lt;"&amp;AB27))</f>
        <v/>
      </c>
      <c r="AD26" s="14" t="n"/>
    </row>
    <row r="27">
      <c r="A27" s="58" t="n"/>
      <c r="B27" s="59" t="n"/>
      <c r="C27" s="59" t="n"/>
      <c r="D27" s="126" t="n"/>
      <c r="E27" s="16" t="n"/>
      <c r="F27" s="13" t="n"/>
      <c r="G27" s="16" t="n">
        <v>22</v>
      </c>
      <c r="H27" s="124">
        <f>IF(G27="","",COUNTIFS($C$18:$C$2015,G$13,$D$18:$D$2015,"&gt;="&amp;G27,$D$18:$D$2015,"&lt;"&amp;G28))</f>
        <v/>
      </c>
      <c r="I27" s="14" t="n"/>
      <c r="J27" s="16" t="n">
        <v>70</v>
      </c>
      <c r="K27" s="124">
        <f>IF(J27="","",COUNTIFS($C$18:$C$2015,J$13,$D$18:$D$2015,"&gt;="&amp;J27,$D$18:$D$2015,"&lt;"&amp;J28))</f>
        <v/>
      </c>
      <c r="L27" s="14" t="n"/>
      <c r="M27" s="16" t="n">
        <v>34</v>
      </c>
      <c r="N27" s="124">
        <f>IF(M27="","",COUNTIFS($C$18:$C$2015,M$13,$D$18:$D$2015,"&gt;="&amp;M27,$D$18:$D$2015,"&lt;"&amp;M28))</f>
        <v/>
      </c>
      <c r="O27" s="14" t="n"/>
      <c r="P27" s="16" t="n">
        <v>22</v>
      </c>
      <c r="Q27" s="124">
        <f>IF(P27="","",COUNTIFS($C$18:$C$2015,P$13,$D$18:$D$2015,"&gt;="&amp;P27,$D$18:$D$2015,"&lt;"&amp;P28))</f>
        <v/>
      </c>
      <c r="R27" s="14" t="n"/>
      <c r="S27" s="16" t="n">
        <v>34</v>
      </c>
      <c r="T27" s="124">
        <f>IF(S27="","",COUNTIFS($C$18:$C$2015,S$13,$D$18:$D$2015,"&gt;="&amp;S27,$D$18:$D$2015,"&lt;"&amp;S28))</f>
        <v/>
      </c>
      <c r="U27" s="14" t="n"/>
      <c r="V27" s="16" t="n">
        <v>34</v>
      </c>
      <c r="W27" s="124">
        <f>IF(V27="","",COUNTIFS($C$18:$C$2015,V$13,$D$18:$D$2015,"&gt;="&amp;V27,$D$18:$D$2015,"&lt;"&amp;V28))</f>
        <v/>
      </c>
      <c r="X27" s="14" t="n"/>
      <c r="Y27" s="16" t="n">
        <v>34</v>
      </c>
      <c r="Z27" s="124">
        <f>IF(Y27="","",COUNTIFS($C$18:$C$2015,Y$13,$D$18:$D$2015,"&gt;="&amp;Y27,$D$18:$D$2015,"&lt;"&amp;Y28))</f>
        <v/>
      </c>
      <c r="AA27" s="14" t="n"/>
      <c r="AB27" s="16" t="n">
        <v>22</v>
      </c>
      <c r="AC27" s="124">
        <f>IF(AB27="","",COUNTIFS($C$18:$C$2015,AB$13,$D$18:$D$2015,"&gt;="&amp;AB27,$D$18:$D$2015,"&lt;"&amp;AB28))</f>
        <v/>
      </c>
      <c r="AD27" s="14" t="n"/>
    </row>
    <row r="28">
      <c r="A28" s="56" t="n"/>
      <c r="B28" s="57" t="n"/>
      <c r="C28" s="57" t="n"/>
      <c r="D28" s="127" t="n"/>
      <c r="E28" s="16" t="n"/>
      <c r="F28" s="13" t="n"/>
      <c r="G28" s="16" t="n">
        <v>23</v>
      </c>
      <c r="H28" s="124">
        <f>IF(G28="","",COUNTIFS($C$18:$C$2015,G$13,$D$18:$D$2015,"&gt;="&amp;G28,$D$18:$D$2015,"&lt;"&amp;G29))</f>
        <v/>
      </c>
      <c r="I28" s="14" t="n"/>
      <c r="J28" s="16" t="n">
        <v>75</v>
      </c>
      <c r="K28" s="124">
        <f>IF(J28="","",COUNTIFS($C$18:$C$2015,J$13,$D$18:$D$2015,"&gt;="&amp;J28,$D$18:$D$2015,"&lt;"&amp;J29))</f>
        <v/>
      </c>
      <c r="L28" s="14" t="n"/>
      <c r="M28" s="16" t="n">
        <v>36</v>
      </c>
      <c r="N28" s="124">
        <f>IF(M28="","",COUNTIFS($C$18:$C$2015,M$13,$D$18:$D$2015,"&gt;="&amp;M28,$D$18:$D$2015,"&lt;"&amp;M29))</f>
        <v/>
      </c>
      <c r="O28" s="14" t="n"/>
      <c r="P28" s="16" t="n">
        <v>23</v>
      </c>
      <c r="Q28" s="124">
        <f>IF(P28="","",COUNTIFS($C$18:$C$2015,P$13,$D$18:$D$2015,"&gt;="&amp;P28,$D$18:$D$2015,"&lt;"&amp;P29))</f>
        <v/>
      </c>
      <c r="R28" s="14" t="n"/>
      <c r="S28" s="16" t="n">
        <v>36</v>
      </c>
      <c r="T28" s="124">
        <f>IF(S28="","",COUNTIFS($C$18:$C$2015,S$13,$D$18:$D$2015,"&gt;="&amp;S28,$D$18:$D$2015,"&lt;"&amp;S29))</f>
        <v/>
      </c>
      <c r="U28" s="14" t="n"/>
      <c r="V28" s="16" t="n">
        <v>36</v>
      </c>
      <c r="W28" s="124">
        <f>IF(V28="","",COUNTIFS($C$18:$C$2015,V$13,$D$18:$D$2015,"&gt;="&amp;V28,$D$18:$D$2015,"&lt;"&amp;V29))</f>
        <v/>
      </c>
      <c r="X28" s="14" t="n"/>
      <c r="Y28" s="16" t="n">
        <v>36</v>
      </c>
      <c r="Z28" s="124">
        <f>IF(Y28="","",COUNTIFS($C$18:$C$2015,Y$13,$D$18:$D$2015,"&gt;="&amp;Y28,$D$18:$D$2015,"&lt;"&amp;Y29))</f>
        <v/>
      </c>
      <c r="AA28" s="14" t="n"/>
      <c r="AB28" s="16" t="n">
        <v>23</v>
      </c>
      <c r="AC28" s="124">
        <f>IF(AB28="","",COUNTIFS($C$18:$C$2015,AB$13,$D$18:$D$2015,"&gt;="&amp;AB28,$D$18:$D$2015,"&lt;"&amp;AB29))</f>
        <v/>
      </c>
      <c r="AD28" s="14" t="n"/>
    </row>
    <row r="29">
      <c r="A29" s="58" t="n"/>
      <c r="B29" s="59" t="n"/>
      <c r="C29" s="59" t="n"/>
      <c r="D29" s="126" t="n"/>
      <c r="E29" s="16" t="n"/>
      <c r="F29" s="13" t="n"/>
      <c r="G29" s="16" t="n">
        <v>24</v>
      </c>
      <c r="H29" s="124">
        <f>IF(G29="","",COUNTIFS($C$18:$C$2015,G$13,$D$18:$D$2015,"&gt;="&amp;G29,$D$18:$D$2015,"&lt;"&amp;G30))</f>
        <v/>
      </c>
      <c r="I29" s="14" t="n"/>
      <c r="J29" s="16" t="n">
        <v>80</v>
      </c>
      <c r="K29" s="124">
        <f>IF(J29="","",COUNTIFS($C$18:$C$2015,J$13,$D$18:$D$2015,"&gt;="&amp;J29,$D$18:$D$2015,"&lt;"&amp;J30))</f>
        <v/>
      </c>
      <c r="L29" s="14" t="n"/>
      <c r="M29" s="16" t="n">
        <v>38</v>
      </c>
      <c r="N29" s="124">
        <f>IF(M29="","",COUNTIFS($C$18:$C$2015,M$13,$D$18:$D$2015,"&gt;="&amp;M29,$D$18:$D$2015,"&lt;"&amp;M30))</f>
        <v/>
      </c>
      <c r="O29" s="14" t="n"/>
      <c r="P29" s="16" t="n">
        <v>24</v>
      </c>
      <c r="Q29" s="124">
        <f>IF(P29="","",COUNTIFS($C$18:$C$2015,P$13,$D$18:$D$2015,"&gt;="&amp;P29,$D$18:$D$2015,"&lt;"&amp;P30))</f>
        <v/>
      </c>
      <c r="R29" s="14" t="n"/>
      <c r="S29" s="16" t="n">
        <v>38</v>
      </c>
      <c r="T29" s="124">
        <f>IF(S29="","",COUNTIFS($C$18:$C$2015,S$13,$D$18:$D$2015,"&gt;="&amp;S29,$D$18:$D$2015,"&lt;"&amp;S30))</f>
        <v/>
      </c>
      <c r="U29" s="14" t="n"/>
      <c r="V29" s="16" t="n">
        <v>38</v>
      </c>
      <c r="W29" s="124">
        <f>IF(V29="","",COUNTIFS($C$18:$C$2015,V$13,$D$18:$D$2015,"&gt;="&amp;V29,$D$18:$D$2015,"&lt;"&amp;V30))</f>
        <v/>
      </c>
      <c r="X29" s="14" t="n"/>
      <c r="Y29" s="16" t="n">
        <v>38</v>
      </c>
      <c r="Z29" s="124">
        <f>IF(Y29="","",COUNTIFS($C$18:$C$2015,Y$13,$D$18:$D$2015,"&gt;="&amp;Y29,$D$18:$D$2015,"&lt;"&amp;Y30))</f>
        <v/>
      </c>
      <c r="AA29" s="14" t="n"/>
      <c r="AB29" s="16" t="n">
        <v>24</v>
      </c>
      <c r="AC29" s="124">
        <f>IF(AB29="","",COUNTIFS($C$18:$C$2015,AB$13,$D$18:$D$2015,"&gt;="&amp;AB29,$D$18:$D$2015,"&lt;"&amp;AB30))</f>
        <v/>
      </c>
      <c r="AD29" s="14" t="n"/>
    </row>
    <row r="30">
      <c r="A30" s="56" t="n"/>
      <c r="B30" s="57" t="n"/>
      <c r="C30" s="57" t="n"/>
      <c r="D30" s="127" t="n"/>
      <c r="E30" s="16" t="n"/>
      <c r="F30" s="13" t="n"/>
      <c r="G30" s="16" t="n">
        <v>25</v>
      </c>
      <c r="H30" s="124">
        <f>IF(G30="","",COUNTIFS($C$18:$C$2015,G$13,$D$18:$D$2015,"&gt;="&amp;G30,$D$18:$D$2015,"&lt;"&amp;G31))</f>
        <v/>
      </c>
      <c r="I30" s="14" t="n"/>
      <c r="J30" s="16" t="n">
        <v>85</v>
      </c>
      <c r="K30" s="124">
        <f>IF(J30="","",COUNTIFS($C$18:$C$2015,J$13,$D$18:$D$2015,"&gt;="&amp;J30,$D$18:$D$2015,"&lt;"&amp;J31))</f>
        <v/>
      </c>
      <c r="L30" s="14" t="n"/>
      <c r="M30" s="16" t="n">
        <v>40</v>
      </c>
      <c r="N30" s="124">
        <f>IF(M30="","",COUNTIFS($C$18:$C$2015,M$13,$D$18:$D$2015,"&gt;="&amp;M30,$D$18:$D$2015,"&lt;"&amp;M31))</f>
        <v/>
      </c>
      <c r="O30" s="14" t="n"/>
      <c r="P30" s="16" t="n">
        <v>25</v>
      </c>
      <c r="Q30" s="124">
        <f>IF(P30="","",COUNTIFS($C$18:$C$2015,P$13,$D$18:$D$2015,"&gt;="&amp;P30,$D$18:$D$2015,"&lt;"&amp;P31))</f>
        <v/>
      </c>
      <c r="R30" s="14" t="n"/>
      <c r="S30" s="16" t="n">
        <v>40</v>
      </c>
      <c r="T30" s="124">
        <f>IF(S30="","",COUNTIFS($C$18:$C$2015,S$13,$D$18:$D$2015,"&gt;="&amp;S30,$D$18:$D$2015,"&lt;"&amp;S31))</f>
        <v/>
      </c>
      <c r="U30" s="14" t="n"/>
      <c r="V30" s="16" t="n">
        <v>40</v>
      </c>
      <c r="W30" s="124">
        <f>IF(V30="","",COUNTIFS($C$18:$C$2015,V$13,$D$18:$D$2015,"&gt;="&amp;V30,$D$18:$D$2015,"&lt;"&amp;V31))</f>
        <v/>
      </c>
      <c r="X30" s="14" t="n"/>
      <c r="Y30" s="16" t="n">
        <v>40</v>
      </c>
      <c r="Z30" s="124">
        <f>IF(Y30="","",COUNTIFS($C$18:$C$2015,Y$13,$D$18:$D$2015,"&gt;="&amp;Y30,$D$18:$D$2015,"&lt;"&amp;Y31))</f>
        <v/>
      </c>
      <c r="AA30" s="14" t="n"/>
      <c r="AB30" s="16" t="n">
        <v>25</v>
      </c>
      <c r="AC30" s="124">
        <f>IF(AB30="","",COUNTIFS($C$18:$C$2015,AB$13,$D$18:$D$2015,"&gt;="&amp;AB30,$D$18:$D$2015,"&lt;"&amp;AB31))</f>
        <v/>
      </c>
      <c r="AD30" s="14" t="n"/>
    </row>
    <row r="31">
      <c r="A31" s="58" t="n"/>
      <c r="B31" s="59" t="n"/>
      <c r="C31" s="59" t="n"/>
      <c r="D31" s="126" t="n"/>
      <c r="E31" s="16" t="n"/>
      <c r="F31" s="13" t="n"/>
      <c r="G31" s="16" t="n">
        <v>26</v>
      </c>
      <c r="H31" s="124">
        <f>IF(G31="","",COUNTIFS($C$18:$C$2015,G$13,$D$18:$D$2015,"&gt;="&amp;G31,$D$18:$D$2015,"&lt;"&amp;G32))</f>
        <v/>
      </c>
      <c r="I31" s="14" t="n"/>
      <c r="J31" s="16" t="n">
        <v>90</v>
      </c>
      <c r="K31" s="124">
        <f>IF(J31="","",COUNTIFS($C$18:$C$2015,J$13,$D$18:$D$2015,"&gt;="&amp;J31,$D$18:$D$2015,"&lt;"&amp;J32))</f>
        <v/>
      </c>
      <c r="L31" s="14" t="n"/>
      <c r="M31" s="16" t="n">
        <v>42</v>
      </c>
      <c r="N31" s="124">
        <f>IF(M31="","",COUNTIFS($C$18:$C$2015,M$13,$D$18:$D$2015,"&gt;="&amp;M31,$D$18:$D$2015,"&lt;"&amp;M32))</f>
        <v/>
      </c>
      <c r="O31" s="14" t="n"/>
      <c r="P31" s="16" t="n">
        <v>26</v>
      </c>
      <c r="Q31" s="124">
        <f>IF(P31="","",COUNTIFS($C$18:$C$2015,P$13,$D$18:$D$2015,"&gt;="&amp;P31,$D$18:$D$2015,"&lt;"&amp;P32))</f>
        <v/>
      </c>
      <c r="R31" s="14" t="n"/>
      <c r="S31" s="16" t="n">
        <v>42</v>
      </c>
      <c r="T31" s="124">
        <f>IF(S31="","",COUNTIFS($C$18:$C$2015,S$13,$D$18:$D$2015,"&gt;="&amp;S31,$D$18:$D$2015,"&lt;"&amp;S32))</f>
        <v/>
      </c>
      <c r="U31" s="14" t="n"/>
      <c r="V31" s="16" t="n">
        <v>42</v>
      </c>
      <c r="W31" s="124">
        <f>IF(V31="","",COUNTIFS($C$18:$C$2015,V$13,$D$18:$D$2015,"&gt;="&amp;V31,$D$18:$D$2015,"&lt;"&amp;V32))</f>
        <v/>
      </c>
      <c r="X31" s="14" t="n"/>
      <c r="Y31" s="16" t="n">
        <v>42</v>
      </c>
      <c r="Z31" s="124">
        <f>IF(Y31="","",COUNTIFS($C$18:$C$2015,Y$13,$D$18:$D$2015,"&gt;="&amp;Y31,$D$18:$D$2015,"&lt;"&amp;Y32))</f>
        <v/>
      </c>
      <c r="AA31" s="14" t="n"/>
      <c r="AB31" s="16" t="n">
        <v>26</v>
      </c>
      <c r="AC31" s="124">
        <f>IF(AB31="","",COUNTIFS($C$18:$C$2015,AB$13,$D$18:$D$2015,"&gt;="&amp;AB31,$D$18:$D$2015,"&lt;"&amp;AB32))</f>
        <v/>
      </c>
      <c r="AD31" s="14" t="n"/>
    </row>
    <row r="32">
      <c r="A32" s="56" t="n"/>
      <c r="B32" s="57" t="n"/>
      <c r="C32" s="57" t="n"/>
      <c r="D32" s="127" t="n"/>
      <c r="E32" s="16" t="n"/>
      <c r="F32" s="13" t="n"/>
      <c r="G32" s="16" t="n">
        <v>27</v>
      </c>
      <c r="H32" s="124">
        <f>IF(G32="","",COUNTIFS($C$18:$C$2015,G$13,$D$18:$D$2015,"&gt;="&amp;G32,$D$18:$D$2015,"&lt;"&amp;G33))</f>
        <v/>
      </c>
      <c r="I32" s="14" t="n"/>
      <c r="J32" s="16" t="n">
        <v>95</v>
      </c>
      <c r="K32" s="124">
        <f>IF(J32="","",COUNTIFS($C$18:$C$2015,J$13,$D$18:$D$2015,"&gt;="&amp;J32,$D$18:$D$2015,"&lt;"&amp;J33))</f>
        <v/>
      </c>
      <c r="L32" s="14" t="n"/>
      <c r="M32" s="16" t="n">
        <v>44</v>
      </c>
      <c r="N32" s="124">
        <f>IF(M32="","",COUNTIFS($C$18:$C$2015,M$13,$D$18:$D$2015,"&gt;="&amp;M32,$D$18:$D$2015,"&lt;"&amp;M33))</f>
        <v/>
      </c>
      <c r="O32" s="14" t="n"/>
      <c r="P32" s="16" t="n">
        <v>27</v>
      </c>
      <c r="Q32" s="124">
        <f>IF(P32="","",COUNTIFS($C$18:$C$2015,P$13,$D$18:$D$2015,"&gt;="&amp;P32,$D$18:$D$2015,"&lt;"&amp;P33))</f>
        <v/>
      </c>
      <c r="R32" s="14" t="n"/>
      <c r="S32" s="16" t="n">
        <v>44</v>
      </c>
      <c r="T32" s="124">
        <f>IF(S32="","",COUNTIFS($C$18:$C$2015,S$13,$D$18:$D$2015,"&gt;="&amp;S32,$D$18:$D$2015,"&lt;"&amp;S33))</f>
        <v/>
      </c>
      <c r="U32" s="14" t="n"/>
      <c r="V32" s="16" t="n">
        <v>44</v>
      </c>
      <c r="W32" s="124">
        <f>IF(V32="","",COUNTIFS($C$18:$C$2015,V$13,$D$18:$D$2015,"&gt;="&amp;V32,$D$18:$D$2015,"&lt;"&amp;V33))</f>
        <v/>
      </c>
      <c r="X32" s="14" t="n"/>
      <c r="Y32" s="16" t="n">
        <v>44</v>
      </c>
      <c r="Z32" s="124">
        <f>IF(Y32="","",COUNTIFS($C$18:$C$2015,Y$13,$D$18:$D$2015,"&gt;="&amp;Y32,$D$18:$D$2015,"&lt;"&amp;Y33))</f>
        <v/>
      </c>
      <c r="AA32" s="14" t="n"/>
      <c r="AB32" s="16" t="n">
        <v>27</v>
      </c>
      <c r="AC32" s="124">
        <f>IF(AB32="","",COUNTIFS($C$18:$C$2015,AB$13,$D$18:$D$2015,"&gt;="&amp;AB32,$D$18:$D$2015,"&lt;"&amp;AB33))</f>
        <v/>
      </c>
      <c r="AD32" s="14" t="n"/>
    </row>
    <row r="33">
      <c r="A33" s="58" t="n"/>
      <c r="B33" s="59" t="n"/>
      <c r="C33" s="59" t="n"/>
      <c r="D33" s="126" t="n"/>
      <c r="E33" s="16" t="n"/>
      <c r="F33" s="13" t="n"/>
      <c r="G33" s="16" t="n">
        <v>28</v>
      </c>
      <c r="H33" s="124">
        <f>IF(G33="","",COUNTIFS($C$18:$C$2015,G$13,$D$18:$D$2015,"&gt;="&amp;G33,$D$18:$D$2015,"&lt;"&amp;G34))</f>
        <v/>
      </c>
      <c r="I33" s="14" t="n"/>
      <c r="J33" s="16" t="n">
        <v>100</v>
      </c>
      <c r="K33" s="124">
        <f>IF(J33="","",COUNTIFS($C$18:$C$2015,J$13,$D$18:$D$2015,"&gt;="&amp;J33,$D$18:$D$2015,"&lt;"&amp;J34))</f>
        <v/>
      </c>
      <c r="L33" s="14" t="n"/>
      <c r="M33" s="16" t="n">
        <v>46</v>
      </c>
      <c r="N33" s="124">
        <f>IF(M33="","",COUNTIFS($C$18:$C$2015,M$13,$D$18:$D$2015,"&gt;="&amp;M33,$D$18:$D$2015,"&lt;"&amp;M34))</f>
        <v/>
      </c>
      <c r="O33" s="14" t="n"/>
      <c r="P33" s="16" t="n">
        <v>28</v>
      </c>
      <c r="Q33" s="124">
        <f>IF(P33="","",COUNTIFS($C$18:$C$2015,P$13,$D$18:$D$2015,"&gt;="&amp;P33,$D$18:$D$2015,"&lt;"&amp;P34))</f>
        <v/>
      </c>
      <c r="R33" s="14" t="n"/>
      <c r="S33" s="16" t="n">
        <v>46</v>
      </c>
      <c r="T33" s="124">
        <f>IF(S33="","",COUNTIFS($C$18:$C$2015,S$13,$D$18:$D$2015,"&gt;="&amp;S33,$D$18:$D$2015,"&lt;"&amp;S34))</f>
        <v/>
      </c>
      <c r="U33" s="14" t="n"/>
      <c r="V33" s="16" t="n">
        <v>46</v>
      </c>
      <c r="W33" s="124">
        <f>IF(V33="","",COUNTIFS($C$18:$C$2015,V$13,$D$18:$D$2015,"&gt;="&amp;V33,$D$18:$D$2015,"&lt;"&amp;V34))</f>
        <v/>
      </c>
      <c r="X33" s="14" t="n"/>
      <c r="Y33" s="16" t="n">
        <v>46</v>
      </c>
      <c r="Z33" s="124">
        <f>IF(Y33="","",COUNTIFS($C$18:$C$2015,Y$13,$D$18:$D$2015,"&gt;="&amp;Y33,$D$18:$D$2015,"&lt;"&amp;Y34))</f>
        <v/>
      </c>
      <c r="AA33" s="14" t="n"/>
      <c r="AB33" s="16" t="n">
        <v>28</v>
      </c>
      <c r="AC33" s="124">
        <f>IF(AB33="","",COUNTIFS($C$18:$C$2015,AB$13,$D$18:$D$2015,"&gt;="&amp;AB33,$D$18:$D$2015,"&lt;"&amp;AB34))</f>
        <v/>
      </c>
      <c r="AD33" s="14" t="n"/>
    </row>
    <row r="34">
      <c r="A34" s="56" t="n"/>
      <c r="B34" s="57" t="n"/>
      <c r="C34" s="57" t="n"/>
      <c r="D34" s="127" t="n"/>
      <c r="E34" s="16" t="n"/>
      <c r="F34" s="13" t="n"/>
      <c r="G34" s="16" t="n">
        <v>29</v>
      </c>
      <c r="H34" s="124">
        <f>IF(G34="","",COUNTIFS($C$18:$C$2015,G$13,$D$18:$D$2015,"&gt;="&amp;G34,$D$18:$D$2015,"&lt;"&amp;G35))</f>
        <v/>
      </c>
      <c r="I34" s="14" t="n"/>
      <c r="J34" s="16" t="n">
        <v>105</v>
      </c>
      <c r="K34" s="124">
        <f>IF(J34="","",COUNTIFS($C$18:$C$2015,J$13,$D$18:$D$2015,"&gt;="&amp;J34,$D$18:$D$2015,"&lt;"&amp;J35))</f>
        <v/>
      </c>
      <c r="L34" s="14" t="n"/>
      <c r="M34" s="16" t="n">
        <v>48</v>
      </c>
      <c r="N34" s="124">
        <f>IF(M34="","",COUNTIFS($C$18:$C$2015,M$13,$D$18:$D$2015,"&gt;="&amp;M34,$D$18:$D$2015,"&lt;"&amp;M35))</f>
        <v/>
      </c>
      <c r="O34" s="14" t="n"/>
      <c r="P34" s="16" t="n">
        <v>29</v>
      </c>
      <c r="Q34" s="124">
        <f>IF(P34="","",COUNTIFS($C$18:$C$2015,P$13,$D$18:$D$2015,"&gt;="&amp;P34,$D$18:$D$2015,"&lt;"&amp;P35))</f>
        <v/>
      </c>
      <c r="R34" s="14" t="n"/>
      <c r="S34" s="16" t="n">
        <v>48</v>
      </c>
      <c r="T34" s="124">
        <f>IF(S34="","",COUNTIFS($C$18:$C$2015,S$13,$D$18:$D$2015,"&gt;="&amp;S34,$D$18:$D$2015,"&lt;"&amp;S35))</f>
        <v/>
      </c>
      <c r="U34" s="14" t="n"/>
      <c r="V34" s="16" t="n">
        <v>48</v>
      </c>
      <c r="W34" s="124">
        <f>IF(V34="","",COUNTIFS($C$18:$C$2015,V$13,$D$18:$D$2015,"&gt;="&amp;V34,$D$18:$D$2015,"&lt;"&amp;V35))</f>
        <v/>
      </c>
      <c r="X34" s="14" t="n"/>
      <c r="Y34" s="16" t="n">
        <v>48</v>
      </c>
      <c r="Z34" s="124">
        <f>IF(Y34="","",COUNTIFS($C$18:$C$2015,Y$13,$D$18:$D$2015,"&gt;="&amp;Y34,$D$18:$D$2015,"&lt;"&amp;Y35))</f>
        <v/>
      </c>
      <c r="AA34" s="14" t="n"/>
      <c r="AB34" s="16" t="n">
        <v>29</v>
      </c>
      <c r="AC34" s="124">
        <f>IF(AB34="","",COUNTIFS($C$18:$C$2015,AB$13,$D$18:$D$2015,"&gt;="&amp;AB34,$D$18:$D$2015,"&lt;"&amp;AB35))</f>
        <v/>
      </c>
      <c r="AD34" s="14" t="n"/>
    </row>
    <row r="35">
      <c r="A35" s="58" t="n"/>
      <c r="B35" s="59" t="n"/>
      <c r="C35" s="59" t="n"/>
      <c r="D35" s="126" t="n"/>
      <c r="E35" s="16" t="n"/>
      <c r="F35" s="13" t="n"/>
      <c r="G35" s="16" t="n">
        <v>30</v>
      </c>
      <c r="H35" s="124">
        <f>IF(G35="","",COUNTIFS($C$18:$C$2015,G$13,$D$18:$D$2015,"&gt;="&amp;G35,$D$18:$D$2015,"&lt;"&amp;G36))</f>
        <v/>
      </c>
      <c r="I35" s="14" t="n"/>
      <c r="J35" s="16" t="n">
        <v>110</v>
      </c>
      <c r="K35" s="124">
        <f>IF(J35="","",COUNTIFS($C$18:$C$2015,J$13,$D$18:$D$2015,"&gt;="&amp;J35,$D$18:$D$2015,"&lt;"&amp;J36))</f>
        <v/>
      </c>
      <c r="L35" s="14" t="n"/>
      <c r="M35" s="16" t="n">
        <v>50</v>
      </c>
      <c r="N35" s="124">
        <f>IF(M35="","",COUNTIFS($C$18:$C$2015,M$13,$D$18:$D$2015,"&gt;="&amp;M35,$D$18:$D$2015,"&lt;"&amp;M36))</f>
        <v/>
      </c>
      <c r="O35" s="14" t="n"/>
      <c r="P35" s="16" t="n">
        <v>30</v>
      </c>
      <c r="Q35" s="124">
        <f>IF(P35="","",COUNTIFS($C$18:$C$2015,P$13,$D$18:$D$2015,"&gt;="&amp;P35,$D$18:$D$2015,"&lt;"&amp;P36))</f>
        <v/>
      </c>
      <c r="R35" s="14" t="n"/>
      <c r="S35" s="16" t="n">
        <v>50</v>
      </c>
      <c r="T35" s="124">
        <f>IF(S35="","",COUNTIFS($C$18:$C$2015,S$13,$D$18:$D$2015,"&gt;="&amp;S35,$D$18:$D$2015,"&lt;"&amp;S36))</f>
        <v/>
      </c>
      <c r="U35" s="14" t="n"/>
      <c r="V35" s="16" t="n">
        <v>50</v>
      </c>
      <c r="W35" s="124">
        <f>IF(V35="","",COUNTIFS($C$18:$C$2015,V$13,$D$18:$D$2015,"&gt;="&amp;V35,$D$18:$D$2015,"&lt;"&amp;V36))</f>
        <v/>
      </c>
      <c r="X35" s="14" t="n"/>
      <c r="Y35" s="16" t="n">
        <v>50</v>
      </c>
      <c r="Z35" s="124">
        <f>IF(Y35="","",COUNTIFS($C$18:$C$2015,Y$13,$D$18:$D$2015,"&gt;="&amp;Y35,$D$18:$D$2015,"&lt;"&amp;Y36))</f>
        <v/>
      </c>
      <c r="AA35" s="14" t="n"/>
      <c r="AB35" s="16" t="n">
        <v>30</v>
      </c>
      <c r="AC35" s="124">
        <f>IF(AB35="","",COUNTIFS($C$18:$C$2015,AB$13,$D$18:$D$2015,"&gt;="&amp;AB35,$D$18:$D$2015,"&lt;"&amp;AB36))</f>
        <v/>
      </c>
      <c r="AD35" s="14" t="n"/>
    </row>
    <row r="36">
      <c r="A36" s="56" t="n"/>
      <c r="B36" s="57" t="n"/>
      <c r="C36" s="57" t="n"/>
      <c r="D36" s="127" t="n"/>
      <c r="E36" s="16" t="n"/>
      <c r="F36" s="13" t="n"/>
      <c r="G36" s="16" t="n">
        <v>31</v>
      </c>
      <c r="H36" s="124">
        <f>IF(G36="","",COUNTIFS($C$18:$C$2015,G$13,$D$18:$D$2015,"&gt;="&amp;G36,$D$18:$D$2015,"&lt;"&amp;G37))</f>
        <v/>
      </c>
      <c r="I36" s="14" t="n"/>
      <c r="J36" s="16" t="n">
        <v>115</v>
      </c>
      <c r="K36" s="124">
        <f>IF(J36="","",COUNTIFS($C$18:$C$2015,J$13,$D$18:$D$2015,"&gt;="&amp;J36,$D$18:$D$2015,"&lt;"&amp;J37))</f>
        <v/>
      </c>
      <c r="L36" s="14" t="n"/>
      <c r="M36" s="16" t="n">
        <v>52</v>
      </c>
      <c r="N36" s="124">
        <f>IF(M36="","",COUNTIFS($C$18:$C$2015,M$13,$D$18:$D$2015,"&gt;="&amp;M36,$D$18:$D$2015,"&lt;"&amp;M37))</f>
        <v/>
      </c>
      <c r="O36" s="14" t="n"/>
      <c r="P36" s="16" t="n">
        <v>31</v>
      </c>
      <c r="Q36" s="124">
        <f>IF(P36="","",COUNTIFS($C$18:$C$2015,P$13,$D$18:$D$2015,"&gt;="&amp;P36,$D$18:$D$2015,"&lt;"&amp;P37))</f>
        <v/>
      </c>
      <c r="R36" s="14" t="n"/>
      <c r="S36" s="16" t="n">
        <v>52</v>
      </c>
      <c r="T36" s="124">
        <f>IF(S36="","",COUNTIFS($C$18:$C$2015,S$13,$D$18:$D$2015,"&gt;="&amp;S36,$D$18:$D$2015,"&lt;"&amp;S37))</f>
        <v/>
      </c>
      <c r="U36" s="14" t="n"/>
      <c r="V36" s="16" t="n">
        <v>52</v>
      </c>
      <c r="W36" s="124">
        <f>IF(V36="","",COUNTIFS($C$18:$C$2015,V$13,$D$18:$D$2015,"&gt;="&amp;V36,$D$18:$D$2015,"&lt;"&amp;V37))</f>
        <v/>
      </c>
      <c r="X36" s="14" t="n"/>
      <c r="Y36" s="16" t="n">
        <v>52</v>
      </c>
      <c r="Z36" s="124">
        <f>IF(Y36="","",COUNTIFS($C$18:$C$2015,Y$13,$D$18:$D$2015,"&gt;="&amp;Y36,$D$18:$D$2015,"&lt;"&amp;Y37))</f>
        <v/>
      </c>
      <c r="AA36" s="14" t="n"/>
      <c r="AB36" s="16" t="n">
        <v>31</v>
      </c>
      <c r="AC36" s="124">
        <f>IF(AB36="","",COUNTIFS($C$18:$C$2015,AB$13,$D$18:$D$2015,"&gt;="&amp;AB36,$D$18:$D$2015,"&lt;"&amp;AB37))</f>
        <v/>
      </c>
      <c r="AD36" s="14" t="n"/>
    </row>
    <row r="37">
      <c r="A37" s="58" t="n"/>
      <c r="B37" s="59" t="n"/>
      <c r="C37" s="59" t="n"/>
      <c r="D37" s="126" t="n"/>
      <c r="E37" s="16" t="n"/>
      <c r="F37" s="13" t="n"/>
      <c r="G37" s="16" t="n">
        <v>32</v>
      </c>
      <c r="H37" s="124">
        <f>IF(G37="","",COUNTIFS($C$18:$C$2015,G$13,$D$18:$D$2015,"&gt;="&amp;G37,$D$18:$D$2015,"&lt;"&amp;G38))</f>
        <v/>
      </c>
      <c r="I37" s="14" t="n"/>
      <c r="J37" s="16" t="n">
        <v>120</v>
      </c>
      <c r="K37" s="124">
        <f>IF(J37="","",COUNTIFS($C$18:$C$2015,J$13,$D$18:$D$2015,"&gt;="&amp;J37,$D$18:$D$2015,"&lt;"&amp;J38))</f>
        <v/>
      </c>
      <c r="L37" s="14" t="n"/>
      <c r="M37" s="16" t="n">
        <v>54</v>
      </c>
      <c r="N37" s="124">
        <f>IF(M37="","",COUNTIFS($C$18:$C$2015,M$13,$D$18:$D$2015,"&gt;="&amp;M37,$D$18:$D$2015,"&lt;"&amp;M38))</f>
        <v/>
      </c>
      <c r="O37" s="14" t="n"/>
      <c r="P37" s="16" t="n">
        <v>32</v>
      </c>
      <c r="Q37" s="124">
        <f>IF(P37="","",COUNTIFS($C$18:$C$2015,P$13,$D$18:$D$2015,"&gt;="&amp;P37,$D$18:$D$2015,"&lt;"&amp;P38))</f>
        <v/>
      </c>
      <c r="R37" s="14" t="n"/>
      <c r="S37" s="16" t="n">
        <v>54</v>
      </c>
      <c r="T37" s="124">
        <f>IF(S37="","",COUNTIFS($C$18:$C$2015,S$13,$D$18:$D$2015,"&gt;="&amp;S37,$D$18:$D$2015,"&lt;"&amp;S38))</f>
        <v/>
      </c>
      <c r="U37" s="14" t="n"/>
      <c r="V37" s="16" t="n">
        <v>54</v>
      </c>
      <c r="W37" s="124">
        <f>IF(V37="","",COUNTIFS($C$18:$C$2015,V$13,$D$18:$D$2015,"&gt;="&amp;V37,$D$18:$D$2015,"&lt;"&amp;V38))</f>
        <v/>
      </c>
      <c r="X37" s="14" t="n"/>
      <c r="Y37" s="16" t="n">
        <v>54</v>
      </c>
      <c r="Z37" s="124">
        <f>IF(Y37="","",COUNTIFS($C$18:$C$2015,Y$13,$D$18:$D$2015,"&gt;="&amp;Y37,$D$18:$D$2015,"&lt;"&amp;Y38))</f>
        <v/>
      </c>
      <c r="AA37" s="14" t="n"/>
      <c r="AB37" s="16" t="n">
        <v>32</v>
      </c>
      <c r="AC37" s="124">
        <f>IF(AB37="","",COUNTIFS($C$18:$C$2015,AB$13,$D$18:$D$2015,"&gt;="&amp;AB37,$D$18:$D$2015,"&lt;"&amp;AB38))</f>
        <v/>
      </c>
      <c r="AD37" s="14" t="n"/>
    </row>
    <row r="38">
      <c r="A38" s="56" t="n"/>
      <c r="B38" s="57" t="n"/>
      <c r="C38" s="57" t="n"/>
      <c r="D38" s="127" t="n"/>
      <c r="E38" s="16" t="n"/>
      <c r="F38" s="13" t="n"/>
      <c r="G38" s="16" t="n">
        <v>33</v>
      </c>
      <c r="H38" s="124">
        <f>IF(G38="","",COUNTIFS($C$18:$C$2015,G$13,$D$18:$D$2015,"&gt;="&amp;G38,$D$18:$D$2015,"&lt;"&amp;G39))</f>
        <v/>
      </c>
      <c r="I38" s="14" t="n"/>
      <c r="J38" s="16" t="n">
        <v>125</v>
      </c>
      <c r="K38" s="124">
        <f>IF(J38="","",COUNTIFS($C$18:$C$2015,J$13,$D$18:$D$2015,"&gt;="&amp;J38,$D$18:$D$2015,"&lt;"&amp;J39))</f>
        <v/>
      </c>
      <c r="L38" s="14" t="n"/>
      <c r="M38" s="16" t="n">
        <v>56</v>
      </c>
      <c r="N38" s="124">
        <f>IF(M38="","",COUNTIFS($C$18:$C$2015,M$13,$D$18:$D$2015,"&gt;="&amp;M38,$D$18:$D$2015,"&lt;"&amp;M39))</f>
        <v/>
      </c>
      <c r="O38" s="14" t="n"/>
      <c r="P38" s="16" t="n">
        <v>33</v>
      </c>
      <c r="Q38" s="124">
        <f>IF(P38="","",COUNTIFS($C$18:$C$2015,P$13,$D$18:$D$2015,"&gt;="&amp;P38,$D$18:$D$2015,"&lt;"&amp;P39))</f>
        <v/>
      </c>
      <c r="R38" s="14" t="n"/>
      <c r="S38" s="16" t="n">
        <v>56</v>
      </c>
      <c r="T38" s="124">
        <f>IF(S38="","",COUNTIFS($C$18:$C$2015,S$13,$D$18:$D$2015,"&gt;="&amp;S38,$D$18:$D$2015,"&lt;"&amp;S39))</f>
        <v/>
      </c>
      <c r="U38" s="14" t="n"/>
      <c r="V38" s="16" t="n">
        <v>56</v>
      </c>
      <c r="W38" s="124">
        <f>IF(V38="","",COUNTIFS($C$18:$C$2015,V$13,$D$18:$D$2015,"&gt;="&amp;V38,$D$18:$D$2015,"&lt;"&amp;V39))</f>
        <v/>
      </c>
      <c r="X38" s="14" t="n"/>
      <c r="Y38" s="16" t="n">
        <v>56</v>
      </c>
      <c r="Z38" s="124">
        <f>IF(Y38="","",COUNTIFS($C$18:$C$2015,Y$13,$D$18:$D$2015,"&gt;="&amp;Y38,$D$18:$D$2015,"&lt;"&amp;Y39))</f>
        <v/>
      </c>
      <c r="AA38" s="14" t="n"/>
      <c r="AB38" s="16" t="n">
        <v>33</v>
      </c>
      <c r="AC38" s="124">
        <f>IF(AB38="","",COUNTIFS($C$18:$C$2015,AB$13,$D$18:$D$2015,"&gt;="&amp;AB38,$D$18:$D$2015,"&lt;"&amp;AB39))</f>
        <v/>
      </c>
      <c r="AD38" s="14" t="n"/>
    </row>
    <row r="39">
      <c r="A39" s="58" t="n"/>
      <c r="B39" s="59" t="n"/>
      <c r="C39" s="59" t="n"/>
      <c r="D39" s="126" t="n"/>
      <c r="E39" s="16" t="n"/>
      <c r="F39" s="13" t="n"/>
      <c r="G39" s="16" t="n">
        <v>34</v>
      </c>
      <c r="H39" s="124">
        <f>IF(G39="","",COUNTIFS($C$18:$C$2015,G$13,$D$18:$D$2015,"&gt;="&amp;G39,$D$18:$D$2015,"&lt;"&amp;G40))</f>
        <v/>
      </c>
      <c r="I39" s="14" t="n"/>
      <c r="J39" s="16" t="n">
        <v>130</v>
      </c>
      <c r="K39" s="124">
        <f>IF(J39="","",COUNTIFS($C$18:$C$2015,J$13,$D$18:$D$2015,"&gt;="&amp;J39,$D$18:$D$2015,"&lt;"&amp;J40))</f>
        <v/>
      </c>
      <c r="L39" s="14" t="n"/>
      <c r="M39" s="16" t="n">
        <v>58</v>
      </c>
      <c r="N39" s="124">
        <f>IF(M39="","",COUNTIFS($C$18:$C$2015,M$13,$D$18:$D$2015,"&gt;="&amp;M39,$D$18:$D$2015,"&lt;"&amp;M40))</f>
        <v/>
      </c>
      <c r="O39" s="14" t="n"/>
      <c r="P39" s="16" t="n">
        <v>34</v>
      </c>
      <c r="Q39" s="124">
        <f>IF(P39="","",COUNTIFS($C$18:$C$2015,P$13,$D$18:$D$2015,"&gt;="&amp;P39,$D$18:$D$2015,"&lt;"&amp;P40))</f>
        <v/>
      </c>
      <c r="R39" s="14" t="n"/>
      <c r="S39" s="16" t="n">
        <v>58</v>
      </c>
      <c r="T39" s="124">
        <f>IF(S39="","",COUNTIFS($C$18:$C$2015,S$13,$D$18:$D$2015,"&gt;="&amp;S39,$D$18:$D$2015,"&lt;"&amp;S40))</f>
        <v/>
      </c>
      <c r="U39" s="14" t="n"/>
      <c r="V39" s="16" t="n">
        <v>58</v>
      </c>
      <c r="W39" s="124">
        <f>IF(V39="","",COUNTIFS($C$18:$C$2015,V$13,$D$18:$D$2015,"&gt;="&amp;V39,$D$18:$D$2015,"&lt;"&amp;V40))</f>
        <v/>
      </c>
      <c r="X39" s="14" t="n"/>
      <c r="Y39" s="16" t="n">
        <v>58</v>
      </c>
      <c r="Z39" s="124">
        <f>IF(Y39="","",COUNTIFS($C$18:$C$2015,Y$13,$D$18:$D$2015,"&gt;="&amp;Y39,$D$18:$D$2015,"&lt;"&amp;Y40))</f>
        <v/>
      </c>
      <c r="AA39" s="14" t="n"/>
      <c r="AB39" s="16" t="n">
        <v>34</v>
      </c>
      <c r="AC39" s="124">
        <f>IF(AB39="","",COUNTIFS($C$18:$C$2015,AB$13,$D$18:$D$2015,"&gt;="&amp;AB39,$D$18:$D$2015,"&lt;"&amp;AB40))</f>
        <v/>
      </c>
      <c r="AD39" s="14" t="n"/>
    </row>
    <row r="40">
      <c r="A40" s="56" t="n"/>
      <c r="B40" s="57" t="n"/>
      <c r="C40" s="57" t="n"/>
      <c r="D40" s="127" t="n"/>
      <c r="E40" s="16" t="n"/>
      <c r="F40" s="13" t="n"/>
      <c r="G40" s="16" t="n">
        <v>35</v>
      </c>
      <c r="H40" s="124">
        <f>IF(G40="","",COUNTIFS($C$18:$C$2015,G$13,$D$18:$D$2015,"&gt;="&amp;G40,$D$18:$D$2015,"&lt;"&amp;G41))</f>
        <v/>
      </c>
      <c r="I40" s="14" t="n"/>
      <c r="J40" s="16" t="n">
        <v>135</v>
      </c>
      <c r="K40" s="124">
        <f>IF(J40="","",COUNTIFS($C$18:$C$2015,J$13,$D$18:$D$2015,"&gt;="&amp;J40,$D$18:$D$2015,"&lt;"&amp;J41))</f>
        <v/>
      </c>
      <c r="L40" s="14" t="n"/>
      <c r="M40" s="16" t="n">
        <v>60</v>
      </c>
      <c r="N40" s="124">
        <f>IF(M40="","",COUNTIFS($C$18:$C$2015,M$13,$D$18:$D$2015,"&gt;="&amp;M40,$D$18:$D$2015,"&lt;"&amp;M41))</f>
        <v/>
      </c>
      <c r="O40" s="14" t="n"/>
      <c r="P40" s="16" t="n">
        <v>35</v>
      </c>
      <c r="Q40" s="124">
        <f>IF(P40="","",COUNTIFS($C$18:$C$2015,P$13,$D$18:$D$2015,"&gt;="&amp;P40,$D$18:$D$2015,"&lt;"&amp;P41))</f>
        <v/>
      </c>
      <c r="R40" s="14" t="n"/>
      <c r="S40" s="16" t="n">
        <v>60</v>
      </c>
      <c r="T40" s="124">
        <f>IF(S40="","",COUNTIFS($C$18:$C$2015,S$13,$D$18:$D$2015,"&gt;="&amp;S40,$D$18:$D$2015,"&lt;"&amp;S41))</f>
        <v/>
      </c>
      <c r="U40" s="14" t="n"/>
      <c r="V40" s="16" t="n">
        <v>60</v>
      </c>
      <c r="W40" s="124">
        <f>IF(V40="","",COUNTIFS($C$18:$C$2015,V$13,$D$18:$D$2015,"&gt;="&amp;V40,$D$18:$D$2015,"&lt;"&amp;V41))</f>
        <v/>
      </c>
      <c r="X40" s="14" t="n"/>
      <c r="Y40" s="16" t="n">
        <v>60</v>
      </c>
      <c r="Z40" s="124">
        <f>IF(Y40="","",COUNTIFS($C$18:$C$2015,Y$13,$D$18:$D$2015,"&gt;="&amp;Y40,$D$18:$D$2015,"&lt;"&amp;Y41))</f>
        <v/>
      </c>
      <c r="AA40" s="14" t="n"/>
      <c r="AB40" s="16" t="n">
        <v>35</v>
      </c>
      <c r="AC40" s="124">
        <f>IF(AB40="","",COUNTIFS($C$18:$C$2015,AB$13,$D$18:$D$2015,"&gt;="&amp;AB40,$D$18:$D$2015,"&lt;"&amp;AB41))</f>
        <v/>
      </c>
      <c r="AD40" s="14" t="n"/>
    </row>
    <row r="41">
      <c r="A41" s="58" t="n"/>
      <c r="B41" s="59" t="n"/>
      <c r="C41" s="59" t="n"/>
      <c r="D41" s="126" t="n"/>
      <c r="E41" s="16" t="n"/>
      <c r="F41" s="13" t="n"/>
      <c r="G41" s="16" t="n">
        <v>36</v>
      </c>
      <c r="H41" s="124">
        <f>IF(G41="","",COUNTIFS($C$18:$C$2015,G$13,$D$18:$D$2015,"&gt;="&amp;G41,$D$18:$D$2015,"&lt;"&amp;G42))</f>
        <v/>
      </c>
      <c r="I41" s="14" t="n"/>
      <c r="J41" s="16" t="n">
        <v>140</v>
      </c>
      <c r="K41" s="124">
        <f>IF(J41="","",COUNTIFS($C$18:$C$2015,J$13,$D$18:$D$2015,"&gt;="&amp;J41,$D$18:$D$2015,"&lt;"&amp;J42))</f>
        <v/>
      </c>
      <c r="L41" s="14" t="n"/>
      <c r="M41" s="16" t="n">
        <v>62</v>
      </c>
      <c r="N41" s="124">
        <f>IF(M41="","",COUNTIFS($C$18:$C$2015,M$13,$D$18:$D$2015,"&gt;="&amp;M41,$D$18:$D$2015,"&lt;"&amp;M42))</f>
        <v/>
      </c>
      <c r="O41" s="14" t="n"/>
      <c r="P41" s="16" t="n">
        <v>36</v>
      </c>
      <c r="Q41" s="124">
        <f>IF(P41="","",COUNTIFS($C$18:$C$2015,P$13,$D$18:$D$2015,"&gt;="&amp;P41,$D$18:$D$2015,"&lt;"&amp;P42))</f>
        <v/>
      </c>
      <c r="R41" s="14" t="n"/>
      <c r="S41" s="16" t="n">
        <v>62</v>
      </c>
      <c r="T41" s="124">
        <f>IF(S41="","",COUNTIFS($C$18:$C$2015,S$13,$D$18:$D$2015,"&gt;="&amp;S41,$D$18:$D$2015,"&lt;"&amp;S42))</f>
        <v/>
      </c>
      <c r="U41" s="14" t="n"/>
      <c r="V41" s="16" t="n">
        <v>62</v>
      </c>
      <c r="W41" s="124">
        <f>IF(V41="","",COUNTIFS($C$18:$C$2015,V$13,$D$18:$D$2015,"&gt;="&amp;V41,$D$18:$D$2015,"&lt;"&amp;V42))</f>
        <v/>
      </c>
      <c r="X41" s="14" t="n"/>
      <c r="Y41" s="16" t="n">
        <v>62</v>
      </c>
      <c r="Z41" s="124">
        <f>IF(Y41="","",COUNTIFS($C$18:$C$2015,Y$13,$D$18:$D$2015,"&gt;="&amp;Y41,$D$18:$D$2015,"&lt;"&amp;Y42))</f>
        <v/>
      </c>
      <c r="AA41" s="14" t="n"/>
      <c r="AB41" s="16" t="n">
        <v>36</v>
      </c>
      <c r="AC41" s="124">
        <f>IF(AB41="","",COUNTIFS($C$18:$C$2015,AB$13,$D$18:$D$2015,"&gt;="&amp;AB41,$D$18:$D$2015,"&lt;"&amp;AB42))</f>
        <v/>
      </c>
      <c r="AD41" s="14" t="n"/>
    </row>
    <row r="42">
      <c r="A42" s="56" t="n"/>
      <c r="B42" s="57" t="n"/>
      <c r="C42" s="57" t="n"/>
      <c r="D42" s="127" t="n"/>
      <c r="E42" s="16" t="n"/>
      <c r="F42" s="13" t="n"/>
      <c r="G42" s="16" t="n">
        <v>37</v>
      </c>
      <c r="H42" s="124">
        <f>IF(G42="","",COUNTIFS($C$18:$C$2015,G$13,$D$18:$D$2015,"&gt;="&amp;G42,$D$18:$D$2015,"&lt;"&amp;G43))</f>
        <v/>
      </c>
      <c r="I42" s="14" t="n"/>
      <c r="J42" s="16" t="n">
        <v>145</v>
      </c>
      <c r="K42" s="124">
        <f>IF(J42="","",COUNTIFS($C$18:$C$2015,J$13,$D$18:$D$2015,"&gt;="&amp;J42,$D$18:$D$2015,"&lt;"&amp;J43))</f>
        <v/>
      </c>
      <c r="L42" s="14" t="n"/>
      <c r="M42" s="16" t="n">
        <v>64</v>
      </c>
      <c r="N42" s="124">
        <f>IF(M42="","",COUNTIFS($C$18:$C$2015,M$13,$D$18:$D$2015,"&gt;="&amp;M42,$D$18:$D$2015,"&lt;"&amp;M43))</f>
        <v/>
      </c>
      <c r="O42" s="14" t="n"/>
      <c r="P42" s="16" t="n">
        <v>37</v>
      </c>
      <c r="Q42" s="124">
        <f>IF(P42="","",COUNTIFS($C$18:$C$2015,P$13,$D$18:$D$2015,"&gt;="&amp;P42,$D$18:$D$2015,"&lt;"&amp;P43))</f>
        <v/>
      </c>
      <c r="R42" s="14" t="n"/>
      <c r="S42" s="16" t="n">
        <v>64</v>
      </c>
      <c r="T42" s="124">
        <f>IF(S42="","",COUNTIFS($C$18:$C$2015,S$13,$D$18:$D$2015,"&gt;="&amp;S42,$D$18:$D$2015,"&lt;"&amp;S43))</f>
        <v/>
      </c>
      <c r="U42" s="14" t="n"/>
      <c r="V42" s="16" t="n">
        <v>64</v>
      </c>
      <c r="W42" s="124">
        <f>IF(V42="","",COUNTIFS($C$18:$C$2015,V$13,$D$18:$D$2015,"&gt;="&amp;V42,$D$18:$D$2015,"&lt;"&amp;V43))</f>
        <v/>
      </c>
      <c r="X42" s="14" t="n"/>
      <c r="Y42" s="16" t="n">
        <v>64</v>
      </c>
      <c r="Z42" s="124">
        <f>IF(Y42="","",COUNTIFS($C$18:$C$2015,Y$13,$D$18:$D$2015,"&gt;="&amp;Y42,$D$18:$D$2015,"&lt;"&amp;Y43))</f>
        <v/>
      </c>
      <c r="AA42" s="14" t="n"/>
      <c r="AB42" s="16" t="n">
        <v>37</v>
      </c>
      <c r="AC42" s="124">
        <f>IF(AB42="","",COUNTIFS($C$18:$C$2015,AB$13,$D$18:$D$2015,"&gt;="&amp;AB42,$D$18:$D$2015,"&lt;"&amp;AB43))</f>
        <v/>
      </c>
      <c r="AD42" s="14" t="n"/>
    </row>
    <row r="43">
      <c r="A43" s="58" t="n"/>
      <c r="B43" s="59" t="n"/>
      <c r="C43" s="59" t="n"/>
      <c r="D43" s="126" t="n"/>
      <c r="E43" s="16" t="n"/>
      <c r="F43" s="13" t="n"/>
      <c r="G43" s="16" t="n">
        <v>38</v>
      </c>
      <c r="H43" s="124">
        <f>IF(G43="","",COUNTIFS($C$18:$C$2015,G$13,$D$18:$D$2015,"&gt;="&amp;G43,$D$18:$D$2015,"&lt;"&amp;G44))</f>
        <v/>
      </c>
      <c r="I43" s="14" t="n"/>
      <c r="J43" s="16" t="n">
        <v>150</v>
      </c>
      <c r="K43" s="124">
        <f>IF(J43="","",COUNTIFS($C$18:$C$2015,J$13,$D$18:$D$2015,"&gt;="&amp;J43,$D$18:$D$2015,"&lt;"&amp;J44))</f>
        <v/>
      </c>
      <c r="L43" s="14" t="n"/>
      <c r="M43" s="16" t="n">
        <v>66</v>
      </c>
      <c r="N43" s="124">
        <f>IF(M43="","",COUNTIFS($C$18:$C$2015,M$13,$D$18:$D$2015,"&gt;="&amp;M43,$D$18:$D$2015,"&lt;"&amp;M44))</f>
        <v/>
      </c>
      <c r="O43" s="14" t="n"/>
      <c r="P43" s="16" t="n">
        <v>38</v>
      </c>
      <c r="Q43" s="124">
        <f>IF(P43="","",COUNTIFS($C$18:$C$2015,P$13,$D$18:$D$2015,"&gt;="&amp;P43,$D$18:$D$2015,"&lt;"&amp;P44))</f>
        <v/>
      </c>
      <c r="R43" s="14" t="n"/>
      <c r="S43" s="16" t="n">
        <v>66</v>
      </c>
      <c r="T43" s="124">
        <f>IF(S43="","",COUNTIFS($C$18:$C$2015,S$13,$D$18:$D$2015,"&gt;="&amp;S43,$D$18:$D$2015,"&lt;"&amp;S44))</f>
        <v/>
      </c>
      <c r="U43" s="14" t="n"/>
      <c r="V43" s="16" t="n">
        <v>66</v>
      </c>
      <c r="W43" s="124">
        <f>IF(V43="","",COUNTIFS($C$18:$C$2015,V$13,$D$18:$D$2015,"&gt;="&amp;V43,$D$18:$D$2015,"&lt;"&amp;V44))</f>
        <v/>
      </c>
      <c r="X43" s="14" t="n"/>
      <c r="Y43" s="16" t="n">
        <v>66</v>
      </c>
      <c r="Z43" s="124">
        <f>IF(Y43="","",COUNTIFS($C$18:$C$2015,Y$13,$D$18:$D$2015,"&gt;="&amp;Y43,$D$18:$D$2015,"&lt;"&amp;Y44))</f>
        <v/>
      </c>
      <c r="AA43" s="14" t="n"/>
      <c r="AB43" s="16" t="n">
        <v>38</v>
      </c>
      <c r="AC43" s="124">
        <f>IF(AB43="","",COUNTIFS($C$18:$C$2015,AB$13,$D$18:$D$2015,"&gt;="&amp;AB43,$D$18:$D$2015,"&lt;"&amp;AB44))</f>
        <v/>
      </c>
      <c r="AD43" s="14" t="n"/>
    </row>
    <row r="44">
      <c r="A44" s="56" t="n"/>
      <c r="B44" s="57" t="n"/>
      <c r="C44" s="57" t="n"/>
      <c r="D44" s="127" t="n"/>
      <c r="E44" s="16" t="n"/>
      <c r="F44" s="13" t="n"/>
      <c r="G44" s="16" t="n">
        <v>39</v>
      </c>
      <c r="H44" s="124">
        <f>IF(G44="","",COUNTIFS($C$18:$C$2015,G$13,$D$18:$D$2015,"&gt;="&amp;G44,$D$18:$D$2015,"&lt;"&amp;G45))</f>
        <v/>
      </c>
      <c r="I44" s="14" t="n"/>
      <c r="J44" s="16" t="n"/>
      <c r="K44" s="124">
        <f>IF(J44="","",COUNTIFS($C$18:$C$2015,J$13,$D$18:$D$2015,"&gt;="&amp;J44,$D$18:$D$2015,"&lt;"&amp;J45))</f>
        <v/>
      </c>
      <c r="L44" s="14" t="n"/>
      <c r="M44" s="16" t="n">
        <v>68</v>
      </c>
      <c r="N44" s="124">
        <f>IF(M44="","",COUNTIFS($C$18:$C$2015,M$13,$D$18:$D$2015,"&gt;="&amp;M44,$D$18:$D$2015,"&lt;"&amp;M45))</f>
        <v/>
      </c>
      <c r="O44" s="14" t="n"/>
      <c r="P44" s="16" t="n">
        <v>39</v>
      </c>
      <c r="Q44" s="124">
        <f>IF(P44="","",COUNTIFS($C$18:$C$2015,P$13,$D$18:$D$2015,"&gt;="&amp;P44,$D$18:$D$2015,"&lt;"&amp;P45))</f>
        <v/>
      </c>
      <c r="R44" s="14" t="n"/>
      <c r="S44" s="16" t="n">
        <v>68</v>
      </c>
      <c r="T44" s="124">
        <f>IF(S44="","",COUNTIFS($C$18:$C$2015,S$13,$D$18:$D$2015,"&gt;="&amp;S44,$D$18:$D$2015,"&lt;"&amp;S45))</f>
        <v/>
      </c>
      <c r="U44" s="14" t="n"/>
      <c r="V44" s="16" t="n">
        <v>68</v>
      </c>
      <c r="W44" s="124">
        <f>IF(V44="","",COUNTIFS($C$18:$C$2015,V$13,$D$18:$D$2015,"&gt;="&amp;V44,$D$18:$D$2015,"&lt;"&amp;V45))</f>
        <v/>
      </c>
      <c r="X44" s="14" t="n"/>
      <c r="Y44" s="16" t="n">
        <v>68</v>
      </c>
      <c r="Z44" s="124">
        <f>IF(Y44="","",COUNTIFS($C$18:$C$2015,Y$13,$D$18:$D$2015,"&gt;="&amp;Y44,$D$18:$D$2015,"&lt;"&amp;Y45))</f>
        <v/>
      </c>
      <c r="AA44" s="14" t="n"/>
      <c r="AB44" s="16" t="n">
        <v>39</v>
      </c>
      <c r="AC44" s="124">
        <f>IF(AB44="","",COUNTIFS($C$18:$C$2015,AB$13,$D$18:$D$2015,"&gt;="&amp;AB44,$D$18:$D$2015,"&lt;"&amp;AB45))</f>
        <v/>
      </c>
      <c r="AD44" s="14" t="n"/>
    </row>
    <row r="45">
      <c r="A45" s="58" t="n"/>
      <c r="B45" s="59" t="n"/>
      <c r="C45" s="59" t="n"/>
      <c r="D45" s="126" t="n"/>
      <c r="E45" s="16" t="n"/>
      <c r="F45" s="13" t="n"/>
      <c r="G45" s="16" t="n">
        <v>40</v>
      </c>
      <c r="H45" s="124">
        <f>IF(G45="","",COUNTIFS($C$18:$C$2015,G$13,$D$18:$D$2015,"&gt;="&amp;G45,$D$18:$D$2015,"&lt;"&amp;G46))</f>
        <v/>
      </c>
      <c r="I45" s="14" t="n"/>
      <c r="J45" s="16" t="n"/>
      <c r="K45" s="124">
        <f>IF(J45="","",COUNTIFS($C$18:$C$2015,J$13,$D$18:$D$2015,"&gt;="&amp;J45,$D$18:$D$2015,"&lt;"&amp;J46))</f>
        <v/>
      </c>
      <c r="L45" s="14" t="n"/>
      <c r="M45" s="16" t="n">
        <v>70</v>
      </c>
      <c r="N45" s="124">
        <f>IF(M45="","",COUNTIFS($C$18:$C$2015,M$13,$D$18:$D$2015,"&gt;="&amp;M45,$D$18:$D$2015,"&lt;"&amp;M46))</f>
        <v/>
      </c>
      <c r="O45" s="14" t="n"/>
      <c r="P45" s="16" t="n">
        <v>40</v>
      </c>
      <c r="Q45" s="124">
        <f>IF(P45="","",COUNTIFS($C$18:$C$2015,P$13,$D$18:$D$2015,"&gt;="&amp;P45,$D$18:$D$2015,"&lt;"&amp;P46))</f>
        <v/>
      </c>
      <c r="R45" s="14" t="n"/>
      <c r="S45" s="16" t="n">
        <v>70</v>
      </c>
      <c r="T45" s="124">
        <f>IF(S45="","",COUNTIFS($C$18:$C$2015,S$13,$D$18:$D$2015,"&gt;="&amp;S45,$D$18:$D$2015,"&lt;"&amp;S46))</f>
        <v/>
      </c>
      <c r="U45" s="14" t="n"/>
      <c r="V45" s="16" t="n">
        <v>70</v>
      </c>
      <c r="W45" s="124">
        <f>IF(V45="","",COUNTIFS($C$18:$C$2015,V$13,$D$18:$D$2015,"&gt;="&amp;V45,$D$18:$D$2015,"&lt;"&amp;V46))</f>
        <v/>
      </c>
      <c r="X45" s="14" t="n"/>
      <c r="Y45" s="16" t="n">
        <v>70</v>
      </c>
      <c r="Z45" s="124">
        <f>IF(Y45="","",COUNTIFS($C$18:$C$2015,Y$13,$D$18:$D$2015,"&gt;="&amp;Y45,$D$18:$D$2015,"&lt;"&amp;Y46))</f>
        <v/>
      </c>
      <c r="AA45" s="14" t="n"/>
      <c r="AB45" s="16" t="n">
        <v>40</v>
      </c>
      <c r="AC45" s="124">
        <f>IF(AB45="","",COUNTIFS($C$18:$C$2015,AB$13,$D$18:$D$2015,"&gt;="&amp;AB45,$D$18:$D$2015,"&lt;"&amp;AB46))</f>
        <v/>
      </c>
      <c r="AD45" s="14" t="n"/>
    </row>
    <row r="46">
      <c r="A46" s="56" t="n"/>
      <c r="B46" s="57" t="n"/>
      <c r="C46" s="57" t="n"/>
      <c r="D46" s="127" t="n"/>
      <c r="E46" s="16" t="n"/>
      <c r="F46" s="13" t="n"/>
      <c r="G46" s="16" t="n">
        <v>41</v>
      </c>
      <c r="H46" s="124">
        <f>IF(G46="","",COUNTIFS($C$18:$C$2015,G$13,$D$18:$D$2015,"&gt;="&amp;G46,$D$18:$D$2015,"&lt;"&amp;G47))</f>
        <v/>
      </c>
      <c r="I46" s="14" t="n"/>
      <c r="J46" s="16" t="n"/>
      <c r="K46" s="124">
        <f>IF(J46="","",COUNTIFS($C$18:$C$2015,J$13,$D$18:$D$2015,"&gt;="&amp;J46,$D$18:$D$2015,"&lt;"&amp;J47))</f>
        <v/>
      </c>
      <c r="L46" s="14" t="n"/>
      <c r="M46" s="16" t="n">
        <v>72</v>
      </c>
      <c r="N46" s="124">
        <f>IF(M46="","",COUNTIFS($C$18:$C$2015,M$13,$D$18:$D$2015,"&gt;="&amp;M46,$D$18:$D$2015,"&lt;"&amp;M47))</f>
        <v/>
      </c>
      <c r="O46" s="14" t="n"/>
      <c r="P46" s="16" t="n">
        <v>41</v>
      </c>
      <c r="Q46" s="124">
        <f>IF(P46="","",COUNTIFS($C$18:$C$2015,P$13,$D$18:$D$2015,"&gt;="&amp;P46,$D$18:$D$2015,"&lt;"&amp;P47))</f>
        <v/>
      </c>
      <c r="R46" s="14" t="n"/>
      <c r="S46" s="16" t="n">
        <v>72</v>
      </c>
      <c r="T46" s="124">
        <f>IF(S46="","",COUNTIFS($C$18:$C$2015,S$13,$D$18:$D$2015,"&gt;="&amp;S46,$D$18:$D$2015,"&lt;"&amp;S47))</f>
        <v/>
      </c>
      <c r="U46" s="14" t="n"/>
      <c r="V46" s="16" t="n">
        <v>72</v>
      </c>
      <c r="W46" s="124">
        <f>IF(V46="","",COUNTIFS($C$18:$C$2015,V$13,$D$18:$D$2015,"&gt;="&amp;V46,$D$18:$D$2015,"&lt;"&amp;V47))</f>
        <v/>
      </c>
      <c r="X46" s="14" t="n"/>
      <c r="Y46" s="16" t="n">
        <v>72</v>
      </c>
      <c r="Z46" s="124">
        <f>IF(Y46="","",COUNTIFS($C$18:$C$2015,Y$13,$D$18:$D$2015,"&gt;="&amp;Y46,$D$18:$D$2015,"&lt;"&amp;Y47))</f>
        <v/>
      </c>
      <c r="AA46" s="14" t="n"/>
      <c r="AB46" s="16" t="n">
        <v>41</v>
      </c>
      <c r="AC46" s="124">
        <f>IF(AB46="","",COUNTIFS($C$18:$C$2015,AB$13,$D$18:$D$2015,"&gt;="&amp;AB46,$D$18:$D$2015,"&lt;"&amp;AB47))</f>
        <v/>
      </c>
      <c r="AD46" s="14" t="n"/>
    </row>
    <row r="47">
      <c r="A47" s="58" t="n"/>
      <c r="B47" s="59" t="n"/>
      <c r="C47" s="59" t="n"/>
      <c r="D47" s="126" t="n"/>
      <c r="E47" s="16" t="n"/>
      <c r="F47" s="13" t="n"/>
      <c r="G47" s="16" t="n">
        <v>42</v>
      </c>
      <c r="H47" s="124">
        <f>IF(G47="","",COUNTIFS($C$18:$C$2015,G$13,$D$18:$D$2015,"&gt;="&amp;G47,$D$18:$D$2015,"&lt;"&amp;G48))</f>
        <v/>
      </c>
      <c r="I47" s="14" t="n"/>
      <c r="J47" s="16" t="n"/>
      <c r="K47" s="124">
        <f>IF(J47="","",COUNTIFS($C$18:$C$2015,J$13,$D$18:$D$2015,"&gt;="&amp;J47,$D$18:$D$2015,"&lt;"&amp;J48))</f>
        <v/>
      </c>
      <c r="L47" s="14" t="n"/>
      <c r="M47" s="16" t="n">
        <v>74</v>
      </c>
      <c r="N47" s="124">
        <f>IF(M47="","",COUNTIFS($C$18:$C$2015,M$13,$D$18:$D$2015,"&gt;="&amp;M47,$D$18:$D$2015,"&lt;"&amp;M48))</f>
        <v/>
      </c>
      <c r="O47" s="14" t="n"/>
      <c r="P47" s="16" t="n">
        <v>42</v>
      </c>
      <c r="Q47" s="124">
        <f>IF(P47="","",COUNTIFS($C$18:$C$2015,P$13,$D$18:$D$2015,"&gt;="&amp;P47,$D$18:$D$2015,"&lt;"&amp;P48))</f>
        <v/>
      </c>
      <c r="R47" s="14" t="n"/>
      <c r="S47" s="16" t="n">
        <v>74</v>
      </c>
      <c r="T47" s="124">
        <f>IF(S47="","",COUNTIFS($C$18:$C$2015,S$13,$D$18:$D$2015,"&gt;="&amp;S47,$D$18:$D$2015,"&lt;"&amp;S48))</f>
        <v/>
      </c>
      <c r="U47" s="14" t="n"/>
      <c r="V47" s="16" t="n">
        <v>74</v>
      </c>
      <c r="W47" s="124">
        <f>IF(V47="","",COUNTIFS($C$18:$C$2015,V$13,$D$18:$D$2015,"&gt;="&amp;V47,$D$18:$D$2015,"&lt;"&amp;V48))</f>
        <v/>
      </c>
      <c r="X47" s="14" t="n"/>
      <c r="Y47" s="16" t="n">
        <v>74</v>
      </c>
      <c r="Z47" s="124">
        <f>IF(Y47="","",COUNTIFS($C$18:$C$2015,Y$13,$D$18:$D$2015,"&gt;="&amp;Y47,$D$18:$D$2015,"&lt;"&amp;Y48))</f>
        <v/>
      </c>
      <c r="AA47" s="14" t="n"/>
      <c r="AB47" s="16" t="n">
        <v>42</v>
      </c>
      <c r="AC47" s="124">
        <f>IF(AB47="","",COUNTIFS($C$18:$C$2015,AB$13,$D$18:$D$2015,"&gt;="&amp;AB47,$D$18:$D$2015,"&lt;"&amp;AB48))</f>
        <v/>
      </c>
      <c r="AD47" s="14" t="n"/>
    </row>
    <row r="48">
      <c r="A48" s="56" t="n"/>
      <c r="B48" s="57" t="n"/>
      <c r="C48" s="57" t="n"/>
      <c r="D48" s="127" t="n"/>
      <c r="E48" s="16" t="n"/>
      <c r="F48" s="13" t="n"/>
      <c r="G48" s="16" t="n">
        <v>43</v>
      </c>
      <c r="H48" s="124">
        <f>IF(G48="","",COUNTIFS($C$18:$C$2015,G$13,$D$18:$D$2015,"&gt;="&amp;G48,$D$18:$D$2015,"&lt;"&amp;G49))</f>
        <v/>
      </c>
      <c r="I48" s="14" t="n"/>
      <c r="J48" s="16" t="n"/>
      <c r="K48" s="124">
        <f>IF(J48="","",COUNTIFS($C$18:$C$2015,J$13,$D$18:$D$2015,"&gt;="&amp;J48,$D$18:$D$2015,"&lt;"&amp;J49))</f>
        <v/>
      </c>
      <c r="L48" s="14" t="n"/>
      <c r="M48" s="16" t="n">
        <v>76</v>
      </c>
      <c r="N48" s="124">
        <f>IF(M48="","",COUNTIFS($C$18:$C$2015,M$13,$D$18:$D$2015,"&gt;="&amp;M48,$D$18:$D$2015,"&lt;"&amp;M49))</f>
        <v/>
      </c>
      <c r="O48" s="14" t="n"/>
      <c r="P48" s="16" t="n">
        <v>43</v>
      </c>
      <c r="Q48" s="124">
        <f>IF(P48="","",COUNTIFS($C$18:$C$2015,P$13,$D$18:$D$2015,"&gt;="&amp;P48,$D$18:$D$2015,"&lt;"&amp;P49))</f>
        <v/>
      </c>
      <c r="R48" s="14" t="n"/>
      <c r="S48" s="16" t="n">
        <v>76</v>
      </c>
      <c r="T48" s="124">
        <f>IF(S48="","",COUNTIFS($C$18:$C$2015,S$13,$D$18:$D$2015,"&gt;="&amp;S48,$D$18:$D$2015,"&lt;"&amp;S49))</f>
        <v/>
      </c>
      <c r="U48" s="14" t="n"/>
      <c r="V48" s="16" t="n">
        <v>76</v>
      </c>
      <c r="W48" s="124">
        <f>IF(V48="","",COUNTIFS($C$18:$C$2015,V$13,$D$18:$D$2015,"&gt;="&amp;V48,$D$18:$D$2015,"&lt;"&amp;V49))</f>
        <v/>
      </c>
      <c r="X48" s="14" t="n"/>
      <c r="Y48" s="16" t="n">
        <v>76</v>
      </c>
      <c r="Z48" s="124">
        <f>IF(Y48="","",COUNTIFS($C$18:$C$2015,Y$13,$D$18:$D$2015,"&gt;="&amp;Y48,$D$18:$D$2015,"&lt;"&amp;Y49))</f>
        <v/>
      </c>
      <c r="AA48" s="14" t="n"/>
      <c r="AB48" s="16" t="n">
        <v>43</v>
      </c>
      <c r="AC48" s="124">
        <f>IF(AB48="","",COUNTIFS($C$18:$C$2015,AB$13,$D$18:$D$2015,"&gt;="&amp;AB48,$D$18:$D$2015,"&lt;"&amp;AB49))</f>
        <v/>
      </c>
      <c r="AD48" s="14" t="n"/>
    </row>
    <row r="49">
      <c r="A49" s="58" t="n"/>
      <c r="B49" s="59" t="n"/>
      <c r="C49" s="59" t="n"/>
      <c r="D49" s="126" t="n"/>
      <c r="E49" s="16" t="n"/>
      <c r="F49" s="13" t="n"/>
      <c r="G49" s="16" t="n">
        <v>44</v>
      </c>
      <c r="H49" s="124">
        <f>IF(G49="","",COUNTIFS($C$18:$C$2015,G$13,$D$18:$D$2015,"&gt;="&amp;G49,$D$18:$D$2015,"&lt;"&amp;G50))</f>
        <v/>
      </c>
      <c r="I49" s="14" t="n"/>
      <c r="J49" s="16" t="n"/>
      <c r="K49" s="124">
        <f>IF(J49="","",COUNTIFS($C$18:$C$2015,J$13,$D$18:$D$2015,"&gt;="&amp;J49,$D$18:$D$2015,"&lt;"&amp;J50))</f>
        <v/>
      </c>
      <c r="L49" s="14" t="n"/>
      <c r="M49" s="16" t="n">
        <v>78</v>
      </c>
      <c r="N49" s="124">
        <f>IF(M49="","",COUNTIFS($C$18:$C$2015,M$13,$D$18:$D$2015,"&gt;="&amp;M49,$D$18:$D$2015,"&lt;"&amp;M50))</f>
        <v/>
      </c>
      <c r="O49" s="14" t="n"/>
      <c r="P49" s="16" t="n">
        <v>44</v>
      </c>
      <c r="Q49" s="124">
        <f>IF(P49="","",COUNTIFS($C$18:$C$2015,P$13,$D$18:$D$2015,"&gt;="&amp;P49,$D$18:$D$2015,"&lt;"&amp;P50))</f>
        <v/>
      </c>
      <c r="R49" s="14" t="n"/>
      <c r="S49" s="16" t="n">
        <v>78</v>
      </c>
      <c r="T49" s="124">
        <f>IF(S49="","",COUNTIFS($C$18:$C$2015,S$13,$D$18:$D$2015,"&gt;="&amp;S49,$D$18:$D$2015,"&lt;"&amp;S50))</f>
        <v/>
      </c>
      <c r="U49" s="14" t="n"/>
      <c r="V49" s="16" t="n">
        <v>78</v>
      </c>
      <c r="W49" s="124">
        <f>IF(V49="","",COUNTIFS($C$18:$C$2015,V$13,$D$18:$D$2015,"&gt;="&amp;V49,$D$18:$D$2015,"&lt;"&amp;V50))</f>
        <v/>
      </c>
      <c r="X49" s="14" t="n"/>
      <c r="Y49" s="16" t="n">
        <v>78</v>
      </c>
      <c r="Z49" s="124">
        <f>IF(Y49="","",COUNTIFS($C$18:$C$2015,Y$13,$D$18:$D$2015,"&gt;="&amp;Y49,$D$18:$D$2015,"&lt;"&amp;Y50))</f>
        <v/>
      </c>
      <c r="AA49" s="14" t="n"/>
      <c r="AB49" s="16" t="n">
        <v>44</v>
      </c>
      <c r="AC49" s="124">
        <f>IF(AB49="","",COUNTIFS($C$18:$C$2015,AB$13,$D$18:$D$2015,"&gt;="&amp;AB49,$D$18:$D$2015,"&lt;"&amp;AB50))</f>
        <v/>
      </c>
      <c r="AD49" s="14" t="n"/>
    </row>
    <row r="50">
      <c r="A50" s="56" t="n"/>
      <c r="B50" s="57" t="n"/>
      <c r="C50" s="57" t="n"/>
      <c r="D50" s="127" t="n"/>
      <c r="E50" s="16" t="n"/>
      <c r="F50" s="13" t="n"/>
      <c r="G50" s="16" t="n">
        <v>45</v>
      </c>
      <c r="H50" s="124">
        <f>IF(G50="","",COUNTIFS($C$18:$C$2015,G$13,$D$18:$D$2015,"&gt;="&amp;G50,$D$18:$D$2015,"&lt;"&amp;G51))</f>
        <v/>
      </c>
      <c r="I50" s="14" t="n"/>
      <c r="J50" s="16" t="n"/>
      <c r="K50" s="124">
        <f>IF(J50="","",COUNTIFS($C$18:$C$2015,J$13,$D$18:$D$2015,"&gt;="&amp;J50,$D$18:$D$2015,"&lt;"&amp;J51))</f>
        <v/>
      </c>
      <c r="L50" s="14" t="n"/>
      <c r="M50" s="16" t="n">
        <v>80</v>
      </c>
      <c r="N50" s="124">
        <f>IF(M50="","",COUNTIFS($C$18:$C$2015,M$13,$D$18:$D$2015,"&gt;="&amp;M50,$D$18:$D$2015,"&lt;"&amp;M51))</f>
        <v/>
      </c>
      <c r="O50" s="14" t="n"/>
      <c r="P50" s="16" t="n">
        <v>45</v>
      </c>
      <c r="Q50" s="124">
        <f>IF(P50="","",COUNTIFS($C$18:$C$2015,P$13,$D$18:$D$2015,"&gt;="&amp;P50,$D$18:$D$2015,"&lt;"&amp;P51))</f>
        <v/>
      </c>
      <c r="R50" s="14" t="n"/>
      <c r="S50" s="16" t="n">
        <v>80</v>
      </c>
      <c r="T50" s="124">
        <f>IF(S50="","",COUNTIFS($C$18:$C$2015,S$13,$D$18:$D$2015,"&gt;="&amp;S50,$D$18:$D$2015,"&lt;"&amp;S51))</f>
        <v/>
      </c>
      <c r="U50" s="14" t="n"/>
      <c r="V50" s="16" t="n">
        <v>80</v>
      </c>
      <c r="W50" s="124">
        <f>IF(V50="","",COUNTIFS($C$18:$C$2015,V$13,$D$18:$D$2015,"&gt;="&amp;V50,$D$18:$D$2015,"&lt;"&amp;V51))</f>
        <v/>
      </c>
      <c r="X50" s="14" t="n"/>
      <c r="Y50" s="16" t="n">
        <v>80</v>
      </c>
      <c r="Z50" s="124">
        <f>IF(Y50="","",COUNTIFS($C$18:$C$2015,Y$13,$D$18:$D$2015,"&gt;="&amp;Y50,$D$18:$D$2015,"&lt;"&amp;Y51))</f>
        <v/>
      </c>
      <c r="AA50" s="14" t="n"/>
      <c r="AB50" s="16" t="n">
        <v>45</v>
      </c>
      <c r="AC50" s="124">
        <f>IF(AB50="","",COUNTIFS($C$18:$C$2015,AB$13,$D$18:$D$2015,"&gt;="&amp;AB50,$D$18:$D$2015,"&lt;"&amp;AB51))</f>
        <v/>
      </c>
      <c r="AD50" s="14" t="n"/>
    </row>
    <row r="51">
      <c r="A51" s="58" t="n"/>
      <c r="B51" s="59" t="n"/>
      <c r="C51" s="59" t="n"/>
      <c r="D51" s="126" t="n"/>
      <c r="E51" s="16" t="n"/>
      <c r="F51" s="13" t="n"/>
      <c r="G51" s="16" t="n">
        <v>46</v>
      </c>
      <c r="H51" s="124">
        <f>IF(G51="","",COUNTIFS($C$18:$C$2015,G$13,$D$18:$D$2015,"&gt;="&amp;G51,$D$18:$D$2015,"&lt;"&amp;G52))</f>
        <v/>
      </c>
      <c r="I51" s="14" t="n"/>
      <c r="J51" s="16" t="n"/>
      <c r="K51" s="124">
        <f>IF(J51="","",COUNTIFS($C$18:$C$2015,J$13,$D$18:$D$2015,"&gt;="&amp;J51,$D$18:$D$2015,"&lt;"&amp;J52))</f>
        <v/>
      </c>
      <c r="L51" s="14" t="n"/>
      <c r="M51" s="16" t="n">
        <v>82</v>
      </c>
      <c r="N51" s="124">
        <f>IF(M51="","",COUNTIFS($C$18:$C$2015,M$13,$D$18:$D$2015,"&gt;="&amp;M51,$D$18:$D$2015,"&lt;"&amp;M52))</f>
        <v/>
      </c>
      <c r="O51" s="14" t="n"/>
      <c r="P51" s="16" t="n">
        <v>46</v>
      </c>
      <c r="Q51" s="124">
        <f>IF(P51="","",COUNTIFS($C$18:$C$2015,P$13,$D$18:$D$2015,"&gt;="&amp;P51,$D$18:$D$2015,"&lt;"&amp;P52))</f>
        <v/>
      </c>
      <c r="R51" s="14" t="n"/>
      <c r="S51" s="16" t="n">
        <v>82</v>
      </c>
      <c r="T51" s="124">
        <f>IF(S51="","",COUNTIFS($C$18:$C$2015,S$13,$D$18:$D$2015,"&gt;="&amp;S51,$D$18:$D$2015,"&lt;"&amp;S52))</f>
        <v/>
      </c>
      <c r="U51" s="14" t="n"/>
      <c r="V51" s="16" t="n"/>
      <c r="W51" s="124">
        <f>IF(V51="","",COUNTIFS($C$18:$C$2015,V$13,$D$18:$D$2015,"&gt;="&amp;V51,$D$18:$D$2015,"&lt;"&amp;V52))</f>
        <v/>
      </c>
      <c r="X51" s="14" t="n"/>
      <c r="Y51" s="16" t="n"/>
      <c r="Z51" s="124">
        <f>IF(Y51="","",COUNTIFS($C$18:$C$2015,Y$13,$D$18:$D$2015,"&gt;="&amp;Y51,$D$18:$D$2015,"&lt;"&amp;Y52))</f>
        <v/>
      </c>
      <c r="AA51" s="14" t="n"/>
      <c r="AB51" s="16" t="n">
        <v>46</v>
      </c>
      <c r="AC51" s="124">
        <f>IF(AB51="","",COUNTIFS($C$18:$C$2015,AB$13,$D$18:$D$2015,"&gt;="&amp;AB51,$D$18:$D$2015,"&lt;"&amp;AB52))</f>
        <v/>
      </c>
      <c r="AD51" s="14" t="n"/>
    </row>
    <row r="52">
      <c r="A52" s="56" t="n"/>
      <c r="B52" s="57" t="n"/>
      <c r="C52" s="57" t="n"/>
      <c r="D52" s="127" t="n"/>
      <c r="E52" s="16" t="n"/>
      <c r="F52" s="13" t="n"/>
      <c r="G52" s="16" t="n">
        <v>47</v>
      </c>
      <c r="H52" s="124">
        <f>IF(G52="","",COUNTIFS($C$18:$C$2015,G$13,$D$18:$D$2015,"&gt;="&amp;G52,$D$18:$D$2015,"&lt;"&amp;G53))</f>
        <v/>
      </c>
      <c r="I52" s="14" t="n"/>
      <c r="J52" s="16" t="n"/>
      <c r="K52" s="124">
        <f>IF(J52="","",COUNTIFS($C$18:$C$2015,J$13,$D$18:$D$2015,"&gt;="&amp;J52,$D$18:$D$2015,"&lt;"&amp;J53))</f>
        <v/>
      </c>
      <c r="L52" s="14" t="n"/>
      <c r="M52" s="16" t="n">
        <v>84</v>
      </c>
      <c r="N52" s="124">
        <f>IF(M52="","",COUNTIFS($C$18:$C$2015,M$13,$D$18:$D$2015,"&gt;="&amp;M52,$D$18:$D$2015,"&lt;"&amp;M53))</f>
        <v/>
      </c>
      <c r="O52" s="14" t="n"/>
      <c r="P52" s="16" t="n">
        <v>47</v>
      </c>
      <c r="Q52" s="124">
        <f>IF(P52="","",COUNTIFS($C$18:$C$2015,P$13,$D$18:$D$2015,"&gt;="&amp;P52,$D$18:$D$2015,"&lt;"&amp;P53))</f>
        <v/>
      </c>
      <c r="R52" s="14" t="n"/>
      <c r="S52" s="16" t="n">
        <v>84</v>
      </c>
      <c r="T52" s="124">
        <f>IF(S52="","",COUNTIFS($C$18:$C$2015,S$13,$D$18:$D$2015,"&gt;="&amp;S52,$D$18:$D$2015,"&lt;"&amp;S53))</f>
        <v/>
      </c>
      <c r="U52" s="14" t="n"/>
      <c r="V52" s="16" t="n"/>
      <c r="W52" s="124">
        <f>IF(V52="","",COUNTIFS($C$18:$C$2015,V$13,$D$18:$D$2015,"&gt;="&amp;V52,$D$18:$D$2015,"&lt;"&amp;V53))</f>
        <v/>
      </c>
      <c r="X52" s="14" t="n"/>
      <c r="Y52" s="16" t="n"/>
      <c r="Z52" s="124">
        <f>IF(Y52="","",COUNTIFS($C$18:$C$2015,Y$13,$D$18:$D$2015,"&gt;="&amp;Y52,$D$18:$D$2015,"&lt;"&amp;Y53))</f>
        <v/>
      </c>
      <c r="AA52" s="14" t="n"/>
      <c r="AB52" s="16" t="n">
        <v>47</v>
      </c>
      <c r="AC52" s="124">
        <f>IF(AB52="","",COUNTIFS($C$18:$C$2015,AB$13,$D$18:$D$2015,"&gt;="&amp;AB52,$D$18:$D$2015,"&lt;"&amp;AB53))</f>
        <v/>
      </c>
      <c r="AD52" s="14" t="n"/>
    </row>
    <row r="53">
      <c r="A53" s="58" t="n"/>
      <c r="B53" s="59" t="n"/>
      <c r="C53" s="59" t="n"/>
      <c r="D53" s="126" t="n"/>
      <c r="E53" s="16" t="n"/>
      <c r="F53" s="13" t="n"/>
      <c r="G53" s="16" t="n">
        <v>48</v>
      </c>
      <c r="H53" s="124">
        <f>IF(G53="","",COUNTIFS($C$18:$C$2015,G$13,$D$18:$D$2015,"&gt;="&amp;G53,$D$18:$D$2015,"&lt;"&amp;G54))</f>
        <v/>
      </c>
      <c r="I53" s="14" t="n"/>
      <c r="J53" s="16" t="n"/>
      <c r="K53" s="124">
        <f>IF(J53="","",COUNTIFS($C$18:$C$2015,J$13,$D$18:$D$2015,"&gt;="&amp;J53,$D$18:$D$2015,"&lt;"&amp;J54))</f>
        <v/>
      </c>
      <c r="L53" s="14" t="n"/>
      <c r="M53" s="16" t="n">
        <v>86</v>
      </c>
      <c r="N53" s="124">
        <f>IF(M53="","",COUNTIFS($C$18:$C$2015,M$13,$D$18:$D$2015,"&gt;="&amp;M53,$D$18:$D$2015,"&lt;"&amp;M54))</f>
        <v/>
      </c>
      <c r="O53" s="14" t="n"/>
      <c r="P53" s="16" t="n">
        <v>48</v>
      </c>
      <c r="Q53" s="124">
        <f>IF(P53="","",COUNTIFS($C$18:$C$2015,P$13,$D$18:$D$2015,"&gt;="&amp;P53,$D$18:$D$2015,"&lt;"&amp;P54))</f>
        <v/>
      </c>
      <c r="R53" s="14" t="n"/>
      <c r="S53" s="16" t="n">
        <v>86</v>
      </c>
      <c r="T53" s="124">
        <f>IF(S53="","",COUNTIFS($C$18:$C$2015,S$13,$D$18:$D$2015,"&gt;="&amp;S53,$D$18:$D$2015,"&lt;"&amp;S54))</f>
        <v/>
      </c>
      <c r="U53" s="14" t="n"/>
      <c r="V53" s="16" t="n"/>
      <c r="W53" s="124">
        <f>IF(V53="","",COUNTIFS($C$18:$C$2015,V$13,$D$18:$D$2015,"&gt;="&amp;V53,$D$18:$D$2015,"&lt;"&amp;V54))</f>
        <v/>
      </c>
      <c r="X53" s="14" t="n"/>
      <c r="Y53" s="16" t="n"/>
      <c r="Z53" s="124">
        <f>IF(Y53="","",COUNTIFS($C$18:$C$2015,Y$13,$D$18:$D$2015,"&gt;="&amp;Y53,$D$18:$D$2015,"&lt;"&amp;Y54))</f>
        <v/>
      </c>
      <c r="AA53" s="14" t="n"/>
      <c r="AB53" s="16" t="n">
        <v>48</v>
      </c>
      <c r="AC53" s="124">
        <f>IF(AB53="","",COUNTIFS($C$18:$C$2015,AB$13,$D$18:$D$2015,"&gt;="&amp;AB53,$D$18:$D$2015,"&lt;"&amp;AB54))</f>
        <v/>
      </c>
      <c r="AD53" s="14" t="n"/>
    </row>
    <row r="54">
      <c r="A54" s="56" t="n"/>
      <c r="B54" s="57" t="n"/>
      <c r="C54" s="57" t="n"/>
      <c r="D54" s="127" t="n"/>
      <c r="E54" s="16" t="n"/>
      <c r="F54" s="13" t="n"/>
      <c r="G54" s="16" t="n">
        <v>49</v>
      </c>
      <c r="H54" s="124">
        <f>IF(G54="","",COUNTIFS($C$18:$C$2015,G$13,$D$18:$D$2015,"&gt;="&amp;G54,$D$18:$D$2015,"&lt;"&amp;G55))</f>
        <v/>
      </c>
      <c r="I54" s="14" t="n"/>
      <c r="J54" s="16" t="n"/>
      <c r="K54" s="124">
        <f>IF(J54="","",COUNTIFS($C$18:$C$2015,J$13,$D$18:$D$2015,"&gt;="&amp;J54,$D$18:$D$2015,"&lt;"&amp;J55))</f>
        <v/>
      </c>
      <c r="L54" s="14" t="n"/>
      <c r="M54" s="16" t="n">
        <v>88</v>
      </c>
      <c r="N54" s="124">
        <f>IF(M54="","",COUNTIFS($C$18:$C$2015,M$13,$D$18:$D$2015,"&gt;="&amp;M54,$D$18:$D$2015,"&lt;"&amp;M55))</f>
        <v/>
      </c>
      <c r="O54" s="14" t="n"/>
      <c r="P54" s="16" t="n">
        <v>49</v>
      </c>
      <c r="Q54" s="124">
        <f>IF(P54="","",COUNTIFS($C$18:$C$2015,P$13,$D$18:$D$2015,"&gt;="&amp;P54,$D$18:$D$2015,"&lt;"&amp;P55))</f>
        <v/>
      </c>
      <c r="R54" s="14" t="n"/>
      <c r="S54" s="16" t="n">
        <v>88</v>
      </c>
      <c r="T54" s="124">
        <f>IF(S54="","",COUNTIFS($C$18:$C$2015,S$13,$D$18:$D$2015,"&gt;="&amp;S54,$D$18:$D$2015,"&lt;"&amp;S55))</f>
        <v/>
      </c>
      <c r="U54" s="14" t="n"/>
      <c r="V54" s="16" t="n"/>
      <c r="W54" s="124">
        <f>IF(V54="","",COUNTIFS($C$18:$C$2015,V$13,$D$18:$D$2015,"&gt;="&amp;V54,$D$18:$D$2015,"&lt;"&amp;V55))</f>
        <v/>
      </c>
      <c r="X54" s="14" t="n"/>
      <c r="Y54" s="16" t="n"/>
      <c r="Z54" s="124">
        <f>IF(Y54="","",COUNTIFS($C$18:$C$2015,Y$13,$D$18:$D$2015,"&gt;="&amp;Y54,$D$18:$D$2015,"&lt;"&amp;Y55))</f>
        <v/>
      </c>
      <c r="AA54" s="14" t="n"/>
      <c r="AB54" s="16" t="n">
        <v>49</v>
      </c>
      <c r="AC54" s="124">
        <f>IF(AB54="","",COUNTIFS($C$18:$C$2015,AB$13,$D$18:$D$2015,"&gt;="&amp;AB54,$D$18:$D$2015,"&lt;"&amp;AB55))</f>
        <v/>
      </c>
      <c r="AD54" s="14" t="n"/>
    </row>
    <row r="55">
      <c r="A55" s="58" t="n"/>
      <c r="B55" s="59" t="n"/>
      <c r="C55" s="59" t="n"/>
      <c r="D55" s="126" t="n"/>
      <c r="E55" s="16" t="n"/>
      <c r="F55" s="13" t="n"/>
      <c r="G55" s="16" t="n">
        <v>50</v>
      </c>
      <c r="H55" s="124">
        <f>IF(G55="","",COUNTIFS($C$18:$C$2015,G$13,$D$18:$D$2015,"&gt;="&amp;G55,$D$18:$D$2015,"&lt;"&amp;G56))</f>
        <v/>
      </c>
      <c r="I55" s="14" t="n"/>
      <c r="J55" s="16" t="n"/>
      <c r="K55" s="124">
        <f>IF(J55="","",COUNTIFS($C$18:$C$2015,J$13,$D$18:$D$2015,"&gt;="&amp;J55,$D$18:$D$2015,"&lt;"&amp;J56))</f>
        <v/>
      </c>
      <c r="L55" s="14" t="n"/>
      <c r="M55" s="16" t="n">
        <v>90</v>
      </c>
      <c r="N55" s="124">
        <f>IF(M55="","",COUNTIFS($C$18:$C$2015,M$13,$D$18:$D$2015,"&gt;="&amp;M55,$D$18:$D$2015,"&lt;"&amp;M56))</f>
        <v/>
      </c>
      <c r="O55" s="14" t="n"/>
      <c r="P55" s="16" t="n">
        <v>50</v>
      </c>
      <c r="Q55" s="124">
        <f>IF(P55="","",COUNTIFS($C$18:$C$2015,P$13,$D$18:$D$2015,"&gt;="&amp;P55,$D$18:$D$2015,"&lt;"&amp;P56))</f>
        <v/>
      </c>
      <c r="R55" s="14" t="n"/>
      <c r="S55" s="16" t="n">
        <v>90</v>
      </c>
      <c r="T55" s="124">
        <f>IF(S55="","",COUNTIFS($C$18:$C$2015,S$13,$D$18:$D$2015,"&gt;="&amp;S55,$D$18:$D$2015,"&lt;"&amp;S56))</f>
        <v/>
      </c>
      <c r="U55" s="14" t="n"/>
      <c r="V55" s="16" t="n"/>
      <c r="W55" s="124">
        <f>IF(V55="","",COUNTIFS($C$18:$C$2015,V$13,$D$18:$D$2015,"&gt;="&amp;V55,$D$18:$D$2015,"&lt;"&amp;V56))</f>
        <v/>
      </c>
      <c r="X55" s="14" t="n"/>
      <c r="Y55" s="16" t="n"/>
      <c r="Z55" s="124">
        <f>IF(Y55="","",COUNTIFS($C$18:$C$2015,Y$13,$D$18:$D$2015,"&gt;="&amp;Y55,$D$18:$D$2015,"&lt;"&amp;Y56))</f>
        <v/>
      </c>
      <c r="AA55" s="14" t="n"/>
      <c r="AB55" s="16" t="n">
        <v>50</v>
      </c>
      <c r="AC55" s="124">
        <f>IF(AB55="","",COUNTIFS($C$18:$C$2015,AB$13,$D$18:$D$2015,"&gt;="&amp;AB55,$D$18:$D$2015,"&lt;"&amp;AB56))</f>
        <v/>
      </c>
      <c r="AD55" s="14" t="n"/>
    </row>
    <row r="56">
      <c r="A56" s="56" t="n"/>
      <c r="B56" s="57" t="n"/>
      <c r="C56" s="57" t="n"/>
      <c r="D56" s="127" t="n"/>
      <c r="E56" s="16" t="n"/>
      <c r="F56" s="13" t="n"/>
      <c r="G56" s="16" t="n">
        <v>51</v>
      </c>
      <c r="H56" s="124">
        <f>IF(G56="","",COUNTIFS($C$18:$C$2015,G$13,$D$18:$D$2015,"&gt;="&amp;G56,$D$18:$D$2015,"&lt;"&amp;G57))</f>
        <v/>
      </c>
      <c r="I56" s="14" t="n"/>
      <c r="J56" s="16" t="n"/>
      <c r="K56" s="124">
        <f>IF(J56="","",COUNTIFS($C$18:$C$2015,J$13,$D$18:$D$2015,"&gt;="&amp;J56,$D$18:$D$2015,"&lt;"&amp;J57))</f>
        <v/>
      </c>
      <c r="L56" s="14" t="n"/>
      <c r="M56" s="16" t="n"/>
      <c r="N56" s="124">
        <f>IF(M56="","",COUNTIFS($C$18:$C$2015,M$13,$D$18:$D$2015,"&gt;="&amp;M56,$D$18:$D$2015,"&lt;"&amp;M57))</f>
        <v/>
      </c>
      <c r="O56" s="14" t="n"/>
      <c r="P56" s="16" t="n">
        <v>51</v>
      </c>
      <c r="Q56" s="124">
        <f>IF(P56="","",COUNTIFS($C$18:$C$2015,P$13,$D$18:$D$2015,"&gt;="&amp;P56,$D$18:$D$2015,"&lt;"&amp;P57))</f>
        <v/>
      </c>
      <c r="R56" s="14" t="n"/>
      <c r="S56" s="16" t="n">
        <v>92</v>
      </c>
      <c r="T56" s="124">
        <f>IF(S56="","",COUNTIFS($C$18:$C$2015,S$13,$D$18:$D$2015,"&gt;="&amp;S56,$D$18:$D$2015,"&lt;"&amp;S57))</f>
        <v/>
      </c>
      <c r="U56" s="14" t="n"/>
      <c r="V56" s="16" t="n"/>
      <c r="W56" s="124">
        <f>IF(V56="","",COUNTIFS($C$18:$C$2015,V$13,$D$18:$D$2015,"&gt;="&amp;V56,$D$18:$D$2015,"&lt;"&amp;V57))</f>
        <v/>
      </c>
      <c r="X56" s="14" t="n"/>
      <c r="Y56" s="16" t="n"/>
      <c r="Z56" s="124">
        <f>IF(Y56="","",COUNTIFS($C$18:$C$2015,Y$13,$D$18:$D$2015,"&gt;="&amp;Y56,$D$18:$D$2015,"&lt;"&amp;Y57))</f>
        <v/>
      </c>
      <c r="AA56" s="14" t="n"/>
      <c r="AB56" s="16" t="n">
        <v>51</v>
      </c>
      <c r="AC56" s="124">
        <f>IF(AB56="","",COUNTIFS($C$18:$C$2015,AB$13,$D$18:$D$2015,"&gt;="&amp;AB56,$D$18:$D$2015,"&lt;"&amp;AB57))</f>
        <v/>
      </c>
      <c r="AD56" s="14" t="n"/>
    </row>
    <row r="57">
      <c r="A57" s="58" t="n"/>
      <c r="B57" s="59" t="n"/>
      <c r="C57" s="59" t="n"/>
      <c r="D57" s="126" t="n"/>
      <c r="E57" s="16" t="n"/>
      <c r="F57" s="13" t="n"/>
      <c r="G57" s="16" t="n">
        <v>52</v>
      </c>
      <c r="H57" s="124">
        <f>IF(G57="","",COUNTIFS($C$18:$C$2015,G$13,$D$18:$D$2015,"&gt;="&amp;G57,$D$18:$D$2015,"&lt;"&amp;G58))</f>
        <v/>
      </c>
      <c r="I57" s="14" t="n"/>
      <c r="J57" s="16" t="n"/>
      <c r="K57" s="124">
        <f>IF(J57="","",COUNTIFS($C$18:$C$2015,J$13,$D$18:$D$2015,"&gt;="&amp;J57,$D$18:$D$2015,"&lt;"&amp;J58))</f>
        <v/>
      </c>
      <c r="L57" s="14" t="n"/>
      <c r="M57" s="16" t="n"/>
      <c r="N57" s="124">
        <f>IF(M57="","",COUNTIFS($C$18:$C$2015,M$13,$D$18:$D$2015,"&gt;="&amp;M57,$D$18:$D$2015,"&lt;"&amp;M58))</f>
        <v/>
      </c>
      <c r="O57" s="14" t="n"/>
      <c r="P57" s="16" t="n">
        <v>52</v>
      </c>
      <c r="Q57" s="124">
        <f>IF(P57="","",COUNTIFS($C$18:$C$2015,P$13,$D$18:$D$2015,"&gt;="&amp;P57,$D$18:$D$2015,"&lt;"&amp;P58))</f>
        <v/>
      </c>
      <c r="R57" s="14" t="n"/>
      <c r="S57" s="16" t="n">
        <v>94</v>
      </c>
      <c r="T57" s="124">
        <f>IF(S57="","",COUNTIFS($C$18:$C$2015,S$13,$D$18:$D$2015,"&gt;="&amp;S57,$D$18:$D$2015,"&lt;"&amp;S58))</f>
        <v/>
      </c>
      <c r="U57" s="14" t="n"/>
      <c r="V57" s="16" t="n"/>
      <c r="W57" s="124">
        <f>IF(V57="","",COUNTIFS($C$18:$C$2015,V$13,$D$18:$D$2015,"&gt;="&amp;V57,$D$18:$D$2015,"&lt;"&amp;V58))</f>
        <v/>
      </c>
      <c r="X57" s="14" t="n"/>
      <c r="Y57" s="16" t="n"/>
      <c r="Z57" s="124">
        <f>IF(Y57="","",COUNTIFS($C$18:$C$2015,Y$13,$D$18:$D$2015,"&gt;="&amp;Y57,$D$18:$D$2015,"&lt;"&amp;Y58))</f>
        <v/>
      </c>
      <c r="AA57" s="14" t="n"/>
      <c r="AB57" s="16" t="n">
        <v>52</v>
      </c>
      <c r="AC57" s="124">
        <f>IF(AB57="","",COUNTIFS($C$18:$C$2015,AB$13,$D$18:$D$2015,"&gt;="&amp;AB57,$D$18:$D$2015,"&lt;"&amp;AB58))</f>
        <v/>
      </c>
      <c r="AD57" s="14" t="n"/>
    </row>
    <row r="58">
      <c r="A58" s="56" t="n"/>
      <c r="B58" s="57" t="n"/>
      <c r="C58" s="57" t="n"/>
      <c r="D58" s="127" t="n"/>
      <c r="E58" s="16" t="n"/>
      <c r="F58" s="13" t="n"/>
      <c r="G58" s="16" t="n">
        <v>53</v>
      </c>
      <c r="H58" s="124">
        <f>IF(G58="","",COUNTIFS($C$18:$C$2015,G$13,$D$18:$D$2015,"&gt;="&amp;G58,$D$18:$D$2015,"&lt;"&amp;G59))</f>
        <v/>
      </c>
      <c r="I58" s="14" t="n"/>
      <c r="J58" s="16" t="n"/>
      <c r="K58" s="124">
        <f>IF(J58="","",COUNTIFS($C$18:$C$2015,J$13,$D$18:$D$2015,"&gt;="&amp;J58,$D$18:$D$2015,"&lt;"&amp;J59))</f>
        <v/>
      </c>
      <c r="L58" s="14" t="n"/>
      <c r="M58" s="16" t="n"/>
      <c r="N58" s="124">
        <f>IF(M58="","",COUNTIFS($C$18:$C$2015,M$13,$D$18:$D$2015,"&gt;="&amp;M58,$D$18:$D$2015,"&lt;"&amp;M59))</f>
        <v/>
      </c>
      <c r="O58" s="14" t="n"/>
      <c r="P58" s="16" t="n">
        <v>53</v>
      </c>
      <c r="Q58" s="124">
        <f>IF(P58="","",COUNTIFS($C$18:$C$2015,P$13,$D$18:$D$2015,"&gt;="&amp;P58,$D$18:$D$2015,"&lt;"&amp;P59))</f>
        <v/>
      </c>
      <c r="R58" s="14" t="n"/>
      <c r="S58" s="16" t="n">
        <v>96</v>
      </c>
      <c r="T58" s="124">
        <f>IF(S58="","",COUNTIFS($C$18:$C$2015,S$13,$D$18:$D$2015,"&gt;="&amp;S58,$D$18:$D$2015,"&lt;"&amp;S59))</f>
        <v/>
      </c>
      <c r="U58" s="14" t="n"/>
      <c r="V58" s="16" t="n"/>
      <c r="W58" s="124">
        <f>IF(V58="","",COUNTIFS($C$18:$C$2015,V$13,$D$18:$D$2015,"&gt;="&amp;V58,$D$18:$D$2015,"&lt;"&amp;V59))</f>
        <v/>
      </c>
      <c r="X58" s="14" t="n"/>
      <c r="Y58" s="16" t="n"/>
      <c r="Z58" s="124">
        <f>IF(Y58="","",COUNTIFS($C$18:$C$2015,Y$13,$D$18:$D$2015,"&gt;="&amp;Y58,$D$18:$D$2015,"&lt;"&amp;Y59))</f>
        <v/>
      </c>
      <c r="AA58" s="14" t="n"/>
      <c r="AB58" s="16" t="n">
        <v>53</v>
      </c>
      <c r="AC58" s="124">
        <f>IF(AB58="","",COUNTIFS($C$18:$C$2015,AB$13,$D$18:$D$2015,"&gt;="&amp;AB58,$D$18:$D$2015,"&lt;"&amp;AB59))</f>
        <v/>
      </c>
      <c r="AD58" s="14" t="n"/>
    </row>
    <row r="59">
      <c r="A59" s="58" t="n"/>
      <c r="B59" s="59" t="n"/>
      <c r="C59" s="59" t="n"/>
      <c r="D59" s="126" t="n"/>
      <c r="E59" s="16" t="n"/>
      <c r="F59" s="13" t="n"/>
      <c r="G59" s="16" t="n">
        <v>54</v>
      </c>
      <c r="H59" s="124">
        <f>IF(G59="","",COUNTIFS($C$18:$C$2015,G$13,$D$18:$D$2015,"&gt;="&amp;G59,$D$18:$D$2015,"&lt;"&amp;G60))</f>
        <v/>
      </c>
      <c r="I59" s="14" t="n"/>
      <c r="J59" s="16" t="n"/>
      <c r="K59" s="124">
        <f>IF(J59="","",COUNTIFS($C$18:$C$2015,J$13,$D$18:$D$2015,"&gt;="&amp;J59,$D$18:$D$2015,"&lt;"&amp;J60))</f>
        <v/>
      </c>
      <c r="L59" s="14" t="n"/>
      <c r="M59" s="16" t="n"/>
      <c r="N59" s="124">
        <f>IF(M59="","",COUNTIFS($C$18:$C$2015,M$13,$D$18:$D$2015,"&gt;="&amp;M59,$D$18:$D$2015,"&lt;"&amp;M60))</f>
        <v/>
      </c>
      <c r="O59" s="14" t="n"/>
      <c r="P59" s="16" t="n">
        <v>54</v>
      </c>
      <c r="Q59" s="124">
        <f>IF(P59="","",COUNTIFS($C$18:$C$2015,P$13,$D$18:$D$2015,"&gt;="&amp;P59,$D$18:$D$2015,"&lt;"&amp;P60))</f>
        <v/>
      </c>
      <c r="R59" s="14" t="n"/>
      <c r="S59" s="16" t="n">
        <v>98</v>
      </c>
      <c r="T59" s="124">
        <f>IF(S59="","",COUNTIFS($C$18:$C$2015,S$13,$D$18:$D$2015,"&gt;="&amp;S59,$D$18:$D$2015,"&lt;"&amp;S60))</f>
        <v/>
      </c>
      <c r="U59" s="14" t="n"/>
      <c r="V59" s="16" t="n"/>
      <c r="W59" s="124">
        <f>IF(V59="","",COUNTIFS($C$18:$C$2015,V$13,$D$18:$D$2015,"&gt;="&amp;V59,$D$18:$D$2015,"&lt;"&amp;V60))</f>
        <v/>
      </c>
      <c r="X59" s="14" t="n"/>
      <c r="Y59" s="16" t="n"/>
      <c r="Z59" s="124">
        <f>IF(Y59="","",COUNTIFS($C$18:$C$2015,Y$13,$D$18:$D$2015,"&gt;="&amp;Y59,$D$18:$D$2015,"&lt;"&amp;Y60))</f>
        <v/>
      </c>
      <c r="AA59" s="14" t="n"/>
      <c r="AB59" s="16" t="n">
        <v>54</v>
      </c>
      <c r="AC59" s="124">
        <f>IF(AB59="","",COUNTIFS($C$18:$C$2015,AB$13,$D$18:$D$2015,"&gt;="&amp;AB59,$D$18:$D$2015,"&lt;"&amp;AB60))</f>
        <v/>
      </c>
      <c r="AD59" s="14" t="n"/>
    </row>
    <row r="60">
      <c r="A60" s="56" t="n"/>
      <c r="B60" s="57" t="n"/>
      <c r="C60" s="57" t="n"/>
      <c r="D60" s="127" t="n"/>
      <c r="E60" s="16" t="n"/>
      <c r="F60" s="13" t="n"/>
      <c r="G60" s="16" t="n">
        <v>55</v>
      </c>
      <c r="H60" s="124">
        <f>IF(G60="","",COUNTIFS($C$18:$C$2015,G$13,$D$18:$D$2015,"&gt;="&amp;G60,$D$18:$D$2015,"&lt;"&amp;G61))</f>
        <v/>
      </c>
      <c r="I60" s="14" t="n"/>
      <c r="J60" s="16" t="n"/>
      <c r="K60" s="124">
        <f>IF(J60="","",COUNTIFS($C$18:$C$2015,J$13,$D$18:$D$2015,"&gt;="&amp;J60,$D$18:$D$2015,"&lt;"&amp;J61))</f>
        <v/>
      </c>
      <c r="L60" s="14" t="n"/>
      <c r="M60" s="16" t="n"/>
      <c r="N60" s="124">
        <f>IF(M60="","",COUNTIFS($C$18:$C$2015,M$13,$D$18:$D$2015,"&gt;="&amp;M60,$D$18:$D$2015,"&lt;"&amp;M61))</f>
        <v/>
      </c>
      <c r="O60" s="14" t="n"/>
      <c r="P60" s="16" t="n">
        <v>55</v>
      </c>
      <c r="Q60" s="124">
        <f>IF(P60="","",COUNTIFS($C$18:$C$2015,P$13,$D$18:$D$2015,"&gt;="&amp;P60,$D$18:$D$2015,"&lt;"&amp;P61))</f>
        <v/>
      </c>
      <c r="R60" s="14" t="n"/>
      <c r="S60" s="16" t="n">
        <v>100</v>
      </c>
      <c r="T60" s="124">
        <f>IF(S60="","",COUNTIFS($C$18:$C$2015,S$13,$D$18:$D$2015,"&gt;="&amp;S60,$D$18:$D$2015,"&lt;"&amp;S61))</f>
        <v/>
      </c>
      <c r="U60" s="14" t="n"/>
      <c r="V60" s="16" t="n"/>
      <c r="W60" s="124">
        <f>IF(V60="","",COUNTIFS($C$18:$C$2015,V$13,$D$18:$D$2015,"&gt;="&amp;V60,$D$18:$D$2015,"&lt;"&amp;V61))</f>
        <v/>
      </c>
      <c r="X60" s="14" t="n"/>
      <c r="Y60" s="16" t="n"/>
      <c r="Z60" s="124">
        <f>IF(Y60="","",COUNTIFS($C$18:$C$2015,Y$13,$D$18:$D$2015,"&gt;="&amp;Y60,$D$18:$D$2015,"&lt;"&amp;Y61))</f>
        <v/>
      </c>
      <c r="AA60" s="14" t="n"/>
      <c r="AB60" s="16" t="n">
        <v>55</v>
      </c>
      <c r="AC60" s="124">
        <f>IF(AB60="","",COUNTIFS($C$18:$C$2015,AB$13,$D$18:$D$2015,"&gt;="&amp;AB60,$D$18:$D$2015,"&lt;"&amp;AB61))</f>
        <v/>
      </c>
      <c r="AD60" s="14" t="n"/>
    </row>
    <row r="61">
      <c r="A61" s="58" t="n"/>
      <c r="B61" s="59" t="n"/>
      <c r="C61" s="59" t="n"/>
      <c r="D61" s="126" t="n"/>
      <c r="E61" s="16" t="n"/>
      <c r="F61" s="13" t="n"/>
      <c r="G61" s="16" t="n">
        <v>56</v>
      </c>
      <c r="H61" s="124">
        <f>IF(G61="","",COUNTIFS($C$18:$C$2015,G$13,$D$18:$D$2015,"&gt;="&amp;G61,$D$18:$D$2015,"&lt;"&amp;G62))</f>
        <v/>
      </c>
      <c r="I61" s="14" t="n"/>
      <c r="J61" s="16" t="n"/>
      <c r="K61" s="124">
        <f>IF(J61="","",COUNTIFS($C$18:$C$2015,J$13,$D$18:$D$2015,"&gt;="&amp;J61,$D$18:$D$2015,"&lt;"&amp;J62))</f>
        <v/>
      </c>
      <c r="L61" s="14" t="n"/>
      <c r="M61" s="16" t="n"/>
      <c r="N61" s="124">
        <f>IF(M61="","",COUNTIFS($C$18:$C$2015,M$13,$D$18:$D$2015,"&gt;="&amp;M61,$D$18:$D$2015,"&lt;"&amp;M62))</f>
        <v/>
      </c>
      <c r="O61" s="14" t="n"/>
      <c r="P61" s="16" t="n">
        <v>56</v>
      </c>
      <c r="Q61" s="124">
        <f>IF(P61="","",COUNTIFS($C$18:$C$2015,P$13,$D$18:$D$2015,"&gt;="&amp;P61,$D$18:$D$2015,"&lt;"&amp;P62))</f>
        <v/>
      </c>
      <c r="R61" s="14" t="n"/>
      <c r="S61" s="16" t="n"/>
      <c r="T61" s="124">
        <f>IF(S61="","",COUNTIFS($C$18:$C$2015,S$13,$D$18:$D$2015,"&gt;="&amp;S61,$D$18:$D$2015,"&lt;"&amp;S62))</f>
        <v/>
      </c>
      <c r="U61" s="14" t="n"/>
      <c r="V61" s="16" t="n"/>
      <c r="W61" s="124">
        <f>IF(V61="","",COUNTIFS($C$18:$C$2015,V$13,$D$18:$D$2015,"&gt;="&amp;V61,$D$18:$D$2015,"&lt;"&amp;V62))</f>
        <v/>
      </c>
      <c r="X61" s="14" t="n"/>
      <c r="Y61" s="16" t="n"/>
      <c r="Z61" s="124">
        <f>IF(Y61="","",COUNTIFS($C$18:$C$2015,Y$13,$D$18:$D$2015,"&gt;="&amp;Y61,$D$18:$D$2015,"&lt;"&amp;Y62))</f>
        <v/>
      </c>
      <c r="AA61" s="14" t="n"/>
      <c r="AB61" s="16" t="n">
        <v>56</v>
      </c>
      <c r="AC61" s="124">
        <f>IF(AB61="","",COUNTIFS($C$18:$C$2015,AB$13,$D$18:$D$2015,"&gt;="&amp;AB61,$D$18:$D$2015,"&lt;"&amp;AB62))</f>
        <v/>
      </c>
      <c r="AD61" s="14" t="n"/>
    </row>
    <row r="62">
      <c r="A62" s="56" t="n"/>
      <c r="B62" s="57" t="n"/>
      <c r="C62" s="57" t="n"/>
      <c r="D62" s="127" t="n"/>
      <c r="E62" s="16" t="n"/>
      <c r="F62" s="13" t="n"/>
      <c r="G62" s="16" t="n">
        <v>57</v>
      </c>
      <c r="H62" s="124">
        <f>IF(G62="","",COUNTIFS($C$18:$C$2015,G$13,$D$18:$D$2015,"&gt;="&amp;G62,$D$18:$D$2015,"&lt;"&amp;G63))</f>
        <v/>
      </c>
      <c r="I62" s="14" t="n"/>
      <c r="J62" s="16" t="n"/>
      <c r="K62" s="124">
        <f>IF(J62="","",COUNTIFS($C$18:$C$2015,J$13,$D$18:$D$2015,"&gt;="&amp;J62,$D$18:$D$2015,"&lt;"&amp;J63))</f>
        <v/>
      </c>
      <c r="L62" s="14" t="n"/>
      <c r="M62" s="16" t="n"/>
      <c r="N62" s="124">
        <f>IF(M62="","",COUNTIFS($C$18:$C$2015,M$13,$D$18:$D$2015,"&gt;="&amp;M62,$D$18:$D$2015,"&lt;"&amp;M63))</f>
        <v/>
      </c>
      <c r="O62" s="14" t="n"/>
      <c r="P62" s="16" t="n">
        <v>57</v>
      </c>
      <c r="Q62" s="124">
        <f>IF(P62="","",COUNTIFS($C$18:$C$2015,P$13,$D$18:$D$2015,"&gt;="&amp;P62,$D$18:$D$2015,"&lt;"&amp;P63))</f>
        <v/>
      </c>
      <c r="R62" s="14" t="n"/>
      <c r="S62" s="16" t="n"/>
      <c r="T62" s="124">
        <f>IF(S62="","",COUNTIFS($C$18:$C$2015,S$13,$D$18:$D$2015,"&gt;="&amp;S62,$D$18:$D$2015,"&lt;"&amp;S63))</f>
        <v/>
      </c>
      <c r="U62" s="14" t="n"/>
      <c r="V62" s="16" t="n"/>
      <c r="W62" s="124">
        <f>IF(V62="","",COUNTIFS($C$18:$C$2015,V$13,$D$18:$D$2015,"&gt;="&amp;V62,$D$18:$D$2015,"&lt;"&amp;V63))</f>
        <v/>
      </c>
      <c r="X62" s="14" t="n"/>
      <c r="Y62" s="16" t="n"/>
      <c r="Z62" s="124">
        <f>IF(Y62="","",COUNTIFS($C$18:$C$2015,Y$13,$D$18:$D$2015,"&gt;="&amp;Y62,$D$18:$D$2015,"&lt;"&amp;Y63))</f>
        <v/>
      </c>
      <c r="AA62" s="14" t="n"/>
      <c r="AB62" s="16" t="n">
        <v>57</v>
      </c>
      <c r="AC62" s="124">
        <f>IF(AB62="","",COUNTIFS($C$18:$C$2015,AB$13,$D$18:$D$2015,"&gt;="&amp;AB62,$D$18:$D$2015,"&lt;"&amp;AB63))</f>
        <v/>
      </c>
      <c r="AD62" s="14" t="n"/>
    </row>
    <row r="63">
      <c r="A63" s="58" t="n"/>
      <c r="B63" s="59" t="n"/>
      <c r="C63" s="59" t="n"/>
      <c r="D63" s="126" t="n"/>
      <c r="E63" s="16" t="n"/>
      <c r="F63" s="13" t="n"/>
      <c r="G63" s="16" t="n">
        <v>58</v>
      </c>
      <c r="H63" s="124">
        <f>IF(G63="","",COUNTIFS($C$18:$C$2015,G$13,$D$18:$D$2015,"&gt;="&amp;G63,$D$18:$D$2015,"&lt;"&amp;G64))</f>
        <v/>
      </c>
      <c r="I63" s="14" t="n"/>
      <c r="J63" s="16" t="n"/>
      <c r="K63" s="124">
        <f>IF(J63="","",COUNTIFS($C$18:$C$2015,J$13,$D$18:$D$2015,"&gt;="&amp;J63,$D$18:$D$2015,"&lt;"&amp;J64))</f>
        <v/>
      </c>
      <c r="L63" s="14" t="n"/>
      <c r="M63" s="16" t="n"/>
      <c r="N63" s="124">
        <f>IF(M63="","",COUNTIFS($C$18:$C$2015,M$13,$D$18:$D$2015,"&gt;="&amp;M63,$D$18:$D$2015,"&lt;"&amp;M64))</f>
        <v/>
      </c>
      <c r="O63" s="14" t="n"/>
      <c r="P63" s="16" t="n">
        <v>58</v>
      </c>
      <c r="Q63" s="124">
        <f>IF(P63="","",COUNTIFS($C$18:$C$2015,P$13,$D$18:$D$2015,"&gt;="&amp;P63,$D$18:$D$2015,"&lt;"&amp;P64))</f>
        <v/>
      </c>
      <c r="R63" s="14" t="n"/>
      <c r="S63" s="16" t="n"/>
      <c r="T63" s="124">
        <f>IF(S63="","",COUNTIFS($C$18:$C$2015,S$13,$D$18:$D$2015,"&gt;="&amp;S63,$D$18:$D$2015,"&lt;"&amp;S64))</f>
        <v/>
      </c>
      <c r="U63" s="14" t="n"/>
      <c r="V63" s="16" t="n"/>
      <c r="W63" s="124">
        <f>IF(V63="","",COUNTIFS($C$18:$C$2015,V$13,$D$18:$D$2015,"&gt;="&amp;V63,$D$18:$D$2015,"&lt;"&amp;V64))</f>
        <v/>
      </c>
      <c r="X63" s="14" t="n"/>
      <c r="Y63" s="16" t="n"/>
      <c r="Z63" s="124">
        <f>IF(Y63="","",COUNTIFS($C$18:$C$2015,Y$13,$D$18:$D$2015,"&gt;="&amp;Y63,$D$18:$D$2015,"&lt;"&amp;Y64))</f>
        <v/>
      </c>
      <c r="AA63" s="14" t="n"/>
      <c r="AB63" s="16" t="n">
        <v>58</v>
      </c>
      <c r="AC63" s="124">
        <f>IF(AB63="","",COUNTIFS($C$18:$C$2015,AB$13,$D$18:$D$2015,"&gt;="&amp;AB63,$D$18:$D$2015,"&lt;"&amp;AB64))</f>
        <v/>
      </c>
      <c r="AD63" s="14" t="n"/>
    </row>
    <row r="64">
      <c r="A64" s="56" t="n"/>
      <c r="B64" s="57" t="n"/>
      <c r="C64" s="57" t="n"/>
      <c r="D64" s="127" t="n"/>
      <c r="E64" s="16" t="n"/>
      <c r="F64" s="13" t="n"/>
      <c r="G64" s="16" t="n">
        <v>59</v>
      </c>
      <c r="H64" s="124">
        <f>IF(G64="","",COUNTIFS($C$18:$C$2015,G$13,$D$18:$D$2015,"&gt;="&amp;G64,$D$18:$D$2015,"&lt;"&amp;G65))</f>
        <v/>
      </c>
      <c r="I64" s="14" t="n"/>
      <c r="J64" s="16" t="n"/>
      <c r="K64" s="124">
        <f>IF(J64="","",COUNTIFS($C$18:$C$2015,J$13,$D$18:$D$2015,"&gt;="&amp;J64,$D$18:$D$2015,"&lt;"&amp;J65))</f>
        <v/>
      </c>
      <c r="L64" s="14" t="n"/>
      <c r="M64" s="16" t="n"/>
      <c r="N64" s="124">
        <f>IF(M64="","",COUNTIFS($C$18:$C$2015,M$13,$D$18:$D$2015,"&gt;="&amp;M64,$D$18:$D$2015,"&lt;"&amp;M65))</f>
        <v/>
      </c>
      <c r="O64" s="14" t="n"/>
      <c r="P64" s="16" t="n">
        <v>59</v>
      </c>
      <c r="Q64" s="124">
        <f>IF(P64="","",COUNTIFS($C$18:$C$2015,P$13,$D$18:$D$2015,"&gt;="&amp;P64,$D$18:$D$2015,"&lt;"&amp;P65))</f>
        <v/>
      </c>
      <c r="R64" s="14" t="n"/>
      <c r="S64" s="16" t="n"/>
      <c r="T64" s="124">
        <f>IF(S64="","",COUNTIFS($C$18:$C$2015,S$13,$D$18:$D$2015,"&gt;="&amp;S64,$D$18:$D$2015,"&lt;"&amp;S65))</f>
        <v/>
      </c>
      <c r="U64" s="14" t="n"/>
      <c r="V64" s="16" t="n"/>
      <c r="W64" s="124">
        <f>IF(V64="","",COUNTIFS($C$18:$C$2015,V$13,$D$18:$D$2015,"&gt;="&amp;V64,$D$18:$D$2015,"&lt;"&amp;V65))</f>
        <v/>
      </c>
      <c r="X64" s="14" t="n"/>
      <c r="Y64" s="16" t="n"/>
      <c r="Z64" s="124">
        <f>IF(Y64="","",COUNTIFS($C$18:$C$2015,Y$13,$D$18:$D$2015,"&gt;="&amp;Y64,$D$18:$D$2015,"&lt;"&amp;Y65))</f>
        <v/>
      </c>
      <c r="AA64" s="14" t="n"/>
      <c r="AB64" s="16" t="n">
        <v>59</v>
      </c>
      <c r="AC64" s="124">
        <f>IF(AB64="","",COUNTIFS($C$18:$C$2015,AB$13,$D$18:$D$2015,"&gt;="&amp;AB64,$D$18:$D$2015,"&lt;"&amp;AB65))</f>
        <v/>
      </c>
      <c r="AD64" s="14" t="n"/>
    </row>
    <row r="65">
      <c r="A65" s="58" t="n"/>
      <c r="B65" s="59" t="n"/>
      <c r="C65" s="59" t="n"/>
      <c r="D65" s="126" t="n"/>
      <c r="E65" s="16" t="n"/>
      <c r="F65" s="13" t="n"/>
      <c r="G65" s="16" t="n">
        <v>60</v>
      </c>
      <c r="H65" s="124">
        <f>IF(G65="","",COUNTIFS($C$18:$C$2015,G$13,$D$18:$D$2015,"&gt;="&amp;G65,$D$18:$D$2015,"&lt;"&amp;G66))</f>
        <v/>
      </c>
      <c r="I65" s="14" t="n"/>
      <c r="J65" s="16" t="n"/>
      <c r="K65" s="124">
        <f>IF(J65="","",COUNTIFS($C$18:$C$2015,J$13,$D$18:$D$2015,"&gt;="&amp;J65,$D$18:$D$2015,"&lt;"&amp;J66))</f>
        <v/>
      </c>
      <c r="L65" s="14" t="n"/>
      <c r="M65" s="16" t="n"/>
      <c r="N65" s="124">
        <f>IF(M65="","",COUNTIFS($C$18:$C$2015,M$13,$D$18:$D$2015,"&gt;="&amp;M65,$D$18:$D$2015,"&lt;"&amp;M66))</f>
        <v/>
      </c>
      <c r="O65" s="14" t="n"/>
      <c r="P65" s="16" t="n">
        <v>60</v>
      </c>
      <c r="Q65" s="124">
        <f>IF(P65="","",COUNTIFS($C$18:$C$2015,P$13,$D$18:$D$2015,"&gt;="&amp;P65,$D$18:$D$2015,"&lt;"&amp;P66))</f>
        <v/>
      </c>
      <c r="R65" s="14" t="n"/>
      <c r="S65" s="16" t="n"/>
      <c r="T65" s="124">
        <f>IF(S65="","",COUNTIFS($C$18:$C$2015,S$13,$D$18:$D$2015,"&gt;="&amp;S65,$D$18:$D$2015,"&lt;"&amp;S66))</f>
        <v/>
      </c>
      <c r="U65" s="14" t="n"/>
      <c r="V65" s="16" t="n"/>
      <c r="W65" s="124">
        <f>IF(V65="","",COUNTIFS($C$18:$C$2015,V$13,$D$18:$D$2015,"&gt;="&amp;V65,$D$18:$D$2015,"&lt;"&amp;V66))</f>
        <v/>
      </c>
      <c r="X65" s="14" t="n"/>
      <c r="Y65" s="16" t="n"/>
      <c r="Z65" s="124">
        <f>IF(Y65="","",COUNTIFS($C$18:$C$2015,Y$13,$D$18:$D$2015,"&gt;="&amp;Y65,$D$18:$D$2015,"&lt;"&amp;Y66))</f>
        <v/>
      </c>
      <c r="AA65" s="14" t="n"/>
      <c r="AB65" s="16" t="n">
        <v>60</v>
      </c>
      <c r="AC65" s="124">
        <f>IF(AB65="","",COUNTIFS($C$18:$C$2015,AB$13,$D$18:$D$2015,"&gt;="&amp;AB65,$D$18:$D$2015,"&lt;"&amp;AB66))</f>
        <v/>
      </c>
      <c r="AD65" s="14" t="n"/>
    </row>
    <row r="66">
      <c r="A66" s="56" t="n"/>
      <c r="B66" s="57" t="n"/>
      <c r="C66" s="57" t="n"/>
      <c r="D66" s="127" t="n"/>
      <c r="E66" s="16" t="n"/>
      <c r="F66" s="13" t="n"/>
      <c r="G66" s="16" t="n">
        <v>61</v>
      </c>
      <c r="H66" s="124">
        <f>IF(G66="","",COUNTIFS($C$18:$C$2015,G$13,$D$18:$D$2015,"&gt;="&amp;G66,$D$18:$D$2015,"&lt;"&amp;G67))</f>
        <v/>
      </c>
      <c r="I66" s="14" t="n"/>
      <c r="J66" s="16" t="n"/>
      <c r="K66" s="124">
        <f>IF(J66="","",COUNTIFS($C$18:$C$2015,J$13,$D$18:$D$2015,"&gt;="&amp;J66,$D$18:$D$2015,"&lt;"&amp;J67))</f>
        <v/>
      </c>
      <c r="L66" s="14" t="n"/>
      <c r="M66" s="16" t="n"/>
      <c r="N66" s="124">
        <f>IF(M66="","",COUNTIFS($C$18:$C$2015,M$13,$D$18:$D$2015,"&gt;="&amp;M66,$D$18:$D$2015,"&lt;"&amp;M67))</f>
        <v/>
      </c>
      <c r="O66" s="14" t="n"/>
      <c r="P66" s="16" t="n">
        <v>61</v>
      </c>
      <c r="Q66" s="124">
        <f>IF(P66="","",COUNTIFS($C$18:$C$2015,P$13,$D$18:$D$2015,"&gt;="&amp;P66,$D$18:$D$2015,"&lt;"&amp;P67))</f>
        <v/>
      </c>
      <c r="R66" s="14" t="n"/>
      <c r="S66" s="16" t="n"/>
      <c r="T66" s="124">
        <f>IF(S66="","",COUNTIFS($C$18:$C$2015,S$13,$D$18:$D$2015,"&gt;="&amp;S66,$D$18:$D$2015,"&lt;"&amp;S67))</f>
        <v/>
      </c>
      <c r="U66" s="14" t="n"/>
      <c r="V66" s="16" t="n"/>
      <c r="W66" s="124">
        <f>IF(V66="","",COUNTIFS($C$18:$C$2015,V$13,$D$18:$D$2015,"&gt;="&amp;V66,$D$18:$D$2015,"&lt;"&amp;V67))</f>
        <v/>
      </c>
      <c r="X66" s="14" t="n"/>
      <c r="Y66" s="16" t="n"/>
      <c r="Z66" s="124">
        <f>IF(Y66="","",COUNTIFS($C$18:$C$2015,Y$13,$D$18:$D$2015,"&gt;="&amp;Y66,$D$18:$D$2015,"&lt;"&amp;Y67))</f>
        <v/>
      </c>
      <c r="AA66" s="14" t="n"/>
      <c r="AB66" s="16" t="n">
        <v>61</v>
      </c>
      <c r="AC66" s="124">
        <f>IF(AB66="","",COUNTIFS($C$18:$C$2015,AB$13,$D$18:$D$2015,"&gt;="&amp;AB66,$D$18:$D$2015,"&lt;"&amp;AB67))</f>
        <v/>
      </c>
      <c r="AD66" s="14" t="n"/>
    </row>
    <row r="67">
      <c r="A67" s="58" t="n"/>
      <c r="B67" s="59" t="n"/>
      <c r="C67" s="59" t="n"/>
      <c r="D67" s="126" t="n"/>
      <c r="E67" s="16" t="n"/>
      <c r="F67" s="13" t="n"/>
      <c r="G67" s="16" t="n">
        <v>62</v>
      </c>
      <c r="H67" s="124">
        <f>IF(G67="","",COUNTIFS($C$18:$C$2015,G$13,$D$18:$D$2015,"&gt;="&amp;G67,$D$18:$D$2015,"&lt;"&amp;G68))</f>
        <v/>
      </c>
      <c r="I67" s="14" t="n"/>
      <c r="J67" s="16" t="n"/>
      <c r="K67" s="124">
        <f>IF(J67="","",COUNTIFS($C$18:$C$2015,J$13,$D$18:$D$2015,"&gt;="&amp;J67,$D$18:$D$2015,"&lt;"&amp;J68))</f>
        <v/>
      </c>
      <c r="L67" s="14" t="n"/>
      <c r="M67" s="16" t="n"/>
      <c r="N67" s="124">
        <f>IF(M67="","",COUNTIFS($C$18:$C$2015,M$13,$D$18:$D$2015,"&gt;="&amp;M67,$D$18:$D$2015,"&lt;"&amp;M68))</f>
        <v/>
      </c>
      <c r="O67" s="14" t="n"/>
      <c r="P67" s="16" t="n">
        <v>62</v>
      </c>
      <c r="Q67" s="124">
        <f>IF(P67="","",COUNTIFS($C$18:$C$2015,P$13,$D$18:$D$2015,"&gt;="&amp;P67,$D$18:$D$2015,"&lt;"&amp;P68))</f>
        <v/>
      </c>
      <c r="R67" s="14" t="n"/>
      <c r="S67" s="16" t="n"/>
      <c r="T67" s="124">
        <f>IF(S67="","",COUNTIFS($C$18:$C$2015,S$13,$D$18:$D$2015,"&gt;="&amp;S67,$D$18:$D$2015,"&lt;"&amp;S68))</f>
        <v/>
      </c>
      <c r="U67" s="14" t="n"/>
      <c r="V67" s="16" t="n"/>
      <c r="W67" s="124">
        <f>IF(V67="","",COUNTIFS($C$18:$C$2015,V$13,$D$18:$D$2015,"&gt;="&amp;V67,$D$18:$D$2015,"&lt;"&amp;V68))</f>
        <v/>
      </c>
      <c r="X67" s="14" t="n"/>
      <c r="Y67" s="16" t="n"/>
      <c r="Z67" s="124">
        <f>IF(Y67="","",COUNTIFS($C$18:$C$2015,Y$13,$D$18:$D$2015,"&gt;="&amp;Y67,$D$18:$D$2015,"&lt;"&amp;Y68))</f>
        <v/>
      </c>
      <c r="AA67" s="14" t="n"/>
      <c r="AB67" s="16" t="n">
        <v>62</v>
      </c>
      <c r="AC67" s="124">
        <f>IF(AB67="","",COUNTIFS($C$18:$C$2015,AB$13,$D$18:$D$2015,"&gt;="&amp;AB67,$D$18:$D$2015,"&lt;"&amp;AB68))</f>
        <v/>
      </c>
      <c r="AD67" s="14" t="n"/>
    </row>
    <row r="68">
      <c r="A68" s="56" t="n"/>
      <c r="B68" s="57" t="n"/>
      <c r="C68" s="57" t="n"/>
      <c r="D68" s="127" t="n"/>
      <c r="E68" s="16" t="n"/>
      <c r="F68" s="13" t="n"/>
      <c r="G68" s="16" t="n">
        <v>63</v>
      </c>
      <c r="H68" s="124">
        <f>IF(G68="","",COUNTIFS($C$18:$C$2015,G$13,$D$18:$D$2015,"&gt;="&amp;G68,$D$18:$D$2015,"&lt;"&amp;G69))</f>
        <v/>
      </c>
      <c r="I68" s="14" t="n"/>
      <c r="J68" s="16" t="n"/>
      <c r="K68" s="124">
        <f>IF(J68="","",COUNTIFS($C$18:$C$2015,J$13,$D$18:$D$2015,"&gt;="&amp;J68,$D$18:$D$2015,"&lt;"&amp;J69))</f>
        <v/>
      </c>
      <c r="L68" s="14" t="n"/>
      <c r="M68" s="16" t="n"/>
      <c r="N68" s="124">
        <f>IF(M68="","",COUNTIFS($C$18:$C$2015,M$13,$D$18:$D$2015,"&gt;="&amp;M68,$D$18:$D$2015,"&lt;"&amp;M69))</f>
        <v/>
      </c>
      <c r="O68" s="14" t="n"/>
      <c r="P68" s="16" t="n">
        <v>63</v>
      </c>
      <c r="Q68" s="124">
        <f>IF(P68="","",COUNTIFS($C$18:$C$2015,P$13,$D$18:$D$2015,"&gt;="&amp;P68,$D$18:$D$2015,"&lt;"&amp;P69))</f>
        <v/>
      </c>
      <c r="R68" s="14" t="n"/>
      <c r="S68" s="16" t="n"/>
      <c r="T68" s="124">
        <f>IF(S68="","",COUNTIFS($C$18:$C$2015,S$13,$D$18:$D$2015,"&gt;="&amp;S68,$D$18:$D$2015,"&lt;"&amp;S69))</f>
        <v/>
      </c>
      <c r="U68" s="14" t="n"/>
      <c r="V68" s="16" t="n"/>
      <c r="W68" s="124">
        <f>IF(V68="","",COUNTIFS($C$18:$C$2015,V$13,$D$18:$D$2015,"&gt;="&amp;V68,$D$18:$D$2015,"&lt;"&amp;V69))</f>
        <v/>
      </c>
      <c r="X68" s="14" t="n"/>
      <c r="Y68" s="16" t="n"/>
      <c r="Z68" s="124">
        <f>IF(Y68="","",COUNTIFS($C$18:$C$2015,Y$13,$D$18:$D$2015,"&gt;="&amp;Y68,$D$18:$D$2015,"&lt;"&amp;Y69))</f>
        <v/>
      </c>
      <c r="AA68" s="14" t="n"/>
      <c r="AB68" s="16" t="n"/>
      <c r="AC68" s="124">
        <f>IF(AB68="","",COUNTIFS($C$18:$C$2015,AB$13,$D$18:$D$2015,"&gt;="&amp;AB68,$D$18:$D$2015,"&lt;"&amp;AB69))</f>
        <v/>
      </c>
      <c r="AD68" s="14" t="n"/>
    </row>
    <row r="69">
      <c r="A69" s="58" t="n"/>
      <c r="B69" s="59" t="n"/>
      <c r="C69" s="59" t="n"/>
      <c r="D69" s="126" t="n"/>
      <c r="E69" s="16" t="n"/>
      <c r="F69" s="13" t="n"/>
      <c r="G69" s="16" t="n">
        <v>64</v>
      </c>
      <c r="H69" s="124">
        <f>IF(G69="","",COUNTIFS($C$18:$C$2015,G$13,$D$18:$D$2015,"&gt;="&amp;G69,$D$18:$D$2015,"&lt;"&amp;G70))</f>
        <v/>
      </c>
      <c r="I69" s="14" t="n"/>
      <c r="J69" s="16" t="n"/>
      <c r="K69" s="124">
        <f>IF(J69="","",COUNTIFS($C$18:$C$2015,J$13,$D$18:$D$2015,"&gt;="&amp;J69,$D$18:$D$2015,"&lt;"&amp;J70))</f>
        <v/>
      </c>
      <c r="L69" s="14" t="n"/>
      <c r="M69" s="16" t="n"/>
      <c r="N69" s="124">
        <f>IF(M69="","",COUNTIFS($C$18:$C$2015,M$13,$D$18:$D$2015,"&gt;="&amp;M69,$D$18:$D$2015,"&lt;"&amp;M70))</f>
        <v/>
      </c>
      <c r="O69" s="14" t="n"/>
      <c r="P69" s="16" t="n">
        <v>64</v>
      </c>
      <c r="Q69" s="124">
        <f>IF(P69="","",COUNTIFS($C$18:$C$2015,P$13,$D$18:$D$2015,"&gt;="&amp;P69,$D$18:$D$2015,"&lt;"&amp;P70))</f>
        <v/>
      </c>
      <c r="R69" s="14" t="n"/>
      <c r="S69" s="16" t="n"/>
      <c r="T69" s="124">
        <f>IF(S69="","",COUNTIFS($C$18:$C$2015,S$13,$D$18:$D$2015,"&gt;="&amp;S69,$D$18:$D$2015,"&lt;"&amp;S70))</f>
        <v/>
      </c>
      <c r="U69" s="14" t="n"/>
      <c r="V69" s="16" t="n"/>
      <c r="W69" s="124">
        <f>IF(V69="","",COUNTIFS($C$18:$C$2015,V$13,$D$18:$D$2015,"&gt;="&amp;V69,$D$18:$D$2015,"&lt;"&amp;V70))</f>
        <v/>
      </c>
      <c r="X69" s="14" t="n"/>
      <c r="Y69" s="16" t="n"/>
      <c r="Z69" s="124">
        <f>IF(Y69="","",COUNTIFS($C$18:$C$2015,Y$13,$D$18:$D$2015,"&gt;="&amp;Y69,$D$18:$D$2015,"&lt;"&amp;Y70))</f>
        <v/>
      </c>
      <c r="AA69" s="14" t="n"/>
      <c r="AB69" s="16" t="n"/>
      <c r="AC69" s="124">
        <f>IF(AB69="","",COUNTIFS($C$18:$C$2015,AB$13,$D$18:$D$2015,"&gt;="&amp;AB69,$D$18:$D$2015,"&lt;"&amp;AB70))</f>
        <v/>
      </c>
      <c r="AD69" s="14" t="n"/>
    </row>
    <row r="70">
      <c r="A70" s="56" t="n"/>
      <c r="B70" s="57" t="n"/>
      <c r="C70" s="57" t="n"/>
      <c r="D70" s="127" t="n"/>
      <c r="E70" s="16" t="n"/>
      <c r="F70" s="13" t="n"/>
      <c r="G70" s="16" t="n">
        <v>65</v>
      </c>
      <c r="H70" s="124">
        <f>IF(G70="","",COUNTIFS($C$18:$C$2015,G$13,$D$18:$D$2015,"&gt;="&amp;G70,$D$18:$D$2015,"&lt;"&amp;G71))</f>
        <v/>
      </c>
      <c r="I70" s="14" t="n"/>
      <c r="J70" s="16" t="n"/>
      <c r="K70" s="124">
        <f>IF(J70="","",COUNTIFS($C$18:$C$2015,J$13,$D$18:$D$2015,"&gt;="&amp;J70,$D$18:$D$2015,"&lt;"&amp;J71))</f>
        <v/>
      </c>
      <c r="L70" s="14" t="n"/>
      <c r="M70" s="16" t="n"/>
      <c r="N70" s="124">
        <f>IF(M70="","",COUNTIFS($C$18:$C$2015,M$13,$D$18:$D$2015,"&gt;="&amp;M70,$D$18:$D$2015,"&lt;"&amp;M71))</f>
        <v/>
      </c>
      <c r="O70" s="14" t="n"/>
      <c r="P70" s="16" t="n">
        <v>65</v>
      </c>
      <c r="Q70" s="124">
        <f>IF(P70="","",COUNTIFS($C$18:$C$2015,P$13,$D$18:$D$2015,"&gt;="&amp;P70,$D$18:$D$2015,"&lt;"&amp;P71))</f>
        <v/>
      </c>
      <c r="R70" s="14" t="n"/>
      <c r="S70" s="16" t="n"/>
      <c r="T70" s="124">
        <f>IF(S70="","",COUNTIFS($C$18:$C$2015,S$13,$D$18:$D$2015,"&gt;="&amp;S70,$D$18:$D$2015,"&lt;"&amp;S71))</f>
        <v/>
      </c>
      <c r="U70" s="14" t="n"/>
      <c r="V70" s="16" t="n"/>
      <c r="W70" s="124">
        <f>IF(V70="","",COUNTIFS($C$18:$C$2015,V$13,$D$18:$D$2015,"&gt;="&amp;V70,$D$18:$D$2015,"&lt;"&amp;V71))</f>
        <v/>
      </c>
      <c r="X70" s="14" t="n"/>
      <c r="Y70" s="16" t="n"/>
      <c r="Z70" s="124">
        <f>IF(Y70="","",COUNTIFS($C$18:$C$2015,Y$13,$D$18:$D$2015,"&gt;="&amp;Y70,$D$18:$D$2015,"&lt;"&amp;Y71))</f>
        <v/>
      </c>
      <c r="AA70" s="14" t="n"/>
      <c r="AB70" s="16" t="n"/>
      <c r="AC70" s="124">
        <f>IF(AB70="","",COUNTIFS($C$18:$C$2015,AB$13,$D$18:$D$2015,"&gt;="&amp;AB70,$D$18:$D$2015,"&lt;"&amp;AB71))</f>
        <v/>
      </c>
      <c r="AD70" s="14" t="n"/>
    </row>
    <row r="71">
      <c r="A71" s="58" t="n"/>
      <c r="B71" s="59" t="n"/>
      <c r="C71" s="59" t="n"/>
      <c r="D71" s="126" t="n"/>
      <c r="E71" s="16" t="n"/>
      <c r="F71" s="13" t="n"/>
      <c r="G71" s="16" t="n">
        <v>66</v>
      </c>
      <c r="H71" s="124">
        <f>IF(G71="","",COUNTIFS($C$18:$C$2015,G$13,$D$18:$D$2015,"&gt;="&amp;G71,$D$18:$D$2015,"&lt;"&amp;G72))</f>
        <v/>
      </c>
      <c r="I71" s="14" t="n"/>
      <c r="J71" s="16" t="n"/>
      <c r="K71" s="124">
        <f>IF(J71="","",COUNTIFS($C$18:$C$2015,J$13,$D$18:$D$2015,"&gt;="&amp;J71,$D$18:$D$2015,"&lt;"&amp;J72))</f>
        <v/>
      </c>
      <c r="L71" s="14" t="n"/>
      <c r="M71" s="16" t="n"/>
      <c r="N71" s="124">
        <f>IF(M71="","",COUNTIFS($C$18:$C$2015,M$13,$D$18:$D$2015,"&gt;="&amp;M71,$D$18:$D$2015,"&lt;"&amp;M72))</f>
        <v/>
      </c>
      <c r="O71" s="14" t="n"/>
      <c r="P71" s="16" t="n">
        <v>66</v>
      </c>
      <c r="Q71" s="124">
        <f>IF(P71="","",COUNTIFS($C$18:$C$2015,P$13,$D$18:$D$2015,"&gt;="&amp;P71,$D$18:$D$2015,"&lt;"&amp;P72))</f>
        <v/>
      </c>
      <c r="R71" s="14" t="n"/>
      <c r="S71" s="16" t="n"/>
      <c r="T71" s="124">
        <f>IF(S71="","",COUNTIFS($C$18:$C$2015,S$13,$D$18:$D$2015,"&gt;="&amp;S71,$D$18:$D$2015,"&lt;"&amp;S72))</f>
        <v/>
      </c>
      <c r="U71" s="14" t="n"/>
      <c r="V71" s="16" t="n"/>
      <c r="W71" s="124">
        <f>IF(V71="","",COUNTIFS($C$18:$C$2015,V$13,$D$18:$D$2015,"&gt;="&amp;V71,$D$18:$D$2015,"&lt;"&amp;V72))</f>
        <v/>
      </c>
      <c r="X71" s="14" t="n"/>
      <c r="Y71" s="16" t="n"/>
      <c r="Z71" s="124">
        <f>IF(Y71="","",COUNTIFS($C$18:$C$2015,Y$13,$D$18:$D$2015,"&gt;="&amp;Y71,$D$18:$D$2015,"&lt;"&amp;Y72))</f>
        <v/>
      </c>
      <c r="AA71" s="14" t="n"/>
      <c r="AB71" s="16" t="n"/>
      <c r="AC71" s="124">
        <f>IF(AB71="","",COUNTIFS($C$18:$C$2015,AB$13,$D$18:$D$2015,"&gt;="&amp;AB71,$D$18:$D$2015,"&lt;"&amp;AB72))</f>
        <v/>
      </c>
      <c r="AD71" s="14" t="n"/>
    </row>
    <row r="72">
      <c r="A72" s="56" t="n"/>
      <c r="B72" s="57" t="n"/>
      <c r="C72" s="57" t="n"/>
      <c r="D72" s="127" t="n"/>
      <c r="E72" s="16" t="n"/>
      <c r="F72" s="13" t="n"/>
      <c r="G72" s="16" t="n">
        <v>67</v>
      </c>
      <c r="H72" s="124">
        <f>IF(G72="","",COUNTIFS($C$18:$C$2015,G$13,$D$18:$D$2015,"&gt;="&amp;G72,$D$18:$D$2015,"&lt;"&amp;G73))</f>
        <v/>
      </c>
      <c r="I72" s="14" t="n"/>
      <c r="J72" s="16" t="n"/>
      <c r="K72" s="124">
        <f>IF(J72="","",COUNTIFS($C$18:$C$2015,J$13,$D$18:$D$2015,"&gt;="&amp;J72,$D$18:$D$2015,"&lt;"&amp;J73))</f>
        <v/>
      </c>
      <c r="L72" s="14" t="n"/>
      <c r="M72" s="16" t="n"/>
      <c r="N72" s="124">
        <f>IF(M72="","",COUNTIFS($C$18:$C$2015,M$13,$D$18:$D$2015,"&gt;="&amp;M72,$D$18:$D$2015,"&lt;"&amp;M73))</f>
        <v/>
      </c>
      <c r="O72" s="14" t="n"/>
      <c r="P72" s="16" t="n">
        <v>67</v>
      </c>
      <c r="Q72" s="124">
        <f>IF(P72="","",COUNTIFS($C$18:$C$2015,P$13,$D$18:$D$2015,"&gt;="&amp;P72,$D$18:$D$2015,"&lt;"&amp;P73))</f>
        <v/>
      </c>
      <c r="R72" s="14" t="n"/>
      <c r="S72" s="16" t="n"/>
      <c r="T72" s="124">
        <f>IF(S72="","",COUNTIFS($C$18:$C$2015,S$13,$D$18:$D$2015,"&gt;="&amp;S72,$D$18:$D$2015,"&lt;"&amp;S73))</f>
        <v/>
      </c>
      <c r="U72" s="14" t="n"/>
      <c r="V72" s="16" t="n"/>
      <c r="W72" s="124">
        <f>IF(V72="","",COUNTIFS($C$18:$C$2015,V$13,$D$18:$D$2015,"&gt;="&amp;V72,$D$18:$D$2015,"&lt;"&amp;V73))</f>
        <v/>
      </c>
      <c r="X72" s="14" t="n"/>
      <c r="Y72" s="16" t="n"/>
      <c r="Z72" s="124">
        <f>IF(Y72="","",COUNTIFS($C$18:$C$2015,Y$13,$D$18:$D$2015,"&gt;="&amp;Y72,$D$18:$D$2015,"&lt;"&amp;Y73))</f>
        <v/>
      </c>
      <c r="AA72" s="14" t="n"/>
      <c r="AB72" s="16" t="n"/>
      <c r="AC72" s="124">
        <f>IF(AB72="","",COUNTIFS($C$18:$C$2015,AB$13,$D$18:$D$2015,"&gt;="&amp;AB72,$D$18:$D$2015,"&lt;"&amp;AB73))</f>
        <v/>
      </c>
      <c r="AD72" s="14" t="n"/>
    </row>
    <row r="73">
      <c r="A73" s="58" t="n"/>
      <c r="B73" s="59" t="n"/>
      <c r="C73" s="59" t="n"/>
      <c r="D73" s="126" t="n"/>
      <c r="E73" s="16" t="n"/>
      <c r="F73" s="13" t="n"/>
      <c r="G73" s="16" t="n">
        <v>68</v>
      </c>
      <c r="H73" s="124">
        <f>IF(G73="","",COUNTIFS($C$18:$C$2015,G$13,$D$18:$D$2015,"&gt;="&amp;G73,$D$18:$D$2015,"&lt;"&amp;G74))</f>
        <v/>
      </c>
      <c r="I73" s="14" t="n"/>
      <c r="J73" s="16" t="n"/>
      <c r="K73" s="124">
        <f>IF(J73="","",COUNTIFS($C$18:$C$2015,J$13,$D$18:$D$2015,"&gt;="&amp;J73,$D$18:$D$2015,"&lt;"&amp;J74))</f>
        <v/>
      </c>
      <c r="L73" s="14" t="n"/>
      <c r="M73" s="16" t="n"/>
      <c r="N73" s="124">
        <f>IF(M73="","",COUNTIFS($C$18:$C$2015,M$13,$D$18:$D$2015,"&gt;="&amp;M73,$D$18:$D$2015,"&lt;"&amp;M74))</f>
        <v/>
      </c>
      <c r="O73" s="14" t="n"/>
      <c r="P73" s="16" t="n">
        <v>68</v>
      </c>
      <c r="Q73" s="124">
        <f>IF(P73="","",COUNTIFS($C$18:$C$2015,P$13,$D$18:$D$2015,"&gt;="&amp;P73,$D$18:$D$2015,"&lt;"&amp;P74))</f>
        <v/>
      </c>
      <c r="R73" s="14" t="n"/>
      <c r="S73" s="16" t="n"/>
      <c r="T73" s="124">
        <f>IF(S73="","",COUNTIFS($C$18:$C$2015,S$13,$D$18:$D$2015,"&gt;="&amp;S73,$D$18:$D$2015,"&lt;"&amp;S74))</f>
        <v/>
      </c>
      <c r="U73" s="14" t="n"/>
      <c r="V73" s="16" t="n"/>
      <c r="W73" s="124">
        <f>IF(V73="","",COUNTIFS($C$18:$C$2015,V$13,$D$18:$D$2015,"&gt;="&amp;V73,$D$18:$D$2015,"&lt;"&amp;V74))</f>
        <v/>
      </c>
      <c r="X73" s="14" t="n"/>
      <c r="Y73" s="16" t="n"/>
      <c r="Z73" s="124">
        <f>IF(Y73="","",COUNTIFS($C$18:$C$2015,Y$13,$D$18:$D$2015,"&gt;="&amp;Y73,$D$18:$D$2015,"&lt;"&amp;Y74))</f>
        <v/>
      </c>
      <c r="AA73" s="14" t="n"/>
      <c r="AB73" s="16" t="n"/>
      <c r="AC73" s="124">
        <f>IF(AB73="","",COUNTIFS($C$18:$C$2015,AB$13,$D$18:$D$2015,"&gt;="&amp;AB73,$D$18:$D$2015,"&lt;"&amp;AB74))</f>
        <v/>
      </c>
      <c r="AD73" s="14" t="n"/>
    </row>
    <row r="74">
      <c r="A74" s="56" t="n"/>
      <c r="B74" s="57" t="n"/>
      <c r="C74" s="57" t="n"/>
      <c r="D74" s="127" t="n"/>
      <c r="E74" s="16" t="n"/>
      <c r="F74" s="13" t="n"/>
      <c r="G74" s="16" t="n">
        <v>69</v>
      </c>
      <c r="H74" s="124">
        <f>IF(G74="","",COUNTIFS($C$18:$C$2015,G$13,$D$18:$D$2015,"&gt;="&amp;G74,$D$18:$D$2015,"&lt;"&amp;G75))</f>
        <v/>
      </c>
      <c r="I74" s="14" t="n"/>
      <c r="J74" s="16" t="n"/>
      <c r="K74" s="124">
        <f>IF(J74="","",COUNTIFS($C$18:$C$2015,J$13,$D$18:$D$2015,"&gt;="&amp;J74,$D$18:$D$2015,"&lt;"&amp;J75))</f>
        <v/>
      </c>
      <c r="L74" s="14" t="n"/>
      <c r="M74" s="16" t="n"/>
      <c r="N74" s="124">
        <f>IF(M74="","",COUNTIFS($C$18:$C$2015,M$13,$D$18:$D$2015,"&gt;="&amp;M74,$D$18:$D$2015,"&lt;"&amp;M75))</f>
        <v/>
      </c>
      <c r="O74" s="14" t="n"/>
      <c r="P74" s="16" t="n">
        <v>69</v>
      </c>
      <c r="Q74" s="124">
        <f>IF(P74="","",COUNTIFS($C$18:$C$2015,P$13,$D$18:$D$2015,"&gt;="&amp;P74,$D$18:$D$2015,"&lt;"&amp;P75))</f>
        <v/>
      </c>
      <c r="R74" s="14" t="n"/>
      <c r="S74" s="16" t="n"/>
      <c r="T74" s="124">
        <f>IF(S74="","",COUNTIFS($C$18:$C$2015,S$13,$D$18:$D$2015,"&gt;="&amp;S74,$D$18:$D$2015,"&lt;"&amp;S75))</f>
        <v/>
      </c>
      <c r="U74" s="14" t="n"/>
      <c r="V74" s="16" t="n"/>
      <c r="W74" s="124">
        <f>IF(V74="","",COUNTIFS($C$18:$C$2015,V$13,$D$18:$D$2015,"&gt;="&amp;V74,$D$18:$D$2015,"&lt;"&amp;V75))</f>
        <v/>
      </c>
      <c r="X74" s="14" t="n"/>
      <c r="Y74" s="16" t="n"/>
      <c r="Z74" s="124">
        <f>IF(Y74="","",COUNTIFS($C$18:$C$2015,Y$13,$D$18:$D$2015,"&gt;="&amp;Y74,$D$18:$D$2015,"&lt;"&amp;Y75))</f>
        <v/>
      </c>
      <c r="AA74" s="14" t="n"/>
      <c r="AB74" s="16" t="n"/>
      <c r="AC74" s="124">
        <f>IF(AB74="","",COUNTIFS($C$18:$C$2015,AB$13,$D$18:$D$2015,"&gt;="&amp;AB74,$D$18:$D$2015,"&lt;"&amp;AB75))</f>
        <v/>
      </c>
      <c r="AD74" s="14" t="n"/>
    </row>
    <row r="75">
      <c r="A75" s="58" t="n"/>
      <c r="B75" s="59" t="n"/>
      <c r="C75" s="59" t="n"/>
      <c r="D75" s="126" t="n"/>
      <c r="E75" s="16" t="n"/>
      <c r="F75" s="13" t="n"/>
      <c r="G75" s="16" t="n">
        <v>70</v>
      </c>
      <c r="H75" s="124">
        <f>IF(G75="","",COUNTIFS($C$18:$C$2015,G$13,$D$18:$D$2015,"&gt;="&amp;G75,$D$18:$D$2015,"&lt;"&amp;G76))</f>
        <v/>
      </c>
      <c r="I75" s="14" t="n"/>
      <c r="J75" s="16" t="n"/>
      <c r="K75" s="124">
        <f>IF(J75="","",COUNTIFS($C$18:$C$2015,J$13,$D$18:$D$2015,"&gt;="&amp;J75,$D$18:$D$2015,"&lt;"&amp;J76))</f>
        <v/>
      </c>
      <c r="L75" s="14" t="n"/>
      <c r="M75" s="16" t="n"/>
      <c r="N75" s="124">
        <f>IF(M75="","",COUNTIFS($C$18:$C$2015,M$13,$D$18:$D$2015,"&gt;="&amp;M75,$D$18:$D$2015,"&lt;"&amp;M76))</f>
        <v/>
      </c>
      <c r="O75" s="14" t="n"/>
      <c r="P75" s="16" t="n">
        <v>70</v>
      </c>
      <c r="Q75" s="124">
        <f>IF(P75="","",COUNTIFS($C$18:$C$2015,P$13,$D$18:$D$2015,"&gt;="&amp;P75,$D$18:$D$2015,"&lt;"&amp;P76))</f>
        <v/>
      </c>
      <c r="R75" s="14" t="n"/>
      <c r="S75" s="16" t="n"/>
      <c r="T75" s="124">
        <f>IF(S75="","",COUNTIFS($C$18:$C$2015,S$13,$D$18:$D$2015,"&gt;="&amp;S75,$D$18:$D$2015,"&lt;"&amp;S76))</f>
        <v/>
      </c>
      <c r="U75" s="14" t="n"/>
      <c r="V75" s="16" t="n"/>
      <c r="W75" s="124">
        <f>IF(V75="","",COUNTIFS($C$18:$C$2015,V$13,$D$18:$D$2015,"&gt;="&amp;V75,$D$18:$D$2015,"&lt;"&amp;V76))</f>
        <v/>
      </c>
      <c r="X75" s="14" t="n"/>
      <c r="Y75" s="16" t="n"/>
      <c r="Z75" s="124">
        <f>IF(Y75="","",COUNTIFS($C$18:$C$2015,Y$13,$D$18:$D$2015,"&gt;="&amp;Y75,$D$18:$D$2015,"&lt;"&amp;Y76))</f>
        <v/>
      </c>
      <c r="AA75" s="14" t="n"/>
      <c r="AB75" s="16" t="n"/>
      <c r="AC75" s="124">
        <f>IF(AB75="","",COUNTIFS($C$18:$C$2015,AB$13,$D$18:$D$2015,"&gt;="&amp;AB75,$D$18:$D$2015,"&lt;"&amp;AB76))</f>
        <v/>
      </c>
      <c r="AD75" s="14" t="n"/>
    </row>
    <row r="76">
      <c r="A76" s="56" t="n"/>
      <c r="B76" s="57" t="n"/>
      <c r="C76" s="57" t="n"/>
      <c r="D76" s="127" t="n"/>
      <c r="E76" s="16" t="n"/>
      <c r="F76" s="13" t="n"/>
      <c r="G76" s="16" t="n">
        <v>71</v>
      </c>
      <c r="H76" s="124">
        <f>IF(G76="","",COUNTIFS($C$18:$C$2015,G$13,$D$18:$D$2015,"&gt;="&amp;G76,$D$18:$D$2015,"&lt;"&amp;G77))</f>
        <v/>
      </c>
      <c r="I76" s="14" t="n"/>
      <c r="J76" s="16" t="n"/>
      <c r="K76" s="124">
        <f>IF(J76="","",COUNTIFS($C$18:$C$2015,J$13,$D$18:$D$2015,"&gt;="&amp;J76,$D$18:$D$2015,"&lt;"&amp;J77))</f>
        <v/>
      </c>
      <c r="L76" s="14" t="n"/>
      <c r="M76" s="16" t="n"/>
      <c r="N76" s="124">
        <f>IF(M76="","",COUNTIFS($C$18:$C$2015,M$13,$D$18:$D$2015,"&gt;="&amp;M76,$D$18:$D$2015,"&lt;"&amp;M77))</f>
        <v/>
      </c>
      <c r="O76" s="14" t="n"/>
      <c r="P76" s="16" t="n">
        <v>71</v>
      </c>
      <c r="Q76" s="124">
        <f>IF(P76="","",COUNTIFS($C$18:$C$2015,P$13,$D$18:$D$2015,"&gt;="&amp;P76,$D$18:$D$2015,"&lt;"&amp;P77))</f>
        <v/>
      </c>
      <c r="R76" s="14" t="n"/>
      <c r="S76" s="16" t="n"/>
      <c r="T76" s="124">
        <f>IF(S76="","",COUNTIFS($C$18:$C$2015,S$13,$D$18:$D$2015,"&gt;="&amp;S76,$D$18:$D$2015,"&lt;"&amp;S77))</f>
        <v/>
      </c>
      <c r="U76" s="14" t="n"/>
      <c r="V76" s="16" t="n"/>
      <c r="W76" s="124">
        <f>IF(V76="","",COUNTIFS($C$18:$C$2015,V$13,$D$18:$D$2015,"&gt;="&amp;V76,$D$18:$D$2015,"&lt;"&amp;V77))</f>
        <v/>
      </c>
      <c r="X76" s="14" t="n"/>
      <c r="Y76" s="16" t="n"/>
      <c r="Z76" s="124">
        <f>IF(Y76="","",COUNTIFS($C$18:$C$2015,Y$13,$D$18:$D$2015,"&gt;="&amp;Y76,$D$18:$D$2015,"&lt;"&amp;Y77))</f>
        <v/>
      </c>
      <c r="AA76" s="14" t="n"/>
      <c r="AB76" s="16" t="n"/>
      <c r="AC76" s="124">
        <f>IF(AB76="","",COUNTIFS($C$18:$C$2015,AB$13,$D$18:$D$2015,"&gt;="&amp;AB76,$D$18:$D$2015,"&lt;"&amp;AB77))</f>
        <v/>
      </c>
      <c r="AD76" s="14" t="n"/>
    </row>
    <row r="77">
      <c r="A77" s="58" t="n"/>
      <c r="B77" s="59" t="n"/>
      <c r="C77" s="59" t="n"/>
      <c r="D77" s="126" t="n"/>
      <c r="E77" s="16" t="n"/>
      <c r="F77" s="13" t="n"/>
      <c r="G77" s="16" t="n">
        <v>72</v>
      </c>
      <c r="H77" s="124">
        <f>IF(G77="","",COUNTIFS($C$18:$C$2015,G$13,$D$18:$D$2015,"&gt;="&amp;G77,$D$18:$D$2015,"&lt;"&amp;G78))</f>
        <v/>
      </c>
      <c r="I77" s="14" t="n"/>
      <c r="J77" s="16" t="n"/>
      <c r="K77" s="124">
        <f>IF(J77="","",COUNTIFS($C$18:$C$2015,J$13,$D$18:$D$2015,"&gt;="&amp;J77,$D$18:$D$2015,"&lt;"&amp;J78))</f>
        <v/>
      </c>
      <c r="L77" s="14" t="n"/>
      <c r="M77" s="16" t="n"/>
      <c r="N77" s="124">
        <f>IF(M77="","",COUNTIFS($C$18:$C$2015,M$13,$D$18:$D$2015,"&gt;="&amp;M77,$D$18:$D$2015,"&lt;"&amp;M78))</f>
        <v/>
      </c>
      <c r="O77" s="14" t="n"/>
      <c r="P77" s="16" t="n">
        <v>72</v>
      </c>
      <c r="Q77" s="124">
        <f>IF(P77="","",COUNTIFS($C$18:$C$2015,P$13,$D$18:$D$2015,"&gt;="&amp;P77,$D$18:$D$2015,"&lt;"&amp;P78))</f>
        <v/>
      </c>
      <c r="R77" s="14" t="n"/>
      <c r="S77" s="16" t="n"/>
      <c r="T77" s="124">
        <f>IF(S77="","",COUNTIFS($C$18:$C$2015,S$13,$D$18:$D$2015,"&gt;="&amp;S77,$D$18:$D$2015,"&lt;"&amp;S78))</f>
        <v/>
      </c>
      <c r="U77" s="14" t="n"/>
      <c r="V77" s="16" t="n"/>
      <c r="W77" s="124">
        <f>IF(V77="","",COUNTIFS($C$18:$C$2015,V$13,$D$18:$D$2015,"&gt;="&amp;V77,$D$18:$D$2015,"&lt;"&amp;V78))</f>
        <v/>
      </c>
      <c r="X77" s="14" t="n"/>
      <c r="Y77" s="16" t="n"/>
      <c r="Z77" s="124">
        <f>IF(Y77="","",COUNTIFS($C$18:$C$2015,Y$13,$D$18:$D$2015,"&gt;="&amp;Y77,$D$18:$D$2015,"&lt;"&amp;Y78))</f>
        <v/>
      </c>
      <c r="AA77" s="14" t="n"/>
      <c r="AB77" s="16" t="n"/>
      <c r="AC77" s="124">
        <f>IF(AB77="","",COUNTIFS($C$18:$C$2015,AB$13,$D$18:$D$2015,"&gt;="&amp;AB77,$D$18:$D$2015,"&lt;"&amp;AB78))</f>
        <v/>
      </c>
      <c r="AD77" s="14" t="n"/>
    </row>
    <row r="78">
      <c r="A78" s="56" t="n"/>
      <c r="B78" s="57" t="n"/>
      <c r="C78" s="57" t="n"/>
      <c r="D78" s="127" t="n"/>
      <c r="E78" s="16" t="n"/>
      <c r="F78" s="13" t="n"/>
      <c r="G78" s="16" t="n">
        <v>73</v>
      </c>
      <c r="H78" s="124">
        <f>IF(G78="","",COUNTIFS($C$18:$C$2015,G$13,$D$18:$D$2015,"&gt;="&amp;G78,$D$18:$D$2015,"&lt;"&amp;G79))</f>
        <v/>
      </c>
      <c r="I78" s="14" t="n"/>
      <c r="J78" s="16" t="n"/>
      <c r="K78" s="124">
        <f>IF(J78="","",COUNTIFS($C$18:$C$2015,J$13,$D$18:$D$2015,"&gt;="&amp;J78,$D$18:$D$2015,"&lt;"&amp;J79))</f>
        <v/>
      </c>
      <c r="L78" s="14" t="n"/>
      <c r="M78" s="16" t="n"/>
      <c r="N78" s="124">
        <f>IF(M78="","",COUNTIFS($C$18:$C$2015,M$13,$D$18:$D$2015,"&gt;="&amp;M78,$D$18:$D$2015,"&lt;"&amp;M79))</f>
        <v/>
      </c>
      <c r="O78" s="14" t="n"/>
      <c r="P78" s="16" t="n">
        <v>73</v>
      </c>
      <c r="Q78" s="124">
        <f>IF(P78="","",COUNTIFS($C$18:$C$2015,P$13,$D$18:$D$2015,"&gt;="&amp;P78,$D$18:$D$2015,"&lt;"&amp;P79))</f>
        <v/>
      </c>
      <c r="R78" s="14" t="n"/>
      <c r="S78" s="16" t="n"/>
      <c r="T78" s="124">
        <f>IF(S78="","",COUNTIFS($C$18:$C$2015,S$13,$D$18:$D$2015,"&gt;="&amp;S78,$D$18:$D$2015,"&lt;"&amp;S79))</f>
        <v/>
      </c>
      <c r="U78" s="14" t="n"/>
      <c r="V78" s="16" t="n"/>
      <c r="W78" s="124">
        <f>IF(V78="","",COUNTIFS($C$18:$C$2015,V$13,$D$18:$D$2015,"&gt;="&amp;V78,$D$18:$D$2015,"&lt;"&amp;V79))</f>
        <v/>
      </c>
      <c r="X78" s="14" t="n"/>
      <c r="Y78" s="16" t="n"/>
      <c r="Z78" s="124">
        <f>IF(Y78="","",COUNTIFS($C$18:$C$2015,Y$13,$D$18:$D$2015,"&gt;="&amp;Y78,$D$18:$D$2015,"&lt;"&amp;Y79))</f>
        <v/>
      </c>
      <c r="AA78" s="14" t="n"/>
      <c r="AB78" s="16" t="n"/>
      <c r="AC78" s="124">
        <f>IF(AB78="","",COUNTIFS($C$18:$C$2015,AB$13,$D$18:$D$2015,"&gt;="&amp;AB78,$D$18:$D$2015,"&lt;"&amp;AB79))</f>
        <v/>
      </c>
      <c r="AD78" s="14" t="n"/>
    </row>
    <row r="79">
      <c r="A79" s="58" t="n"/>
      <c r="B79" s="59" t="n"/>
      <c r="C79" s="59" t="n"/>
      <c r="D79" s="126" t="n"/>
      <c r="E79" s="16" t="n"/>
      <c r="F79" s="13" t="n"/>
      <c r="G79" s="16" t="n">
        <v>74</v>
      </c>
      <c r="H79" s="124">
        <f>IF(G79="","",COUNTIFS($C$18:$C$2015,G$13,$D$18:$D$2015,"&gt;="&amp;G79,$D$18:$D$2015,"&lt;"&amp;G80))</f>
        <v/>
      </c>
      <c r="I79" s="14" t="n"/>
      <c r="J79" s="16" t="n"/>
      <c r="K79" s="124">
        <f>IF(J79="","",COUNTIFS($C$18:$C$2015,J$13,$D$18:$D$2015,"&gt;="&amp;J79,$D$18:$D$2015,"&lt;"&amp;J80))</f>
        <v/>
      </c>
      <c r="L79" s="14" t="n"/>
      <c r="M79" s="16" t="n"/>
      <c r="N79" s="124">
        <f>IF(M79="","",COUNTIFS($C$18:$C$2015,M$13,$D$18:$D$2015,"&gt;="&amp;M79,$D$18:$D$2015,"&lt;"&amp;M80))</f>
        <v/>
      </c>
      <c r="O79" s="14" t="n"/>
      <c r="P79" s="16" t="n">
        <v>74</v>
      </c>
      <c r="Q79" s="124">
        <f>IF(P79="","",COUNTIFS($C$18:$C$2015,P$13,$D$18:$D$2015,"&gt;="&amp;P79,$D$18:$D$2015,"&lt;"&amp;P80))</f>
        <v/>
      </c>
      <c r="R79" s="14" t="n"/>
      <c r="S79" s="16" t="n"/>
      <c r="T79" s="124">
        <f>IF(S79="","",COUNTIFS($C$18:$C$2015,S$13,$D$18:$D$2015,"&gt;="&amp;S79,$D$18:$D$2015,"&lt;"&amp;S80))</f>
        <v/>
      </c>
      <c r="U79" s="14" t="n"/>
      <c r="V79" s="16" t="n"/>
      <c r="W79" s="124">
        <f>IF(V79="","",COUNTIFS($C$18:$C$2015,V$13,$D$18:$D$2015,"&gt;="&amp;V79,$D$18:$D$2015,"&lt;"&amp;V80))</f>
        <v/>
      </c>
      <c r="X79" s="14" t="n"/>
      <c r="Y79" s="16" t="n"/>
      <c r="Z79" s="124">
        <f>IF(Y79="","",COUNTIFS($C$18:$C$2015,Y$13,$D$18:$D$2015,"&gt;="&amp;Y79,$D$18:$D$2015,"&lt;"&amp;Y80))</f>
        <v/>
      </c>
      <c r="AA79" s="14" t="n"/>
      <c r="AB79" s="16" t="n"/>
      <c r="AC79" s="124">
        <f>IF(AB79="","",COUNTIFS($C$18:$C$2015,AB$13,$D$18:$D$2015,"&gt;="&amp;AB79,$D$18:$D$2015,"&lt;"&amp;AB80))</f>
        <v/>
      </c>
      <c r="AD79" s="14" t="n"/>
    </row>
    <row r="80">
      <c r="A80" s="56" t="n"/>
      <c r="B80" s="57" t="n"/>
      <c r="C80" s="57" t="n"/>
      <c r="D80" s="127" t="n"/>
      <c r="E80" s="16" t="n"/>
      <c r="F80" s="13" t="n"/>
      <c r="G80" s="16" t="n">
        <v>75</v>
      </c>
      <c r="H80" s="124">
        <f>IF(G80="","",COUNTIFS($C$18:$C$2015,G$13,$D$18:$D$2015,"&gt;="&amp;G80,$D$18:$D$2015,"&lt;"&amp;G81))</f>
        <v/>
      </c>
      <c r="I80" s="14" t="n"/>
      <c r="J80" s="16" t="n"/>
      <c r="K80" s="124">
        <f>IF(J80="","",COUNTIFS($C$18:$C$2015,J$13,$D$18:$D$2015,"&gt;="&amp;J80,$D$18:$D$2015,"&lt;"&amp;J81))</f>
        <v/>
      </c>
      <c r="L80" s="14" t="n"/>
      <c r="M80" s="16" t="n"/>
      <c r="N80" s="124">
        <f>IF(M80="","",COUNTIFS($C$18:$C$2015,M$13,$D$18:$D$2015,"&gt;="&amp;M80,$D$18:$D$2015,"&lt;"&amp;M81))</f>
        <v/>
      </c>
      <c r="O80" s="14" t="n"/>
      <c r="P80" s="16" t="n">
        <v>75</v>
      </c>
      <c r="Q80" s="124">
        <f>IF(P80="","",COUNTIFS($C$18:$C$2015,P$13,$D$18:$D$2015,"&gt;="&amp;P80,$D$18:$D$2015,"&lt;"&amp;P81))</f>
        <v/>
      </c>
      <c r="R80" s="14" t="n"/>
      <c r="S80" s="16" t="n"/>
      <c r="T80" s="124">
        <f>IF(S80="","",COUNTIFS($C$18:$C$2015,S$13,$D$18:$D$2015,"&gt;="&amp;S80,$D$18:$D$2015,"&lt;"&amp;S81))</f>
        <v/>
      </c>
      <c r="U80" s="14" t="n"/>
      <c r="V80" s="16" t="n"/>
      <c r="W80" s="124">
        <f>IF(V80="","",COUNTIFS($C$18:$C$2015,V$13,$D$18:$D$2015,"&gt;="&amp;V80,$D$18:$D$2015,"&lt;"&amp;V81))</f>
        <v/>
      </c>
      <c r="X80" s="14" t="n"/>
      <c r="Y80" s="16" t="n"/>
      <c r="Z80" s="124">
        <f>IF(Y80="","",COUNTIFS($C$18:$C$2015,Y$13,$D$18:$D$2015,"&gt;="&amp;Y80,$D$18:$D$2015,"&lt;"&amp;Y81))</f>
        <v/>
      </c>
      <c r="AA80" s="14" t="n"/>
      <c r="AB80" s="16" t="n"/>
      <c r="AC80" s="124">
        <f>IF(AB80="","",COUNTIFS($C$18:$C$2015,AB$13,$D$18:$D$2015,"&gt;="&amp;AB80,$D$18:$D$2015,"&lt;"&amp;AB81))</f>
        <v/>
      </c>
      <c r="AD80" s="14" t="n"/>
    </row>
    <row r="81">
      <c r="A81" s="58" t="n"/>
      <c r="B81" s="59" t="n"/>
      <c r="C81" s="59" t="n"/>
      <c r="D81" s="126" t="n"/>
      <c r="E81" s="16" t="n"/>
      <c r="F81" s="13" t="n"/>
      <c r="G81" s="16" t="n">
        <v>76</v>
      </c>
      <c r="H81" s="124">
        <f>IF(G81="","",COUNTIFS($C$18:$C$2015,G$13,$D$18:$D$2015,"&gt;="&amp;G81,$D$18:$D$2015,"&lt;"&amp;G82))</f>
        <v/>
      </c>
      <c r="I81" s="14" t="n"/>
      <c r="J81" s="16" t="n"/>
      <c r="K81" s="124">
        <f>IF(J81="","",COUNTIFS($C$18:$C$2015,J$13,$D$18:$D$2015,"&gt;="&amp;J81,$D$18:$D$2015,"&lt;"&amp;J82))</f>
        <v/>
      </c>
      <c r="L81" s="14" t="n"/>
      <c r="M81" s="16" t="n"/>
      <c r="N81" s="124">
        <f>IF(M81="","",COUNTIFS($C$18:$C$2015,M$13,$D$18:$D$2015,"&gt;="&amp;M81,$D$18:$D$2015,"&lt;"&amp;M82))</f>
        <v/>
      </c>
      <c r="O81" s="14" t="n"/>
      <c r="P81" s="16" t="n">
        <v>76</v>
      </c>
      <c r="Q81" s="124">
        <f>IF(P81="","",COUNTIFS($C$18:$C$2015,P$13,$D$18:$D$2015,"&gt;="&amp;P81,$D$18:$D$2015,"&lt;"&amp;P82))</f>
        <v/>
      </c>
      <c r="R81" s="14" t="n"/>
      <c r="S81" s="16" t="n"/>
      <c r="T81" s="124">
        <f>IF(S81="","",COUNTIFS($C$18:$C$2015,S$13,$D$18:$D$2015,"&gt;="&amp;S81,$D$18:$D$2015,"&lt;"&amp;S82))</f>
        <v/>
      </c>
      <c r="U81" s="14" t="n"/>
      <c r="V81" s="16" t="n"/>
      <c r="W81" s="124">
        <f>IF(V81="","",COUNTIFS($C$18:$C$2015,V$13,$D$18:$D$2015,"&gt;="&amp;V81,$D$18:$D$2015,"&lt;"&amp;V82))</f>
        <v/>
      </c>
      <c r="X81" s="14" t="n"/>
      <c r="Y81" s="16" t="n"/>
      <c r="Z81" s="124">
        <f>IF(Y81="","",COUNTIFS($C$18:$C$2015,Y$13,$D$18:$D$2015,"&gt;="&amp;Y81,$D$18:$D$2015,"&lt;"&amp;Y82))</f>
        <v/>
      </c>
      <c r="AA81" s="14" t="n"/>
      <c r="AB81" s="16" t="n"/>
      <c r="AC81" s="124">
        <f>IF(AB81="","",COUNTIFS($C$18:$C$2015,AB$13,$D$18:$D$2015,"&gt;="&amp;AB81,$D$18:$D$2015,"&lt;"&amp;AB82))</f>
        <v/>
      </c>
      <c r="AD81" s="14" t="n"/>
    </row>
    <row r="82">
      <c r="A82" s="56" t="n"/>
      <c r="B82" s="57" t="n"/>
      <c r="C82" s="57" t="n"/>
      <c r="D82" s="127" t="n"/>
      <c r="E82" s="16" t="n"/>
      <c r="F82" s="13" t="n"/>
      <c r="G82" s="16" t="n">
        <v>77</v>
      </c>
      <c r="H82" s="124">
        <f>IF(G82="","",COUNTIFS($C$18:$C$2015,G$13,$D$18:$D$2015,"&gt;="&amp;G82,$D$18:$D$2015,"&lt;"&amp;G83))</f>
        <v/>
      </c>
      <c r="I82" s="14" t="n"/>
      <c r="J82" s="16" t="n"/>
      <c r="K82" s="124">
        <f>IF(J82="","",COUNTIFS($C$18:$C$2015,J$13,$D$18:$D$2015,"&gt;="&amp;J82,$D$18:$D$2015,"&lt;"&amp;J83))</f>
        <v/>
      </c>
      <c r="L82" s="14" t="n"/>
      <c r="M82" s="16" t="n"/>
      <c r="N82" s="124">
        <f>IF(M82="","",COUNTIFS($C$18:$C$2015,M$13,$D$18:$D$2015,"&gt;="&amp;M82,$D$18:$D$2015,"&lt;"&amp;M83))</f>
        <v/>
      </c>
      <c r="O82" s="14" t="n"/>
      <c r="P82" s="16" t="n">
        <v>77</v>
      </c>
      <c r="Q82" s="124">
        <f>IF(P82="","",COUNTIFS($C$18:$C$2015,P$13,$D$18:$D$2015,"&gt;="&amp;P82,$D$18:$D$2015,"&lt;"&amp;P83))</f>
        <v/>
      </c>
      <c r="R82" s="14" t="n"/>
      <c r="S82" s="16" t="n"/>
      <c r="T82" s="124">
        <f>IF(S82="","",COUNTIFS($C$18:$C$2015,S$13,$D$18:$D$2015,"&gt;="&amp;S82,$D$18:$D$2015,"&lt;"&amp;S83))</f>
        <v/>
      </c>
      <c r="U82" s="14" t="n"/>
      <c r="V82" s="16" t="n"/>
      <c r="W82" s="124">
        <f>IF(V82="","",COUNTIFS($C$18:$C$2015,V$13,$D$18:$D$2015,"&gt;="&amp;V82,$D$18:$D$2015,"&lt;"&amp;V83))</f>
        <v/>
      </c>
      <c r="X82" s="14" t="n"/>
      <c r="Y82" s="16" t="n"/>
      <c r="Z82" s="124">
        <f>IF(Y82="","",COUNTIFS($C$18:$C$2015,Y$13,$D$18:$D$2015,"&gt;="&amp;Y82,$D$18:$D$2015,"&lt;"&amp;Y83))</f>
        <v/>
      </c>
      <c r="AA82" s="14" t="n"/>
      <c r="AB82" s="16" t="n"/>
      <c r="AC82" s="124">
        <f>IF(AB82="","",COUNTIFS($C$18:$C$2015,AB$13,$D$18:$D$2015,"&gt;="&amp;AB82,$D$18:$D$2015,"&lt;"&amp;AB83))</f>
        <v/>
      </c>
      <c r="AD82" s="14" t="n"/>
    </row>
    <row r="83">
      <c r="A83" s="58" t="n"/>
      <c r="B83" s="59" t="n"/>
      <c r="C83" s="59" t="n"/>
      <c r="D83" s="126" t="n"/>
      <c r="E83" s="16" t="n"/>
      <c r="F83" s="13" t="n"/>
      <c r="G83" s="16" t="n">
        <v>78</v>
      </c>
      <c r="H83" s="124">
        <f>IF(G83="","",COUNTIFS($C$18:$C$2015,G$13,$D$18:$D$2015,"&gt;="&amp;G83,$D$18:$D$2015,"&lt;"&amp;G84))</f>
        <v/>
      </c>
      <c r="I83" s="14" t="n"/>
      <c r="J83" s="16" t="n"/>
      <c r="K83" s="124">
        <f>IF(J83="","",COUNTIFS($C$18:$C$2015,J$13,$D$18:$D$2015,"&gt;="&amp;J83,$D$18:$D$2015,"&lt;"&amp;J84))</f>
        <v/>
      </c>
      <c r="L83" s="14" t="n"/>
      <c r="M83" s="16" t="n"/>
      <c r="N83" s="124">
        <f>IF(M83="","",COUNTIFS($C$18:$C$2015,M$13,$D$18:$D$2015,"&gt;="&amp;M83,$D$18:$D$2015,"&lt;"&amp;M84))</f>
        <v/>
      </c>
      <c r="O83" s="14" t="n"/>
      <c r="P83" s="16" t="n">
        <v>78</v>
      </c>
      <c r="Q83" s="124">
        <f>IF(P83="","",COUNTIFS($C$18:$C$2015,P$13,$D$18:$D$2015,"&gt;="&amp;P83,$D$18:$D$2015,"&lt;"&amp;P84))</f>
        <v/>
      </c>
      <c r="R83" s="14" t="n"/>
      <c r="S83" s="16" t="n"/>
      <c r="T83" s="124">
        <f>IF(S83="","",COUNTIFS($C$18:$C$2015,S$13,$D$18:$D$2015,"&gt;="&amp;S83,$D$18:$D$2015,"&lt;"&amp;S84))</f>
        <v/>
      </c>
      <c r="U83" s="14" t="n"/>
      <c r="V83" s="16" t="n"/>
      <c r="W83" s="124">
        <f>IF(V83="","",COUNTIFS($C$18:$C$2015,V$13,$D$18:$D$2015,"&gt;="&amp;V83,$D$18:$D$2015,"&lt;"&amp;V84))</f>
        <v/>
      </c>
      <c r="X83" s="14" t="n"/>
      <c r="Y83" s="16" t="n"/>
      <c r="Z83" s="124">
        <f>IF(Y83="","",COUNTIFS($C$18:$C$2015,Y$13,$D$18:$D$2015,"&gt;="&amp;Y83,$D$18:$D$2015,"&lt;"&amp;Y84))</f>
        <v/>
      </c>
      <c r="AA83" s="14" t="n"/>
      <c r="AB83" s="16" t="n"/>
      <c r="AC83" s="124">
        <f>IF(AB83="","",COUNTIFS($C$18:$C$2015,AB$13,$D$18:$D$2015,"&gt;="&amp;AB83,$D$18:$D$2015,"&lt;"&amp;AB84))</f>
        <v/>
      </c>
      <c r="AD83" s="14" t="n"/>
    </row>
    <row r="84">
      <c r="A84" s="56" t="n"/>
      <c r="B84" s="57" t="n"/>
      <c r="C84" s="57" t="n"/>
      <c r="D84" s="127" t="n"/>
      <c r="E84" s="16" t="n"/>
      <c r="F84" s="13" t="n"/>
      <c r="G84" s="16" t="n">
        <v>79</v>
      </c>
      <c r="H84" s="124">
        <f>IF(G84="","",COUNTIFS($C$18:$C$2015,G$13,$D$18:$D$2015,"&gt;="&amp;G84,$D$18:$D$2015,"&lt;"&amp;G85))</f>
        <v/>
      </c>
      <c r="I84" s="14" t="n"/>
      <c r="J84" s="16" t="n"/>
      <c r="K84" s="124">
        <f>IF(J84="","",COUNTIFS($C$18:$C$2015,J$13,$D$18:$D$2015,"&gt;="&amp;J84,$D$18:$D$2015,"&lt;"&amp;J85))</f>
        <v/>
      </c>
      <c r="L84" s="14" t="n"/>
      <c r="M84" s="16" t="n"/>
      <c r="N84" s="124">
        <f>IF(M84="","",COUNTIFS($C$18:$C$2015,M$13,$D$18:$D$2015,"&gt;="&amp;M84,$D$18:$D$2015,"&lt;"&amp;M85))</f>
        <v/>
      </c>
      <c r="O84" s="14" t="n"/>
      <c r="P84" s="16" t="n">
        <v>79</v>
      </c>
      <c r="Q84" s="124">
        <f>IF(P84="","",COUNTIFS($C$18:$C$2015,P$13,$D$18:$D$2015,"&gt;="&amp;P84,$D$18:$D$2015,"&lt;"&amp;P85))</f>
        <v/>
      </c>
      <c r="R84" s="14" t="n"/>
      <c r="S84" s="16" t="n"/>
      <c r="T84" s="124">
        <f>IF(S84="","",COUNTIFS($C$18:$C$2015,S$13,$D$18:$D$2015,"&gt;="&amp;S84,$D$18:$D$2015,"&lt;"&amp;S85))</f>
        <v/>
      </c>
      <c r="U84" s="14" t="n"/>
      <c r="V84" s="16" t="n"/>
      <c r="W84" s="124">
        <f>IF(V84="","",COUNTIFS($C$18:$C$2015,V$13,$D$18:$D$2015,"&gt;="&amp;V84,$D$18:$D$2015,"&lt;"&amp;V85))</f>
        <v/>
      </c>
      <c r="X84" s="14" t="n"/>
      <c r="Y84" s="16" t="n"/>
      <c r="Z84" s="124">
        <f>IF(Y84="","",COUNTIFS($C$18:$C$2015,Y$13,$D$18:$D$2015,"&gt;="&amp;Y84,$D$18:$D$2015,"&lt;"&amp;Y85))</f>
        <v/>
      </c>
      <c r="AA84" s="14" t="n"/>
      <c r="AB84" s="16" t="n"/>
      <c r="AC84" s="124">
        <f>IF(AB84="","",COUNTIFS($C$18:$C$2015,AB$13,$D$18:$D$2015,"&gt;="&amp;AB84,$D$18:$D$2015,"&lt;"&amp;AB85))</f>
        <v/>
      </c>
      <c r="AD84" s="14" t="n"/>
    </row>
    <row r="85">
      <c r="A85" s="58" t="n"/>
      <c r="B85" s="59" t="n"/>
      <c r="C85" s="59" t="n"/>
      <c r="D85" s="126" t="n"/>
      <c r="E85" s="16" t="n"/>
      <c r="F85" s="13" t="n"/>
      <c r="G85" s="16" t="n">
        <v>80</v>
      </c>
      <c r="H85" s="124">
        <f>IF(G85="","",COUNTIFS($C$18:$C$2015,G$13,$D$18:$D$2015,"&gt;="&amp;G85,$D$18:$D$2015,"&lt;"&amp;G86))</f>
        <v/>
      </c>
      <c r="I85" s="14" t="n"/>
      <c r="J85" s="16" t="n"/>
      <c r="K85" s="124">
        <f>IF(J85="","",COUNTIFS($C$18:$C$2015,J$13,$D$18:$D$2015,"&gt;="&amp;J85,$D$18:$D$2015,"&lt;"&amp;J86))</f>
        <v/>
      </c>
      <c r="L85" s="14" t="n"/>
      <c r="M85" s="16" t="n"/>
      <c r="N85" s="124">
        <f>IF(M85="","",COUNTIFS($C$18:$C$2015,M$13,$D$18:$D$2015,"&gt;="&amp;M85,$D$18:$D$2015,"&lt;"&amp;M86))</f>
        <v/>
      </c>
      <c r="O85" s="14" t="n"/>
      <c r="P85" s="16" t="n">
        <v>80</v>
      </c>
      <c r="Q85" s="124">
        <f>IF(P85="","",COUNTIFS($C$18:$C$2015,P$13,$D$18:$D$2015,"&gt;="&amp;P85,$D$18:$D$2015,"&lt;"&amp;P86))</f>
        <v/>
      </c>
      <c r="R85" s="14" t="n"/>
      <c r="S85" s="16" t="n"/>
      <c r="T85" s="124">
        <f>IF(S85="","",COUNTIFS($C$18:$C$2015,S$13,$D$18:$D$2015,"&gt;="&amp;S85,$D$18:$D$2015,"&lt;"&amp;S86))</f>
        <v/>
      </c>
      <c r="U85" s="14" t="n"/>
      <c r="V85" s="16" t="n"/>
      <c r="W85" s="124">
        <f>IF(V85="","",COUNTIFS($C$18:$C$2015,V$13,$D$18:$D$2015,"&gt;="&amp;V85,$D$18:$D$2015,"&lt;"&amp;V86))</f>
        <v/>
      </c>
      <c r="X85" s="14" t="n"/>
      <c r="Y85" s="16" t="n"/>
      <c r="Z85" s="124">
        <f>IF(Y85="","",COUNTIFS($C$18:$C$2015,Y$13,$D$18:$D$2015,"&gt;="&amp;Y85,$D$18:$D$2015,"&lt;"&amp;Y86))</f>
        <v/>
      </c>
      <c r="AA85" s="14" t="n"/>
      <c r="AB85" s="16" t="n"/>
      <c r="AC85" s="124">
        <f>IF(AB85="","",COUNTIFS($C$18:$C$2015,AB$13,$D$18:$D$2015,"&gt;="&amp;AB85,$D$18:$D$2015,"&lt;"&amp;AB86))</f>
        <v/>
      </c>
      <c r="AD85" s="14" t="n"/>
    </row>
  </sheetData>
  <autoFilter ref="A14:E14"/>
  <conditionalFormatting sqref="E15:E85">
    <cfRule type="cellIs" priority="1" operator="greaterThan" dxfId="3">
      <formula>0</formula>
    </cfRule>
  </conditionalFormatting>
  <conditionalFormatting sqref="G15:G85">
    <cfRule type="expression" priority="54" dxfId="2">
      <formula>AND(NOT(ISBLANK(G15)),G15&lt;H$7)</formula>
    </cfRule>
    <cfRule type="expression" priority="55" dxfId="1">
      <formula>AND(G15&lt;=(H$7),(G15+H$5)&gt;(H$7))</formula>
    </cfRule>
    <cfRule type="expression" priority="56" dxfId="0">
      <formula>AND(NOT(ISBLANK(G15)),G15&gt;H$7)</formula>
    </cfRule>
    <cfRule type="cellIs" priority="58" operator="greaterThan" dxfId="3">
      <formula>0</formula>
    </cfRule>
  </conditionalFormatting>
  <conditionalFormatting sqref="H2">
    <cfRule type="iconSet" priority="53">
      <iconSet iconSet="3Symbols2">
        <cfvo type="percent" val="0"/>
        <cfvo type="num" val="30" gte="0"/>
        <cfvo type="num" val="50" gte="0"/>
      </iconSet>
    </cfRule>
  </conditionalFormatting>
  <conditionalFormatting sqref="H15:H85">
    <cfRule type="dataBar" priority="57">
      <dataBar>
        <cfvo type="num" val="0"/>
        <cfvo type="max"/>
        <color rgb="FF638EC6"/>
      </dataBar>
    </cfRule>
  </conditionalFormatting>
  <conditionalFormatting sqref="J15:J85">
    <cfRule type="expression" priority="47" dxfId="2">
      <formula>AND(NOT(ISBLANK(J15)),J15&lt;K$7)</formula>
    </cfRule>
    <cfRule type="expression" priority="48" dxfId="1">
      <formula>AND(J15&lt;=(K$7),(J15+K$5)&gt;(K$7))</formula>
    </cfRule>
    <cfRule type="expression" priority="49" dxfId="0">
      <formula>AND(NOT(ISBLANK(J15)),J15&gt;K$7)</formula>
    </cfRule>
    <cfRule type="cellIs" priority="51" operator="greaterThan" dxfId="3">
      <formula>0</formula>
    </cfRule>
  </conditionalFormatting>
  <conditionalFormatting sqref="K2">
    <cfRule type="iconSet" priority="46">
      <iconSet iconSet="3Symbols2">
        <cfvo type="percent" val="0"/>
        <cfvo type="num" val="30" gte="0"/>
        <cfvo type="num" val="50" gte="0"/>
      </iconSet>
    </cfRule>
  </conditionalFormatting>
  <conditionalFormatting sqref="K15:K85">
    <cfRule type="dataBar" priority="50">
      <dataBar>
        <cfvo type="num" val="0"/>
        <cfvo type="max"/>
        <color rgb="FF638EC6"/>
      </dataBar>
    </cfRule>
  </conditionalFormatting>
  <conditionalFormatting sqref="M15:M85">
    <cfRule type="expression" priority="40" dxfId="2">
      <formula>AND(NOT(ISBLANK(M15)),M15&lt;N$7)</formula>
    </cfRule>
    <cfRule type="expression" priority="41" dxfId="1">
      <formula>AND(M15&lt;=(N$7),(M15+N$5)&gt;(N$7))</formula>
    </cfRule>
    <cfRule type="expression" priority="42" dxfId="0">
      <formula>AND(NOT(ISBLANK(M15)),M15&gt;N$7)</formula>
    </cfRule>
    <cfRule type="cellIs" priority="44" operator="greaterThan" dxfId="3">
      <formula>0</formula>
    </cfRule>
  </conditionalFormatting>
  <conditionalFormatting sqref="N2">
    <cfRule type="iconSet" priority="39">
      <iconSet iconSet="3Symbols2">
        <cfvo type="percent" val="0"/>
        <cfvo type="num" val="30" gte="0"/>
        <cfvo type="num" val="50" gte="0"/>
      </iconSet>
    </cfRule>
  </conditionalFormatting>
  <conditionalFormatting sqref="N15:N85">
    <cfRule type="dataBar" priority="43">
      <dataBar>
        <cfvo type="num" val="0"/>
        <cfvo type="max"/>
        <color rgb="FF638EC6"/>
      </dataBar>
    </cfRule>
  </conditionalFormatting>
  <conditionalFormatting sqref="P15:P85">
    <cfRule type="expression" priority="33" dxfId="2">
      <formula>AND(NOT(ISBLANK(P15)),P15&lt;Q$7)</formula>
    </cfRule>
    <cfRule type="expression" priority="34" dxfId="1">
      <formula>AND(P15&lt;=(Q$7),(P15+Q$5)&gt;(Q$7))</formula>
    </cfRule>
    <cfRule type="expression" priority="35" dxfId="0">
      <formula>AND(NOT(ISBLANK(P15)),P15&gt;Q$7)</formula>
    </cfRule>
    <cfRule type="cellIs" priority="37" operator="greaterThan" dxfId="3">
      <formula>0</formula>
    </cfRule>
  </conditionalFormatting>
  <conditionalFormatting sqref="Q2">
    <cfRule type="iconSet" priority="32">
      <iconSet iconSet="3Symbols2">
        <cfvo type="percent" val="0"/>
        <cfvo type="num" val="30" gte="0"/>
        <cfvo type="num" val="50" gte="0"/>
      </iconSet>
    </cfRule>
  </conditionalFormatting>
  <conditionalFormatting sqref="Q15:Q85">
    <cfRule type="dataBar" priority="36">
      <dataBar>
        <cfvo type="num" val="0"/>
        <cfvo type="max"/>
        <color rgb="FF638EC6"/>
      </dataBar>
    </cfRule>
  </conditionalFormatting>
  <conditionalFormatting sqref="S15:S85">
    <cfRule type="expression" priority="26" dxfId="2">
      <formula>AND(NOT(ISBLANK(S15)),S15&lt;T$7)</formula>
    </cfRule>
    <cfRule type="expression" priority="27" dxfId="1">
      <formula>AND(S15&lt;=(T$7),(S15+T$5)&gt;(T$7))</formula>
    </cfRule>
    <cfRule type="expression" priority="28" dxfId="0">
      <formula>AND(NOT(ISBLANK(S15)),S15&gt;T$7)</formula>
    </cfRule>
    <cfRule type="cellIs" priority="30" operator="greaterThan" dxfId="3">
      <formula>0</formula>
    </cfRule>
  </conditionalFormatting>
  <conditionalFormatting sqref="T2">
    <cfRule type="iconSet" priority="25">
      <iconSet iconSet="3Symbols2">
        <cfvo type="percent" val="0"/>
        <cfvo type="num" val="30" gte="0"/>
        <cfvo type="num" val="50" gte="0"/>
      </iconSet>
    </cfRule>
  </conditionalFormatting>
  <conditionalFormatting sqref="T15:T85">
    <cfRule type="dataBar" priority="29">
      <dataBar>
        <cfvo type="num" val="0"/>
        <cfvo type="max"/>
        <color rgb="FF638EC6"/>
      </dataBar>
    </cfRule>
  </conditionalFormatting>
  <conditionalFormatting sqref="V15:V85">
    <cfRule type="expression" priority="19" dxfId="2">
      <formula>AND(NOT(ISBLANK(V15)),V15&lt;W$7)</formula>
    </cfRule>
    <cfRule type="expression" priority="20" dxfId="1">
      <formula>AND(V15&lt;=(W$7),(V15+W$5)&gt;(W$7))</formula>
    </cfRule>
    <cfRule type="expression" priority="21" dxfId="0">
      <formula>AND(NOT(ISBLANK(V15)),V15&gt;W$7)</formula>
    </cfRule>
    <cfRule type="cellIs" priority="23" operator="greaterThan" dxfId="3">
      <formula>0</formula>
    </cfRule>
  </conditionalFormatting>
  <conditionalFormatting sqref="W2">
    <cfRule type="iconSet" priority="18">
      <iconSet iconSet="3Symbols2">
        <cfvo type="percent" val="0"/>
        <cfvo type="num" val="30" gte="0"/>
        <cfvo type="num" val="50" gte="0"/>
      </iconSet>
    </cfRule>
  </conditionalFormatting>
  <conditionalFormatting sqref="W15:W85">
    <cfRule type="dataBar" priority="22">
      <dataBar>
        <cfvo type="num" val="0"/>
        <cfvo type="max"/>
        <color rgb="FF638EC6"/>
      </dataBar>
    </cfRule>
  </conditionalFormatting>
  <conditionalFormatting sqref="Y15:Y85">
    <cfRule type="expression" priority="12" dxfId="2">
      <formula>AND(NOT(ISBLANK(Y15)),Y15&lt;Z$7)</formula>
    </cfRule>
    <cfRule type="expression" priority="13" dxfId="1">
      <formula>AND(Y15&lt;=(Z$7),(Y15+Z$5)&gt;(Z$7))</formula>
    </cfRule>
    <cfRule type="expression" priority="14" dxfId="0">
      <formula>AND(NOT(ISBLANK(Y15)),Y15&gt;Z$7)</formula>
    </cfRule>
    <cfRule type="cellIs" priority="16" operator="greaterThan" dxfId="3">
      <formula>0</formula>
    </cfRule>
  </conditionalFormatting>
  <conditionalFormatting sqref="Z2">
    <cfRule type="iconSet" priority="11">
      <iconSet iconSet="3Symbols2">
        <cfvo type="percent" val="0"/>
        <cfvo type="num" val="30" gte="0"/>
        <cfvo type="num" val="50" gte="0"/>
      </iconSet>
    </cfRule>
  </conditionalFormatting>
  <conditionalFormatting sqref="Z15:Z85">
    <cfRule type="dataBar" priority="15">
      <dataBar>
        <cfvo type="num" val="0"/>
        <cfvo type="max"/>
        <color rgb="FF638EC6"/>
      </dataBar>
    </cfRule>
  </conditionalFormatting>
  <conditionalFormatting sqref="AB15:AB85">
    <cfRule type="expression" priority="5" dxfId="2">
      <formula>AND(NOT(ISBLANK(AB15)),AB15&lt;AC$7)</formula>
    </cfRule>
    <cfRule type="expression" priority="6" dxfId="1">
      <formula>AND(AB15&lt;=(AC$7),(AB15+AC$5)&gt;(AC$7))</formula>
    </cfRule>
    <cfRule type="expression" priority="7" dxfId="0">
      <formula>AND(NOT(ISBLANK(AB15)),AB15&gt;AC$7)</formula>
    </cfRule>
    <cfRule type="cellIs" priority="9" operator="greaterThan" dxfId="3">
      <formula>0</formula>
    </cfRule>
  </conditionalFormatting>
  <conditionalFormatting sqref="AC2">
    <cfRule type="iconSet" priority="4">
      <iconSet iconSet="3Symbols2">
        <cfvo type="percent" val="0"/>
        <cfvo type="num" val="30" gte="0"/>
        <cfvo type="num" val="50" gte="0"/>
      </iconSet>
    </cfRule>
  </conditionalFormatting>
  <conditionalFormatting sqref="AC15:AC85">
    <cfRule type="dataBar" priority="8">
      <dataBar>
        <cfvo type="num" val="0"/>
        <cfvo type="max"/>
        <color rgb="FF638EC6"/>
      </dataBar>
    </cfRule>
  </conditionalFormatting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tabColor rgb="FFFFC000"/>
    <outlinePr summaryBelow="1" summaryRight="1"/>
    <pageSetUpPr/>
  </sheetPr>
  <dimension ref="A1:AE85"/>
  <sheetViews>
    <sheetView showGridLines="0" zoomScale="70" zoomScaleNormal="70" workbookViewId="0">
      <selection activeCell="A17" sqref="A17"/>
    </sheetView>
  </sheetViews>
  <sheetFormatPr baseColWidth="8" defaultRowHeight="14.4"/>
  <cols>
    <col width="8.44140625" customWidth="1" style="113" min="1" max="1"/>
    <col width="11.88671875" customWidth="1" style="113" min="2" max="2"/>
    <col width="7.109375" customWidth="1" style="113" min="3" max="3"/>
    <col width="8.5546875" customWidth="1" style="113" min="4" max="4"/>
    <col width="4.5546875" bestFit="1" customWidth="1" style="113" min="5" max="5"/>
    <col width="2.6640625" customWidth="1" style="113" min="6" max="6"/>
    <col width="11.5546875" customWidth="1" style="113" min="7" max="8"/>
    <col width="2.33203125" customWidth="1" style="113" min="9" max="9"/>
    <col width="11.5546875" customWidth="1" style="113" min="10" max="11"/>
    <col width="2.33203125" customWidth="1" style="113" min="12" max="12"/>
    <col width="11.5546875" customWidth="1" style="113" min="13" max="14"/>
    <col width="2.33203125" customWidth="1" style="113" min="15" max="15"/>
    <col width="11.5546875" customWidth="1" style="113" min="16" max="17"/>
    <col width="2.33203125" customWidth="1" style="113" min="18" max="18"/>
    <col width="11.5546875" customWidth="1" style="113" min="19" max="20"/>
    <col width="2.33203125" customWidth="1" style="113" min="21" max="21"/>
    <col width="11.5546875" customWidth="1" style="113" min="22" max="23"/>
    <col width="2.33203125" customWidth="1" style="113" min="24" max="24"/>
    <col width="11.5546875" customWidth="1" style="113" min="25" max="26"/>
    <col width="2.33203125" customWidth="1" style="113" min="27" max="27"/>
    <col width="11.5546875" customWidth="1" style="113" min="28" max="29"/>
    <col width="2.33203125" customWidth="1" style="113" min="30" max="30"/>
  </cols>
  <sheetData>
    <row r="1">
      <c r="D1" s="114" t="n"/>
      <c r="E1" s="115" t="n"/>
      <c r="F1" s="31" t="n"/>
      <c r="G1" s="36">
        <f>FAO!B1&amp;" max ="</f>
        <v/>
      </c>
      <c r="H1" s="116">
        <f>+FAO!B10</f>
        <v/>
      </c>
      <c r="I1" s="32" t="n"/>
      <c r="J1" s="36">
        <f>FAO!E1&amp;" max ="</f>
        <v/>
      </c>
      <c r="K1" s="116">
        <f>+FAO!E10</f>
        <v/>
      </c>
      <c r="L1" s="32" t="n"/>
      <c r="M1" s="36">
        <f>FAO!H1&amp;" max ="</f>
        <v/>
      </c>
      <c r="N1" s="116">
        <f>+FAO!H10</f>
        <v/>
      </c>
      <c r="O1" s="32" t="n"/>
      <c r="P1" s="36">
        <f>FAO!K1&amp;" max ="</f>
        <v/>
      </c>
      <c r="Q1" s="116">
        <f>+FAO!K10</f>
        <v/>
      </c>
      <c r="R1" s="32" t="n"/>
      <c r="S1" s="36">
        <f>FAO!N1&amp;" max ="</f>
        <v/>
      </c>
      <c r="T1" s="116">
        <f>+FAO!N10</f>
        <v/>
      </c>
      <c r="U1" s="32" t="n"/>
      <c r="V1" s="36">
        <f>FAO!Q1&amp;" max ="</f>
        <v/>
      </c>
      <c r="W1" s="116">
        <f>+FAO!Q10</f>
        <v/>
      </c>
      <c r="X1" s="32" t="n"/>
      <c r="Y1" s="36">
        <f>FAO!T1&amp;" max ="</f>
        <v/>
      </c>
      <c r="Z1" s="116">
        <f>+FAO!T10</f>
        <v/>
      </c>
      <c r="AA1" s="32" t="n"/>
      <c r="AB1" s="36">
        <f>FAO!W1&amp;" max ="</f>
        <v/>
      </c>
      <c r="AC1" s="116">
        <f>+FAO!W10</f>
        <v/>
      </c>
      <c r="AD1" s="32" t="n"/>
      <c r="AE1">
        <f>COUNTA($C$15:$C$10001)</f>
        <v/>
      </c>
    </row>
    <row r="2">
      <c r="D2" s="114" t="n"/>
      <c r="E2" s="115" t="n"/>
      <c r="F2" s="31" t="n"/>
      <c r="G2" s="48" t="inlineStr">
        <is>
          <t>obs n =</t>
        </is>
      </c>
      <c r="H2">
        <f>COUNTIF($C$18:$C$1003,G13)</f>
        <v/>
      </c>
      <c r="I2" s="32" t="n"/>
      <c r="J2" s="48" t="inlineStr">
        <is>
          <t>obs n =</t>
        </is>
      </c>
      <c r="K2">
        <f>COUNTIF($C$18:$C$1003,J13)</f>
        <v/>
      </c>
      <c r="L2" s="32" t="n"/>
      <c r="M2" s="48" t="inlineStr">
        <is>
          <t>obs n =</t>
        </is>
      </c>
      <c r="N2">
        <f>COUNTIF($C$18:$C$1003,M13)</f>
        <v/>
      </c>
      <c r="O2" s="32" t="n"/>
      <c r="P2" s="48" t="inlineStr">
        <is>
          <t>obs n =</t>
        </is>
      </c>
      <c r="Q2">
        <f>COUNTIF($C$18:$C$1003,P13)</f>
        <v/>
      </c>
      <c r="R2" s="32" t="n"/>
      <c r="S2" s="48" t="inlineStr">
        <is>
          <t>obs n =</t>
        </is>
      </c>
      <c r="T2">
        <f>COUNTIF($C$18:$C$1003,S13)</f>
        <v/>
      </c>
      <c r="U2" s="32" t="n"/>
      <c r="V2" s="48" t="inlineStr">
        <is>
          <t>obs n =</t>
        </is>
      </c>
      <c r="W2">
        <f>COUNTIF($C$18:$C$1003,V13)</f>
        <v/>
      </c>
      <c r="X2" s="32" t="n"/>
      <c r="Y2" s="48" t="inlineStr">
        <is>
          <t>obs n =</t>
        </is>
      </c>
      <c r="Z2">
        <f>COUNTIF($C$18:$C$1003,Y13)</f>
        <v/>
      </c>
      <c r="AA2" s="32" t="n"/>
      <c r="AB2" s="48" t="inlineStr">
        <is>
          <t>obs n =</t>
        </is>
      </c>
      <c r="AC2">
        <f>COUNTIF($C$18:$C$1003,AB13)</f>
        <v/>
      </c>
      <c r="AD2" s="32" t="n"/>
    </row>
    <row r="3">
      <c r="D3" s="114" t="n"/>
      <c r="E3" s="115" t="n"/>
      <c r="F3" s="31" t="n"/>
      <c r="G3" s="48" t="inlineStr">
        <is>
          <t xml:space="preserve">freq n= </t>
        </is>
      </c>
      <c r="H3">
        <f>+SUM(H15:H1003)</f>
        <v/>
      </c>
      <c r="I3" s="32" t="n"/>
      <c r="J3" s="48" t="inlineStr">
        <is>
          <t xml:space="preserve">freq n= </t>
        </is>
      </c>
      <c r="K3">
        <f>+SUM(K15:K1003)</f>
        <v/>
      </c>
      <c r="L3" s="32" t="n"/>
      <c r="M3" s="48" t="inlineStr">
        <is>
          <t xml:space="preserve">freq n= </t>
        </is>
      </c>
      <c r="N3">
        <f>+SUM(N15:N1003)</f>
        <v/>
      </c>
      <c r="O3" s="32" t="n"/>
      <c r="P3" s="48" t="inlineStr">
        <is>
          <t xml:space="preserve">freq n= </t>
        </is>
      </c>
      <c r="Q3">
        <f>+SUM(Q15:Q1003)</f>
        <v/>
      </c>
      <c r="R3" s="32" t="n"/>
      <c r="S3" s="48" t="inlineStr">
        <is>
          <t xml:space="preserve">freq n= </t>
        </is>
      </c>
      <c r="T3">
        <f>+SUM(T15:T1003)</f>
        <v/>
      </c>
      <c r="U3" s="32" t="n"/>
      <c r="V3" s="48" t="inlineStr">
        <is>
          <t xml:space="preserve">freq n= </t>
        </is>
      </c>
      <c r="W3">
        <f>+SUM(W15:W1003)</f>
        <v/>
      </c>
      <c r="X3" s="32" t="n"/>
      <c r="Y3" s="48" t="inlineStr">
        <is>
          <t xml:space="preserve">freq n= </t>
        </is>
      </c>
      <c r="Z3">
        <f>+SUM(Z15:Z1003)</f>
        <v/>
      </c>
      <c r="AA3" s="32" t="n"/>
      <c r="AB3" s="48" t="inlineStr">
        <is>
          <t xml:space="preserve">freq n= </t>
        </is>
      </c>
      <c r="AC3">
        <f>+SUM(AC15:AC1003)</f>
        <v/>
      </c>
      <c r="AD3" s="32" t="n"/>
    </row>
    <row r="4">
      <c r="D4" s="114" t="n"/>
      <c r="E4" s="115" t="n"/>
      <c r="F4" s="31" t="n"/>
      <c r="G4" s="48" t="inlineStr">
        <is>
          <t>first bin =</t>
        </is>
      </c>
      <c r="H4" t="n">
        <v>10</v>
      </c>
      <c r="I4" s="32" t="n"/>
      <c r="J4" s="48" t="inlineStr">
        <is>
          <t>first bin =</t>
        </is>
      </c>
      <c r="K4" t="n">
        <v>10</v>
      </c>
      <c r="L4" s="32" t="n"/>
      <c r="M4" s="48" t="inlineStr">
        <is>
          <t>first bin =</t>
        </is>
      </c>
      <c r="N4" t="n">
        <v>10</v>
      </c>
      <c r="O4" s="32" t="n"/>
      <c r="P4" s="48" t="inlineStr">
        <is>
          <t>first bin =</t>
        </is>
      </c>
      <c r="Q4" t="n">
        <v>10</v>
      </c>
      <c r="R4" s="32" t="n"/>
      <c r="S4" s="48" t="inlineStr">
        <is>
          <t>first bin =</t>
        </is>
      </c>
      <c r="T4" t="n">
        <v>10</v>
      </c>
      <c r="U4" s="32" t="n"/>
      <c r="V4" s="48" t="inlineStr">
        <is>
          <t>first bin =</t>
        </is>
      </c>
      <c r="W4" t="n">
        <v>10</v>
      </c>
      <c r="X4" s="32" t="n"/>
      <c r="Y4" s="48" t="inlineStr">
        <is>
          <t>first bin =</t>
        </is>
      </c>
      <c r="Z4" t="n">
        <v>10</v>
      </c>
      <c r="AA4" s="32" t="n"/>
      <c r="AB4" s="48" t="inlineStr">
        <is>
          <t>first bin =</t>
        </is>
      </c>
      <c r="AC4" t="n">
        <v>10</v>
      </c>
      <c r="AD4" s="32" t="n"/>
    </row>
    <row r="5">
      <c r="D5" s="114" t="n"/>
      <c r="E5" s="115" t="n"/>
      <c r="F5" s="31" t="n"/>
      <c r="G5" s="48" t="inlineStr">
        <is>
          <t>increment =</t>
        </is>
      </c>
      <c r="H5">
        <f>+FAO!B14</f>
        <v/>
      </c>
      <c r="I5" s="32" t="n"/>
      <c r="J5" s="48" t="inlineStr">
        <is>
          <t>increment =</t>
        </is>
      </c>
      <c r="K5">
        <f>+FAO!E14</f>
        <v/>
      </c>
      <c r="L5" s="32" t="n"/>
      <c r="M5" s="48" t="inlineStr">
        <is>
          <t>increment =</t>
        </is>
      </c>
      <c r="N5">
        <f>+FAO!H14</f>
        <v/>
      </c>
      <c r="O5" s="32" t="n"/>
      <c r="P5" s="48" t="inlineStr">
        <is>
          <t>increment =</t>
        </is>
      </c>
      <c r="Q5">
        <f>+FAO!K14</f>
        <v/>
      </c>
      <c r="R5" s="32" t="n"/>
      <c r="S5" s="48" t="inlineStr">
        <is>
          <t>increment =</t>
        </is>
      </c>
      <c r="T5">
        <f>+FAO!N14</f>
        <v/>
      </c>
      <c r="U5" s="32" t="n"/>
      <c r="V5" s="48" t="inlineStr">
        <is>
          <t>increment =</t>
        </is>
      </c>
      <c r="W5">
        <f>+FAO!Q14</f>
        <v/>
      </c>
      <c r="X5" s="32" t="n"/>
      <c r="Y5" s="48" t="inlineStr">
        <is>
          <t>increment =</t>
        </is>
      </c>
      <c r="Z5">
        <f>+FAO!T14</f>
        <v/>
      </c>
      <c r="AA5" s="32" t="n"/>
      <c r="AB5" s="48" t="inlineStr">
        <is>
          <t>increment =</t>
        </is>
      </c>
      <c r="AC5">
        <f>+FAO!W14</f>
        <v/>
      </c>
      <c r="AD5" s="32" t="n"/>
    </row>
    <row r="6">
      <c r="D6" s="114" t="n"/>
      <c r="E6" s="115" t="n"/>
      <c r="F6" s="31" t="n"/>
      <c r="G6" s="48" t="inlineStr">
        <is>
          <t>Complete =</t>
        </is>
      </c>
      <c r="H6">
        <f>COUNTIFS($C$18:$C$2015,G$13,$D$18:$D$2015,"&gt;5")/COUNTIF($C$18:$C$2015,G$13)*100</f>
        <v/>
      </c>
      <c r="I6" s="32" t="n"/>
      <c r="J6" s="48" t="inlineStr">
        <is>
          <t>Complete =</t>
        </is>
      </c>
      <c r="K6">
        <f>COUNTIFS($C$18:$C$2015,J$13,$D$18:$D$2015,"&gt;5")/COUNTIF($C$18:$C$2015,J$13)*100</f>
        <v/>
      </c>
      <c r="L6" s="32" t="n"/>
      <c r="M6" s="48" t="inlineStr">
        <is>
          <t>Complete =</t>
        </is>
      </c>
      <c r="N6">
        <f>COUNTIFS($C$18:$C$2015,M$13,$D$18:$D$2015,"&gt;5")/COUNTIF($C$18:$C$2015,M$13)*100</f>
        <v/>
      </c>
      <c r="O6" s="32" t="n"/>
      <c r="P6" s="48" t="inlineStr">
        <is>
          <t>Complete =</t>
        </is>
      </c>
      <c r="Q6">
        <f>COUNTIFS($C$18:$C$2015,P$13,$D$18:$D$2015,"&gt;5")/COUNTIF($C$18:$C$2015,P$13)*100</f>
        <v/>
      </c>
      <c r="R6" s="32" t="n"/>
      <c r="S6" s="48" t="inlineStr">
        <is>
          <t>Complete =</t>
        </is>
      </c>
      <c r="T6">
        <f>COUNTIFS($C$18:$C$2015,S$13,$D$18:$D$2015,"&gt;5")/COUNTIF($C$18:$C$2015,S$13)*100</f>
        <v/>
      </c>
      <c r="U6" s="32" t="n"/>
      <c r="V6" s="48" t="inlineStr">
        <is>
          <t>Complete =</t>
        </is>
      </c>
      <c r="W6">
        <f>COUNTIFS($C$18:$C$2015,V$13,$D$18:$D$2015,"&gt;5")/COUNTIF($C$18:$C$2015,V$13)*100</f>
        <v/>
      </c>
      <c r="X6" s="32" t="n"/>
      <c r="Y6" s="48" t="inlineStr">
        <is>
          <t>Complete =</t>
        </is>
      </c>
      <c r="Z6">
        <f>COUNTIFS($C$18:$C$2015,Y$13,$D$18:$D$2015,"&gt;5")/COUNTIF($C$18:$C$2015,Y$13)*100</f>
        <v/>
      </c>
      <c r="AA6" s="32" t="n"/>
      <c r="AB6" s="48" t="inlineStr">
        <is>
          <t>Complete =</t>
        </is>
      </c>
      <c r="AC6">
        <f>COUNTIFS($C$18:$C$2015,AB$13,$D$18:$D$2015,"&gt;5")/COUNTIF($C$18:$C$2015,AB$13)*100</f>
        <v/>
      </c>
      <c r="AD6" s="32" t="n"/>
    </row>
    <row r="7">
      <c r="D7" s="114" t="n"/>
      <c r="E7" s="115" t="n"/>
      <c r="F7" s="31" t="n"/>
      <c r="G7" s="48" t="inlineStr">
        <is>
          <t>L50 (cm) =</t>
        </is>
      </c>
      <c r="H7">
        <f>+FAO!B11</f>
        <v/>
      </c>
      <c r="I7" s="32" t="n"/>
      <c r="J7" s="48" t="inlineStr">
        <is>
          <t>L50 (cm) =</t>
        </is>
      </c>
      <c r="K7">
        <f>+FAO!E11</f>
        <v/>
      </c>
      <c r="L7" s="32" t="n"/>
      <c r="M7" s="48" t="inlineStr">
        <is>
          <t>L50 (cm) =</t>
        </is>
      </c>
      <c r="N7">
        <f>+FAO!H11</f>
        <v/>
      </c>
      <c r="O7" s="32" t="n"/>
      <c r="P7" s="48" t="inlineStr">
        <is>
          <t>L50 (cm) =</t>
        </is>
      </c>
      <c r="Q7">
        <f>+FAO!K11</f>
        <v/>
      </c>
      <c r="R7" s="32" t="n"/>
      <c r="S7" s="48" t="inlineStr">
        <is>
          <t>L50 (cm) =</t>
        </is>
      </c>
      <c r="T7">
        <f>+FAO!N11</f>
        <v/>
      </c>
      <c r="U7" s="32" t="n"/>
      <c r="V7" s="48" t="inlineStr">
        <is>
          <t>L50 (cm) =</t>
        </is>
      </c>
      <c r="W7">
        <f>+FAO!Q11</f>
        <v/>
      </c>
      <c r="X7" s="32" t="n"/>
      <c r="Y7" s="48" t="inlineStr">
        <is>
          <t>L50 (cm) =</t>
        </is>
      </c>
      <c r="Z7">
        <f>+FAO!T11</f>
        <v/>
      </c>
      <c r="AA7" s="32" t="n"/>
      <c r="AB7" s="48" t="inlineStr">
        <is>
          <t>L50 (cm) =</t>
        </is>
      </c>
      <c r="AC7">
        <f>+FAO!W11</f>
        <v/>
      </c>
      <c r="AD7" s="32" t="n"/>
    </row>
    <row r="8">
      <c r="D8" s="114" t="n"/>
      <c r="E8" s="115" t="n"/>
      <c r="F8" s="31" t="n"/>
      <c r="G8" s="48" t="inlineStr">
        <is>
          <t>Juven. (%) =</t>
        </is>
      </c>
      <c r="H8">
        <f>+ROUND(COUNTIFS($C$18:$C$2015,G$13,$D$18:$D$2015,"&lt;"&amp;H7)/COUNTIF($C$18:$C$2015,G$13)*100,0)</f>
        <v/>
      </c>
      <c r="I8" s="32" t="n"/>
      <c r="J8" s="48" t="inlineStr">
        <is>
          <t>Juven. (%) =</t>
        </is>
      </c>
      <c r="K8">
        <f>+ROUND(COUNTIFS($C$18:$C$2015,J$13,$D$18:$D$2015,"&lt;"&amp;K7)/COUNTIF($C$18:$C$2015,J$13)*100,0)</f>
        <v/>
      </c>
      <c r="L8" s="32" t="n"/>
      <c r="M8" s="48" t="inlineStr">
        <is>
          <t>Juven. (%) =</t>
        </is>
      </c>
      <c r="N8">
        <f>+ROUND(COUNTIFS($C$18:$C$2015,M$13,$D$18:$D$2015,"&lt;"&amp;N7)/COUNTIF($C$18:$C$2015,M$13)*100,0)</f>
        <v/>
      </c>
      <c r="O8" s="32" t="n"/>
      <c r="P8" s="48" t="inlineStr">
        <is>
          <t>Juven. (%) =</t>
        </is>
      </c>
      <c r="Q8">
        <f>+ROUND(COUNTIFS($C$18:$C$2015,P$13,$D$18:$D$2015,"&lt;"&amp;Q7)/COUNTIF($C$18:$C$2015,P$13)*100,0)</f>
        <v/>
      </c>
      <c r="R8" s="32" t="n"/>
      <c r="S8" s="48" t="inlineStr">
        <is>
          <t>Juven. (%) =</t>
        </is>
      </c>
      <c r="T8">
        <f>+ROUND(COUNTIFS($C$18:$C$2015,S$13,$D$18:$D$2015,"&lt;"&amp;T7)/COUNTIF($C$18:$C$2015,S$13)*100,0)</f>
        <v/>
      </c>
      <c r="U8" s="32" t="n"/>
      <c r="V8" s="48" t="inlineStr">
        <is>
          <t>Juven. (%) =</t>
        </is>
      </c>
      <c r="W8">
        <f>+ROUND(COUNTIFS($C$18:$C$2015,V$13,$D$18:$D$2015,"&lt;"&amp;W7)/COUNTIF($C$18:$C$2015,V$13)*100,0)</f>
        <v/>
      </c>
      <c r="X8" s="32" t="n"/>
      <c r="Y8" s="48" t="inlineStr">
        <is>
          <t>Juven. (%) =</t>
        </is>
      </c>
      <c r="Z8">
        <f>+ROUND(COUNTIFS($C$18:$C$2015,Y$13,$D$18:$D$2015,"&lt;"&amp;Z7)/COUNTIF($C$18:$C$2015,Y$13)*100,0)</f>
        <v/>
      </c>
      <c r="AA8" s="32" t="n"/>
      <c r="AB8" s="48" t="inlineStr">
        <is>
          <t>Juven. (%) =</t>
        </is>
      </c>
      <c r="AC8">
        <f>+ROUND(COUNTIFS($C$18:$C$2015,AB$13,$D$18:$D$2015,"&lt;"&amp;AC7)/COUNTIF($C$18:$C$2015,AB$13)*100,0)</f>
        <v/>
      </c>
      <c r="AD8" s="32" t="n"/>
    </row>
    <row r="9" customFormat="1" s="17">
      <c r="D9" s="114" t="n"/>
      <c r="E9" s="18" t="n"/>
      <c r="F9" s="31" t="n"/>
      <c r="G9" s="20">
        <f>+FAO!B6</f>
        <v/>
      </c>
      <c r="H9" s="117" t="n"/>
      <c r="I9" s="32" t="n"/>
      <c r="J9" s="20">
        <f>+FAO!E6</f>
        <v/>
      </c>
      <c r="K9" s="117" t="n"/>
      <c r="L9" s="32" t="n"/>
      <c r="M9" s="20">
        <f>+FAO!H6</f>
        <v/>
      </c>
      <c r="N9" s="117" t="n"/>
      <c r="O9" s="32" t="n"/>
      <c r="P9" s="20">
        <f>+FAO!K6</f>
        <v/>
      </c>
      <c r="Q9" s="117" t="n"/>
      <c r="R9" s="32" t="n"/>
      <c r="S9" s="20">
        <f>+FAO!N6</f>
        <v/>
      </c>
      <c r="T9" s="117" t="n"/>
      <c r="U9" s="32" t="n"/>
      <c r="V9" s="20">
        <f>+FAO!Q6</f>
        <v/>
      </c>
      <c r="W9" s="117" t="n"/>
      <c r="X9" s="32" t="n"/>
      <c r="Y9" s="20">
        <f>+FAO!T6</f>
        <v/>
      </c>
      <c r="Z9" s="117" t="n"/>
      <c r="AA9" s="32" t="n"/>
      <c r="AB9" s="20">
        <f>+FAO!W6</f>
        <v/>
      </c>
      <c r="AC9" s="117" t="n"/>
      <c r="AD9" s="32" t="n"/>
    </row>
    <row r="10" customFormat="1" s="1">
      <c r="D10" s="114" t="n"/>
      <c r="E10" s="33" t="n"/>
      <c r="F10" s="31" t="n"/>
      <c r="G10" s="20">
        <f>+FAO!B7</f>
        <v/>
      </c>
      <c r="H10" s="118" t="n"/>
      <c r="I10" s="32" t="n"/>
      <c r="J10" s="20">
        <f>+FAO!E7</f>
        <v/>
      </c>
      <c r="K10" s="118" t="n"/>
      <c r="L10" s="32" t="n"/>
      <c r="M10" s="20">
        <f>+FAO!H7</f>
        <v/>
      </c>
      <c r="N10" s="118" t="n"/>
      <c r="O10" s="32" t="n"/>
      <c r="P10" s="20">
        <f>+FAO!K7</f>
        <v/>
      </c>
      <c r="Q10" s="118" t="n"/>
      <c r="R10" s="32" t="n"/>
      <c r="S10" s="20">
        <f>+FAO!N7</f>
        <v/>
      </c>
      <c r="T10" s="118" t="n"/>
      <c r="U10" s="32" t="n"/>
      <c r="V10" s="20">
        <f>+FAO!Q7</f>
        <v/>
      </c>
      <c r="W10" s="118" t="n"/>
      <c r="X10" s="32" t="n"/>
      <c r="Y10" s="20">
        <f>+FAO!T7</f>
        <v/>
      </c>
      <c r="Z10" s="118" t="n"/>
      <c r="AA10" s="32" t="n"/>
      <c r="AB10" s="20">
        <f>+FAO!W7</f>
        <v/>
      </c>
      <c r="AC10" s="118" t="n"/>
      <c r="AD10" s="32" t="n"/>
    </row>
    <row r="11" customFormat="1" s="1">
      <c r="D11" s="114" t="n"/>
      <c r="E11" s="19" t="n"/>
      <c r="F11" s="31" t="n"/>
      <c r="G11" s="34">
        <f>+FAO!B9</f>
        <v/>
      </c>
      <c r="H11" s="119" t="n"/>
      <c r="I11" s="32" t="n"/>
      <c r="J11" s="34">
        <f>+FAO!E9</f>
        <v/>
      </c>
      <c r="K11" s="119" t="n"/>
      <c r="L11" s="32" t="n"/>
      <c r="M11" s="34">
        <f>+FAO!H9</f>
        <v/>
      </c>
      <c r="N11" s="119" t="n"/>
      <c r="O11" s="32" t="n"/>
      <c r="P11" s="34">
        <f>+FAO!K9</f>
        <v/>
      </c>
      <c r="Q11" s="119" t="n"/>
      <c r="R11" s="32" t="n"/>
      <c r="S11" s="34">
        <f>+FAO!N9</f>
        <v/>
      </c>
      <c r="T11" s="119" t="n"/>
      <c r="U11" s="32" t="n"/>
      <c r="V11" s="34">
        <f>+FAO!Q9</f>
        <v/>
      </c>
      <c r="W11" s="119" t="n"/>
      <c r="X11" s="32" t="n"/>
      <c r="Y11" s="34">
        <f>+FAO!T9</f>
        <v/>
      </c>
      <c r="Z11" s="119" t="n"/>
      <c r="AA11" s="32" t="n"/>
      <c r="AB11" s="34">
        <f>+FAO!W9</f>
        <v/>
      </c>
      <c r="AC11" s="119" t="n"/>
      <c r="AD11" s="32" t="n"/>
    </row>
    <row r="12">
      <c r="D12" s="114" t="n"/>
      <c r="E12" s="115" t="n"/>
      <c r="F12" s="31" t="n"/>
      <c r="G12" s="34">
        <f>+FAO!B5</f>
        <v/>
      </c>
      <c r="H12" s="120" t="n"/>
      <c r="I12" s="32" t="n"/>
      <c r="J12" s="34">
        <f>+FAO!E5</f>
        <v/>
      </c>
      <c r="K12" s="120" t="n"/>
      <c r="L12" s="32" t="n"/>
      <c r="M12" s="34">
        <f>+FAO!H5</f>
        <v/>
      </c>
      <c r="N12" s="120" t="n"/>
      <c r="O12" s="32" t="n"/>
      <c r="P12" s="34">
        <f>+FAO!K5</f>
        <v/>
      </c>
      <c r="Q12" s="120" t="n"/>
      <c r="R12" s="32" t="n"/>
      <c r="S12" s="34">
        <f>+FAO!N5</f>
        <v/>
      </c>
      <c r="T12" s="120" t="n"/>
      <c r="U12" s="32" t="n"/>
      <c r="V12" s="34">
        <f>+FAO!Q5</f>
        <v/>
      </c>
      <c r="W12" s="120" t="n"/>
      <c r="X12" s="32" t="n"/>
      <c r="Y12" s="34">
        <f>+FAO!T5</f>
        <v/>
      </c>
      <c r="Z12" s="120" t="n"/>
      <c r="AA12" s="32" t="n"/>
      <c r="AB12" s="34">
        <f>+FAO!W5</f>
        <v/>
      </c>
      <c r="AC12" s="120" t="n"/>
      <c r="AD12" s="32" t="n"/>
    </row>
    <row r="13" ht="39" customHeight="1" s="113">
      <c r="B13" s="49" t="n"/>
      <c r="D13" t="e">
        <v>#VALUE!</v>
      </c>
      <c r="E13" s="51">
        <f>COUNTA(C15:C1003)</f>
        <v/>
      </c>
      <c r="F13" s="31" t="n"/>
      <c r="G13" s="35">
        <f>+FAO!B1</f>
        <v/>
      </c>
      <c r="H13" s="121">
        <f>+FAO!B3</f>
        <v/>
      </c>
      <c r="I13" s="32" t="n"/>
      <c r="J13" s="35">
        <f>+FAO!E1</f>
        <v/>
      </c>
      <c r="K13" s="121">
        <f>+FAO!E3</f>
        <v/>
      </c>
      <c r="L13" s="32" t="n"/>
      <c r="M13" s="35">
        <f>+FAO!H1</f>
        <v/>
      </c>
      <c r="N13" s="121">
        <f>+FAO!H3</f>
        <v/>
      </c>
      <c r="O13" s="32" t="n"/>
      <c r="P13" s="35">
        <f>+FAO!K1</f>
        <v/>
      </c>
      <c r="Q13" s="121">
        <f>+FAO!K3</f>
        <v/>
      </c>
      <c r="R13" s="32" t="n"/>
      <c r="S13" s="35">
        <f>+FAO!N1</f>
        <v/>
      </c>
      <c r="T13" s="121">
        <f>+FAO!N3</f>
        <v/>
      </c>
      <c r="U13" s="32" t="n"/>
      <c r="V13" s="35">
        <f>+FAO!Q1</f>
        <v/>
      </c>
      <c r="W13" s="121">
        <f>+FAO!Q3</f>
        <v/>
      </c>
      <c r="X13" s="32" t="n"/>
      <c r="Y13" s="35">
        <f>+FAO!T1</f>
        <v/>
      </c>
      <c r="Z13" s="121">
        <f>+FAO!T3</f>
        <v/>
      </c>
      <c r="AA13" s="32" t="n"/>
      <c r="AB13" s="35">
        <f>+FAO!W1</f>
        <v/>
      </c>
      <c r="AC13" s="121">
        <f>+FAO!W3</f>
        <v/>
      </c>
      <c r="AD13" s="32" t="n"/>
    </row>
    <row r="14" customFormat="1" s="54">
      <c r="A14" s="99" t="inlineStr">
        <is>
          <t>TRIP</t>
        </is>
      </c>
      <c r="B14" s="99" t="inlineStr">
        <is>
          <t>DATE</t>
        </is>
      </c>
      <c r="C14" s="99" t="inlineStr">
        <is>
          <t>FAO</t>
        </is>
      </c>
      <c r="D14" s="122" t="inlineStr">
        <is>
          <t>OBS</t>
        </is>
      </c>
      <c r="E14" s="99" t="inlineStr">
        <is>
          <t>ID</t>
        </is>
      </c>
      <c r="F14" s="52" t="n"/>
      <c r="G14" s="50">
        <f>"LC-"&amp;G13</f>
        <v/>
      </c>
      <c r="H14" s="123">
        <f>"FQ-"&amp;G13</f>
        <v/>
      </c>
      <c r="I14" s="53" t="n"/>
      <c r="J14" s="50">
        <f>"LC-"&amp;J13</f>
        <v/>
      </c>
      <c r="K14" s="123">
        <f>"FQ-"&amp;J13</f>
        <v/>
      </c>
      <c r="L14" s="53" t="n"/>
      <c r="M14" s="50">
        <f>"LC-"&amp;M13</f>
        <v/>
      </c>
      <c r="N14" s="123">
        <f>"FQ-"&amp;M13</f>
        <v/>
      </c>
      <c r="O14" s="53" t="n"/>
      <c r="P14" s="50">
        <f>"LC-"&amp;P13</f>
        <v/>
      </c>
      <c r="Q14" s="123">
        <f>"FQ-"&amp;P13</f>
        <v/>
      </c>
      <c r="R14" s="53" t="n"/>
      <c r="S14" s="50">
        <f>"LC-"&amp;S13</f>
        <v/>
      </c>
      <c r="T14" s="123">
        <f>"FQ-"&amp;S13</f>
        <v/>
      </c>
      <c r="U14" s="53" t="n"/>
      <c r="V14" s="50">
        <f>"LC-"&amp;V13</f>
        <v/>
      </c>
      <c r="W14" s="123">
        <f>"FQ-"&amp;V13</f>
        <v/>
      </c>
      <c r="X14" s="53" t="n"/>
      <c r="Y14" s="50">
        <f>"LC-"&amp;Y13</f>
        <v/>
      </c>
      <c r="Z14" s="123">
        <f>"FQ-"&amp;Y13</f>
        <v/>
      </c>
      <c r="AA14" s="53" t="n"/>
      <c r="AB14" s="50">
        <f>"LC-"&amp;AB13</f>
        <v/>
      </c>
      <c r="AC14" s="123">
        <f>"FQ-"&amp;AB13</f>
        <v/>
      </c>
      <c r="AD14" s="53" t="n"/>
    </row>
    <row r="15">
      <c r="A15" s="58" t="n"/>
      <c r="B15" s="59" t="n"/>
      <c r="C15" s="59" t="n"/>
      <c r="D15" s="126" t="n"/>
      <c r="E15" s="16">
        <f t="array" ref="E15">+_xlfn.SEQUENCE(E13,1,1)</f>
        <v/>
      </c>
      <c r="F15" s="13" t="n"/>
      <c r="G15" s="16">
        <f t="array" ref="G15:G85">_xlfn.SEQUENCE(((H1-H4)/H5)+1, 1, H4, H5)</f>
        <v/>
      </c>
      <c r="H15" s="124">
        <f>IF(G15="","",COUNTIFS($C$18:$C$2015,G$13,$D$18:$D$2015,"&gt;="&amp;G15,$D$18:$D$2015,"&lt;"&amp;G16))</f>
        <v/>
      </c>
      <c r="I15" s="14" t="n"/>
      <c r="J15" s="16">
        <f t="array" ref="J15:J43">_xlfn.SEQUENCE(((K1-K4)/K5)+1, 1, K4, K5)</f>
        <v/>
      </c>
      <c r="K15" s="124">
        <f>IF(J15="","",COUNTIFS($C$18:$C$2015,J$13,$D$18:$D$2015,"&gt;="&amp;J15,$D$18:$D$2015,"&lt;"&amp;J16))</f>
        <v/>
      </c>
      <c r="L15" s="14" t="n"/>
      <c r="M15" s="16">
        <f t="array" ref="M15:M55">_xlfn.SEQUENCE(((N1-N4)/N5)+1, 1, N4, N5)</f>
        <v/>
      </c>
      <c r="N15" s="124">
        <f>IF(M15="","",COUNTIFS($C$18:$C$2015,M$13,$D$18:$D$2015,"&gt;="&amp;M15,$D$18:$D$2015,"&lt;"&amp;M16))</f>
        <v/>
      </c>
      <c r="O15" s="14" t="n"/>
      <c r="P15" s="16">
        <f t="array" ref="P15:P85">_xlfn.SEQUENCE(((Q1-Q4)/Q5)+1, 1, Q4, Q5)</f>
        <v/>
      </c>
      <c r="Q15" s="124">
        <f>IF(P15="","",COUNTIFS($C$18:$C$2015,P$13,$D$18:$D$2015,"&gt;="&amp;P15,$D$18:$D$2015,"&lt;"&amp;P16))</f>
        <v/>
      </c>
      <c r="R15" s="14" t="n"/>
      <c r="S15" s="16">
        <f t="array" ref="S15:S60">_xlfn.SEQUENCE(((T1-T4)/T5)+1, 1, T4, T5)</f>
        <v/>
      </c>
      <c r="T15" s="124">
        <f>IF(S15="","",COUNTIFS($C$18:$C$2015,S$13,$D$18:$D$2015,"&gt;="&amp;S15,$D$18:$D$2015,"&lt;"&amp;S16))</f>
        <v/>
      </c>
      <c r="U15" s="14" t="n"/>
      <c r="V15" s="16">
        <f t="array" ref="V15:V50">_xlfn.SEQUENCE(((W1-W4)/W5)+1, 1, W4, W5)</f>
        <v/>
      </c>
      <c r="W15" s="124">
        <f>IF(V15="","",COUNTIFS($C$18:$C$2015,V$13,$D$18:$D$2015,"&gt;="&amp;V15,$D$18:$D$2015,"&lt;"&amp;V16))</f>
        <v/>
      </c>
      <c r="X15" s="14" t="n"/>
      <c r="Y15" s="16">
        <f t="array" ref="Y15:Y50">_xlfn.SEQUENCE(((Z1-Z4)/Z5)+1, 1, Z4, Z5)</f>
        <v/>
      </c>
      <c r="Z15" s="124">
        <f>IF(Y15="","",COUNTIFS($C$18:$C$2015,Y$13,$D$18:$D$2015,"&gt;="&amp;Y15,$D$18:$D$2015,"&lt;"&amp;Y16))</f>
        <v/>
      </c>
      <c r="AA15" s="14" t="n"/>
      <c r="AB15" s="16">
        <f t="array" ref="AB15:AB67">_xlfn.SEQUENCE(((AC1-AC4)/AC5)+1, 1, AC4, AC5)</f>
        <v/>
      </c>
      <c r="AC15" s="124">
        <f>IF(AB15="","",COUNTIFS($C$18:$C$2015,AB$13,$D$18:$D$2015,"&gt;="&amp;AB15,$D$18:$D$2015,"&lt;"&amp;AB16))</f>
        <v/>
      </c>
      <c r="AD15" s="14" t="n"/>
    </row>
    <row r="16">
      <c r="A16" s="56" t="n"/>
      <c r="B16" s="57" t="n"/>
      <c r="C16" s="57" t="n"/>
      <c r="D16" s="127" t="n"/>
      <c r="E16" s="16" t="n"/>
      <c r="F16" s="13" t="n"/>
      <c r="G16" s="16" t="n">
        <v>11</v>
      </c>
      <c r="H16" s="124">
        <f>IF(G16="","",COUNTIFS($C$18:$C$2015,G$13,$D$18:$D$2015,"&gt;="&amp;G16,$D$18:$D$2015,"&lt;"&amp;G17))</f>
        <v/>
      </c>
      <c r="I16" s="14" t="n"/>
      <c r="J16" s="16" t="n">
        <v>15</v>
      </c>
      <c r="K16" s="124">
        <f>IF(J16="","",COUNTIFS($C$18:$C$2015,J$13,$D$18:$D$2015,"&gt;="&amp;J16,$D$18:$D$2015,"&lt;"&amp;J17))</f>
        <v/>
      </c>
      <c r="L16" s="14" t="n"/>
      <c r="M16" s="16" t="n">
        <v>12</v>
      </c>
      <c r="N16" s="124">
        <f>IF(M16="","",COUNTIFS($C$18:$C$2015,M$13,$D$18:$D$2015,"&gt;="&amp;M16,$D$18:$D$2015,"&lt;"&amp;M17))</f>
        <v/>
      </c>
      <c r="O16" s="14" t="n"/>
      <c r="P16" s="16" t="n">
        <v>11</v>
      </c>
      <c r="Q16" s="124">
        <f>IF(P16="","",COUNTIFS($C$18:$C$2015,P$13,$D$18:$D$2015,"&gt;="&amp;P16,$D$18:$D$2015,"&lt;"&amp;P17))</f>
        <v/>
      </c>
      <c r="R16" s="14" t="n"/>
      <c r="S16" s="16" t="n">
        <v>12</v>
      </c>
      <c r="T16" s="124">
        <f>IF(S16="","",COUNTIFS($C$18:$C$2015,S$13,$D$18:$D$2015,"&gt;="&amp;S16,$D$18:$D$2015,"&lt;"&amp;S17))</f>
        <v/>
      </c>
      <c r="U16" s="14" t="n"/>
      <c r="V16" s="16" t="n">
        <v>12</v>
      </c>
      <c r="W16" s="124">
        <f>IF(V16="","",COUNTIFS($C$18:$C$2015,V$13,$D$18:$D$2015,"&gt;="&amp;V16,$D$18:$D$2015,"&lt;"&amp;V17))</f>
        <v/>
      </c>
      <c r="X16" s="14" t="n"/>
      <c r="Y16" s="16" t="n">
        <v>12</v>
      </c>
      <c r="Z16" s="124">
        <f>IF(Y16="","",COUNTIFS($C$18:$C$2015,Y$13,$D$18:$D$2015,"&gt;="&amp;Y16,$D$18:$D$2015,"&lt;"&amp;Y17))</f>
        <v/>
      </c>
      <c r="AA16" s="14" t="n"/>
      <c r="AB16" s="16" t="n">
        <v>11</v>
      </c>
      <c r="AC16" s="124">
        <f>IF(AB16="","",COUNTIFS($C$18:$C$2015,AB$13,$D$18:$D$2015,"&gt;="&amp;AB16,$D$18:$D$2015,"&lt;"&amp;AB17))</f>
        <v/>
      </c>
      <c r="AD16" s="14" t="n"/>
    </row>
    <row r="17">
      <c r="A17" s="58" t="n"/>
      <c r="B17" s="59" t="n"/>
      <c r="C17" s="59" t="n"/>
      <c r="D17" s="126" t="n"/>
      <c r="E17" s="16" t="n"/>
      <c r="F17" s="13" t="n"/>
      <c r="G17" s="16" t="n">
        <v>12</v>
      </c>
      <c r="H17" s="124">
        <f>IF(G17="","",COUNTIFS($C$18:$C$2015,G$13,$D$18:$D$2015,"&gt;="&amp;G17,$D$18:$D$2015,"&lt;"&amp;G18))</f>
        <v/>
      </c>
      <c r="I17" s="14" t="n"/>
      <c r="J17" s="16" t="n">
        <v>20</v>
      </c>
      <c r="K17" s="124">
        <f>IF(J17="","",COUNTIFS($C$18:$C$2015,J$13,$D$18:$D$2015,"&gt;="&amp;J17,$D$18:$D$2015,"&lt;"&amp;J18))</f>
        <v/>
      </c>
      <c r="L17" s="14" t="n"/>
      <c r="M17" s="16" t="n">
        <v>14</v>
      </c>
      <c r="N17" s="124">
        <f>IF(M17="","",COUNTIFS($C$18:$C$2015,M$13,$D$18:$D$2015,"&gt;="&amp;M17,$D$18:$D$2015,"&lt;"&amp;M18))</f>
        <v/>
      </c>
      <c r="O17" s="14" t="n"/>
      <c r="P17" s="16" t="n">
        <v>12</v>
      </c>
      <c r="Q17" s="124">
        <f>IF(P17="","",COUNTIFS($C$18:$C$2015,P$13,$D$18:$D$2015,"&gt;="&amp;P17,$D$18:$D$2015,"&lt;"&amp;P18))</f>
        <v/>
      </c>
      <c r="R17" s="14" t="n"/>
      <c r="S17" s="16" t="n">
        <v>14</v>
      </c>
      <c r="T17" s="124">
        <f>IF(S17="","",COUNTIFS($C$18:$C$2015,S$13,$D$18:$D$2015,"&gt;="&amp;S17,$D$18:$D$2015,"&lt;"&amp;S18))</f>
        <v/>
      </c>
      <c r="U17" s="14" t="n"/>
      <c r="V17" s="16" t="n">
        <v>14</v>
      </c>
      <c r="W17" s="124">
        <f>IF(V17="","",COUNTIFS($C$18:$C$2015,V$13,$D$18:$D$2015,"&gt;="&amp;V17,$D$18:$D$2015,"&lt;"&amp;V18))</f>
        <v/>
      </c>
      <c r="X17" s="14" t="n"/>
      <c r="Y17" s="16" t="n">
        <v>14</v>
      </c>
      <c r="Z17" s="124">
        <f>IF(Y17="","",COUNTIFS($C$18:$C$2015,Y$13,$D$18:$D$2015,"&gt;="&amp;Y17,$D$18:$D$2015,"&lt;"&amp;Y18))</f>
        <v/>
      </c>
      <c r="AA17" s="14" t="n"/>
      <c r="AB17" s="16" t="n">
        <v>12</v>
      </c>
      <c r="AC17" s="124">
        <f>IF(AB17="","",COUNTIFS($C$18:$C$2015,AB$13,$D$18:$D$2015,"&gt;="&amp;AB17,$D$18:$D$2015,"&lt;"&amp;AB18))</f>
        <v/>
      </c>
      <c r="AD17" s="14" t="n"/>
    </row>
    <row r="18">
      <c r="A18" s="56" t="n"/>
      <c r="B18" s="57" t="n"/>
      <c r="C18" s="57" t="n"/>
      <c r="D18" s="127" t="n"/>
      <c r="E18" s="16" t="n"/>
      <c r="F18" s="13" t="n"/>
      <c r="G18" s="16" t="n">
        <v>13</v>
      </c>
      <c r="H18" s="124">
        <f>IF(G18="","",COUNTIFS($C$18:$C$2015,G$13,$D$18:$D$2015,"&gt;="&amp;G18,$D$18:$D$2015,"&lt;"&amp;G19))</f>
        <v/>
      </c>
      <c r="I18" s="14" t="n"/>
      <c r="J18" s="16" t="n">
        <v>25</v>
      </c>
      <c r="K18" s="124">
        <f>IF(J18="","",COUNTIFS($C$18:$C$2015,J$13,$D$18:$D$2015,"&gt;="&amp;J18,$D$18:$D$2015,"&lt;"&amp;J19))</f>
        <v/>
      </c>
      <c r="L18" s="14" t="n"/>
      <c r="M18" s="16" t="n">
        <v>16</v>
      </c>
      <c r="N18" s="124">
        <f>IF(M18="","",COUNTIFS($C$18:$C$2015,M$13,$D$18:$D$2015,"&gt;="&amp;M18,$D$18:$D$2015,"&lt;"&amp;M19))</f>
        <v/>
      </c>
      <c r="O18" s="14" t="n"/>
      <c r="P18" s="16" t="n">
        <v>13</v>
      </c>
      <c r="Q18" s="124">
        <f>IF(P18="","",COUNTIFS($C$18:$C$2015,P$13,$D$18:$D$2015,"&gt;="&amp;P18,$D$18:$D$2015,"&lt;"&amp;P19))</f>
        <v/>
      </c>
      <c r="R18" s="14" t="n"/>
      <c r="S18" s="16" t="n">
        <v>16</v>
      </c>
      <c r="T18" s="124">
        <f>IF(S18="","",COUNTIFS($C$18:$C$2015,S$13,$D$18:$D$2015,"&gt;="&amp;S18,$D$18:$D$2015,"&lt;"&amp;S19))</f>
        <v/>
      </c>
      <c r="U18" s="14" t="n"/>
      <c r="V18" s="16" t="n">
        <v>16</v>
      </c>
      <c r="W18" s="124">
        <f>IF(V18="","",COUNTIFS($C$18:$C$2015,V$13,$D$18:$D$2015,"&gt;="&amp;V18,$D$18:$D$2015,"&lt;"&amp;V19))</f>
        <v/>
      </c>
      <c r="X18" s="14" t="n"/>
      <c r="Y18" s="16" t="n">
        <v>16</v>
      </c>
      <c r="Z18" s="124">
        <f>IF(Y18="","",COUNTIFS($C$18:$C$2015,Y$13,$D$18:$D$2015,"&gt;="&amp;Y18,$D$18:$D$2015,"&lt;"&amp;Y19))</f>
        <v/>
      </c>
      <c r="AA18" s="14" t="n"/>
      <c r="AB18" s="16" t="n">
        <v>13</v>
      </c>
      <c r="AC18" s="124">
        <f>IF(AB18="","",COUNTIFS($C$18:$C$2015,AB$13,$D$18:$D$2015,"&gt;="&amp;AB18,$D$18:$D$2015,"&lt;"&amp;AB19))</f>
        <v/>
      </c>
      <c r="AD18" s="14" t="n"/>
    </row>
    <row r="19">
      <c r="A19" s="58" t="n"/>
      <c r="B19" s="59" t="n"/>
      <c r="C19" s="59" t="n"/>
      <c r="D19" s="126" t="n"/>
      <c r="E19" s="16" t="n"/>
      <c r="F19" s="13" t="n"/>
      <c r="G19" s="16" t="n">
        <v>14</v>
      </c>
      <c r="H19" s="124">
        <f>IF(G19="","",COUNTIFS($C$18:$C$2015,G$13,$D$18:$D$2015,"&gt;="&amp;G19,$D$18:$D$2015,"&lt;"&amp;G20))</f>
        <v/>
      </c>
      <c r="I19" s="14" t="n"/>
      <c r="J19" s="16" t="n">
        <v>30</v>
      </c>
      <c r="K19" s="124">
        <f>IF(J19="","",COUNTIFS($C$18:$C$2015,J$13,$D$18:$D$2015,"&gt;="&amp;J19,$D$18:$D$2015,"&lt;"&amp;J20))</f>
        <v/>
      </c>
      <c r="L19" s="14" t="n"/>
      <c r="M19" s="16" t="n">
        <v>18</v>
      </c>
      <c r="N19" s="124">
        <f>IF(M19="","",COUNTIFS($C$18:$C$2015,M$13,$D$18:$D$2015,"&gt;="&amp;M19,$D$18:$D$2015,"&lt;"&amp;M20))</f>
        <v/>
      </c>
      <c r="O19" s="14" t="n"/>
      <c r="P19" s="16" t="n">
        <v>14</v>
      </c>
      <c r="Q19" s="124">
        <f>IF(P19="","",COUNTIFS($C$18:$C$2015,P$13,$D$18:$D$2015,"&gt;="&amp;P19,$D$18:$D$2015,"&lt;"&amp;P20))</f>
        <v/>
      </c>
      <c r="R19" s="14" t="n"/>
      <c r="S19" s="16" t="n">
        <v>18</v>
      </c>
      <c r="T19" s="124">
        <f>IF(S19="","",COUNTIFS($C$18:$C$2015,S$13,$D$18:$D$2015,"&gt;="&amp;S19,$D$18:$D$2015,"&lt;"&amp;S20))</f>
        <v/>
      </c>
      <c r="U19" s="14" t="n"/>
      <c r="V19" s="16" t="n">
        <v>18</v>
      </c>
      <c r="W19" s="124">
        <f>IF(V19="","",COUNTIFS($C$18:$C$2015,V$13,$D$18:$D$2015,"&gt;="&amp;V19,$D$18:$D$2015,"&lt;"&amp;V20))</f>
        <v/>
      </c>
      <c r="X19" s="14" t="n"/>
      <c r="Y19" s="16" t="n">
        <v>18</v>
      </c>
      <c r="Z19" s="124">
        <f>IF(Y19="","",COUNTIFS($C$18:$C$2015,Y$13,$D$18:$D$2015,"&gt;="&amp;Y19,$D$18:$D$2015,"&lt;"&amp;Y20))</f>
        <v/>
      </c>
      <c r="AA19" s="14" t="n"/>
      <c r="AB19" s="16" t="n">
        <v>14</v>
      </c>
      <c r="AC19" s="124">
        <f>IF(AB19="","",COUNTIFS($C$18:$C$2015,AB$13,$D$18:$D$2015,"&gt;="&amp;AB19,$D$18:$D$2015,"&lt;"&amp;AB20))</f>
        <v/>
      </c>
      <c r="AD19" s="14" t="n"/>
    </row>
    <row r="20">
      <c r="A20" s="56" t="n"/>
      <c r="B20" s="57" t="n"/>
      <c r="C20" s="57" t="n"/>
      <c r="D20" s="127" t="n"/>
      <c r="E20" s="16" t="n"/>
      <c r="F20" s="13" t="n"/>
      <c r="G20" s="16" t="n">
        <v>15</v>
      </c>
      <c r="H20" s="124">
        <f>IF(G20="","",COUNTIFS($C$18:$C$2015,G$13,$D$18:$D$2015,"&gt;="&amp;G20,$D$18:$D$2015,"&lt;"&amp;G21))</f>
        <v/>
      </c>
      <c r="I20" s="14" t="n"/>
      <c r="J20" s="16" t="n">
        <v>35</v>
      </c>
      <c r="K20" s="124">
        <f>IF(J20="","",COUNTIFS($C$18:$C$2015,J$13,$D$18:$D$2015,"&gt;="&amp;J20,$D$18:$D$2015,"&lt;"&amp;J21))</f>
        <v/>
      </c>
      <c r="L20" s="14" t="n"/>
      <c r="M20" s="16" t="n">
        <v>20</v>
      </c>
      <c r="N20" s="124">
        <f>IF(M20="","",COUNTIFS($C$18:$C$2015,M$13,$D$18:$D$2015,"&gt;="&amp;M20,$D$18:$D$2015,"&lt;"&amp;M21))</f>
        <v/>
      </c>
      <c r="O20" s="14" t="n"/>
      <c r="P20" s="16" t="n">
        <v>15</v>
      </c>
      <c r="Q20" s="124">
        <f>IF(P20="","",COUNTIFS($C$18:$C$2015,P$13,$D$18:$D$2015,"&gt;="&amp;P20,$D$18:$D$2015,"&lt;"&amp;P21))</f>
        <v/>
      </c>
      <c r="R20" s="14" t="n"/>
      <c r="S20" s="16" t="n">
        <v>20</v>
      </c>
      <c r="T20" s="124">
        <f>IF(S20="","",COUNTIFS($C$18:$C$2015,S$13,$D$18:$D$2015,"&gt;="&amp;S20,$D$18:$D$2015,"&lt;"&amp;S21))</f>
        <v/>
      </c>
      <c r="U20" s="14" t="n"/>
      <c r="V20" s="16" t="n">
        <v>20</v>
      </c>
      <c r="W20" s="124">
        <f>IF(V20="","",COUNTIFS($C$18:$C$2015,V$13,$D$18:$D$2015,"&gt;="&amp;V20,$D$18:$D$2015,"&lt;"&amp;V21))</f>
        <v/>
      </c>
      <c r="X20" s="14" t="n"/>
      <c r="Y20" s="16" t="n">
        <v>20</v>
      </c>
      <c r="Z20" s="124">
        <f>IF(Y20="","",COUNTIFS($C$18:$C$2015,Y$13,$D$18:$D$2015,"&gt;="&amp;Y20,$D$18:$D$2015,"&lt;"&amp;Y21))</f>
        <v/>
      </c>
      <c r="AA20" s="14" t="n"/>
      <c r="AB20" s="16" t="n">
        <v>15</v>
      </c>
      <c r="AC20" s="124">
        <f>IF(AB20="","",COUNTIFS($C$18:$C$2015,AB$13,$D$18:$D$2015,"&gt;="&amp;AB20,$D$18:$D$2015,"&lt;"&amp;AB21))</f>
        <v/>
      </c>
      <c r="AD20" s="14" t="n"/>
    </row>
    <row r="21">
      <c r="A21" s="58" t="n"/>
      <c r="B21" s="59" t="n"/>
      <c r="C21" s="59" t="n"/>
      <c r="D21" s="126" t="n"/>
      <c r="E21" s="16" t="n"/>
      <c r="F21" s="13" t="n"/>
      <c r="G21" s="16" t="n">
        <v>16</v>
      </c>
      <c r="H21" s="124">
        <f>IF(G21="","",COUNTIFS($C$18:$C$2015,G$13,$D$18:$D$2015,"&gt;="&amp;G21,$D$18:$D$2015,"&lt;"&amp;G22))</f>
        <v/>
      </c>
      <c r="I21" s="14" t="n"/>
      <c r="J21" s="16" t="n">
        <v>40</v>
      </c>
      <c r="K21" s="124">
        <f>IF(J21="","",COUNTIFS($C$18:$C$2015,J$13,$D$18:$D$2015,"&gt;="&amp;J21,$D$18:$D$2015,"&lt;"&amp;J22))</f>
        <v/>
      </c>
      <c r="L21" s="14" t="n"/>
      <c r="M21" s="16" t="n">
        <v>22</v>
      </c>
      <c r="N21" s="124">
        <f>IF(M21="","",COUNTIFS($C$18:$C$2015,M$13,$D$18:$D$2015,"&gt;="&amp;M21,$D$18:$D$2015,"&lt;"&amp;M22))</f>
        <v/>
      </c>
      <c r="O21" s="14" t="n"/>
      <c r="P21" s="16" t="n">
        <v>16</v>
      </c>
      <c r="Q21" s="124">
        <f>IF(P21="","",COUNTIFS($C$18:$C$2015,P$13,$D$18:$D$2015,"&gt;="&amp;P21,$D$18:$D$2015,"&lt;"&amp;P22))</f>
        <v/>
      </c>
      <c r="R21" s="14" t="n"/>
      <c r="S21" s="16" t="n">
        <v>22</v>
      </c>
      <c r="T21" s="124">
        <f>IF(S21="","",COUNTIFS($C$18:$C$2015,S$13,$D$18:$D$2015,"&gt;="&amp;S21,$D$18:$D$2015,"&lt;"&amp;S22))</f>
        <v/>
      </c>
      <c r="U21" s="14" t="n"/>
      <c r="V21" s="16" t="n">
        <v>22</v>
      </c>
      <c r="W21" s="124">
        <f>IF(V21="","",COUNTIFS($C$18:$C$2015,V$13,$D$18:$D$2015,"&gt;="&amp;V21,$D$18:$D$2015,"&lt;"&amp;V22))</f>
        <v/>
      </c>
      <c r="X21" s="14" t="n"/>
      <c r="Y21" s="16" t="n">
        <v>22</v>
      </c>
      <c r="Z21" s="124">
        <f>IF(Y21="","",COUNTIFS($C$18:$C$2015,Y$13,$D$18:$D$2015,"&gt;="&amp;Y21,$D$18:$D$2015,"&lt;"&amp;Y22))</f>
        <v/>
      </c>
      <c r="AA21" s="14" t="n"/>
      <c r="AB21" s="16" t="n">
        <v>16</v>
      </c>
      <c r="AC21" s="124">
        <f>IF(AB21="","",COUNTIFS($C$18:$C$2015,AB$13,$D$18:$D$2015,"&gt;="&amp;AB21,$D$18:$D$2015,"&lt;"&amp;AB22))</f>
        <v/>
      </c>
      <c r="AD21" s="14" t="n"/>
    </row>
    <row r="22">
      <c r="A22" s="56" t="n"/>
      <c r="B22" s="57" t="n"/>
      <c r="C22" s="57" t="n"/>
      <c r="D22" s="127" t="n"/>
      <c r="E22" s="16" t="n"/>
      <c r="F22" s="13" t="n"/>
      <c r="G22" s="16" t="n">
        <v>17</v>
      </c>
      <c r="H22" s="124">
        <f>IF(G22="","",COUNTIFS($C$18:$C$2015,G$13,$D$18:$D$2015,"&gt;="&amp;G22,$D$18:$D$2015,"&lt;"&amp;G23))</f>
        <v/>
      </c>
      <c r="I22" s="14" t="n"/>
      <c r="J22" s="16" t="n">
        <v>45</v>
      </c>
      <c r="K22" s="124">
        <f>IF(J22="","",COUNTIFS($C$18:$C$2015,J$13,$D$18:$D$2015,"&gt;="&amp;J22,$D$18:$D$2015,"&lt;"&amp;J23))</f>
        <v/>
      </c>
      <c r="L22" s="14" t="n"/>
      <c r="M22" s="16" t="n">
        <v>24</v>
      </c>
      <c r="N22" s="124">
        <f>IF(M22="","",COUNTIFS($C$18:$C$2015,M$13,$D$18:$D$2015,"&gt;="&amp;M22,$D$18:$D$2015,"&lt;"&amp;M23))</f>
        <v/>
      </c>
      <c r="O22" s="14" t="n"/>
      <c r="P22" s="16" t="n">
        <v>17</v>
      </c>
      <c r="Q22" s="124">
        <f>IF(P22="","",COUNTIFS($C$18:$C$2015,P$13,$D$18:$D$2015,"&gt;="&amp;P22,$D$18:$D$2015,"&lt;"&amp;P23))</f>
        <v/>
      </c>
      <c r="R22" s="14" t="n"/>
      <c r="S22" s="16" t="n">
        <v>24</v>
      </c>
      <c r="T22" s="124">
        <f>IF(S22="","",COUNTIFS($C$18:$C$2015,S$13,$D$18:$D$2015,"&gt;="&amp;S22,$D$18:$D$2015,"&lt;"&amp;S23))</f>
        <v/>
      </c>
      <c r="U22" s="14" t="n"/>
      <c r="V22" s="16" t="n">
        <v>24</v>
      </c>
      <c r="W22" s="124">
        <f>IF(V22="","",COUNTIFS($C$18:$C$2015,V$13,$D$18:$D$2015,"&gt;="&amp;V22,$D$18:$D$2015,"&lt;"&amp;V23))</f>
        <v/>
      </c>
      <c r="X22" s="14" t="n"/>
      <c r="Y22" s="16" t="n">
        <v>24</v>
      </c>
      <c r="Z22" s="124">
        <f>IF(Y22="","",COUNTIFS($C$18:$C$2015,Y$13,$D$18:$D$2015,"&gt;="&amp;Y22,$D$18:$D$2015,"&lt;"&amp;Y23))</f>
        <v/>
      </c>
      <c r="AA22" s="14" t="n"/>
      <c r="AB22" s="16" t="n">
        <v>17</v>
      </c>
      <c r="AC22" s="124">
        <f>IF(AB22="","",COUNTIFS($C$18:$C$2015,AB$13,$D$18:$D$2015,"&gt;="&amp;AB22,$D$18:$D$2015,"&lt;"&amp;AB23))</f>
        <v/>
      </c>
      <c r="AD22" s="14" t="n"/>
    </row>
    <row r="23">
      <c r="A23" s="58" t="n"/>
      <c r="B23" s="59" t="n"/>
      <c r="C23" s="59" t="n"/>
      <c r="D23" s="126" t="n"/>
      <c r="E23" s="16" t="n"/>
      <c r="F23" s="13" t="n"/>
      <c r="G23" s="16" t="n">
        <v>18</v>
      </c>
      <c r="H23" s="124">
        <f>IF(G23="","",COUNTIFS($C$18:$C$2015,G$13,$D$18:$D$2015,"&gt;="&amp;G23,$D$18:$D$2015,"&lt;"&amp;G24))</f>
        <v/>
      </c>
      <c r="I23" s="14" t="n"/>
      <c r="J23" s="16" t="n">
        <v>50</v>
      </c>
      <c r="K23" s="124">
        <f>IF(J23="","",COUNTIFS($C$18:$C$2015,J$13,$D$18:$D$2015,"&gt;="&amp;J23,$D$18:$D$2015,"&lt;"&amp;J24))</f>
        <v/>
      </c>
      <c r="L23" s="14" t="n"/>
      <c r="M23" s="16" t="n">
        <v>26</v>
      </c>
      <c r="N23" s="124">
        <f>IF(M23="","",COUNTIFS($C$18:$C$2015,M$13,$D$18:$D$2015,"&gt;="&amp;M23,$D$18:$D$2015,"&lt;"&amp;M24))</f>
        <v/>
      </c>
      <c r="O23" s="14" t="n"/>
      <c r="P23" s="16" t="n">
        <v>18</v>
      </c>
      <c r="Q23" s="124">
        <f>IF(P23="","",COUNTIFS($C$18:$C$2015,P$13,$D$18:$D$2015,"&gt;="&amp;P23,$D$18:$D$2015,"&lt;"&amp;P24))</f>
        <v/>
      </c>
      <c r="R23" s="14" t="n"/>
      <c r="S23" s="16" t="n">
        <v>26</v>
      </c>
      <c r="T23" s="124">
        <f>IF(S23="","",COUNTIFS($C$18:$C$2015,S$13,$D$18:$D$2015,"&gt;="&amp;S23,$D$18:$D$2015,"&lt;"&amp;S24))</f>
        <v/>
      </c>
      <c r="U23" s="14" t="n"/>
      <c r="V23" s="16" t="n">
        <v>26</v>
      </c>
      <c r="W23" s="124">
        <f>IF(V23="","",COUNTIFS($C$18:$C$2015,V$13,$D$18:$D$2015,"&gt;="&amp;V23,$D$18:$D$2015,"&lt;"&amp;V24))</f>
        <v/>
      </c>
      <c r="X23" s="14" t="n"/>
      <c r="Y23" s="16" t="n">
        <v>26</v>
      </c>
      <c r="Z23" s="124">
        <f>IF(Y23="","",COUNTIFS($C$18:$C$2015,Y$13,$D$18:$D$2015,"&gt;="&amp;Y23,$D$18:$D$2015,"&lt;"&amp;Y24))</f>
        <v/>
      </c>
      <c r="AA23" s="14" t="n"/>
      <c r="AB23" s="16" t="n">
        <v>18</v>
      </c>
      <c r="AC23" s="124">
        <f>IF(AB23="","",COUNTIFS($C$18:$C$2015,AB$13,$D$18:$D$2015,"&gt;="&amp;AB23,$D$18:$D$2015,"&lt;"&amp;AB24))</f>
        <v/>
      </c>
      <c r="AD23" s="14" t="n"/>
    </row>
    <row r="24">
      <c r="A24" s="56" t="n"/>
      <c r="B24" s="57" t="n"/>
      <c r="C24" s="57" t="n"/>
      <c r="D24" s="127" t="n"/>
      <c r="E24" s="16" t="n"/>
      <c r="F24" s="13" t="n"/>
      <c r="G24" s="16" t="n">
        <v>19</v>
      </c>
      <c r="H24" s="124">
        <f>IF(G24="","",COUNTIFS($C$18:$C$2015,G$13,$D$18:$D$2015,"&gt;="&amp;G24,$D$18:$D$2015,"&lt;"&amp;G25))</f>
        <v/>
      </c>
      <c r="I24" s="14" t="n"/>
      <c r="J24" s="16" t="n">
        <v>55</v>
      </c>
      <c r="K24" s="124">
        <f>IF(J24="","",COUNTIFS($C$18:$C$2015,J$13,$D$18:$D$2015,"&gt;="&amp;J24,$D$18:$D$2015,"&lt;"&amp;J25))</f>
        <v/>
      </c>
      <c r="L24" s="14" t="n"/>
      <c r="M24" s="16" t="n">
        <v>28</v>
      </c>
      <c r="N24" s="124">
        <f>IF(M24="","",COUNTIFS($C$18:$C$2015,M$13,$D$18:$D$2015,"&gt;="&amp;M24,$D$18:$D$2015,"&lt;"&amp;M25))</f>
        <v/>
      </c>
      <c r="O24" s="14" t="n"/>
      <c r="P24" s="16" t="n">
        <v>19</v>
      </c>
      <c r="Q24" s="124">
        <f>IF(P24="","",COUNTIFS($C$18:$C$2015,P$13,$D$18:$D$2015,"&gt;="&amp;P24,$D$18:$D$2015,"&lt;"&amp;P25))</f>
        <v/>
      </c>
      <c r="R24" s="14" t="n"/>
      <c r="S24" s="16" t="n">
        <v>28</v>
      </c>
      <c r="T24" s="124">
        <f>IF(S24="","",COUNTIFS($C$18:$C$2015,S$13,$D$18:$D$2015,"&gt;="&amp;S24,$D$18:$D$2015,"&lt;"&amp;S25))</f>
        <v/>
      </c>
      <c r="U24" s="14" t="n"/>
      <c r="V24" s="16" t="n">
        <v>28</v>
      </c>
      <c r="W24" s="124">
        <f>IF(V24="","",COUNTIFS($C$18:$C$2015,V$13,$D$18:$D$2015,"&gt;="&amp;V24,$D$18:$D$2015,"&lt;"&amp;V25))</f>
        <v/>
      </c>
      <c r="X24" s="14" t="n"/>
      <c r="Y24" s="16" t="n">
        <v>28</v>
      </c>
      <c r="Z24" s="124">
        <f>IF(Y24="","",COUNTIFS($C$18:$C$2015,Y$13,$D$18:$D$2015,"&gt;="&amp;Y24,$D$18:$D$2015,"&lt;"&amp;Y25))</f>
        <v/>
      </c>
      <c r="AA24" s="14" t="n"/>
      <c r="AB24" s="16" t="n">
        <v>19</v>
      </c>
      <c r="AC24" s="124">
        <f>IF(AB24="","",COUNTIFS($C$18:$C$2015,AB$13,$D$18:$D$2015,"&gt;="&amp;AB24,$D$18:$D$2015,"&lt;"&amp;AB25))</f>
        <v/>
      </c>
      <c r="AD24" s="14" t="n"/>
    </row>
    <row r="25">
      <c r="A25" s="58" t="n"/>
      <c r="B25" s="59" t="n"/>
      <c r="C25" s="59" t="n"/>
      <c r="D25" s="126" t="n"/>
      <c r="E25" s="16" t="n"/>
      <c r="F25" s="13" t="n"/>
      <c r="G25" s="16" t="n">
        <v>20</v>
      </c>
      <c r="H25" s="124">
        <f>IF(G25="","",COUNTIFS($C$18:$C$2015,G$13,$D$18:$D$2015,"&gt;="&amp;G25,$D$18:$D$2015,"&lt;"&amp;G26))</f>
        <v/>
      </c>
      <c r="I25" s="14" t="n"/>
      <c r="J25" s="16" t="n">
        <v>60</v>
      </c>
      <c r="K25" s="124">
        <f>IF(J25="","",COUNTIFS($C$18:$C$2015,J$13,$D$18:$D$2015,"&gt;="&amp;J25,$D$18:$D$2015,"&lt;"&amp;J26))</f>
        <v/>
      </c>
      <c r="L25" s="14" t="n"/>
      <c r="M25" s="16" t="n">
        <v>30</v>
      </c>
      <c r="N25" s="124">
        <f>IF(M25="","",COUNTIFS($C$18:$C$2015,M$13,$D$18:$D$2015,"&gt;="&amp;M25,$D$18:$D$2015,"&lt;"&amp;M26))</f>
        <v/>
      </c>
      <c r="O25" s="14" t="n"/>
      <c r="P25" s="16" t="n">
        <v>20</v>
      </c>
      <c r="Q25" s="124">
        <f>IF(P25="","",COUNTIFS($C$18:$C$2015,P$13,$D$18:$D$2015,"&gt;="&amp;P25,$D$18:$D$2015,"&lt;"&amp;P26))</f>
        <v/>
      </c>
      <c r="R25" s="14" t="n"/>
      <c r="S25" s="16" t="n">
        <v>30</v>
      </c>
      <c r="T25" s="124">
        <f>IF(S25="","",COUNTIFS($C$18:$C$2015,S$13,$D$18:$D$2015,"&gt;="&amp;S25,$D$18:$D$2015,"&lt;"&amp;S26))</f>
        <v/>
      </c>
      <c r="U25" s="14" t="n"/>
      <c r="V25" s="16" t="n">
        <v>30</v>
      </c>
      <c r="W25" s="124">
        <f>IF(V25="","",COUNTIFS($C$18:$C$2015,V$13,$D$18:$D$2015,"&gt;="&amp;V25,$D$18:$D$2015,"&lt;"&amp;V26))</f>
        <v/>
      </c>
      <c r="X25" s="14" t="n"/>
      <c r="Y25" s="16" t="n">
        <v>30</v>
      </c>
      <c r="Z25" s="124">
        <f>IF(Y25="","",COUNTIFS($C$18:$C$2015,Y$13,$D$18:$D$2015,"&gt;="&amp;Y25,$D$18:$D$2015,"&lt;"&amp;Y26))</f>
        <v/>
      </c>
      <c r="AA25" s="14" t="n"/>
      <c r="AB25" s="16" t="n">
        <v>20</v>
      </c>
      <c r="AC25" s="124">
        <f>IF(AB25="","",COUNTIFS($C$18:$C$2015,AB$13,$D$18:$D$2015,"&gt;="&amp;AB25,$D$18:$D$2015,"&lt;"&amp;AB26))</f>
        <v/>
      </c>
      <c r="AD25" s="14" t="n"/>
    </row>
    <row r="26">
      <c r="A26" s="56" t="n"/>
      <c r="B26" s="57" t="n"/>
      <c r="C26" s="57" t="n"/>
      <c r="D26" s="127" t="n"/>
      <c r="E26" s="16" t="n"/>
      <c r="F26" s="13" t="n"/>
      <c r="G26" s="16" t="n">
        <v>21</v>
      </c>
      <c r="H26" s="124">
        <f>IF(G26="","",COUNTIFS($C$18:$C$2015,G$13,$D$18:$D$2015,"&gt;="&amp;G26,$D$18:$D$2015,"&lt;"&amp;G27))</f>
        <v/>
      </c>
      <c r="I26" s="14" t="n"/>
      <c r="J26" s="16" t="n">
        <v>65</v>
      </c>
      <c r="K26" s="124">
        <f>IF(J26="","",COUNTIFS($C$18:$C$2015,J$13,$D$18:$D$2015,"&gt;="&amp;J26,$D$18:$D$2015,"&lt;"&amp;J27))</f>
        <v/>
      </c>
      <c r="L26" s="14" t="n"/>
      <c r="M26" s="16" t="n">
        <v>32</v>
      </c>
      <c r="N26" s="124">
        <f>IF(M26="","",COUNTIFS($C$18:$C$2015,M$13,$D$18:$D$2015,"&gt;="&amp;M26,$D$18:$D$2015,"&lt;"&amp;M27))</f>
        <v/>
      </c>
      <c r="O26" s="14" t="n"/>
      <c r="P26" s="16" t="n">
        <v>21</v>
      </c>
      <c r="Q26" s="124">
        <f>IF(P26="","",COUNTIFS($C$18:$C$2015,P$13,$D$18:$D$2015,"&gt;="&amp;P26,$D$18:$D$2015,"&lt;"&amp;P27))</f>
        <v/>
      </c>
      <c r="R26" s="14" t="n"/>
      <c r="S26" s="16" t="n">
        <v>32</v>
      </c>
      <c r="T26" s="124">
        <f>IF(S26="","",COUNTIFS($C$18:$C$2015,S$13,$D$18:$D$2015,"&gt;="&amp;S26,$D$18:$D$2015,"&lt;"&amp;S27))</f>
        <v/>
      </c>
      <c r="U26" s="14" t="n"/>
      <c r="V26" s="16" t="n">
        <v>32</v>
      </c>
      <c r="W26" s="124">
        <f>IF(V26="","",COUNTIFS($C$18:$C$2015,V$13,$D$18:$D$2015,"&gt;="&amp;V26,$D$18:$D$2015,"&lt;"&amp;V27))</f>
        <v/>
      </c>
      <c r="X26" s="14" t="n"/>
      <c r="Y26" s="16" t="n">
        <v>32</v>
      </c>
      <c r="Z26" s="124">
        <f>IF(Y26="","",COUNTIFS($C$18:$C$2015,Y$13,$D$18:$D$2015,"&gt;="&amp;Y26,$D$18:$D$2015,"&lt;"&amp;Y27))</f>
        <v/>
      </c>
      <c r="AA26" s="14" t="n"/>
      <c r="AB26" s="16" t="n">
        <v>21</v>
      </c>
      <c r="AC26" s="124">
        <f>IF(AB26="","",COUNTIFS($C$18:$C$2015,AB$13,$D$18:$D$2015,"&gt;="&amp;AB26,$D$18:$D$2015,"&lt;"&amp;AB27))</f>
        <v/>
      </c>
      <c r="AD26" s="14" t="n"/>
    </row>
    <row r="27">
      <c r="A27" s="58" t="n"/>
      <c r="B27" s="59" t="n"/>
      <c r="C27" s="59" t="n"/>
      <c r="D27" s="126" t="n"/>
      <c r="E27" s="16" t="n"/>
      <c r="F27" s="13" t="n"/>
      <c r="G27" s="16" t="n">
        <v>22</v>
      </c>
      <c r="H27" s="124">
        <f>IF(G27="","",COUNTIFS($C$18:$C$2015,G$13,$D$18:$D$2015,"&gt;="&amp;G27,$D$18:$D$2015,"&lt;"&amp;G28))</f>
        <v/>
      </c>
      <c r="I27" s="14" t="n"/>
      <c r="J27" s="16" t="n">
        <v>70</v>
      </c>
      <c r="K27" s="124">
        <f>IF(J27="","",COUNTIFS($C$18:$C$2015,J$13,$D$18:$D$2015,"&gt;="&amp;J27,$D$18:$D$2015,"&lt;"&amp;J28))</f>
        <v/>
      </c>
      <c r="L27" s="14" t="n"/>
      <c r="M27" s="16" t="n">
        <v>34</v>
      </c>
      <c r="N27" s="124">
        <f>IF(M27="","",COUNTIFS($C$18:$C$2015,M$13,$D$18:$D$2015,"&gt;="&amp;M27,$D$18:$D$2015,"&lt;"&amp;M28))</f>
        <v/>
      </c>
      <c r="O27" s="14" t="n"/>
      <c r="P27" s="16" t="n">
        <v>22</v>
      </c>
      <c r="Q27" s="124">
        <f>IF(P27="","",COUNTIFS($C$18:$C$2015,P$13,$D$18:$D$2015,"&gt;="&amp;P27,$D$18:$D$2015,"&lt;"&amp;P28))</f>
        <v/>
      </c>
      <c r="R27" s="14" t="n"/>
      <c r="S27" s="16" t="n">
        <v>34</v>
      </c>
      <c r="T27" s="124">
        <f>IF(S27="","",COUNTIFS($C$18:$C$2015,S$13,$D$18:$D$2015,"&gt;="&amp;S27,$D$18:$D$2015,"&lt;"&amp;S28))</f>
        <v/>
      </c>
      <c r="U27" s="14" t="n"/>
      <c r="V27" s="16" t="n">
        <v>34</v>
      </c>
      <c r="W27" s="124">
        <f>IF(V27="","",COUNTIFS($C$18:$C$2015,V$13,$D$18:$D$2015,"&gt;="&amp;V27,$D$18:$D$2015,"&lt;"&amp;V28))</f>
        <v/>
      </c>
      <c r="X27" s="14" t="n"/>
      <c r="Y27" s="16" t="n">
        <v>34</v>
      </c>
      <c r="Z27" s="124">
        <f>IF(Y27="","",COUNTIFS($C$18:$C$2015,Y$13,$D$18:$D$2015,"&gt;="&amp;Y27,$D$18:$D$2015,"&lt;"&amp;Y28))</f>
        <v/>
      </c>
      <c r="AA27" s="14" t="n"/>
      <c r="AB27" s="16" t="n">
        <v>22</v>
      </c>
      <c r="AC27" s="124">
        <f>IF(AB27="","",COUNTIFS($C$18:$C$2015,AB$13,$D$18:$D$2015,"&gt;="&amp;AB27,$D$18:$D$2015,"&lt;"&amp;AB28))</f>
        <v/>
      </c>
      <c r="AD27" s="14" t="n"/>
    </row>
    <row r="28">
      <c r="A28" s="56" t="n"/>
      <c r="B28" s="57" t="n"/>
      <c r="C28" s="57" t="n"/>
      <c r="D28" s="127" t="n"/>
      <c r="E28" s="16" t="n"/>
      <c r="F28" s="13" t="n"/>
      <c r="G28" s="16" t="n">
        <v>23</v>
      </c>
      <c r="H28" s="124">
        <f>IF(G28="","",COUNTIFS($C$18:$C$2015,G$13,$D$18:$D$2015,"&gt;="&amp;G28,$D$18:$D$2015,"&lt;"&amp;G29))</f>
        <v/>
      </c>
      <c r="I28" s="14" t="n"/>
      <c r="J28" s="16" t="n">
        <v>75</v>
      </c>
      <c r="K28" s="124">
        <f>IF(J28="","",COUNTIFS($C$18:$C$2015,J$13,$D$18:$D$2015,"&gt;="&amp;J28,$D$18:$D$2015,"&lt;"&amp;J29))</f>
        <v/>
      </c>
      <c r="L28" s="14" t="n"/>
      <c r="M28" s="16" t="n">
        <v>36</v>
      </c>
      <c r="N28" s="124">
        <f>IF(M28="","",COUNTIFS($C$18:$C$2015,M$13,$D$18:$D$2015,"&gt;="&amp;M28,$D$18:$D$2015,"&lt;"&amp;M29))</f>
        <v/>
      </c>
      <c r="O28" s="14" t="n"/>
      <c r="P28" s="16" t="n">
        <v>23</v>
      </c>
      <c r="Q28" s="124">
        <f>IF(P28="","",COUNTIFS($C$18:$C$2015,P$13,$D$18:$D$2015,"&gt;="&amp;P28,$D$18:$D$2015,"&lt;"&amp;P29))</f>
        <v/>
      </c>
      <c r="R28" s="14" t="n"/>
      <c r="S28" s="16" t="n">
        <v>36</v>
      </c>
      <c r="T28" s="124">
        <f>IF(S28="","",COUNTIFS($C$18:$C$2015,S$13,$D$18:$D$2015,"&gt;="&amp;S28,$D$18:$D$2015,"&lt;"&amp;S29))</f>
        <v/>
      </c>
      <c r="U28" s="14" t="n"/>
      <c r="V28" s="16" t="n">
        <v>36</v>
      </c>
      <c r="W28" s="124">
        <f>IF(V28="","",COUNTIFS($C$18:$C$2015,V$13,$D$18:$D$2015,"&gt;="&amp;V28,$D$18:$D$2015,"&lt;"&amp;V29))</f>
        <v/>
      </c>
      <c r="X28" s="14" t="n"/>
      <c r="Y28" s="16" t="n">
        <v>36</v>
      </c>
      <c r="Z28" s="124">
        <f>IF(Y28="","",COUNTIFS($C$18:$C$2015,Y$13,$D$18:$D$2015,"&gt;="&amp;Y28,$D$18:$D$2015,"&lt;"&amp;Y29))</f>
        <v/>
      </c>
      <c r="AA28" s="14" t="n"/>
      <c r="AB28" s="16" t="n">
        <v>23</v>
      </c>
      <c r="AC28" s="124">
        <f>IF(AB28="","",COUNTIFS($C$18:$C$2015,AB$13,$D$18:$D$2015,"&gt;="&amp;AB28,$D$18:$D$2015,"&lt;"&amp;AB29))</f>
        <v/>
      </c>
      <c r="AD28" s="14" t="n"/>
    </row>
    <row r="29">
      <c r="A29" s="58" t="n"/>
      <c r="B29" s="59" t="n"/>
      <c r="C29" s="59" t="n"/>
      <c r="D29" s="126" t="n"/>
      <c r="E29" s="16" t="n"/>
      <c r="F29" s="13" t="n"/>
      <c r="G29" s="16" t="n">
        <v>24</v>
      </c>
      <c r="H29" s="124">
        <f>IF(G29="","",COUNTIFS($C$18:$C$2015,G$13,$D$18:$D$2015,"&gt;="&amp;G29,$D$18:$D$2015,"&lt;"&amp;G30))</f>
        <v/>
      </c>
      <c r="I29" s="14" t="n"/>
      <c r="J29" s="16" t="n">
        <v>80</v>
      </c>
      <c r="K29" s="124">
        <f>IF(J29="","",COUNTIFS($C$18:$C$2015,J$13,$D$18:$D$2015,"&gt;="&amp;J29,$D$18:$D$2015,"&lt;"&amp;J30))</f>
        <v/>
      </c>
      <c r="L29" s="14" t="n"/>
      <c r="M29" s="16" t="n">
        <v>38</v>
      </c>
      <c r="N29" s="124">
        <f>IF(M29="","",COUNTIFS($C$18:$C$2015,M$13,$D$18:$D$2015,"&gt;="&amp;M29,$D$18:$D$2015,"&lt;"&amp;M30))</f>
        <v/>
      </c>
      <c r="O29" s="14" t="n"/>
      <c r="P29" s="16" t="n">
        <v>24</v>
      </c>
      <c r="Q29" s="124">
        <f>IF(P29="","",COUNTIFS($C$18:$C$2015,P$13,$D$18:$D$2015,"&gt;="&amp;P29,$D$18:$D$2015,"&lt;"&amp;P30))</f>
        <v/>
      </c>
      <c r="R29" s="14" t="n"/>
      <c r="S29" s="16" t="n">
        <v>38</v>
      </c>
      <c r="T29" s="124">
        <f>IF(S29="","",COUNTIFS($C$18:$C$2015,S$13,$D$18:$D$2015,"&gt;="&amp;S29,$D$18:$D$2015,"&lt;"&amp;S30))</f>
        <v/>
      </c>
      <c r="U29" s="14" t="n"/>
      <c r="V29" s="16" t="n">
        <v>38</v>
      </c>
      <c r="W29" s="124">
        <f>IF(V29="","",COUNTIFS($C$18:$C$2015,V$13,$D$18:$D$2015,"&gt;="&amp;V29,$D$18:$D$2015,"&lt;"&amp;V30))</f>
        <v/>
      </c>
      <c r="X29" s="14" t="n"/>
      <c r="Y29" s="16" t="n">
        <v>38</v>
      </c>
      <c r="Z29" s="124">
        <f>IF(Y29="","",COUNTIFS($C$18:$C$2015,Y$13,$D$18:$D$2015,"&gt;="&amp;Y29,$D$18:$D$2015,"&lt;"&amp;Y30))</f>
        <v/>
      </c>
      <c r="AA29" s="14" t="n"/>
      <c r="AB29" s="16" t="n">
        <v>24</v>
      </c>
      <c r="AC29" s="124">
        <f>IF(AB29="","",COUNTIFS($C$18:$C$2015,AB$13,$D$18:$D$2015,"&gt;="&amp;AB29,$D$18:$D$2015,"&lt;"&amp;AB30))</f>
        <v/>
      </c>
      <c r="AD29" s="14" t="n"/>
    </row>
    <row r="30">
      <c r="A30" s="56" t="n"/>
      <c r="B30" s="57" t="n"/>
      <c r="C30" s="57" t="n"/>
      <c r="D30" s="127" t="n"/>
      <c r="E30" s="16" t="n"/>
      <c r="F30" s="13" t="n"/>
      <c r="G30" s="16" t="n">
        <v>25</v>
      </c>
      <c r="H30" s="124">
        <f>IF(G30="","",COUNTIFS($C$18:$C$2015,G$13,$D$18:$D$2015,"&gt;="&amp;G30,$D$18:$D$2015,"&lt;"&amp;G31))</f>
        <v/>
      </c>
      <c r="I30" s="14" t="n"/>
      <c r="J30" s="16" t="n">
        <v>85</v>
      </c>
      <c r="K30" s="124">
        <f>IF(J30="","",COUNTIFS($C$18:$C$2015,J$13,$D$18:$D$2015,"&gt;="&amp;J30,$D$18:$D$2015,"&lt;"&amp;J31))</f>
        <v/>
      </c>
      <c r="L30" s="14" t="n"/>
      <c r="M30" s="16" t="n">
        <v>40</v>
      </c>
      <c r="N30" s="124">
        <f>IF(M30="","",COUNTIFS($C$18:$C$2015,M$13,$D$18:$D$2015,"&gt;="&amp;M30,$D$18:$D$2015,"&lt;"&amp;M31))</f>
        <v/>
      </c>
      <c r="O30" s="14" t="n"/>
      <c r="P30" s="16" t="n">
        <v>25</v>
      </c>
      <c r="Q30" s="124">
        <f>IF(P30="","",COUNTIFS($C$18:$C$2015,P$13,$D$18:$D$2015,"&gt;="&amp;P30,$D$18:$D$2015,"&lt;"&amp;P31))</f>
        <v/>
      </c>
      <c r="R30" s="14" t="n"/>
      <c r="S30" s="16" t="n">
        <v>40</v>
      </c>
      <c r="T30" s="124">
        <f>IF(S30="","",COUNTIFS($C$18:$C$2015,S$13,$D$18:$D$2015,"&gt;="&amp;S30,$D$18:$D$2015,"&lt;"&amp;S31))</f>
        <v/>
      </c>
      <c r="U30" s="14" t="n"/>
      <c r="V30" s="16" t="n">
        <v>40</v>
      </c>
      <c r="W30" s="124">
        <f>IF(V30="","",COUNTIFS($C$18:$C$2015,V$13,$D$18:$D$2015,"&gt;="&amp;V30,$D$18:$D$2015,"&lt;"&amp;V31))</f>
        <v/>
      </c>
      <c r="X30" s="14" t="n"/>
      <c r="Y30" s="16" t="n">
        <v>40</v>
      </c>
      <c r="Z30" s="124">
        <f>IF(Y30="","",COUNTIFS($C$18:$C$2015,Y$13,$D$18:$D$2015,"&gt;="&amp;Y30,$D$18:$D$2015,"&lt;"&amp;Y31))</f>
        <v/>
      </c>
      <c r="AA30" s="14" t="n"/>
      <c r="AB30" s="16" t="n">
        <v>25</v>
      </c>
      <c r="AC30" s="124">
        <f>IF(AB30="","",COUNTIFS($C$18:$C$2015,AB$13,$D$18:$D$2015,"&gt;="&amp;AB30,$D$18:$D$2015,"&lt;"&amp;AB31))</f>
        <v/>
      </c>
      <c r="AD30" s="14" t="n"/>
    </row>
    <row r="31">
      <c r="A31" s="58" t="n"/>
      <c r="B31" s="59" t="n"/>
      <c r="C31" s="59" t="n"/>
      <c r="D31" s="126" t="n"/>
      <c r="E31" s="16" t="n"/>
      <c r="F31" s="13" t="n"/>
      <c r="G31" s="16" t="n">
        <v>26</v>
      </c>
      <c r="H31" s="124">
        <f>IF(G31="","",COUNTIFS($C$18:$C$2015,G$13,$D$18:$D$2015,"&gt;="&amp;G31,$D$18:$D$2015,"&lt;"&amp;G32))</f>
        <v/>
      </c>
      <c r="I31" s="14" t="n"/>
      <c r="J31" s="16" t="n">
        <v>90</v>
      </c>
      <c r="K31" s="124">
        <f>IF(J31="","",COUNTIFS($C$18:$C$2015,J$13,$D$18:$D$2015,"&gt;="&amp;J31,$D$18:$D$2015,"&lt;"&amp;J32))</f>
        <v/>
      </c>
      <c r="L31" s="14" t="n"/>
      <c r="M31" s="16" t="n">
        <v>42</v>
      </c>
      <c r="N31" s="124">
        <f>IF(M31="","",COUNTIFS($C$18:$C$2015,M$13,$D$18:$D$2015,"&gt;="&amp;M31,$D$18:$D$2015,"&lt;"&amp;M32))</f>
        <v/>
      </c>
      <c r="O31" s="14" t="n"/>
      <c r="P31" s="16" t="n">
        <v>26</v>
      </c>
      <c r="Q31" s="124">
        <f>IF(P31="","",COUNTIFS($C$18:$C$2015,P$13,$D$18:$D$2015,"&gt;="&amp;P31,$D$18:$D$2015,"&lt;"&amp;P32))</f>
        <v/>
      </c>
      <c r="R31" s="14" t="n"/>
      <c r="S31" s="16" t="n">
        <v>42</v>
      </c>
      <c r="T31" s="124">
        <f>IF(S31="","",COUNTIFS($C$18:$C$2015,S$13,$D$18:$D$2015,"&gt;="&amp;S31,$D$18:$D$2015,"&lt;"&amp;S32))</f>
        <v/>
      </c>
      <c r="U31" s="14" t="n"/>
      <c r="V31" s="16" t="n">
        <v>42</v>
      </c>
      <c r="W31" s="124">
        <f>IF(V31="","",COUNTIFS($C$18:$C$2015,V$13,$D$18:$D$2015,"&gt;="&amp;V31,$D$18:$D$2015,"&lt;"&amp;V32))</f>
        <v/>
      </c>
      <c r="X31" s="14" t="n"/>
      <c r="Y31" s="16" t="n">
        <v>42</v>
      </c>
      <c r="Z31" s="124">
        <f>IF(Y31="","",COUNTIFS($C$18:$C$2015,Y$13,$D$18:$D$2015,"&gt;="&amp;Y31,$D$18:$D$2015,"&lt;"&amp;Y32))</f>
        <v/>
      </c>
      <c r="AA31" s="14" t="n"/>
      <c r="AB31" s="16" t="n">
        <v>26</v>
      </c>
      <c r="AC31" s="124">
        <f>IF(AB31="","",COUNTIFS($C$18:$C$2015,AB$13,$D$18:$D$2015,"&gt;="&amp;AB31,$D$18:$D$2015,"&lt;"&amp;AB32))</f>
        <v/>
      </c>
      <c r="AD31" s="14" t="n"/>
    </row>
    <row r="32">
      <c r="A32" s="56" t="n"/>
      <c r="B32" s="57" t="n"/>
      <c r="C32" s="57" t="n"/>
      <c r="D32" s="127" t="n"/>
      <c r="E32" s="16" t="n"/>
      <c r="F32" s="13" t="n"/>
      <c r="G32" s="16" t="n">
        <v>27</v>
      </c>
      <c r="H32" s="124">
        <f>IF(G32="","",COUNTIFS($C$18:$C$2015,G$13,$D$18:$D$2015,"&gt;="&amp;G32,$D$18:$D$2015,"&lt;"&amp;G33))</f>
        <v/>
      </c>
      <c r="I32" s="14" t="n"/>
      <c r="J32" s="16" t="n">
        <v>95</v>
      </c>
      <c r="K32" s="124">
        <f>IF(J32="","",COUNTIFS($C$18:$C$2015,J$13,$D$18:$D$2015,"&gt;="&amp;J32,$D$18:$D$2015,"&lt;"&amp;J33))</f>
        <v/>
      </c>
      <c r="L32" s="14" t="n"/>
      <c r="M32" s="16" t="n">
        <v>44</v>
      </c>
      <c r="N32" s="124">
        <f>IF(M32="","",COUNTIFS($C$18:$C$2015,M$13,$D$18:$D$2015,"&gt;="&amp;M32,$D$18:$D$2015,"&lt;"&amp;M33))</f>
        <v/>
      </c>
      <c r="O32" s="14" t="n"/>
      <c r="P32" s="16" t="n">
        <v>27</v>
      </c>
      <c r="Q32" s="124">
        <f>IF(P32="","",COUNTIFS($C$18:$C$2015,P$13,$D$18:$D$2015,"&gt;="&amp;P32,$D$18:$D$2015,"&lt;"&amp;P33))</f>
        <v/>
      </c>
      <c r="R32" s="14" t="n"/>
      <c r="S32" s="16" t="n">
        <v>44</v>
      </c>
      <c r="T32" s="124">
        <f>IF(S32="","",COUNTIFS($C$18:$C$2015,S$13,$D$18:$D$2015,"&gt;="&amp;S32,$D$18:$D$2015,"&lt;"&amp;S33))</f>
        <v/>
      </c>
      <c r="U32" s="14" t="n"/>
      <c r="V32" s="16" t="n">
        <v>44</v>
      </c>
      <c r="W32" s="124">
        <f>IF(V32="","",COUNTIFS($C$18:$C$2015,V$13,$D$18:$D$2015,"&gt;="&amp;V32,$D$18:$D$2015,"&lt;"&amp;V33))</f>
        <v/>
      </c>
      <c r="X32" s="14" t="n"/>
      <c r="Y32" s="16" t="n">
        <v>44</v>
      </c>
      <c r="Z32" s="124">
        <f>IF(Y32="","",COUNTIFS($C$18:$C$2015,Y$13,$D$18:$D$2015,"&gt;="&amp;Y32,$D$18:$D$2015,"&lt;"&amp;Y33))</f>
        <v/>
      </c>
      <c r="AA32" s="14" t="n"/>
      <c r="AB32" s="16" t="n">
        <v>27</v>
      </c>
      <c r="AC32" s="124">
        <f>IF(AB32="","",COUNTIFS($C$18:$C$2015,AB$13,$D$18:$D$2015,"&gt;="&amp;AB32,$D$18:$D$2015,"&lt;"&amp;AB33))</f>
        <v/>
      </c>
      <c r="AD32" s="14" t="n"/>
    </row>
    <row r="33">
      <c r="A33" s="58" t="n"/>
      <c r="B33" s="59" t="n"/>
      <c r="C33" s="59" t="n"/>
      <c r="D33" s="126" t="n"/>
      <c r="E33" s="16" t="n"/>
      <c r="F33" s="13" t="n"/>
      <c r="G33" s="16" t="n">
        <v>28</v>
      </c>
      <c r="H33" s="124">
        <f>IF(G33="","",COUNTIFS($C$18:$C$2015,G$13,$D$18:$D$2015,"&gt;="&amp;G33,$D$18:$D$2015,"&lt;"&amp;G34))</f>
        <v/>
      </c>
      <c r="I33" s="14" t="n"/>
      <c r="J33" s="16" t="n">
        <v>100</v>
      </c>
      <c r="K33" s="124">
        <f>IF(J33="","",COUNTIFS($C$18:$C$2015,J$13,$D$18:$D$2015,"&gt;="&amp;J33,$D$18:$D$2015,"&lt;"&amp;J34))</f>
        <v/>
      </c>
      <c r="L33" s="14" t="n"/>
      <c r="M33" s="16" t="n">
        <v>46</v>
      </c>
      <c r="N33" s="124">
        <f>IF(M33="","",COUNTIFS($C$18:$C$2015,M$13,$D$18:$D$2015,"&gt;="&amp;M33,$D$18:$D$2015,"&lt;"&amp;M34))</f>
        <v/>
      </c>
      <c r="O33" s="14" t="n"/>
      <c r="P33" s="16" t="n">
        <v>28</v>
      </c>
      <c r="Q33" s="124">
        <f>IF(P33="","",COUNTIFS($C$18:$C$2015,P$13,$D$18:$D$2015,"&gt;="&amp;P33,$D$18:$D$2015,"&lt;"&amp;P34))</f>
        <v/>
      </c>
      <c r="R33" s="14" t="n"/>
      <c r="S33" s="16" t="n">
        <v>46</v>
      </c>
      <c r="T33" s="124">
        <f>IF(S33="","",COUNTIFS($C$18:$C$2015,S$13,$D$18:$D$2015,"&gt;="&amp;S33,$D$18:$D$2015,"&lt;"&amp;S34))</f>
        <v/>
      </c>
      <c r="U33" s="14" t="n"/>
      <c r="V33" s="16" t="n">
        <v>46</v>
      </c>
      <c r="W33" s="124">
        <f>IF(V33="","",COUNTIFS($C$18:$C$2015,V$13,$D$18:$D$2015,"&gt;="&amp;V33,$D$18:$D$2015,"&lt;"&amp;V34))</f>
        <v/>
      </c>
      <c r="X33" s="14" t="n"/>
      <c r="Y33" s="16" t="n">
        <v>46</v>
      </c>
      <c r="Z33" s="124">
        <f>IF(Y33="","",COUNTIFS($C$18:$C$2015,Y$13,$D$18:$D$2015,"&gt;="&amp;Y33,$D$18:$D$2015,"&lt;"&amp;Y34))</f>
        <v/>
      </c>
      <c r="AA33" s="14" t="n"/>
      <c r="AB33" s="16" t="n">
        <v>28</v>
      </c>
      <c r="AC33" s="124">
        <f>IF(AB33="","",COUNTIFS($C$18:$C$2015,AB$13,$D$18:$D$2015,"&gt;="&amp;AB33,$D$18:$D$2015,"&lt;"&amp;AB34))</f>
        <v/>
      </c>
      <c r="AD33" s="14" t="n"/>
    </row>
    <row r="34">
      <c r="A34" s="56" t="n"/>
      <c r="B34" s="57" t="n"/>
      <c r="C34" s="57" t="n"/>
      <c r="D34" s="127" t="n"/>
      <c r="E34" s="16" t="n"/>
      <c r="F34" s="13" t="n"/>
      <c r="G34" s="16" t="n">
        <v>29</v>
      </c>
      <c r="H34" s="124">
        <f>IF(G34="","",COUNTIFS($C$18:$C$2015,G$13,$D$18:$D$2015,"&gt;="&amp;G34,$D$18:$D$2015,"&lt;"&amp;G35))</f>
        <v/>
      </c>
      <c r="I34" s="14" t="n"/>
      <c r="J34" s="16" t="n">
        <v>105</v>
      </c>
      <c r="K34" s="124">
        <f>IF(J34="","",COUNTIFS($C$18:$C$2015,J$13,$D$18:$D$2015,"&gt;="&amp;J34,$D$18:$D$2015,"&lt;"&amp;J35))</f>
        <v/>
      </c>
      <c r="L34" s="14" t="n"/>
      <c r="M34" s="16" t="n">
        <v>48</v>
      </c>
      <c r="N34" s="124">
        <f>IF(M34="","",COUNTIFS($C$18:$C$2015,M$13,$D$18:$D$2015,"&gt;="&amp;M34,$D$18:$D$2015,"&lt;"&amp;M35))</f>
        <v/>
      </c>
      <c r="O34" s="14" t="n"/>
      <c r="P34" s="16" t="n">
        <v>29</v>
      </c>
      <c r="Q34" s="124">
        <f>IF(P34="","",COUNTIFS($C$18:$C$2015,P$13,$D$18:$D$2015,"&gt;="&amp;P34,$D$18:$D$2015,"&lt;"&amp;P35))</f>
        <v/>
      </c>
      <c r="R34" s="14" t="n"/>
      <c r="S34" s="16" t="n">
        <v>48</v>
      </c>
      <c r="T34" s="124">
        <f>IF(S34="","",COUNTIFS($C$18:$C$2015,S$13,$D$18:$D$2015,"&gt;="&amp;S34,$D$18:$D$2015,"&lt;"&amp;S35))</f>
        <v/>
      </c>
      <c r="U34" s="14" t="n"/>
      <c r="V34" s="16" t="n">
        <v>48</v>
      </c>
      <c r="W34" s="124">
        <f>IF(V34="","",COUNTIFS($C$18:$C$2015,V$13,$D$18:$D$2015,"&gt;="&amp;V34,$D$18:$D$2015,"&lt;"&amp;V35))</f>
        <v/>
      </c>
      <c r="X34" s="14" t="n"/>
      <c r="Y34" s="16" t="n">
        <v>48</v>
      </c>
      <c r="Z34" s="124">
        <f>IF(Y34="","",COUNTIFS($C$18:$C$2015,Y$13,$D$18:$D$2015,"&gt;="&amp;Y34,$D$18:$D$2015,"&lt;"&amp;Y35))</f>
        <v/>
      </c>
      <c r="AA34" s="14" t="n"/>
      <c r="AB34" s="16" t="n">
        <v>29</v>
      </c>
      <c r="AC34" s="124">
        <f>IF(AB34="","",COUNTIFS($C$18:$C$2015,AB$13,$D$18:$D$2015,"&gt;="&amp;AB34,$D$18:$D$2015,"&lt;"&amp;AB35))</f>
        <v/>
      </c>
      <c r="AD34" s="14" t="n"/>
    </row>
    <row r="35">
      <c r="A35" s="58" t="n"/>
      <c r="B35" s="59" t="n"/>
      <c r="C35" s="59" t="n"/>
      <c r="D35" s="126" t="n"/>
      <c r="E35" s="16" t="n"/>
      <c r="F35" s="13" t="n"/>
      <c r="G35" s="16" t="n">
        <v>30</v>
      </c>
      <c r="H35" s="124">
        <f>IF(G35="","",COUNTIFS($C$18:$C$2015,G$13,$D$18:$D$2015,"&gt;="&amp;G35,$D$18:$D$2015,"&lt;"&amp;G36))</f>
        <v/>
      </c>
      <c r="I35" s="14" t="n"/>
      <c r="J35" s="16" t="n">
        <v>110</v>
      </c>
      <c r="K35" s="124">
        <f>IF(J35="","",COUNTIFS($C$18:$C$2015,J$13,$D$18:$D$2015,"&gt;="&amp;J35,$D$18:$D$2015,"&lt;"&amp;J36))</f>
        <v/>
      </c>
      <c r="L35" s="14" t="n"/>
      <c r="M35" s="16" t="n">
        <v>50</v>
      </c>
      <c r="N35" s="124">
        <f>IF(M35="","",COUNTIFS($C$18:$C$2015,M$13,$D$18:$D$2015,"&gt;="&amp;M35,$D$18:$D$2015,"&lt;"&amp;M36))</f>
        <v/>
      </c>
      <c r="O35" s="14" t="n"/>
      <c r="P35" s="16" t="n">
        <v>30</v>
      </c>
      <c r="Q35" s="124">
        <f>IF(P35="","",COUNTIFS($C$18:$C$2015,P$13,$D$18:$D$2015,"&gt;="&amp;P35,$D$18:$D$2015,"&lt;"&amp;P36))</f>
        <v/>
      </c>
      <c r="R35" s="14" t="n"/>
      <c r="S35" s="16" t="n">
        <v>50</v>
      </c>
      <c r="T35" s="124">
        <f>IF(S35="","",COUNTIFS($C$18:$C$2015,S$13,$D$18:$D$2015,"&gt;="&amp;S35,$D$18:$D$2015,"&lt;"&amp;S36))</f>
        <v/>
      </c>
      <c r="U35" s="14" t="n"/>
      <c r="V35" s="16" t="n">
        <v>50</v>
      </c>
      <c r="W35" s="124">
        <f>IF(V35="","",COUNTIFS($C$18:$C$2015,V$13,$D$18:$D$2015,"&gt;="&amp;V35,$D$18:$D$2015,"&lt;"&amp;V36))</f>
        <v/>
      </c>
      <c r="X35" s="14" t="n"/>
      <c r="Y35" s="16" t="n">
        <v>50</v>
      </c>
      <c r="Z35" s="124">
        <f>IF(Y35="","",COUNTIFS($C$18:$C$2015,Y$13,$D$18:$D$2015,"&gt;="&amp;Y35,$D$18:$D$2015,"&lt;"&amp;Y36))</f>
        <v/>
      </c>
      <c r="AA35" s="14" t="n"/>
      <c r="AB35" s="16" t="n">
        <v>30</v>
      </c>
      <c r="AC35" s="124">
        <f>IF(AB35="","",COUNTIFS($C$18:$C$2015,AB$13,$D$18:$D$2015,"&gt;="&amp;AB35,$D$18:$D$2015,"&lt;"&amp;AB36))</f>
        <v/>
      </c>
      <c r="AD35" s="14" t="n"/>
    </row>
    <row r="36">
      <c r="A36" s="56" t="n"/>
      <c r="B36" s="57" t="n"/>
      <c r="C36" s="57" t="n"/>
      <c r="D36" s="127" t="n"/>
      <c r="E36" s="16" t="n"/>
      <c r="F36" s="13" t="n"/>
      <c r="G36" s="16" t="n">
        <v>31</v>
      </c>
      <c r="H36" s="124">
        <f>IF(G36="","",COUNTIFS($C$18:$C$2015,G$13,$D$18:$D$2015,"&gt;="&amp;G36,$D$18:$D$2015,"&lt;"&amp;G37))</f>
        <v/>
      </c>
      <c r="I36" s="14" t="n"/>
      <c r="J36" s="16" t="n">
        <v>115</v>
      </c>
      <c r="K36" s="124">
        <f>IF(J36="","",COUNTIFS($C$18:$C$2015,J$13,$D$18:$D$2015,"&gt;="&amp;J36,$D$18:$D$2015,"&lt;"&amp;J37))</f>
        <v/>
      </c>
      <c r="L36" s="14" t="n"/>
      <c r="M36" s="16" t="n">
        <v>52</v>
      </c>
      <c r="N36" s="124">
        <f>IF(M36="","",COUNTIFS($C$18:$C$2015,M$13,$D$18:$D$2015,"&gt;="&amp;M36,$D$18:$D$2015,"&lt;"&amp;M37))</f>
        <v/>
      </c>
      <c r="O36" s="14" t="n"/>
      <c r="P36" s="16" t="n">
        <v>31</v>
      </c>
      <c r="Q36" s="124">
        <f>IF(P36="","",COUNTIFS($C$18:$C$2015,P$13,$D$18:$D$2015,"&gt;="&amp;P36,$D$18:$D$2015,"&lt;"&amp;P37))</f>
        <v/>
      </c>
      <c r="R36" s="14" t="n"/>
      <c r="S36" s="16" t="n">
        <v>52</v>
      </c>
      <c r="T36" s="124">
        <f>IF(S36="","",COUNTIFS($C$18:$C$2015,S$13,$D$18:$D$2015,"&gt;="&amp;S36,$D$18:$D$2015,"&lt;"&amp;S37))</f>
        <v/>
      </c>
      <c r="U36" s="14" t="n"/>
      <c r="V36" s="16" t="n">
        <v>52</v>
      </c>
      <c r="W36" s="124">
        <f>IF(V36="","",COUNTIFS($C$18:$C$2015,V$13,$D$18:$D$2015,"&gt;="&amp;V36,$D$18:$D$2015,"&lt;"&amp;V37))</f>
        <v/>
      </c>
      <c r="X36" s="14" t="n"/>
      <c r="Y36" s="16" t="n">
        <v>52</v>
      </c>
      <c r="Z36" s="124">
        <f>IF(Y36="","",COUNTIFS($C$18:$C$2015,Y$13,$D$18:$D$2015,"&gt;="&amp;Y36,$D$18:$D$2015,"&lt;"&amp;Y37))</f>
        <v/>
      </c>
      <c r="AA36" s="14" t="n"/>
      <c r="AB36" s="16" t="n">
        <v>31</v>
      </c>
      <c r="AC36" s="124">
        <f>IF(AB36="","",COUNTIFS($C$18:$C$2015,AB$13,$D$18:$D$2015,"&gt;="&amp;AB36,$D$18:$D$2015,"&lt;"&amp;AB37))</f>
        <v/>
      </c>
      <c r="AD36" s="14" t="n"/>
    </row>
    <row r="37">
      <c r="A37" s="58" t="n"/>
      <c r="B37" s="59" t="n"/>
      <c r="C37" s="59" t="n"/>
      <c r="D37" s="126" t="n"/>
      <c r="E37" s="16" t="n"/>
      <c r="F37" s="13" t="n"/>
      <c r="G37" s="16" t="n">
        <v>32</v>
      </c>
      <c r="H37" s="124">
        <f>IF(G37="","",COUNTIFS($C$18:$C$2015,G$13,$D$18:$D$2015,"&gt;="&amp;G37,$D$18:$D$2015,"&lt;"&amp;G38))</f>
        <v/>
      </c>
      <c r="I37" s="14" t="n"/>
      <c r="J37" s="16" t="n">
        <v>120</v>
      </c>
      <c r="K37" s="124">
        <f>IF(J37="","",COUNTIFS($C$18:$C$2015,J$13,$D$18:$D$2015,"&gt;="&amp;J37,$D$18:$D$2015,"&lt;"&amp;J38))</f>
        <v/>
      </c>
      <c r="L37" s="14" t="n"/>
      <c r="M37" s="16" t="n">
        <v>54</v>
      </c>
      <c r="N37" s="124">
        <f>IF(M37="","",COUNTIFS($C$18:$C$2015,M$13,$D$18:$D$2015,"&gt;="&amp;M37,$D$18:$D$2015,"&lt;"&amp;M38))</f>
        <v/>
      </c>
      <c r="O37" s="14" t="n"/>
      <c r="P37" s="16" t="n">
        <v>32</v>
      </c>
      <c r="Q37" s="124">
        <f>IF(P37="","",COUNTIFS($C$18:$C$2015,P$13,$D$18:$D$2015,"&gt;="&amp;P37,$D$18:$D$2015,"&lt;"&amp;P38))</f>
        <v/>
      </c>
      <c r="R37" s="14" t="n"/>
      <c r="S37" s="16" t="n">
        <v>54</v>
      </c>
      <c r="T37" s="124">
        <f>IF(S37="","",COUNTIFS($C$18:$C$2015,S$13,$D$18:$D$2015,"&gt;="&amp;S37,$D$18:$D$2015,"&lt;"&amp;S38))</f>
        <v/>
      </c>
      <c r="U37" s="14" t="n"/>
      <c r="V37" s="16" t="n">
        <v>54</v>
      </c>
      <c r="W37" s="124">
        <f>IF(V37="","",COUNTIFS($C$18:$C$2015,V$13,$D$18:$D$2015,"&gt;="&amp;V37,$D$18:$D$2015,"&lt;"&amp;V38))</f>
        <v/>
      </c>
      <c r="X37" s="14" t="n"/>
      <c r="Y37" s="16" t="n">
        <v>54</v>
      </c>
      <c r="Z37" s="124">
        <f>IF(Y37="","",COUNTIFS($C$18:$C$2015,Y$13,$D$18:$D$2015,"&gt;="&amp;Y37,$D$18:$D$2015,"&lt;"&amp;Y38))</f>
        <v/>
      </c>
      <c r="AA37" s="14" t="n"/>
      <c r="AB37" s="16" t="n">
        <v>32</v>
      </c>
      <c r="AC37" s="124">
        <f>IF(AB37="","",COUNTIFS($C$18:$C$2015,AB$13,$D$18:$D$2015,"&gt;="&amp;AB37,$D$18:$D$2015,"&lt;"&amp;AB38))</f>
        <v/>
      </c>
      <c r="AD37" s="14" t="n"/>
    </row>
    <row r="38">
      <c r="A38" s="56" t="n"/>
      <c r="B38" s="57" t="n"/>
      <c r="C38" s="57" t="n"/>
      <c r="D38" s="127" t="n"/>
      <c r="E38" s="16" t="n"/>
      <c r="F38" s="13" t="n"/>
      <c r="G38" s="16" t="n">
        <v>33</v>
      </c>
      <c r="H38" s="124">
        <f>IF(G38="","",COUNTIFS($C$18:$C$2015,G$13,$D$18:$D$2015,"&gt;="&amp;G38,$D$18:$D$2015,"&lt;"&amp;G39))</f>
        <v/>
      </c>
      <c r="I38" s="14" t="n"/>
      <c r="J38" s="16" t="n">
        <v>125</v>
      </c>
      <c r="K38" s="124">
        <f>IF(J38="","",COUNTIFS($C$18:$C$2015,J$13,$D$18:$D$2015,"&gt;="&amp;J38,$D$18:$D$2015,"&lt;"&amp;J39))</f>
        <v/>
      </c>
      <c r="L38" s="14" t="n"/>
      <c r="M38" s="16" t="n">
        <v>56</v>
      </c>
      <c r="N38" s="124">
        <f>IF(M38="","",COUNTIFS($C$18:$C$2015,M$13,$D$18:$D$2015,"&gt;="&amp;M38,$D$18:$D$2015,"&lt;"&amp;M39))</f>
        <v/>
      </c>
      <c r="O38" s="14" t="n"/>
      <c r="P38" s="16" t="n">
        <v>33</v>
      </c>
      <c r="Q38" s="124">
        <f>IF(P38="","",COUNTIFS($C$18:$C$2015,P$13,$D$18:$D$2015,"&gt;="&amp;P38,$D$18:$D$2015,"&lt;"&amp;P39))</f>
        <v/>
      </c>
      <c r="R38" s="14" t="n"/>
      <c r="S38" s="16" t="n">
        <v>56</v>
      </c>
      <c r="T38" s="124">
        <f>IF(S38="","",COUNTIFS($C$18:$C$2015,S$13,$D$18:$D$2015,"&gt;="&amp;S38,$D$18:$D$2015,"&lt;"&amp;S39))</f>
        <v/>
      </c>
      <c r="U38" s="14" t="n"/>
      <c r="V38" s="16" t="n">
        <v>56</v>
      </c>
      <c r="W38" s="124">
        <f>IF(V38="","",COUNTIFS($C$18:$C$2015,V$13,$D$18:$D$2015,"&gt;="&amp;V38,$D$18:$D$2015,"&lt;"&amp;V39))</f>
        <v/>
      </c>
      <c r="X38" s="14" t="n"/>
      <c r="Y38" s="16" t="n">
        <v>56</v>
      </c>
      <c r="Z38" s="124">
        <f>IF(Y38="","",COUNTIFS($C$18:$C$2015,Y$13,$D$18:$D$2015,"&gt;="&amp;Y38,$D$18:$D$2015,"&lt;"&amp;Y39))</f>
        <v/>
      </c>
      <c r="AA38" s="14" t="n"/>
      <c r="AB38" s="16" t="n">
        <v>33</v>
      </c>
      <c r="AC38" s="124">
        <f>IF(AB38="","",COUNTIFS($C$18:$C$2015,AB$13,$D$18:$D$2015,"&gt;="&amp;AB38,$D$18:$D$2015,"&lt;"&amp;AB39))</f>
        <v/>
      </c>
      <c r="AD38" s="14" t="n"/>
    </row>
    <row r="39">
      <c r="A39" s="58" t="n"/>
      <c r="B39" s="59" t="n"/>
      <c r="C39" s="59" t="n"/>
      <c r="D39" s="126" t="n"/>
      <c r="E39" s="16" t="n"/>
      <c r="F39" s="13" t="n"/>
      <c r="G39" s="16" t="n">
        <v>34</v>
      </c>
      <c r="H39" s="124">
        <f>IF(G39="","",COUNTIFS($C$18:$C$2015,G$13,$D$18:$D$2015,"&gt;="&amp;G39,$D$18:$D$2015,"&lt;"&amp;G40))</f>
        <v/>
      </c>
      <c r="I39" s="14" t="n"/>
      <c r="J39" s="16" t="n">
        <v>130</v>
      </c>
      <c r="K39" s="124">
        <f>IF(J39="","",COUNTIFS($C$18:$C$2015,J$13,$D$18:$D$2015,"&gt;="&amp;J39,$D$18:$D$2015,"&lt;"&amp;J40))</f>
        <v/>
      </c>
      <c r="L39" s="14" t="n"/>
      <c r="M39" s="16" t="n">
        <v>58</v>
      </c>
      <c r="N39" s="124">
        <f>IF(M39="","",COUNTIFS($C$18:$C$2015,M$13,$D$18:$D$2015,"&gt;="&amp;M39,$D$18:$D$2015,"&lt;"&amp;M40))</f>
        <v/>
      </c>
      <c r="O39" s="14" t="n"/>
      <c r="P39" s="16" t="n">
        <v>34</v>
      </c>
      <c r="Q39" s="124">
        <f>IF(P39="","",COUNTIFS($C$18:$C$2015,P$13,$D$18:$D$2015,"&gt;="&amp;P39,$D$18:$D$2015,"&lt;"&amp;P40))</f>
        <v/>
      </c>
      <c r="R39" s="14" t="n"/>
      <c r="S39" s="16" t="n">
        <v>58</v>
      </c>
      <c r="T39" s="124">
        <f>IF(S39="","",COUNTIFS($C$18:$C$2015,S$13,$D$18:$D$2015,"&gt;="&amp;S39,$D$18:$D$2015,"&lt;"&amp;S40))</f>
        <v/>
      </c>
      <c r="U39" s="14" t="n"/>
      <c r="V39" s="16" t="n">
        <v>58</v>
      </c>
      <c r="W39" s="124">
        <f>IF(V39="","",COUNTIFS($C$18:$C$2015,V$13,$D$18:$D$2015,"&gt;="&amp;V39,$D$18:$D$2015,"&lt;"&amp;V40))</f>
        <v/>
      </c>
      <c r="X39" s="14" t="n"/>
      <c r="Y39" s="16" t="n">
        <v>58</v>
      </c>
      <c r="Z39" s="124">
        <f>IF(Y39="","",COUNTIFS($C$18:$C$2015,Y$13,$D$18:$D$2015,"&gt;="&amp;Y39,$D$18:$D$2015,"&lt;"&amp;Y40))</f>
        <v/>
      </c>
      <c r="AA39" s="14" t="n"/>
      <c r="AB39" s="16" t="n">
        <v>34</v>
      </c>
      <c r="AC39" s="124">
        <f>IF(AB39="","",COUNTIFS($C$18:$C$2015,AB$13,$D$18:$D$2015,"&gt;="&amp;AB39,$D$18:$D$2015,"&lt;"&amp;AB40))</f>
        <v/>
      </c>
      <c r="AD39" s="14" t="n"/>
    </row>
    <row r="40">
      <c r="A40" s="56" t="n"/>
      <c r="B40" s="57" t="n"/>
      <c r="C40" s="57" t="n"/>
      <c r="D40" s="127" t="n"/>
      <c r="E40" s="16" t="n"/>
      <c r="F40" s="13" t="n"/>
      <c r="G40" s="16" t="n">
        <v>35</v>
      </c>
      <c r="H40" s="124">
        <f>IF(G40="","",COUNTIFS($C$18:$C$2015,G$13,$D$18:$D$2015,"&gt;="&amp;G40,$D$18:$D$2015,"&lt;"&amp;G41))</f>
        <v/>
      </c>
      <c r="I40" s="14" t="n"/>
      <c r="J40" s="16" t="n">
        <v>135</v>
      </c>
      <c r="K40" s="124">
        <f>IF(J40="","",COUNTIFS($C$18:$C$2015,J$13,$D$18:$D$2015,"&gt;="&amp;J40,$D$18:$D$2015,"&lt;"&amp;J41))</f>
        <v/>
      </c>
      <c r="L40" s="14" t="n"/>
      <c r="M40" s="16" t="n">
        <v>60</v>
      </c>
      <c r="N40" s="124">
        <f>IF(M40="","",COUNTIFS($C$18:$C$2015,M$13,$D$18:$D$2015,"&gt;="&amp;M40,$D$18:$D$2015,"&lt;"&amp;M41))</f>
        <v/>
      </c>
      <c r="O40" s="14" t="n"/>
      <c r="P40" s="16" t="n">
        <v>35</v>
      </c>
      <c r="Q40" s="124">
        <f>IF(P40="","",COUNTIFS($C$18:$C$2015,P$13,$D$18:$D$2015,"&gt;="&amp;P40,$D$18:$D$2015,"&lt;"&amp;P41))</f>
        <v/>
      </c>
      <c r="R40" s="14" t="n"/>
      <c r="S40" s="16" t="n">
        <v>60</v>
      </c>
      <c r="T40" s="124">
        <f>IF(S40="","",COUNTIFS($C$18:$C$2015,S$13,$D$18:$D$2015,"&gt;="&amp;S40,$D$18:$D$2015,"&lt;"&amp;S41))</f>
        <v/>
      </c>
      <c r="U40" s="14" t="n"/>
      <c r="V40" s="16" t="n">
        <v>60</v>
      </c>
      <c r="W40" s="124">
        <f>IF(V40="","",COUNTIFS($C$18:$C$2015,V$13,$D$18:$D$2015,"&gt;="&amp;V40,$D$18:$D$2015,"&lt;"&amp;V41))</f>
        <v/>
      </c>
      <c r="X40" s="14" t="n"/>
      <c r="Y40" s="16" t="n">
        <v>60</v>
      </c>
      <c r="Z40" s="124">
        <f>IF(Y40="","",COUNTIFS($C$18:$C$2015,Y$13,$D$18:$D$2015,"&gt;="&amp;Y40,$D$18:$D$2015,"&lt;"&amp;Y41))</f>
        <v/>
      </c>
      <c r="AA40" s="14" t="n"/>
      <c r="AB40" s="16" t="n">
        <v>35</v>
      </c>
      <c r="AC40" s="124">
        <f>IF(AB40="","",COUNTIFS($C$18:$C$2015,AB$13,$D$18:$D$2015,"&gt;="&amp;AB40,$D$18:$D$2015,"&lt;"&amp;AB41))</f>
        <v/>
      </c>
      <c r="AD40" s="14" t="n"/>
    </row>
    <row r="41">
      <c r="A41" s="58" t="n"/>
      <c r="B41" s="59" t="n"/>
      <c r="C41" s="59" t="n"/>
      <c r="D41" s="126" t="n"/>
      <c r="E41" s="16" t="n"/>
      <c r="F41" s="13" t="n"/>
      <c r="G41" s="16" t="n">
        <v>36</v>
      </c>
      <c r="H41" s="124">
        <f>IF(G41="","",COUNTIFS($C$18:$C$2015,G$13,$D$18:$D$2015,"&gt;="&amp;G41,$D$18:$D$2015,"&lt;"&amp;G42))</f>
        <v/>
      </c>
      <c r="I41" s="14" t="n"/>
      <c r="J41" s="16" t="n">
        <v>140</v>
      </c>
      <c r="K41" s="124">
        <f>IF(J41="","",COUNTIFS($C$18:$C$2015,J$13,$D$18:$D$2015,"&gt;="&amp;J41,$D$18:$D$2015,"&lt;"&amp;J42))</f>
        <v/>
      </c>
      <c r="L41" s="14" t="n"/>
      <c r="M41" s="16" t="n">
        <v>62</v>
      </c>
      <c r="N41" s="124">
        <f>IF(M41="","",COUNTIFS($C$18:$C$2015,M$13,$D$18:$D$2015,"&gt;="&amp;M41,$D$18:$D$2015,"&lt;"&amp;M42))</f>
        <v/>
      </c>
      <c r="O41" s="14" t="n"/>
      <c r="P41" s="16" t="n">
        <v>36</v>
      </c>
      <c r="Q41" s="124">
        <f>IF(P41="","",COUNTIFS($C$18:$C$2015,P$13,$D$18:$D$2015,"&gt;="&amp;P41,$D$18:$D$2015,"&lt;"&amp;P42))</f>
        <v/>
      </c>
      <c r="R41" s="14" t="n"/>
      <c r="S41" s="16" t="n">
        <v>62</v>
      </c>
      <c r="T41" s="124">
        <f>IF(S41="","",COUNTIFS($C$18:$C$2015,S$13,$D$18:$D$2015,"&gt;="&amp;S41,$D$18:$D$2015,"&lt;"&amp;S42))</f>
        <v/>
      </c>
      <c r="U41" s="14" t="n"/>
      <c r="V41" s="16" t="n">
        <v>62</v>
      </c>
      <c r="W41" s="124">
        <f>IF(V41="","",COUNTIFS($C$18:$C$2015,V$13,$D$18:$D$2015,"&gt;="&amp;V41,$D$18:$D$2015,"&lt;"&amp;V42))</f>
        <v/>
      </c>
      <c r="X41" s="14" t="n"/>
      <c r="Y41" s="16" t="n">
        <v>62</v>
      </c>
      <c r="Z41" s="124">
        <f>IF(Y41="","",COUNTIFS($C$18:$C$2015,Y$13,$D$18:$D$2015,"&gt;="&amp;Y41,$D$18:$D$2015,"&lt;"&amp;Y42))</f>
        <v/>
      </c>
      <c r="AA41" s="14" t="n"/>
      <c r="AB41" s="16" t="n">
        <v>36</v>
      </c>
      <c r="AC41" s="124">
        <f>IF(AB41="","",COUNTIFS($C$18:$C$2015,AB$13,$D$18:$D$2015,"&gt;="&amp;AB41,$D$18:$D$2015,"&lt;"&amp;AB42))</f>
        <v/>
      </c>
      <c r="AD41" s="14" t="n"/>
    </row>
    <row r="42">
      <c r="A42" s="56" t="n"/>
      <c r="B42" s="57" t="n"/>
      <c r="C42" s="57" t="n"/>
      <c r="D42" s="127" t="n"/>
      <c r="E42" s="16" t="n"/>
      <c r="F42" s="13" t="n"/>
      <c r="G42" s="16" t="n">
        <v>37</v>
      </c>
      <c r="H42" s="124">
        <f>IF(G42="","",COUNTIFS($C$18:$C$2015,G$13,$D$18:$D$2015,"&gt;="&amp;G42,$D$18:$D$2015,"&lt;"&amp;G43))</f>
        <v/>
      </c>
      <c r="I42" s="14" t="n"/>
      <c r="J42" s="16" t="n">
        <v>145</v>
      </c>
      <c r="K42" s="124">
        <f>IF(J42="","",COUNTIFS($C$18:$C$2015,J$13,$D$18:$D$2015,"&gt;="&amp;J42,$D$18:$D$2015,"&lt;"&amp;J43))</f>
        <v/>
      </c>
      <c r="L42" s="14" t="n"/>
      <c r="M42" s="16" t="n">
        <v>64</v>
      </c>
      <c r="N42" s="124">
        <f>IF(M42="","",COUNTIFS($C$18:$C$2015,M$13,$D$18:$D$2015,"&gt;="&amp;M42,$D$18:$D$2015,"&lt;"&amp;M43))</f>
        <v/>
      </c>
      <c r="O42" s="14" t="n"/>
      <c r="P42" s="16" t="n">
        <v>37</v>
      </c>
      <c r="Q42" s="124">
        <f>IF(P42="","",COUNTIFS($C$18:$C$2015,P$13,$D$18:$D$2015,"&gt;="&amp;P42,$D$18:$D$2015,"&lt;"&amp;P43))</f>
        <v/>
      </c>
      <c r="R42" s="14" t="n"/>
      <c r="S42" s="16" t="n">
        <v>64</v>
      </c>
      <c r="T42" s="124">
        <f>IF(S42="","",COUNTIFS($C$18:$C$2015,S$13,$D$18:$D$2015,"&gt;="&amp;S42,$D$18:$D$2015,"&lt;"&amp;S43))</f>
        <v/>
      </c>
      <c r="U42" s="14" t="n"/>
      <c r="V42" s="16" t="n">
        <v>64</v>
      </c>
      <c r="W42" s="124">
        <f>IF(V42="","",COUNTIFS($C$18:$C$2015,V$13,$D$18:$D$2015,"&gt;="&amp;V42,$D$18:$D$2015,"&lt;"&amp;V43))</f>
        <v/>
      </c>
      <c r="X42" s="14" t="n"/>
      <c r="Y42" s="16" t="n">
        <v>64</v>
      </c>
      <c r="Z42" s="124">
        <f>IF(Y42="","",COUNTIFS($C$18:$C$2015,Y$13,$D$18:$D$2015,"&gt;="&amp;Y42,$D$18:$D$2015,"&lt;"&amp;Y43))</f>
        <v/>
      </c>
      <c r="AA42" s="14" t="n"/>
      <c r="AB42" s="16" t="n">
        <v>37</v>
      </c>
      <c r="AC42" s="124">
        <f>IF(AB42="","",COUNTIFS($C$18:$C$2015,AB$13,$D$18:$D$2015,"&gt;="&amp;AB42,$D$18:$D$2015,"&lt;"&amp;AB43))</f>
        <v/>
      </c>
      <c r="AD42" s="14" t="n"/>
    </row>
    <row r="43">
      <c r="A43" s="58" t="n"/>
      <c r="B43" s="59" t="n"/>
      <c r="C43" s="59" t="n"/>
      <c r="D43" s="126" t="n"/>
      <c r="E43" s="16" t="n"/>
      <c r="F43" s="13" t="n"/>
      <c r="G43" s="16" t="n">
        <v>38</v>
      </c>
      <c r="H43" s="124">
        <f>IF(G43="","",COUNTIFS($C$18:$C$2015,G$13,$D$18:$D$2015,"&gt;="&amp;G43,$D$18:$D$2015,"&lt;"&amp;G44))</f>
        <v/>
      </c>
      <c r="I43" s="14" t="n"/>
      <c r="J43" s="16" t="n">
        <v>150</v>
      </c>
      <c r="K43" s="124">
        <f>IF(J43="","",COUNTIFS($C$18:$C$2015,J$13,$D$18:$D$2015,"&gt;="&amp;J43,$D$18:$D$2015,"&lt;"&amp;J44))</f>
        <v/>
      </c>
      <c r="L43" s="14" t="n"/>
      <c r="M43" s="16" t="n">
        <v>66</v>
      </c>
      <c r="N43" s="124">
        <f>IF(M43="","",COUNTIFS($C$18:$C$2015,M$13,$D$18:$D$2015,"&gt;="&amp;M43,$D$18:$D$2015,"&lt;"&amp;M44))</f>
        <v/>
      </c>
      <c r="O43" s="14" t="n"/>
      <c r="P43" s="16" t="n">
        <v>38</v>
      </c>
      <c r="Q43" s="124">
        <f>IF(P43="","",COUNTIFS($C$18:$C$2015,P$13,$D$18:$D$2015,"&gt;="&amp;P43,$D$18:$D$2015,"&lt;"&amp;P44))</f>
        <v/>
      </c>
      <c r="R43" s="14" t="n"/>
      <c r="S43" s="16" t="n">
        <v>66</v>
      </c>
      <c r="T43" s="124">
        <f>IF(S43="","",COUNTIFS($C$18:$C$2015,S$13,$D$18:$D$2015,"&gt;="&amp;S43,$D$18:$D$2015,"&lt;"&amp;S44))</f>
        <v/>
      </c>
      <c r="U43" s="14" t="n"/>
      <c r="V43" s="16" t="n">
        <v>66</v>
      </c>
      <c r="W43" s="124">
        <f>IF(V43="","",COUNTIFS($C$18:$C$2015,V$13,$D$18:$D$2015,"&gt;="&amp;V43,$D$18:$D$2015,"&lt;"&amp;V44))</f>
        <v/>
      </c>
      <c r="X43" s="14" t="n"/>
      <c r="Y43" s="16" t="n">
        <v>66</v>
      </c>
      <c r="Z43" s="124">
        <f>IF(Y43="","",COUNTIFS($C$18:$C$2015,Y$13,$D$18:$D$2015,"&gt;="&amp;Y43,$D$18:$D$2015,"&lt;"&amp;Y44))</f>
        <v/>
      </c>
      <c r="AA43" s="14" t="n"/>
      <c r="AB43" s="16" t="n">
        <v>38</v>
      </c>
      <c r="AC43" s="124">
        <f>IF(AB43="","",COUNTIFS($C$18:$C$2015,AB$13,$D$18:$D$2015,"&gt;="&amp;AB43,$D$18:$D$2015,"&lt;"&amp;AB44))</f>
        <v/>
      </c>
      <c r="AD43" s="14" t="n"/>
    </row>
    <row r="44">
      <c r="A44" s="56" t="n"/>
      <c r="B44" s="57" t="n"/>
      <c r="C44" s="57" t="n"/>
      <c r="D44" s="127" t="n"/>
      <c r="E44" s="16" t="n"/>
      <c r="F44" s="13" t="n"/>
      <c r="G44" s="16" t="n">
        <v>39</v>
      </c>
      <c r="H44" s="124">
        <f>IF(G44="","",COUNTIFS($C$18:$C$2015,G$13,$D$18:$D$2015,"&gt;="&amp;G44,$D$18:$D$2015,"&lt;"&amp;G45))</f>
        <v/>
      </c>
      <c r="I44" s="14" t="n"/>
      <c r="J44" s="16" t="n"/>
      <c r="K44" s="124">
        <f>IF(J44="","",COUNTIFS($C$18:$C$2015,J$13,$D$18:$D$2015,"&gt;="&amp;J44,$D$18:$D$2015,"&lt;"&amp;J45))</f>
        <v/>
      </c>
      <c r="L44" s="14" t="n"/>
      <c r="M44" s="16" t="n">
        <v>68</v>
      </c>
      <c r="N44" s="124">
        <f>IF(M44="","",COUNTIFS($C$18:$C$2015,M$13,$D$18:$D$2015,"&gt;="&amp;M44,$D$18:$D$2015,"&lt;"&amp;M45))</f>
        <v/>
      </c>
      <c r="O44" s="14" t="n"/>
      <c r="P44" s="16" t="n">
        <v>39</v>
      </c>
      <c r="Q44" s="124">
        <f>IF(P44="","",COUNTIFS($C$18:$C$2015,P$13,$D$18:$D$2015,"&gt;="&amp;P44,$D$18:$D$2015,"&lt;"&amp;P45))</f>
        <v/>
      </c>
      <c r="R44" s="14" t="n"/>
      <c r="S44" s="16" t="n">
        <v>68</v>
      </c>
      <c r="T44" s="124">
        <f>IF(S44="","",COUNTIFS($C$18:$C$2015,S$13,$D$18:$D$2015,"&gt;="&amp;S44,$D$18:$D$2015,"&lt;"&amp;S45))</f>
        <v/>
      </c>
      <c r="U44" s="14" t="n"/>
      <c r="V44" s="16" t="n">
        <v>68</v>
      </c>
      <c r="W44" s="124">
        <f>IF(V44="","",COUNTIFS($C$18:$C$2015,V$13,$D$18:$D$2015,"&gt;="&amp;V44,$D$18:$D$2015,"&lt;"&amp;V45))</f>
        <v/>
      </c>
      <c r="X44" s="14" t="n"/>
      <c r="Y44" s="16" t="n">
        <v>68</v>
      </c>
      <c r="Z44" s="124">
        <f>IF(Y44="","",COUNTIFS($C$18:$C$2015,Y$13,$D$18:$D$2015,"&gt;="&amp;Y44,$D$18:$D$2015,"&lt;"&amp;Y45))</f>
        <v/>
      </c>
      <c r="AA44" s="14" t="n"/>
      <c r="AB44" s="16" t="n">
        <v>39</v>
      </c>
      <c r="AC44" s="124">
        <f>IF(AB44="","",COUNTIFS($C$18:$C$2015,AB$13,$D$18:$D$2015,"&gt;="&amp;AB44,$D$18:$D$2015,"&lt;"&amp;AB45))</f>
        <v/>
      </c>
      <c r="AD44" s="14" t="n"/>
    </row>
    <row r="45">
      <c r="A45" s="58" t="n"/>
      <c r="B45" s="59" t="n"/>
      <c r="C45" s="59" t="n"/>
      <c r="D45" s="126" t="n"/>
      <c r="E45" s="16" t="n"/>
      <c r="F45" s="13" t="n"/>
      <c r="G45" s="16" t="n">
        <v>40</v>
      </c>
      <c r="H45" s="124">
        <f>IF(G45="","",COUNTIFS($C$18:$C$2015,G$13,$D$18:$D$2015,"&gt;="&amp;G45,$D$18:$D$2015,"&lt;"&amp;G46))</f>
        <v/>
      </c>
      <c r="I45" s="14" t="n"/>
      <c r="J45" s="16" t="n"/>
      <c r="K45" s="124">
        <f>IF(J45="","",COUNTIFS($C$18:$C$2015,J$13,$D$18:$D$2015,"&gt;="&amp;J45,$D$18:$D$2015,"&lt;"&amp;J46))</f>
        <v/>
      </c>
      <c r="L45" s="14" t="n"/>
      <c r="M45" s="16" t="n">
        <v>70</v>
      </c>
      <c r="N45" s="124">
        <f>IF(M45="","",COUNTIFS($C$18:$C$2015,M$13,$D$18:$D$2015,"&gt;="&amp;M45,$D$18:$D$2015,"&lt;"&amp;M46))</f>
        <v/>
      </c>
      <c r="O45" s="14" t="n"/>
      <c r="P45" s="16" t="n">
        <v>40</v>
      </c>
      <c r="Q45" s="124">
        <f>IF(P45="","",COUNTIFS($C$18:$C$2015,P$13,$D$18:$D$2015,"&gt;="&amp;P45,$D$18:$D$2015,"&lt;"&amp;P46))</f>
        <v/>
      </c>
      <c r="R45" s="14" t="n"/>
      <c r="S45" s="16" t="n">
        <v>70</v>
      </c>
      <c r="T45" s="124">
        <f>IF(S45="","",COUNTIFS($C$18:$C$2015,S$13,$D$18:$D$2015,"&gt;="&amp;S45,$D$18:$D$2015,"&lt;"&amp;S46))</f>
        <v/>
      </c>
      <c r="U45" s="14" t="n"/>
      <c r="V45" s="16" t="n">
        <v>70</v>
      </c>
      <c r="W45" s="124">
        <f>IF(V45="","",COUNTIFS($C$18:$C$2015,V$13,$D$18:$D$2015,"&gt;="&amp;V45,$D$18:$D$2015,"&lt;"&amp;V46))</f>
        <v/>
      </c>
      <c r="X45" s="14" t="n"/>
      <c r="Y45" s="16" t="n">
        <v>70</v>
      </c>
      <c r="Z45" s="124">
        <f>IF(Y45="","",COUNTIFS($C$18:$C$2015,Y$13,$D$18:$D$2015,"&gt;="&amp;Y45,$D$18:$D$2015,"&lt;"&amp;Y46))</f>
        <v/>
      </c>
      <c r="AA45" s="14" t="n"/>
      <c r="AB45" s="16" t="n">
        <v>40</v>
      </c>
      <c r="AC45" s="124">
        <f>IF(AB45="","",COUNTIFS($C$18:$C$2015,AB$13,$D$18:$D$2015,"&gt;="&amp;AB45,$D$18:$D$2015,"&lt;"&amp;AB46))</f>
        <v/>
      </c>
      <c r="AD45" s="14" t="n"/>
    </row>
    <row r="46">
      <c r="A46" s="56" t="n"/>
      <c r="B46" s="57" t="n"/>
      <c r="C46" s="57" t="n"/>
      <c r="D46" s="127" t="n"/>
      <c r="E46" s="16" t="n"/>
      <c r="F46" s="13" t="n"/>
      <c r="G46" s="16" t="n">
        <v>41</v>
      </c>
      <c r="H46" s="124">
        <f>IF(G46="","",COUNTIFS($C$18:$C$2015,G$13,$D$18:$D$2015,"&gt;="&amp;G46,$D$18:$D$2015,"&lt;"&amp;G47))</f>
        <v/>
      </c>
      <c r="I46" s="14" t="n"/>
      <c r="J46" s="16" t="n"/>
      <c r="K46" s="124">
        <f>IF(J46="","",COUNTIFS($C$18:$C$2015,J$13,$D$18:$D$2015,"&gt;="&amp;J46,$D$18:$D$2015,"&lt;"&amp;J47))</f>
        <v/>
      </c>
      <c r="L46" s="14" t="n"/>
      <c r="M46" s="16" t="n">
        <v>72</v>
      </c>
      <c r="N46" s="124">
        <f>IF(M46="","",COUNTIFS($C$18:$C$2015,M$13,$D$18:$D$2015,"&gt;="&amp;M46,$D$18:$D$2015,"&lt;"&amp;M47))</f>
        <v/>
      </c>
      <c r="O46" s="14" t="n"/>
      <c r="P46" s="16" t="n">
        <v>41</v>
      </c>
      <c r="Q46" s="124">
        <f>IF(P46="","",COUNTIFS($C$18:$C$2015,P$13,$D$18:$D$2015,"&gt;="&amp;P46,$D$18:$D$2015,"&lt;"&amp;P47))</f>
        <v/>
      </c>
      <c r="R46" s="14" t="n"/>
      <c r="S46" s="16" t="n">
        <v>72</v>
      </c>
      <c r="T46" s="124">
        <f>IF(S46="","",COUNTIFS($C$18:$C$2015,S$13,$D$18:$D$2015,"&gt;="&amp;S46,$D$18:$D$2015,"&lt;"&amp;S47))</f>
        <v/>
      </c>
      <c r="U46" s="14" t="n"/>
      <c r="V46" s="16" t="n">
        <v>72</v>
      </c>
      <c r="W46" s="124">
        <f>IF(V46="","",COUNTIFS($C$18:$C$2015,V$13,$D$18:$D$2015,"&gt;="&amp;V46,$D$18:$D$2015,"&lt;"&amp;V47))</f>
        <v/>
      </c>
      <c r="X46" s="14" t="n"/>
      <c r="Y46" s="16" t="n">
        <v>72</v>
      </c>
      <c r="Z46" s="124">
        <f>IF(Y46="","",COUNTIFS($C$18:$C$2015,Y$13,$D$18:$D$2015,"&gt;="&amp;Y46,$D$18:$D$2015,"&lt;"&amp;Y47))</f>
        <v/>
      </c>
      <c r="AA46" s="14" t="n"/>
      <c r="AB46" s="16" t="n">
        <v>41</v>
      </c>
      <c r="AC46" s="124">
        <f>IF(AB46="","",COUNTIFS($C$18:$C$2015,AB$13,$D$18:$D$2015,"&gt;="&amp;AB46,$D$18:$D$2015,"&lt;"&amp;AB47))</f>
        <v/>
      </c>
      <c r="AD46" s="14" t="n"/>
    </row>
    <row r="47">
      <c r="A47" s="58" t="n"/>
      <c r="B47" s="59" t="n"/>
      <c r="C47" s="59" t="n"/>
      <c r="D47" s="126" t="n"/>
      <c r="E47" s="16" t="n"/>
      <c r="F47" s="13" t="n"/>
      <c r="G47" s="16" t="n">
        <v>42</v>
      </c>
      <c r="H47" s="124">
        <f>IF(G47="","",COUNTIFS($C$18:$C$2015,G$13,$D$18:$D$2015,"&gt;="&amp;G47,$D$18:$D$2015,"&lt;"&amp;G48))</f>
        <v/>
      </c>
      <c r="I47" s="14" t="n"/>
      <c r="J47" s="16" t="n"/>
      <c r="K47" s="124">
        <f>IF(J47="","",COUNTIFS($C$18:$C$2015,J$13,$D$18:$D$2015,"&gt;="&amp;J47,$D$18:$D$2015,"&lt;"&amp;J48))</f>
        <v/>
      </c>
      <c r="L47" s="14" t="n"/>
      <c r="M47" s="16" t="n">
        <v>74</v>
      </c>
      <c r="N47" s="124">
        <f>IF(M47="","",COUNTIFS($C$18:$C$2015,M$13,$D$18:$D$2015,"&gt;="&amp;M47,$D$18:$D$2015,"&lt;"&amp;M48))</f>
        <v/>
      </c>
      <c r="O47" s="14" t="n"/>
      <c r="P47" s="16" t="n">
        <v>42</v>
      </c>
      <c r="Q47" s="124">
        <f>IF(P47="","",COUNTIFS($C$18:$C$2015,P$13,$D$18:$D$2015,"&gt;="&amp;P47,$D$18:$D$2015,"&lt;"&amp;P48))</f>
        <v/>
      </c>
      <c r="R47" s="14" t="n"/>
      <c r="S47" s="16" t="n">
        <v>74</v>
      </c>
      <c r="T47" s="124">
        <f>IF(S47="","",COUNTIFS($C$18:$C$2015,S$13,$D$18:$D$2015,"&gt;="&amp;S47,$D$18:$D$2015,"&lt;"&amp;S48))</f>
        <v/>
      </c>
      <c r="U47" s="14" t="n"/>
      <c r="V47" s="16" t="n">
        <v>74</v>
      </c>
      <c r="W47" s="124">
        <f>IF(V47="","",COUNTIFS($C$18:$C$2015,V$13,$D$18:$D$2015,"&gt;="&amp;V47,$D$18:$D$2015,"&lt;"&amp;V48))</f>
        <v/>
      </c>
      <c r="X47" s="14" t="n"/>
      <c r="Y47" s="16" t="n">
        <v>74</v>
      </c>
      <c r="Z47" s="124">
        <f>IF(Y47="","",COUNTIFS($C$18:$C$2015,Y$13,$D$18:$D$2015,"&gt;="&amp;Y47,$D$18:$D$2015,"&lt;"&amp;Y48))</f>
        <v/>
      </c>
      <c r="AA47" s="14" t="n"/>
      <c r="AB47" s="16" t="n">
        <v>42</v>
      </c>
      <c r="AC47" s="124">
        <f>IF(AB47="","",COUNTIFS($C$18:$C$2015,AB$13,$D$18:$D$2015,"&gt;="&amp;AB47,$D$18:$D$2015,"&lt;"&amp;AB48))</f>
        <v/>
      </c>
      <c r="AD47" s="14" t="n"/>
    </row>
    <row r="48">
      <c r="A48" s="56" t="n"/>
      <c r="B48" s="57" t="n"/>
      <c r="C48" s="57" t="n"/>
      <c r="D48" s="127" t="n"/>
      <c r="E48" s="16" t="n"/>
      <c r="F48" s="13" t="n"/>
      <c r="G48" s="16" t="n">
        <v>43</v>
      </c>
      <c r="H48" s="124">
        <f>IF(G48="","",COUNTIFS($C$18:$C$2015,G$13,$D$18:$D$2015,"&gt;="&amp;G48,$D$18:$D$2015,"&lt;"&amp;G49))</f>
        <v/>
      </c>
      <c r="I48" s="14" t="n"/>
      <c r="J48" s="16" t="n"/>
      <c r="K48" s="124">
        <f>IF(J48="","",COUNTIFS($C$18:$C$2015,J$13,$D$18:$D$2015,"&gt;="&amp;J48,$D$18:$D$2015,"&lt;"&amp;J49))</f>
        <v/>
      </c>
      <c r="L48" s="14" t="n"/>
      <c r="M48" s="16" t="n">
        <v>76</v>
      </c>
      <c r="N48" s="124">
        <f>IF(M48="","",COUNTIFS($C$18:$C$2015,M$13,$D$18:$D$2015,"&gt;="&amp;M48,$D$18:$D$2015,"&lt;"&amp;M49))</f>
        <v/>
      </c>
      <c r="O48" s="14" t="n"/>
      <c r="P48" s="16" t="n">
        <v>43</v>
      </c>
      <c r="Q48" s="124">
        <f>IF(P48="","",COUNTIFS($C$18:$C$2015,P$13,$D$18:$D$2015,"&gt;="&amp;P48,$D$18:$D$2015,"&lt;"&amp;P49))</f>
        <v/>
      </c>
      <c r="R48" s="14" t="n"/>
      <c r="S48" s="16" t="n">
        <v>76</v>
      </c>
      <c r="T48" s="124">
        <f>IF(S48="","",COUNTIFS($C$18:$C$2015,S$13,$D$18:$D$2015,"&gt;="&amp;S48,$D$18:$D$2015,"&lt;"&amp;S49))</f>
        <v/>
      </c>
      <c r="U48" s="14" t="n"/>
      <c r="V48" s="16" t="n">
        <v>76</v>
      </c>
      <c r="W48" s="124">
        <f>IF(V48="","",COUNTIFS($C$18:$C$2015,V$13,$D$18:$D$2015,"&gt;="&amp;V48,$D$18:$D$2015,"&lt;"&amp;V49))</f>
        <v/>
      </c>
      <c r="X48" s="14" t="n"/>
      <c r="Y48" s="16" t="n">
        <v>76</v>
      </c>
      <c r="Z48" s="124">
        <f>IF(Y48="","",COUNTIFS($C$18:$C$2015,Y$13,$D$18:$D$2015,"&gt;="&amp;Y48,$D$18:$D$2015,"&lt;"&amp;Y49))</f>
        <v/>
      </c>
      <c r="AA48" s="14" t="n"/>
      <c r="AB48" s="16" t="n">
        <v>43</v>
      </c>
      <c r="AC48" s="124">
        <f>IF(AB48="","",COUNTIFS($C$18:$C$2015,AB$13,$D$18:$D$2015,"&gt;="&amp;AB48,$D$18:$D$2015,"&lt;"&amp;AB49))</f>
        <v/>
      </c>
      <c r="AD48" s="14" t="n"/>
    </row>
    <row r="49">
      <c r="A49" s="58" t="n"/>
      <c r="B49" s="59" t="n"/>
      <c r="C49" s="59" t="n"/>
      <c r="D49" s="126" t="n"/>
      <c r="E49" s="16" t="n"/>
      <c r="F49" s="13" t="n"/>
      <c r="G49" s="16" t="n">
        <v>44</v>
      </c>
      <c r="H49" s="124">
        <f>IF(G49="","",COUNTIFS($C$18:$C$2015,G$13,$D$18:$D$2015,"&gt;="&amp;G49,$D$18:$D$2015,"&lt;"&amp;G50))</f>
        <v/>
      </c>
      <c r="I49" s="14" t="n"/>
      <c r="J49" s="16" t="n"/>
      <c r="K49" s="124">
        <f>IF(J49="","",COUNTIFS($C$18:$C$2015,J$13,$D$18:$D$2015,"&gt;="&amp;J49,$D$18:$D$2015,"&lt;"&amp;J50))</f>
        <v/>
      </c>
      <c r="L49" s="14" t="n"/>
      <c r="M49" s="16" t="n">
        <v>78</v>
      </c>
      <c r="N49" s="124">
        <f>IF(M49="","",COUNTIFS($C$18:$C$2015,M$13,$D$18:$D$2015,"&gt;="&amp;M49,$D$18:$D$2015,"&lt;"&amp;M50))</f>
        <v/>
      </c>
      <c r="O49" s="14" t="n"/>
      <c r="P49" s="16" t="n">
        <v>44</v>
      </c>
      <c r="Q49" s="124">
        <f>IF(P49="","",COUNTIFS($C$18:$C$2015,P$13,$D$18:$D$2015,"&gt;="&amp;P49,$D$18:$D$2015,"&lt;"&amp;P50))</f>
        <v/>
      </c>
      <c r="R49" s="14" t="n"/>
      <c r="S49" s="16" t="n">
        <v>78</v>
      </c>
      <c r="T49" s="124">
        <f>IF(S49="","",COUNTIFS($C$18:$C$2015,S$13,$D$18:$D$2015,"&gt;="&amp;S49,$D$18:$D$2015,"&lt;"&amp;S50))</f>
        <v/>
      </c>
      <c r="U49" s="14" t="n"/>
      <c r="V49" s="16" t="n">
        <v>78</v>
      </c>
      <c r="W49" s="124">
        <f>IF(V49="","",COUNTIFS($C$18:$C$2015,V$13,$D$18:$D$2015,"&gt;="&amp;V49,$D$18:$D$2015,"&lt;"&amp;V50))</f>
        <v/>
      </c>
      <c r="X49" s="14" t="n"/>
      <c r="Y49" s="16" t="n">
        <v>78</v>
      </c>
      <c r="Z49" s="124">
        <f>IF(Y49="","",COUNTIFS($C$18:$C$2015,Y$13,$D$18:$D$2015,"&gt;="&amp;Y49,$D$18:$D$2015,"&lt;"&amp;Y50))</f>
        <v/>
      </c>
      <c r="AA49" s="14" t="n"/>
      <c r="AB49" s="16" t="n">
        <v>44</v>
      </c>
      <c r="AC49" s="124">
        <f>IF(AB49="","",COUNTIFS($C$18:$C$2015,AB$13,$D$18:$D$2015,"&gt;="&amp;AB49,$D$18:$D$2015,"&lt;"&amp;AB50))</f>
        <v/>
      </c>
      <c r="AD49" s="14" t="n"/>
    </row>
    <row r="50">
      <c r="A50" s="56" t="n"/>
      <c r="B50" s="57" t="n"/>
      <c r="C50" s="57" t="n"/>
      <c r="D50" s="127" t="n"/>
      <c r="E50" s="16" t="n"/>
      <c r="F50" s="13" t="n"/>
      <c r="G50" s="16" t="n">
        <v>45</v>
      </c>
      <c r="H50" s="124">
        <f>IF(G50="","",COUNTIFS($C$18:$C$2015,G$13,$D$18:$D$2015,"&gt;="&amp;G50,$D$18:$D$2015,"&lt;"&amp;G51))</f>
        <v/>
      </c>
      <c r="I50" s="14" t="n"/>
      <c r="J50" s="16" t="n"/>
      <c r="K50" s="124">
        <f>IF(J50="","",COUNTIFS($C$18:$C$2015,J$13,$D$18:$D$2015,"&gt;="&amp;J50,$D$18:$D$2015,"&lt;"&amp;J51))</f>
        <v/>
      </c>
      <c r="L50" s="14" t="n"/>
      <c r="M50" s="16" t="n">
        <v>80</v>
      </c>
      <c r="N50" s="124">
        <f>IF(M50="","",COUNTIFS($C$18:$C$2015,M$13,$D$18:$D$2015,"&gt;="&amp;M50,$D$18:$D$2015,"&lt;"&amp;M51))</f>
        <v/>
      </c>
      <c r="O50" s="14" t="n"/>
      <c r="P50" s="16" t="n">
        <v>45</v>
      </c>
      <c r="Q50" s="124">
        <f>IF(P50="","",COUNTIFS($C$18:$C$2015,P$13,$D$18:$D$2015,"&gt;="&amp;P50,$D$18:$D$2015,"&lt;"&amp;P51))</f>
        <v/>
      </c>
      <c r="R50" s="14" t="n"/>
      <c r="S50" s="16" t="n">
        <v>80</v>
      </c>
      <c r="T50" s="124">
        <f>IF(S50="","",COUNTIFS($C$18:$C$2015,S$13,$D$18:$D$2015,"&gt;="&amp;S50,$D$18:$D$2015,"&lt;"&amp;S51))</f>
        <v/>
      </c>
      <c r="U50" s="14" t="n"/>
      <c r="V50" s="16" t="n">
        <v>80</v>
      </c>
      <c r="W50" s="124">
        <f>IF(V50="","",COUNTIFS($C$18:$C$2015,V$13,$D$18:$D$2015,"&gt;="&amp;V50,$D$18:$D$2015,"&lt;"&amp;V51))</f>
        <v/>
      </c>
      <c r="X50" s="14" t="n"/>
      <c r="Y50" s="16" t="n">
        <v>80</v>
      </c>
      <c r="Z50" s="124">
        <f>IF(Y50="","",COUNTIFS($C$18:$C$2015,Y$13,$D$18:$D$2015,"&gt;="&amp;Y50,$D$18:$D$2015,"&lt;"&amp;Y51))</f>
        <v/>
      </c>
      <c r="AA50" s="14" t="n"/>
      <c r="AB50" s="16" t="n">
        <v>45</v>
      </c>
      <c r="AC50" s="124">
        <f>IF(AB50="","",COUNTIFS($C$18:$C$2015,AB$13,$D$18:$D$2015,"&gt;="&amp;AB50,$D$18:$D$2015,"&lt;"&amp;AB51))</f>
        <v/>
      </c>
      <c r="AD50" s="14" t="n"/>
    </row>
    <row r="51">
      <c r="A51" s="58" t="n"/>
      <c r="B51" s="59" t="n"/>
      <c r="C51" s="59" t="n"/>
      <c r="D51" s="126" t="n"/>
      <c r="E51" s="16" t="n"/>
      <c r="F51" s="13" t="n"/>
      <c r="G51" s="16" t="n">
        <v>46</v>
      </c>
      <c r="H51" s="124">
        <f>IF(G51="","",COUNTIFS($C$18:$C$2015,G$13,$D$18:$D$2015,"&gt;="&amp;G51,$D$18:$D$2015,"&lt;"&amp;G52))</f>
        <v/>
      </c>
      <c r="I51" s="14" t="n"/>
      <c r="J51" s="16" t="n"/>
      <c r="K51" s="124">
        <f>IF(J51="","",COUNTIFS($C$18:$C$2015,J$13,$D$18:$D$2015,"&gt;="&amp;J51,$D$18:$D$2015,"&lt;"&amp;J52))</f>
        <v/>
      </c>
      <c r="L51" s="14" t="n"/>
      <c r="M51" s="16" t="n">
        <v>82</v>
      </c>
      <c r="N51" s="124">
        <f>IF(M51="","",COUNTIFS($C$18:$C$2015,M$13,$D$18:$D$2015,"&gt;="&amp;M51,$D$18:$D$2015,"&lt;"&amp;M52))</f>
        <v/>
      </c>
      <c r="O51" s="14" t="n"/>
      <c r="P51" s="16" t="n">
        <v>46</v>
      </c>
      <c r="Q51" s="124">
        <f>IF(P51="","",COUNTIFS($C$18:$C$2015,P$13,$D$18:$D$2015,"&gt;="&amp;P51,$D$18:$D$2015,"&lt;"&amp;P52))</f>
        <v/>
      </c>
      <c r="R51" s="14" t="n"/>
      <c r="S51" s="16" t="n">
        <v>82</v>
      </c>
      <c r="T51" s="124">
        <f>IF(S51="","",COUNTIFS($C$18:$C$2015,S$13,$D$18:$D$2015,"&gt;="&amp;S51,$D$18:$D$2015,"&lt;"&amp;S52))</f>
        <v/>
      </c>
      <c r="U51" s="14" t="n"/>
      <c r="V51" s="16" t="n"/>
      <c r="W51" s="124">
        <f>IF(V51="","",COUNTIFS($C$18:$C$2015,V$13,$D$18:$D$2015,"&gt;="&amp;V51,$D$18:$D$2015,"&lt;"&amp;V52))</f>
        <v/>
      </c>
      <c r="X51" s="14" t="n"/>
      <c r="Y51" s="16" t="n"/>
      <c r="Z51" s="124">
        <f>IF(Y51="","",COUNTIFS($C$18:$C$2015,Y$13,$D$18:$D$2015,"&gt;="&amp;Y51,$D$18:$D$2015,"&lt;"&amp;Y52))</f>
        <v/>
      </c>
      <c r="AA51" s="14" t="n"/>
      <c r="AB51" s="16" t="n">
        <v>46</v>
      </c>
      <c r="AC51" s="124">
        <f>IF(AB51="","",COUNTIFS($C$18:$C$2015,AB$13,$D$18:$D$2015,"&gt;="&amp;AB51,$D$18:$D$2015,"&lt;"&amp;AB52))</f>
        <v/>
      </c>
      <c r="AD51" s="14" t="n"/>
    </row>
    <row r="52">
      <c r="A52" s="56" t="n"/>
      <c r="B52" s="57" t="n"/>
      <c r="C52" s="57" t="n"/>
      <c r="D52" s="127" t="n"/>
      <c r="E52" s="16" t="n"/>
      <c r="F52" s="13" t="n"/>
      <c r="G52" s="16" t="n">
        <v>47</v>
      </c>
      <c r="H52" s="124">
        <f>IF(G52="","",COUNTIFS($C$18:$C$2015,G$13,$D$18:$D$2015,"&gt;="&amp;G52,$D$18:$D$2015,"&lt;"&amp;G53))</f>
        <v/>
      </c>
      <c r="I52" s="14" t="n"/>
      <c r="J52" s="16" t="n"/>
      <c r="K52" s="124">
        <f>IF(J52="","",COUNTIFS($C$18:$C$2015,J$13,$D$18:$D$2015,"&gt;="&amp;J52,$D$18:$D$2015,"&lt;"&amp;J53))</f>
        <v/>
      </c>
      <c r="L52" s="14" t="n"/>
      <c r="M52" s="16" t="n">
        <v>84</v>
      </c>
      <c r="N52" s="124">
        <f>IF(M52="","",COUNTIFS($C$18:$C$2015,M$13,$D$18:$D$2015,"&gt;="&amp;M52,$D$18:$D$2015,"&lt;"&amp;M53))</f>
        <v/>
      </c>
      <c r="O52" s="14" t="n"/>
      <c r="P52" s="16" t="n">
        <v>47</v>
      </c>
      <c r="Q52" s="124">
        <f>IF(P52="","",COUNTIFS($C$18:$C$2015,P$13,$D$18:$D$2015,"&gt;="&amp;P52,$D$18:$D$2015,"&lt;"&amp;P53))</f>
        <v/>
      </c>
      <c r="R52" s="14" t="n"/>
      <c r="S52" s="16" t="n">
        <v>84</v>
      </c>
      <c r="T52" s="124">
        <f>IF(S52="","",COUNTIFS($C$18:$C$2015,S$13,$D$18:$D$2015,"&gt;="&amp;S52,$D$18:$D$2015,"&lt;"&amp;S53))</f>
        <v/>
      </c>
      <c r="U52" s="14" t="n"/>
      <c r="V52" s="16" t="n"/>
      <c r="W52" s="124">
        <f>IF(V52="","",COUNTIFS($C$18:$C$2015,V$13,$D$18:$D$2015,"&gt;="&amp;V52,$D$18:$D$2015,"&lt;"&amp;V53))</f>
        <v/>
      </c>
      <c r="X52" s="14" t="n"/>
      <c r="Y52" s="16" t="n"/>
      <c r="Z52" s="124">
        <f>IF(Y52="","",COUNTIFS($C$18:$C$2015,Y$13,$D$18:$D$2015,"&gt;="&amp;Y52,$D$18:$D$2015,"&lt;"&amp;Y53))</f>
        <v/>
      </c>
      <c r="AA52" s="14" t="n"/>
      <c r="AB52" s="16" t="n">
        <v>47</v>
      </c>
      <c r="AC52" s="124">
        <f>IF(AB52="","",COUNTIFS($C$18:$C$2015,AB$13,$D$18:$D$2015,"&gt;="&amp;AB52,$D$18:$D$2015,"&lt;"&amp;AB53))</f>
        <v/>
      </c>
      <c r="AD52" s="14" t="n"/>
    </row>
    <row r="53">
      <c r="A53" s="58" t="n"/>
      <c r="B53" s="59" t="n"/>
      <c r="C53" s="59" t="n"/>
      <c r="D53" s="126" t="n"/>
      <c r="E53" s="16" t="n"/>
      <c r="F53" s="13" t="n"/>
      <c r="G53" s="16" t="n">
        <v>48</v>
      </c>
      <c r="H53" s="124">
        <f>IF(G53="","",COUNTIFS($C$18:$C$2015,G$13,$D$18:$D$2015,"&gt;="&amp;G53,$D$18:$D$2015,"&lt;"&amp;G54))</f>
        <v/>
      </c>
      <c r="I53" s="14" t="n"/>
      <c r="J53" s="16" t="n"/>
      <c r="K53" s="124">
        <f>IF(J53="","",COUNTIFS($C$18:$C$2015,J$13,$D$18:$D$2015,"&gt;="&amp;J53,$D$18:$D$2015,"&lt;"&amp;J54))</f>
        <v/>
      </c>
      <c r="L53" s="14" t="n"/>
      <c r="M53" s="16" t="n">
        <v>86</v>
      </c>
      <c r="N53" s="124">
        <f>IF(M53="","",COUNTIFS($C$18:$C$2015,M$13,$D$18:$D$2015,"&gt;="&amp;M53,$D$18:$D$2015,"&lt;"&amp;M54))</f>
        <v/>
      </c>
      <c r="O53" s="14" t="n"/>
      <c r="P53" s="16" t="n">
        <v>48</v>
      </c>
      <c r="Q53" s="124">
        <f>IF(P53="","",COUNTIFS($C$18:$C$2015,P$13,$D$18:$D$2015,"&gt;="&amp;P53,$D$18:$D$2015,"&lt;"&amp;P54))</f>
        <v/>
      </c>
      <c r="R53" s="14" t="n"/>
      <c r="S53" s="16" t="n">
        <v>86</v>
      </c>
      <c r="T53" s="124">
        <f>IF(S53="","",COUNTIFS($C$18:$C$2015,S$13,$D$18:$D$2015,"&gt;="&amp;S53,$D$18:$D$2015,"&lt;"&amp;S54))</f>
        <v/>
      </c>
      <c r="U53" s="14" t="n"/>
      <c r="V53" s="16" t="n"/>
      <c r="W53" s="124">
        <f>IF(V53="","",COUNTIFS($C$18:$C$2015,V$13,$D$18:$D$2015,"&gt;="&amp;V53,$D$18:$D$2015,"&lt;"&amp;V54))</f>
        <v/>
      </c>
      <c r="X53" s="14" t="n"/>
      <c r="Y53" s="16" t="n"/>
      <c r="Z53" s="124">
        <f>IF(Y53="","",COUNTIFS($C$18:$C$2015,Y$13,$D$18:$D$2015,"&gt;="&amp;Y53,$D$18:$D$2015,"&lt;"&amp;Y54))</f>
        <v/>
      </c>
      <c r="AA53" s="14" t="n"/>
      <c r="AB53" s="16" t="n">
        <v>48</v>
      </c>
      <c r="AC53" s="124">
        <f>IF(AB53="","",COUNTIFS($C$18:$C$2015,AB$13,$D$18:$D$2015,"&gt;="&amp;AB53,$D$18:$D$2015,"&lt;"&amp;AB54))</f>
        <v/>
      </c>
      <c r="AD53" s="14" t="n"/>
    </row>
    <row r="54">
      <c r="A54" s="56" t="n"/>
      <c r="B54" s="57" t="n"/>
      <c r="C54" s="57" t="n"/>
      <c r="D54" s="127" t="n"/>
      <c r="E54" s="16" t="n"/>
      <c r="F54" s="13" t="n"/>
      <c r="G54" s="16" t="n">
        <v>49</v>
      </c>
      <c r="H54" s="124">
        <f>IF(G54="","",COUNTIFS($C$18:$C$2015,G$13,$D$18:$D$2015,"&gt;="&amp;G54,$D$18:$D$2015,"&lt;"&amp;G55))</f>
        <v/>
      </c>
      <c r="I54" s="14" t="n"/>
      <c r="J54" s="16" t="n"/>
      <c r="K54" s="124">
        <f>IF(J54="","",COUNTIFS($C$18:$C$2015,J$13,$D$18:$D$2015,"&gt;="&amp;J54,$D$18:$D$2015,"&lt;"&amp;J55))</f>
        <v/>
      </c>
      <c r="L54" s="14" t="n"/>
      <c r="M54" s="16" t="n">
        <v>88</v>
      </c>
      <c r="N54" s="124">
        <f>IF(M54="","",COUNTIFS($C$18:$C$2015,M$13,$D$18:$D$2015,"&gt;="&amp;M54,$D$18:$D$2015,"&lt;"&amp;M55))</f>
        <v/>
      </c>
      <c r="O54" s="14" t="n"/>
      <c r="P54" s="16" t="n">
        <v>49</v>
      </c>
      <c r="Q54" s="124">
        <f>IF(P54="","",COUNTIFS($C$18:$C$2015,P$13,$D$18:$D$2015,"&gt;="&amp;P54,$D$18:$D$2015,"&lt;"&amp;P55))</f>
        <v/>
      </c>
      <c r="R54" s="14" t="n"/>
      <c r="S54" s="16" t="n">
        <v>88</v>
      </c>
      <c r="T54" s="124">
        <f>IF(S54="","",COUNTIFS($C$18:$C$2015,S$13,$D$18:$D$2015,"&gt;="&amp;S54,$D$18:$D$2015,"&lt;"&amp;S55))</f>
        <v/>
      </c>
      <c r="U54" s="14" t="n"/>
      <c r="V54" s="16" t="n"/>
      <c r="W54" s="124">
        <f>IF(V54="","",COUNTIFS($C$18:$C$2015,V$13,$D$18:$D$2015,"&gt;="&amp;V54,$D$18:$D$2015,"&lt;"&amp;V55))</f>
        <v/>
      </c>
      <c r="X54" s="14" t="n"/>
      <c r="Y54" s="16" t="n"/>
      <c r="Z54" s="124">
        <f>IF(Y54="","",COUNTIFS($C$18:$C$2015,Y$13,$D$18:$D$2015,"&gt;="&amp;Y54,$D$18:$D$2015,"&lt;"&amp;Y55))</f>
        <v/>
      </c>
      <c r="AA54" s="14" t="n"/>
      <c r="AB54" s="16" t="n">
        <v>49</v>
      </c>
      <c r="AC54" s="124">
        <f>IF(AB54="","",COUNTIFS($C$18:$C$2015,AB$13,$D$18:$D$2015,"&gt;="&amp;AB54,$D$18:$D$2015,"&lt;"&amp;AB55))</f>
        <v/>
      </c>
      <c r="AD54" s="14" t="n"/>
    </row>
    <row r="55">
      <c r="A55" s="58" t="n"/>
      <c r="B55" s="59" t="n"/>
      <c r="C55" s="59" t="n"/>
      <c r="D55" s="126" t="n"/>
      <c r="E55" s="16" t="n"/>
      <c r="F55" s="13" t="n"/>
      <c r="G55" s="16" t="n">
        <v>50</v>
      </c>
      <c r="H55" s="124">
        <f>IF(G55="","",COUNTIFS($C$18:$C$2015,G$13,$D$18:$D$2015,"&gt;="&amp;G55,$D$18:$D$2015,"&lt;"&amp;G56))</f>
        <v/>
      </c>
      <c r="I55" s="14" t="n"/>
      <c r="J55" s="16" t="n"/>
      <c r="K55" s="124">
        <f>IF(J55="","",COUNTIFS($C$18:$C$2015,J$13,$D$18:$D$2015,"&gt;="&amp;J55,$D$18:$D$2015,"&lt;"&amp;J56))</f>
        <v/>
      </c>
      <c r="L55" s="14" t="n"/>
      <c r="M55" s="16" t="n">
        <v>90</v>
      </c>
      <c r="N55" s="124">
        <f>IF(M55="","",COUNTIFS($C$18:$C$2015,M$13,$D$18:$D$2015,"&gt;="&amp;M55,$D$18:$D$2015,"&lt;"&amp;M56))</f>
        <v/>
      </c>
      <c r="O55" s="14" t="n"/>
      <c r="P55" s="16" t="n">
        <v>50</v>
      </c>
      <c r="Q55" s="124">
        <f>IF(P55="","",COUNTIFS($C$18:$C$2015,P$13,$D$18:$D$2015,"&gt;="&amp;P55,$D$18:$D$2015,"&lt;"&amp;P56))</f>
        <v/>
      </c>
      <c r="R55" s="14" t="n"/>
      <c r="S55" s="16" t="n">
        <v>90</v>
      </c>
      <c r="T55" s="124">
        <f>IF(S55="","",COUNTIFS($C$18:$C$2015,S$13,$D$18:$D$2015,"&gt;="&amp;S55,$D$18:$D$2015,"&lt;"&amp;S56))</f>
        <v/>
      </c>
      <c r="U55" s="14" t="n"/>
      <c r="V55" s="16" t="n"/>
      <c r="W55" s="124">
        <f>IF(V55="","",COUNTIFS($C$18:$C$2015,V$13,$D$18:$D$2015,"&gt;="&amp;V55,$D$18:$D$2015,"&lt;"&amp;V56))</f>
        <v/>
      </c>
      <c r="X55" s="14" t="n"/>
      <c r="Y55" s="16" t="n"/>
      <c r="Z55" s="124">
        <f>IF(Y55="","",COUNTIFS($C$18:$C$2015,Y$13,$D$18:$D$2015,"&gt;="&amp;Y55,$D$18:$D$2015,"&lt;"&amp;Y56))</f>
        <v/>
      </c>
      <c r="AA55" s="14" t="n"/>
      <c r="AB55" s="16" t="n">
        <v>50</v>
      </c>
      <c r="AC55" s="124">
        <f>IF(AB55="","",COUNTIFS($C$18:$C$2015,AB$13,$D$18:$D$2015,"&gt;="&amp;AB55,$D$18:$D$2015,"&lt;"&amp;AB56))</f>
        <v/>
      </c>
      <c r="AD55" s="14" t="n"/>
    </row>
    <row r="56">
      <c r="A56" s="56" t="n"/>
      <c r="B56" s="57" t="n"/>
      <c r="C56" s="57" t="n"/>
      <c r="D56" s="127" t="n"/>
      <c r="E56" s="16" t="n"/>
      <c r="F56" s="13" t="n"/>
      <c r="G56" s="16" t="n">
        <v>51</v>
      </c>
      <c r="H56" s="124">
        <f>IF(G56="","",COUNTIFS($C$18:$C$2015,G$13,$D$18:$D$2015,"&gt;="&amp;G56,$D$18:$D$2015,"&lt;"&amp;G57))</f>
        <v/>
      </c>
      <c r="I56" s="14" t="n"/>
      <c r="J56" s="16" t="n"/>
      <c r="K56" s="124">
        <f>IF(J56="","",COUNTIFS($C$18:$C$2015,J$13,$D$18:$D$2015,"&gt;="&amp;J56,$D$18:$D$2015,"&lt;"&amp;J57))</f>
        <v/>
      </c>
      <c r="L56" s="14" t="n"/>
      <c r="M56" s="16" t="n"/>
      <c r="N56" s="124">
        <f>IF(M56="","",COUNTIFS($C$18:$C$2015,M$13,$D$18:$D$2015,"&gt;="&amp;M56,$D$18:$D$2015,"&lt;"&amp;M57))</f>
        <v/>
      </c>
      <c r="O56" s="14" t="n"/>
      <c r="P56" s="16" t="n">
        <v>51</v>
      </c>
      <c r="Q56" s="124">
        <f>IF(P56="","",COUNTIFS($C$18:$C$2015,P$13,$D$18:$D$2015,"&gt;="&amp;P56,$D$18:$D$2015,"&lt;"&amp;P57))</f>
        <v/>
      </c>
      <c r="R56" s="14" t="n"/>
      <c r="S56" s="16" t="n">
        <v>92</v>
      </c>
      <c r="T56" s="124">
        <f>IF(S56="","",COUNTIFS($C$18:$C$2015,S$13,$D$18:$D$2015,"&gt;="&amp;S56,$D$18:$D$2015,"&lt;"&amp;S57))</f>
        <v/>
      </c>
      <c r="U56" s="14" t="n"/>
      <c r="V56" s="16" t="n"/>
      <c r="W56" s="124">
        <f>IF(V56="","",COUNTIFS($C$18:$C$2015,V$13,$D$18:$D$2015,"&gt;="&amp;V56,$D$18:$D$2015,"&lt;"&amp;V57))</f>
        <v/>
      </c>
      <c r="X56" s="14" t="n"/>
      <c r="Y56" s="16" t="n"/>
      <c r="Z56" s="124">
        <f>IF(Y56="","",COUNTIFS($C$18:$C$2015,Y$13,$D$18:$D$2015,"&gt;="&amp;Y56,$D$18:$D$2015,"&lt;"&amp;Y57))</f>
        <v/>
      </c>
      <c r="AA56" s="14" t="n"/>
      <c r="AB56" s="16" t="n">
        <v>51</v>
      </c>
      <c r="AC56" s="124">
        <f>IF(AB56="","",COUNTIFS($C$18:$C$2015,AB$13,$D$18:$D$2015,"&gt;="&amp;AB56,$D$18:$D$2015,"&lt;"&amp;AB57))</f>
        <v/>
      </c>
      <c r="AD56" s="14" t="n"/>
    </row>
    <row r="57">
      <c r="A57" s="58" t="n"/>
      <c r="B57" s="59" t="n"/>
      <c r="C57" s="59" t="n"/>
      <c r="D57" s="126" t="n"/>
      <c r="E57" s="16" t="n"/>
      <c r="F57" s="13" t="n"/>
      <c r="G57" s="16" t="n">
        <v>52</v>
      </c>
      <c r="H57" s="124">
        <f>IF(G57="","",COUNTIFS($C$18:$C$2015,G$13,$D$18:$D$2015,"&gt;="&amp;G57,$D$18:$D$2015,"&lt;"&amp;G58))</f>
        <v/>
      </c>
      <c r="I57" s="14" t="n"/>
      <c r="J57" s="16" t="n"/>
      <c r="K57" s="124">
        <f>IF(J57="","",COUNTIFS($C$18:$C$2015,J$13,$D$18:$D$2015,"&gt;="&amp;J57,$D$18:$D$2015,"&lt;"&amp;J58))</f>
        <v/>
      </c>
      <c r="L57" s="14" t="n"/>
      <c r="M57" s="16" t="n"/>
      <c r="N57" s="124">
        <f>IF(M57="","",COUNTIFS($C$18:$C$2015,M$13,$D$18:$D$2015,"&gt;="&amp;M57,$D$18:$D$2015,"&lt;"&amp;M58))</f>
        <v/>
      </c>
      <c r="O57" s="14" t="n"/>
      <c r="P57" s="16" t="n">
        <v>52</v>
      </c>
      <c r="Q57" s="124">
        <f>IF(P57="","",COUNTIFS($C$18:$C$2015,P$13,$D$18:$D$2015,"&gt;="&amp;P57,$D$18:$D$2015,"&lt;"&amp;P58))</f>
        <v/>
      </c>
      <c r="R57" s="14" t="n"/>
      <c r="S57" s="16" t="n">
        <v>94</v>
      </c>
      <c r="T57" s="124">
        <f>IF(S57="","",COUNTIFS($C$18:$C$2015,S$13,$D$18:$D$2015,"&gt;="&amp;S57,$D$18:$D$2015,"&lt;"&amp;S58))</f>
        <v/>
      </c>
      <c r="U57" s="14" t="n"/>
      <c r="V57" s="16" t="n"/>
      <c r="W57" s="124">
        <f>IF(V57="","",COUNTIFS($C$18:$C$2015,V$13,$D$18:$D$2015,"&gt;="&amp;V57,$D$18:$D$2015,"&lt;"&amp;V58))</f>
        <v/>
      </c>
      <c r="X57" s="14" t="n"/>
      <c r="Y57" s="16" t="n"/>
      <c r="Z57" s="124">
        <f>IF(Y57="","",COUNTIFS($C$18:$C$2015,Y$13,$D$18:$D$2015,"&gt;="&amp;Y57,$D$18:$D$2015,"&lt;"&amp;Y58))</f>
        <v/>
      </c>
      <c r="AA57" s="14" t="n"/>
      <c r="AB57" s="16" t="n">
        <v>52</v>
      </c>
      <c r="AC57" s="124">
        <f>IF(AB57="","",COUNTIFS($C$18:$C$2015,AB$13,$D$18:$D$2015,"&gt;="&amp;AB57,$D$18:$D$2015,"&lt;"&amp;AB58))</f>
        <v/>
      </c>
      <c r="AD57" s="14" t="n"/>
    </row>
    <row r="58">
      <c r="A58" s="56" t="n"/>
      <c r="B58" s="57" t="n"/>
      <c r="C58" s="57" t="n"/>
      <c r="D58" s="127" t="n"/>
      <c r="E58" s="16" t="n"/>
      <c r="F58" s="13" t="n"/>
      <c r="G58" s="16" t="n">
        <v>53</v>
      </c>
      <c r="H58" s="124">
        <f>IF(G58="","",COUNTIFS($C$18:$C$2015,G$13,$D$18:$D$2015,"&gt;="&amp;G58,$D$18:$D$2015,"&lt;"&amp;G59))</f>
        <v/>
      </c>
      <c r="I58" s="14" t="n"/>
      <c r="J58" s="16" t="n"/>
      <c r="K58" s="124">
        <f>IF(J58="","",COUNTIFS($C$18:$C$2015,J$13,$D$18:$D$2015,"&gt;="&amp;J58,$D$18:$D$2015,"&lt;"&amp;J59))</f>
        <v/>
      </c>
      <c r="L58" s="14" t="n"/>
      <c r="M58" s="16" t="n"/>
      <c r="N58" s="124">
        <f>IF(M58="","",COUNTIFS($C$18:$C$2015,M$13,$D$18:$D$2015,"&gt;="&amp;M58,$D$18:$D$2015,"&lt;"&amp;M59))</f>
        <v/>
      </c>
      <c r="O58" s="14" t="n"/>
      <c r="P58" s="16" t="n">
        <v>53</v>
      </c>
      <c r="Q58" s="124">
        <f>IF(P58="","",COUNTIFS($C$18:$C$2015,P$13,$D$18:$D$2015,"&gt;="&amp;P58,$D$18:$D$2015,"&lt;"&amp;P59))</f>
        <v/>
      </c>
      <c r="R58" s="14" t="n"/>
      <c r="S58" s="16" t="n">
        <v>96</v>
      </c>
      <c r="T58" s="124">
        <f>IF(S58="","",COUNTIFS($C$18:$C$2015,S$13,$D$18:$D$2015,"&gt;="&amp;S58,$D$18:$D$2015,"&lt;"&amp;S59))</f>
        <v/>
      </c>
      <c r="U58" s="14" t="n"/>
      <c r="V58" s="16" t="n"/>
      <c r="W58" s="124">
        <f>IF(V58="","",COUNTIFS($C$18:$C$2015,V$13,$D$18:$D$2015,"&gt;="&amp;V58,$D$18:$D$2015,"&lt;"&amp;V59))</f>
        <v/>
      </c>
      <c r="X58" s="14" t="n"/>
      <c r="Y58" s="16" t="n"/>
      <c r="Z58" s="124">
        <f>IF(Y58="","",COUNTIFS($C$18:$C$2015,Y$13,$D$18:$D$2015,"&gt;="&amp;Y58,$D$18:$D$2015,"&lt;"&amp;Y59))</f>
        <v/>
      </c>
      <c r="AA58" s="14" t="n"/>
      <c r="AB58" s="16" t="n">
        <v>53</v>
      </c>
      <c r="AC58" s="124">
        <f>IF(AB58="","",COUNTIFS($C$18:$C$2015,AB$13,$D$18:$D$2015,"&gt;="&amp;AB58,$D$18:$D$2015,"&lt;"&amp;AB59))</f>
        <v/>
      </c>
      <c r="AD58" s="14" t="n"/>
    </row>
    <row r="59">
      <c r="A59" s="58" t="n"/>
      <c r="B59" s="59" t="n"/>
      <c r="C59" s="59" t="n"/>
      <c r="D59" s="126" t="n"/>
      <c r="E59" s="16" t="n"/>
      <c r="F59" s="13" t="n"/>
      <c r="G59" s="16" t="n">
        <v>54</v>
      </c>
      <c r="H59" s="124">
        <f>IF(G59="","",COUNTIFS($C$18:$C$2015,G$13,$D$18:$D$2015,"&gt;="&amp;G59,$D$18:$D$2015,"&lt;"&amp;G60))</f>
        <v/>
      </c>
      <c r="I59" s="14" t="n"/>
      <c r="J59" s="16" t="n"/>
      <c r="K59" s="124">
        <f>IF(J59="","",COUNTIFS($C$18:$C$2015,J$13,$D$18:$D$2015,"&gt;="&amp;J59,$D$18:$D$2015,"&lt;"&amp;J60))</f>
        <v/>
      </c>
      <c r="L59" s="14" t="n"/>
      <c r="M59" s="16" t="n"/>
      <c r="N59" s="124">
        <f>IF(M59="","",COUNTIFS($C$18:$C$2015,M$13,$D$18:$D$2015,"&gt;="&amp;M59,$D$18:$D$2015,"&lt;"&amp;M60))</f>
        <v/>
      </c>
      <c r="O59" s="14" t="n"/>
      <c r="P59" s="16" t="n">
        <v>54</v>
      </c>
      <c r="Q59" s="124">
        <f>IF(P59="","",COUNTIFS($C$18:$C$2015,P$13,$D$18:$D$2015,"&gt;="&amp;P59,$D$18:$D$2015,"&lt;"&amp;P60))</f>
        <v/>
      </c>
      <c r="R59" s="14" t="n"/>
      <c r="S59" s="16" t="n">
        <v>98</v>
      </c>
      <c r="T59" s="124">
        <f>IF(S59="","",COUNTIFS($C$18:$C$2015,S$13,$D$18:$D$2015,"&gt;="&amp;S59,$D$18:$D$2015,"&lt;"&amp;S60))</f>
        <v/>
      </c>
      <c r="U59" s="14" t="n"/>
      <c r="V59" s="16" t="n"/>
      <c r="W59" s="124">
        <f>IF(V59="","",COUNTIFS($C$18:$C$2015,V$13,$D$18:$D$2015,"&gt;="&amp;V59,$D$18:$D$2015,"&lt;"&amp;V60))</f>
        <v/>
      </c>
      <c r="X59" s="14" t="n"/>
      <c r="Y59" s="16" t="n"/>
      <c r="Z59" s="124">
        <f>IF(Y59="","",COUNTIFS($C$18:$C$2015,Y$13,$D$18:$D$2015,"&gt;="&amp;Y59,$D$18:$D$2015,"&lt;"&amp;Y60))</f>
        <v/>
      </c>
      <c r="AA59" s="14" t="n"/>
      <c r="AB59" s="16" t="n">
        <v>54</v>
      </c>
      <c r="AC59" s="124">
        <f>IF(AB59="","",COUNTIFS($C$18:$C$2015,AB$13,$D$18:$D$2015,"&gt;="&amp;AB59,$D$18:$D$2015,"&lt;"&amp;AB60))</f>
        <v/>
      </c>
      <c r="AD59" s="14" t="n"/>
    </row>
    <row r="60">
      <c r="A60" s="56" t="n"/>
      <c r="B60" s="57" t="n"/>
      <c r="C60" s="57" t="n"/>
      <c r="D60" s="127" t="n"/>
      <c r="E60" s="16" t="n"/>
      <c r="F60" s="13" t="n"/>
      <c r="G60" s="16" t="n">
        <v>55</v>
      </c>
      <c r="H60" s="124">
        <f>IF(G60="","",COUNTIFS($C$18:$C$2015,G$13,$D$18:$D$2015,"&gt;="&amp;G60,$D$18:$D$2015,"&lt;"&amp;G61))</f>
        <v/>
      </c>
      <c r="I60" s="14" t="n"/>
      <c r="J60" s="16" t="n"/>
      <c r="K60" s="124">
        <f>IF(J60="","",COUNTIFS($C$18:$C$2015,J$13,$D$18:$D$2015,"&gt;="&amp;J60,$D$18:$D$2015,"&lt;"&amp;J61))</f>
        <v/>
      </c>
      <c r="L60" s="14" t="n"/>
      <c r="M60" s="16" t="n"/>
      <c r="N60" s="124">
        <f>IF(M60="","",COUNTIFS($C$18:$C$2015,M$13,$D$18:$D$2015,"&gt;="&amp;M60,$D$18:$D$2015,"&lt;"&amp;M61))</f>
        <v/>
      </c>
      <c r="O60" s="14" t="n"/>
      <c r="P60" s="16" t="n">
        <v>55</v>
      </c>
      <c r="Q60" s="124">
        <f>IF(P60="","",COUNTIFS($C$18:$C$2015,P$13,$D$18:$D$2015,"&gt;="&amp;P60,$D$18:$D$2015,"&lt;"&amp;P61))</f>
        <v/>
      </c>
      <c r="R60" s="14" t="n"/>
      <c r="S60" s="16" t="n">
        <v>100</v>
      </c>
      <c r="T60" s="124">
        <f>IF(S60="","",COUNTIFS($C$18:$C$2015,S$13,$D$18:$D$2015,"&gt;="&amp;S60,$D$18:$D$2015,"&lt;"&amp;S61))</f>
        <v/>
      </c>
      <c r="U60" s="14" t="n"/>
      <c r="V60" s="16" t="n"/>
      <c r="W60" s="124">
        <f>IF(V60="","",COUNTIFS($C$18:$C$2015,V$13,$D$18:$D$2015,"&gt;="&amp;V60,$D$18:$D$2015,"&lt;"&amp;V61))</f>
        <v/>
      </c>
      <c r="X60" s="14" t="n"/>
      <c r="Y60" s="16" t="n"/>
      <c r="Z60" s="124">
        <f>IF(Y60="","",COUNTIFS($C$18:$C$2015,Y$13,$D$18:$D$2015,"&gt;="&amp;Y60,$D$18:$D$2015,"&lt;"&amp;Y61))</f>
        <v/>
      </c>
      <c r="AA60" s="14" t="n"/>
      <c r="AB60" s="16" t="n">
        <v>55</v>
      </c>
      <c r="AC60" s="124">
        <f>IF(AB60="","",COUNTIFS($C$18:$C$2015,AB$13,$D$18:$D$2015,"&gt;="&amp;AB60,$D$18:$D$2015,"&lt;"&amp;AB61))</f>
        <v/>
      </c>
      <c r="AD60" s="14" t="n"/>
    </row>
    <row r="61">
      <c r="A61" s="58" t="n"/>
      <c r="B61" s="59" t="n"/>
      <c r="C61" s="59" t="n"/>
      <c r="D61" s="126" t="n"/>
      <c r="E61" s="16" t="n"/>
      <c r="F61" s="13" t="n"/>
      <c r="G61" s="16" t="n">
        <v>56</v>
      </c>
      <c r="H61" s="124">
        <f>IF(G61="","",COUNTIFS($C$18:$C$2015,G$13,$D$18:$D$2015,"&gt;="&amp;G61,$D$18:$D$2015,"&lt;"&amp;G62))</f>
        <v/>
      </c>
      <c r="I61" s="14" t="n"/>
      <c r="J61" s="16" t="n"/>
      <c r="K61" s="124">
        <f>IF(J61="","",COUNTIFS($C$18:$C$2015,J$13,$D$18:$D$2015,"&gt;="&amp;J61,$D$18:$D$2015,"&lt;"&amp;J62))</f>
        <v/>
      </c>
      <c r="L61" s="14" t="n"/>
      <c r="M61" s="16" t="n"/>
      <c r="N61" s="124">
        <f>IF(M61="","",COUNTIFS($C$18:$C$2015,M$13,$D$18:$D$2015,"&gt;="&amp;M61,$D$18:$D$2015,"&lt;"&amp;M62))</f>
        <v/>
      </c>
      <c r="O61" s="14" t="n"/>
      <c r="P61" s="16" t="n">
        <v>56</v>
      </c>
      <c r="Q61" s="124">
        <f>IF(P61="","",COUNTIFS($C$18:$C$2015,P$13,$D$18:$D$2015,"&gt;="&amp;P61,$D$18:$D$2015,"&lt;"&amp;P62))</f>
        <v/>
      </c>
      <c r="R61" s="14" t="n"/>
      <c r="S61" s="16" t="n"/>
      <c r="T61" s="124">
        <f>IF(S61="","",COUNTIFS($C$18:$C$2015,S$13,$D$18:$D$2015,"&gt;="&amp;S61,$D$18:$D$2015,"&lt;"&amp;S62))</f>
        <v/>
      </c>
      <c r="U61" s="14" t="n"/>
      <c r="V61" s="16" t="n"/>
      <c r="W61" s="124">
        <f>IF(V61="","",COUNTIFS($C$18:$C$2015,V$13,$D$18:$D$2015,"&gt;="&amp;V61,$D$18:$D$2015,"&lt;"&amp;V62))</f>
        <v/>
      </c>
      <c r="X61" s="14" t="n"/>
      <c r="Y61" s="16" t="n"/>
      <c r="Z61" s="124">
        <f>IF(Y61="","",COUNTIFS($C$18:$C$2015,Y$13,$D$18:$D$2015,"&gt;="&amp;Y61,$D$18:$D$2015,"&lt;"&amp;Y62))</f>
        <v/>
      </c>
      <c r="AA61" s="14" t="n"/>
      <c r="AB61" s="16" t="n">
        <v>56</v>
      </c>
      <c r="AC61" s="124">
        <f>IF(AB61="","",COUNTIFS($C$18:$C$2015,AB$13,$D$18:$D$2015,"&gt;="&amp;AB61,$D$18:$D$2015,"&lt;"&amp;AB62))</f>
        <v/>
      </c>
      <c r="AD61" s="14" t="n"/>
    </row>
    <row r="62">
      <c r="A62" s="56" t="n"/>
      <c r="B62" s="57" t="n"/>
      <c r="C62" s="57" t="n"/>
      <c r="D62" s="127" t="n"/>
      <c r="E62" s="16" t="n"/>
      <c r="F62" s="13" t="n"/>
      <c r="G62" s="16" t="n">
        <v>57</v>
      </c>
      <c r="H62" s="124">
        <f>IF(G62="","",COUNTIFS($C$18:$C$2015,G$13,$D$18:$D$2015,"&gt;="&amp;G62,$D$18:$D$2015,"&lt;"&amp;G63))</f>
        <v/>
      </c>
      <c r="I62" s="14" t="n"/>
      <c r="J62" s="16" t="n"/>
      <c r="K62" s="124">
        <f>IF(J62="","",COUNTIFS($C$18:$C$2015,J$13,$D$18:$D$2015,"&gt;="&amp;J62,$D$18:$D$2015,"&lt;"&amp;J63))</f>
        <v/>
      </c>
      <c r="L62" s="14" t="n"/>
      <c r="M62" s="16" t="n"/>
      <c r="N62" s="124">
        <f>IF(M62="","",COUNTIFS($C$18:$C$2015,M$13,$D$18:$D$2015,"&gt;="&amp;M62,$D$18:$D$2015,"&lt;"&amp;M63))</f>
        <v/>
      </c>
      <c r="O62" s="14" t="n"/>
      <c r="P62" s="16" t="n">
        <v>57</v>
      </c>
      <c r="Q62" s="124">
        <f>IF(P62="","",COUNTIFS($C$18:$C$2015,P$13,$D$18:$D$2015,"&gt;="&amp;P62,$D$18:$D$2015,"&lt;"&amp;P63))</f>
        <v/>
      </c>
      <c r="R62" s="14" t="n"/>
      <c r="S62" s="16" t="n"/>
      <c r="T62" s="124">
        <f>IF(S62="","",COUNTIFS($C$18:$C$2015,S$13,$D$18:$D$2015,"&gt;="&amp;S62,$D$18:$D$2015,"&lt;"&amp;S63))</f>
        <v/>
      </c>
      <c r="U62" s="14" t="n"/>
      <c r="V62" s="16" t="n"/>
      <c r="W62" s="124">
        <f>IF(V62="","",COUNTIFS($C$18:$C$2015,V$13,$D$18:$D$2015,"&gt;="&amp;V62,$D$18:$D$2015,"&lt;"&amp;V63))</f>
        <v/>
      </c>
      <c r="X62" s="14" t="n"/>
      <c r="Y62" s="16" t="n"/>
      <c r="Z62" s="124">
        <f>IF(Y62="","",COUNTIFS($C$18:$C$2015,Y$13,$D$18:$D$2015,"&gt;="&amp;Y62,$D$18:$D$2015,"&lt;"&amp;Y63))</f>
        <v/>
      </c>
      <c r="AA62" s="14" t="n"/>
      <c r="AB62" s="16" t="n">
        <v>57</v>
      </c>
      <c r="AC62" s="124">
        <f>IF(AB62="","",COUNTIFS($C$18:$C$2015,AB$13,$D$18:$D$2015,"&gt;="&amp;AB62,$D$18:$D$2015,"&lt;"&amp;AB63))</f>
        <v/>
      </c>
      <c r="AD62" s="14" t="n"/>
    </row>
    <row r="63">
      <c r="A63" s="58" t="n"/>
      <c r="B63" s="59" t="n"/>
      <c r="C63" s="59" t="n"/>
      <c r="D63" s="126" t="n"/>
      <c r="E63" s="16" t="n"/>
      <c r="F63" s="13" t="n"/>
      <c r="G63" s="16" t="n">
        <v>58</v>
      </c>
      <c r="H63" s="124">
        <f>IF(G63="","",COUNTIFS($C$18:$C$2015,G$13,$D$18:$D$2015,"&gt;="&amp;G63,$D$18:$D$2015,"&lt;"&amp;G64))</f>
        <v/>
      </c>
      <c r="I63" s="14" t="n"/>
      <c r="J63" s="16" t="n"/>
      <c r="K63" s="124">
        <f>IF(J63="","",COUNTIFS($C$18:$C$2015,J$13,$D$18:$D$2015,"&gt;="&amp;J63,$D$18:$D$2015,"&lt;"&amp;J64))</f>
        <v/>
      </c>
      <c r="L63" s="14" t="n"/>
      <c r="M63" s="16" t="n"/>
      <c r="N63" s="124">
        <f>IF(M63="","",COUNTIFS($C$18:$C$2015,M$13,$D$18:$D$2015,"&gt;="&amp;M63,$D$18:$D$2015,"&lt;"&amp;M64))</f>
        <v/>
      </c>
      <c r="O63" s="14" t="n"/>
      <c r="P63" s="16" t="n">
        <v>58</v>
      </c>
      <c r="Q63" s="124">
        <f>IF(P63="","",COUNTIFS($C$18:$C$2015,P$13,$D$18:$D$2015,"&gt;="&amp;P63,$D$18:$D$2015,"&lt;"&amp;P64))</f>
        <v/>
      </c>
      <c r="R63" s="14" t="n"/>
      <c r="S63" s="16" t="n"/>
      <c r="T63" s="124">
        <f>IF(S63="","",COUNTIFS($C$18:$C$2015,S$13,$D$18:$D$2015,"&gt;="&amp;S63,$D$18:$D$2015,"&lt;"&amp;S64))</f>
        <v/>
      </c>
      <c r="U63" s="14" t="n"/>
      <c r="V63" s="16" t="n"/>
      <c r="W63" s="124">
        <f>IF(V63="","",COUNTIFS($C$18:$C$2015,V$13,$D$18:$D$2015,"&gt;="&amp;V63,$D$18:$D$2015,"&lt;"&amp;V64))</f>
        <v/>
      </c>
      <c r="X63" s="14" t="n"/>
      <c r="Y63" s="16" t="n"/>
      <c r="Z63" s="124">
        <f>IF(Y63="","",COUNTIFS($C$18:$C$2015,Y$13,$D$18:$D$2015,"&gt;="&amp;Y63,$D$18:$D$2015,"&lt;"&amp;Y64))</f>
        <v/>
      </c>
      <c r="AA63" s="14" t="n"/>
      <c r="AB63" s="16" t="n">
        <v>58</v>
      </c>
      <c r="AC63" s="124">
        <f>IF(AB63="","",COUNTIFS($C$18:$C$2015,AB$13,$D$18:$D$2015,"&gt;="&amp;AB63,$D$18:$D$2015,"&lt;"&amp;AB64))</f>
        <v/>
      </c>
      <c r="AD63" s="14" t="n"/>
    </row>
    <row r="64">
      <c r="A64" s="56" t="n"/>
      <c r="B64" s="57" t="n"/>
      <c r="C64" s="57" t="n"/>
      <c r="D64" s="127" t="n"/>
      <c r="E64" s="16" t="n"/>
      <c r="F64" s="13" t="n"/>
      <c r="G64" s="16" t="n">
        <v>59</v>
      </c>
      <c r="H64" s="124">
        <f>IF(G64="","",COUNTIFS($C$18:$C$2015,G$13,$D$18:$D$2015,"&gt;="&amp;G64,$D$18:$D$2015,"&lt;"&amp;G65))</f>
        <v/>
      </c>
      <c r="I64" s="14" t="n"/>
      <c r="J64" s="16" t="n"/>
      <c r="K64" s="124">
        <f>IF(J64="","",COUNTIFS($C$18:$C$2015,J$13,$D$18:$D$2015,"&gt;="&amp;J64,$D$18:$D$2015,"&lt;"&amp;J65))</f>
        <v/>
      </c>
      <c r="L64" s="14" t="n"/>
      <c r="M64" s="16" t="n"/>
      <c r="N64" s="124">
        <f>IF(M64="","",COUNTIFS($C$18:$C$2015,M$13,$D$18:$D$2015,"&gt;="&amp;M64,$D$18:$D$2015,"&lt;"&amp;M65))</f>
        <v/>
      </c>
      <c r="O64" s="14" t="n"/>
      <c r="P64" s="16" t="n">
        <v>59</v>
      </c>
      <c r="Q64" s="124">
        <f>IF(P64="","",COUNTIFS($C$18:$C$2015,P$13,$D$18:$D$2015,"&gt;="&amp;P64,$D$18:$D$2015,"&lt;"&amp;P65))</f>
        <v/>
      </c>
      <c r="R64" s="14" t="n"/>
      <c r="S64" s="16" t="n"/>
      <c r="T64" s="124">
        <f>IF(S64="","",COUNTIFS($C$18:$C$2015,S$13,$D$18:$D$2015,"&gt;="&amp;S64,$D$18:$D$2015,"&lt;"&amp;S65))</f>
        <v/>
      </c>
      <c r="U64" s="14" t="n"/>
      <c r="V64" s="16" t="n"/>
      <c r="W64" s="124">
        <f>IF(V64="","",COUNTIFS($C$18:$C$2015,V$13,$D$18:$D$2015,"&gt;="&amp;V64,$D$18:$D$2015,"&lt;"&amp;V65))</f>
        <v/>
      </c>
      <c r="X64" s="14" t="n"/>
      <c r="Y64" s="16" t="n"/>
      <c r="Z64" s="124">
        <f>IF(Y64="","",COUNTIFS($C$18:$C$2015,Y$13,$D$18:$D$2015,"&gt;="&amp;Y64,$D$18:$D$2015,"&lt;"&amp;Y65))</f>
        <v/>
      </c>
      <c r="AA64" s="14" t="n"/>
      <c r="AB64" s="16" t="n">
        <v>59</v>
      </c>
      <c r="AC64" s="124">
        <f>IF(AB64="","",COUNTIFS($C$18:$C$2015,AB$13,$D$18:$D$2015,"&gt;="&amp;AB64,$D$18:$D$2015,"&lt;"&amp;AB65))</f>
        <v/>
      </c>
      <c r="AD64" s="14" t="n"/>
    </row>
    <row r="65">
      <c r="A65" s="58" t="n"/>
      <c r="B65" s="59" t="n"/>
      <c r="C65" s="59" t="n"/>
      <c r="D65" s="126" t="n"/>
      <c r="E65" s="16" t="n"/>
      <c r="F65" s="13" t="n"/>
      <c r="G65" s="16" t="n">
        <v>60</v>
      </c>
      <c r="H65" s="124">
        <f>IF(G65="","",COUNTIFS($C$18:$C$2015,G$13,$D$18:$D$2015,"&gt;="&amp;G65,$D$18:$D$2015,"&lt;"&amp;G66))</f>
        <v/>
      </c>
      <c r="I65" s="14" t="n"/>
      <c r="J65" s="16" t="n"/>
      <c r="K65" s="124">
        <f>IF(J65="","",COUNTIFS($C$18:$C$2015,J$13,$D$18:$D$2015,"&gt;="&amp;J65,$D$18:$D$2015,"&lt;"&amp;J66))</f>
        <v/>
      </c>
      <c r="L65" s="14" t="n"/>
      <c r="M65" s="16" t="n"/>
      <c r="N65" s="124">
        <f>IF(M65="","",COUNTIFS($C$18:$C$2015,M$13,$D$18:$D$2015,"&gt;="&amp;M65,$D$18:$D$2015,"&lt;"&amp;M66))</f>
        <v/>
      </c>
      <c r="O65" s="14" t="n"/>
      <c r="P65" s="16" t="n">
        <v>60</v>
      </c>
      <c r="Q65" s="124">
        <f>IF(P65="","",COUNTIFS($C$18:$C$2015,P$13,$D$18:$D$2015,"&gt;="&amp;P65,$D$18:$D$2015,"&lt;"&amp;P66))</f>
        <v/>
      </c>
      <c r="R65" s="14" t="n"/>
      <c r="S65" s="16" t="n"/>
      <c r="T65" s="124">
        <f>IF(S65="","",COUNTIFS($C$18:$C$2015,S$13,$D$18:$D$2015,"&gt;="&amp;S65,$D$18:$D$2015,"&lt;"&amp;S66))</f>
        <v/>
      </c>
      <c r="U65" s="14" t="n"/>
      <c r="V65" s="16" t="n"/>
      <c r="W65" s="124">
        <f>IF(V65="","",COUNTIFS($C$18:$C$2015,V$13,$D$18:$D$2015,"&gt;="&amp;V65,$D$18:$D$2015,"&lt;"&amp;V66))</f>
        <v/>
      </c>
      <c r="X65" s="14" t="n"/>
      <c r="Y65" s="16" t="n"/>
      <c r="Z65" s="124">
        <f>IF(Y65="","",COUNTIFS($C$18:$C$2015,Y$13,$D$18:$D$2015,"&gt;="&amp;Y65,$D$18:$D$2015,"&lt;"&amp;Y66))</f>
        <v/>
      </c>
      <c r="AA65" s="14" t="n"/>
      <c r="AB65" s="16" t="n">
        <v>60</v>
      </c>
      <c r="AC65" s="124">
        <f>IF(AB65="","",COUNTIFS($C$18:$C$2015,AB$13,$D$18:$D$2015,"&gt;="&amp;AB65,$D$18:$D$2015,"&lt;"&amp;AB66))</f>
        <v/>
      </c>
      <c r="AD65" s="14" t="n"/>
    </row>
    <row r="66">
      <c r="A66" s="56" t="n"/>
      <c r="B66" s="57" t="n"/>
      <c r="C66" s="57" t="n"/>
      <c r="D66" s="127" t="n"/>
      <c r="E66" s="16" t="n"/>
      <c r="F66" s="13" t="n"/>
      <c r="G66" s="16" t="n">
        <v>61</v>
      </c>
      <c r="H66" s="124">
        <f>IF(G66="","",COUNTIFS($C$18:$C$2015,G$13,$D$18:$D$2015,"&gt;="&amp;G66,$D$18:$D$2015,"&lt;"&amp;G67))</f>
        <v/>
      </c>
      <c r="I66" s="14" t="n"/>
      <c r="J66" s="16" t="n"/>
      <c r="K66" s="124">
        <f>IF(J66="","",COUNTIFS($C$18:$C$2015,J$13,$D$18:$D$2015,"&gt;="&amp;J66,$D$18:$D$2015,"&lt;"&amp;J67))</f>
        <v/>
      </c>
      <c r="L66" s="14" t="n"/>
      <c r="M66" s="16" t="n"/>
      <c r="N66" s="124">
        <f>IF(M66="","",COUNTIFS($C$18:$C$2015,M$13,$D$18:$D$2015,"&gt;="&amp;M66,$D$18:$D$2015,"&lt;"&amp;M67))</f>
        <v/>
      </c>
      <c r="O66" s="14" t="n"/>
      <c r="P66" s="16" t="n">
        <v>61</v>
      </c>
      <c r="Q66" s="124">
        <f>IF(P66="","",COUNTIFS($C$18:$C$2015,P$13,$D$18:$D$2015,"&gt;="&amp;P66,$D$18:$D$2015,"&lt;"&amp;P67))</f>
        <v/>
      </c>
      <c r="R66" s="14" t="n"/>
      <c r="S66" s="16" t="n"/>
      <c r="T66" s="124">
        <f>IF(S66="","",COUNTIFS($C$18:$C$2015,S$13,$D$18:$D$2015,"&gt;="&amp;S66,$D$18:$D$2015,"&lt;"&amp;S67))</f>
        <v/>
      </c>
      <c r="U66" s="14" t="n"/>
      <c r="V66" s="16" t="n"/>
      <c r="W66" s="124">
        <f>IF(V66="","",COUNTIFS($C$18:$C$2015,V$13,$D$18:$D$2015,"&gt;="&amp;V66,$D$18:$D$2015,"&lt;"&amp;V67))</f>
        <v/>
      </c>
      <c r="X66" s="14" t="n"/>
      <c r="Y66" s="16" t="n"/>
      <c r="Z66" s="124">
        <f>IF(Y66="","",COUNTIFS($C$18:$C$2015,Y$13,$D$18:$D$2015,"&gt;="&amp;Y66,$D$18:$D$2015,"&lt;"&amp;Y67))</f>
        <v/>
      </c>
      <c r="AA66" s="14" t="n"/>
      <c r="AB66" s="16" t="n">
        <v>61</v>
      </c>
      <c r="AC66" s="124">
        <f>IF(AB66="","",COUNTIFS($C$18:$C$2015,AB$13,$D$18:$D$2015,"&gt;="&amp;AB66,$D$18:$D$2015,"&lt;"&amp;AB67))</f>
        <v/>
      </c>
      <c r="AD66" s="14" t="n"/>
    </row>
    <row r="67">
      <c r="A67" s="58" t="n"/>
      <c r="B67" s="59" t="n"/>
      <c r="C67" s="59" t="n"/>
      <c r="D67" s="126" t="n"/>
      <c r="E67" s="16" t="n"/>
      <c r="F67" s="13" t="n"/>
      <c r="G67" s="16" t="n">
        <v>62</v>
      </c>
      <c r="H67" s="124">
        <f>IF(G67="","",COUNTIFS($C$18:$C$2015,G$13,$D$18:$D$2015,"&gt;="&amp;G67,$D$18:$D$2015,"&lt;"&amp;G68))</f>
        <v/>
      </c>
      <c r="I67" s="14" t="n"/>
      <c r="J67" s="16" t="n"/>
      <c r="K67" s="124">
        <f>IF(J67="","",COUNTIFS($C$18:$C$2015,J$13,$D$18:$D$2015,"&gt;="&amp;J67,$D$18:$D$2015,"&lt;"&amp;J68))</f>
        <v/>
      </c>
      <c r="L67" s="14" t="n"/>
      <c r="M67" s="16" t="n"/>
      <c r="N67" s="124">
        <f>IF(M67="","",COUNTIFS($C$18:$C$2015,M$13,$D$18:$D$2015,"&gt;="&amp;M67,$D$18:$D$2015,"&lt;"&amp;M68))</f>
        <v/>
      </c>
      <c r="O67" s="14" t="n"/>
      <c r="P67" s="16" t="n">
        <v>62</v>
      </c>
      <c r="Q67" s="124">
        <f>IF(P67="","",COUNTIFS($C$18:$C$2015,P$13,$D$18:$D$2015,"&gt;="&amp;P67,$D$18:$D$2015,"&lt;"&amp;P68))</f>
        <v/>
      </c>
      <c r="R67" s="14" t="n"/>
      <c r="S67" s="16" t="n"/>
      <c r="T67" s="124">
        <f>IF(S67="","",COUNTIFS($C$18:$C$2015,S$13,$D$18:$D$2015,"&gt;="&amp;S67,$D$18:$D$2015,"&lt;"&amp;S68))</f>
        <v/>
      </c>
      <c r="U67" s="14" t="n"/>
      <c r="V67" s="16" t="n"/>
      <c r="W67" s="124">
        <f>IF(V67="","",COUNTIFS($C$18:$C$2015,V$13,$D$18:$D$2015,"&gt;="&amp;V67,$D$18:$D$2015,"&lt;"&amp;V68))</f>
        <v/>
      </c>
      <c r="X67" s="14" t="n"/>
      <c r="Y67" s="16" t="n"/>
      <c r="Z67" s="124">
        <f>IF(Y67="","",COUNTIFS($C$18:$C$2015,Y$13,$D$18:$D$2015,"&gt;="&amp;Y67,$D$18:$D$2015,"&lt;"&amp;Y68))</f>
        <v/>
      </c>
      <c r="AA67" s="14" t="n"/>
      <c r="AB67" s="16" t="n">
        <v>62</v>
      </c>
      <c r="AC67" s="124">
        <f>IF(AB67="","",COUNTIFS($C$18:$C$2015,AB$13,$D$18:$D$2015,"&gt;="&amp;AB67,$D$18:$D$2015,"&lt;"&amp;AB68))</f>
        <v/>
      </c>
      <c r="AD67" s="14" t="n"/>
    </row>
    <row r="68">
      <c r="A68" s="56" t="n"/>
      <c r="B68" s="57" t="n"/>
      <c r="C68" s="57" t="n"/>
      <c r="D68" s="127" t="n"/>
      <c r="E68" s="16" t="n"/>
      <c r="F68" s="13" t="n"/>
      <c r="G68" s="16" t="n">
        <v>63</v>
      </c>
      <c r="H68" s="124">
        <f>IF(G68="","",COUNTIFS($C$18:$C$2015,G$13,$D$18:$D$2015,"&gt;="&amp;G68,$D$18:$D$2015,"&lt;"&amp;G69))</f>
        <v/>
      </c>
      <c r="I68" s="14" t="n"/>
      <c r="J68" s="16" t="n"/>
      <c r="K68" s="124">
        <f>IF(J68="","",COUNTIFS($C$18:$C$2015,J$13,$D$18:$D$2015,"&gt;="&amp;J68,$D$18:$D$2015,"&lt;"&amp;J69))</f>
        <v/>
      </c>
      <c r="L68" s="14" t="n"/>
      <c r="M68" s="16" t="n"/>
      <c r="N68" s="124">
        <f>IF(M68="","",COUNTIFS($C$18:$C$2015,M$13,$D$18:$D$2015,"&gt;="&amp;M68,$D$18:$D$2015,"&lt;"&amp;M69))</f>
        <v/>
      </c>
      <c r="O68" s="14" t="n"/>
      <c r="P68" s="16" t="n">
        <v>63</v>
      </c>
      <c r="Q68" s="124">
        <f>IF(P68="","",COUNTIFS($C$18:$C$2015,P$13,$D$18:$D$2015,"&gt;="&amp;P68,$D$18:$D$2015,"&lt;"&amp;P69))</f>
        <v/>
      </c>
      <c r="R68" s="14" t="n"/>
      <c r="S68" s="16" t="n"/>
      <c r="T68" s="124">
        <f>IF(S68="","",COUNTIFS($C$18:$C$2015,S$13,$D$18:$D$2015,"&gt;="&amp;S68,$D$18:$D$2015,"&lt;"&amp;S69))</f>
        <v/>
      </c>
      <c r="U68" s="14" t="n"/>
      <c r="V68" s="16" t="n"/>
      <c r="W68" s="124">
        <f>IF(V68="","",COUNTIFS($C$18:$C$2015,V$13,$D$18:$D$2015,"&gt;="&amp;V68,$D$18:$D$2015,"&lt;"&amp;V69))</f>
        <v/>
      </c>
      <c r="X68" s="14" t="n"/>
      <c r="Y68" s="16" t="n"/>
      <c r="Z68" s="124">
        <f>IF(Y68="","",COUNTIFS($C$18:$C$2015,Y$13,$D$18:$D$2015,"&gt;="&amp;Y68,$D$18:$D$2015,"&lt;"&amp;Y69))</f>
        <v/>
      </c>
      <c r="AA68" s="14" t="n"/>
      <c r="AB68" s="16" t="n"/>
      <c r="AC68" s="124">
        <f>IF(AB68="","",COUNTIFS($C$18:$C$2015,AB$13,$D$18:$D$2015,"&gt;="&amp;AB68,$D$18:$D$2015,"&lt;"&amp;AB69))</f>
        <v/>
      </c>
      <c r="AD68" s="14" t="n"/>
    </row>
    <row r="69">
      <c r="A69" s="58" t="n"/>
      <c r="B69" s="59" t="n"/>
      <c r="C69" s="59" t="n"/>
      <c r="D69" s="126" t="n"/>
      <c r="E69" s="16" t="n"/>
      <c r="F69" s="13" t="n"/>
      <c r="G69" s="16" t="n">
        <v>64</v>
      </c>
      <c r="H69" s="124">
        <f>IF(G69="","",COUNTIFS($C$18:$C$2015,G$13,$D$18:$D$2015,"&gt;="&amp;G69,$D$18:$D$2015,"&lt;"&amp;G70))</f>
        <v/>
      </c>
      <c r="I69" s="14" t="n"/>
      <c r="J69" s="16" t="n"/>
      <c r="K69" s="124">
        <f>IF(J69="","",COUNTIFS($C$18:$C$2015,J$13,$D$18:$D$2015,"&gt;="&amp;J69,$D$18:$D$2015,"&lt;"&amp;J70))</f>
        <v/>
      </c>
      <c r="L69" s="14" t="n"/>
      <c r="M69" s="16" t="n"/>
      <c r="N69" s="124">
        <f>IF(M69="","",COUNTIFS($C$18:$C$2015,M$13,$D$18:$D$2015,"&gt;="&amp;M69,$D$18:$D$2015,"&lt;"&amp;M70))</f>
        <v/>
      </c>
      <c r="O69" s="14" t="n"/>
      <c r="P69" s="16" t="n">
        <v>64</v>
      </c>
      <c r="Q69" s="124">
        <f>IF(P69="","",COUNTIFS($C$18:$C$2015,P$13,$D$18:$D$2015,"&gt;="&amp;P69,$D$18:$D$2015,"&lt;"&amp;P70))</f>
        <v/>
      </c>
      <c r="R69" s="14" t="n"/>
      <c r="S69" s="16" t="n"/>
      <c r="T69" s="124">
        <f>IF(S69="","",COUNTIFS($C$18:$C$2015,S$13,$D$18:$D$2015,"&gt;="&amp;S69,$D$18:$D$2015,"&lt;"&amp;S70))</f>
        <v/>
      </c>
      <c r="U69" s="14" t="n"/>
      <c r="V69" s="16" t="n"/>
      <c r="W69" s="124">
        <f>IF(V69="","",COUNTIFS($C$18:$C$2015,V$13,$D$18:$D$2015,"&gt;="&amp;V69,$D$18:$D$2015,"&lt;"&amp;V70))</f>
        <v/>
      </c>
      <c r="X69" s="14" t="n"/>
      <c r="Y69" s="16" t="n"/>
      <c r="Z69" s="124">
        <f>IF(Y69="","",COUNTIFS($C$18:$C$2015,Y$13,$D$18:$D$2015,"&gt;="&amp;Y69,$D$18:$D$2015,"&lt;"&amp;Y70))</f>
        <v/>
      </c>
      <c r="AA69" s="14" t="n"/>
      <c r="AB69" s="16" t="n"/>
      <c r="AC69" s="124">
        <f>IF(AB69="","",COUNTIFS($C$18:$C$2015,AB$13,$D$18:$D$2015,"&gt;="&amp;AB69,$D$18:$D$2015,"&lt;"&amp;AB70))</f>
        <v/>
      </c>
      <c r="AD69" s="14" t="n"/>
    </row>
    <row r="70">
      <c r="A70" s="56" t="n"/>
      <c r="B70" s="57" t="n"/>
      <c r="C70" s="57" t="n"/>
      <c r="D70" s="127" t="n"/>
      <c r="E70" s="16" t="n"/>
      <c r="F70" s="13" t="n"/>
      <c r="G70" s="16" t="n">
        <v>65</v>
      </c>
      <c r="H70" s="124">
        <f>IF(G70="","",COUNTIFS($C$18:$C$2015,G$13,$D$18:$D$2015,"&gt;="&amp;G70,$D$18:$D$2015,"&lt;"&amp;G71))</f>
        <v/>
      </c>
      <c r="I70" s="14" t="n"/>
      <c r="J70" s="16" t="n"/>
      <c r="K70" s="124">
        <f>IF(J70="","",COUNTIFS($C$18:$C$2015,J$13,$D$18:$D$2015,"&gt;="&amp;J70,$D$18:$D$2015,"&lt;"&amp;J71))</f>
        <v/>
      </c>
      <c r="L70" s="14" t="n"/>
      <c r="M70" s="16" t="n"/>
      <c r="N70" s="124">
        <f>IF(M70="","",COUNTIFS($C$18:$C$2015,M$13,$D$18:$D$2015,"&gt;="&amp;M70,$D$18:$D$2015,"&lt;"&amp;M71))</f>
        <v/>
      </c>
      <c r="O70" s="14" t="n"/>
      <c r="P70" s="16" t="n">
        <v>65</v>
      </c>
      <c r="Q70" s="124">
        <f>IF(P70="","",COUNTIFS($C$18:$C$2015,P$13,$D$18:$D$2015,"&gt;="&amp;P70,$D$18:$D$2015,"&lt;"&amp;P71))</f>
        <v/>
      </c>
      <c r="R70" s="14" t="n"/>
      <c r="S70" s="16" t="n"/>
      <c r="T70" s="124">
        <f>IF(S70="","",COUNTIFS($C$18:$C$2015,S$13,$D$18:$D$2015,"&gt;="&amp;S70,$D$18:$D$2015,"&lt;"&amp;S71))</f>
        <v/>
      </c>
      <c r="U70" s="14" t="n"/>
      <c r="V70" s="16" t="n"/>
      <c r="W70" s="124">
        <f>IF(V70="","",COUNTIFS($C$18:$C$2015,V$13,$D$18:$D$2015,"&gt;="&amp;V70,$D$18:$D$2015,"&lt;"&amp;V71))</f>
        <v/>
      </c>
      <c r="X70" s="14" t="n"/>
      <c r="Y70" s="16" t="n"/>
      <c r="Z70" s="124">
        <f>IF(Y70="","",COUNTIFS($C$18:$C$2015,Y$13,$D$18:$D$2015,"&gt;="&amp;Y70,$D$18:$D$2015,"&lt;"&amp;Y71))</f>
        <v/>
      </c>
      <c r="AA70" s="14" t="n"/>
      <c r="AB70" s="16" t="n"/>
      <c r="AC70" s="124">
        <f>IF(AB70="","",COUNTIFS($C$18:$C$2015,AB$13,$D$18:$D$2015,"&gt;="&amp;AB70,$D$18:$D$2015,"&lt;"&amp;AB71))</f>
        <v/>
      </c>
      <c r="AD70" s="14" t="n"/>
    </row>
    <row r="71">
      <c r="A71" s="58" t="n"/>
      <c r="B71" s="59" t="n"/>
      <c r="C71" s="59" t="n"/>
      <c r="D71" s="126" t="n"/>
      <c r="E71" s="16" t="n"/>
      <c r="F71" s="13" t="n"/>
      <c r="G71" s="16" t="n">
        <v>66</v>
      </c>
      <c r="H71" s="124">
        <f>IF(G71="","",COUNTIFS($C$18:$C$2015,G$13,$D$18:$D$2015,"&gt;="&amp;G71,$D$18:$D$2015,"&lt;"&amp;G72))</f>
        <v/>
      </c>
      <c r="I71" s="14" t="n"/>
      <c r="J71" s="16" t="n"/>
      <c r="K71" s="124">
        <f>IF(J71="","",COUNTIFS($C$18:$C$2015,J$13,$D$18:$D$2015,"&gt;="&amp;J71,$D$18:$D$2015,"&lt;"&amp;J72))</f>
        <v/>
      </c>
      <c r="L71" s="14" t="n"/>
      <c r="M71" s="16" t="n"/>
      <c r="N71" s="124">
        <f>IF(M71="","",COUNTIFS($C$18:$C$2015,M$13,$D$18:$D$2015,"&gt;="&amp;M71,$D$18:$D$2015,"&lt;"&amp;M72))</f>
        <v/>
      </c>
      <c r="O71" s="14" t="n"/>
      <c r="P71" s="16" t="n">
        <v>66</v>
      </c>
      <c r="Q71" s="124">
        <f>IF(P71="","",COUNTIFS($C$18:$C$2015,P$13,$D$18:$D$2015,"&gt;="&amp;P71,$D$18:$D$2015,"&lt;"&amp;P72))</f>
        <v/>
      </c>
      <c r="R71" s="14" t="n"/>
      <c r="S71" s="16" t="n"/>
      <c r="T71" s="124">
        <f>IF(S71="","",COUNTIFS($C$18:$C$2015,S$13,$D$18:$D$2015,"&gt;="&amp;S71,$D$18:$D$2015,"&lt;"&amp;S72))</f>
        <v/>
      </c>
      <c r="U71" s="14" t="n"/>
      <c r="V71" s="16" t="n"/>
      <c r="W71" s="124">
        <f>IF(V71="","",COUNTIFS($C$18:$C$2015,V$13,$D$18:$D$2015,"&gt;="&amp;V71,$D$18:$D$2015,"&lt;"&amp;V72))</f>
        <v/>
      </c>
      <c r="X71" s="14" t="n"/>
      <c r="Y71" s="16" t="n"/>
      <c r="Z71" s="124">
        <f>IF(Y71="","",COUNTIFS($C$18:$C$2015,Y$13,$D$18:$D$2015,"&gt;="&amp;Y71,$D$18:$D$2015,"&lt;"&amp;Y72))</f>
        <v/>
      </c>
      <c r="AA71" s="14" t="n"/>
      <c r="AB71" s="16" t="n"/>
      <c r="AC71" s="124">
        <f>IF(AB71="","",COUNTIFS($C$18:$C$2015,AB$13,$D$18:$D$2015,"&gt;="&amp;AB71,$D$18:$D$2015,"&lt;"&amp;AB72))</f>
        <v/>
      </c>
      <c r="AD71" s="14" t="n"/>
    </row>
    <row r="72">
      <c r="A72" s="56" t="n"/>
      <c r="B72" s="57" t="n"/>
      <c r="C72" s="57" t="n"/>
      <c r="D72" s="127" t="n"/>
      <c r="E72" s="16" t="n"/>
      <c r="F72" s="13" t="n"/>
      <c r="G72" s="16" t="n">
        <v>67</v>
      </c>
      <c r="H72" s="124">
        <f>IF(G72="","",COUNTIFS($C$18:$C$2015,G$13,$D$18:$D$2015,"&gt;="&amp;G72,$D$18:$D$2015,"&lt;"&amp;G73))</f>
        <v/>
      </c>
      <c r="I72" s="14" t="n"/>
      <c r="J72" s="16" t="n"/>
      <c r="K72" s="124">
        <f>IF(J72="","",COUNTIFS($C$18:$C$2015,J$13,$D$18:$D$2015,"&gt;="&amp;J72,$D$18:$D$2015,"&lt;"&amp;J73))</f>
        <v/>
      </c>
      <c r="L72" s="14" t="n"/>
      <c r="M72" s="16" t="n"/>
      <c r="N72" s="124">
        <f>IF(M72="","",COUNTIFS($C$18:$C$2015,M$13,$D$18:$D$2015,"&gt;="&amp;M72,$D$18:$D$2015,"&lt;"&amp;M73))</f>
        <v/>
      </c>
      <c r="O72" s="14" t="n"/>
      <c r="P72" s="16" t="n">
        <v>67</v>
      </c>
      <c r="Q72" s="124">
        <f>IF(P72="","",COUNTIFS($C$18:$C$2015,P$13,$D$18:$D$2015,"&gt;="&amp;P72,$D$18:$D$2015,"&lt;"&amp;P73))</f>
        <v/>
      </c>
      <c r="R72" s="14" t="n"/>
      <c r="S72" s="16" t="n"/>
      <c r="T72" s="124">
        <f>IF(S72="","",COUNTIFS($C$18:$C$2015,S$13,$D$18:$D$2015,"&gt;="&amp;S72,$D$18:$D$2015,"&lt;"&amp;S73))</f>
        <v/>
      </c>
      <c r="U72" s="14" t="n"/>
      <c r="V72" s="16" t="n"/>
      <c r="W72" s="124">
        <f>IF(V72="","",COUNTIFS($C$18:$C$2015,V$13,$D$18:$D$2015,"&gt;="&amp;V72,$D$18:$D$2015,"&lt;"&amp;V73))</f>
        <v/>
      </c>
      <c r="X72" s="14" t="n"/>
      <c r="Y72" s="16" t="n"/>
      <c r="Z72" s="124">
        <f>IF(Y72="","",COUNTIFS($C$18:$C$2015,Y$13,$D$18:$D$2015,"&gt;="&amp;Y72,$D$18:$D$2015,"&lt;"&amp;Y73))</f>
        <v/>
      </c>
      <c r="AA72" s="14" t="n"/>
      <c r="AB72" s="16" t="n"/>
      <c r="AC72" s="124">
        <f>IF(AB72="","",COUNTIFS($C$18:$C$2015,AB$13,$D$18:$D$2015,"&gt;="&amp;AB72,$D$18:$D$2015,"&lt;"&amp;AB73))</f>
        <v/>
      </c>
      <c r="AD72" s="14" t="n"/>
    </row>
    <row r="73">
      <c r="A73" s="58" t="n"/>
      <c r="B73" s="59" t="n"/>
      <c r="C73" s="59" t="n"/>
      <c r="D73" s="126" t="n"/>
      <c r="E73" s="16" t="n"/>
      <c r="F73" s="13" t="n"/>
      <c r="G73" s="16" t="n">
        <v>68</v>
      </c>
      <c r="H73" s="124">
        <f>IF(G73="","",COUNTIFS($C$18:$C$2015,G$13,$D$18:$D$2015,"&gt;="&amp;G73,$D$18:$D$2015,"&lt;"&amp;G74))</f>
        <v/>
      </c>
      <c r="I73" s="14" t="n"/>
      <c r="J73" s="16" t="n"/>
      <c r="K73" s="124">
        <f>IF(J73="","",COUNTIFS($C$18:$C$2015,J$13,$D$18:$D$2015,"&gt;="&amp;J73,$D$18:$D$2015,"&lt;"&amp;J74))</f>
        <v/>
      </c>
      <c r="L73" s="14" t="n"/>
      <c r="M73" s="16" t="n"/>
      <c r="N73" s="124">
        <f>IF(M73="","",COUNTIFS($C$18:$C$2015,M$13,$D$18:$D$2015,"&gt;="&amp;M73,$D$18:$D$2015,"&lt;"&amp;M74))</f>
        <v/>
      </c>
      <c r="O73" s="14" t="n"/>
      <c r="P73" s="16" t="n">
        <v>68</v>
      </c>
      <c r="Q73" s="124">
        <f>IF(P73="","",COUNTIFS($C$18:$C$2015,P$13,$D$18:$D$2015,"&gt;="&amp;P73,$D$18:$D$2015,"&lt;"&amp;P74))</f>
        <v/>
      </c>
      <c r="R73" s="14" t="n"/>
      <c r="S73" s="16" t="n"/>
      <c r="T73" s="124">
        <f>IF(S73="","",COUNTIFS($C$18:$C$2015,S$13,$D$18:$D$2015,"&gt;="&amp;S73,$D$18:$D$2015,"&lt;"&amp;S74))</f>
        <v/>
      </c>
      <c r="U73" s="14" t="n"/>
      <c r="V73" s="16" t="n"/>
      <c r="W73" s="124">
        <f>IF(V73="","",COUNTIFS($C$18:$C$2015,V$13,$D$18:$D$2015,"&gt;="&amp;V73,$D$18:$D$2015,"&lt;"&amp;V74))</f>
        <v/>
      </c>
      <c r="X73" s="14" t="n"/>
      <c r="Y73" s="16" t="n"/>
      <c r="Z73" s="124">
        <f>IF(Y73="","",COUNTIFS($C$18:$C$2015,Y$13,$D$18:$D$2015,"&gt;="&amp;Y73,$D$18:$D$2015,"&lt;"&amp;Y74))</f>
        <v/>
      </c>
      <c r="AA73" s="14" t="n"/>
      <c r="AB73" s="16" t="n"/>
      <c r="AC73" s="124">
        <f>IF(AB73="","",COUNTIFS($C$18:$C$2015,AB$13,$D$18:$D$2015,"&gt;="&amp;AB73,$D$18:$D$2015,"&lt;"&amp;AB74))</f>
        <v/>
      </c>
      <c r="AD73" s="14" t="n"/>
    </row>
    <row r="74">
      <c r="A74" s="56" t="n"/>
      <c r="B74" s="57" t="n"/>
      <c r="C74" s="57" t="n"/>
      <c r="D74" s="127" t="n"/>
      <c r="E74" s="16" t="n"/>
      <c r="F74" s="13" t="n"/>
      <c r="G74" s="16" t="n">
        <v>69</v>
      </c>
      <c r="H74" s="124">
        <f>IF(G74="","",COUNTIFS($C$18:$C$2015,G$13,$D$18:$D$2015,"&gt;="&amp;G74,$D$18:$D$2015,"&lt;"&amp;G75))</f>
        <v/>
      </c>
      <c r="I74" s="14" t="n"/>
      <c r="J74" s="16" t="n"/>
      <c r="K74" s="124">
        <f>IF(J74="","",COUNTIFS($C$18:$C$2015,J$13,$D$18:$D$2015,"&gt;="&amp;J74,$D$18:$D$2015,"&lt;"&amp;J75))</f>
        <v/>
      </c>
      <c r="L74" s="14" t="n"/>
      <c r="M74" s="16" t="n"/>
      <c r="N74" s="124">
        <f>IF(M74="","",COUNTIFS($C$18:$C$2015,M$13,$D$18:$D$2015,"&gt;="&amp;M74,$D$18:$D$2015,"&lt;"&amp;M75))</f>
        <v/>
      </c>
      <c r="O74" s="14" t="n"/>
      <c r="P74" s="16" t="n">
        <v>69</v>
      </c>
      <c r="Q74" s="124">
        <f>IF(P74="","",COUNTIFS($C$18:$C$2015,P$13,$D$18:$D$2015,"&gt;="&amp;P74,$D$18:$D$2015,"&lt;"&amp;P75))</f>
        <v/>
      </c>
      <c r="R74" s="14" t="n"/>
      <c r="S74" s="16" t="n"/>
      <c r="T74" s="124">
        <f>IF(S74="","",COUNTIFS($C$18:$C$2015,S$13,$D$18:$D$2015,"&gt;="&amp;S74,$D$18:$D$2015,"&lt;"&amp;S75))</f>
        <v/>
      </c>
      <c r="U74" s="14" t="n"/>
      <c r="V74" s="16" t="n"/>
      <c r="W74" s="124">
        <f>IF(V74="","",COUNTIFS($C$18:$C$2015,V$13,$D$18:$D$2015,"&gt;="&amp;V74,$D$18:$D$2015,"&lt;"&amp;V75))</f>
        <v/>
      </c>
      <c r="X74" s="14" t="n"/>
      <c r="Y74" s="16" t="n"/>
      <c r="Z74" s="124">
        <f>IF(Y74="","",COUNTIFS($C$18:$C$2015,Y$13,$D$18:$D$2015,"&gt;="&amp;Y74,$D$18:$D$2015,"&lt;"&amp;Y75))</f>
        <v/>
      </c>
      <c r="AA74" s="14" t="n"/>
      <c r="AB74" s="16" t="n"/>
      <c r="AC74" s="124">
        <f>IF(AB74="","",COUNTIFS($C$18:$C$2015,AB$13,$D$18:$D$2015,"&gt;="&amp;AB74,$D$18:$D$2015,"&lt;"&amp;AB75))</f>
        <v/>
      </c>
      <c r="AD74" s="14" t="n"/>
    </row>
    <row r="75">
      <c r="A75" s="58" t="n"/>
      <c r="B75" s="59" t="n"/>
      <c r="C75" s="59" t="n"/>
      <c r="D75" s="126" t="n"/>
      <c r="E75" s="16" t="n"/>
      <c r="F75" s="13" t="n"/>
      <c r="G75" s="16" t="n">
        <v>70</v>
      </c>
      <c r="H75" s="124">
        <f>IF(G75="","",COUNTIFS($C$18:$C$2015,G$13,$D$18:$D$2015,"&gt;="&amp;G75,$D$18:$D$2015,"&lt;"&amp;G76))</f>
        <v/>
      </c>
      <c r="I75" s="14" t="n"/>
      <c r="J75" s="16" t="n"/>
      <c r="K75" s="124">
        <f>IF(J75="","",COUNTIFS($C$18:$C$2015,J$13,$D$18:$D$2015,"&gt;="&amp;J75,$D$18:$D$2015,"&lt;"&amp;J76))</f>
        <v/>
      </c>
      <c r="L75" s="14" t="n"/>
      <c r="M75" s="16" t="n"/>
      <c r="N75" s="124">
        <f>IF(M75="","",COUNTIFS($C$18:$C$2015,M$13,$D$18:$D$2015,"&gt;="&amp;M75,$D$18:$D$2015,"&lt;"&amp;M76))</f>
        <v/>
      </c>
      <c r="O75" s="14" t="n"/>
      <c r="P75" s="16" t="n">
        <v>70</v>
      </c>
      <c r="Q75" s="124">
        <f>IF(P75="","",COUNTIFS($C$18:$C$2015,P$13,$D$18:$D$2015,"&gt;="&amp;P75,$D$18:$D$2015,"&lt;"&amp;P76))</f>
        <v/>
      </c>
      <c r="R75" s="14" t="n"/>
      <c r="S75" s="16" t="n"/>
      <c r="T75" s="124">
        <f>IF(S75="","",COUNTIFS($C$18:$C$2015,S$13,$D$18:$D$2015,"&gt;="&amp;S75,$D$18:$D$2015,"&lt;"&amp;S76))</f>
        <v/>
      </c>
      <c r="U75" s="14" t="n"/>
      <c r="V75" s="16" t="n"/>
      <c r="W75" s="124">
        <f>IF(V75="","",COUNTIFS($C$18:$C$2015,V$13,$D$18:$D$2015,"&gt;="&amp;V75,$D$18:$D$2015,"&lt;"&amp;V76))</f>
        <v/>
      </c>
      <c r="X75" s="14" t="n"/>
      <c r="Y75" s="16" t="n"/>
      <c r="Z75" s="124">
        <f>IF(Y75="","",COUNTIFS($C$18:$C$2015,Y$13,$D$18:$D$2015,"&gt;="&amp;Y75,$D$18:$D$2015,"&lt;"&amp;Y76))</f>
        <v/>
      </c>
      <c r="AA75" s="14" t="n"/>
      <c r="AB75" s="16" t="n"/>
      <c r="AC75" s="124">
        <f>IF(AB75="","",COUNTIFS($C$18:$C$2015,AB$13,$D$18:$D$2015,"&gt;="&amp;AB75,$D$18:$D$2015,"&lt;"&amp;AB76))</f>
        <v/>
      </c>
      <c r="AD75" s="14" t="n"/>
    </row>
    <row r="76">
      <c r="A76" s="56" t="n"/>
      <c r="B76" s="57" t="n"/>
      <c r="C76" s="57" t="n"/>
      <c r="D76" s="127" t="n"/>
      <c r="E76" s="16" t="n"/>
      <c r="F76" s="13" t="n"/>
      <c r="G76" s="16" t="n">
        <v>71</v>
      </c>
      <c r="H76" s="124">
        <f>IF(G76="","",COUNTIFS($C$18:$C$2015,G$13,$D$18:$D$2015,"&gt;="&amp;G76,$D$18:$D$2015,"&lt;"&amp;G77))</f>
        <v/>
      </c>
      <c r="I76" s="14" t="n"/>
      <c r="J76" s="16" t="n"/>
      <c r="K76" s="124">
        <f>IF(J76="","",COUNTIFS($C$18:$C$2015,J$13,$D$18:$D$2015,"&gt;="&amp;J76,$D$18:$D$2015,"&lt;"&amp;J77))</f>
        <v/>
      </c>
      <c r="L76" s="14" t="n"/>
      <c r="M76" s="16" t="n"/>
      <c r="N76" s="124">
        <f>IF(M76="","",COUNTIFS($C$18:$C$2015,M$13,$D$18:$D$2015,"&gt;="&amp;M76,$D$18:$D$2015,"&lt;"&amp;M77))</f>
        <v/>
      </c>
      <c r="O76" s="14" t="n"/>
      <c r="P76" s="16" t="n">
        <v>71</v>
      </c>
      <c r="Q76" s="124">
        <f>IF(P76="","",COUNTIFS($C$18:$C$2015,P$13,$D$18:$D$2015,"&gt;="&amp;P76,$D$18:$D$2015,"&lt;"&amp;P77))</f>
        <v/>
      </c>
      <c r="R76" s="14" t="n"/>
      <c r="S76" s="16" t="n"/>
      <c r="T76" s="124">
        <f>IF(S76="","",COUNTIFS($C$18:$C$2015,S$13,$D$18:$D$2015,"&gt;="&amp;S76,$D$18:$D$2015,"&lt;"&amp;S77))</f>
        <v/>
      </c>
      <c r="U76" s="14" t="n"/>
      <c r="V76" s="16" t="n"/>
      <c r="W76" s="124">
        <f>IF(V76="","",COUNTIFS($C$18:$C$2015,V$13,$D$18:$D$2015,"&gt;="&amp;V76,$D$18:$D$2015,"&lt;"&amp;V77))</f>
        <v/>
      </c>
      <c r="X76" s="14" t="n"/>
      <c r="Y76" s="16" t="n"/>
      <c r="Z76" s="124">
        <f>IF(Y76="","",COUNTIFS($C$18:$C$2015,Y$13,$D$18:$D$2015,"&gt;="&amp;Y76,$D$18:$D$2015,"&lt;"&amp;Y77))</f>
        <v/>
      </c>
      <c r="AA76" s="14" t="n"/>
      <c r="AB76" s="16" t="n"/>
      <c r="AC76" s="124">
        <f>IF(AB76="","",COUNTIFS($C$18:$C$2015,AB$13,$D$18:$D$2015,"&gt;="&amp;AB76,$D$18:$D$2015,"&lt;"&amp;AB77))</f>
        <v/>
      </c>
      <c r="AD76" s="14" t="n"/>
    </row>
    <row r="77">
      <c r="A77" s="58" t="n"/>
      <c r="B77" s="59" t="n"/>
      <c r="C77" s="59" t="n"/>
      <c r="D77" s="126" t="n"/>
      <c r="E77" s="16" t="n"/>
      <c r="F77" s="13" t="n"/>
      <c r="G77" s="16" t="n">
        <v>72</v>
      </c>
      <c r="H77" s="124">
        <f>IF(G77="","",COUNTIFS($C$18:$C$2015,G$13,$D$18:$D$2015,"&gt;="&amp;G77,$D$18:$D$2015,"&lt;"&amp;G78))</f>
        <v/>
      </c>
      <c r="I77" s="14" t="n"/>
      <c r="J77" s="16" t="n"/>
      <c r="K77" s="124">
        <f>IF(J77="","",COUNTIFS($C$18:$C$2015,J$13,$D$18:$D$2015,"&gt;="&amp;J77,$D$18:$D$2015,"&lt;"&amp;J78))</f>
        <v/>
      </c>
      <c r="L77" s="14" t="n"/>
      <c r="M77" s="16" t="n"/>
      <c r="N77" s="124">
        <f>IF(M77="","",COUNTIFS($C$18:$C$2015,M$13,$D$18:$D$2015,"&gt;="&amp;M77,$D$18:$D$2015,"&lt;"&amp;M78))</f>
        <v/>
      </c>
      <c r="O77" s="14" t="n"/>
      <c r="P77" s="16" t="n">
        <v>72</v>
      </c>
      <c r="Q77" s="124">
        <f>IF(P77="","",COUNTIFS($C$18:$C$2015,P$13,$D$18:$D$2015,"&gt;="&amp;P77,$D$18:$D$2015,"&lt;"&amp;P78))</f>
        <v/>
      </c>
      <c r="R77" s="14" t="n"/>
      <c r="S77" s="16" t="n"/>
      <c r="T77" s="124">
        <f>IF(S77="","",COUNTIFS($C$18:$C$2015,S$13,$D$18:$D$2015,"&gt;="&amp;S77,$D$18:$D$2015,"&lt;"&amp;S78))</f>
        <v/>
      </c>
      <c r="U77" s="14" t="n"/>
      <c r="V77" s="16" t="n"/>
      <c r="W77" s="124">
        <f>IF(V77="","",COUNTIFS($C$18:$C$2015,V$13,$D$18:$D$2015,"&gt;="&amp;V77,$D$18:$D$2015,"&lt;"&amp;V78))</f>
        <v/>
      </c>
      <c r="X77" s="14" t="n"/>
      <c r="Y77" s="16" t="n"/>
      <c r="Z77" s="124">
        <f>IF(Y77="","",COUNTIFS($C$18:$C$2015,Y$13,$D$18:$D$2015,"&gt;="&amp;Y77,$D$18:$D$2015,"&lt;"&amp;Y78))</f>
        <v/>
      </c>
      <c r="AA77" s="14" t="n"/>
      <c r="AB77" s="16" t="n"/>
      <c r="AC77" s="124">
        <f>IF(AB77="","",COUNTIFS($C$18:$C$2015,AB$13,$D$18:$D$2015,"&gt;="&amp;AB77,$D$18:$D$2015,"&lt;"&amp;AB78))</f>
        <v/>
      </c>
      <c r="AD77" s="14" t="n"/>
    </row>
    <row r="78">
      <c r="A78" s="56" t="n"/>
      <c r="B78" s="57" t="n"/>
      <c r="C78" s="57" t="n"/>
      <c r="D78" s="127" t="n"/>
      <c r="E78" s="16" t="n"/>
      <c r="F78" s="13" t="n"/>
      <c r="G78" s="16" t="n">
        <v>73</v>
      </c>
      <c r="H78" s="124">
        <f>IF(G78="","",COUNTIFS($C$18:$C$2015,G$13,$D$18:$D$2015,"&gt;="&amp;G78,$D$18:$D$2015,"&lt;"&amp;G79))</f>
        <v/>
      </c>
      <c r="I78" s="14" t="n"/>
      <c r="J78" s="16" t="n"/>
      <c r="K78" s="124">
        <f>IF(J78="","",COUNTIFS($C$18:$C$2015,J$13,$D$18:$D$2015,"&gt;="&amp;J78,$D$18:$D$2015,"&lt;"&amp;J79))</f>
        <v/>
      </c>
      <c r="L78" s="14" t="n"/>
      <c r="M78" s="16" t="n"/>
      <c r="N78" s="124">
        <f>IF(M78="","",COUNTIFS($C$18:$C$2015,M$13,$D$18:$D$2015,"&gt;="&amp;M78,$D$18:$D$2015,"&lt;"&amp;M79))</f>
        <v/>
      </c>
      <c r="O78" s="14" t="n"/>
      <c r="P78" s="16" t="n">
        <v>73</v>
      </c>
      <c r="Q78" s="124">
        <f>IF(P78="","",COUNTIFS($C$18:$C$2015,P$13,$D$18:$D$2015,"&gt;="&amp;P78,$D$18:$D$2015,"&lt;"&amp;P79))</f>
        <v/>
      </c>
      <c r="R78" s="14" t="n"/>
      <c r="S78" s="16" t="n"/>
      <c r="T78" s="124">
        <f>IF(S78="","",COUNTIFS($C$18:$C$2015,S$13,$D$18:$D$2015,"&gt;="&amp;S78,$D$18:$D$2015,"&lt;"&amp;S79))</f>
        <v/>
      </c>
      <c r="U78" s="14" t="n"/>
      <c r="V78" s="16" t="n"/>
      <c r="W78" s="124">
        <f>IF(V78="","",COUNTIFS($C$18:$C$2015,V$13,$D$18:$D$2015,"&gt;="&amp;V78,$D$18:$D$2015,"&lt;"&amp;V79))</f>
        <v/>
      </c>
      <c r="X78" s="14" t="n"/>
      <c r="Y78" s="16" t="n"/>
      <c r="Z78" s="124">
        <f>IF(Y78="","",COUNTIFS($C$18:$C$2015,Y$13,$D$18:$D$2015,"&gt;="&amp;Y78,$D$18:$D$2015,"&lt;"&amp;Y79))</f>
        <v/>
      </c>
      <c r="AA78" s="14" t="n"/>
      <c r="AB78" s="16" t="n"/>
      <c r="AC78" s="124">
        <f>IF(AB78="","",COUNTIFS($C$18:$C$2015,AB$13,$D$18:$D$2015,"&gt;="&amp;AB78,$D$18:$D$2015,"&lt;"&amp;AB79))</f>
        <v/>
      </c>
      <c r="AD78" s="14" t="n"/>
    </row>
    <row r="79">
      <c r="A79" s="58" t="n"/>
      <c r="B79" s="59" t="n"/>
      <c r="C79" s="59" t="n"/>
      <c r="D79" s="126" t="n"/>
      <c r="E79" s="16" t="n"/>
      <c r="F79" s="13" t="n"/>
      <c r="G79" s="16" t="n">
        <v>74</v>
      </c>
      <c r="H79" s="124">
        <f>IF(G79="","",COUNTIFS($C$18:$C$2015,G$13,$D$18:$D$2015,"&gt;="&amp;G79,$D$18:$D$2015,"&lt;"&amp;G80))</f>
        <v/>
      </c>
      <c r="I79" s="14" t="n"/>
      <c r="J79" s="16" t="n"/>
      <c r="K79" s="124">
        <f>IF(J79="","",COUNTIFS($C$18:$C$2015,J$13,$D$18:$D$2015,"&gt;="&amp;J79,$D$18:$D$2015,"&lt;"&amp;J80))</f>
        <v/>
      </c>
      <c r="L79" s="14" t="n"/>
      <c r="M79" s="16" t="n"/>
      <c r="N79" s="124">
        <f>IF(M79="","",COUNTIFS($C$18:$C$2015,M$13,$D$18:$D$2015,"&gt;="&amp;M79,$D$18:$D$2015,"&lt;"&amp;M80))</f>
        <v/>
      </c>
      <c r="O79" s="14" t="n"/>
      <c r="P79" s="16" t="n">
        <v>74</v>
      </c>
      <c r="Q79" s="124">
        <f>IF(P79="","",COUNTIFS($C$18:$C$2015,P$13,$D$18:$D$2015,"&gt;="&amp;P79,$D$18:$D$2015,"&lt;"&amp;P80))</f>
        <v/>
      </c>
      <c r="R79" s="14" t="n"/>
      <c r="S79" s="16" t="n"/>
      <c r="T79" s="124">
        <f>IF(S79="","",COUNTIFS($C$18:$C$2015,S$13,$D$18:$D$2015,"&gt;="&amp;S79,$D$18:$D$2015,"&lt;"&amp;S80))</f>
        <v/>
      </c>
      <c r="U79" s="14" t="n"/>
      <c r="V79" s="16" t="n"/>
      <c r="W79" s="124">
        <f>IF(V79="","",COUNTIFS($C$18:$C$2015,V$13,$D$18:$D$2015,"&gt;="&amp;V79,$D$18:$D$2015,"&lt;"&amp;V80))</f>
        <v/>
      </c>
      <c r="X79" s="14" t="n"/>
      <c r="Y79" s="16" t="n"/>
      <c r="Z79" s="124">
        <f>IF(Y79="","",COUNTIFS($C$18:$C$2015,Y$13,$D$18:$D$2015,"&gt;="&amp;Y79,$D$18:$D$2015,"&lt;"&amp;Y80))</f>
        <v/>
      </c>
      <c r="AA79" s="14" t="n"/>
      <c r="AB79" s="16" t="n"/>
      <c r="AC79" s="124">
        <f>IF(AB79="","",COUNTIFS($C$18:$C$2015,AB$13,$D$18:$D$2015,"&gt;="&amp;AB79,$D$18:$D$2015,"&lt;"&amp;AB80))</f>
        <v/>
      </c>
      <c r="AD79" s="14" t="n"/>
    </row>
    <row r="80">
      <c r="A80" s="56" t="n"/>
      <c r="B80" s="57" t="n"/>
      <c r="C80" s="57" t="n"/>
      <c r="D80" s="127" t="n"/>
      <c r="E80" s="16" t="n"/>
      <c r="F80" s="13" t="n"/>
      <c r="G80" s="16" t="n">
        <v>75</v>
      </c>
      <c r="H80" s="124">
        <f>IF(G80="","",COUNTIFS($C$18:$C$2015,G$13,$D$18:$D$2015,"&gt;="&amp;G80,$D$18:$D$2015,"&lt;"&amp;G81))</f>
        <v/>
      </c>
      <c r="I80" s="14" t="n"/>
      <c r="J80" s="16" t="n"/>
      <c r="K80" s="124">
        <f>IF(J80="","",COUNTIFS($C$18:$C$2015,J$13,$D$18:$D$2015,"&gt;="&amp;J80,$D$18:$D$2015,"&lt;"&amp;J81))</f>
        <v/>
      </c>
      <c r="L80" s="14" t="n"/>
      <c r="M80" s="16" t="n"/>
      <c r="N80" s="124">
        <f>IF(M80="","",COUNTIFS($C$18:$C$2015,M$13,$D$18:$D$2015,"&gt;="&amp;M80,$D$18:$D$2015,"&lt;"&amp;M81))</f>
        <v/>
      </c>
      <c r="O80" s="14" t="n"/>
      <c r="P80" s="16" t="n">
        <v>75</v>
      </c>
      <c r="Q80" s="124">
        <f>IF(P80="","",COUNTIFS($C$18:$C$2015,P$13,$D$18:$D$2015,"&gt;="&amp;P80,$D$18:$D$2015,"&lt;"&amp;P81))</f>
        <v/>
      </c>
      <c r="R80" s="14" t="n"/>
      <c r="S80" s="16" t="n"/>
      <c r="T80" s="124">
        <f>IF(S80="","",COUNTIFS($C$18:$C$2015,S$13,$D$18:$D$2015,"&gt;="&amp;S80,$D$18:$D$2015,"&lt;"&amp;S81))</f>
        <v/>
      </c>
      <c r="U80" s="14" t="n"/>
      <c r="V80" s="16" t="n"/>
      <c r="W80" s="124">
        <f>IF(V80="","",COUNTIFS($C$18:$C$2015,V$13,$D$18:$D$2015,"&gt;="&amp;V80,$D$18:$D$2015,"&lt;"&amp;V81))</f>
        <v/>
      </c>
      <c r="X80" s="14" t="n"/>
      <c r="Y80" s="16" t="n"/>
      <c r="Z80" s="124">
        <f>IF(Y80="","",COUNTIFS($C$18:$C$2015,Y$13,$D$18:$D$2015,"&gt;="&amp;Y80,$D$18:$D$2015,"&lt;"&amp;Y81))</f>
        <v/>
      </c>
      <c r="AA80" s="14" t="n"/>
      <c r="AB80" s="16" t="n"/>
      <c r="AC80" s="124">
        <f>IF(AB80="","",COUNTIFS($C$18:$C$2015,AB$13,$D$18:$D$2015,"&gt;="&amp;AB80,$D$18:$D$2015,"&lt;"&amp;AB81))</f>
        <v/>
      </c>
      <c r="AD80" s="14" t="n"/>
    </row>
    <row r="81">
      <c r="A81" s="58" t="n"/>
      <c r="B81" s="59" t="n"/>
      <c r="C81" s="59" t="n"/>
      <c r="D81" s="126" t="n"/>
      <c r="E81" s="16" t="n"/>
      <c r="F81" s="13" t="n"/>
      <c r="G81" s="16" t="n">
        <v>76</v>
      </c>
      <c r="H81" s="124">
        <f>IF(G81="","",COUNTIFS($C$18:$C$2015,G$13,$D$18:$D$2015,"&gt;="&amp;G81,$D$18:$D$2015,"&lt;"&amp;G82))</f>
        <v/>
      </c>
      <c r="I81" s="14" t="n"/>
      <c r="J81" s="16" t="n"/>
      <c r="K81" s="124">
        <f>IF(J81="","",COUNTIFS($C$18:$C$2015,J$13,$D$18:$D$2015,"&gt;="&amp;J81,$D$18:$D$2015,"&lt;"&amp;J82))</f>
        <v/>
      </c>
      <c r="L81" s="14" t="n"/>
      <c r="M81" s="16" t="n"/>
      <c r="N81" s="124">
        <f>IF(M81="","",COUNTIFS($C$18:$C$2015,M$13,$D$18:$D$2015,"&gt;="&amp;M81,$D$18:$D$2015,"&lt;"&amp;M82))</f>
        <v/>
      </c>
      <c r="O81" s="14" t="n"/>
      <c r="P81" s="16" t="n">
        <v>76</v>
      </c>
      <c r="Q81" s="124">
        <f>IF(P81="","",COUNTIFS($C$18:$C$2015,P$13,$D$18:$D$2015,"&gt;="&amp;P81,$D$18:$D$2015,"&lt;"&amp;P82))</f>
        <v/>
      </c>
      <c r="R81" s="14" t="n"/>
      <c r="S81" s="16" t="n"/>
      <c r="T81" s="124">
        <f>IF(S81="","",COUNTIFS($C$18:$C$2015,S$13,$D$18:$D$2015,"&gt;="&amp;S81,$D$18:$D$2015,"&lt;"&amp;S82))</f>
        <v/>
      </c>
      <c r="U81" s="14" t="n"/>
      <c r="V81" s="16" t="n"/>
      <c r="W81" s="124">
        <f>IF(V81="","",COUNTIFS($C$18:$C$2015,V$13,$D$18:$D$2015,"&gt;="&amp;V81,$D$18:$D$2015,"&lt;"&amp;V82))</f>
        <v/>
      </c>
      <c r="X81" s="14" t="n"/>
      <c r="Y81" s="16" t="n"/>
      <c r="Z81" s="124">
        <f>IF(Y81="","",COUNTIFS($C$18:$C$2015,Y$13,$D$18:$D$2015,"&gt;="&amp;Y81,$D$18:$D$2015,"&lt;"&amp;Y82))</f>
        <v/>
      </c>
      <c r="AA81" s="14" t="n"/>
      <c r="AB81" s="16" t="n"/>
      <c r="AC81" s="124">
        <f>IF(AB81="","",COUNTIFS($C$18:$C$2015,AB$13,$D$18:$D$2015,"&gt;="&amp;AB81,$D$18:$D$2015,"&lt;"&amp;AB82))</f>
        <v/>
      </c>
      <c r="AD81" s="14" t="n"/>
    </row>
    <row r="82">
      <c r="A82" s="56" t="n"/>
      <c r="B82" s="57" t="n"/>
      <c r="C82" s="57" t="n"/>
      <c r="D82" s="127" t="n"/>
      <c r="E82" s="16" t="n"/>
      <c r="F82" s="13" t="n"/>
      <c r="G82" s="16" t="n">
        <v>77</v>
      </c>
      <c r="H82" s="124">
        <f>IF(G82="","",COUNTIFS($C$18:$C$2015,G$13,$D$18:$D$2015,"&gt;="&amp;G82,$D$18:$D$2015,"&lt;"&amp;G83))</f>
        <v/>
      </c>
      <c r="I82" s="14" t="n"/>
      <c r="J82" s="16" t="n"/>
      <c r="K82" s="124">
        <f>IF(J82="","",COUNTIFS($C$18:$C$2015,J$13,$D$18:$D$2015,"&gt;="&amp;J82,$D$18:$D$2015,"&lt;"&amp;J83))</f>
        <v/>
      </c>
      <c r="L82" s="14" t="n"/>
      <c r="M82" s="16" t="n"/>
      <c r="N82" s="124">
        <f>IF(M82="","",COUNTIFS($C$18:$C$2015,M$13,$D$18:$D$2015,"&gt;="&amp;M82,$D$18:$D$2015,"&lt;"&amp;M83))</f>
        <v/>
      </c>
      <c r="O82" s="14" t="n"/>
      <c r="P82" s="16" t="n">
        <v>77</v>
      </c>
      <c r="Q82" s="124">
        <f>IF(P82="","",COUNTIFS($C$18:$C$2015,P$13,$D$18:$D$2015,"&gt;="&amp;P82,$D$18:$D$2015,"&lt;"&amp;P83))</f>
        <v/>
      </c>
      <c r="R82" s="14" t="n"/>
      <c r="S82" s="16" t="n"/>
      <c r="T82" s="124">
        <f>IF(S82="","",COUNTIFS($C$18:$C$2015,S$13,$D$18:$D$2015,"&gt;="&amp;S82,$D$18:$D$2015,"&lt;"&amp;S83))</f>
        <v/>
      </c>
      <c r="U82" s="14" t="n"/>
      <c r="V82" s="16" t="n"/>
      <c r="W82" s="124">
        <f>IF(V82="","",COUNTIFS($C$18:$C$2015,V$13,$D$18:$D$2015,"&gt;="&amp;V82,$D$18:$D$2015,"&lt;"&amp;V83))</f>
        <v/>
      </c>
      <c r="X82" s="14" t="n"/>
      <c r="Y82" s="16" t="n"/>
      <c r="Z82" s="124">
        <f>IF(Y82="","",COUNTIFS($C$18:$C$2015,Y$13,$D$18:$D$2015,"&gt;="&amp;Y82,$D$18:$D$2015,"&lt;"&amp;Y83))</f>
        <v/>
      </c>
      <c r="AA82" s="14" t="n"/>
      <c r="AB82" s="16" t="n"/>
      <c r="AC82" s="124">
        <f>IF(AB82="","",COUNTIFS($C$18:$C$2015,AB$13,$D$18:$D$2015,"&gt;="&amp;AB82,$D$18:$D$2015,"&lt;"&amp;AB83))</f>
        <v/>
      </c>
      <c r="AD82" s="14" t="n"/>
    </row>
    <row r="83">
      <c r="A83" s="58" t="n"/>
      <c r="B83" s="59" t="n"/>
      <c r="C83" s="59" t="n"/>
      <c r="D83" s="126" t="n"/>
      <c r="E83" s="16" t="n"/>
      <c r="F83" s="13" t="n"/>
      <c r="G83" s="16" t="n">
        <v>78</v>
      </c>
      <c r="H83" s="124">
        <f>IF(G83="","",COUNTIFS($C$18:$C$2015,G$13,$D$18:$D$2015,"&gt;="&amp;G83,$D$18:$D$2015,"&lt;"&amp;G84))</f>
        <v/>
      </c>
      <c r="I83" s="14" t="n"/>
      <c r="J83" s="16" t="n"/>
      <c r="K83" s="124">
        <f>IF(J83="","",COUNTIFS($C$18:$C$2015,J$13,$D$18:$D$2015,"&gt;="&amp;J83,$D$18:$D$2015,"&lt;"&amp;J84))</f>
        <v/>
      </c>
      <c r="L83" s="14" t="n"/>
      <c r="M83" s="16" t="n"/>
      <c r="N83" s="124">
        <f>IF(M83="","",COUNTIFS($C$18:$C$2015,M$13,$D$18:$D$2015,"&gt;="&amp;M83,$D$18:$D$2015,"&lt;"&amp;M84))</f>
        <v/>
      </c>
      <c r="O83" s="14" t="n"/>
      <c r="P83" s="16" t="n">
        <v>78</v>
      </c>
      <c r="Q83" s="124">
        <f>IF(P83="","",COUNTIFS($C$18:$C$2015,P$13,$D$18:$D$2015,"&gt;="&amp;P83,$D$18:$D$2015,"&lt;"&amp;P84))</f>
        <v/>
      </c>
      <c r="R83" s="14" t="n"/>
      <c r="S83" s="16" t="n"/>
      <c r="T83" s="124">
        <f>IF(S83="","",COUNTIFS($C$18:$C$2015,S$13,$D$18:$D$2015,"&gt;="&amp;S83,$D$18:$D$2015,"&lt;"&amp;S84))</f>
        <v/>
      </c>
      <c r="U83" s="14" t="n"/>
      <c r="V83" s="16" t="n"/>
      <c r="W83" s="124">
        <f>IF(V83="","",COUNTIFS($C$18:$C$2015,V$13,$D$18:$D$2015,"&gt;="&amp;V83,$D$18:$D$2015,"&lt;"&amp;V84))</f>
        <v/>
      </c>
      <c r="X83" s="14" t="n"/>
      <c r="Y83" s="16" t="n"/>
      <c r="Z83" s="124">
        <f>IF(Y83="","",COUNTIFS($C$18:$C$2015,Y$13,$D$18:$D$2015,"&gt;="&amp;Y83,$D$18:$D$2015,"&lt;"&amp;Y84))</f>
        <v/>
      </c>
      <c r="AA83" s="14" t="n"/>
      <c r="AB83" s="16" t="n"/>
      <c r="AC83" s="124">
        <f>IF(AB83="","",COUNTIFS($C$18:$C$2015,AB$13,$D$18:$D$2015,"&gt;="&amp;AB83,$D$18:$D$2015,"&lt;"&amp;AB84))</f>
        <v/>
      </c>
      <c r="AD83" s="14" t="n"/>
    </row>
    <row r="84">
      <c r="A84" s="56" t="n"/>
      <c r="B84" s="57" t="n"/>
      <c r="C84" s="57" t="n"/>
      <c r="D84" s="127" t="n"/>
      <c r="E84" s="16" t="n"/>
      <c r="F84" s="13" t="n"/>
      <c r="G84" s="16" t="n">
        <v>79</v>
      </c>
      <c r="H84" s="124">
        <f>IF(G84="","",COUNTIFS($C$18:$C$2015,G$13,$D$18:$D$2015,"&gt;="&amp;G84,$D$18:$D$2015,"&lt;"&amp;G85))</f>
        <v/>
      </c>
      <c r="I84" s="14" t="n"/>
      <c r="J84" s="16" t="n"/>
      <c r="K84" s="124">
        <f>IF(J84="","",COUNTIFS($C$18:$C$2015,J$13,$D$18:$D$2015,"&gt;="&amp;J84,$D$18:$D$2015,"&lt;"&amp;J85))</f>
        <v/>
      </c>
      <c r="L84" s="14" t="n"/>
      <c r="M84" s="16" t="n"/>
      <c r="N84" s="124">
        <f>IF(M84="","",COUNTIFS($C$18:$C$2015,M$13,$D$18:$D$2015,"&gt;="&amp;M84,$D$18:$D$2015,"&lt;"&amp;M85))</f>
        <v/>
      </c>
      <c r="O84" s="14" t="n"/>
      <c r="P84" s="16" t="n">
        <v>79</v>
      </c>
      <c r="Q84" s="124">
        <f>IF(P84="","",COUNTIFS($C$18:$C$2015,P$13,$D$18:$D$2015,"&gt;="&amp;P84,$D$18:$D$2015,"&lt;"&amp;P85))</f>
        <v/>
      </c>
      <c r="R84" s="14" t="n"/>
      <c r="S84" s="16" t="n"/>
      <c r="T84" s="124">
        <f>IF(S84="","",COUNTIFS($C$18:$C$2015,S$13,$D$18:$D$2015,"&gt;="&amp;S84,$D$18:$D$2015,"&lt;"&amp;S85))</f>
        <v/>
      </c>
      <c r="U84" s="14" t="n"/>
      <c r="V84" s="16" t="n"/>
      <c r="W84" s="124">
        <f>IF(V84="","",COUNTIFS($C$18:$C$2015,V$13,$D$18:$D$2015,"&gt;="&amp;V84,$D$18:$D$2015,"&lt;"&amp;V85))</f>
        <v/>
      </c>
      <c r="X84" s="14" t="n"/>
      <c r="Y84" s="16" t="n"/>
      <c r="Z84" s="124">
        <f>IF(Y84="","",COUNTIFS($C$18:$C$2015,Y$13,$D$18:$D$2015,"&gt;="&amp;Y84,$D$18:$D$2015,"&lt;"&amp;Y85))</f>
        <v/>
      </c>
      <c r="AA84" s="14" t="n"/>
      <c r="AB84" s="16" t="n"/>
      <c r="AC84" s="124">
        <f>IF(AB84="","",COUNTIFS($C$18:$C$2015,AB$13,$D$18:$D$2015,"&gt;="&amp;AB84,$D$18:$D$2015,"&lt;"&amp;AB85))</f>
        <v/>
      </c>
      <c r="AD84" s="14" t="n"/>
    </row>
    <row r="85">
      <c r="A85" s="58" t="n"/>
      <c r="B85" s="59" t="n"/>
      <c r="C85" s="59" t="n"/>
      <c r="D85" s="126" t="n"/>
      <c r="E85" s="16" t="n"/>
      <c r="F85" s="13" t="n"/>
      <c r="G85" s="16" t="n">
        <v>80</v>
      </c>
      <c r="H85" s="124">
        <f>IF(G85="","",COUNTIFS($C$18:$C$2015,G$13,$D$18:$D$2015,"&gt;="&amp;G85,$D$18:$D$2015,"&lt;"&amp;G86))</f>
        <v/>
      </c>
      <c r="I85" s="14" t="n"/>
      <c r="J85" s="16" t="n"/>
      <c r="K85" s="124">
        <f>IF(J85="","",COUNTIFS($C$18:$C$2015,J$13,$D$18:$D$2015,"&gt;="&amp;J85,$D$18:$D$2015,"&lt;"&amp;J86))</f>
        <v/>
      </c>
      <c r="L85" s="14" t="n"/>
      <c r="M85" s="16" t="n"/>
      <c r="N85" s="124">
        <f>IF(M85="","",COUNTIFS($C$18:$C$2015,M$13,$D$18:$D$2015,"&gt;="&amp;M85,$D$18:$D$2015,"&lt;"&amp;M86))</f>
        <v/>
      </c>
      <c r="O85" s="14" t="n"/>
      <c r="P85" s="16" t="n">
        <v>80</v>
      </c>
      <c r="Q85" s="124">
        <f>IF(P85="","",COUNTIFS($C$18:$C$2015,P$13,$D$18:$D$2015,"&gt;="&amp;P85,$D$18:$D$2015,"&lt;"&amp;P86))</f>
        <v/>
      </c>
      <c r="R85" s="14" t="n"/>
      <c r="S85" s="16" t="n"/>
      <c r="T85" s="124">
        <f>IF(S85="","",COUNTIFS($C$18:$C$2015,S$13,$D$18:$D$2015,"&gt;="&amp;S85,$D$18:$D$2015,"&lt;"&amp;S86))</f>
        <v/>
      </c>
      <c r="U85" s="14" t="n"/>
      <c r="V85" s="16" t="n"/>
      <c r="W85" s="124">
        <f>IF(V85="","",COUNTIFS($C$18:$C$2015,V$13,$D$18:$D$2015,"&gt;="&amp;V85,$D$18:$D$2015,"&lt;"&amp;V86))</f>
        <v/>
      </c>
      <c r="X85" s="14" t="n"/>
      <c r="Y85" s="16" t="n"/>
      <c r="Z85" s="124">
        <f>IF(Y85="","",COUNTIFS($C$18:$C$2015,Y$13,$D$18:$D$2015,"&gt;="&amp;Y85,$D$18:$D$2015,"&lt;"&amp;Y86))</f>
        <v/>
      </c>
      <c r="AA85" s="14" t="n"/>
      <c r="AB85" s="16" t="n"/>
      <c r="AC85" s="124">
        <f>IF(AB85="","",COUNTIFS($C$18:$C$2015,AB$13,$D$18:$D$2015,"&gt;="&amp;AB85,$D$18:$D$2015,"&lt;"&amp;AB86))</f>
        <v/>
      </c>
      <c r="AD85" s="14" t="n"/>
    </row>
  </sheetData>
  <autoFilter ref="A14:E14"/>
  <conditionalFormatting sqref="E15:E85">
    <cfRule type="cellIs" priority="1" operator="greaterThan" dxfId="3">
      <formula>0</formula>
    </cfRule>
  </conditionalFormatting>
  <conditionalFormatting sqref="G15:G85">
    <cfRule type="expression" priority="54" dxfId="2">
      <formula>AND(NOT(ISBLANK(G15)),G15&lt;H$7)</formula>
    </cfRule>
    <cfRule type="expression" priority="55" dxfId="1">
      <formula>AND(G15&lt;=(H$7),(G15+H$5)&gt;(H$7))</formula>
    </cfRule>
    <cfRule type="expression" priority="56" dxfId="0">
      <formula>AND(NOT(ISBLANK(G15)),G15&gt;H$7)</formula>
    </cfRule>
    <cfRule type="cellIs" priority="58" operator="greaterThan" dxfId="3">
      <formula>0</formula>
    </cfRule>
  </conditionalFormatting>
  <conditionalFormatting sqref="H2">
    <cfRule type="iconSet" priority="53">
      <iconSet iconSet="3Symbols2">
        <cfvo type="percent" val="0"/>
        <cfvo type="num" val="30" gte="0"/>
        <cfvo type="num" val="50" gte="0"/>
      </iconSet>
    </cfRule>
  </conditionalFormatting>
  <conditionalFormatting sqref="H15:H85">
    <cfRule type="dataBar" priority="57">
      <dataBar>
        <cfvo type="num" val="0"/>
        <cfvo type="max"/>
        <color rgb="FF638EC6"/>
      </dataBar>
    </cfRule>
  </conditionalFormatting>
  <conditionalFormatting sqref="J15:J85">
    <cfRule type="expression" priority="47" dxfId="2">
      <formula>AND(NOT(ISBLANK(J15)),J15&lt;K$7)</formula>
    </cfRule>
    <cfRule type="expression" priority="48" dxfId="1">
      <formula>AND(J15&lt;=(K$7),(J15+K$5)&gt;(K$7))</formula>
    </cfRule>
    <cfRule type="expression" priority="49" dxfId="0">
      <formula>AND(NOT(ISBLANK(J15)),J15&gt;K$7)</formula>
    </cfRule>
    <cfRule type="cellIs" priority="51" operator="greaterThan" dxfId="3">
      <formula>0</formula>
    </cfRule>
  </conditionalFormatting>
  <conditionalFormatting sqref="K2">
    <cfRule type="iconSet" priority="46">
      <iconSet iconSet="3Symbols2">
        <cfvo type="percent" val="0"/>
        <cfvo type="num" val="30" gte="0"/>
        <cfvo type="num" val="50" gte="0"/>
      </iconSet>
    </cfRule>
  </conditionalFormatting>
  <conditionalFormatting sqref="K15:K85">
    <cfRule type="dataBar" priority="50">
      <dataBar>
        <cfvo type="num" val="0"/>
        <cfvo type="max"/>
        <color rgb="FF638EC6"/>
      </dataBar>
    </cfRule>
  </conditionalFormatting>
  <conditionalFormatting sqref="M15:M85">
    <cfRule type="expression" priority="40" dxfId="2">
      <formula>AND(NOT(ISBLANK(M15)),M15&lt;N$7)</formula>
    </cfRule>
    <cfRule type="expression" priority="41" dxfId="1">
      <formula>AND(M15&lt;=(N$7),(M15+N$5)&gt;(N$7))</formula>
    </cfRule>
    <cfRule type="expression" priority="42" dxfId="0">
      <formula>AND(NOT(ISBLANK(M15)),M15&gt;N$7)</formula>
    </cfRule>
    <cfRule type="cellIs" priority="44" operator="greaterThan" dxfId="3">
      <formula>0</formula>
    </cfRule>
  </conditionalFormatting>
  <conditionalFormatting sqref="N2">
    <cfRule type="iconSet" priority="39">
      <iconSet iconSet="3Symbols2">
        <cfvo type="percent" val="0"/>
        <cfvo type="num" val="30" gte="0"/>
        <cfvo type="num" val="50" gte="0"/>
      </iconSet>
    </cfRule>
  </conditionalFormatting>
  <conditionalFormatting sqref="N15:N85">
    <cfRule type="dataBar" priority="43">
      <dataBar>
        <cfvo type="num" val="0"/>
        <cfvo type="max"/>
        <color rgb="FF638EC6"/>
      </dataBar>
    </cfRule>
  </conditionalFormatting>
  <conditionalFormatting sqref="P15:P85">
    <cfRule type="expression" priority="33" dxfId="2">
      <formula>AND(NOT(ISBLANK(P15)),P15&lt;Q$7)</formula>
    </cfRule>
    <cfRule type="expression" priority="34" dxfId="1">
      <formula>AND(P15&lt;=(Q$7),(P15+Q$5)&gt;(Q$7))</formula>
    </cfRule>
    <cfRule type="expression" priority="35" dxfId="0">
      <formula>AND(NOT(ISBLANK(P15)),P15&gt;Q$7)</formula>
    </cfRule>
    <cfRule type="cellIs" priority="37" operator="greaterThan" dxfId="3">
      <formula>0</formula>
    </cfRule>
  </conditionalFormatting>
  <conditionalFormatting sqref="Q2">
    <cfRule type="iconSet" priority="32">
      <iconSet iconSet="3Symbols2">
        <cfvo type="percent" val="0"/>
        <cfvo type="num" val="30" gte="0"/>
        <cfvo type="num" val="50" gte="0"/>
      </iconSet>
    </cfRule>
  </conditionalFormatting>
  <conditionalFormatting sqref="Q15:Q85">
    <cfRule type="dataBar" priority="36">
      <dataBar>
        <cfvo type="num" val="0"/>
        <cfvo type="max"/>
        <color rgb="FF638EC6"/>
      </dataBar>
    </cfRule>
  </conditionalFormatting>
  <conditionalFormatting sqref="S15:S85">
    <cfRule type="expression" priority="26" dxfId="2">
      <formula>AND(NOT(ISBLANK(S15)),S15&lt;T$7)</formula>
    </cfRule>
    <cfRule type="expression" priority="27" dxfId="1">
      <formula>AND(S15&lt;=(T$7),(S15+T$5)&gt;(T$7))</formula>
    </cfRule>
    <cfRule type="expression" priority="28" dxfId="0">
      <formula>AND(NOT(ISBLANK(S15)),S15&gt;T$7)</formula>
    </cfRule>
    <cfRule type="cellIs" priority="30" operator="greaterThan" dxfId="3">
      <formula>0</formula>
    </cfRule>
  </conditionalFormatting>
  <conditionalFormatting sqref="T2">
    <cfRule type="iconSet" priority="25">
      <iconSet iconSet="3Symbols2">
        <cfvo type="percent" val="0"/>
        <cfvo type="num" val="30" gte="0"/>
        <cfvo type="num" val="50" gte="0"/>
      </iconSet>
    </cfRule>
  </conditionalFormatting>
  <conditionalFormatting sqref="T15:T85">
    <cfRule type="dataBar" priority="29">
      <dataBar>
        <cfvo type="num" val="0"/>
        <cfvo type="max"/>
        <color rgb="FF638EC6"/>
      </dataBar>
    </cfRule>
  </conditionalFormatting>
  <conditionalFormatting sqref="V15:V85">
    <cfRule type="expression" priority="19" dxfId="2">
      <formula>AND(NOT(ISBLANK(V15)),V15&lt;W$7)</formula>
    </cfRule>
    <cfRule type="expression" priority="20" dxfId="1">
      <formula>AND(V15&lt;=(W$7),(V15+W$5)&gt;(W$7))</formula>
    </cfRule>
    <cfRule type="expression" priority="21" dxfId="0">
      <formula>AND(NOT(ISBLANK(V15)),V15&gt;W$7)</formula>
    </cfRule>
    <cfRule type="cellIs" priority="23" operator="greaterThan" dxfId="3">
      <formula>0</formula>
    </cfRule>
  </conditionalFormatting>
  <conditionalFormatting sqref="W2">
    <cfRule type="iconSet" priority="18">
      <iconSet iconSet="3Symbols2">
        <cfvo type="percent" val="0"/>
        <cfvo type="num" val="30" gte="0"/>
        <cfvo type="num" val="50" gte="0"/>
      </iconSet>
    </cfRule>
  </conditionalFormatting>
  <conditionalFormatting sqref="W15:W85">
    <cfRule type="dataBar" priority="22">
      <dataBar>
        <cfvo type="num" val="0"/>
        <cfvo type="max"/>
        <color rgb="FF638EC6"/>
      </dataBar>
    </cfRule>
  </conditionalFormatting>
  <conditionalFormatting sqref="Y15:Y85">
    <cfRule type="expression" priority="12" dxfId="2">
      <formula>AND(NOT(ISBLANK(Y15)),Y15&lt;Z$7)</formula>
    </cfRule>
    <cfRule type="expression" priority="13" dxfId="1">
      <formula>AND(Y15&lt;=(Z$7),(Y15+Z$5)&gt;(Z$7))</formula>
    </cfRule>
    <cfRule type="expression" priority="14" dxfId="0">
      <formula>AND(NOT(ISBLANK(Y15)),Y15&gt;Z$7)</formula>
    </cfRule>
    <cfRule type="cellIs" priority="16" operator="greaterThan" dxfId="3">
      <formula>0</formula>
    </cfRule>
  </conditionalFormatting>
  <conditionalFormatting sqref="Z2">
    <cfRule type="iconSet" priority="11">
      <iconSet iconSet="3Symbols2">
        <cfvo type="percent" val="0"/>
        <cfvo type="num" val="30" gte="0"/>
        <cfvo type="num" val="50" gte="0"/>
      </iconSet>
    </cfRule>
  </conditionalFormatting>
  <conditionalFormatting sqref="Z15:Z85">
    <cfRule type="dataBar" priority="15">
      <dataBar>
        <cfvo type="num" val="0"/>
        <cfvo type="max"/>
        <color rgb="FF638EC6"/>
      </dataBar>
    </cfRule>
  </conditionalFormatting>
  <conditionalFormatting sqref="AB15:AB85">
    <cfRule type="expression" priority="5" dxfId="2">
      <formula>AND(NOT(ISBLANK(AB15)),AB15&lt;AC$7)</formula>
    </cfRule>
    <cfRule type="expression" priority="6" dxfId="1">
      <formula>AND(AB15&lt;=(AC$7),(AB15+AC$5)&gt;(AC$7))</formula>
    </cfRule>
    <cfRule type="expression" priority="7" dxfId="0">
      <formula>AND(NOT(ISBLANK(AB15)),AB15&gt;AC$7)</formula>
    </cfRule>
    <cfRule type="cellIs" priority="9" operator="greaterThan" dxfId="3">
      <formula>0</formula>
    </cfRule>
  </conditionalFormatting>
  <conditionalFormatting sqref="AC2">
    <cfRule type="iconSet" priority="4">
      <iconSet iconSet="3Symbols2">
        <cfvo type="percent" val="0"/>
        <cfvo type="num" val="30" gte="0"/>
        <cfvo type="num" val="50" gte="0"/>
      </iconSet>
    </cfRule>
  </conditionalFormatting>
  <conditionalFormatting sqref="AC15:AC85">
    <cfRule type="dataBar" priority="8">
      <dataBar>
        <cfvo type="num" val="0"/>
        <cfvo type="max"/>
        <color rgb="FF638EC6"/>
      </dataBar>
    </cfRule>
  </conditionalFormatting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tabColor rgb="FFFFC000"/>
    <outlinePr summaryBelow="1" summaryRight="1"/>
    <pageSetUpPr/>
  </sheetPr>
  <dimension ref="A1:AD85"/>
  <sheetViews>
    <sheetView showGridLines="0" showZeros="0" zoomScale="70" zoomScaleNormal="70" workbookViewId="0">
      <selection activeCell="A1" sqref="A1"/>
    </sheetView>
  </sheetViews>
  <sheetFormatPr baseColWidth="8" defaultRowHeight="14.4"/>
  <cols>
    <col width="8.44140625" customWidth="1" style="113" min="1" max="1"/>
    <col width="11.88671875" customWidth="1" style="113" min="2" max="2"/>
    <col width="7.109375" customWidth="1" style="113" min="3" max="3"/>
    <col width="8.5546875" customWidth="1" style="113" min="4" max="4"/>
    <col width="4.5546875" bestFit="1" customWidth="1" style="113" min="5" max="5"/>
    <col width="2.6640625" customWidth="1" style="113" min="6" max="6"/>
    <col width="11.5546875" customWidth="1" style="113" min="7" max="8"/>
    <col width="2.33203125" customWidth="1" style="113" min="9" max="9"/>
    <col width="11.5546875" customWidth="1" style="113" min="10" max="11"/>
    <col width="2.33203125" customWidth="1" style="113" min="12" max="12"/>
    <col width="11.5546875" customWidth="1" style="113" min="13" max="14"/>
    <col width="2.33203125" customWidth="1" style="113" min="15" max="15"/>
    <col width="11.5546875" customWidth="1" style="113" min="16" max="17"/>
    <col width="2.33203125" customWidth="1" style="113" min="18" max="18"/>
    <col width="11.5546875" customWidth="1" style="113" min="19" max="20"/>
    <col width="2.33203125" customWidth="1" style="113" min="21" max="21"/>
    <col width="11.5546875" customWidth="1" style="113" min="22" max="23"/>
    <col width="2.33203125" customWidth="1" style="113" min="24" max="24"/>
    <col width="11.5546875" customWidth="1" style="113" min="25" max="26"/>
    <col width="2.33203125" customWidth="1" style="113" min="27" max="27"/>
    <col width="11.5546875" customWidth="1" style="113" min="28" max="29"/>
    <col width="2.33203125" customWidth="1" style="113" min="30" max="30"/>
  </cols>
  <sheetData>
    <row r="1">
      <c r="D1" s="114" t="n"/>
      <c r="E1" s="115" t="n"/>
      <c r="F1" s="31" t="n"/>
      <c r="G1" s="36">
        <f>FAO!B1&amp;" max ="</f>
        <v/>
      </c>
      <c r="H1" s="116">
        <f>+FAO!B10</f>
        <v/>
      </c>
      <c r="I1" s="32" t="n"/>
      <c r="J1" s="36">
        <f>FAO!E1&amp;" max ="</f>
        <v/>
      </c>
      <c r="K1" s="116">
        <f>+FAO!E10</f>
        <v/>
      </c>
      <c r="L1" s="32" t="n"/>
      <c r="M1" s="36">
        <f>FAO!H1&amp;" max ="</f>
        <v/>
      </c>
      <c r="N1" s="116">
        <f>+FAO!H10</f>
        <v/>
      </c>
      <c r="O1" s="32" t="n"/>
      <c r="P1" s="36">
        <f>FAO!K1&amp;" max ="</f>
        <v/>
      </c>
      <c r="Q1" s="116">
        <f>+FAO!K10</f>
        <v/>
      </c>
      <c r="R1" s="32" t="n"/>
      <c r="S1" s="36">
        <f>FAO!N1&amp;" max ="</f>
        <v/>
      </c>
      <c r="T1" s="116">
        <f>+FAO!N10</f>
        <v/>
      </c>
      <c r="U1" s="32" t="n"/>
      <c r="V1" s="36">
        <f>FAO!Q1&amp;" max ="</f>
        <v/>
      </c>
      <c r="W1" s="116">
        <f>+FAO!Q10</f>
        <v/>
      </c>
      <c r="X1" s="32" t="n"/>
      <c r="Y1" s="36">
        <f>FAO!T1&amp;" max ="</f>
        <v/>
      </c>
      <c r="Z1" s="116">
        <f>+FAO!T10</f>
        <v/>
      </c>
      <c r="AA1" s="32" t="n"/>
      <c r="AB1" s="36">
        <f>FAO!W1&amp;" max ="</f>
        <v/>
      </c>
      <c r="AC1" s="116">
        <f>+FAO!W10</f>
        <v/>
      </c>
      <c r="AD1" s="32" t="n"/>
    </row>
    <row r="2">
      <c r="D2" s="114" t="n"/>
      <c r="E2" s="115" t="n"/>
      <c r="F2" s="31" t="n"/>
      <c r="G2" s="48" t="inlineStr">
        <is>
          <t>obs n =</t>
        </is>
      </c>
      <c r="H2">
        <f>COUNTIF($C$18:$C$1003,G13)</f>
        <v/>
      </c>
      <c r="I2" s="32" t="n"/>
      <c r="J2" s="48" t="inlineStr">
        <is>
          <t>obs n =</t>
        </is>
      </c>
      <c r="K2">
        <f>COUNTIF($C$18:$C$1003,J13)</f>
        <v/>
      </c>
      <c r="L2" s="32" t="n"/>
      <c r="M2" s="48" t="inlineStr">
        <is>
          <t>obs n =</t>
        </is>
      </c>
      <c r="N2">
        <f>COUNTIF($C$18:$C$1003,M13)</f>
        <v/>
      </c>
      <c r="O2" s="32" t="n"/>
      <c r="P2" s="48" t="inlineStr">
        <is>
          <t>obs n =</t>
        </is>
      </c>
      <c r="Q2">
        <f>COUNTIF($C$18:$C$1003,P13)</f>
        <v/>
      </c>
      <c r="R2" s="32" t="n"/>
      <c r="S2" s="48" t="inlineStr">
        <is>
          <t>obs n =</t>
        </is>
      </c>
      <c r="T2">
        <f>COUNTIF($C$18:$C$1003,S13)</f>
        <v/>
      </c>
      <c r="U2" s="32" t="n"/>
      <c r="V2" s="48" t="inlineStr">
        <is>
          <t>obs n =</t>
        </is>
      </c>
      <c r="W2">
        <f>COUNTIF($C$18:$C$1003,V13)</f>
        <v/>
      </c>
      <c r="X2" s="32" t="n"/>
      <c r="Y2" s="48" t="inlineStr">
        <is>
          <t>obs n =</t>
        </is>
      </c>
      <c r="Z2">
        <f>COUNTIF($C$18:$C$1003,Y13)</f>
        <v/>
      </c>
      <c r="AA2" s="32" t="n"/>
      <c r="AB2" s="48" t="inlineStr">
        <is>
          <t>obs n =</t>
        </is>
      </c>
      <c r="AC2">
        <f>COUNTIF($C$18:$C$1003,AB13)</f>
        <v/>
      </c>
      <c r="AD2" s="32" t="n"/>
    </row>
    <row r="3">
      <c r="D3" s="114" t="n"/>
      <c r="E3" s="115" t="n"/>
      <c r="F3" s="31" t="n"/>
      <c r="G3" s="48" t="inlineStr">
        <is>
          <t xml:space="preserve">freq n= </t>
        </is>
      </c>
      <c r="H3">
        <f>+SUM(H15:H1003)</f>
        <v/>
      </c>
      <c r="I3" s="32" t="n"/>
      <c r="J3" s="48" t="inlineStr">
        <is>
          <t xml:space="preserve">freq n= </t>
        </is>
      </c>
      <c r="K3">
        <f>+SUM(K15:K1003)</f>
        <v/>
      </c>
      <c r="L3" s="32" t="n"/>
      <c r="M3" s="48" t="inlineStr">
        <is>
          <t xml:space="preserve">freq n= </t>
        </is>
      </c>
      <c r="N3">
        <f>+SUM(N15:N1003)</f>
        <v/>
      </c>
      <c r="O3" s="32" t="n"/>
      <c r="P3" s="48" t="inlineStr">
        <is>
          <t xml:space="preserve">freq n= </t>
        </is>
      </c>
      <c r="Q3">
        <f>+SUM(Q15:Q1003)</f>
        <v/>
      </c>
      <c r="R3" s="32" t="n"/>
      <c r="S3" s="48" t="inlineStr">
        <is>
          <t xml:space="preserve">freq n= </t>
        </is>
      </c>
      <c r="T3">
        <f>+SUM(T15:T1003)</f>
        <v/>
      </c>
      <c r="U3" s="32" t="n"/>
      <c r="V3" s="48" t="inlineStr">
        <is>
          <t xml:space="preserve">freq n= </t>
        </is>
      </c>
      <c r="W3">
        <f>+SUM(W15:W1003)</f>
        <v/>
      </c>
      <c r="X3" s="32" t="n"/>
      <c r="Y3" s="48" t="inlineStr">
        <is>
          <t xml:space="preserve">freq n= </t>
        </is>
      </c>
      <c r="Z3">
        <f>+SUM(Z15:Z1003)</f>
        <v/>
      </c>
      <c r="AA3" s="32" t="n"/>
      <c r="AB3" s="48" t="inlineStr">
        <is>
          <t xml:space="preserve">freq n= </t>
        </is>
      </c>
      <c r="AC3">
        <f>+SUM(AC15:AC1003)</f>
        <v/>
      </c>
      <c r="AD3" s="32" t="n"/>
    </row>
    <row r="4">
      <c r="D4" s="114" t="n"/>
      <c r="E4" s="115" t="n"/>
      <c r="F4" s="31" t="n"/>
      <c r="G4" s="48" t="inlineStr">
        <is>
          <t>first bin =</t>
        </is>
      </c>
      <c r="H4" t="n">
        <v>10</v>
      </c>
      <c r="I4" s="32" t="n"/>
      <c r="J4" s="48" t="inlineStr">
        <is>
          <t>first bin =</t>
        </is>
      </c>
      <c r="K4" t="n">
        <v>10</v>
      </c>
      <c r="L4" s="32" t="n"/>
      <c r="M4" s="48" t="inlineStr">
        <is>
          <t>first bin =</t>
        </is>
      </c>
      <c r="N4" t="n">
        <v>10</v>
      </c>
      <c r="O4" s="32" t="n"/>
      <c r="P4" s="48" t="inlineStr">
        <is>
          <t>first bin =</t>
        </is>
      </c>
      <c r="Q4" t="n">
        <v>10</v>
      </c>
      <c r="R4" s="32" t="n"/>
      <c r="S4" s="48" t="inlineStr">
        <is>
          <t>first bin =</t>
        </is>
      </c>
      <c r="T4" t="n">
        <v>10</v>
      </c>
      <c r="U4" s="32" t="n"/>
      <c r="V4" s="48" t="inlineStr">
        <is>
          <t>first bin =</t>
        </is>
      </c>
      <c r="W4" t="n">
        <v>10</v>
      </c>
      <c r="X4" s="32" t="n"/>
      <c r="Y4" s="48" t="inlineStr">
        <is>
          <t>first bin =</t>
        </is>
      </c>
      <c r="Z4" t="n">
        <v>10</v>
      </c>
      <c r="AA4" s="32" t="n"/>
      <c r="AB4" s="48" t="inlineStr">
        <is>
          <t>first bin =</t>
        </is>
      </c>
      <c r="AC4" t="n">
        <v>10</v>
      </c>
      <c r="AD4" s="32" t="n"/>
    </row>
    <row r="5">
      <c r="D5" s="114" t="n"/>
      <c r="E5" s="115" t="n"/>
      <c r="F5" s="31" t="n"/>
      <c r="G5" s="48" t="inlineStr">
        <is>
          <t>increment =</t>
        </is>
      </c>
      <c r="H5">
        <f>+FAO!B14</f>
        <v/>
      </c>
      <c r="I5" s="32" t="n"/>
      <c r="J5" s="48" t="inlineStr">
        <is>
          <t>increment =</t>
        </is>
      </c>
      <c r="K5">
        <f>+FAO!E14</f>
        <v/>
      </c>
      <c r="L5" s="32" t="n"/>
      <c r="M5" s="48" t="inlineStr">
        <is>
          <t>increment =</t>
        </is>
      </c>
      <c r="N5">
        <f>+FAO!H14</f>
        <v/>
      </c>
      <c r="O5" s="32" t="n"/>
      <c r="P5" s="48" t="inlineStr">
        <is>
          <t>increment =</t>
        </is>
      </c>
      <c r="Q5">
        <f>+FAO!K14</f>
        <v/>
      </c>
      <c r="R5" s="32" t="n"/>
      <c r="S5" s="48" t="inlineStr">
        <is>
          <t>increment =</t>
        </is>
      </c>
      <c r="T5">
        <f>+FAO!N14</f>
        <v/>
      </c>
      <c r="U5" s="32" t="n"/>
      <c r="V5" s="48" t="inlineStr">
        <is>
          <t>increment =</t>
        </is>
      </c>
      <c r="W5">
        <f>+FAO!Q14</f>
        <v/>
      </c>
      <c r="X5" s="32" t="n"/>
      <c r="Y5" s="48" t="inlineStr">
        <is>
          <t>increment =</t>
        </is>
      </c>
      <c r="Z5">
        <f>+FAO!T14</f>
        <v/>
      </c>
      <c r="AA5" s="32" t="n"/>
      <c r="AB5" s="48" t="inlineStr">
        <is>
          <t>increment =</t>
        </is>
      </c>
      <c r="AC5">
        <f>+FAO!W14</f>
        <v/>
      </c>
      <c r="AD5" s="32" t="n"/>
    </row>
    <row r="6">
      <c r="D6" s="114" t="n"/>
      <c r="E6" s="115" t="n"/>
      <c r="F6" s="31" t="n"/>
      <c r="G6" s="48" t="inlineStr">
        <is>
          <t>Complete =</t>
        </is>
      </c>
      <c r="H6">
        <f>COUNTIFS($C$18:$C$2015,G$13,$D$18:$D$2015,"&gt;5")/COUNTIF($C$18:$C$2015,G$13)*100</f>
        <v/>
      </c>
      <c r="I6" s="32" t="n"/>
      <c r="J6" s="48" t="inlineStr">
        <is>
          <t>Complete =</t>
        </is>
      </c>
      <c r="K6">
        <f>COUNTIFS($C$18:$C$2015,J$13,$D$18:$D$2015,"&gt;5")/COUNTIF($C$18:$C$2015,J$13)*100</f>
        <v/>
      </c>
      <c r="L6" s="32" t="n"/>
      <c r="M6" s="48" t="inlineStr">
        <is>
          <t>Complete =</t>
        </is>
      </c>
      <c r="N6">
        <f>COUNTIFS($C$18:$C$2015,M$13,$D$18:$D$2015,"&gt;5")/COUNTIF($C$18:$C$2015,M$13)*100</f>
        <v/>
      </c>
      <c r="O6" s="32" t="n"/>
      <c r="P6" s="48" t="inlineStr">
        <is>
          <t>Complete =</t>
        </is>
      </c>
      <c r="Q6">
        <f>COUNTIFS($C$18:$C$2015,P$13,$D$18:$D$2015,"&gt;5")/COUNTIF($C$18:$C$2015,P$13)*100</f>
        <v/>
      </c>
      <c r="R6" s="32" t="n"/>
      <c r="S6" s="48" t="inlineStr">
        <is>
          <t>Complete =</t>
        </is>
      </c>
      <c r="T6">
        <f>COUNTIFS($C$18:$C$2015,S$13,$D$18:$D$2015,"&gt;5")/COUNTIF($C$18:$C$2015,S$13)*100</f>
        <v/>
      </c>
      <c r="U6" s="32" t="n"/>
      <c r="V6" s="48" t="inlineStr">
        <is>
          <t>Complete =</t>
        </is>
      </c>
      <c r="W6">
        <f>COUNTIFS($C$18:$C$2015,V$13,$D$18:$D$2015,"&gt;5")/COUNTIF($C$18:$C$2015,V$13)*100</f>
        <v/>
      </c>
      <c r="X6" s="32" t="n"/>
      <c r="Y6" s="48" t="inlineStr">
        <is>
          <t>Complete =</t>
        </is>
      </c>
      <c r="Z6">
        <f>COUNTIFS($C$18:$C$2015,Y$13,$D$18:$D$2015,"&gt;5")/COUNTIF($C$18:$C$2015,Y$13)*100</f>
        <v/>
      </c>
      <c r="AA6" s="32" t="n"/>
      <c r="AB6" s="48" t="inlineStr">
        <is>
          <t>Complete =</t>
        </is>
      </c>
      <c r="AC6">
        <f>COUNTIFS($C$18:$C$2015,AB$13,$D$18:$D$2015,"&gt;5")/COUNTIF($C$18:$C$2015,AB$13)*100</f>
        <v/>
      </c>
      <c r="AD6" s="32" t="n"/>
    </row>
    <row r="7">
      <c r="D7" s="114" t="n"/>
      <c r="E7" s="115" t="n"/>
      <c r="F7" s="31" t="n"/>
      <c r="G7" s="48" t="inlineStr">
        <is>
          <t>L50 (cm) =</t>
        </is>
      </c>
      <c r="H7">
        <f>+FAO!B11</f>
        <v/>
      </c>
      <c r="I7" s="32" t="n"/>
      <c r="J7" s="48" t="inlineStr">
        <is>
          <t>L50 (cm) =</t>
        </is>
      </c>
      <c r="K7">
        <f>+FAO!E11</f>
        <v/>
      </c>
      <c r="L7" s="32" t="n"/>
      <c r="M7" s="48" t="inlineStr">
        <is>
          <t>L50 (cm) =</t>
        </is>
      </c>
      <c r="N7">
        <f>+FAO!H11</f>
        <v/>
      </c>
      <c r="O7" s="32" t="n"/>
      <c r="P7" s="48" t="inlineStr">
        <is>
          <t>L50 (cm) =</t>
        </is>
      </c>
      <c r="Q7">
        <f>+FAO!K11</f>
        <v/>
      </c>
      <c r="R7" s="32" t="n"/>
      <c r="S7" s="48" t="inlineStr">
        <is>
          <t>L50 (cm) =</t>
        </is>
      </c>
      <c r="T7">
        <f>+FAO!N11</f>
        <v/>
      </c>
      <c r="U7" s="32" t="n"/>
      <c r="V7" s="48" t="inlineStr">
        <is>
          <t>L50 (cm) =</t>
        </is>
      </c>
      <c r="W7">
        <f>+FAO!Q11</f>
        <v/>
      </c>
      <c r="X7" s="32" t="n"/>
      <c r="Y7" s="48" t="inlineStr">
        <is>
          <t>L50 (cm) =</t>
        </is>
      </c>
      <c r="Z7">
        <f>+FAO!T11</f>
        <v/>
      </c>
      <c r="AA7" s="32" t="n"/>
      <c r="AB7" s="48" t="inlineStr">
        <is>
          <t>L50 (cm) =</t>
        </is>
      </c>
      <c r="AC7">
        <f>+FAO!W11</f>
        <v/>
      </c>
      <c r="AD7" s="32" t="n"/>
    </row>
    <row r="8">
      <c r="D8" s="114" t="n"/>
      <c r="E8" s="115" t="n"/>
      <c r="F8" s="31" t="n"/>
      <c r="G8" s="48" t="inlineStr">
        <is>
          <t>Juven. (%) =</t>
        </is>
      </c>
      <c r="H8">
        <f>+ROUND(COUNTIFS($C$18:$C$2015,G$13,$D$18:$D$2015,"&lt;"&amp;H7)/COUNTIF($C$18:$C$2015,G$13)*100,0)</f>
        <v/>
      </c>
      <c r="I8" s="32" t="n"/>
      <c r="J8" s="48" t="inlineStr">
        <is>
          <t>Juven. (%) =</t>
        </is>
      </c>
      <c r="K8">
        <f>+ROUND(COUNTIFS($C$18:$C$2015,J$13,$D$18:$D$2015,"&lt;"&amp;K7)/COUNTIF($C$18:$C$2015,J$13)*100,0)</f>
        <v/>
      </c>
      <c r="L8" s="32" t="n"/>
      <c r="M8" s="48" t="inlineStr">
        <is>
          <t>Juven. (%) =</t>
        </is>
      </c>
      <c r="N8">
        <f>+ROUND(COUNTIFS($C$18:$C$2015,M$13,$D$18:$D$2015,"&lt;"&amp;N7)/COUNTIF($C$18:$C$2015,M$13)*100,0)</f>
        <v/>
      </c>
      <c r="O8" s="32" t="n"/>
      <c r="P8" s="48" t="inlineStr">
        <is>
          <t>Juven. (%) =</t>
        </is>
      </c>
      <c r="Q8">
        <f>+ROUND(COUNTIFS($C$18:$C$2015,P$13,$D$18:$D$2015,"&lt;"&amp;Q7)/COUNTIF($C$18:$C$2015,P$13)*100,0)</f>
        <v/>
      </c>
      <c r="R8" s="32" t="n"/>
      <c r="S8" s="48" t="inlineStr">
        <is>
          <t>Juven. (%) =</t>
        </is>
      </c>
      <c r="T8">
        <f>+ROUND(COUNTIFS($C$18:$C$2015,S$13,$D$18:$D$2015,"&lt;"&amp;T7)/COUNTIF($C$18:$C$2015,S$13)*100,0)</f>
        <v/>
      </c>
      <c r="U8" s="32" t="n"/>
      <c r="V8" s="48" t="inlineStr">
        <is>
          <t>Juven. (%) =</t>
        </is>
      </c>
      <c r="W8">
        <f>+ROUND(COUNTIFS($C$18:$C$2015,V$13,$D$18:$D$2015,"&lt;"&amp;W7)/COUNTIF($C$18:$C$2015,V$13)*100,0)</f>
        <v/>
      </c>
      <c r="X8" s="32" t="n"/>
      <c r="Y8" s="48" t="inlineStr">
        <is>
          <t>Juven. (%) =</t>
        </is>
      </c>
      <c r="Z8">
        <f>+ROUND(COUNTIFS($C$18:$C$2015,Y$13,$D$18:$D$2015,"&lt;"&amp;Z7)/COUNTIF($C$18:$C$2015,Y$13)*100,0)</f>
        <v/>
      </c>
      <c r="AA8" s="32" t="n"/>
      <c r="AB8" s="48" t="inlineStr">
        <is>
          <t>Juven. (%) =</t>
        </is>
      </c>
      <c r="AC8">
        <f>+ROUND(COUNTIFS($C$18:$C$2015,AB$13,$D$18:$D$2015,"&lt;"&amp;AC7)/COUNTIF($C$18:$C$2015,AB$13)*100,0)</f>
        <v/>
      </c>
      <c r="AD8" s="32" t="n"/>
    </row>
    <row r="9">
      <c r="D9" s="114" t="n"/>
      <c r="E9" s="18" t="n"/>
      <c r="F9" s="31" t="n"/>
      <c r="G9" s="20">
        <f>+FAO!B6</f>
        <v/>
      </c>
      <c r="H9" s="117" t="n"/>
      <c r="I9" s="32" t="n"/>
      <c r="J9" s="20">
        <f>+FAO!E6</f>
        <v/>
      </c>
      <c r="K9" s="117" t="n"/>
      <c r="L9" s="32" t="n"/>
      <c r="M9" s="20">
        <f>+FAO!H6</f>
        <v/>
      </c>
      <c r="N9" s="117" t="n"/>
      <c r="O9" s="32" t="n"/>
      <c r="P9" s="20">
        <f>+FAO!K6</f>
        <v/>
      </c>
      <c r="Q9" s="117" t="n"/>
      <c r="R9" s="32" t="n"/>
      <c r="S9" s="20">
        <f>+FAO!N6</f>
        <v/>
      </c>
      <c r="T9" s="117" t="n"/>
      <c r="U9" s="32" t="n"/>
      <c r="V9" s="20">
        <f>+FAO!Q6</f>
        <v/>
      </c>
      <c r="W9" s="117" t="n"/>
      <c r="X9" s="32" t="n"/>
      <c r="Y9" s="20">
        <f>+FAO!T6</f>
        <v/>
      </c>
      <c r="Z9" s="117" t="n"/>
      <c r="AA9" s="32" t="n"/>
      <c r="AB9" s="20">
        <f>+FAO!W6</f>
        <v/>
      </c>
      <c r="AC9" s="117" t="n"/>
      <c r="AD9" s="32" t="n"/>
    </row>
    <row r="10">
      <c r="D10" s="114" t="n"/>
      <c r="E10" s="33" t="n"/>
      <c r="F10" s="31" t="n"/>
      <c r="G10" s="20">
        <f>+FAO!B7</f>
        <v/>
      </c>
      <c r="H10" s="118" t="n"/>
      <c r="I10" s="32" t="n"/>
      <c r="J10" s="20">
        <f>+FAO!E7</f>
        <v/>
      </c>
      <c r="K10" s="118" t="n"/>
      <c r="L10" s="32" t="n"/>
      <c r="M10" s="20">
        <f>+FAO!H7</f>
        <v/>
      </c>
      <c r="N10" s="118" t="n"/>
      <c r="O10" s="32" t="n"/>
      <c r="P10" s="20">
        <f>+FAO!K7</f>
        <v/>
      </c>
      <c r="Q10" s="118" t="n"/>
      <c r="R10" s="32" t="n"/>
      <c r="S10" s="20">
        <f>+FAO!N7</f>
        <v/>
      </c>
      <c r="T10" s="118" t="n"/>
      <c r="U10" s="32" t="n"/>
      <c r="V10" s="20">
        <f>+FAO!Q7</f>
        <v/>
      </c>
      <c r="W10" s="118" t="n"/>
      <c r="X10" s="32" t="n"/>
      <c r="Y10" s="20">
        <f>+FAO!T7</f>
        <v/>
      </c>
      <c r="Z10" s="118" t="n"/>
      <c r="AA10" s="32" t="n"/>
      <c r="AB10" s="20">
        <f>+FAO!W7</f>
        <v/>
      </c>
      <c r="AC10" s="118" t="n"/>
      <c r="AD10" s="32" t="n"/>
    </row>
    <row r="11">
      <c r="D11" s="114" t="n"/>
      <c r="E11" s="19" t="n"/>
      <c r="F11" s="31" t="n"/>
      <c r="G11" s="34">
        <f>+FAO!B9</f>
        <v/>
      </c>
      <c r="H11" s="119" t="n"/>
      <c r="I11" s="32" t="n"/>
      <c r="J11" s="34">
        <f>+FAO!E9</f>
        <v/>
      </c>
      <c r="K11" s="119" t="n"/>
      <c r="L11" s="32" t="n"/>
      <c r="M11" s="34">
        <f>+FAO!H9</f>
        <v/>
      </c>
      <c r="N11" s="119" t="n"/>
      <c r="O11" s="32" t="n"/>
      <c r="P11" s="34">
        <f>+FAO!K9</f>
        <v/>
      </c>
      <c r="Q11" s="119" t="n"/>
      <c r="R11" s="32" t="n"/>
      <c r="S11" s="34">
        <f>+FAO!N9</f>
        <v/>
      </c>
      <c r="T11" s="119" t="n"/>
      <c r="U11" s="32" t="n"/>
      <c r="V11" s="34">
        <f>+FAO!Q9</f>
        <v/>
      </c>
      <c r="W11" s="119" t="n"/>
      <c r="X11" s="32" t="n"/>
      <c r="Y11" s="34">
        <f>+FAO!T9</f>
        <v/>
      </c>
      <c r="Z11" s="119" t="n"/>
      <c r="AA11" s="32" t="n"/>
      <c r="AB11" s="34">
        <f>+FAO!W9</f>
        <v/>
      </c>
      <c r="AC11" s="119" t="n"/>
      <c r="AD11" s="32" t="n"/>
    </row>
    <row r="12">
      <c r="D12" s="114" t="n"/>
      <c r="E12" s="115" t="n"/>
      <c r="F12" s="31" t="n"/>
      <c r="G12" s="34">
        <f>+FAO!B5</f>
        <v/>
      </c>
      <c r="H12" s="120" t="n"/>
      <c r="I12" s="32" t="n"/>
      <c r="J12" s="34">
        <f>+FAO!E5</f>
        <v/>
      </c>
      <c r="K12" s="120" t="n"/>
      <c r="L12" s="32" t="n"/>
      <c r="M12" s="34">
        <f>+FAO!H5</f>
        <v/>
      </c>
      <c r="N12" s="120" t="n"/>
      <c r="O12" s="32" t="n"/>
      <c r="P12" s="34">
        <f>+FAO!K5</f>
        <v/>
      </c>
      <c r="Q12" s="120" t="n"/>
      <c r="R12" s="32" t="n"/>
      <c r="S12" s="34">
        <f>+FAO!N5</f>
        <v/>
      </c>
      <c r="T12" s="120" t="n"/>
      <c r="U12" s="32" t="n"/>
      <c r="V12" s="34">
        <f>+FAO!Q5</f>
        <v/>
      </c>
      <c r="W12" s="120" t="n"/>
      <c r="X12" s="32" t="n"/>
      <c r="Y12" s="34">
        <f>+FAO!T5</f>
        <v/>
      </c>
      <c r="Z12" s="120" t="n"/>
      <c r="AA12" s="32" t="n"/>
      <c r="AB12" s="34">
        <f>+FAO!W5</f>
        <v/>
      </c>
      <c r="AC12" s="120" t="n"/>
      <c r="AD12" s="32" t="n"/>
    </row>
    <row r="13" ht="39" customHeight="1" s="113">
      <c r="B13" s="49" t="n"/>
      <c r="D13" t="e">
        <v>#VALUE!</v>
      </c>
      <c r="E13" s="51">
        <f>COUNTA(C15:C1003)</f>
        <v/>
      </c>
      <c r="F13" s="31" t="n"/>
      <c r="G13" s="35">
        <f>+FAO!B1</f>
        <v/>
      </c>
      <c r="H13" s="121">
        <f>+FAO!B3</f>
        <v/>
      </c>
      <c r="I13" s="32" t="n"/>
      <c r="J13" s="35">
        <f>+FAO!E1</f>
        <v/>
      </c>
      <c r="K13" s="121">
        <f>+FAO!E3</f>
        <v/>
      </c>
      <c r="L13" s="32" t="n"/>
      <c r="M13" s="35">
        <f>+FAO!H1</f>
        <v/>
      </c>
      <c r="N13" s="121">
        <f>+FAO!H3</f>
        <v/>
      </c>
      <c r="O13" s="32" t="n"/>
      <c r="P13" s="35">
        <f>+FAO!K1</f>
        <v/>
      </c>
      <c r="Q13" s="121">
        <f>+FAO!K3</f>
        <v/>
      </c>
      <c r="R13" s="32" t="n"/>
      <c r="S13" s="35">
        <f>+FAO!N1</f>
        <v/>
      </c>
      <c r="T13" s="121">
        <f>+FAO!N3</f>
        <v/>
      </c>
      <c r="U13" s="32" t="n"/>
      <c r="V13" s="35">
        <f>+FAO!Q1</f>
        <v/>
      </c>
      <c r="W13" s="121">
        <f>+FAO!Q3</f>
        <v/>
      </c>
      <c r="X13" s="32" t="n"/>
      <c r="Y13" s="35">
        <f>+FAO!T1</f>
        <v/>
      </c>
      <c r="Z13" s="121">
        <f>+FAO!T3</f>
        <v/>
      </c>
      <c r="AA13" s="32" t="n"/>
      <c r="AB13" s="35">
        <f>+FAO!W1</f>
        <v/>
      </c>
      <c r="AC13" s="121">
        <f>+FAO!W3</f>
        <v/>
      </c>
      <c r="AD13" s="32" t="n"/>
    </row>
    <row r="14" customFormat="1" s="54">
      <c r="A14" s="99" t="inlineStr">
        <is>
          <t>TRIP</t>
        </is>
      </c>
      <c r="B14" s="99" t="inlineStr">
        <is>
          <t>DATE</t>
        </is>
      </c>
      <c r="C14" s="99" t="inlineStr">
        <is>
          <t>FAO</t>
        </is>
      </c>
      <c r="D14" s="122" t="inlineStr">
        <is>
          <t>OBS</t>
        </is>
      </c>
      <c r="E14" s="99" t="inlineStr">
        <is>
          <t>ID</t>
        </is>
      </c>
      <c r="F14" s="52" t="n"/>
      <c r="G14" s="50">
        <f>"LC-"&amp;G13</f>
        <v/>
      </c>
      <c r="H14" s="123">
        <f>"FQ-"&amp;G13</f>
        <v/>
      </c>
      <c r="I14" s="53" t="n"/>
      <c r="J14" s="50">
        <f>"LC-"&amp;J13</f>
        <v/>
      </c>
      <c r="K14" s="123">
        <f>"FQ-"&amp;J13</f>
        <v/>
      </c>
      <c r="L14" s="53" t="n"/>
      <c r="M14" s="50">
        <f>"LC-"&amp;M13</f>
        <v/>
      </c>
      <c r="N14" s="123">
        <f>"FQ-"&amp;M13</f>
        <v/>
      </c>
      <c r="O14" s="53" t="n"/>
      <c r="P14" s="50">
        <f>"LC-"&amp;P13</f>
        <v/>
      </c>
      <c r="Q14" s="123">
        <f>"FQ-"&amp;P13</f>
        <v/>
      </c>
      <c r="R14" s="53" t="n"/>
      <c r="S14" s="50">
        <f>"LC-"&amp;S13</f>
        <v/>
      </c>
      <c r="T14" s="123">
        <f>"FQ-"&amp;S13</f>
        <v/>
      </c>
      <c r="U14" s="53" t="n"/>
      <c r="V14" s="50">
        <f>"LC-"&amp;V13</f>
        <v/>
      </c>
      <c r="W14" s="123">
        <f>"FQ-"&amp;V13</f>
        <v/>
      </c>
      <c r="X14" s="53" t="n"/>
      <c r="Y14" s="50">
        <f>"LC-"&amp;Y13</f>
        <v/>
      </c>
      <c r="Z14" s="123">
        <f>"FQ-"&amp;Y13</f>
        <v/>
      </c>
      <c r="AA14" s="53" t="n"/>
      <c r="AB14" s="50">
        <f>"LC-"&amp;AB13</f>
        <v/>
      </c>
      <c r="AC14" s="123">
        <f>"FQ-"&amp;AB13</f>
        <v/>
      </c>
      <c r="AD14" s="53" t="n"/>
    </row>
    <row r="15">
      <c r="A15" s="58" t="n"/>
      <c r="B15" s="59" t="n"/>
      <c r="C15" s="59" t="n"/>
      <c r="D15" s="126" t="n"/>
      <c r="E15" s="16">
        <f t="array" ref="E15">+_xlfn.SEQUENCE(E13,1,1)</f>
        <v/>
      </c>
      <c r="F15" s="13" t="n"/>
      <c r="G15" s="16">
        <f t="array" ref="G15:G85">_xlfn.SEQUENCE(((H1-H4)/H5)+1, 1, H4, H5)</f>
        <v/>
      </c>
      <c r="H15" s="124">
        <f>IF(G15="","",COUNTIFS($C$18:$C$2015,G$13,$D$18:$D$2015,"&gt;="&amp;G15,$D$18:$D$2015,"&lt;"&amp;G16))</f>
        <v/>
      </c>
      <c r="I15" s="14" t="n"/>
      <c r="J15" s="16">
        <f t="array" ref="J15:J43">_xlfn.SEQUENCE(((K1-K4)/K5)+1, 1, K4, K5)</f>
        <v/>
      </c>
      <c r="K15" s="124">
        <f>IF(J15="","",COUNTIFS($C$18:$C$2015,J$13,$D$18:$D$2015,"&gt;="&amp;J15,$D$18:$D$2015,"&lt;"&amp;J16))</f>
        <v/>
      </c>
      <c r="L15" s="14" t="n"/>
      <c r="M15" s="16">
        <f t="array" ref="M15:M55">_xlfn.SEQUENCE(((N1-N4)/N5)+1, 1, N4, N5)</f>
        <v/>
      </c>
      <c r="N15" s="124">
        <f>IF(M15="","",COUNTIFS($C$18:$C$2015,M$13,$D$18:$D$2015,"&gt;="&amp;M15,$D$18:$D$2015,"&lt;"&amp;M16))</f>
        <v/>
      </c>
      <c r="O15" s="14" t="n"/>
      <c r="P15" s="16">
        <f t="array" ref="P15:P85">_xlfn.SEQUENCE(((Q1-Q4)/Q5)+1, 1, Q4, Q5)</f>
        <v/>
      </c>
      <c r="Q15" s="124">
        <f>IF(P15="","",COUNTIFS($C$18:$C$2015,P$13,$D$18:$D$2015,"&gt;="&amp;P15,$D$18:$D$2015,"&lt;"&amp;P16))</f>
        <v/>
      </c>
      <c r="R15" s="14" t="n"/>
      <c r="S15" s="16">
        <f t="array" ref="S15:S60">_xlfn.SEQUENCE(((T1-T4)/T5)+1, 1, T4, T5)</f>
        <v/>
      </c>
      <c r="T15" s="124">
        <f>IF(S15="","",COUNTIFS($C$18:$C$2015,S$13,$D$18:$D$2015,"&gt;="&amp;S15,$D$18:$D$2015,"&lt;"&amp;S16))</f>
        <v/>
      </c>
      <c r="U15" s="14" t="n"/>
      <c r="V15" s="16">
        <f t="array" ref="V15:V50">_xlfn.SEQUENCE(((W1-W4)/W5)+1, 1, W4, W5)</f>
        <v/>
      </c>
      <c r="W15" s="124">
        <f>IF(V15="","",COUNTIFS($C$18:$C$2015,V$13,$D$18:$D$2015,"&gt;="&amp;V15,$D$18:$D$2015,"&lt;"&amp;V16))</f>
        <v/>
      </c>
      <c r="X15" s="14" t="n"/>
      <c r="Y15" s="16">
        <f t="array" ref="Y15:Y50">_xlfn.SEQUENCE(((Z1-Z4)/Z5)+1, 1, Z4, Z5)</f>
        <v/>
      </c>
      <c r="Z15" s="124">
        <f>IF(Y15="","",COUNTIFS($C$18:$C$2015,Y$13,$D$18:$D$2015,"&gt;="&amp;Y15,$D$18:$D$2015,"&lt;"&amp;Y16))</f>
        <v/>
      </c>
      <c r="AA15" s="14" t="n"/>
      <c r="AB15" s="16">
        <f t="array" ref="AB15:AB67">_xlfn.SEQUENCE(((AC1-AC4)/AC5)+1, 1, AC4, AC5)</f>
        <v/>
      </c>
      <c r="AC15" s="124">
        <f>IF(AB15="","",COUNTIFS($C$18:$C$2015,AB$13,$D$18:$D$2015,"&gt;="&amp;AB15,$D$18:$D$2015,"&lt;"&amp;AB16))</f>
        <v/>
      </c>
      <c r="AD15" s="14" t="n"/>
    </row>
    <row r="16">
      <c r="A16" s="56" t="n"/>
      <c r="B16" s="57" t="n"/>
      <c r="C16" s="57" t="n"/>
      <c r="D16" s="127" t="n"/>
      <c r="E16" s="16" t="n"/>
      <c r="F16" s="13" t="n"/>
      <c r="G16" s="16" t="n">
        <v>11</v>
      </c>
      <c r="H16" s="124">
        <f>IF(G16="","",COUNTIFS($C$18:$C$2015,G$13,$D$18:$D$2015,"&gt;="&amp;G16,$D$18:$D$2015,"&lt;"&amp;G17))</f>
        <v/>
      </c>
      <c r="I16" s="14" t="n"/>
      <c r="J16" s="16" t="n">
        <v>15</v>
      </c>
      <c r="K16" s="124">
        <f>IF(J16="","",COUNTIFS($C$18:$C$2015,J$13,$D$18:$D$2015,"&gt;="&amp;J16,$D$18:$D$2015,"&lt;"&amp;J17))</f>
        <v/>
      </c>
      <c r="L16" s="14" t="n"/>
      <c r="M16" s="16" t="n">
        <v>12</v>
      </c>
      <c r="N16" s="124">
        <f>IF(M16="","",COUNTIFS($C$18:$C$2015,M$13,$D$18:$D$2015,"&gt;="&amp;M16,$D$18:$D$2015,"&lt;"&amp;M17))</f>
        <v/>
      </c>
      <c r="O16" s="14" t="n"/>
      <c r="P16" s="16" t="n">
        <v>11</v>
      </c>
      <c r="Q16" s="124">
        <f>IF(P16="","",COUNTIFS($C$18:$C$2015,P$13,$D$18:$D$2015,"&gt;="&amp;P16,$D$18:$D$2015,"&lt;"&amp;P17))</f>
        <v/>
      </c>
      <c r="R16" s="14" t="n"/>
      <c r="S16" s="16" t="n">
        <v>12</v>
      </c>
      <c r="T16" s="124">
        <f>IF(S16="","",COUNTIFS($C$18:$C$2015,S$13,$D$18:$D$2015,"&gt;="&amp;S16,$D$18:$D$2015,"&lt;"&amp;S17))</f>
        <v/>
      </c>
      <c r="U16" s="14" t="n"/>
      <c r="V16" s="16" t="n">
        <v>12</v>
      </c>
      <c r="W16" s="124">
        <f>IF(V16="","",COUNTIFS($C$18:$C$2015,V$13,$D$18:$D$2015,"&gt;="&amp;V16,$D$18:$D$2015,"&lt;"&amp;V17))</f>
        <v/>
      </c>
      <c r="X16" s="14" t="n"/>
      <c r="Y16" s="16" t="n">
        <v>12</v>
      </c>
      <c r="Z16" s="124">
        <f>IF(Y16="","",COUNTIFS($C$18:$C$2015,Y$13,$D$18:$D$2015,"&gt;="&amp;Y16,$D$18:$D$2015,"&lt;"&amp;Y17))</f>
        <v/>
      </c>
      <c r="AA16" s="14" t="n"/>
      <c r="AB16" s="16" t="n">
        <v>11</v>
      </c>
      <c r="AC16" s="124">
        <f>IF(AB16="","",COUNTIFS($C$18:$C$2015,AB$13,$D$18:$D$2015,"&gt;="&amp;AB16,$D$18:$D$2015,"&lt;"&amp;AB17))</f>
        <v/>
      </c>
      <c r="AD16" s="14" t="n"/>
    </row>
    <row r="17">
      <c r="A17" s="58" t="n"/>
      <c r="B17" s="59" t="n"/>
      <c r="C17" s="59" t="n"/>
      <c r="D17" s="126" t="n"/>
      <c r="E17" s="16" t="n"/>
      <c r="F17" s="13" t="n"/>
      <c r="G17" s="16" t="n">
        <v>12</v>
      </c>
      <c r="H17" s="124">
        <f>IF(G17="","",COUNTIFS($C$18:$C$2015,G$13,$D$18:$D$2015,"&gt;="&amp;G17,$D$18:$D$2015,"&lt;"&amp;G18))</f>
        <v/>
      </c>
      <c r="I17" s="14" t="n"/>
      <c r="J17" s="16" t="n">
        <v>20</v>
      </c>
      <c r="K17" s="124">
        <f>IF(J17="","",COUNTIFS($C$18:$C$2015,J$13,$D$18:$D$2015,"&gt;="&amp;J17,$D$18:$D$2015,"&lt;"&amp;J18))</f>
        <v/>
      </c>
      <c r="L17" s="14" t="n"/>
      <c r="M17" s="16" t="n">
        <v>14</v>
      </c>
      <c r="N17" s="124">
        <f>IF(M17="","",COUNTIFS($C$18:$C$2015,M$13,$D$18:$D$2015,"&gt;="&amp;M17,$D$18:$D$2015,"&lt;"&amp;M18))</f>
        <v/>
      </c>
      <c r="O17" s="14" t="n"/>
      <c r="P17" s="16" t="n">
        <v>12</v>
      </c>
      <c r="Q17" s="124">
        <f>IF(P17="","",COUNTIFS($C$18:$C$2015,P$13,$D$18:$D$2015,"&gt;="&amp;P17,$D$18:$D$2015,"&lt;"&amp;P18))</f>
        <v/>
      </c>
      <c r="R17" s="14" t="n"/>
      <c r="S17" s="16" t="n">
        <v>14</v>
      </c>
      <c r="T17" s="124">
        <f>IF(S17="","",COUNTIFS($C$18:$C$2015,S$13,$D$18:$D$2015,"&gt;="&amp;S17,$D$18:$D$2015,"&lt;"&amp;S18))</f>
        <v/>
      </c>
      <c r="U17" s="14" t="n"/>
      <c r="V17" s="16" t="n">
        <v>14</v>
      </c>
      <c r="W17" s="124">
        <f>IF(V17="","",COUNTIFS($C$18:$C$2015,V$13,$D$18:$D$2015,"&gt;="&amp;V17,$D$18:$D$2015,"&lt;"&amp;V18))</f>
        <v/>
      </c>
      <c r="X17" s="14" t="n"/>
      <c r="Y17" s="16" t="n">
        <v>14</v>
      </c>
      <c r="Z17" s="124">
        <f>IF(Y17="","",COUNTIFS($C$18:$C$2015,Y$13,$D$18:$D$2015,"&gt;="&amp;Y17,$D$18:$D$2015,"&lt;"&amp;Y18))</f>
        <v/>
      </c>
      <c r="AA17" s="14" t="n"/>
      <c r="AB17" s="16" t="n">
        <v>12</v>
      </c>
      <c r="AC17" s="124">
        <f>IF(AB17="","",COUNTIFS($C$18:$C$2015,AB$13,$D$18:$D$2015,"&gt;="&amp;AB17,$D$18:$D$2015,"&lt;"&amp;AB18))</f>
        <v/>
      </c>
      <c r="AD17" s="14" t="n"/>
    </row>
    <row r="18">
      <c r="A18" s="56" t="n"/>
      <c r="B18" s="57" t="n"/>
      <c r="C18" s="57" t="n"/>
      <c r="D18" s="127" t="n"/>
      <c r="E18" s="16" t="n"/>
      <c r="F18" s="13" t="n"/>
      <c r="G18" s="16" t="n">
        <v>13</v>
      </c>
      <c r="H18" s="124">
        <f>IF(G18="","",COUNTIFS($C$18:$C$2015,G$13,$D$18:$D$2015,"&gt;="&amp;G18,$D$18:$D$2015,"&lt;"&amp;G19))</f>
        <v/>
      </c>
      <c r="I18" s="14" t="n"/>
      <c r="J18" s="16" t="n">
        <v>25</v>
      </c>
      <c r="K18" s="124">
        <f>IF(J18="","",COUNTIFS($C$18:$C$2015,J$13,$D$18:$D$2015,"&gt;="&amp;J18,$D$18:$D$2015,"&lt;"&amp;J19))</f>
        <v/>
      </c>
      <c r="L18" s="14" t="n"/>
      <c r="M18" s="16" t="n">
        <v>16</v>
      </c>
      <c r="N18" s="124">
        <f>IF(M18="","",COUNTIFS($C$18:$C$2015,M$13,$D$18:$D$2015,"&gt;="&amp;M18,$D$18:$D$2015,"&lt;"&amp;M19))</f>
        <v/>
      </c>
      <c r="O18" s="14" t="n"/>
      <c r="P18" s="16" t="n">
        <v>13</v>
      </c>
      <c r="Q18" s="124">
        <f>IF(P18="","",COUNTIFS($C$18:$C$2015,P$13,$D$18:$D$2015,"&gt;="&amp;P18,$D$18:$D$2015,"&lt;"&amp;P19))</f>
        <v/>
      </c>
      <c r="R18" s="14" t="n"/>
      <c r="S18" s="16" t="n">
        <v>16</v>
      </c>
      <c r="T18" s="124">
        <f>IF(S18="","",COUNTIFS($C$18:$C$2015,S$13,$D$18:$D$2015,"&gt;="&amp;S18,$D$18:$D$2015,"&lt;"&amp;S19))</f>
        <v/>
      </c>
      <c r="U18" s="14" t="n"/>
      <c r="V18" s="16" t="n">
        <v>16</v>
      </c>
      <c r="W18" s="124">
        <f>IF(V18="","",COUNTIFS($C$18:$C$2015,V$13,$D$18:$D$2015,"&gt;="&amp;V18,$D$18:$D$2015,"&lt;"&amp;V19))</f>
        <v/>
      </c>
      <c r="X18" s="14" t="n"/>
      <c r="Y18" s="16" t="n">
        <v>16</v>
      </c>
      <c r="Z18" s="124">
        <f>IF(Y18="","",COUNTIFS($C$18:$C$2015,Y$13,$D$18:$D$2015,"&gt;="&amp;Y18,$D$18:$D$2015,"&lt;"&amp;Y19))</f>
        <v/>
      </c>
      <c r="AA18" s="14" t="n"/>
      <c r="AB18" s="16" t="n">
        <v>13</v>
      </c>
      <c r="AC18" s="124">
        <f>IF(AB18="","",COUNTIFS($C$18:$C$2015,AB$13,$D$18:$D$2015,"&gt;="&amp;AB18,$D$18:$D$2015,"&lt;"&amp;AB19))</f>
        <v/>
      </c>
      <c r="AD18" s="14" t="n"/>
    </row>
    <row r="19">
      <c r="A19" s="58" t="n"/>
      <c r="B19" s="59" t="n"/>
      <c r="C19" s="59" t="n"/>
      <c r="D19" s="126" t="n"/>
      <c r="E19" s="16" t="n"/>
      <c r="F19" s="13" t="n"/>
      <c r="G19" s="16" t="n">
        <v>14</v>
      </c>
      <c r="H19" s="124">
        <f>IF(G19="","",COUNTIFS($C$18:$C$2015,G$13,$D$18:$D$2015,"&gt;="&amp;G19,$D$18:$D$2015,"&lt;"&amp;G20))</f>
        <v/>
      </c>
      <c r="I19" s="14" t="n"/>
      <c r="J19" s="16" t="n">
        <v>30</v>
      </c>
      <c r="K19" s="124">
        <f>IF(J19="","",COUNTIFS($C$18:$C$2015,J$13,$D$18:$D$2015,"&gt;="&amp;J19,$D$18:$D$2015,"&lt;"&amp;J20))</f>
        <v/>
      </c>
      <c r="L19" s="14" t="n"/>
      <c r="M19" s="16" t="n">
        <v>18</v>
      </c>
      <c r="N19" s="124">
        <f>IF(M19="","",COUNTIFS($C$18:$C$2015,M$13,$D$18:$D$2015,"&gt;="&amp;M19,$D$18:$D$2015,"&lt;"&amp;M20))</f>
        <v/>
      </c>
      <c r="O19" s="14" t="n"/>
      <c r="P19" s="16" t="n">
        <v>14</v>
      </c>
      <c r="Q19" s="124">
        <f>IF(P19="","",COUNTIFS($C$18:$C$2015,P$13,$D$18:$D$2015,"&gt;="&amp;P19,$D$18:$D$2015,"&lt;"&amp;P20))</f>
        <v/>
      </c>
      <c r="R19" s="14" t="n"/>
      <c r="S19" s="16" t="n">
        <v>18</v>
      </c>
      <c r="T19" s="124">
        <f>IF(S19="","",COUNTIFS($C$18:$C$2015,S$13,$D$18:$D$2015,"&gt;="&amp;S19,$D$18:$D$2015,"&lt;"&amp;S20))</f>
        <v/>
      </c>
      <c r="U19" s="14" t="n"/>
      <c r="V19" s="16" t="n">
        <v>18</v>
      </c>
      <c r="W19" s="124">
        <f>IF(V19="","",COUNTIFS($C$18:$C$2015,V$13,$D$18:$D$2015,"&gt;="&amp;V19,$D$18:$D$2015,"&lt;"&amp;V20))</f>
        <v/>
      </c>
      <c r="X19" s="14" t="n"/>
      <c r="Y19" s="16" t="n">
        <v>18</v>
      </c>
      <c r="Z19" s="124">
        <f>IF(Y19="","",COUNTIFS($C$18:$C$2015,Y$13,$D$18:$D$2015,"&gt;="&amp;Y19,$D$18:$D$2015,"&lt;"&amp;Y20))</f>
        <v/>
      </c>
      <c r="AA19" s="14" t="n"/>
      <c r="AB19" s="16" t="n">
        <v>14</v>
      </c>
      <c r="AC19" s="124">
        <f>IF(AB19="","",COUNTIFS($C$18:$C$2015,AB$13,$D$18:$D$2015,"&gt;="&amp;AB19,$D$18:$D$2015,"&lt;"&amp;AB20))</f>
        <v/>
      </c>
      <c r="AD19" s="14" t="n"/>
    </row>
    <row r="20">
      <c r="A20" s="56" t="n"/>
      <c r="B20" s="57" t="n"/>
      <c r="C20" s="57" t="n"/>
      <c r="D20" s="127" t="n"/>
      <c r="E20" s="16" t="n"/>
      <c r="F20" s="13" t="n"/>
      <c r="G20" s="16" t="n">
        <v>15</v>
      </c>
      <c r="H20" s="124">
        <f>IF(G20="","",COUNTIFS($C$18:$C$2015,G$13,$D$18:$D$2015,"&gt;="&amp;G20,$D$18:$D$2015,"&lt;"&amp;G21))</f>
        <v/>
      </c>
      <c r="I20" s="14" t="n"/>
      <c r="J20" s="16" t="n">
        <v>35</v>
      </c>
      <c r="K20" s="124">
        <f>IF(J20="","",COUNTIFS($C$18:$C$2015,J$13,$D$18:$D$2015,"&gt;="&amp;J20,$D$18:$D$2015,"&lt;"&amp;J21))</f>
        <v/>
      </c>
      <c r="L20" s="14" t="n"/>
      <c r="M20" s="16" t="n">
        <v>20</v>
      </c>
      <c r="N20" s="124">
        <f>IF(M20="","",COUNTIFS($C$18:$C$2015,M$13,$D$18:$D$2015,"&gt;="&amp;M20,$D$18:$D$2015,"&lt;"&amp;M21))</f>
        <v/>
      </c>
      <c r="O20" s="14" t="n"/>
      <c r="P20" s="16" t="n">
        <v>15</v>
      </c>
      <c r="Q20" s="124">
        <f>IF(P20="","",COUNTIFS($C$18:$C$2015,P$13,$D$18:$D$2015,"&gt;="&amp;P20,$D$18:$D$2015,"&lt;"&amp;P21))</f>
        <v/>
      </c>
      <c r="R20" s="14" t="n"/>
      <c r="S20" s="16" t="n">
        <v>20</v>
      </c>
      <c r="T20" s="124">
        <f>IF(S20="","",COUNTIFS($C$18:$C$2015,S$13,$D$18:$D$2015,"&gt;="&amp;S20,$D$18:$D$2015,"&lt;"&amp;S21))</f>
        <v/>
      </c>
      <c r="U20" s="14" t="n"/>
      <c r="V20" s="16" t="n">
        <v>20</v>
      </c>
      <c r="W20" s="124">
        <f>IF(V20="","",COUNTIFS($C$18:$C$2015,V$13,$D$18:$D$2015,"&gt;="&amp;V20,$D$18:$D$2015,"&lt;"&amp;V21))</f>
        <v/>
      </c>
      <c r="X20" s="14" t="n"/>
      <c r="Y20" s="16" t="n">
        <v>20</v>
      </c>
      <c r="Z20" s="124">
        <f>IF(Y20="","",COUNTIFS($C$18:$C$2015,Y$13,$D$18:$D$2015,"&gt;="&amp;Y20,$D$18:$D$2015,"&lt;"&amp;Y21))</f>
        <v/>
      </c>
      <c r="AA20" s="14" t="n"/>
      <c r="AB20" s="16" t="n">
        <v>15</v>
      </c>
      <c r="AC20" s="124">
        <f>IF(AB20="","",COUNTIFS($C$18:$C$2015,AB$13,$D$18:$D$2015,"&gt;="&amp;AB20,$D$18:$D$2015,"&lt;"&amp;AB21))</f>
        <v/>
      </c>
      <c r="AD20" s="14" t="n"/>
    </row>
    <row r="21">
      <c r="A21" s="58" t="n"/>
      <c r="B21" s="59" t="n"/>
      <c r="C21" s="59" t="n"/>
      <c r="D21" s="126" t="n"/>
      <c r="E21" s="16" t="n"/>
      <c r="F21" s="13" t="n"/>
      <c r="G21" s="16" t="n">
        <v>16</v>
      </c>
      <c r="H21" s="124">
        <f>IF(G21="","",COUNTIFS($C$18:$C$2015,G$13,$D$18:$D$2015,"&gt;="&amp;G21,$D$18:$D$2015,"&lt;"&amp;G22))</f>
        <v/>
      </c>
      <c r="I21" s="14" t="n"/>
      <c r="J21" s="16" t="n">
        <v>40</v>
      </c>
      <c r="K21" s="124">
        <f>IF(J21="","",COUNTIFS($C$18:$C$2015,J$13,$D$18:$D$2015,"&gt;="&amp;J21,$D$18:$D$2015,"&lt;"&amp;J22))</f>
        <v/>
      </c>
      <c r="L21" s="14" t="n"/>
      <c r="M21" s="16" t="n">
        <v>22</v>
      </c>
      <c r="N21" s="124">
        <f>IF(M21="","",COUNTIFS($C$18:$C$2015,M$13,$D$18:$D$2015,"&gt;="&amp;M21,$D$18:$D$2015,"&lt;"&amp;M22))</f>
        <v/>
      </c>
      <c r="O21" s="14" t="n"/>
      <c r="P21" s="16" t="n">
        <v>16</v>
      </c>
      <c r="Q21" s="124">
        <f>IF(P21="","",COUNTIFS($C$18:$C$2015,P$13,$D$18:$D$2015,"&gt;="&amp;P21,$D$18:$D$2015,"&lt;"&amp;P22))</f>
        <v/>
      </c>
      <c r="R21" s="14" t="n"/>
      <c r="S21" s="16" t="n">
        <v>22</v>
      </c>
      <c r="T21" s="124">
        <f>IF(S21="","",COUNTIFS($C$18:$C$2015,S$13,$D$18:$D$2015,"&gt;="&amp;S21,$D$18:$D$2015,"&lt;"&amp;S22))</f>
        <v/>
      </c>
      <c r="U21" s="14" t="n"/>
      <c r="V21" s="16" t="n">
        <v>22</v>
      </c>
      <c r="W21" s="124">
        <f>IF(V21="","",COUNTIFS($C$18:$C$2015,V$13,$D$18:$D$2015,"&gt;="&amp;V21,$D$18:$D$2015,"&lt;"&amp;V22))</f>
        <v/>
      </c>
      <c r="X21" s="14" t="n"/>
      <c r="Y21" s="16" t="n">
        <v>22</v>
      </c>
      <c r="Z21" s="124">
        <f>IF(Y21="","",COUNTIFS($C$18:$C$2015,Y$13,$D$18:$D$2015,"&gt;="&amp;Y21,$D$18:$D$2015,"&lt;"&amp;Y22))</f>
        <v/>
      </c>
      <c r="AA21" s="14" t="n"/>
      <c r="AB21" s="16" t="n">
        <v>16</v>
      </c>
      <c r="AC21" s="124">
        <f>IF(AB21="","",COUNTIFS($C$18:$C$2015,AB$13,$D$18:$D$2015,"&gt;="&amp;AB21,$D$18:$D$2015,"&lt;"&amp;AB22))</f>
        <v/>
      </c>
      <c r="AD21" s="14" t="n"/>
    </row>
    <row r="22">
      <c r="A22" s="56" t="n"/>
      <c r="B22" s="57" t="n"/>
      <c r="C22" s="57" t="n"/>
      <c r="D22" s="127" t="n"/>
      <c r="E22" s="16" t="n"/>
      <c r="F22" s="13" t="n"/>
      <c r="G22" s="16" t="n">
        <v>17</v>
      </c>
      <c r="H22" s="124">
        <f>IF(G22="","",COUNTIFS($C$18:$C$2015,G$13,$D$18:$D$2015,"&gt;="&amp;G22,$D$18:$D$2015,"&lt;"&amp;G23))</f>
        <v/>
      </c>
      <c r="I22" s="14" t="n"/>
      <c r="J22" s="16" t="n">
        <v>45</v>
      </c>
      <c r="K22" s="124">
        <f>IF(J22="","",COUNTIFS($C$18:$C$2015,J$13,$D$18:$D$2015,"&gt;="&amp;J22,$D$18:$D$2015,"&lt;"&amp;J23))</f>
        <v/>
      </c>
      <c r="L22" s="14" t="n"/>
      <c r="M22" s="16" t="n">
        <v>24</v>
      </c>
      <c r="N22" s="124">
        <f>IF(M22="","",COUNTIFS($C$18:$C$2015,M$13,$D$18:$D$2015,"&gt;="&amp;M22,$D$18:$D$2015,"&lt;"&amp;M23))</f>
        <v/>
      </c>
      <c r="O22" s="14" t="n"/>
      <c r="P22" s="16" t="n">
        <v>17</v>
      </c>
      <c r="Q22" s="124">
        <f>IF(P22="","",COUNTIFS($C$18:$C$2015,P$13,$D$18:$D$2015,"&gt;="&amp;P22,$D$18:$D$2015,"&lt;"&amp;P23))</f>
        <v/>
      </c>
      <c r="R22" s="14" t="n"/>
      <c r="S22" s="16" t="n">
        <v>24</v>
      </c>
      <c r="T22" s="124">
        <f>IF(S22="","",COUNTIFS($C$18:$C$2015,S$13,$D$18:$D$2015,"&gt;="&amp;S22,$D$18:$D$2015,"&lt;"&amp;S23))</f>
        <v/>
      </c>
      <c r="U22" s="14" t="n"/>
      <c r="V22" s="16" t="n">
        <v>24</v>
      </c>
      <c r="W22" s="124">
        <f>IF(V22="","",COUNTIFS($C$18:$C$2015,V$13,$D$18:$D$2015,"&gt;="&amp;V22,$D$18:$D$2015,"&lt;"&amp;V23))</f>
        <v/>
      </c>
      <c r="X22" s="14" t="n"/>
      <c r="Y22" s="16" t="n">
        <v>24</v>
      </c>
      <c r="Z22" s="124">
        <f>IF(Y22="","",COUNTIFS($C$18:$C$2015,Y$13,$D$18:$D$2015,"&gt;="&amp;Y22,$D$18:$D$2015,"&lt;"&amp;Y23))</f>
        <v/>
      </c>
      <c r="AA22" s="14" t="n"/>
      <c r="AB22" s="16" t="n">
        <v>17</v>
      </c>
      <c r="AC22" s="124">
        <f>IF(AB22="","",COUNTIFS($C$18:$C$2015,AB$13,$D$18:$D$2015,"&gt;="&amp;AB22,$D$18:$D$2015,"&lt;"&amp;AB23))</f>
        <v/>
      </c>
      <c r="AD22" s="14" t="n"/>
    </row>
    <row r="23">
      <c r="A23" s="58" t="n"/>
      <c r="B23" s="59" t="n"/>
      <c r="C23" s="59" t="n"/>
      <c r="D23" s="126" t="n"/>
      <c r="E23" s="16" t="n"/>
      <c r="F23" s="13" t="n"/>
      <c r="G23" s="16" t="n">
        <v>18</v>
      </c>
      <c r="H23" s="124">
        <f>IF(G23="","",COUNTIFS($C$18:$C$2015,G$13,$D$18:$D$2015,"&gt;="&amp;G23,$D$18:$D$2015,"&lt;"&amp;G24))</f>
        <v/>
      </c>
      <c r="I23" s="14" t="n"/>
      <c r="J23" s="16" t="n">
        <v>50</v>
      </c>
      <c r="K23" s="124">
        <f>IF(J23="","",COUNTIFS($C$18:$C$2015,J$13,$D$18:$D$2015,"&gt;="&amp;J23,$D$18:$D$2015,"&lt;"&amp;J24))</f>
        <v/>
      </c>
      <c r="L23" s="14" t="n"/>
      <c r="M23" s="16" t="n">
        <v>26</v>
      </c>
      <c r="N23" s="124">
        <f>IF(M23="","",COUNTIFS($C$18:$C$2015,M$13,$D$18:$D$2015,"&gt;="&amp;M23,$D$18:$D$2015,"&lt;"&amp;M24))</f>
        <v/>
      </c>
      <c r="O23" s="14" t="n"/>
      <c r="P23" s="16" t="n">
        <v>18</v>
      </c>
      <c r="Q23" s="124">
        <f>IF(P23="","",COUNTIFS($C$18:$C$2015,P$13,$D$18:$D$2015,"&gt;="&amp;P23,$D$18:$D$2015,"&lt;"&amp;P24))</f>
        <v/>
      </c>
      <c r="R23" s="14" t="n"/>
      <c r="S23" s="16" t="n">
        <v>26</v>
      </c>
      <c r="T23" s="124">
        <f>IF(S23="","",COUNTIFS($C$18:$C$2015,S$13,$D$18:$D$2015,"&gt;="&amp;S23,$D$18:$D$2015,"&lt;"&amp;S24))</f>
        <v/>
      </c>
      <c r="U23" s="14" t="n"/>
      <c r="V23" s="16" t="n">
        <v>26</v>
      </c>
      <c r="W23" s="124">
        <f>IF(V23="","",COUNTIFS($C$18:$C$2015,V$13,$D$18:$D$2015,"&gt;="&amp;V23,$D$18:$D$2015,"&lt;"&amp;V24))</f>
        <v/>
      </c>
      <c r="X23" s="14" t="n"/>
      <c r="Y23" s="16" t="n">
        <v>26</v>
      </c>
      <c r="Z23" s="124">
        <f>IF(Y23="","",COUNTIFS($C$18:$C$2015,Y$13,$D$18:$D$2015,"&gt;="&amp;Y23,$D$18:$D$2015,"&lt;"&amp;Y24))</f>
        <v/>
      </c>
      <c r="AA23" s="14" t="n"/>
      <c r="AB23" s="16" t="n">
        <v>18</v>
      </c>
      <c r="AC23" s="124">
        <f>IF(AB23="","",COUNTIFS($C$18:$C$2015,AB$13,$D$18:$D$2015,"&gt;="&amp;AB23,$D$18:$D$2015,"&lt;"&amp;AB24))</f>
        <v/>
      </c>
      <c r="AD23" s="14" t="n"/>
    </row>
    <row r="24">
      <c r="A24" s="56" t="n"/>
      <c r="B24" s="57" t="n"/>
      <c r="C24" s="57" t="n"/>
      <c r="D24" s="127" t="n"/>
      <c r="E24" s="16" t="n"/>
      <c r="F24" s="13" t="n"/>
      <c r="G24" s="16" t="n">
        <v>19</v>
      </c>
      <c r="H24" s="124">
        <f>IF(G24="","",COUNTIFS($C$18:$C$2015,G$13,$D$18:$D$2015,"&gt;="&amp;G24,$D$18:$D$2015,"&lt;"&amp;G25))</f>
        <v/>
      </c>
      <c r="I24" s="14" t="n"/>
      <c r="J24" s="16" t="n">
        <v>55</v>
      </c>
      <c r="K24" s="124">
        <f>IF(J24="","",COUNTIFS($C$18:$C$2015,J$13,$D$18:$D$2015,"&gt;="&amp;J24,$D$18:$D$2015,"&lt;"&amp;J25))</f>
        <v/>
      </c>
      <c r="L24" s="14" t="n"/>
      <c r="M24" s="16" t="n">
        <v>28</v>
      </c>
      <c r="N24" s="124">
        <f>IF(M24="","",COUNTIFS($C$18:$C$2015,M$13,$D$18:$D$2015,"&gt;="&amp;M24,$D$18:$D$2015,"&lt;"&amp;M25))</f>
        <v/>
      </c>
      <c r="O24" s="14" t="n"/>
      <c r="P24" s="16" t="n">
        <v>19</v>
      </c>
      <c r="Q24" s="124">
        <f>IF(P24="","",COUNTIFS($C$18:$C$2015,P$13,$D$18:$D$2015,"&gt;="&amp;P24,$D$18:$D$2015,"&lt;"&amp;P25))</f>
        <v/>
      </c>
      <c r="R24" s="14" t="n"/>
      <c r="S24" s="16" t="n">
        <v>28</v>
      </c>
      <c r="T24" s="124">
        <f>IF(S24="","",COUNTIFS($C$18:$C$2015,S$13,$D$18:$D$2015,"&gt;="&amp;S24,$D$18:$D$2015,"&lt;"&amp;S25))</f>
        <v/>
      </c>
      <c r="U24" s="14" t="n"/>
      <c r="V24" s="16" t="n">
        <v>28</v>
      </c>
      <c r="W24" s="124">
        <f>IF(V24="","",COUNTIFS($C$18:$C$2015,V$13,$D$18:$D$2015,"&gt;="&amp;V24,$D$18:$D$2015,"&lt;"&amp;V25))</f>
        <v/>
      </c>
      <c r="X24" s="14" t="n"/>
      <c r="Y24" s="16" t="n">
        <v>28</v>
      </c>
      <c r="Z24" s="124">
        <f>IF(Y24="","",COUNTIFS($C$18:$C$2015,Y$13,$D$18:$D$2015,"&gt;="&amp;Y24,$D$18:$D$2015,"&lt;"&amp;Y25))</f>
        <v/>
      </c>
      <c r="AA24" s="14" t="n"/>
      <c r="AB24" s="16" t="n">
        <v>19</v>
      </c>
      <c r="AC24" s="124">
        <f>IF(AB24="","",COUNTIFS($C$18:$C$2015,AB$13,$D$18:$D$2015,"&gt;="&amp;AB24,$D$18:$D$2015,"&lt;"&amp;AB25))</f>
        <v/>
      </c>
      <c r="AD24" s="14" t="n"/>
    </row>
    <row r="25">
      <c r="A25" s="58" t="n"/>
      <c r="B25" s="59" t="n"/>
      <c r="C25" s="59" t="n"/>
      <c r="D25" s="126" t="n"/>
      <c r="E25" s="16" t="n"/>
      <c r="F25" s="13" t="n"/>
      <c r="G25" s="16" t="n">
        <v>20</v>
      </c>
      <c r="H25" s="124">
        <f>IF(G25="","",COUNTIFS($C$18:$C$2015,G$13,$D$18:$D$2015,"&gt;="&amp;G25,$D$18:$D$2015,"&lt;"&amp;G26))</f>
        <v/>
      </c>
      <c r="I25" s="14" t="n"/>
      <c r="J25" s="16" t="n">
        <v>60</v>
      </c>
      <c r="K25" s="124">
        <f>IF(J25="","",COUNTIFS($C$18:$C$2015,J$13,$D$18:$D$2015,"&gt;="&amp;J25,$D$18:$D$2015,"&lt;"&amp;J26))</f>
        <v/>
      </c>
      <c r="L25" s="14" t="n"/>
      <c r="M25" s="16" t="n">
        <v>30</v>
      </c>
      <c r="N25" s="124">
        <f>IF(M25="","",COUNTIFS($C$18:$C$2015,M$13,$D$18:$D$2015,"&gt;="&amp;M25,$D$18:$D$2015,"&lt;"&amp;M26))</f>
        <v/>
      </c>
      <c r="O25" s="14" t="n"/>
      <c r="P25" s="16" t="n">
        <v>20</v>
      </c>
      <c r="Q25" s="124">
        <f>IF(P25="","",COUNTIFS($C$18:$C$2015,P$13,$D$18:$D$2015,"&gt;="&amp;P25,$D$18:$D$2015,"&lt;"&amp;P26))</f>
        <v/>
      </c>
      <c r="R25" s="14" t="n"/>
      <c r="S25" s="16" t="n">
        <v>30</v>
      </c>
      <c r="T25" s="124">
        <f>IF(S25="","",COUNTIFS($C$18:$C$2015,S$13,$D$18:$D$2015,"&gt;="&amp;S25,$D$18:$D$2015,"&lt;"&amp;S26))</f>
        <v/>
      </c>
      <c r="U25" s="14" t="n"/>
      <c r="V25" s="16" t="n">
        <v>30</v>
      </c>
      <c r="W25" s="124">
        <f>IF(V25="","",COUNTIFS($C$18:$C$2015,V$13,$D$18:$D$2015,"&gt;="&amp;V25,$D$18:$D$2015,"&lt;"&amp;V26))</f>
        <v/>
      </c>
      <c r="X25" s="14" t="n"/>
      <c r="Y25" s="16" t="n">
        <v>30</v>
      </c>
      <c r="Z25" s="124">
        <f>IF(Y25="","",COUNTIFS($C$18:$C$2015,Y$13,$D$18:$D$2015,"&gt;="&amp;Y25,$D$18:$D$2015,"&lt;"&amp;Y26))</f>
        <v/>
      </c>
      <c r="AA25" s="14" t="n"/>
      <c r="AB25" s="16" t="n">
        <v>20</v>
      </c>
      <c r="AC25" s="124">
        <f>IF(AB25="","",COUNTIFS($C$18:$C$2015,AB$13,$D$18:$D$2015,"&gt;="&amp;AB25,$D$18:$D$2015,"&lt;"&amp;AB26))</f>
        <v/>
      </c>
      <c r="AD25" s="14" t="n"/>
    </row>
    <row r="26">
      <c r="A26" s="56" t="n"/>
      <c r="B26" s="57" t="n"/>
      <c r="C26" s="57" t="n"/>
      <c r="D26" s="127" t="n"/>
      <c r="E26" s="16" t="n"/>
      <c r="F26" s="13" t="n"/>
      <c r="G26" s="16" t="n">
        <v>21</v>
      </c>
      <c r="H26" s="124">
        <f>IF(G26="","",COUNTIFS($C$18:$C$2015,G$13,$D$18:$D$2015,"&gt;="&amp;G26,$D$18:$D$2015,"&lt;"&amp;G27))</f>
        <v/>
      </c>
      <c r="I26" s="14" t="n"/>
      <c r="J26" s="16" t="n">
        <v>65</v>
      </c>
      <c r="K26" s="124">
        <f>IF(J26="","",COUNTIFS($C$18:$C$2015,J$13,$D$18:$D$2015,"&gt;="&amp;J26,$D$18:$D$2015,"&lt;"&amp;J27))</f>
        <v/>
      </c>
      <c r="L26" s="14" t="n"/>
      <c r="M26" s="16" t="n">
        <v>32</v>
      </c>
      <c r="N26" s="124">
        <f>IF(M26="","",COUNTIFS($C$18:$C$2015,M$13,$D$18:$D$2015,"&gt;="&amp;M26,$D$18:$D$2015,"&lt;"&amp;M27))</f>
        <v/>
      </c>
      <c r="O26" s="14" t="n"/>
      <c r="P26" s="16" t="n">
        <v>21</v>
      </c>
      <c r="Q26" s="124">
        <f>IF(P26="","",COUNTIFS($C$18:$C$2015,P$13,$D$18:$D$2015,"&gt;="&amp;P26,$D$18:$D$2015,"&lt;"&amp;P27))</f>
        <v/>
      </c>
      <c r="R26" s="14" t="n"/>
      <c r="S26" s="16" t="n">
        <v>32</v>
      </c>
      <c r="T26" s="124">
        <f>IF(S26="","",COUNTIFS($C$18:$C$2015,S$13,$D$18:$D$2015,"&gt;="&amp;S26,$D$18:$D$2015,"&lt;"&amp;S27))</f>
        <v/>
      </c>
      <c r="U26" s="14" t="n"/>
      <c r="V26" s="16" t="n">
        <v>32</v>
      </c>
      <c r="W26" s="124">
        <f>IF(V26="","",COUNTIFS($C$18:$C$2015,V$13,$D$18:$D$2015,"&gt;="&amp;V26,$D$18:$D$2015,"&lt;"&amp;V27))</f>
        <v/>
      </c>
      <c r="X26" s="14" t="n"/>
      <c r="Y26" s="16" t="n">
        <v>32</v>
      </c>
      <c r="Z26" s="124">
        <f>IF(Y26="","",COUNTIFS($C$18:$C$2015,Y$13,$D$18:$D$2015,"&gt;="&amp;Y26,$D$18:$D$2015,"&lt;"&amp;Y27))</f>
        <v/>
      </c>
      <c r="AA26" s="14" t="n"/>
      <c r="AB26" s="16" t="n">
        <v>21</v>
      </c>
      <c r="AC26" s="124">
        <f>IF(AB26="","",COUNTIFS($C$18:$C$2015,AB$13,$D$18:$D$2015,"&gt;="&amp;AB26,$D$18:$D$2015,"&lt;"&amp;AB27))</f>
        <v/>
      </c>
      <c r="AD26" s="14" t="n"/>
    </row>
    <row r="27">
      <c r="A27" s="58" t="n"/>
      <c r="B27" s="59" t="n"/>
      <c r="C27" s="59" t="n"/>
      <c r="D27" s="126" t="n"/>
      <c r="E27" s="16" t="n"/>
      <c r="F27" s="13" t="n"/>
      <c r="G27" s="16" t="n">
        <v>22</v>
      </c>
      <c r="H27" s="124">
        <f>IF(G27="","",COUNTIFS($C$18:$C$2015,G$13,$D$18:$D$2015,"&gt;="&amp;G27,$D$18:$D$2015,"&lt;"&amp;G28))</f>
        <v/>
      </c>
      <c r="I27" s="14" t="n"/>
      <c r="J27" s="16" t="n">
        <v>70</v>
      </c>
      <c r="K27" s="124">
        <f>IF(J27="","",COUNTIFS($C$18:$C$2015,J$13,$D$18:$D$2015,"&gt;="&amp;J27,$D$18:$D$2015,"&lt;"&amp;J28))</f>
        <v/>
      </c>
      <c r="L27" s="14" t="n"/>
      <c r="M27" s="16" t="n">
        <v>34</v>
      </c>
      <c r="N27" s="124">
        <f>IF(M27="","",COUNTIFS($C$18:$C$2015,M$13,$D$18:$D$2015,"&gt;="&amp;M27,$D$18:$D$2015,"&lt;"&amp;M28))</f>
        <v/>
      </c>
      <c r="O27" s="14" t="n"/>
      <c r="P27" s="16" t="n">
        <v>22</v>
      </c>
      <c r="Q27" s="124">
        <f>IF(P27="","",COUNTIFS($C$18:$C$2015,P$13,$D$18:$D$2015,"&gt;="&amp;P27,$D$18:$D$2015,"&lt;"&amp;P28))</f>
        <v/>
      </c>
      <c r="R27" s="14" t="n"/>
      <c r="S27" s="16" t="n">
        <v>34</v>
      </c>
      <c r="T27" s="124">
        <f>IF(S27="","",COUNTIFS($C$18:$C$2015,S$13,$D$18:$D$2015,"&gt;="&amp;S27,$D$18:$D$2015,"&lt;"&amp;S28))</f>
        <v/>
      </c>
      <c r="U27" s="14" t="n"/>
      <c r="V27" s="16" t="n">
        <v>34</v>
      </c>
      <c r="W27" s="124">
        <f>IF(V27="","",COUNTIFS($C$18:$C$2015,V$13,$D$18:$D$2015,"&gt;="&amp;V27,$D$18:$D$2015,"&lt;"&amp;V28))</f>
        <v/>
      </c>
      <c r="X27" s="14" t="n"/>
      <c r="Y27" s="16" t="n">
        <v>34</v>
      </c>
      <c r="Z27" s="124">
        <f>IF(Y27="","",COUNTIFS($C$18:$C$2015,Y$13,$D$18:$D$2015,"&gt;="&amp;Y27,$D$18:$D$2015,"&lt;"&amp;Y28))</f>
        <v/>
      </c>
      <c r="AA27" s="14" t="n"/>
      <c r="AB27" s="16" t="n">
        <v>22</v>
      </c>
      <c r="AC27" s="124">
        <f>IF(AB27="","",COUNTIFS($C$18:$C$2015,AB$13,$D$18:$D$2015,"&gt;="&amp;AB27,$D$18:$D$2015,"&lt;"&amp;AB28))</f>
        <v/>
      </c>
      <c r="AD27" s="14" t="n"/>
    </row>
    <row r="28">
      <c r="A28" s="56" t="n"/>
      <c r="B28" s="57" t="n"/>
      <c r="C28" s="57" t="n"/>
      <c r="D28" s="127" t="n"/>
      <c r="E28" s="16" t="n"/>
      <c r="F28" s="13" t="n"/>
      <c r="G28" s="16" t="n">
        <v>23</v>
      </c>
      <c r="H28" s="124">
        <f>IF(G28="","",COUNTIFS($C$18:$C$2015,G$13,$D$18:$D$2015,"&gt;="&amp;G28,$D$18:$D$2015,"&lt;"&amp;G29))</f>
        <v/>
      </c>
      <c r="I28" s="14" t="n"/>
      <c r="J28" s="16" t="n">
        <v>75</v>
      </c>
      <c r="K28" s="124">
        <f>IF(J28="","",COUNTIFS($C$18:$C$2015,J$13,$D$18:$D$2015,"&gt;="&amp;J28,$D$18:$D$2015,"&lt;"&amp;J29))</f>
        <v/>
      </c>
      <c r="L28" s="14" t="n"/>
      <c r="M28" s="16" t="n">
        <v>36</v>
      </c>
      <c r="N28" s="124">
        <f>IF(M28="","",COUNTIFS($C$18:$C$2015,M$13,$D$18:$D$2015,"&gt;="&amp;M28,$D$18:$D$2015,"&lt;"&amp;M29))</f>
        <v/>
      </c>
      <c r="O28" s="14" t="n"/>
      <c r="P28" s="16" t="n">
        <v>23</v>
      </c>
      <c r="Q28" s="124">
        <f>IF(P28="","",COUNTIFS($C$18:$C$2015,P$13,$D$18:$D$2015,"&gt;="&amp;P28,$D$18:$D$2015,"&lt;"&amp;P29))</f>
        <v/>
      </c>
      <c r="R28" s="14" t="n"/>
      <c r="S28" s="16" t="n">
        <v>36</v>
      </c>
      <c r="T28" s="124">
        <f>IF(S28="","",COUNTIFS($C$18:$C$2015,S$13,$D$18:$D$2015,"&gt;="&amp;S28,$D$18:$D$2015,"&lt;"&amp;S29))</f>
        <v/>
      </c>
      <c r="U28" s="14" t="n"/>
      <c r="V28" s="16" t="n">
        <v>36</v>
      </c>
      <c r="W28" s="124">
        <f>IF(V28="","",COUNTIFS($C$18:$C$2015,V$13,$D$18:$D$2015,"&gt;="&amp;V28,$D$18:$D$2015,"&lt;"&amp;V29))</f>
        <v/>
      </c>
      <c r="X28" s="14" t="n"/>
      <c r="Y28" s="16" t="n">
        <v>36</v>
      </c>
      <c r="Z28" s="124">
        <f>IF(Y28="","",COUNTIFS($C$18:$C$2015,Y$13,$D$18:$D$2015,"&gt;="&amp;Y28,$D$18:$D$2015,"&lt;"&amp;Y29))</f>
        <v/>
      </c>
      <c r="AA28" s="14" t="n"/>
      <c r="AB28" s="16" t="n">
        <v>23</v>
      </c>
      <c r="AC28" s="124">
        <f>IF(AB28="","",COUNTIFS($C$18:$C$2015,AB$13,$D$18:$D$2015,"&gt;="&amp;AB28,$D$18:$D$2015,"&lt;"&amp;AB29))</f>
        <v/>
      </c>
      <c r="AD28" s="14" t="n"/>
    </row>
    <row r="29">
      <c r="A29" s="58" t="n"/>
      <c r="B29" s="59" t="n"/>
      <c r="C29" s="59" t="n"/>
      <c r="D29" s="126" t="n"/>
      <c r="E29" s="16" t="n"/>
      <c r="F29" s="13" t="n"/>
      <c r="G29" s="16" t="n">
        <v>24</v>
      </c>
      <c r="H29" s="124">
        <f>IF(G29="","",COUNTIFS($C$18:$C$2015,G$13,$D$18:$D$2015,"&gt;="&amp;G29,$D$18:$D$2015,"&lt;"&amp;G30))</f>
        <v/>
      </c>
      <c r="I29" s="14" t="n"/>
      <c r="J29" s="16" t="n">
        <v>80</v>
      </c>
      <c r="K29" s="124">
        <f>IF(J29="","",COUNTIFS($C$18:$C$2015,J$13,$D$18:$D$2015,"&gt;="&amp;J29,$D$18:$D$2015,"&lt;"&amp;J30))</f>
        <v/>
      </c>
      <c r="L29" s="14" t="n"/>
      <c r="M29" s="16" t="n">
        <v>38</v>
      </c>
      <c r="N29" s="124">
        <f>IF(M29="","",COUNTIFS($C$18:$C$2015,M$13,$D$18:$D$2015,"&gt;="&amp;M29,$D$18:$D$2015,"&lt;"&amp;M30))</f>
        <v/>
      </c>
      <c r="O29" s="14" t="n"/>
      <c r="P29" s="16" t="n">
        <v>24</v>
      </c>
      <c r="Q29" s="124">
        <f>IF(P29="","",COUNTIFS($C$18:$C$2015,P$13,$D$18:$D$2015,"&gt;="&amp;P29,$D$18:$D$2015,"&lt;"&amp;P30))</f>
        <v/>
      </c>
      <c r="R29" s="14" t="n"/>
      <c r="S29" s="16" t="n">
        <v>38</v>
      </c>
      <c r="T29" s="124">
        <f>IF(S29="","",COUNTIFS($C$18:$C$2015,S$13,$D$18:$D$2015,"&gt;="&amp;S29,$D$18:$D$2015,"&lt;"&amp;S30))</f>
        <v/>
      </c>
      <c r="U29" s="14" t="n"/>
      <c r="V29" s="16" t="n">
        <v>38</v>
      </c>
      <c r="W29" s="124">
        <f>IF(V29="","",COUNTIFS($C$18:$C$2015,V$13,$D$18:$D$2015,"&gt;="&amp;V29,$D$18:$D$2015,"&lt;"&amp;V30))</f>
        <v/>
      </c>
      <c r="X29" s="14" t="n"/>
      <c r="Y29" s="16" t="n">
        <v>38</v>
      </c>
      <c r="Z29" s="124">
        <f>IF(Y29="","",COUNTIFS($C$18:$C$2015,Y$13,$D$18:$D$2015,"&gt;="&amp;Y29,$D$18:$D$2015,"&lt;"&amp;Y30))</f>
        <v/>
      </c>
      <c r="AA29" s="14" t="n"/>
      <c r="AB29" s="16" t="n">
        <v>24</v>
      </c>
      <c r="AC29" s="124">
        <f>IF(AB29="","",COUNTIFS($C$18:$C$2015,AB$13,$D$18:$D$2015,"&gt;="&amp;AB29,$D$18:$D$2015,"&lt;"&amp;AB30))</f>
        <v/>
      </c>
      <c r="AD29" s="14" t="n"/>
    </row>
    <row r="30">
      <c r="A30" s="56" t="n"/>
      <c r="B30" s="57" t="n"/>
      <c r="C30" s="57" t="n"/>
      <c r="D30" s="127" t="n"/>
      <c r="E30" s="16" t="n"/>
      <c r="F30" s="13" t="n"/>
      <c r="G30" s="16" t="n">
        <v>25</v>
      </c>
      <c r="H30" s="124">
        <f>IF(G30="","",COUNTIFS($C$18:$C$2015,G$13,$D$18:$D$2015,"&gt;="&amp;G30,$D$18:$D$2015,"&lt;"&amp;G31))</f>
        <v/>
      </c>
      <c r="I30" s="14" t="n"/>
      <c r="J30" s="16" t="n">
        <v>85</v>
      </c>
      <c r="K30" s="124">
        <f>IF(J30="","",COUNTIFS($C$18:$C$2015,J$13,$D$18:$D$2015,"&gt;="&amp;J30,$D$18:$D$2015,"&lt;"&amp;J31))</f>
        <v/>
      </c>
      <c r="L30" s="14" t="n"/>
      <c r="M30" s="16" t="n">
        <v>40</v>
      </c>
      <c r="N30" s="124">
        <f>IF(M30="","",COUNTIFS($C$18:$C$2015,M$13,$D$18:$D$2015,"&gt;="&amp;M30,$D$18:$D$2015,"&lt;"&amp;M31))</f>
        <v/>
      </c>
      <c r="O30" s="14" t="n"/>
      <c r="P30" s="16" t="n">
        <v>25</v>
      </c>
      <c r="Q30" s="124">
        <f>IF(P30="","",COUNTIFS($C$18:$C$2015,P$13,$D$18:$D$2015,"&gt;="&amp;P30,$D$18:$D$2015,"&lt;"&amp;P31))</f>
        <v/>
      </c>
      <c r="R30" s="14" t="n"/>
      <c r="S30" s="16" t="n">
        <v>40</v>
      </c>
      <c r="T30" s="124">
        <f>IF(S30="","",COUNTIFS($C$18:$C$2015,S$13,$D$18:$D$2015,"&gt;="&amp;S30,$D$18:$D$2015,"&lt;"&amp;S31))</f>
        <v/>
      </c>
      <c r="U30" s="14" t="n"/>
      <c r="V30" s="16" t="n">
        <v>40</v>
      </c>
      <c r="W30" s="124">
        <f>IF(V30="","",COUNTIFS($C$18:$C$2015,V$13,$D$18:$D$2015,"&gt;="&amp;V30,$D$18:$D$2015,"&lt;"&amp;V31))</f>
        <v/>
      </c>
      <c r="X30" s="14" t="n"/>
      <c r="Y30" s="16" t="n">
        <v>40</v>
      </c>
      <c r="Z30" s="124">
        <f>IF(Y30="","",COUNTIFS($C$18:$C$2015,Y$13,$D$18:$D$2015,"&gt;="&amp;Y30,$D$18:$D$2015,"&lt;"&amp;Y31))</f>
        <v/>
      </c>
      <c r="AA30" s="14" t="n"/>
      <c r="AB30" s="16" t="n">
        <v>25</v>
      </c>
      <c r="AC30" s="124">
        <f>IF(AB30="","",COUNTIFS($C$18:$C$2015,AB$13,$D$18:$D$2015,"&gt;="&amp;AB30,$D$18:$D$2015,"&lt;"&amp;AB31))</f>
        <v/>
      </c>
      <c r="AD30" s="14" t="n"/>
    </row>
    <row r="31">
      <c r="A31" s="58" t="n"/>
      <c r="B31" s="59" t="n"/>
      <c r="C31" s="59" t="n"/>
      <c r="D31" s="126" t="n"/>
      <c r="E31" s="16" t="n"/>
      <c r="F31" s="13" t="n"/>
      <c r="G31" s="16" t="n">
        <v>26</v>
      </c>
      <c r="H31" s="124">
        <f>IF(G31="","",COUNTIFS($C$18:$C$2015,G$13,$D$18:$D$2015,"&gt;="&amp;G31,$D$18:$D$2015,"&lt;"&amp;G32))</f>
        <v/>
      </c>
      <c r="I31" s="14" t="n"/>
      <c r="J31" s="16" t="n">
        <v>90</v>
      </c>
      <c r="K31" s="124">
        <f>IF(J31="","",COUNTIFS($C$18:$C$2015,J$13,$D$18:$D$2015,"&gt;="&amp;J31,$D$18:$D$2015,"&lt;"&amp;J32))</f>
        <v/>
      </c>
      <c r="L31" s="14" t="n"/>
      <c r="M31" s="16" t="n">
        <v>42</v>
      </c>
      <c r="N31" s="124">
        <f>IF(M31="","",COUNTIFS($C$18:$C$2015,M$13,$D$18:$D$2015,"&gt;="&amp;M31,$D$18:$D$2015,"&lt;"&amp;M32))</f>
        <v/>
      </c>
      <c r="O31" s="14" t="n"/>
      <c r="P31" s="16" t="n">
        <v>26</v>
      </c>
      <c r="Q31" s="124">
        <f>IF(P31="","",COUNTIFS($C$18:$C$2015,P$13,$D$18:$D$2015,"&gt;="&amp;P31,$D$18:$D$2015,"&lt;"&amp;P32))</f>
        <v/>
      </c>
      <c r="R31" s="14" t="n"/>
      <c r="S31" s="16" t="n">
        <v>42</v>
      </c>
      <c r="T31" s="124">
        <f>IF(S31="","",COUNTIFS($C$18:$C$2015,S$13,$D$18:$D$2015,"&gt;="&amp;S31,$D$18:$D$2015,"&lt;"&amp;S32))</f>
        <v/>
      </c>
      <c r="U31" s="14" t="n"/>
      <c r="V31" s="16" t="n">
        <v>42</v>
      </c>
      <c r="W31" s="124">
        <f>IF(V31="","",COUNTIFS($C$18:$C$2015,V$13,$D$18:$D$2015,"&gt;="&amp;V31,$D$18:$D$2015,"&lt;"&amp;V32))</f>
        <v/>
      </c>
      <c r="X31" s="14" t="n"/>
      <c r="Y31" s="16" t="n">
        <v>42</v>
      </c>
      <c r="Z31" s="124">
        <f>IF(Y31="","",COUNTIFS($C$18:$C$2015,Y$13,$D$18:$D$2015,"&gt;="&amp;Y31,$D$18:$D$2015,"&lt;"&amp;Y32))</f>
        <v/>
      </c>
      <c r="AA31" s="14" t="n"/>
      <c r="AB31" s="16" t="n">
        <v>26</v>
      </c>
      <c r="AC31" s="124">
        <f>IF(AB31="","",COUNTIFS($C$18:$C$2015,AB$13,$D$18:$D$2015,"&gt;="&amp;AB31,$D$18:$D$2015,"&lt;"&amp;AB32))</f>
        <v/>
      </c>
      <c r="AD31" s="14" t="n"/>
    </row>
    <row r="32">
      <c r="A32" s="56" t="n"/>
      <c r="B32" s="57" t="n"/>
      <c r="C32" s="57" t="n"/>
      <c r="D32" s="127" t="n"/>
      <c r="E32" s="16" t="n"/>
      <c r="F32" s="13" t="n"/>
      <c r="G32" s="16" t="n">
        <v>27</v>
      </c>
      <c r="H32" s="124">
        <f>IF(G32="","",COUNTIFS($C$18:$C$2015,G$13,$D$18:$D$2015,"&gt;="&amp;G32,$D$18:$D$2015,"&lt;"&amp;G33))</f>
        <v/>
      </c>
      <c r="I32" s="14" t="n"/>
      <c r="J32" s="16" t="n">
        <v>95</v>
      </c>
      <c r="K32" s="124">
        <f>IF(J32="","",COUNTIFS($C$18:$C$2015,J$13,$D$18:$D$2015,"&gt;="&amp;J32,$D$18:$D$2015,"&lt;"&amp;J33))</f>
        <v/>
      </c>
      <c r="L32" s="14" t="n"/>
      <c r="M32" s="16" t="n">
        <v>44</v>
      </c>
      <c r="N32" s="124">
        <f>IF(M32="","",COUNTIFS($C$18:$C$2015,M$13,$D$18:$D$2015,"&gt;="&amp;M32,$D$18:$D$2015,"&lt;"&amp;M33))</f>
        <v/>
      </c>
      <c r="O32" s="14" t="n"/>
      <c r="P32" s="16" t="n">
        <v>27</v>
      </c>
      <c r="Q32" s="124">
        <f>IF(P32="","",COUNTIFS($C$18:$C$2015,P$13,$D$18:$D$2015,"&gt;="&amp;P32,$D$18:$D$2015,"&lt;"&amp;P33))</f>
        <v/>
      </c>
      <c r="R32" s="14" t="n"/>
      <c r="S32" s="16" t="n">
        <v>44</v>
      </c>
      <c r="T32" s="124">
        <f>IF(S32="","",COUNTIFS($C$18:$C$2015,S$13,$D$18:$D$2015,"&gt;="&amp;S32,$D$18:$D$2015,"&lt;"&amp;S33))</f>
        <v/>
      </c>
      <c r="U32" s="14" t="n"/>
      <c r="V32" s="16" t="n">
        <v>44</v>
      </c>
      <c r="W32" s="124">
        <f>IF(V32="","",COUNTIFS($C$18:$C$2015,V$13,$D$18:$D$2015,"&gt;="&amp;V32,$D$18:$D$2015,"&lt;"&amp;V33))</f>
        <v/>
      </c>
      <c r="X32" s="14" t="n"/>
      <c r="Y32" s="16" t="n">
        <v>44</v>
      </c>
      <c r="Z32" s="124">
        <f>IF(Y32="","",COUNTIFS($C$18:$C$2015,Y$13,$D$18:$D$2015,"&gt;="&amp;Y32,$D$18:$D$2015,"&lt;"&amp;Y33))</f>
        <v/>
      </c>
      <c r="AA32" s="14" t="n"/>
      <c r="AB32" s="16" t="n">
        <v>27</v>
      </c>
      <c r="AC32" s="124">
        <f>IF(AB32="","",COUNTIFS($C$18:$C$2015,AB$13,$D$18:$D$2015,"&gt;="&amp;AB32,$D$18:$D$2015,"&lt;"&amp;AB33))</f>
        <v/>
      </c>
      <c r="AD32" s="14" t="n"/>
    </row>
    <row r="33">
      <c r="A33" s="58" t="n"/>
      <c r="B33" s="59" t="n"/>
      <c r="C33" s="59" t="n"/>
      <c r="D33" s="126" t="n"/>
      <c r="E33" s="16" t="n"/>
      <c r="F33" s="13" t="n"/>
      <c r="G33" s="16" t="n">
        <v>28</v>
      </c>
      <c r="H33" s="124">
        <f>IF(G33="","",COUNTIFS($C$18:$C$2015,G$13,$D$18:$D$2015,"&gt;="&amp;G33,$D$18:$D$2015,"&lt;"&amp;G34))</f>
        <v/>
      </c>
      <c r="I33" s="14" t="n"/>
      <c r="J33" s="16" t="n">
        <v>100</v>
      </c>
      <c r="K33" s="124">
        <f>IF(J33="","",COUNTIFS($C$18:$C$2015,J$13,$D$18:$D$2015,"&gt;="&amp;J33,$D$18:$D$2015,"&lt;"&amp;J34))</f>
        <v/>
      </c>
      <c r="L33" s="14" t="n"/>
      <c r="M33" s="16" t="n">
        <v>46</v>
      </c>
      <c r="N33" s="124">
        <f>IF(M33="","",COUNTIFS($C$18:$C$2015,M$13,$D$18:$D$2015,"&gt;="&amp;M33,$D$18:$D$2015,"&lt;"&amp;M34))</f>
        <v/>
      </c>
      <c r="O33" s="14" t="n"/>
      <c r="P33" s="16" t="n">
        <v>28</v>
      </c>
      <c r="Q33" s="124">
        <f>IF(P33="","",COUNTIFS($C$18:$C$2015,P$13,$D$18:$D$2015,"&gt;="&amp;P33,$D$18:$D$2015,"&lt;"&amp;P34))</f>
        <v/>
      </c>
      <c r="R33" s="14" t="n"/>
      <c r="S33" s="16" t="n">
        <v>46</v>
      </c>
      <c r="T33" s="124">
        <f>IF(S33="","",COUNTIFS($C$18:$C$2015,S$13,$D$18:$D$2015,"&gt;="&amp;S33,$D$18:$D$2015,"&lt;"&amp;S34))</f>
        <v/>
      </c>
      <c r="U33" s="14" t="n"/>
      <c r="V33" s="16" t="n">
        <v>46</v>
      </c>
      <c r="W33" s="124">
        <f>IF(V33="","",COUNTIFS($C$18:$C$2015,V$13,$D$18:$D$2015,"&gt;="&amp;V33,$D$18:$D$2015,"&lt;"&amp;V34))</f>
        <v/>
      </c>
      <c r="X33" s="14" t="n"/>
      <c r="Y33" s="16" t="n">
        <v>46</v>
      </c>
      <c r="Z33" s="124">
        <f>IF(Y33="","",COUNTIFS($C$18:$C$2015,Y$13,$D$18:$D$2015,"&gt;="&amp;Y33,$D$18:$D$2015,"&lt;"&amp;Y34))</f>
        <v/>
      </c>
      <c r="AA33" s="14" t="n"/>
      <c r="AB33" s="16" t="n">
        <v>28</v>
      </c>
      <c r="AC33" s="124">
        <f>IF(AB33="","",COUNTIFS($C$18:$C$2015,AB$13,$D$18:$D$2015,"&gt;="&amp;AB33,$D$18:$D$2015,"&lt;"&amp;AB34))</f>
        <v/>
      </c>
      <c r="AD33" s="14" t="n"/>
    </row>
    <row r="34">
      <c r="A34" s="56" t="n"/>
      <c r="B34" s="57" t="n"/>
      <c r="C34" s="57" t="n"/>
      <c r="D34" s="127" t="n"/>
      <c r="E34" s="16" t="n"/>
      <c r="F34" s="13" t="n"/>
      <c r="G34" s="16" t="n">
        <v>29</v>
      </c>
      <c r="H34" s="124">
        <f>IF(G34="","",COUNTIFS($C$18:$C$2015,G$13,$D$18:$D$2015,"&gt;="&amp;G34,$D$18:$D$2015,"&lt;"&amp;G35))</f>
        <v/>
      </c>
      <c r="I34" s="14" t="n"/>
      <c r="J34" s="16" t="n">
        <v>105</v>
      </c>
      <c r="K34" s="124">
        <f>IF(J34="","",COUNTIFS($C$18:$C$2015,J$13,$D$18:$D$2015,"&gt;="&amp;J34,$D$18:$D$2015,"&lt;"&amp;J35))</f>
        <v/>
      </c>
      <c r="L34" s="14" t="n"/>
      <c r="M34" s="16" t="n">
        <v>48</v>
      </c>
      <c r="N34" s="124">
        <f>IF(M34="","",COUNTIFS($C$18:$C$2015,M$13,$D$18:$D$2015,"&gt;="&amp;M34,$D$18:$D$2015,"&lt;"&amp;M35))</f>
        <v/>
      </c>
      <c r="O34" s="14" t="n"/>
      <c r="P34" s="16" t="n">
        <v>29</v>
      </c>
      <c r="Q34" s="124">
        <f>IF(P34="","",COUNTIFS($C$18:$C$2015,P$13,$D$18:$D$2015,"&gt;="&amp;P34,$D$18:$D$2015,"&lt;"&amp;P35))</f>
        <v/>
      </c>
      <c r="R34" s="14" t="n"/>
      <c r="S34" s="16" t="n">
        <v>48</v>
      </c>
      <c r="T34" s="124">
        <f>IF(S34="","",COUNTIFS($C$18:$C$2015,S$13,$D$18:$D$2015,"&gt;="&amp;S34,$D$18:$D$2015,"&lt;"&amp;S35))</f>
        <v/>
      </c>
      <c r="U34" s="14" t="n"/>
      <c r="V34" s="16" t="n">
        <v>48</v>
      </c>
      <c r="W34" s="124">
        <f>IF(V34="","",COUNTIFS($C$18:$C$2015,V$13,$D$18:$D$2015,"&gt;="&amp;V34,$D$18:$D$2015,"&lt;"&amp;V35))</f>
        <v/>
      </c>
      <c r="X34" s="14" t="n"/>
      <c r="Y34" s="16" t="n">
        <v>48</v>
      </c>
      <c r="Z34" s="124">
        <f>IF(Y34="","",COUNTIFS($C$18:$C$2015,Y$13,$D$18:$D$2015,"&gt;="&amp;Y34,$D$18:$D$2015,"&lt;"&amp;Y35))</f>
        <v/>
      </c>
      <c r="AA34" s="14" t="n"/>
      <c r="AB34" s="16" t="n">
        <v>29</v>
      </c>
      <c r="AC34" s="124">
        <f>IF(AB34="","",COUNTIFS($C$18:$C$2015,AB$13,$D$18:$D$2015,"&gt;="&amp;AB34,$D$18:$D$2015,"&lt;"&amp;AB35))</f>
        <v/>
      </c>
      <c r="AD34" s="14" t="n"/>
    </row>
    <row r="35">
      <c r="A35" s="58" t="n"/>
      <c r="B35" s="59" t="n"/>
      <c r="C35" s="59" t="n"/>
      <c r="D35" s="126" t="n"/>
      <c r="E35" s="16" t="n"/>
      <c r="F35" s="13" t="n"/>
      <c r="G35" s="16" t="n">
        <v>30</v>
      </c>
      <c r="H35" s="124">
        <f>IF(G35="","",COUNTIFS($C$18:$C$2015,G$13,$D$18:$D$2015,"&gt;="&amp;G35,$D$18:$D$2015,"&lt;"&amp;G36))</f>
        <v/>
      </c>
      <c r="I35" s="14" t="n"/>
      <c r="J35" s="16" t="n">
        <v>110</v>
      </c>
      <c r="K35" s="124">
        <f>IF(J35="","",COUNTIFS($C$18:$C$2015,J$13,$D$18:$D$2015,"&gt;="&amp;J35,$D$18:$D$2015,"&lt;"&amp;J36))</f>
        <v/>
      </c>
      <c r="L35" s="14" t="n"/>
      <c r="M35" s="16" t="n">
        <v>50</v>
      </c>
      <c r="N35" s="124">
        <f>IF(M35="","",COUNTIFS($C$18:$C$2015,M$13,$D$18:$D$2015,"&gt;="&amp;M35,$D$18:$D$2015,"&lt;"&amp;M36))</f>
        <v/>
      </c>
      <c r="O35" s="14" t="n"/>
      <c r="P35" s="16" t="n">
        <v>30</v>
      </c>
      <c r="Q35" s="124">
        <f>IF(P35="","",COUNTIFS($C$18:$C$2015,P$13,$D$18:$D$2015,"&gt;="&amp;P35,$D$18:$D$2015,"&lt;"&amp;P36))</f>
        <v/>
      </c>
      <c r="R35" s="14" t="n"/>
      <c r="S35" s="16" t="n">
        <v>50</v>
      </c>
      <c r="T35" s="124">
        <f>IF(S35="","",COUNTIFS($C$18:$C$2015,S$13,$D$18:$D$2015,"&gt;="&amp;S35,$D$18:$D$2015,"&lt;"&amp;S36))</f>
        <v/>
      </c>
      <c r="U35" s="14" t="n"/>
      <c r="V35" s="16" t="n">
        <v>50</v>
      </c>
      <c r="W35" s="124">
        <f>IF(V35="","",COUNTIFS($C$18:$C$2015,V$13,$D$18:$D$2015,"&gt;="&amp;V35,$D$18:$D$2015,"&lt;"&amp;V36))</f>
        <v/>
      </c>
      <c r="X35" s="14" t="n"/>
      <c r="Y35" s="16" t="n">
        <v>50</v>
      </c>
      <c r="Z35" s="124">
        <f>IF(Y35="","",COUNTIFS($C$18:$C$2015,Y$13,$D$18:$D$2015,"&gt;="&amp;Y35,$D$18:$D$2015,"&lt;"&amp;Y36))</f>
        <v/>
      </c>
      <c r="AA35" s="14" t="n"/>
      <c r="AB35" s="16" t="n">
        <v>30</v>
      </c>
      <c r="AC35" s="124">
        <f>IF(AB35="","",COUNTIFS($C$18:$C$2015,AB$13,$D$18:$D$2015,"&gt;="&amp;AB35,$D$18:$D$2015,"&lt;"&amp;AB36))</f>
        <v/>
      </c>
      <c r="AD35" s="14" t="n"/>
    </row>
    <row r="36">
      <c r="A36" s="56" t="n"/>
      <c r="B36" s="57" t="n"/>
      <c r="C36" s="57" t="n"/>
      <c r="D36" s="127" t="n"/>
      <c r="E36" s="16" t="n"/>
      <c r="F36" s="13" t="n"/>
      <c r="G36" s="16" t="n">
        <v>31</v>
      </c>
      <c r="H36" s="124">
        <f>IF(G36="","",COUNTIFS($C$18:$C$2015,G$13,$D$18:$D$2015,"&gt;="&amp;G36,$D$18:$D$2015,"&lt;"&amp;G37))</f>
        <v/>
      </c>
      <c r="I36" s="14" t="n"/>
      <c r="J36" s="16" t="n">
        <v>115</v>
      </c>
      <c r="K36" s="124">
        <f>IF(J36="","",COUNTIFS($C$18:$C$2015,J$13,$D$18:$D$2015,"&gt;="&amp;J36,$D$18:$D$2015,"&lt;"&amp;J37))</f>
        <v/>
      </c>
      <c r="L36" s="14" t="n"/>
      <c r="M36" s="16" t="n">
        <v>52</v>
      </c>
      <c r="N36" s="124">
        <f>IF(M36="","",COUNTIFS($C$18:$C$2015,M$13,$D$18:$D$2015,"&gt;="&amp;M36,$D$18:$D$2015,"&lt;"&amp;M37))</f>
        <v/>
      </c>
      <c r="O36" s="14" t="n"/>
      <c r="P36" s="16" t="n">
        <v>31</v>
      </c>
      <c r="Q36" s="124">
        <f>IF(P36="","",COUNTIFS($C$18:$C$2015,P$13,$D$18:$D$2015,"&gt;="&amp;P36,$D$18:$D$2015,"&lt;"&amp;P37))</f>
        <v/>
      </c>
      <c r="R36" s="14" t="n"/>
      <c r="S36" s="16" t="n">
        <v>52</v>
      </c>
      <c r="T36" s="124">
        <f>IF(S36="","",COUNTIFS($C$18:$C$2015,S$13,$D$18:$D$2015,"&gt;="&amp;S36,$D$18:$D$2015,"&lt;"&amp;S37))</f>
        <v/>
      </c>
      <c r="U36" s="14" t="n"/>
      <c r="V36" s="16" t="n">
        <v>52</v>
      </c>
      <c r="W36" s="124">
        <f>IF(V36="","",COUNTIFS($C$18:$C$2015,V$13,$D$18:$D$2015,"&gt;="&amp;V36,$D$18:$D$2015,"&lt;"&amp;V37))</f>
        <v/>
      </c>
      <c r="X36" s="14" t="n"/>
      <c r="Y36" s="16" t="n">
        <v>52</v>
      </c>
      <c r="Z36" s="124">
        <f>IF(Y36="","",COUNTIFS($C$18:$C$2015,Y$13,$D$18:$D$2015,"&gt;="&amp;Y36,$D$18:$D$2015,"&lt;"&amp;Y37))</f>
        <v/>
      </c>
      <c r="AA36" s="14" t="n"/>
      <c r="AB36" s="16" t="n">
        <v>31</v>
      </c>
      <c r="AC36" s="124">
        <f>IF(AB36="","",COUNTIFS($C$18:$C$2015,AB$13,$D$18:$D$2015,"&gt;="&amp;AB36,$D$18:$D$2015,"&lt;"&amp;AB37))</f>
        <v/>
      </c>
      <c r="AD36" s="14" t="n"/>
    </row>
    <row r="37">
      <c r="A37" s="58" t="n"/>
      <c r="B37" s="59" t="n"/>
      <c r="C37" s="59" t="n"/>
      <c r="D37" s="126" t="n"/>
      <c r="E37" s="16" t="n"/>
      <c r="F37" s="13" t="n"/>
      <c r="G37" s="16" t="n">
        <v>32</v>
      </c>
      <c r="H37" s="124">
        <f>IF(G37="","",COUNTIFS($C$18:$C$2015,G$13,$D$18:$D$2015,"&gt;="&amp;G37,$D$18:$D$2015,"&lt;"&amp;G38))</f>
        <v/>
      </c>
      <c r="I37" s="14" t="n"/>
      <c r="J37" s="16" t="n">
        <v>120</v>
      </c>
      <c r="K37" s="124">
        <f>IF(J37="","",COUNTIFS($C$18:$C$2015,J$13,$D$18:$D$2015,"&gt;="&amp;J37,$D$18:$D$2015,"&lt;"&amp;J38))</f>
        <v/>
      </c>
      <c r="L37" s="14" t="n"/>
      <c r="M37" s="16" t="n">
        <v>54</v>
      </c>
      <c r="N37" s="124">
        <f>IF(M37="","",COUNTIFS($C$18:$C$2015,M$13,$D$18:$D$2015,"&gt;="&amp;M37,$D$18:$D$2015,"&lt;"&amp;M38))</f>
        <v/>
      </c>
      <c r="O37" s="14" t="n"/>
      <c r="P37" s="16" t="n">
        <v>32</v>
      </c>
      <c r="Q37" s="124">
        <f>IF(P37="","",COUNTIFS($C$18:$C$2015,P$13,$D$18:$D$2015,"&gt;="&amp;P37,$D$18:$D$2015,"&lt;"&amp;P38))</f>
        <v/>
      </c>
      <c r="R37" s="14" t="n"/>
      <c r="S37" s="16" t="n">
        <v>54</v>
      </c>
      <c r="T37" s="124">
        <f>IF(S37="","",COUNTIFS($C$18:$C$2015,S$13,$D$18:$D$2015,"&gt;="&amp;S37,$D$18:$D$2015,"&lt;"&amp;S38))</f>
        <v/>
      </c>
      <c r="U37" s="14" t="n"/>
      <c r="V37" s="16" t="n">
        <v>54</v>
      </c>
      <c r="W37" s="124">
        <f>IF(V37="","",COUNTIFS($C$18:$C$2015,V$13,$D$18:$D$2015,"&gt;="&amp;V37,$D$18:$D$2015,"&lt;"&amp;V38))</f>
        <v/>
      </c>
      <c r="X37" s="14" t="n"/>
      <c r="Y37" s="16" t="n">
        <v>54</v>
      </c>
      <c r="Z37" s="124">
        <f>IF(Y37="","",COUNTIFS($C$18:$C$2015,Y$13,$D$18:$D$2015,"&gt;="&amp;Y37,$D$18:$D$2015,"&lt;"&amp;Y38))</f>
        <v/>
      </c>
      <c r="AA37" s="14" t="n"/>
      <c r="AB37" s="16" t="n">
        <v>32</v>
      </c>
      <c r="AC37" s="124">
        <f>IF(AB37="","",COUNTIFS($C$18:$C$2015,AB$13,$D$18:$D$2015,"&gt;="&amp;AB37,$D$18:$D$2015,"&lt;"&amp;AB38))</f>
        <v/>
      </c>
      <c r="AD37" s="14" t="n"/>
    </row>
    <row r="38">
      <c r="A38" s="56" t="n"/>
      <c r="B38" s="57" t="n"/>
      <c r="C38" s="57" t="n"/>
      <c r="D38" s="127" t="n"/>
      <c r="E38" s="16" t="n"/>
      <c r="F38" s="13" t="n"/>
      <c r="G38" s="16" t="n">
        <v>33</v>
      </c>
      <c r="H38" s="124">
        <f>IF(G38="","",COUNTIFS($C$18:$C$2015,G$13,$D$18:$D$2015,"&gt;="&amp;G38,$D$18:$D$2015,"&lt;"&amp;G39))</f>
        <v/>
      </c>
      <c r="I38" s="14" t="n"/>
      <c r="J38" s="16" t="n">
        <v>125</v>
      </c>
      <c r="K38" s="124">
        <f>IF(J38="","",COUNTIFS($C$18:$C$2015,J$13,$D$18:$D$2015,"&gt;="&amp;J38,$D$18:$D$2015,"&lt;"&amp;J39))</f>
        <v/>
      </c>
      <c r="L38" s="14" t="n"/>
      <c r="M38" s="16" t="n">
        <v>56</v>
      </c>
      <c r="N38" s="124">
        <f>IF(M38="","",COUNTIFS($C$18:$C$2015,M$13,$D$18:$D$2015,"&gt;="&amp;M38,$D$18:$D$2015,"&lt;"&amp;M39))</f>
        <v/>
      </c>
      <c r="O38" s="14" t="n"/>
      <c r="P38" s="16" t="n">
        <v>33</v>
      </c>
      <c r="Q38" s="124">
        <f>IF(P38="","",COUNTIFS($C$18:$C$2015,P$13,$D$18:$D$2015,"&gt;="&amp;P38,$D$18:$D$2015,"&lt;"&amp;P39))</f>
        <v/>
      </c>
      <c r="R38" s="14" t="n"/>
      <c r="S38" s="16" t="n">
        <v>56</v>
      </c>
      <c r="T38" s="124">
        <f>IF(S38="","",COUNTIFS($C$18:$C$2015,S$13,$D$18:$D$2015,"&gt;="&amp;S38,$D$18:$D$2015,"&lt;"&amp;S39))</f>
        <v/>
      </c>
      <c r="U38" s="14" t="n"/>
      <c r="V38" s="16" t="n">
        <v>56</v>
      </c>
      <c r="W38" s="124">
        <f>IF(V38="","",COUNTIFS($C$18:$C$2015,V$13,$D$18:$D$2015,"&gt;="&amp;V38,$D$18:$D$2015,"&lt;"&amp;V39))</f>
        <v/>
      </c>
      <c r="X38" s="14" t="n"/>
      <c r="Y38" s="16" t="n">
        <v>56</v>
      </c>
      <c r="Z38" s="124">
        <f>IF(Y38="","",COUNTIFS($C$18:$C$2015,Y$13,$D$18:$D$2015,"&gt;="&amp;Y38,$D$18:$D$2015,"&lt;"&amp;Y39))</f>
        <v/>
      </c>
      <c r="AA38" s="14" t="n"/>
      <c r="AB38" s="16" t="n">
        <v>33</v>
      </c>
      <c r="AC38" s="124">
        <f>IF(AB38="","",COUNTIFS($C$18:$C$2015,AB$13,$D$18:$D$2015,"&gt;="&amp;AB38,$D$18:$D$2015,"&lt;"&amp;AB39))</f>
        <v/>
      </c>
      <c r="AD38" s="14" t="n"/>
    </row>
    <row r="39">
      <c r="A39" s="58" t="n"/>
      <c r="B39" s="59" t="n"/>
      <c r="C39" s="59" t="n"/>
      <c r="D39" s="126" t="n"/>
      <c r="E39" s="16" t="n"/>
      <c r="F39" s="13" t="n"/>
      <c r="G39" s="16" t="n">
        <v>34</v>
      </c>
      <c r="H39" s="124">
        <f>IF(G39="","",COUNTIFS($C$18:$C$2015,G$13,$D$18:$D$2015,"&gt;="&amp;G39,$D$18:$D$2015,"&lt;"&amp;G40))</f>
        <v/>
      </c>
      <c r="I39" s="14" t="n"/>
      <c r="J39" s="16" t="n">
        <v>130</v>
      </c>
      <c r="K39" s="124">
        <f>IF(J39="","",COUNTIFS($C$18:$C$2015,J$13,$D$18:$D$2015,"&gt;="&amp;J39,$D$18:$D$2015,"&lt;"&amp;J40))</f>
        <v/>
      </c>
      <c r="L39" s="14" t="n"/>
      <c r="M39" s="16" t="n">
        <v>58</v>
      </c>
      <c r="N39" s="124">
        <f>IF(M39="","",COUNTIFS($C$18:$C$2015,M$13,$D$18:$D$2015,"&gt;="&amp;M39,$D$18:$D$2015,"&lt;"&amp;M40))</f>
        <v/>
      </c>
      <c r="O39" s="14" t="n"/>
      <c r="P39" s="16" t="n">
        <v>34</v>
      </c>
      <c r="Q39" s="124">
        <f>IF(P39="","",COUNTIFS($C$18:$C$2015,P$13,$D$18:$D$2015,"&gt;="&amp;P39,$D$18:$D$2015,"&lt;"&amp;P40))</f>
        <v/>
      </c>
      <c r="R39" s="14" t="n"/>
      <c r="S39" s="16" t="n">
        <v>58</v>
      </c>
      <c r="T39" s="124">
        <f>IF(S39="","",COUNTIFS($C$18:$C$2015,S$13,$D$18:$D$2015,"&gt;="&amp;S39,$D$18:$D$2015,"&lt;"&amp;S40))</f>
        <v/>
      </c>
      <c r="U39" s="14" t="n"/>
      <c r="V39" s="16" t="n">
        <v>58</v>
      </c>
      <c r="W39" s="124">
        <f>IF(V39="","",COUNTIFS($C$18:$C$2015,V$13,$D$18:$D$2015,"&gt;="&amp;V39,$D$18:$D$2015,"&lt;"&amp;V40))</f>
        <v/>
      </c>
      <c r="X39" s="14" t="n"/>
      <c r="Y39" s="16" t="n">
        <v>58</v>
      </c>
      <c r="Z39" s="124">
        <f>IF(Y39="","",COUNTIFS($C$18:$C$2015,Y$13,$D$18:$D$2015,"&gt;="&amp;Y39,$D$18:$D$2015,"&lt;"&amp;Y40))</f>
        <v/>
      </c>
      <c r="AA39" s="14" t="n"/>
      <c r="AB39" s="16" t="n">
        <v>34</v>
      </c>
      <c r="AC39" s="124">
        <f>IF(AB39="","",COUNTIFS($C$18:$C$2015,AB$13,$D$18:$D$2015,"&gt;="&amp;AB39,$D$18:$D$2015,"&lt;"&amp;AB40))</f>
        <v/>
      </c>
      <c r="AD39" s="14" t="n"/>
    </row>
    <row r="40">
      <c r="A40" s="56" t="n"/>
      <c r="B40" s="57" t="n"/>
      <c r="C40" s="57" t="n"/>
      <c r="D40" s="127" t="n"/>
      <c r="E40" s="16" t="n"/>
      <c r="F40" s="13" t="n"/>
      <c r="G40" s="16" t="n">
        <v>35</v>
      </c>
      <c r="H40" s="124">
        <f>IF(G40="","",COUNTIFS($C$18:$C$2015,G$13,$D$18:$D$2015,"&gt;="&amp;G40,$D$18:$D$2015,"&lt;"&amp;G41))</f>
        <v/>
      </c>
      <c r="I40" s="14" t="n"/>
      <c r="J40" s="16" t="n">
        <v>135</v>
      </c>
      <c r="K40" s="124">
        <f>IF(J40="","",COUNTIFS($C$18:$C$2015,J$13,$D$18:$D$2015,"&gt;="&amp;J40,$D$18:$D$2015,"&lt;"&amp;J41))</f>
        <v/>
      </c>
      <c r="L40" s="14" t="n"/>
      <c r="M40" s="16" t="n">
        <v>60</v>
      </c>
      <c r="N40" s="124">
        <f>IF(M40="","",COUNTIFS($C$18:$C$2015,M$13,$D$18:$D$2015,"&gt;="&amp;M40,$D$18:$D$2015,"&lt;"&amp;M41))</f>
        <v/>
      </c>
      <c r="O40" s="14" t="n"/>
      <c r="P40" s="16" t="n">
        <v>35</v>
      </c>
      <c r="Q40" s="124">
        <f>IF(P40="","",COUNTIFS($C$18:$C$2015,P$13,$D$18:$D$2015,"&gt;="&amp;P40,$D$18:$D$2015,"&lt;"&amp;P41))</f>
        <v/>
      </c>
      <c r="R40" s="14" t="n"/>
      <c r="S40" s="16" t="n">
        <v>60</v>
      </c>
      <c r="T40" s="124">
        <f>IF(S40="","",COUNTIFS($C$18:$C$2015,S$13,$D$18:$D$2015,"&gt;="&amp;S40,$D$18:$D$2015,"&lt;"&amp;S41))</f>
        <v/>
      </c>
      <c r="U40" s="14" t="n"/>
      <c r="V40" s="16" t="n">
        <v>60</v>
      </c>
      <c r="W40" s="124">
        <f>IF(V40="","",COUNTIFS($C$18:$C$2015,V$13,$D$18:$D$2015,"&gt;="&amp;V40,$D$18:$D$2015,"&lt;"&amp;V41))</f>
        <v/>
      </c>
      <c r="X40" s="14" t="n"/>
      <c r="Y40" s="16" t="n">
        <v>60</v>
      </c>
      <c r="Z40" s="124">
        <f>IF(Y40="","",COUNTIFS($C$18:$C$2015,Y$13,$D$18:$D$2015,"&gt;="&amp;Y40,$D$18:$D$2015,"&lt;"&amp;Y41))</f>
        <v/>
      </c>
      <c r="AA40" s="14" t="n"/>
      <c r="AB40" s="16" t="n">
        <v>35</v>
      </c>
      <c r="AC40" s="124">
        <f>IF(AB40="","",COUNTIFS($C$18:$C$2015,AB$13,$D$18:$D$2015,"&gt;="&amp;AB40,$D$18:$D$2015,"&lt;"&amp;AB41))</f>
        <v/>
      </c>
      <c r="AD40" s="14" t="n"/>
    </row>
    <row r="41">
      <c r="A41" s="58" t="n"/>
      <c r="B41" s="59" t="n"/>
      <c r="C41" s="59" t="n"/>
      <c r="D41" s="126" t="n"/>
      <c r="E41" s="16" t="n"/>
      <c r="F41" s="13" t="n"/>
      <c r="G41" s="16" t="n">
        <v>36</v>
      </c>
      <c r="H41" s="124">
        <f>IF(G41="","",COUNTIFS($C$18:$C$2015,G$13,$D$18:$D$2015,"&gt;="&amp;G41,$D$18:$D$2015,"&lt;"&amp;G42))</f>
        <v/>
      </c>
      <c r="I41" s="14" t="n"/>
      <c r="J41" s="16" t="n">
        <v>140</v>
      </c>
      <c r="K41" s="124">
        <f>IF(J41="","",COUNTIFS($C$18:$C$2015,J$13,$D$18:$D$2015,"&gt;="&amp;J41,$D$18:$D$2015,"&lt;"&amp;J42))</f>
        <v/>
      </c>
      <c r="L41" s="14" t="n"/>
      <c r="M41" s="16" t="n">
        <v>62</v>
      </c>
      <c r="N41" s="124">
        <f>IF(M41="","",COUNTIFS($C$18:$C$2015,M$13,$D$18:$D$2015,"&gt;="&amp;M41,$D$18:$D$2015,"&lt;"&amp;M42))</f>
        <v/>
      </c>
      <c r="O41" s="14" t="n"/>
      <c r="P41" s="16" t="n">
        <v>36</v>
      </c>
      <c r="Q41" s="124">
        <f>IF(P41="","",COUNTIFS($C$18:$C$2015,P$13,$D$18:$D$2015,"&gt;="&amp;P41,$D$18:$D$2015,"&lt;"&amp;P42))</f>
        <v/>
      </c>
      <c r="R41" s="14" t="n"/>
      <c r="S41" s="16" t="n">
        <v>62</v>
      </c>
      <c r="T41" s="124">
        <f>IF(S41="","",COUNTIFS($C$18:$C$2015,S$13,$D$18:$D$2015,"&gt;="&amp;S41,$D$18:$D$2015,"&lt;"&amp;S42))</f>
        <v/>
      </c>
      <c r="U41" s="14" t="n"/>
      <c r="V41" s="16" t="n">
        <v>62</v>
      </c>
      <c r="W41" s="124">
        <f>IF(V41="","",COUNTIFS($C$18:$C$2015,V$13,$D$18:$D$2015,"&gt;="&amp;V41,$D$18:$D$2015,"&lt;"&amp;V42))</f>
        <v/>
      </c>
      <c r="X41" s="14" t="n"/>
      <c r="Y41" s="16" t="n">
        <v>62</v>
      </c>
      <c r="Z41" s="124">
        <f>IF(Y41="","",COUNTIFS($C$18:$C$2015,Y$13,$D$18:$D$2015,"&gt;="&amp;Y41,$D$18:$D$2015,"&lt;"&amp;Y42))</f>
        <v/>
      </c>
      <c r="AA41" s="14" t="n"/>
      <c r="AB41" s="16" t="n">
        <v>36</v>
      </c>
      <c r="AC41" s="124">
        <f>IF(AB41="","",COUNTIFS($C$18:$C$2015,AB$13,$D$18:$D$2015,"&gt;="&amp;AB41,$D$18:$D$2015,"&lt;"&amp;AB42))</f>
        <v/>
      </c>
      <c r="AD41" s="14" t="n"/>
    </row>
    <row r="42">
      <c r="A42" s="56" t="n"/>
      <c r="B42" s="57" t="n"/>
      <c r="C42" s="57" t="n"/>
      <c r="D42" s="127" t="n"/>
      <c r="E42" s="16" t="n"/>
      <c r="F42" s="13" t="n"/>
      <c r="G42" s="16" t="n">
        <v>37</v>
      </c>
      <c r="H42" s="124">
        <f>IF(G42="","",COUNTIFS($C$18:$C$2015,G$13,$D$18:$D$2015,"&gt;="&amp;G42,$D$18:$D$2015,"&lt;"&amp;G43))</f>
        <v/>
      </c>
      <c r="I42" s="14" t="n"/>
      <c r="J42" s="16" t="n">
        <v>145</v>
      </c>
      <c r="K42" s="124">
        <f>IF(J42="","",COUNTIFS($C$18:$C$2015,J$13,$D$18:$D$2015,"&gt;="&amp;J42,$D$18:$D$2015,"&lt;"&amp;J43))</f>
        <v/>
      </c>
      <c r="L42" s="14" t="n"/>
      <c r="M42" s="16" t="n">
        <v>64</v>
      </c>
      <c r="N42" s="124">
        <f>IF(M42="","",COUNTIFS($C$18:$C$2015,M$13,$D$18:$D$2015,"&gt;="&amp;M42,$D$18:$D$2015,"&lt;"&amp;M43))</f>
        <v/>
      </c>
      <c r="O42" s="14" t="n"/>
      <c r="P42" s="16" t="n">
        <v>37</v>
      </c>
      <c r="Q42" s="124">
        <f>IF(P42="","",COUNTIFS($C$18:$C$2015,P$13,$D$18:$D$2015,"&gt;="&amp;P42,$D$18:$D$2015,"&lt;"&amp;P43))</f>
        <v/>
      </c>
      <c r="R42" s="14" t="n"/>
      <c r="S42" s="16" t="n">
        <v>64</v>
      </c>
      <c r="T42" s="124">
        <f>IF(S42="","",COUNTIFS($C$18:$C$2015,S$13,$D$18:$D$2015,"&gt;="&amp;S42,$D$18:$D$2015,"&lt;"&amp;S43))</f>
        <v/>
      </c>
      <c r="U42" s="14" t="n"/>
      <c r="V42" s="16" t="n">
        <v>64</v>
      </c>
      <c r="W42" s="124">
        <f>IF(V42="","",COUNTIFS($C$18:$C$2015,V$13,$D$18:$D$2015,"&gt;="&amp;V42,$D$18:$D$2015,"&lt;"&amp;V43))</f>
        <v/>
      </c>
      <c r="X42" s="14" t="n"/>
      <c r="Y42" s="16" t="n">
        <v>64</v>
      </c>
      <c r="Z42" s="124">
        <f>IF(Y42="","",COUNTIFS($C$18:$C$2015,Y$13,$D$18:$D$2015,"&gt;="&amp;Y42,$D$18:$D$2015,"&lt;"&amp;Y43))</f>
        <v/>
      </c>
      <c r="AA42" s="14" t="n"/>
      <c r="AB42" s="16" t="n">
        <v>37</v>
      </c>
      <c r="AC42" s="124">
        <f>IF(AB42="","",COUNTIFS($C$18:$C$2015,AB$13,$D$18:$D$2015,"&gt;="&amp;AB42,$D$18:$D$2015,"&lt;"&amp;AB43))</f>
        <v/>
      </c>
      <c r="AD42" s="14" t="n"/>
    </row>
    <row r="43">
      <c r="A43" s="58" t="n"/>
      <c r="B43" s="59" t="n"/>
      <c r="C43" s="59" t="n"/>
      <c r="D43" s="126" t="n"/>
      <c r="E43" s="16" t="n"/>
      <c r="F43" s="13" t="n"/>
      <c r="G43" s="16" t="n">
        <v>38</v>
      </c>
      <c r="H43" s="124">
        <f>IF(G43="","",COUNTIFS($C$18:$C$2015,G$13,$D$18:$D$2015,"&gt;="&amp;G43,$D$18:$D$2015,"&lt;"&amp;G44))</f>
        <v/>
      </c>
      <c r="I43" s="14" t="n"/>
      <c r="J43" s="16" t="n">
        <v>150</v>
      </c>
      <c r="K43" s="124">
        <f>IF(J43="","",COUNTIFS($C$18:$C$2015,J$13,$D$18:$D$2015,"&gt;="&amp;J43,$D$18:$D$2015,"&lt;"&amp;J44))</f>
        <v/>
      </c>
      <c r="L43" s="14" t="n"/>
      <c r="M43" s="16" t="n">
        <v>66</v>
      </c>
      <c r="N43" s="124">
        <f>IF(M43="","",COUNTIFS($C$18:$C$2015,M$13,$D$18:$D$2015,"&gt;="&amp;M43,$D$18:$D$2015,"&lt;"&amp;M44))</f>
        <v/>
      </c>
      <c r="O43" s="14" t="n"/>
      <c r="P43" s="16" t="n">
        <v>38</v>
      </c>
      <c r="Q43" s="124">
        <f>IF(P43="","",COUNTIFS($C$18:$C$2015,P$13,$D$18:$D$2015,"&gt;="&amp;P43,$D$18:$D$2015,"&lt;"&amp;P44))</f>
        <v/>
      </c>
      <c r="R43" s="14" t="n"/>
      <c r="S43" s="16" t="n">
        <v>66</v>
      </c>
      <c r="T43" s="124">
        <f>IF(S43="","",COUNTIFS($C$18:$C$2015,S$13,$D$18:$D$2015,"&gt;="&amp;S43,$D$18:$D$2015,"&lt;"&amp;S44))</f>
        <v/>
      </c>
      <c r="U43" s="14" t="n"/>
      <c r="V43" s="16" t="n">
        <v>66</v>
      </c>
      <c r="W43" s="124">
        <f>IF(V43="","",COUNTIFS($C$18:$C$2015,V$13,$D$18:$D$2015,"&gt;="&amp;V43,$D$18:$D$2015,"&lt;"&amp;V44))</f>
        <v/>
      </c>
      <c r="X43" s="14" t="n"/>
      <c r="Y43" s="16" t="n">
        <v>66</v>
      </c>
      <c r="Z43" s="124">
        <f>IF(Y43="","",COUNTIFS($C$18:$C$2015,Y$13,$D$18:$D$2015,"&gt;="&amp;Y43,$D$18:$D$2015,"&lt;"&amp;Y44))</f>
        <v/>
      </c>
      <c r="AA43" s="14" t="n"/>
      <c r="AB43" s="16" t="n">
        <v>38</v>
      </c>
      <c r="AC43" s="124">
        <f>IF(AB43="","",COUNTIFS($C$18:$C$2015,AB$13,$D$18:$D$2015,"&gt;="&amp;AB43,$D$18:$D$2015,"&lt;"&amp;AB44))</f>
        <v/>
      </c>
      <c r="AD43" s="14" t="n"/>
    </row>
    <row r="44">
      <c r="A44" s="56" t="n"/>
      <c r="B44" s="57" t="n"/>
      <c r="C44" s="57" t="n"/>
      <c r="D44" s="127" t="n"/>
      <c r="E44" s="16" t="n"/>
      <c r="F44" s="13" t="n"/>
      <c r="G44" s="16" t="n">
        <v>39</v>
      </c>
      <c r="H44" s="124">
        <f>IF(G44="","",COUNTIFS($C$18:$C$2015,G$13,$D$18:$D$2015,"&gt;="&amp;G44,$D$18:$D$2015,"&lt;"&amp;G45))</f>
        <v/>
      </c>
      <c r="I44" s="14" t="n"/>
      <c r="J44" s="16" t="n"/>
      <c r="K44" s="124">
        <f>IF(J44="","",COUNTIFS($C$18:$C$2015,J$13,$D$18:$D$2015,"&gt;="&amp;J44,$D$18:$D$2015,"&lt;"&amp;J45))</f>
        <v/>
      </c>
      <c r="L44" s="14" t="n"/>
      <c r="M44" s="16" t="n">
        <v>68</v>
      </c>
      <c r="N44" s="124">
        <f>IF(M44="","",COUNTIFS($C$18:$C$2015,M$13,$D$18:$D$2015,"&gt;="&amp;M44,$D$18:$D$2015,"&lt;"&amp;M45))</f>
        <v/>
      </c>
      <c r="O44" s="14" t="n"/>
      <c r="P44" s="16" t="n">
        <v>39</v>
      </c>
      <c r="Q44" s="124">
        <f>IF(P44="","",COUNTIFS($C$18:$C$2015,P$13,$D$18:$D$2015,"&gt;="&amp;P44,$D$18:$D$2015,"&lt;"&amp;P45))</f>
        <v/>
      </c>
      <c r="R44" s="14" t="n"/>
      <c r="S44" s="16" t="n">
        <v>68</v>
      </c>
      <c r="T44" s="124">
        <f>IF(S44="","",COUNTIFS($C$18:$C$2015,S$13,$D$18:$D$2015,"&gt;="&amp;S44,$D$18:$D$2015,"&lt;"&amp;S45))</f>
        <v/>
      </c>
      <c r="U44" s="14" t="n"/>
      <c r="V44" s="16" t="n">
        <v>68</v>
      </c>
      <c r="W44" s="124">
        <f>IF(V44="","",COUNTIFS($C$18:$C$2015,V$13,$D$18:$D$2015,"&gt;="&amp;V44,$D$18:$D$2015,"&lt;"&amp;V45))</f>
        <v/>
      </c>
      <c r="X44" s="14" t="n"/>
      <c r="Y44" s="16" t="n">
        <v>68</v>
      </c>
      <c r="Z44" s="124">
        <f>IF(Y44="","",COUNTIFS($C$18:$C$2015,Y$13,$D$18:$D$2015,"&gt;="&amp;Y44,$D$18:$D$2015,"&lt;"&amp;Y45))</f>
        <v/>
      </c>
      <c r="AA44" s="14" t="n"/>
      <c r="AB44" s="16" t="n">
        <v>39</v>
      </c>
      <c r="AC44" s="124">
        <f>IF(AB44="","",COUNTIFS($C$18:$C$2015,AB$13,$D$18:$D$2015,"&gt;="&amp;AB44,$D$18:$D$2015,"&lt;"&amp;AB45))</f>
        <v/>
      </c>
      <c r="AD44" s="14" t="n"/>
    </row>
    <row r="45">
      <c r="A45" s="58" t="n"/>
      <c r="B45" s="59" t="n"/>
      <c r="C45" s="59" t="n"/>
      <c r="D45" s="126" t="n"/>
      <c r="E45" s="16" t="n"/>
      <c r="F45" s="13" t="n"/>
      <c r="G45" s="16" t="n">
        <v>40</v>
      </c>
      <c r="H45" s="124">
        <f>IF(G45="","",COUNTIFS($C$18:$C$2015,G$13,$D$18:$D$2015,"&gt;="&amp;G45,$D$18:$D$2015,"&lt;"&amp;G46))</f>
        <v/>
      </c>
      <c r="I45" s="14" t="n"/>
      <c r="J45" s="16" t="n"/>
      <c r="K45" s="124">
        <f>IF(J45="","",COUNTIFS($C$18:$C$2015,J$13,$D$18:$D$2015,"&gt;="&amp;J45,$D$18:$D$2015,"&lt;"&amp;J46))</f>
        <v/>
      </c>
      <c r="L45" s="14" t="n"/>
      <c r="M45" s="16" t="n">
        <v>70</v>
      </c>
      <c r="N45" s="124">
        <f>IF(M45="","",COUNTIFS($C$18:$C$2015,M$13,$D$18:$D$2015,"&gt;="&amp;M45,$D$18:$D$2015,"&lt;"&amp;M46))</f>
        <v/>
      </c>
      <c r="O45" s="14" t="n"/>
      <c r="P45" s="16" t="n">
        <v>40</v>
      </c>
      <c r="Q45" s="124">
        <f>IF(P45="","",COUNTIFS($C$18:$C$2015,P$13,$D$18:$D$2015,"&gt;="&amp;P45,$D$18:$D$2015,"&lt;"&amp;P46))</f>
        <v/>
      </c>
      <c r="R45" s="14" t="n"/>
      <c r="S45" s="16" t="n">
        <v>70</v>
      </c>
      <c r="T45" s="124">
        <f>IF(S45="","",COUNTIFS($C$18:$C$2015,S$13,$D$18:$D$2015,"&gt;="&amp;S45,$D$18:$D$2015,"&lt;"&amp;S46))</f>
        <v/>
      </c>
      <c r="U45" s="14" t="n"/>
      <c r="V45" s="16" t="n">
        <v>70</v>
      </c>
      <c r="W45" s="124">
        <f>IF(V45="","",COUNTIFS($C$18:$C$2015,V$13,$D$18:$D$2015,"&gt;="&amp;V45,$D$18:$D$2015,"&lt;"&amp;V46))</f>
        <v/>
      </c>
      <c r="X45" s="14" t="n"/>
      <c r="Y45" s="16" t="n">
        <v>70</v>
      </c>
      <c r="Z45" s="124">
        <f>IF(Y45="","",COUNTIFS($C$18:$C$2015,Y$13,$D$18:$D$2015,"&gt;="&amp;Y45,$D$18:$D$2015,"&lt;"&amp;Y46))</f>
        <v/>
      </c>
      <c r="AA45" s="14" t="n"/>
      <c r="AB45" s="16" t="n">
        <v>40</v>
      </c>
      <c r="AC45" s="124">
        <f>IF(AB45="","",COUNTIFS($C$18:$C$2015,AB$13,$D$18:$D$2015,"&gt;="&amp;AB45,$D$18:$D$2015,"&lt;"&amp;AB46))</f>
        <v/>
      </c>
      <c r="AD45" s="14" t="n"/>
    </row>
    <row r="46">
      <c r="A46" s="56" t="n"/>
      <c r="B46" s="57" t="n"/>
      <c r="C46" s="57" t="n"/>
      <c r="D46" s="127" t="n"/>
      <c r="E46" s="16" t="n"/>
      <c r="F46" s="13" t="n"/>
      <c r="G46" s="16" t="n">
        <v>41</v>
      </c>
      <c r="H46" s="124">
        <f>IF(G46="","",COUNTIFS($C$18:$C$2015,G$13,$D$18:$D$2015,"&gt;="&amp;G46,$D$18:$D$2015,"&lt;"&amp;G47))</f>
        <v/>
      </c>
      <c r="I46" s="14" t="n"/>
      <c r="J46" s="16" t="n"/>
      <c r="K46" s="124">
        <f>IF(J46="","",COUNTIFS($C$18:$C$2015,J$13,$D$18:$D$2015,"&gt;="&amp;J46,$D$18:$D$2015,"&lt;"&amp;J47))</f>
        <v/>
      </c>
      <c r="L46" s="14" t="n"/>
      <c r="M46" s="16" t="n">
        <v>72</v>
      </c>
      <c r="N46" s="124">
        <f>IF(M46="","",COUNTIFS($C$18:$C$2015,M$13,$D$18:$D$2015,"&gt;="&amp;M46,$D$18:$D$2015,"&lt;"&amp;M47))</f>
        <v/>
      </c>
      <c r="O46" s="14" t="n"/>
      <c r="P46" s="16" t="n">
        <v>41</v>
      </c>
      <c r="Q46" s="124">
        <f>IF(P46="","",COUNTIFS($C$18:$C$2015,P$13,$D$18:$D$2015,"&gt;="&amp;P46,$D$18:$D$2015,"&lt;"&amp;P47))</f>
        <v/>
      </c>
      <c r="R46" s="14" t="n"/>
      <c r="S46" s="16" t="n">
        <v>72</v>
      </c>
      <c r="T46" s="124">
        <f>IF(S46="","",COUNTIFS($C$18:$C$2015,S$13,$D$18:$D$2015,"&gt;="&amp;S46,$D$18:$D$2015,"&lt;"&amp;S47))</f>
        <v/>
      </c>
      <c r="U46" s="14" t="n"/>
      <c r="V46" s="16" t="n">
        <v>72</v>
      </c>
      <c r="W46" s="124">
        <f>IF(V46="","",COUNTIFS($C$18:$C$2015,V$13,$D$18:$D$2015,"&gt;="&amp;V46,$D$18:$D$2015,"&lt;"&amp;V47))</f>
        <v/>
      </c>
      <c r="X46" s="14" t="n"/>
      <c r="Y46" s="16" t="n">
        <v>72</v>
      </c>
      <c r="Z46" s="124">
        <f>IF(Y46="","",COUNTIFS($C$18:$C$2015,Y$13,$D$18:$D$2015,"&gt;="&amp;Y46,$D$18:$D$2015,"&lt;"&amp;Y47))</f>
        <v/>
      </c>
      <c r="AA46" s="14" t="n"/>
      <c r="AB46" s="16" t="n">
        <v>41</v>
      </c>
      <c r="AC46" s="124">
        <f>IF(AB46="","",COUNTIFS($C$18:$C$2015,AB$13,$D$18:$D$2015,"&gt;="&amp;AB46,$D$18:$D$2015,"&lt;"&amp;AB47))</f>
        <v/>
      </c>
      <c r="AD46" s="14" t="n"/>
    </row>
    <row r="47">
      <c r="A47" s="58" t="n"/>
      <c r="B47" s="59" t="n"/>
      <c r="C47" s="59" t="n"/>
      <c r="D47" s="126" t="n"/>
      <c r="E47" s="16" t="n"/>
      <c r="F47" s="13" t="n"/>
      <c r="G47" s="16" t="n">
        <v>42</v>
      </c>
      <c r="H47" s="124">
        <f>IF(G47="","",COUNTIFS($C$18:$C$2015,G$13,$D$18:$D$2015,"&gt;="&amp;G47,$D$18:$D$2015,"&lt;"&amp;G48))</f>
        <v/>
      </c>
      <c r="I47" s="14" t="n"/>
      <c r="J47" s="16" t="n"/>
      <c r="K47" s="124">
        <f>IF(J47="","",COUNTIFS($C$18:$C$2015,J$13,$D$18:$D$2015,"&gt;="&amp;J47,$D$18:$D$2015,"&lt;"&amp;J48))</f>
        <v/>
      </c>
      <c r="L47" s="14" t="n"/>
      <c r="M47" s="16" t="n">
        <v>74</v>
      </c>
      <c r="N47" s="124">
        <f>IF(M47="","",COUNTIFS($C$18:$C$2015,M$13,$D$18:$D$2015,"&gt;="&amp;M47,$D$18:$D$2015,"&lt;"&amp;M48))</f>
        <v/>
      </c>
      <c r="O47" s="14" t="n"/>
      <c r="P47" s="16" t="n">
        <v>42</v>
      </c>
      <c r="Q47" s="124">
        <f>IF(P47="","",COUNTIFS($C$18:$C$2015,P$13,$D$18:$D$2015,"&gt;="&amp;P47,$D$18:$D$2015,"&lt;"&amp;P48))</f>
        <v/>
      </c>
      <c r="R47" s="14" t="n"/>
      <c r="S47" s="16" t="n">
        <v>74</v>
      </c>
      <c r="T47" s="124">
        <f>IF(S47="","",COUNTIFS($C$18:$C$2015,S$13,$D$18:$D$2015,"&gt;="&amp;S47,$D$18:$D$2015,"&lt;"&amp;S48))</f>
        <v/>
      </c>
      <c r="U47" s="14" t="n"/>
      <c r="V47" s="16" t="n">
        <v>74</v>
      </c>
      <c r="W47" s="124">
        <f>IF(V47="","",COUNTIFS($C$18:$C$2015,V$13,$D$18:$D$2015,"&gt;="&amp;V47,$D$18:$D$2015,"&lt;"&amp;V48))</f>
        <v/>
      </c>
      <c r="X47" s="14" t="n"/>
      <c r="Y47" s="16" t="n">
        <v>74</v>
      </c>
      <c r="Z47" s="124">
        <f>IF(Y47="","",COUNTIFS($C$18:$C$2015,Y$13,$D$18:$D$2015,"&gt;="&amp;Y47,$D$18:$D$2015,"&lt;"&amp;Y48))</f>
        <v/>
      </c>
      <c r="AA47" s="14" t="n"/>
      <c r="AB47" s="16" t="n">
        <v>42</v>
      </c>
      <c r="AC47" s="124">
        <f>IF(AB47="","",COUNTIFS($C$18:$C$2015,AB$13,$D$18:$D$2015,"&gt;="&amp;AB47,$D$18:$D$2015,"&lt;"&amp;AB48))</f>
        <v/>
      </c>
      <c r="AD47" s="14" t="n"/>
    </row>
    <row r="48">
      <c r="A48" s="56" t="n"/>
      <c r="B48" s="57" t="n"/>
      <c r="C48" s="57" t="n"/>
      <c r="D48" s="127" t="n"/>
      <c r="E48" s="16" t="n"/>
      <c r="F48" s="13" t="n"/>
      <c r="G48" s="16" t="n">
        <v>43</v>
      </c>
      <c r="H48" s="124">
        <f>IF(G48="","",COUNTIFS($C$18:$C$2015,G$13,$D$18:$D$2015,"&gt;="&amp;G48,$D$18:$D$2015,"&lt;"&amp;G49))</f>
        <v/>
      </c>
      <c r="I48" s="14" t="n"/>
      <c r="J48" s="16" t="n"/>
      <c r="K48" s="124">
        <f>IF(J48="","",COUNTIFS($C$18:$C$2015,J$13,$D$18:$D$2015,"&gt;="&amp;J48,$D$18:$D$2015,"&lt;"&amp;J49))</f>
        <v/>
      </c>
      <c r="L48" s="14" t="n"/>
      <c r="M48" s="16" t="n">
        <v>76</v>
      </c>
      <c r="N48" s="124">
        <f>IF(M48="","",COUNTIFS($C$18:$C$2015,M$13,$D$18:$D$2015,"&gt;="&amp;M48,$D$18:$D$2015,"&lt;"&amp;M49))</f>
        <v/>
      </c>
      <c r="O48" s="14" t="n"/>
      <c r="P48" s="16" t="n">
        <v>43</v>
      </c>
      <c r="Q48" s="124">
        <f>IF(P48="","",COUNTIFS($C$18:$C$2015,P$13,$D$18:$D$2015,"&gt;="&amp;P48,$D$18:$D$2015,"&lt;"&amp;P49))</f>
        <v/>
      </c>
      <c r="R48" s="14" t="n"/>
      <c r="S48" s="16" t="n">
        <v>76</v>
      </c>
      <c r="T48" s="124">
        <f>IF(S48="","",COUNTIFS($C$18:$C$2015,S$13,$D$18:$D$2015,"&gt;="&amp;S48,$D$18:$D$2015,"&lt;"&amp;S49))</f>
        <v/>
      </c>
      <c r="U48" s="14" t="n"/>
      <c r="V48" s="16" t="n">
        <v>76</v>
      </c>
      <c r="W48" s="124">
        <f>IF(V48="","",COUNTIFS($C$18:$C$2015,V$13,$D$18:$D$2015,"&gt;="&amp;V48,$D$18:$D$2015,"&lt;"&amp;V49))</f>
        <v/>
      </c>
      <c r="X48" s="14" t="n"/>
      <c r="Y48" s="16" t="n">
        <v>76</v>
      </c>
      <c r="Z48" s="124">
        <f>IF(Y48="","",COUNTIFS($C$18:$C$2015,Y$13,$D$18:$D$2015,"&gt;="&amp;Y48,$D$18:$D$2015,"&lt;"&amp;Y49))</f>
        <v/>
      </c>
      <c r="AA48" s="14" t="n"/>
      <c r="AB48" s="16" t="n">
        <v>43</v>
      </c>
      <c r="AC48" s="124">
        <f>IF(AB48="","",COUNTIFS($C$18:$C$2015,AB$13,$D$18:$D$2015,"&gt;="&amp;AB48,$D$18:$D$2015,"&lt;"&amp;AB49))</f>
        <v/>
      </c>
      <c r="AD48" s="14" t="n"/>
    </row>
    <row r="49">
      <c r="A49" s="58" t="n"/>
      <c r="B49" s="59" t="n"/>
      <c r="C49" s="59" t="n"/>
      <c r="D49" s="126" t="n"/>
      <c r="E49" s="16" t="n"/>
      <c r="F49" s="13" t="n"/>
      <c r="G49" s="16" t="n">
        <v>44</v>
      </c>
      <c r="H49" s="124">
        <f>IF(G49="","",COUNTIFS($C$18:$C$2015,G$13,$D$18:$D$2015,"&gt;="&amp;G49,$D$18:$D$2015,"&lt;"&amp;G50))</f>
        <v/>
      </c>
      <c r="I49" s="14" t="n"/>
      <c r="J49" s="16" t="n"/>
      <c r="K49" s="124">
        <f>IF(J49="","",COUNTIFS($C$18:$C$2015,J$13,$D$18:$D$2015,"&gt;="&amp;J49,$D$18:$D$2015,"&lt;"&amp;J50))</f>
        <v/>
      </c>
      <c r="L49" s="14" t="n"/>
      <c r="M49" s="16" t="n">
        <v>78</v>
      </c>
      <c r="N49" s="124">
        <f>IF(M49="","",COUNTIFS($C$18:$C$2015,M$13,$D$18:$D$2015,"&gt;="&amp;M49,$D$18:$D$2015,"&lt;"&amp;M50))</f>
        <v/>
      </c>
      <c r="O49" s="14" t="n"/>
      <c r="P49" s="16" t="n">
        <v>44</v>
      </c>
      <c r="Q49" s="124">
        <f>IF(P49="","",COUNTIFS($C$18:$C$2015,P$13,$D$18:$D$2015,"&gt;="&amp;P49,$D$18:$D$2015,"&lt;"&amp;P50))</f>
        <v/>
      </c>
      <c r="R49" s="14" t="n"/>
      <c r="S49" s="16" t="n">
        <v>78</v>
      </c>
      <c r="T49" s="124">
        <f>IF(S49="","",COUNTIFS($C$18:$C$2015,S$13,$D$18:$D$2015,"&gt;="&amp;S49,$D$18:$D$2015,"&lt;"&amp;S50))</f>
        <v/>
      </c>
      <c r="U49" s="14" t="n"/>
      <c r="V49" s="16" t="n">
        <v>78</v>
      </c>
      <c r="W49" s="124">
        <f>IF(V49="","",COUNTIFS($C$18:$C$2015,V$13,$D$18:$D$2015,"&gt;="&amp;V49,$D$18:$D$2015,"&lt;"&amp;V50))</f>
        <v/>
      </c>
      <c r="X49" s="14" t="n"/>
      <c r="Y49" s="16" t="n">
        <v>78</v>
      </c>
      <c r="Z49" s="124">
        <f>IF(Y49="","",COUNTIFS($C$18:$C$2015,Y$13,$D$18:$D$2015,"&gt;="&amp;Y49,$D$18:$D$2015,"&lt;"&amp;Y50))</f>
        <v/>
      </c>
      <c r="AA49" s="14" t="n"/>
      <c r="AB49" s="16" t="n">
        <v>44</v>
      </c>
      <c r="AC49" s="124">
        <f>IF(AB49="","",COUNTIFS($C$18:$C$2015,AB$13,$D$18:$D$2015,"&gt;="&amp;AB49,$D$18:$D$2015,"&lt;"&amp;AB50))</f>
        <v/>
      </c>
      <c r="AD49" s="14" t="n"/>
    </row>
    <row r="50">
      <c r="A50" s="56" t="n"/>
      <c r="B50" s="57" t="n"/>
      <c r="C50" s="57" t="n"/>
      <c r="D50" s="127" t="n"/>
      <c r="E50" s="16" t="n"/>
      <c r="F50" s="13" t="n"/>
      <c r="G50" s="16" t="n">
        <v>45</v>
      </c>
      <c r="H50" s="124">
        <f>IF(G50="","",COUNTIFS($C$18:$C$2015,G$13,$D$18:$D$2015,"&gt;="&amp;G50,$D$18:$D$2015,"&lt;"&amp;G51))</f>
        <v/>
      </c>
      <c r="I50" s="14" t="n"/>
      <c r="J50" s="16" t="n"/>
      <c r="K50" s="124">
        <f>IF(J50="","",COUNTIFS($C$18:$C$2015,J$13,$D$18:$D$2015,"&gt;="&amp;J50,$D$18:$D$2015,"&lt;"&amp;J51))</f>
        <v/>
      </c>
      <c r="L50" s="14" t="n"/>
      <c r="M50" s="16" t="n">
        <v>80</v>
      </c>
      <c r="N50" s="124">
        <f>IF(M50="","",COUNTIFS($C$18:$C$2015,M$13,$D$18:$D$2015,"&gt;="&amp;M50,$D$18:$D$2015,"&lt;"&amp;M51))</f>
        <v/>
      </c>
      <c r="O50" s="14" t="n"/>
      <c r="P50" s="16" t="n">
        <v>45</v>
      </c>
      <c r="Q50" s="124">
        <f>IF(P50="","",COUNTIFS($C$18:$C$2015,P$13,$D$18:$D$2015,"&gt;="&amp;P50,$D$18:$D$2015,"&lt;"&amp;P51))</f>
        <v/>
      </c>
      <c r="R50" s="14" t="n"/>
      <c r="S50" s="16" t="n">
        <v>80</v>
      </c>
      <c r="T50" s="124">
        <f>IF(S50="","",COUNTIFS($C$18:$C$2015,S$13,$D$18:$D$2015,"&gt;="&amp;S50,$D$18:$D$2015,"&lt;"&amp;S51))</f>
        <v/>
      </c>
      <c r="U50" s="14" t="n"/>
      <c r="V50" s="16" t="n">
        <v>80</v>
      </c>
      <c r="W50" s="124">
        <f>IF(V50="","",COUNTIFS($C$18:$C$2015,V$13,$D$18:$D$2015,"&gt;="&amp;V50,$D$18:$D$2015,"&lt;"&amp;V51))</f>
        <v/>
      </c>
      <c r="X50" s="14" t="n"/>
      <c r="Y50" s="16" t="n">
        <v>80</v>
      </c>
      <c r="Z50" s="124">
        <f>IF(Y50="","",COUNTIFS($C$18:$C$2015,Y$13,$D$18:$D$2015,"&gt;="&amp;Y50,$D$18:$D$2015,"&lt;"&amp;Y51))</f>
        <v/>
      </c>
      <c r="AA50" s="14" t="n"/>
      <c r="AB50" s="16" t="n">
        <v>45</v>
      </c>
      <c r="AC50" s="124">
        <f>IF(AB50="","",COUNTIFS($C$18:$C$2015,AB$13,$D$18:$D$2015,"&gt;="&amp;AB50,$D$18:$D$2015,"&lt;"&amp;AB51))</f>
        <v/>
      </c>
      <c r="AD50" s="14" t="n"/>
    </row>
    <row r="51">
      <c r="A51" s="58" t="n"/>
      <c r="B51" s="59" t="n"/>
      <c r="C51" s="59" t="n"/>
      <c r="D51" s="126" t="n"/>
      <c r="E51" s="16" t="n"/>
      <c r="F51" s="13" t="n"/>
      <c r="G51" s="16" t="n">
        <v>46</v>
      </c>
      <c r="H51" s="124">
        <f>IF(G51="","",COUNTIFS($C$18:$C$2015,G$13,$D$18:$D$2015,"&gt;="&amp;G51,$D$18:$D$2015,"&lt;"&amp;G52))</f>
        <v/>
      </c>
      <c r="I51" s="14" t="n"/>
      <c r="J51" s="16" t="n"/>
      <c r="K51" s="124">
        <f>IF(J51="","",COUNTIFS($C$18:$C$2015,J$13,$D$18:$D$2015,"&gt;="&amp;J51,$D$18:$D$2015,"&lt;"&amp;J52))</f>
        <v/>
      </c>
      <c r="L51" s="14" t="n"/>
      <c r="M51" s="16" t="n">
        <v>82</v>
      </c>
      <c r="N51" s="124">
        <f>IF(M51="","",COUNTIFS($C$18:$C$2015,M$13,$D$18:$D$2015,"&gt;="&amp;M51,$D$18:$D$2015,"&lt;"&amp;M52))</f>
        <v/>
      </c>
      <c r="O51" s="14" t="n"/>
      <c r="P51" s="16" t="n">
        <v>46</v>
      </c>
      <c r="Q51" s="124">
        <f>IF(P51="","",COUNTIFS($C$18:$C$2015,P$13,$D$18:$D$2015,"&gt;="&amp;P51,$D$18:$D$2015,"&lt;"&amp;P52))</f>
        <v/>
      </c>
      <c r="R51" s="14" t="n"/>
      <c r="S51" s="16" t="n">
        <v>82</v>
      </c>
      <c r="T51" s="124">
        <f>IF(S51="","",COUNTIFS($C$18:$C$2015,S$13,$D$18:$D$2015,"&gt;="&amp;S51,$D$18:$D$2015,"&lt;"&amp;S52))</f>
        <v/>
      </c>
      <c r="U51" s="14" t="n"/>
      <c r="V51" s="16" t="n"/>
      <c r="W51" s="124">
        <f>IF(V51="","",COUNTIFS($C$18:$C$2015,V$13,$D$18:$D$2015,"&gt;="&amp;V51,$D$18:$D$2015,"&lt;"&amp;V52))</f>
        <v/>
      </c>
      <c r="X51" s="14" t="n"/>
      <c r="Y51" s="16" t="n"/>
      <c r="Z51" s="124">
        <f>IF(Y51="","",COUNTIFS($C$18:$C$2015,Y$13,$D$18:$D$2015,"&gt;="&amp;Y51,$D$18:$D$2015,"&lt;"&amp;Y52))</f>
        <v/>
      </c>
      <c r="AA51" s="14" t="n"/>
      <c r="AB51" s="16" t="n">
        <v>46</v>
      </c>
      <c r="AC51" s="124">
        <f>IF(AB51="","",COUNTIFS($C$18:$C$2015,AB$13,$D$18:$D$2015,"&gt;="&amp;AB51,$D$18:$D$2015,"&lt;"&amp;AB52))</f>
        <v/>
      </c>
      <c r="AD51" s="14" t="n"/>
    </row>
    <row r="52">
      <c r="A52" s="56" t="n"/>
      <c r="B52" s="57" t="n"/>
      <c r="C52" s="57" t="n"/>
      <c r="D52" s="127" t="n"/>
      <c r="E52" s="16" t="n"/>
      <c r="F52" s="13" t="n"/>
      <c r="G52" s="16" t="n">
        <v>47</v>
      </c>
      <c r="H52" s="124">
        <f>IF(G52="","",COUNTIFS($C$18:$C$2015,G$13,$D$18:$D$2015,"&gt;="&amp;G52,$D$18:$D$2015,"&lt;"&amp;G53))</f>
        <v/>
      </c>
      <c r="I52" s="14" t="n"/>
      <c r="J52" s="16" t="n"/>
      <c r="K52" s="124">
        <f>IF(J52="","",COUNTIFS($C$18:$C$2015,J$13,$D$18:$D$2015,"&gt;="&amp;J52,$D$18:$D$2015,"&lt;"&amp;J53))</f>
        <v/>
      </c>
      <c r="L52" s="14" t="n"/>
      <c r="M52" s="16" t="n">
        <v>84</v>
      </c>
      <c r="N52" s="124">
        <f>IF(M52="","",COUNTIFS($C$18:$C$2015,M$13,$D$18:$D$2015,"&gt;="&amp;M52,$D$18:$D$2015,"&lt;"&amp;M53))</f>
        <v/>
      </c>
      <c r="O52" s="14" t="n"/>
      <c r="P52" s="16" t="n">
        <v>47</v>
      </c>
      <c r="Q52" s="124">
        <f>IF(P52="","",COUNTIFS($C$18:$C$2015,P$13,$D$18:$D$2015,"&gt;="&amp;P52,$D$18:$D$2015,"&lt;"&amp;P53))</f>
        <v/>
      </c>
      <c r="R52" s="14" t="n"/>
      <c r="S52" s="16" t="n">
        <v>84</v>
      </c>
      <c r="T52" s="124">
        <f>IF(S52="","",COUNTIFS($C$18:$C$2015,S$13,$D$18:$D$2015,"&gt;="&amp;S52,$D$18:$D$2015,"&lt;"&amp;S53))</f>
        <v/>
      </c>
      <c r="U52" s="14" t="n"/>
      <c r="V52" s="16" t="n"/>
      <c r="W52" s="124">
        <f>IF(V52="","",COUNTIFS($C$18:$C$2015,V$13,$D$18:$D$2015,"&gt;="&amp;V52,$D$18:$D$2015,"&lt;"&amp;V53))</f>
        <v/>
      </c>
      <c r="X52" s="14" t="n"/>
      <c r="Y52" s="16" t="n"/>
      <c r="Z52" s="124">
        <f>IF(Y52="","",COUNTIFS($C$18:$C$2015,Y$13,$D$18:$D$2015,"&gt;="&amp;Y52,$D$18:$D$2015,"&lt;"&amp;Y53))</f>
        <v/>
      </c>
      <c r="AA52" s="14" t="n"/>
      <c r="AB52" s="16" t="n">
        <v>47</v>
      </c>
      <c r="AC52" s="124">
        <f>IF(AB52="","",COUNTIFS($C$18:$C$2015,AB$13,$D$18:$D$2015,"&gt;="&amp;AB52,$D$18:$D$2015,"&lt;"&amp;AB53))</f>
        <v/>
      </c>
      <c r="AD52" s="14" t="n"/>
    </row>
    <row r="53">
      <c r="A53" s="58" t="n"/>
      <c r="B53" s="59" t="n"/>
      <c r="C53" s="59" t="n"/>
      <c r="D53" s="126" t="n"/>
      <c r="E53" s="16" t="n"/>
      <c r="F53" s="13" t="n"/>
      <c r="G53" s="16" t="n">
        <v>48</v>
      </c>
      <c r="H53" s="124">
        <f>IF(G53="","",COUNTIFS($C$18:$C$2015,G$13,$D$18:$D$2015,"&gt;="&amp;G53,$D$18:$D$2015,"&lt;"&amp;G54))</f>
        <v/>
      </c>
      <c r="I53" s="14" t="n"/>
      <c r="J53" s="16" t="n"/>
      <c r="K53" s="124">
        <f>IF(J53="","",COUNTIFS($C$18:$C$2015,J$13,$D$18:$D$2015,"&gt;="&amp;J53,$D$18:$D$2015,"&lt;"&amp;J54))</f>
        <v/>
      </c>
      <c r="L53" s="14" t="n"/>
      <c r="M53" s="16" t="n">
        <v>86</v>
      </c>
      <c r="N53" s="124">
        <f>IF(M53="","",COUNTIFS($C$18:$C$2015,M$13,$D$18:$D$2015,"&gt;="&amp;M53,$D$18:$D$2015,"&lt;"&amp;M54))</f>
        <v/>
      </c>
      <c r="O53" s="14" t="n"/>
      <c r="P53" s="16" t="n">
        <v>48</v>
      </c>
      <c r="Q53" s="124">
        <f>IF(P53="","",COUNTIFS($C$18:$C$2015,P$13,$D$18:$D$2015,"&gt;="&amp;P53,$D$18:$D$2015,"&lt;"&amp;P54))</f>
        <v/>
      </c>
      <c r="R53" s="14" t="n"/>
      <c r="S53" s="16" t="n">
        <v>86</v>
      </c>
      <c r="T53" s="124">
        <f>IF(S53="","",COUNTIFS($C$18:$C$2015,S$13,$D$18:$D$2015,"&gt;="&amp;S53,$D$18:$D$2015,"&lt;"&amp;S54))</f>
        <v/>
      </c>
      <c r="U53" s="14" t="n"/>
      <c r="V53" s="16" t="n"/>
      <c r="W53" s="124">
        <f>IF(V53="","",COUNTIFS($C$18:$C$2015,V$13,$D$18:$D$2015,"&gt;="&amp;V53,$D$18:$D$2015,"&lt;"&amp;V54))</f>
        <v/>
      </c>
      <c r="X53" s="14" t="n"/>
      <c r="Y53" s="16" t="n"/>
      <c r="Z53" s="124">
        <f>IF(Y53="","",COUNTIFS($C$18:$C$2015,Y$13,$D$18:$D$2015,"&gt;="&amp;Y53,$D$18:$D$2015,"&lt;"&amp;Y54))</f>
        <v/>
      </c>
      <c r="AA53" s="14" t="n"/>
      <c r="AB53" s="16" t="n">
        <v>48</v>
      </c>
      <c r="AC53" s="124">
        <f>IF(AB53="","",COUNTIFS($C$18:$C$2015,AB$13,$D$18:$D$2015,"&gt;="&amp;AB53,$D$18:$D$2015,"&lt;"&amp;AB54))</f>
        <v/>
      </c>
      <c r="AD53" s="14" t="n"/>
    </row>
    <row r="54">
      <c r="A54" s="56" t="n"/>
      <c r="B54" s="57" t="n"/>
      <c r="C54" s="57" t="n"/>
      <c r="D54" s="127" t="n"/>
      <c r="E54" s="16" t="n"/>
      <c r="F54" s="13" t="n"/>
      <c r="G54" s="16" t="n">
        <v>49</v>
      </c>
      <c r="H54" s="124">
        <f>IF(G54="","",COUNTIFS($C$18:$C$2015,G$13,$D$18:$D$2015,"&gt;="&amp;G54,$D$18:$D$2015,"&lt;"&amp;G55))</f>
        <v/>
      </c>
      <c r="I54" s="14" t="n"/>
      <c r="J54" s="16" t="n"/>
      <c r="K54" s="124">
        <f>IF(J54="","",COUNTIFS($C$18:$C$2015,J$13,$D$18:$D$2015,"&gt;="&amp;J54,$D$18:$D$2015,"&lt;"&amp;J55))</f>
        <v/>
      </c>
      <c r="L54" s="14" t="n"/>
      <c r="M54" s="16" t="n">
        <v>88</v>
      </c>
      <c r="N54" s="124">
        <f>IF(M54="","",COUNTIFS($C$18:$C$2015,M$13,$D$18:$D$2015,"&gt;="&amp;M54,$D$18:$D$2015,"&lt;"&amp;M55))</f>
        <v/>
      </c>
      <c r="O54" s="14" t="n"/>
      <c r="P54" s="16" t="n">
        <v>49</v>
      </c>
      <c r="Q54" s="124">
        <f>IF(P54="","",COUNTIFS($C$18:$C$2015,P$13,$D$18:$D$2015,"&gt;="&amp;P54,$D$18:$D$2015,"&lt;"&amp;P55))</f>
        <v/>
      </c>
      <c r="R54" s="14" t="n"/>
      <c r="S54" s="16" t="n">
        <v>88</v>
      </c>
      <c r="T54" s="124">
        <f>IF(S54="","",COUNTIFS($C$18:$C$2015,S$13,$D$18:$D$2015,"&gt;="&amp;S54,$D$18:$D$2015,"&lt;"&amp;S55))</f>
        <v/>
      </c>
      <c r="U54" s="14" t="n"/>
      <c r="V54" s="16" t="n"/>
      <c r="W54" s="124">
        <f>IF(V54="","",COUNTIFS($C$18:$C$2015,V$13,$D$18:$D$2015,"&gt;="&amp;V54,$D$18:$D$2015,"&lt;"&amp;V55))</f>
        <v/>
      </c>
      <c r="X54" s="14" t="n"/>
      <c r="Y54" s="16" t="n"/>
      <c r="Z54" s="124">
        <f>IF(Y54="","",COUNTIFS($C$18:$C$2015,Y$13,$D$18:$D$2015,"&gt;="&amp;Y54,$D$18:$D$2015,"&lt;"&amp;Y55))</f>
        <v/>
      </c>
      <c r="AA54" s="14" t="n"/>
      <c r="AB54" s="16" t="n">
        <v>49</v>
      </c>
      <c r="AC54" s="124">
        <f>IF(AB54="","",COUNTIFS($C$18:$C$2015,AB$13,$D$18:$D$2015,"&gt;="&amp;AB54,$D$18:$D$2015,"&lt;"&amp;AB55))</f>
        <v/>
      </c>
      <c r="AD54" s="14" t="n"/>
    </row>
    <row r="55">
      <c r="A55" s="58" t="n"/>
      <c r="B55" s="59" t="n"/>
      <c r="C55" s="59" t="n"/>
      <c r="D55" s="126" t="n"/>
      <c r="E55" s="16" t="n"/>
      <c r="F55" s="13" t="n"/>
      <c r="G55" s="16" t="n">
        <v>50</v>
      </c>
      <c r="H55" s="124">
        <f>IF(G55="","",COUNTIFS($C$18:$C$2015,G$13,$D$18:$D$2015,"&gt;="&amp;G55,$D$18:$D$2015,"&lt;"&amp;G56))</f>
        <v/>
      </c>
      <c r="I55" s="14" t="n"/>
      <c r="J55" s="16" t="n"/>
      <c r="K55" s="124">
        <f>IF(J55="","",COUNTIFS($C$18:$C$2015,J$13,$D$18:$D$2015,"&gt;="&amp;J55,$D$18:$D$2015,"&lt;"&amp;J56))</f>
        <v/>
      </c>
      <c r="L55" s="14" t="n"/>
      <c r="M55" s="16" t="n">
        <v>90</v>
      </c>
      <c r="N55" s="124">
        <f>IF(M55="","",COUNTIFS($C$18:$C$2015,M$13,$D$18:$D$2015,"&gt;="&amp;M55,$D$18:$D$2015,"&lt;"&amp;M56))</f>
        <v/>
      </c>
      <c r="O55" s="14" t="n"/>
      <c r="P55" s="16" t="n">
        <v>50</v>
      </c>
      <c r="Q55" s="124">
        <f>IF(P55="","",COUNTIFS($C$18:$C$2015,P$13,$D$18:$D$2015,"&gt;="&amp;P55,$D$18:$D$2015,"&lt;"&amp;P56))</f>
        <v/>
      </c>
      <c r="R55" s="14" t="n"/>
      <c r="S55" s="16" t="n">
        <v>90</v>
      </c>
      <c r="T55" s="124">
        <f>IF(S55="","",COUNTIFS($C$18:$C$2015,S$13,$D$18:$D$2015,"&gt;="&amp;S55,$D$18:$D$2015,"&lt;"&amp;S56))</f>
        <v/>
      </c>
      <c r="U55" s="14" t="n"/>
      <c r="V55" s="16" t="n"/>
      <c r="W55" s="124">
        <f>IF(V55="","",COUNTIFS($C$18:$C$2015,V$13,$D$18:$D$2015,"&gt;="&amp;V55,$D$18:$D$2015,"&lt;"&amp;V56))</f>
        <v/>
      </c>
      <c r="X55" s="14" t="n"/>
      <c r="Y55" s="16" t="n"/>
      <c r="Z55" s="124">
        <f>IF(Y55="","",COUNTIFS($C$18:$C$2015,Y$13,$D$18:$D$2015,"&gt;="&amp;Y55,$D$18:$D$2015,"&lt;"&amp;Y56))</f>
        <v/>
      </c>
      <c r="AA55" s="14" t="n"/>
      <c r="AB55" s="16" t="n">
        <v>50</v>
      </c>
      <c r="AC55" s="124">
        <f>IF(AB55="","",COUNTIFS($C$18:$C$2015,AB$13,$D$18:$D$2015,"&gt;="&amp;AB55,$D$18:$D$2015,"&lt;"&amp;AB56))</f>
        <v/>
      </c>
      <c r="AD55" s="14" t="n"/>
    </row>
    <row r="56">
      <c r="A56" s="56" t="n"/>
      <c r="B56" s="57" t="n"/>
      <c r="C56" s="57" t="n"/>
      <c r="D56" s="127" t="n"/>
      <c r="E56" s="16" t="n"/>
      <c r="F56" s="13" t="n"/>
      <c r="G56" s="16" t="n">
        <v>51</v>
      </c>
      <c r="H56" s="124">
        <f>IF(G56="","",COUNTIFS($C$18:$C$2015,G$13,$D$18:$D$2015,"&gt;="&amp;G56,$D$18:$D$2015,"&lt;"&amp;G57))</f>
        <v/>
      </c>
      <c r="I56" s="14" t="n"/>
      <c r="J56" s="16" t="n"/>
      <c r="K56" s="124">
        <f>IF(J56="","",COUNTIFS($C$18:$C$2015,J$13,$D$18:$D$2015,"&gt;="&amp;J56,$D$18:$D$2015,"&lt;"&amp;J57))</f>
        <v/>
      </c>
      <c r="L56" s="14" t="n"/>
      <c r="M56" s="16" t="n"/>
      <c r="N56" s="124">
        <f>IF(M56="","",COUNTIFS($C$18:$C$2015,M$13,$D$18:$D$2015,"&gt;="&amp;M56,$D$18:$D$2015,"&lt;"&amp;M57))</f>
        <v/>
      </c>
      <c r="O56" s="14" t="n"/>
      <c r="P56" s="16" t="n">
        <v>51</v>
      </c>
      <c r="Q56" s="124">
        <f>IF(P56="","",COUNTIFS($C$18:$C$2015,P$13,$D$18:$D$2015,"&gt;="&amp;P56,$D$18:$D$2015,"&lt;"&amp;P57))</f>
        <v/>
      </c>
      <c r="R56" s="14" t="n"/>
      <c r="S56" s="16" t="n">
        <v>92</v>
      </c>
      <c r="T56" s="124">
        <f>IF(S56="","",COUNTIFS($C$18:$C$2015,S$13,$D$18:$D$2015,"&gt;="&amp;S56,$D$18:$D$2015,"&lt;"&amp;S57))</f>
        <v/>
      </c>
      <c r="U56" s="14" t="n"/>
      <c r="V56" s="16" t="n"/>
      <c r="W56" s="124">
        <f>IF(V56="","",COUNTIFS($C$18:$C$2015,V$13,$D$18:$D$2015,"&gt;="&amp;V56,$D$18:$D$2015,"&lt;"&amp;V57))</f>
        <v/>
      </c>
      <c r="X56" s="14" t="n"/>
      <c r="Y56" s="16" t="n"/>
      <c r="Z56" s="124">
        <f>IF(Y56="","",COUNTIFS($C$18:$C$2015,Y$13,$D$18:$D$2015,"&gt;="&amp;Y56,$D$18:$D$2015,"&lt;"&amp;Y57))</f>
        <v/>
      </c>
      <c r="AA56" s="14" t="n"/>
      <c r="AB56" s="16" t="n">
        <v>51</v>
      </c>
      <c r="AC56" s="124">
        <f>IF(AB56="","",COUNTIFS($C$18:$C$2015,AB$13,$D$18:$D$2015,"&gt;="&amp;AB56,$D$18:$D$2015,"&lt;"&amp;AB57))</f>
        <v/>
      </c>
      <c r="AD56" s="14" t="n"/>
    </row>
    <row r="57">
      <c r="A57" s="58" t="n"/>
      <c r="B57" s="59" t="n"/>
      <c r="C57" s="59" t="n"/>
      <c r="D57" s="126" t="n"/>
      <c r="E57" s="16" t="n"/>
      <c r="F57" s="13" t="n"/>
      <c r="G57" s="16" t="n">
        <v>52</v>
      </c>
      <c r="H57" s="124">
        <f>IF(G57="","",COUNTIFS($C$18:$C$2015,G$13,$D$18:$D$2015,"&gt;="&amp;G57,$D$18:$D$2015,"&lt;"&amp;G58))</f>
        <v/>
      </c>
      <c r="I57" s="14" t="n"/>
      <c r="J57" s="16" t="n"/>
      <c r="K57" s="124">
        <f>IF(J57="","",COUNTIFS($C$18:$C$2015,J$13,$D$18:$D$2015,"&gt;="&amp;J57,$D$18:$D$2015,"&lt;"&amp;J58))</f>
        <v/>
      </c>
      <c r="L57" s="14" t="n"/>
      <c r="M57" s="16" t="n"/>
      <c r="N57" s="124">
        <f>IF(M57="","",COUNTIFS($C$18:$C$2015,M$13,$D$18:$D$2015,"&gt;="&amp;M57,$D$18:$D$2015,"&lt;"&amp;M58))</f>
        <v/>
      </c>
      <c r="O57" s="14" t="n"/>
      <c r="P57" s="16" t="n">
        <v>52</v>
      </c>
      <c r="Q57" s="124">
        <f>IF(P57="","",COUNTIFS($C$18:$C$2015,P$13,$D$18:$D$2015,"&gt;="&amp;P57,$D$18:$D$2015,"&lt;"&amp;P58))</f>
        <v/>
      </c>
      <c r="R57" s="14" t="n"/>
      <c r="S57" s="16" t="n">
        <v>94</v>
      </c>
      <c r="T57" s="124">
        <f>IF(S57="","",COUNTIFS($C$18:$C$2015,S$13,$D$18:$D$2015,"&gt;="&amp;S57,$D$18:$D$2015,"&lt;"&amp;S58))</f>
        <v/>
      </c>
      <c r="U57" s="14" t="n"/>
      <c r="V57" s="16" t="n"/>
      <c r="W57" s="124">
        <f>IF(V57="","",COUNTIFS($C$18:$C$2015,V$13,$D$18:$D$2015,"&gt;="&amp;V57,$D$18:$D$2015,"&lt;"&amp;V58))</f>
        <v/>
      </c>
      <c r="X57" s="14" t="n"/>
      <c r="Y57" s="16" t="n"/>
      <c r="Z57" s="124">
        <f>IF(Y57="","",COUNTIFS($C$18:$C$2015,Y$13,$D$18:$D$2015,"&gt;="&amp;Y57,$D$18:$D$2015,"&lt;"&amp;Y58))</f>
        <v/>
      </c>
      <c r="AA57" s="14" t="n"/>
      <c r="AB57" s="16" t="n">
        <v>52</v>
      </c>
      <c r="AC57" s="124">
        <f>IF(AB57="","",COUNTIFS($C$18:$C$2015,AB$13,$D$18:$D$2015,"&gt;="&amp;AB57,$D$18:$D$2015,"&lt;"&amp;AB58))</f>
        <v/>
      </c>
      <c r="AD57" s="14" t="n"/>
    </row>
    <row r="58">
      <c r="A58" s="56" t="n"/>
      <c r="B58" s="57" t="n"/>
      <c r="C58" s="57" t="n"/>
      <c r="D58" s="127" t="n"/>
      <c r="E58" s="16" t="n"/>
      <c r="F58" s="13" t="n"/>
      <c r="G58" s="16" t="n">
        <v>53</v>
      </c>
      <c r="H58" s="124">
        <f>IF(G58="","",COUNTIFS($C$18:$C$2015,G$13,$D$18:$D$2015,"&gt;="&amp;G58,$D$18:$D$2015,"&lt;"&amp;G59))</f>
        <v/>
      </c>
      <c r="I58" s="14" t="n"/>
      <c r="J58" s="16" t="n"/>
      <c r="K58" s="124">
        <f>IF(J58="","",COUNTIFS($C$18:$C$2015,J$13,$D$18:$D$2015,"&gt;="&amp;J58,$D$18:$D$2015,"&lt;"&amp;J59))</f>
        <v/>
      </c>
      <c r="L58" s="14" t="n"/>
      <c r="M58" s="16" t="n"/>
      <c r="N58" s="124">
        <f>IF(M58="","",COUNTIFS($C$18:$C$2015,M$13,$D$18:$D$2015,"&gt;="&amp;M58,$D$18:$D$2015,"&lt;"&amp;M59))</f>
        <v/>
      </c>
      <c r="O58" s="14" t="n"/>
      <c r="P58" s="16" t="n">
        <v>53</v>
      </c>
      <c r="Q58" s="124">
        <f>IF(P58="","",COUNTIFS($C$18:$C$2015,P$13,$D$18:$D$2015,"&gt;="&amp;P58,$D$18:$D$2015,"&lt;"&amp;P59))</f>
        <v/>
      </c>
      <c r="R58" s="14" t="n"/>
      <c r="S58" s="16" t="n">
        <v>96</v>
      </c>
      <c r="T58" s="124">
        <f>IF(S58="","",COUNTIFS($C$18:$C$2015,S$13,$D$18:$D$2015,"&gt;="&amp;S58,$D$18:$D$2015,"&lt;"&amp;S59))</f>
        <v/>
      </c>
      <c r="U58" s="14" t="n"/>
      <c r="V58" s="16" t="n"/>
      <c r="W58" s="124">
        <f>IF(V58="","",COUNTIFS($C$18:$C$2015,V$13,$D$18:$D$2015,"&gt;="&amp;V58,$D$18:$D$2015,"&lt;"&amp;V59))</f>
        <v/>
      </c>
      <c r="X58" s="14" t="n"/>
      <c r="Y58" s="16" t="n"/>
      <c r="Z58" s="124">
        <f>IF(Y58="","",COUNTIFS($C$18:$C$2015,Y$13,$D$18:$D$2015,"&gt;="&amp;Y58,$D$18:$D$2015,"&lt;"&amp;Y59))</f>
        <v/>
      </c>
      <c r="AA58" s="14" t="n"/>
      <c r="AB58" s="16" t="n">
        <v>53</v>
      </c>
      <c r="AC58" s="124">
        <f>IF(AB58="","",COUNTIFS($C$18:$C$2015,AB$13,$D$18:$D$2015,"&gt;="&amp;AB58,$D$18:$D$2015,"&lt;"&amp;AB59))</f>
        <v/>
      </c>
      <c r="AD58" s="14" t="n"/>
    </row>
    <row r="59">
      <c r="A59" s="58" t="n"/>
      <c r="B59" s="59" t="n"/>
      <c r="C59" s="59" t="n"/>
      <c r="D59" s="126" t="n"/>
      <c r="E59" s="16" t="n"/>
      <c r="F59" s="13" t="n"/>
      <c r="G59" s="16" t="n">
        <v>54</v>
      </c>
      <c r="H59" s="124">
        <f>IF(G59="","",COUNTIFS($C$18:$C$2015,G$13,$D$18:$D$2015,"&gt;="&amp;G59,$D$18:$D$2015,"&lt;"&amp;G60))</f>
        <v/>
      </c>
      <c r="I59" s="14" t="n"/>
      <c r="J59" s="16" t="n"/>
      <c r="K59" s="124">
        <f>IF(J59="","",COUNTIFS($C$18:$C$2015,J$13,$D$18:$D$2015,"&gt;="&amp;J59,$D$18:$D$2015,"&lt;"&amp;J60))</f>
        <v/>
      </c>
      <c r="L59" s="14" t="n"/>
      <c r="M59" s="16" t="n"/>
      <c r="N59" s="124">
        <f>IF(M59="","",COUNTIFS($C$18:$C$2015,M$13,$D$18:$D$2015,"&gt;="&amp;M59,$D$18:$D$2015,"&lt;"&amp;M60))</f>
        <v/>
      </c>
      <c r="O59" s="14" t="n"/>
      <c r="P59" s="16" t="n">
        <v>54</v>
      </c>
      <c r="Q59" s="124">
        <f>IF(P59="","",COUNTIFS($C$18:$C$2015,P$13,$D$18:$D$2015,"&gt;="&amp;P59,$D$18:$D$2015,"&lt;"&amp;P60))</f>
        <v/>
      </c>
      <c r="R59" s="14" t="n"/>
      <c r="S59" s="16" t="n">
        <v>98</v>
      </c>
      <c r="T59" s="124">
        <f>IF(S59="","",COUNTIFS($C$18:$C$2015,S$13,$D$18:$D$2015,"&gt;="&amp;S59,$D$18:$D$2015,"&lt;"&amp;S60))</f>
        <v/>
      </c>
      <c r="U59" s="14" t="n"/>
      <c r="V59" s="16" t="n"/>
      <c r="W59" s="124">
        <f>IF(V59="","",COUNTIFS($C$18:$C$2015,V$13,$D$18:$D$2015,"&gt;="&amp;V59,$D$18:$D$2015,"&lt;"&amp;V60))</f>
        <v/>
      </c>
      <c r="X59" s="14" t="n"/>
      <c r="Y59" s="16" t="n"/>
      <c r="Z59" s="124">
        <f>IF(Y59="","",COUNTIFS($C$18:$C$2015,Y$13,$D$18:$D$2015,"&gt;="&amp;Y59,$D$18:$D$2015,"&lt;"&amp;Y60))</f>
        <v/>
      </c>
      <c r="AA59" s="14" t="n"/>
      <c r="AB59" s="16" t="n">
        <v>54</v>
      </c>
      <c r="AC59" s="124">
        <f>IF(AB59="","",COUNTIFS($C$18:$C$2015,AB$13,$D$18:$D$2015,"&gt;="&amp;AB59,$D$18:$D$2015,"&lt;"&amp;AB60))</f>
        <v/>
      </c>
      <c r="AD59" s="14" t="n"/>
    </row>
    <row r="60">
      <c r="A60" s="56" t="n"/>
      <c r="B60" s="57" t="n"/>
      <c r="C60" s="57" t="n"/>
      <c r="D60" s="127" t="n"/>
      <c r="E60" s="16" t="n"/>
      <c r="F60" s="13" t="n"/>
      <c r="G60" s="16" t="n">
        <v>55</v>
      </c>
      <c r="H60" s="124">
        <f>IF(G60="","",COUNTIFS($C$18:$C$2015,G$13,$D$18:$D$2015,"&gt;="&amp;G60,$D$18:$D$2015,"&lt;"&amp;G61))</f>
        <v/>
      </c>
      <c r="I60" s="14" t="n"/>
      <c r="J60" s="16" t="n"/>
      <c r="K60" s="124">
        <f>IF(J60="","",COUNTIFS($C$18:$C$2015,J$13,$D$18:$D$2015,"&gt;="&amp;J60,$D$18:$D$2015,"&lt;"&amp;J61))</f>
        <v/>
      </c>
      <c r="L60" s="14" t="n"/>
      <c r="M60" s="16" t="n"/>
      <c r="N60" s="124">
        <f>IF(M60="","",COUNTIFS($C$18:$C$2015,M$13,$D$18:$D$2015,"&gt;="&amp;M60,$D$18:$D$2015,"&lt;"&amp;M61))</f>
        <v/>
      </c>
      <c r="O60" s="14" t="n"/>
      <c r="P60" s="16" t="n">
        <v>55</v>
      </c>
      <c r="Q60" s="124">
        <f>IF(P60="","",COUNTIFS($C$18:$C$2015,P$13,$D$18:$D$2015,"&gt;="&amp;P60,$D$18:$D$2015,"&lt;"&amp;P61))</f>
        <v/>
      </c>
      <c r="R60" s="14" t="n"/>
      <c r="S60" s="16" t="n">
        <v>100</v>
      </c>
      <c r="T60" s="124">
        <f>IF(S60="","",COUNTIFS($C$18:$C$2015,S$13,$D$18:$D$2015,"&gt;="&amp;S60,$D$18:$D$2015,"&lt;"&amp;S61))</f>
        <v/>
      </c>
      <c r="U60" s="14" t="n"/>
      <c r="V60" s="16" t="n"/>
      <c r="W60" s="124">
        <f>IF(V60="","",COUNTIFS($C$18:$C$2015,V$13,$D$18:$D$2015,"&gt;="&amp;V60,$D$18:$D$2015,"&lt;"&amp;V61))</f>
        <v/>
      </c>
      <c r="X60" s="14" t="n"/>
      <c r="Y60" s="16" t="n"/>
      <c r="Z60" s="124">
        <f>IF(Y60="","",COUNTIFS($C$18:$C$2015,Y$13,$D$18:$D$2015,"&gt;="&amp;Y60,$D$18:$D$2015,"&lt;"&amp;Y61))</f>
        <v/>
      </c>
      <c r="AA60" s="14" t="n"/>
      <c r="AB60" s="16" t="n">
        <v>55</v>
      </c>
      <c r="AC60" s="124">
        <f>IF(AB60="","",COUNTIFS($C$18:$C$2015,AB$13,$D$18:$D$2015,"&gt;="&amp;AB60,$D$18:$D$2015,"&lt;"&amp;AB61))</f>
        <v/>
      </c>
      <c r="AD60" s="14" t="n"/>
    </row>
    <row r="61">
      <c r="A61" s="58" t="n"/>
      <c r="B61" s="59" t="n"/>
      <c r="C61" s="59" t="n"/>
      <c r="D61" s="126" t="n"/>
      <c r="E61" s="16" t="n"/>
      <c r="F61" s="13" t="n"/>
      <c r="G61" s="16" t="n">
        <v>56</v>
      </c>
      <c r="H61" s="124">
        <f>IF(G61="","",COUNTIFS($C$18:$C$2015,G$13,$D$18:$D$2015,"&gt;="&amp;G61,$D$18:$D$2015,"&lt;"&amp;G62))</f>
        <v/>
      </c>
      <c r="I61" s="14" t="n"/>
      <c r="J61" s="16" t="n"/>
      <c r="K61" s="124">
        <f>IF(J61="","",COUNTIFS($C$18:$C$2015,J$13,$D$18:$D$2015,"&gt;="&amp;J61,$D$18:$D$2015,"&lt;"&amp;J62))</f>
        <v/>
      </c>
      <c r="L61" s="14" t="n"/>
      <c r="M61" s="16" t="n"/>
      <c r="N61" s="124">
        <f>IF(M61="","",COUNTIFS($C$18:$C$2015,M$13,$D$18:$D$2015,"&gt;="&amp;M61,$D$18:$D$2015,"&lt;"&amp;M62))</f>
        <v/>
      </c>
      <c r="O61" s="14" t="n"/>
      <c r="P61" s="16" t="n">
        <v>56</v>
      </c>
      <c r="Q61" s="124">
        <f>IF(P61="","",COUNTIFS($C$18:$C$2015,P$13,$D$18:$D$2015,"&gt;="&amp;P61,$D$18:$D$2015,"&lt;"&amp;P62))</f>
        <v/>
      </c>
      <c r="R61" s="14" t="n"/>
      <c r="S61" s="16" t="n"/>
      <c r="T61" s="124">
        <f>IF(S61="","",COUNTIFS($C$18:$C$2015,S$13,$D$18:$D$2015,"&gt;="&amp;S61,$D$18:$D$2015,"&lt;"&amp;S62))</f>
        <v/>
      </c>
      <c r="U61" s="14" t="n"/>
      <c r="V61" s="16" t="n"/>
      <c r="W61" s="124">
        <f>IF(V61="","",COUNTIFS($C$18:$C$2015,V$13,$D$18:$D$2015,"&gt;="&amp;V61,$D$18:$D$2015,"&lt;"&amp;V62))</f>
        <v/>
      </c>
      <c r="X61" s="14" t="n"/>
      <c r="Y61" s="16" t="n"/>
      <c r="Z61" s="124">
        <f>IF(Y61="","",COUNTIFS($C$18:$C$2015,Y$13,$D$18:$D$2015,"&gt;="&amp;Y61,$D$18:$D$2015,"&lt;"&amp;Y62))</f>
        <v/>
      </c>
      <c r="AA61" s="14" t="n"/>
      <c r="AB61" s="16" t="n">
        <v>56</v>
      </c>
      <c r="AC61" s="124">
        <f>IF(AB61="","",COUNTIFS($C$18:$C$2015,AB$13,$D$18:$D$2015,"&gt;="&amp;AB61,$D$18:$D$2015,"&lt;"&amp;AB62))</f>
        <v/>
      </c>
      <c r="AD61" s="14" t="n"/>
    </row>
    <row r="62">
      <c r="A62" s="56" t="n"/>
      <c r="B62" s="57" t="n"/>
      <c r="C62" s="57" t="n"/>
      <c r="D62" s="127" t="n"/>
      <c r="E62" s="16" t="n"/>
      <c r="F62" s="13" t="n"/>
      <c r="G62" s="16" t="n">
        <v>57</v>
      </c>
      <c r="H62" s="124">
        <f>IF(G62="","",COUNTIFS($C$18:$C$2015,G$13,$D$18:$D$2015,"&gt;="&amp;G62,$D$18:$D$2015,"&lt;"&amp;G63))</f>
        <v/>
      </c>
      <c r="I62" s="14" t="n"/>
      <c r="J62" s="16" t="n"/>
      <c r="K62" s="124">
        <f>IF(J62="","",COUNTIFS($C$18:$C$2015,J$13,$D$18:$D$2015,"&gt;="&amp;J62,$D$18:$D$2015,"&lt;"&amp;J63))</f>
        <v/>
      </c>
      <c r="L62" s="14" t="n"/>
      <c r="M62" s="16" t="n"/>
      <c r="N62" s="124">
        <f>IF(M62="","",COUNTIFS($C$18:$C$2015,M$13,$D$18:$D$2015,"&gt;="&amp;M62,$D$18:$D$2015,"&lt;"&amp;M63))</f>
        <v/>
      </c>
      <c r="O62" s="14" t="n"/>
      <c r="P62" s="16" t="n">
        <v>57</v>
      </c>
      <c r="Q62" s="124">
        <f>IF(P62="","",COUNTIFS($C$18:$C$2015,P$13,$D$18:$D$2015,"&gt;="&amp;P62,$D$18:$D$2015,"&lt;"&amp;P63))</f>
        <v/>
      </c>
      <c r="R62" s="14" t="n"/>
      <c r="S62" s="16" t="n"/>
      <c r="T62" s="124">
        <f>IF(S62="","",COUNTIFS($C$18:$C$2015,S$13,$D$18:$D$2015,"&gt;="&amp;S62,$D$18:$D$2015,"&lt;"&amp;S63))</f>
        <v/>
      </c>
      <c r="U62" s="14" t="n"/>
      <c r="V62" s="16" t="n"/>
      <c r="W62" s="124">
        <f>IF(V62="","",COUNTIFS($C$18:$C$2015,V$13,$D$18:$D$2015,"&gt;="&amp;V62,$D$18:$D$2015,"&lt;"&amp;V63))</f>
        <v/>
      </c>
      <c r="X62" s="14" t="n"/>
      <c r="Y62" s="16" t="n"/>
      <c r="Z62" s="124">
        <f>IF(Y62="","",COUNTIFS($C$18:$C$2015,Y$13,$D$18:$D$2015,"&gt;="&amp;Y62,$D$18:$D$2015,"&lt;"&amp;Y63))</f>
        <v/>
      </c>
      <c r="AA62" s="14" t="n"/>
      <c r="AB62" s="16" t="n">
        <v>57</v>
      </c>
      <c r="AC62" s="124">
        <f>IF(AB62="","",COUNTIFS($C$18:$C$2015,AB$13,$D$18:$D$2015,"&gt;="&amp;AB62,$D$18:$D$2015,"&lt;"&amp;AB63))</f>
        <v/>
      </c>
      <c r="AD62" s="14" t="n"/>
    </row>
    <row r="63">
      <c r="A63" s="58" t="n"/>
      <c r="B63" s="59" t="n"/>
      <c r="C63" s="59" t="n"/>
      <c r="D63" s="126" t="n"/>
      <c r="E63" s="16" t="n"/>
      <c r="F63" s="13" t="n"/>
      <c r="G63" s="16" t="n">
        <v>58</v>
      </c>
      <c r="H63" s="124">
        <f>IF(G63="","",COUNTIFS($C$18:$C$2015,G$13,$D$18:$D$2015,"&gt;="&amp;G63,$D$18:$D$2015,"&lt;"&amp;G64))</f>
        <v/>
      </c>
      <c r="I63" s="14" t="n"/>
      <c r="J63" s="16" t="n"/>
      <c r="K63" s="124">
        <f>IF(J63="","",COUNTIFS($C$18:$C$2015,J$13,$D$18:$D$2015,"&gt;="&amp;J63,$D$18:$D$2015,"&lt;"&amp;J64))</f>
        <v/>
      </c>
      <c r="L63" s="14" t="n"/>
      <c r="M63" s="16" t="n"/>
      <c r="N63" s="124">
        <f>IF(M63="","",COUNTIFS($C$18:$C$2015,M$13,$D$18:$D$2015,"&gt;="&amp;M63,$D$18:$D$2015,"&lt;"&amp;M64))</f>
        <v/>
      </c>
      <c r="O63" s="14" t="n"/>
      <c r="P63" s="16" t="n">
        <v>58</v>
      </c>
      <c r="Q63" s="124">
        <f>IF(P63="","",COUNTIFS($C$18:$C$2015,P$13,$D$18:$D$2015,"&gt;="&amp;P63,$D$18:$D$2015,"&lt;"&amp;P64))</f>
        <v/>
      </c>
      <c r="R63" s="14" t="n"/>
      <c r="S63" s="16" t="n"/>
      <c r="T63" s="124">
        <f>IF(S63="","",COUNTIFS($C$18:$C$2015,S$13,$D$18:$D$2015,"&gt;="&amp;S63,$D$18:$D$2015,"&lt;"&amp;S64))</f>
        <v/>
      </c>
      <c r="U63" s="14" t="n"/>
      <c r="V63" s="16" t="n"/>
      <c r="W63" s="124">
        <f>IF(V63="","",COUNTIFS($C$18:$C$2015,V$13,$D$18:$D$2015,"&gt;="&amp;V63,$D$18:$D$2015,"&lt;"&amp;V64))</f>
        <v/>
      </c>
      <c r="X63" s="14" t="n"/>
      <c r="Y63" s="16" t="n"/>
      <c r="Z63" s="124">
        <f>IF(Y63="","",COUNTIFS($C$18:$C$2015,Y$13,$D$18:$D$2015,"&gt;="&amp;Y63,$D$18:$D$2015,"&lt;"&amp;Y64))</f>
        <v/>
      </c>
      <c r="AA63" s="14" t="n"/>
      <c r="AB63" s="16" t="n">
        <v>58</v>
      </c>
      <c r="AC63" s="124">
        <f>IF(AB63="","",COUNTIFS($C$18:$C$2015,AB$13,$D$18:$D$2015,"&gt;="&amp;AB63,$D$18:$D$2015,"&lt;"&amp;AB64))</f>
        <v/>
      </c>
      <c r="AD63" s="14" t="n"/>
    </row>
    <row r="64">
      <c r="A64" s="56" t="n"/>
      <c r="B64" s="57" t="n"/>
      <c r="C64" s="57" t="n"/>
      <c r="D64" s="127" t="n"/>
      <c r="E64" s="16" t="n"/>
      <c r="F64" s="13" t="n"/>
      <c r="G64" s="16" t="n">
        <v>59</v>
      </c>
      <c r="H64" s="124">
        <f>IF(G64="","",COUNTIFS($C$18:$C$2015,G$13,$D$18:$D$2015,"&gt;="&amp;G64,$D$18:$D$2015,"&lt;"&amp;G65))</f>
        <v/>
      </c>
      <c r="I64" s="14" t="n"/>
      <c r="J64" s="16" t="n"/>
      <c r="K64" s="124">
        <f>IF(J64="","",COUNTIFS($C$18:$C$2015,J$13,$D$18:$D$2015,"&gt;="&amp;J64,$D$18:$D$2015,"&lt;"&amp;J65))</f>
        <v/>
      </c>
      <c r="L64" s="14" t="n"/>
      <c r="M64" s="16" t="n"/>
      <c r="N64" s="124">
        <f>IF(M64="","",COUNTIFS($C$18:$C$2015,M$13,$D$18:$D$2015,"&gt;="&amp;M64,$D$18:$D$2015,"&lt;"&amp;M65))</f>
        <v/>
      </c>
      <c r="O64" s="14" t="n"/>
      <c r="P64" s="16" t="n">
        <v>59</v>
      </c>
      <c r="Q64" s="124">
        <f>IF(P64="","",COUNTIFS($C$18:$C$2015,P$13,$D$18:$D$2015,"&gt;="&amp;P64,$D$18:$D$2015,"&lt;"&amp;P65))</f>
        <v/>
      </c>
      <c r="R64" s="14" t="n"/>
      <c r="S64" s="16" t="n"/>
      <c r="T64" s="124">
        <f>IF(S64="","",COUNTIFS($C$18:$C$2015,S$13,$D$18:$D$2015,"&gt;="&amp;S64,$D$18:$D$2015,"&lt;"&amp;S65))</f>
        <v/>
      </c>
      <c r="U64" s="14" t="n"/>
      <c r="V64" s="16" t="n"/>
      <c r="W64" s="124">
        <f>IF(V64="","",COUNTIFS($C$18:$C$2015,V$13,$D$18:$D$2015,"&gt;="&amp;V64,$D$18:$D$2015,"&lt;"&amp;V65))</f>
        <v/>
      </c>
      <c r="X64" s="14" t="n"/>
      <c r="Y64" s="16" t="n"/>
      <c r="Z64" s="124">
        <f>IF(Y64="","",COUNTIFS($C$18:$C$2015,Y$13,$D$18:$D$2015,"&gt;="&amp;Y64,$D$18:$D$2015,"&lt;"&amp;Y65))</f>
        <v/>
      </c>
      <c r="AA64" s="14" t="n"/>
      <c r="AB64" s="16" t="n">
        <v>59</v>
      </c>
      <c r="AC64" s="124">
        <f>IF(AB64="","",COUNTIFS($C$18:$C$2015,AB$13,$D$18:$D$2015,"&gt;="&amp;AB64,$D$18:$D$2015,"&lt;"&amp;AB65))</f>
        <v/>
      </c>
      <c r="AD64" s="14" t="n"/>
    </row>
    <row r="65">
      <c r="A65" s="58" t="n"/>
      <c r="B65" s="59" t="n"/>
      <c r="C65" s="59" t="n"/>
      <c r="D65" s="126" t="n"/>
      <c r="E65" s="16" t="n"/>
      <c r="F65" s="13" t="n"/>
      <c r="G65" s="16" t="n">
        <v>60</v>
      </c>
      <c r="H65" s="124">
        <f>IF(G65="","",COUNTIFS($C$18:$C$2015,G$13,$D$18:$D$2015,"&gt;="&amp;G65,$D$18:$D$2015,"&lt;"&amp;G66))</f>
        <v/>
      </c>
      <c r="I65" s="14" t="n"/>
      <c r="J65" s="16" t="n"/>
      <c r="K65" s="124">
        <f>IF(J65="","",COUNTIFS($C$18:$C$2015,J$13,$D$18:$D$2015,"&gt;="&amp;J65,$D$18:$D$2015,"&lt;"&amp;J66))</f>
        <v/>
      </c>
      <c r="L65" s="14" t="n"/>
      <c r="M65" s="16" t="n"/>
      <c r="N65" s="124">
        <f>IF(M65="","",COUNTIFS($C$18:$C$2015,M$13,$D$18:$D$2015,"&gt;="&amp;M65,$D$18:$D$2015,"&lt;"&amp;M66))</f>
        <v/>
      </c>
      <c r="O65" s="14" t="n"/>
      <c r="P65" s="16" t="n">
        <v>60</v>
      </c>
      <c r="Q65" s="124">
        <f>IF(P65="","",COUNTIFS($C$18:$C$2015,P$13,$D$18:$D$2015,"&gt;="&amp;P65,$D$18:$D$2015,"&lt;"&amp;P66))</f>
        <v/>
      </c>
      <c r="R65" s="14" t="n"/>
      <c r="S65" s="16" t="n"/>
      <c r="T65" s="124">
        <f>IF(S65="","",COUNTIFS($C$18:$C$2015,S$13,$D$18:$D$2015,"&gt;="&amp;S65,$D$18:$D$2015,"&lt;"&amp;S66))</f>
        <v/>
      </c>
      <c r="U65" s="14" t="n"/>
      <c r="V65" s="16" t="n"/>
      <c r="W65" s="124">
        <f>IF(V65="","",COUNTIFS($C$18:$C$2015,V$13,$D$18:$D$2015,"&gt;="&amp;V65,$D$18:$D$2015,"&lt;"&amp;V66))</f>
        <v/>
      </c>
      <c r="X65" s="14" t="n"/>
      <c r="Y65" s="16" t="n"/>
      <c r="Z65" s="124">
        <f>IF(Y65="","",COUNTIFS($C$18:$C$2015,Y$13,$D$18:$D$2015,"&gt;="&amp;Y65,$D$18:$D$2015,"&lt;"&amp;Y66))</f>
        <v/>
      </c>
      <c r="AA65" s="14" t="n"/>
      <c r="AB65" s="16" t="n">
        <v>60</v>
      </c>
      <c r="AC65" s="124">
        <f>IF(AB65="","",COUNTIFS($C$18:$C$2015,AB$13,$D$18:$D$2015,"&gt;="&amp;AB65,$D$18:$D$2015,"&lt;"&amp;AB66))</f>
        <v/>
      </c>
      <c r="AD65" s="14" t="n"/>
    </row>
    <row r="66">
      <c r="A66" s="56" t="n"/>
      <c r="B66" s="57" t="n"/>
      <c r="C66" s="57" t="n"/>
      <c r="D66" s="127" t="n"/>
      <c r="E66" s="16" t="n"/>
      <c r="F66" s="13" t="n"/>
      <c r="G66" s="16" t="n">
        <v>61</v>
      </c>
      <c r="H66" s="124">
        <f>IF(G66="","",COUNTIFS($C$18:$C$2015,G$13,$D$18:$D$2015,"&gt;="&amp;G66,$D$18:$D$2015,"&lt;"&amp;G67))</f>
        <v/>
      </c>
      <c r="I66" s="14" t="n"/>
      <c r="J66" s="16" t="n"/>
      <c r="K66" s="124">
        <f>IF(J66="","",COUNTIFS($C$18:$C$2015,J$13,$D$18:$D$2015,"&gt;="&amp;J66,$D$18:$D$2015,"&lt;"&amp;J67))</f>
        <v/>
      </c>
      <c r="L66" s="14" t="n"/>
      <c r="M66" s="16" t="n"/>
      <c r="N66" s="124">
        <f>IF(M66="","",COUNTIFS($C$18:$C$2015,M$13,$D$18:$D$2015,"&gt;="&amp;M66,$D$18:$D$2015,"&lt;"&amp;M67))</f>
        <v/>
      </c>
      <c r="O66" s="14" t="n"/>
      <c r="P66" s="16" t="n">
        <v>61</v>
      </c>
      <c r="Q66" s="124">
        <f>IF(P66="","",COUNTIFS($C$18:$C$2015,P$13,$D$18:$D$2015,"&gt;="&amp;P66,$D$18:$D$2015,"&lt;"&amp;P67))</f>
        <v/>
      </c>
      <c r="R66" s="14" t="n"/>
      <c r="S66" s="16" t="n"/>
      <c r="T66" s="124">
        <f>IF(S66="","",COUNTIFS($C$18:$C$2015,S$13,$D$18:$D$2015,"&gt;="&amp;S66,$D$18:$D$2015,"&lt;"&amp;S67))</f>
        <v/>
      </c>
      <c r="U66" s="14" t="n"/>
      <c r="V66" s="16" t="n"/>
      <c r="W66" s="124">
        <f>IF(V66="","",COUNTIFS($C$18:$C$2015,V$13,$D$18:$D$2015,"&gt;="&amp;V66,$D$18:$D$2015,"&lt;"&amp;V67))</f>
        <v/>
      </c>
      <c r="X66" s="14" t="n"/>
      <c r="Y66" s="16" t="n"/>
      <c r="Z66" s="124">
        <f>IF(Y66="","",COUNTIFS($C$18:$C$2015,Y$13,$D$18:$D$2015,"&gt;="&amp;Y66,$D$18:$D$2015,"&lt;"&amp;Y67))</f>
        <v/>
      </c>
      <c r="AA66" s="14" t="n"/>
      <c r="AB66" s="16" t="n">
        <v>61</v>
      </c>
      <c r="AC66" s="124">
        <f>IF(AB66="","",COUNTIFS($C$18:$C$2015,AB$13,$D$18:$D$2015,"&gt;="&amp;AB66,$D$18:$D$2015,"&lt;"&amp;AB67))</f>
        <v/>
      </c>
      <c r="AD66" s="14" t="n"/>
    </row>
    <row r="67">
      <c r="A67" s="58" t="n"/>
      <c r="B67" s="59" t="n"/>
      <c r="C67" s="59" t="n"/>
      <c r="D67" s="126" t="n"/>
      <c r="E67" s="16" t="n"/>
      <c r="F67" s="13" t="n"/>
      <c r="G67" s="16" t="n">
        <v>62</v>
      </c>
      <c r="H67" s="124">
        <f>IF(G67="","",COUNTIFS($C$18:$C$2015,G$13,$D$18:$D$2015,"&gt;="&amp;G67,$D$18:$D$2015,"&lt;"&amp;G68))</f>
        <v/>
      </c>
      <c r="I67" s="14" t="n"/>
      <c r="J67" s="16" t="n"/>
      <c r="K67" s="124">
        <f>IF(J67="","",COUNTIFS($C$18:$C$2015,J$13,$D$18:$D$2015,"&gt;="&amp;J67,$D$18:$D$2015,"&lt;"&amp;J68))</f>
        <v/>
      </c>
      <c r="L67" s="14" t="n"/>
      <c r="M67" s="16" t="n"/>
      <c r="N67" s="124">
        <f>IF(M67="","",COUNTIFS($C$18:$C$2015,M$13,$D$18:$D$2015,"&gt;="&amp;M67,$D$18:$D$2015,"&lt;"&amp;M68))</f>
        <v/>
      </c>
      <c r="O67" s="14" t="n"/>
      <c r="P67" s="16" t="n">
        <v>62</v>
      </c>
      <c r="Q67" s="124">
        <f>IF(P67="","",COUNTIFS($C$18:$C$2015,P$13,$D$18:$D$2015,"&gt;="&amp;P67,$D$18:$D$2015,"&lt;"&amp;P68))</f>
        <v/>
      </c>
      <c r="R67" s="14" t="n"/>
      <c r="S67" s="16" t="n"/>
      <c r="T67" s="124">
        <f>IF(S67="","",COUNTIFS($C$18:$C$2015,S$13,$D$18:$D$2015,"&gt;="&amp;S67,$D$18:$D$2015,"&lt;"&amp;S68))</f>
        <v/>
      </c>
      <c r="U67" s="14" t="n"/>
      <c r="V67" s="16" t="n"/>
      <c r="W67" s="124">
        <f>IF(V67="","",COUNTIFS($C$18:$C$2015,V$13,$D$18:$D$2015,"&gt;="&amp;V67,$D$18:$D$2015,"&lt;"&amp;V68))</f>
        <v/>
      </c>
      <c r="X67" s="14" t="n"/>
      <c r="Y67" s="16" t="n"/>
      <c r="Z67" s="124">
        <f>IF(Y67="","",COUNTIFS($C$18:$C$2015,Y$13,$D$18:$D$2015,"&gt;="&amp;Y67,$D$18:$D$2015,"&lt;"&amp;Y68))</f>
        <v/>
      </c>
      <c r="AA67" s="14" t="n"/>
      <c r="AB67" s="16" t="n">
        <v>62</v>
      </c>
      <c r="AC67" s="124">
        <f>IF(AB67="","",COUNTIFS($C$18:$C$2015,AB$13,$D$18:$D$2015,"&gt;="&amp;AB67,$D$18:$D$2015,"&lt;"&amp;AB68))</f>
        <v/>
      </c>
      <c r="AD67" s="14" t="n"/>
    </row>
    <row r="68">
      <c r="A68" s="56" t="n"/>
      <c r="B68" s="57" t="n"/>
      <c r="C68" s="57" t="n"/>
      <c r="D68" s="127" t="n"/>
      <c r="E68" s="16" t="n"/>
      <c r="F68" s="13" t="n"/>
      <c r="G68" s="16" t="n">
        <v>63</v>
      </c>
      <c r="H68" s="124">
        <f>IF(G68="","",COUNTIFS($C$18:$C$2015,G$13,$D$18:$D$2015,"&gt;="&amp;G68,$D$18:$D$2015,"&lt;"&amp;G69))</f>
        <v/>
      </c>
      <c r="I68" s="14" t="n"/>
      <c r="J68" s="16" t="n"/>
      <c r="K68" s="124">
        <f>IF(J68="","",COUNTIFS($C$18:$C$2015,J$13,$D$18:$D$2015,"&gt;="&amp;J68,$D$18:$D$2015,"&lt;"&amp;J69))</f>
        <v/>
      </c>
      <c r="L68" s="14" t="n"/>
      <c r="M68" s="16" t="n"/>
      <c r="N68" s="124">
        <f>IF(M68="","",COUNTIFS($C$18:$C$2015,M$13,$D$18:$D$2015,"&gt;="&amp;M68,$D$18:$D$2015,"&lt;"&amp;M69))</f>
        <v/>
      </c>
      <c r="O68" s="14" t="n"/>
      <c r="P68" s="16" t="n">
        <v>63</v>
      </c>
      <c r="Q68" s="124">
        <f>IF(P68="","",COUNTIFS($C$18:$C$2015,P$13,$D$18:$D$2015,"&gt;="&amp;P68,$D$18:$D$2015,"&lt;"&amp;P69))</f>
        <v/>
      </c>
      <c r="R68" s="14" t="n"/>
      <c r="S68" s="16" t="n"/>
      <c r="T68" s="124">
        <f>IF(S68="","",COUNTIFS($C$18:$C$2015,S$13,$D$18:$D$2015,"&gt;="&amp;S68,$D$18:$D$2015,"&lt;"&amp;S69))</f>
        <v/>
      </c>
      <c r="U68" s="14" t="n"/>
      <c r="V68" s="16" t="n"/>
      <c r="W68" s="124">
        <f>IF(V68="","",COUNTIFS($C$18:$C$2015,V$13,$D$18:$D$2015,"&gt;="&amp;V68,$D$18:$D$2015,"&lt;"&amp;V69))</f>
        <v/>
      </c>
      <c r="X68" s="14" t="n"/>
      <c r="Y68" s="16" t="n"/>
      <c r="Z68" s="124">
        <f>IF(Y68="","",COUNTIFS($C$18:$C$2015,Y$13,$D$18:$D$2015,"&gt;="&amp;Y68,$D$18:$D$2015,"&lt;"&amp;Y69))</f>
        <v/>
      </c>
      <c r="AA68" s="14" t="n"/>
      <c r="AB68" s="16" t="n"/>
      <c r="AC68" s="124">
        <f>IF(AB68="","",COUNTIFS($C$18:$C$2015,AB$13,$D$18:$D$2015,"&gt;="&amp;AB68,$D$18:$D$2015,"&lt;"&amp;AB69))</f>
        <v/>
      </c>
      <c r="AD68" s="14" t="n"/>
    </row>
    <row r="69">
      <c r="A69" s="58" t="n"/>
      <c r="B69" s="59" t="n"/>
      <c r="C69" s="59" t="n"/>
      <c r="D69" s="126" t="n"/>
      <c r="E69" s="16" t="n"/>
      <c r="F69" s="13" t="n"/>
      <c r="G69" s="16" t="n">
        <v>64</v>
      </c>
      <c r="H69" s="124">
        <f>IF(G69="","",COUNTIFS($C$18:$C$2015,G$13,$D$18:$D$2015,"&gt;="&amp;G69,$D$18:$D$2015,"&lt;"&amp;G70))</f>
        <v/>
      </c>
      <c r="I69" s="14" t="n"/>
      <c r="J69" s="16" t="n"/>
      <c r="K69" s="124">
        <f>IF(J69="","",COUNTIFS($C$18:$C$2015,J$13,$D$18:$D$2015,"&gt;="&amp;J69,$D$18:$D$2015,"&lt;"&amp;J70))</f>
        <v/>
      </c>
      <c r="L69" s="14" t="n"/>
      <c r="M69" s="16" t="n"/>
      <c r="N69" s="124">
        <f>IF(M69="","",COUNTIFS($C$18:$C$2015,M$13,$D$18:$D$2015,"&gt;="&amp;M69,$D$18:$D$2015,"&lt;"&amp;M70))</f>
        <v/>
      </c>
      <c r="O69" s="14" t="n"/>
      <c r="P69" s="16" t="n">
        <v>64</v>
      </c>
      <c r="Q69" s="124">
        <f>IF(P69="","",COUNTIFS($C$18:$C$2015,P$13,$D$18:$D$2015,"&gt;="&amp;P69,$D$18:$D$2015,"&lt;"&amp;P70))</f>
        <v/>
      </c>
      <c r="R69" s="14" t="n"/>
      <c r="S69" s="16" t="n"/>
      <c r="T69" s="124">
        <f>IF(S69="","",COUNTIFS($C$18:$C$2015,S$13,$D$18:$D$2015,"&gt;="&amp;S69,$D$18:$D$2015,"&lt;"&amp;S70))</f>
        <v/>
      </c>
      <c r="U69" s="14" t="n"/>
      <c r="V69" s="16" t="n"/>
      <c r="W69" s="124">
        <f>IF(V69="","",COUNTIFS($C$18:$C$2015,V$13,$D$18:$D$2015,"&gt;="&amp;V69,$D$18:$D$2015,"&lt;"&amp;V70))</f>
        <v/>
      </c>
      <c r="X69" s="14" t="n"/>
      <c r="Y69" s="16" t="n"/>
      <c r="Z69" s="124">
        <f>IF(Y69="","",COUNTIFS($C$18:$C$2015,Y$13,$D$18:$D$2015,"&gt;="&amp;Y69,$D$18:$D$2015,"&lt;"&amp;Y70))</f>
        <v/>
      </c>
      <c r="AA69" s="14" t="n"/>
      <c r="AB69" s="16" t="n"/>
      <c r="AC69" s="124">
        <f>IF(AB69="","",COUNTIFS($C$18:$C$2015,AB$13,$D$18:$D$2015,"&gt;="&amp;AB69,$D$18:$D$2015,"&lt;"&amp;AB70))</f>
        <v/>
      </c>
      <c r="AD69" s="14" t="n"/>
    </row>
    <row r="70">
      <c r="A70" s="56" t="n"/>
      <c r="B70" s="57" t="n"/>
      <c r="C70" s="57" t="n"/>
      <c r="D70" s="127" t="n"/>
      <c r="E70" s="16" t="n"/>
      <c r="F70" s="13" t="n"/>
      <c r="G70" s="16" t="n">
        <v>65</v>
      </c>
      <c r="H70" s="124">
        <f>IF(G70="","",COUNTIFS($C$18:$C$2015,G$13,$D$18:$D$2015,"&gt;="&amp;G70,$D$18:$D$2015,"&lt;"&amp;G71))</f>
        <v/>
      </c>
      <c r="I70" s="14" t="n"/>
      <c r="J70" s="16" t="n"/>
      <c r="K70" s="124">
        <f>IF(J70="","",COUNTIFS($C$18:$C$2015,J$13,$D$18:$D$2015,"&gt;="&amp;J70,$D$18:$D$2015,"&lt;"&amp;J71))</f>
        <v/>
      </c>
      <c r="L70" s="14" t="n"/>
      <c r="M70" s="16" t="n"/>
      <c r="N70" s="124">
        <f>IF(M70="","",COUNTIFS($C$18:$C$2015,M$13,$D$18:$D$2015,"&gt;="&amp;M70,$D$18:$D$2015,"&lt;"&amp;M71))</f>
        <v/>
      </c>
      <c r="O70" s="14" t="n"/>
      <c r="P70" s="16" t="n">
        <v>65</v>
      </c>
      <c r="Q70" s="124">
        <f>IF(P70="","",COUNTIFS($C$18:$C$2015,P$13,$D$18:$D$2015,"&gt;="&amp;P70,$D$18:$D$2015,"&lt;"&amp;P71))</f>
        <v/>
      </c>
      <c r="R70" s="14" t="n"/>
      <c r="S70" s="16" t="n"/>
      <c r="T70" s="124">
        <f>IF(S70="","",COUNTIFS($C$18:$C$2015,S$13,$D$18:$D$2015,"&gt;="&amp;S70,$D$18:$D$2015,"&lt;"&amp;S71))</f>
        <v/>
      </c>
      <c r="U70" s="14" t="n"/>
      <c r="V70" s="16" t="n"/>
      <c r="W70" s="124">
        <f>IF(V70="","",COUNTIFS($C$18:$C$2015,V$13,$D$18:$D$2015,"&gt;="&amp;V70,$D$18:$D$2015,"&lt;"&amp;V71))</f>
        <v/>
      </c>
      <c r="X70" s="14" t="n"/>
      <c r="Y70" s="16" t="n"/>
      <c r="Z70" s="124">
        <f>IF(Y70="","",COUNTIFS($C$18:$C$2015,Y$13,$D$18:$D$2015,"&gt;="&amp;Y70,$D$18:$D$2015,"&lt;"&amp;Y71))</f>
        <v/>
      </c>
      <c r="AA70" s="14" t="n"/>
      <c r="AB70" s="16" t="n"/>
      <c r="AC70" s="124">
        <f>IF(AB70="","",COUNTIFS($C$18:$C$2015,AB$13,$D$18:$D$2015,"&gt;="&amp;AB70,$D$18:$D$2015,"&lt;"&amp;AB71))</f>
        <v/>
      </c>
      <c r="AD70" s="14" t="n"/>
    </row>
    <row r="71">
      <c r="A71" s="58" t="n"/>
      <c r="B71" s="59" t="n"/>
      <c r="C71" s="59" t="n"/>
      <c r="D71" s="126" t="n"/>
      <c r="E71" s="16" t="n"/>
      <c r="F71" s="13" t="n"/>
      <c r="G71" s="16" t="n">
        <v>66</v>
      </c>
      <c r="H71" s="124">
        <f>IF(G71="","",COUNTIFS($C$18:$C$2015,G$13,$D$18:$D$2015,"&gt;="&amp;G71,$D$18:$D$2015,"&lt;"&amp;G72))</f>
        <v/>
      </c>
      <c r="I71" s="14" t="n"/>
      <c r="J71" s="16" t="n"/>
      <c r="K71" s="124">
        <f>IF(J71="","",COUNTIFS($C$18:$C$2015,J$13,$D$18:$D$2015,"&gt;="&amp;J71,$D$18:$D$2015,"&lt;"&amp;J72))</f>
        <v/>
      </c>
      <c r="L71" s="14" t="n"/>
      <c r="M71" s="16" t="n"/>
      <c r="N71" s="124">
        <f>IF(M71="","",COUNTIFS($C$18:$C$2015,M$13,$D$18:$D$2015,"&gt;="&amp;M71,$D$18:$D$2015,"&lt;"&amp;M72))</f>
        <v/>
      </c>
      <c r="O71" s="14" t="n"/>
      <c r="P71" s="16" t="n">
        <v>66</v>
      </c>
      <c r="Q71" s="124">
        <f>IF(P71="","",COUNTIFS($C$18:$C$2015,P$13,$D$18:$D$2015,"&gt;="&amp;P71,$D$18:$D$2015,"&lt;"&amp;P72))</f>
        <v/>
      </c>
      <c r="R71" s="14" t="n"/>
      <c r="S71" s="16" t="n"/>
      <c r="T71" s="124">
        <f>IF(S71="","",COUNTIFS($C$18:$C$2015,S$13,$D$18:$D$2015,"&gt;="&amp;S71,$D$18:$D$2015,"&lt;"&amp;S72))</f>
        <v/>
      </c>
      <c r="U71" s="14" t="n"/>
      <c r="V71" s="16" t="n"/>
      <c r="W71" s="124">
        <f>IF(V71="","",COUNTIFS($C$18:$C$2015,V$13,$D$18:$D$2015,"&gt;="&amp;V71,$D$18:$D$2015,"&lt;"&amp;V72))</f>
        <v/>
      </c>
      <c r="X71" s="14" t="n"/>
      <c r="Y71" s="16" t="n"/>
      <c r="Z71" s="124">
        <f>IF(Y71="","",COUNTIFS($C$18:$C$2015,Y$13,$D$18:$D$2015,"&gt;="&amp;Y71,$D$18:$D$2015,"&lt;"&amp;Y72))</f>
        <v/>
      </c>
      <c r="AA71" s="14" t="n"/>
      <c r="AB71" s="16" t="n"/>
      <c r="AC71" s="124">
        <f>IF(AB71="","",COUNTIFS($C$18:$C$2015,AB$13,$D$18:$D$2015,"&gt;="&amp;AB71,$D$18:$D$2015,"&lt;"&amp;AB72))</f>
        <v/>
      </c>
      <c r="AD71" s="14" t="n"/>
    </row>
    <row r="72">
      <c r="A72" s="56" t="n"/>
      <c r="B72" s="57" t="n"/>
      <c r="C72" s="57" t="n"/>
      <c r="D72" s="127" t="n"/>
      <c r="E72" s="16" t="n"/>
      <c r="F72" s="13" t="n"/>
      <c r="G72" s="16" t="n">
        <v>67</v>
      </c>
      <c r="H72" s="124">
        <f>IF(G72="","",COUNTIFS($C$18:$C$2015,G$13,$D$18:$D$2015,"&gt;="&amp;G72,$D$18:$D$2015,"&lt;"&amp;G73))</f>
        <v/>
      </c>
      <c r="I72" s="14" t="n"/>
      <c r="J72" s="16" t="n"/>
      <c r="K72" s="124">
        <f>IF(J72="","",COUNTIFS($C$18:$C$2015,J$13,$D$18:$D$2015,"&gt;="&amp;J72,$D$18:$D$2015,"&lt;"&amp;J73))</f>
        <v/>
      </c>
      <c r="L72" s="14" t="n"/>
      <c r="M72" s="16" t="n"/>
      <c r="N72" s="124">
        <f>IF(M72="","",COUNTIFS($C$18:$C$2015,M$13,$D$18:$D$2015,"&gt;="&amp;M72,$D$18:$D$2015,"&lt;"&amp;M73))</f>
        <v/>
      </c>
      <c r="O72" s="14" t="n"/>
      <c r="P72" s="16" t="n">
        <v>67</v>
      </c>
      <c r="Q72" s="124">
        <f>IF(P72="","",COUNTIFS($C$18:$C$2015,P$13,$D$18:$D$2015,"&gt;="&amp;P72,$D$18:$D$2015,"&lt;"&amp;P73))</f>
        <v/>
      </c>
      <c r="R72" s="14" t="n"/>
      <c r="S72" s="16" t="n"/>
      <c r="T72" s="124">
        <f>IF(S72="","",COUNTIFS($C$18:$C$2015,S$13,$D$18:$D$2015,"&gt;="&amp;S72,$D$18:$D$2015,"&lt;"&amp;S73))</f>
        <v/>
      </c>
      <c r="U72" s="14" t="n"/>
      <c r="V72" s="16" t="n"/>
      <c r="W72" s="124">
        <f>IF(V72="","",COUNTIFS($C$18:$C$2015,V$13,$D$18:$D$2015,"&gt;="&amp;V72,$D$18:$D$2015,"&lt;"&amp;V73))</f>
        <v/>
      </c>
      <c r="X72" s="14" t="n"/>
      <c r="Y72" s="16" t="n"/>
      <c r="Z72" s="124">
        <f>IF(Y72="","",COUNTIFS($C$18:$C$2015,Y$13,$D$18:$D$2015,"&gt;="&amp;Y72,$D$18:$D$2015,"&lt;"&amp;Y73))</f>
        <v/>
      </c>
      <c r="AA72" s="14" t="n"/>
      <c r="AB72" s="16" t="n"/>
      <c r="AC72" s="124">
        <f>IF(AB72="","",COUNTIFS($C$18:$C$2015,AB$13,$D$18:$D$2015,"&gt;="&amp;AB72,$D$18:$D$2015,"&lt;"&amp;AB73))</f>
        <v/>
      </c>
      <c r="AD72" s="14" t="n"/>
    </row>
    <row r="73">
      <c r="A73" s="58" t="n"/>
      <c r="B73" s="59" t="n"/>
      <c r="C73" s="59" t="n"/>
      <c r="D73" s="126" t="n"/>
      <c r="E73" s="16" t="n"/>
      <c r="F73" s="13" t="n"/>
      <c r="G73" s="16" t="n">
        <v>68</v>
      </c>
      <c r="H73" s="124">
        <f>IF(G73="","",COUNTIFS($C$18:$C$2015,G$13,$D$18:$D$2015,"&gt;="&amp;G73,$D$18:$D$2015,"&lt;"&amp;G74))</f>
        <v/>
      </c>
      <c r="I73" s="14" t="n"/>
      <c r="J73" s="16" t="n"/>
      <c r="K73" s="124">
        <f>IF(J73="","",COUNTIFS($C$18:$C$2015,J$13,$D$18:$D$2015,"&gt;="&amp;J73,$D$18:$D$2015,"&lt;"&amp;J74))</f>
        <v/>
      </c>
      <c r="L73" s="14" t="n"/>
      <c r="M73" s="16" t="n"/>
      <c r="N73" s="124">
        <f>IF(M73="","",COUNTIFS($C$18:$C$2015,M$13,$D$18:$D$2015,"&gt;="&amp;M73,$D$18:$D$2015,"&lt;"&amp;M74))</f>
        <v/>
      </c>
      <c r="O73" s="14" t="n"/>
      <c r="P73" s="16" t="n">
        <v>68</v>
      </c>
      <c r="Q73" s="124">
        <f>IF(P73="","",COUNTIFS($C$18:$C$2015,P$13,$D$18:$D$2015,"&gt;="&amp;P73,$D$18:$D$2015,"&lt;"&amp;P74))</f>
        <v/>
      </c>
      <c r="R73" s="14" t="n"/>
      <c r="S73" s="16" t="n"/>
      <c r="T73" s="124">
        <f>IF(S73="","",COUNTIFS($C$18:$C$2015,S$13,$D$18:$D$2015,"&gt;="&amp;S73,$D$18:$D$2015,"&lt;"&amp;S74))</f>
        <v/>
      </c>
      <c r="U73" s="14" t="n"/>
      <c r="V73" s="16" t="n"/>
      <c r="W73" s="124">
        <f>IF(V73="","",COUNTIFS($C$18:$C$2015,V$13,$D$18:$D$2015,"&gt;="&amp;V73,$D$18:$D$2015,"&lt;"&amp;V74))</f>
        <v/>
      </c>
      <c r="X73" s="14" t="n"/>
      <c r="Y73" s="16" t="n"/>
      <c r="Z73" s="124">
        <f>IF(Y73="","",COUNTIFS($C$18:$C$2015,Y$13,$D$18:$D$2015,"&gt;="&amp;Y73,$D$18:$D$2015,"&lt;"&amp;Y74))</f>
        <v/>
      </c>
      <c r="AA73" s="14" t="n"/>
      <c r="AB73" s="16" t="n"/>
      <c r="AC73" s="124">
        <f>IF(AB73="","",COUNTIFS($C$18:$C$2015,AB$13,$D$18:$D$2015,"&gt;="&amp;AB73,$D$18:$D$2015,"&lt;"&amp;AB74))</f>
        <v/>
      </c>
      <c r="AD73" s="14" t="n"/>
    </row>
    <row r="74">
      <c r="A74" s="56" t="n"/>
      <c r="B74" s="57" t="n"/>
      <c r="C74" s="57" t="n"/>
      <c r="D74" s="127" t="n"/>
      <c r="E74" s="16" t="n"/>
      <c r="F74" s="13" t="n"/>
      <c r="G74" s="16" t="n">
        <v>69</v>
      </c>
      <c r="H74" s="124">
        <f>IF(G74="","",COUNTIFS($C$18:$C$2015,G$13,$D$18:$D$2015,"&gt;="&amp;G74,$D$18:$D$2015,"&lt;"&amp;G75))</f>
        <v/>
      </c>
      <c r="I74" s="14" t="n"/>
      <c r="J74" s="16" t="n"/>
      <c r="K74" s="124">
        <f>IF(J74="","",COUNTIFS($C$18:$C$2015,J$13,$D$18:$D$2015,"&gt;="&amp;J74,$D$18:$D$2015,"&lt;"&amp;J75))</f>
        <v/>
      </c>
      <c r="L74" s="14" t="n"/>
      <c r="M74" s="16" t="n"/>
      <c r="N74" s="124">
        <f>IF(M74="","",COUNTIFS($C$18:$C$2015,M$13,$D$18:$D$2015,"&gt;="&amp;M74,$D$18:$D$2015,"&lt;"&amp;M75))</f>
        <v/>
      </c>
      <c r="O74" s="14" t="n"/>
      <c r="P74" s="16" t="n">
        <v>69</v>
      </c>
      <c r="Q74" s="124">
        <f>IF(P74="","",COUNTIFS($C$18:$C$2015,P$13,$D$18:$D$2015,"&gt;="&amp;P74,$D$18:$D$2015,"&lt;"&amp;P75))</f>
        <v/>
      </c>
      <c r="R74" s="14" t="n"/>
      <c r="S74" s="16" t="n"/>
      <c r="T74" s="124">
        <f>IF(S74="","",COUNTIFS($C$18:$C$2015,S$13,$D$18:$D$2015,"&gt;="&amp;S74,$D$18:$D$2015,"&lt;"&amp;S75))</f>
        <v/>
      </c>
      <c r="U74" s="14" t="n"/>
      <c r="V74" s="16" t="n"/>
      <c r="W74" s="124">
        <f>IF(V74="","",COUNTIFS($C$18:$C$2015,V$13,$D$18:$D$2015,"&gt;="&amp;V74,$D$18:$D$2015,"&lt;"&amp;V75))</f>
        <v/>
      </c>
      <c r="X74" s="14" t="n"/>
      <c r="Y74" s="16" t="n"/>
      <c r="Z74" s="124">
        <f>IF(Y74="","",COUNTIFS($C$18:$C$2015,Y$13,$D$18:$D$2015,"&gt;="&amp;Y74,$D$18:$D$2015,"&lt;"&amp;Y75))</f>
        <v/>
      </c>
      <c r="AA74" s="14" t="n"/>
      <c r="AB74" s="16" t="n"/>
      <c r="AC74" s="124">
        <f>IF(AB74="","",COUNTIFS($C$18:$C$2015,AB$13,$D$18:$D$2015,"&gt;="&amp;AB74,$D$18:$D$2015,"&lt;"&amp;AB75))</f>
        <v/>
      </c>
      <c r="AD74" s="14" t="n"/>
    </row>
    <row r="75">
      <c r="A75" s="58" t="n"/>
      <c r="B75" s="59" t="n"/>
      <c r="C75" s="59" t="n"/>
      <c r="D75" s="126" t="n"/>
      <c r="E75" s="16" t="n"/>
      <c r="F75" s="13" t="n"/>
      <c r="G75" s="16" t="n">
        <v>70</v>
      </c>
      <c r="H75" s="124">
        <f>IF(G75="","",COUNTIFS($C$18:$C$2015,G$13,$D$18:$D$2015,"&gt;="&amp;G75,$D$18:$D$2015,"&lt;"&amp;G76))</f>
        <v/>
      </c>
      <c r="I75" s="14" t="n"/>
      <c r="J75" s="16" t="n"/>
      <c r="K75" s="124">
        <f>IF(J75="","",COUNTIFS($C$18:$C$2015,J$13,$D$18:$D$2015,"&gt;="&amp;J75,$D$18:$D$2015,"&lt;"&amp;J76))</f>
        <v/>
      </c>
      <c r="L75" s="14" t="n"/>
      <c r="M75" s="16" t="n"/>
      <c r="N75" s="124">
        <f>IF(M75="","",COUNTIFS($C$18:$C$2015,M$13,$D$18:$D$2015,"&gt;="&amp;M75,$D$18:$D$2015,"&lt;"&amp;M76))</f>
        <v/>
      </c>
      <c r="O75" s="14" t="n"/>
      <c r="P75" s="16" t="n">
        <v>70</v>
      </c>
      <c r="Q75" s="124">
        <f>IF(P75="","",COUNTIFS($C$18:$C$2015,P$13,$D$18:$D$2015,"&gt;="&amp;P75,$D$18:$D$2015,"&lt;"&amp;P76))</f>
        <v/>
      </c>
      <c r="R75" s="14" t="n"/>
      <c r="S75" s="16" t="n"/>
      <c r="T75" s="124">
        <f>IF(S75="","",COUNTIFS($C$18:$C$2015,S$13,$D$18:$D$2015,"&gt;="&amp;S75,$D$18:$D$2015,"&lt;"&amp;S76))</f>
        <v/>
      </c>
      <c r="U75" s="14" t="n"/>
      <c r="V75" s="16" t="n"/>
      <c r="W75" s="124">
        <f>IF(V75="","",COUNTIFS($C$18:$C$2015,V$13,$D$18:$D$2015,"&gt;="&amp;V75,$D$18:$D$2015,"&lt;"&amp;V76))</f>
        <v/>
      </c>
      <c r="X75" s="14" t="n"/>
      <c r="Y75" s="16" t="n"/>
      <c r="Z75" s="124">
        <f>IF(Y75="","",COUNTIFS($C$18:$C$2015,Y$13,$D$18:$D$2015,"&gt;="&amp;Y75,$D$18:$D$2015,"&lt;"&amp;Y76))</f>
        <v/>
      </c>
      <c r="AA75" s="14" t="n"/>
      <c r="AB75" s="16" t="n"/>
      <c r="AC75" s="124">
        <f>IF(AB75="","",COUNTIFS($C$18:$C$2015,AB$13,$D$18:$D$2015,"&gt;="&amp;AB75,$D$18:$D$2015,"&lt;"&amp;AB76))</f>
        <v/>
      </c>
      <c r="AD75" s="14" t="n"/>
    </row>
    <row r="76">
      <c r="A76" s="56" t="n"/>
      <c r="B76" s="57" t="n"/>
      <c r="C76" s="57" t="n"/>
      <c r="D76" s="127" t="n"/>
      <c r="E76" s="16" t="n"/>
      <c r="F76" s="13" t="n"/>
      <c r="G76" s="16" t="n">
        <v>71</v>
      </c>
      <c r="H76" s="124">
        <f>IF(G76="","",COUNTIFS($C$18:$C$2015,G$13,$D$18:$D$2015,"&gt;="&amp;G76,$D$18:$D$2015,"&lt;"&amp;G77))</f>
        <v/>
      </c>
      <c r="I76" s="14" t="n"/>
      <c r="J76" s="16" t="n"/>
      <c r="K76" s="124">
        <f>IF(J76="","",COUNTIFS($C$18:$C$2015,J$13,$D$18:$D$2015,"&gt;="&amp;J76,$D$18:$D$2015,"&lt;"&amp;J77))</f>
        <v/>
      </c>
      <c r="L76" s="14" t="n"/>
      <c r="M76" s="16" t="n"/>
      <c r="N76" s="124">
        <f>IF(M76="","",COUNTIFS($C$18:$C$2015,M$13,$D$18:$D$2015,"&gt;="&amp;M76,$D$18:$D$2015,"&lt;"&amp;M77))</f>
        <v/>
      </c>
      <c r="O76" s="14" t="n"/>
      <c r="P76" s="16" t="n">
        <v>71</v>
      </c>
      <c r="Q76" s="124">
        <f>IF(P76="","",COUNTIFS($C$18:$C$2015,P$13,$D$18:$D$2015,"&gt;="&amp;P76,$D$18:$D$2015,"&lt;"&amp;P77))</f>
        <v/>
      </c>
      <c r="R76" s="14" t="n"/>
      <c r="S76" s="16" t="n"/>
      <c r="T76" s="124">
        <f>IF(S76="","",COUNTIFS($C$18:$C$2015,S$13,$D$18:$D$2015,"&gt;="&amp;S76,$D$18:$D$2015,"&lt;"&amp;S77))</f>
        <v/>
      </c>
      <c r="U76" s="14" t="n"/>
      <c r="V76" s="16" t="n"/>
      <c r="W76" s="124">
        <f>IF(V76="","",COUNTIFS($C$18:$C$2015,V$13,$D$18:$D$2015,"&gt;="&amp;V76,$D$18:$D$2015,"&lt;"&amp;V77))</f>
        <v/>
      </c>
      <c r="X76" s="14" t="n"/>
      <c r="Y76" s="16" t="n"/>
      <c r="Z76" s="124">
        <f>IF(Y76="","",COUNTIFS($C$18:$C$2015,Y$13,$D$18:$D$2015,"&gt;="&amp;Y76,$D$18:$D$2015,"&lt;"&amp;Y77))</f>
        <v/>
      </c>
      <c r="AA76" s="14" t="n"/>
      <c r="AB76" s="16" t="n"/>
      <c r="AC76" s="124">
        <f>IF(AB76="","",COUNTIFS($C$18:$C$2015,AB$13,$D$18:$D$2015,"&gt;="&amp;AB76,$D$18:$D$2015,"&lt;"&amp;AB77))</f>
        <v/>
      </c>
      <c r="AD76" s="14" t="n"/>
    </row>
    <row r="77">
      <c r="A77" s="58" t="n"/>
      <c r="B77" s="59" t="n"/>
      <c r="C77" s="59" t="n"/>
      <c r="D77" s="126" t="n"/>
      <c r="E77" s="16" t="n"/>
      <c r="F77" s="13" t="n"/>
      <c r="G77" s="16" t="n">
        <v>72</v>
      </c>
      <c r="H77" s="124">
        <f>IF(G77="","",COUNTIFS($C$18:$C$2015,G$13,$D$18:$D$2015,"&gt;="&amp;G77,$D$18:$D$2015,"&lt;"&amp;G78))</f>
        <v/>
      </c>
      <c r="I77" s="14" t="n"/>
      <c r="J77" s="16" t="n"/>
      <c r="K77" s="124">
        <f>IF(J77="","",COUNTIFS($C$18:$C$2015,J$13,$D$18:$D$2015,"&gt;="&amp;J77,$D$18:$D$2015,"&lt;"&amp;J78))</f>
        <v/>
      </c>
      <c r="L77" s="14" t="n"/>
      <c r="M77" s="16" t="n"/>
      <c r="N77" s="124">
        <f>IF(M77="","",COUNTIFS($C$18:$C$2015,M$13,$D$18:$D$2015,"&gt;="&amp;M77,$D$18:$D$2015,"&lt;"&amp;M78))</f>
        <v/>
      </c>
      <c r="O77" s="14" t="n"/>
      <c r="P77" s="16" t="n">
        <v>72</v>
      </c>
      <c r="Q77" s="124">
        <f>IF(P77="","",COUNTIFS($C$18:$C$2015,P$13,$D$18:$D$2015,"&gt;="&amp;P77,$D$18:$D$2015,"&lt;"&amp;P78))</f>
        <v/>
      </c>
      <c r="R77" s="14" t="n"/>
      <c r="S77" s="16" t="n"/>
      <c r="T77" s="124">
        <f>IF(S77="","",COUNTIFS($C$18:$C$2015,S$13,$D$18:$D$2015,"&gt;="&amp;S77,$D$18:$D$2015,"&lt;"&amp;S78))</f>
        <v/>
      </c>
      <c r="U77" s="14" t="n"/>
      <c r="V77" s="16" t="n"/>
      <c r="W77" s="124">
        <f>IF(V77="","",COUNTIFS($C$18:$C$2015,V$13,$D$18:$D$2015,"&gt;="&amp;V77,$D$18:$D$2015,"&lt;"&amp;V78))</f>
        <v/>
      </c>
      <c r="X77" s="14" t="n"/>
      <c r="Y77" s="16" t="n"/>
      <c r="Z77" s="124">
        <f>IF(Y77="","",COUNTIFS($C$18:$C$2015,Y$13,$D$18:$D$2015,"&gt;="&amp;Y77,$D$18:$D$2015,"&lt;"&amp;Y78))</f>
        <v/>
      </c>
      <c r="AA77" s="14" t="n"/>
      <c r="AB77" s="16" t="n"/>
      <c r="AC77" s="124">
        <f>IF(AB77="","",COUNTIFS($C$18:$C$2015,AB$13,$D$18:$D$2015,"&gt;="&amp;AB77,$D$18:$D$2015,"&lt;"&amp;AB78))</f>
        <v/>
      </c>
      <c r="AD77" s="14" t="n"/>
    </row>
    <row r="78">
      <c r="A78" s="56" t="n"/>
      <c r="B78" s="57" t="n"/>
      <c r="C78" s="57" t="n"/>
      <c r="D78" s="127" t="n"/>
      <c r="E78" s="16" t="n"/>
      <c r="F78" s="13" t="n"/>
      <c r="G78" s="16" t="n">
        <v>73</v>
      </c>
      <c r="H78" s="124">
        <f>IF(G78="","",COUNTIFS($C$18:$C$2015,G$13,$D$18:$D$2015,"&gt;="&amp;G78,$D$18:$D$2015,"&lt;"&amp;G79))</f>
        <v/>
      </c>
      <c r="I78" s="14" t="n"/>
      <c r="J78" s="16" t="n"/>
      <c r="K78" s="124">
        <f>IF(J78="","",COUNTIFS($C$18:$C$2015,J$13,$D$18:$D$2015,"&gt;="&amp;J78,$D$18:$D$2015,"&lt;"&amp;J79))</f>
        <v/>
      </c>
      <c r="L78" s="14" t="n"/>
      <c r="M78" s="16" t="n"/>
      <c r="N78" s="124">
        <f>IF(M78="","",COUNTIFS($C$18:$C$2015,M$13,$D$18:$D$2015,"&gt;="&amp;M78,$D$18:$D$2015,"&lt;"&amp;M79))</f>
        <v/>
      </c>
      <c r="O78" s="14" t="n"/>
      <c r="P78" s="16" t="n">
        <v>73</v>
      </c>
      <c r="Q78" s="124">
        <f>IF(P78="","",COUNTIFS($C$18:$C$2015,P$13,$D$18:$D$2015,"&gt;="&amp;P78,$D$18:$D$2015,"&lt;"&amp;P79))</f>
        <v/>
      </c>
      <c r="R78" s="14" t="n"/>
      <c r="S78" s="16" t="n"/>
      <c r="T78" s="124">
        <f>IF(S78="","",COUNTIFS($C$18:$C$2015,S$13,$D$18:$D$2015,"&gt;="&amp;S78,$D$18:$D$2015,"&lt;"&amp;S79))</f>
        <v/>
      </c>
      <c r="U78" s="14" t="n"/>
      <c r="V78" s="16" t="n"/>
      <c r="W78" s="124">
        <f>IF(V78="","",COUNTIFS($C$18:$C$2015,V$13,$D$18:$D$2015,"&gt;="&amp;V78,$D$18:$D$2015,"&lt;"&amp;V79))</f>
        <v/>
      </c>
      <c r="X78" s="14" t="n"/>
      <c r="Y78" s="16" t="n"/>
      <c r="Z78" s="124">
        <f>IF(Y78="","",COUNTIFS($C$18:$C$2015,Y$13,$D$18:$D$2015,"&gt;="&amp;Y78,$D$18:$D$2015,"&lt;"&amp;Y79))</f>
        <v/>
      </c>
      <c r="AA78" s="14" t="n"/>
      <c r="AB78" s="16" t="n"/>
      <c r="AC78" s="124">
        <f>IF(AB78="","",COUNTIFS($C$18:$C$2015,AB$13,$D$18:$D$2015,"&gt;="&amp;AB78,$D$18:$D$2015,"&lt;"&amp;AB79))</f>
        <v/>
      </c>
      <c r="AD78" s="14" t="n"/>
    </row>
    <row r="79">
      <c r="A79" s="58" t="n"/>
      <c r="B79" s="59" t="n"/>
      <c r="C79" s="59" t="n"/>
      <c r="D79" s="126" t="n"/>
      <c r="E79" s="16" t="n"/>
      <c r="F79" s="13" t="n"/>
      <c r="G79" s="16" t="n">
        <v>74</v>
      </c>
      <c r="H79" s="124">
        <f>IF(G79="","",COUNTIFS($C$18:$C$2015,G$13,$D$18:$D$2015,"&gt;="&amp;G79,$D$18:$D$2015,"&lt;"&amp;G80))</f>
        <v/>
      </c>
      <c r="I79" s="14" t="n"/>
      <c r="J79" s="16" t="n"/>
      <c r="K79" s="124">
        <f>IF(J79="","",COUNTIFS($C$18:$C$2015,J$13,$D$18:$D$2015,"&gt;="&amp;J79,$D$18:$D$2015,"&lt;"&amp;J80))</f>
        <v/>
      </c>
      <c r="L79" s="14" t="n"/>
      <c r="M79" s="16" t="n"/>
      <c r="N79" s="124">
        <f>IF(M79="","",COUNTIFS($C$18:$C$2015,M$13,$D$18:$D$2015,"&gt;="&amp;M79,$D$18:$D$2015,"&lt;"&amp;M80))</f>
        <v/>
      </c>
      <c r="O79" s="14" t="n"/>
      <c r="P79" s="16" t="n">
        <v>74</v>
      </c>
      <c r="Q79" s="124">
        <f>IF(P79="","",COUNTIFS($C$18:$C$2015,P$13,$D$18:$D$2015,"&gt;="&amp;P79,$D$18:$D$2015,"&lt;"&amp;P80))</f>
        <v/>
      </c>
      <c r="R79" s="14" t="n"/>
      <c r="S79" s="16" t="n"/>
      <c r="T79" s="124">
        <f>IF(S79="","",COUNTIFS($C$18:$C$2015,S$13,$D$18:$D$2015,"&gt;="&amp;S79,$D$18:$D$2015,"&lt;"&amp;S80))</f>
        <v/>
      </c>
      <c r="U79" s="14" t="n"/>
      <c r="V79" s="16" t="n"/>
      <c r="W79" s="124">
        <f>IF(V79="","",COUNTIFS($C$18:$C$2015,V$13,$D$18:$D$2015,"&gt;="&amp;V79,$D$18:$D$2015,"&lt;"&amp;V80))</f>
        <v/>
      </c>
      <c r="X79" s="14" t="n"/>
      <c r="Y79" s="16" t="n"/>
      <c r="Z79" s="124">
        <f>IF(Y79="","",COUNTIFS($C$18:$C$2015,Y$13,$D$18:$D$2015,"&gt;="&amp;Y79,$D$18:$D$2015,"&lt;"&amp;Y80))</f>
        <v/>
      </c>
      <c r="AA79" s="14" t="n"/>
      <c r="AB79" s="16" t="n"/>
      <c r="AC79" s="124">
        <f>IF(AB79="","",COUNTIFS($C$18:$C$2015,AB$13,$D$18:$D$2015,"&gt;="&amp;AB79,$D$18:$D$2015,"&lt;"&amp;AB80))</f>
        <v/>
      </c>
      <c r="AD79" s="14" t="n"/>
    </row>
    <row r="80">
      <c r="A80" s="56" t="n"/>
      <c r="B80" s="57" t="n"/>
      <c r="C80" s="57" t="n"/>
      <c r="D80" s="127" t="n"/>
      <c r="E80" s="16" t="n"/>
      <c r="F80" s="13" t="n"/>
      <c r="G80" s="16" t="n">
        <v>75</v>
      </c>
      <c r="H80" s="124">
        <f>IF(G80="","",COUNTIFS($C$18:$C$2015,G$13,$D$18:$D$2015,"&gt;="&amp;G80,$D$18:$D$2015,"&lt;"&amp;G81))</f>
        <v/>
      </c>
      <c r="I80" s="14" t="n"/>
      <c r="J80" s="16" t="n"/>
      <c r="K80" s="124">
        <f>IF(J80="","",COUNTIFS($C$18:$C$2015,J$13,$D$18:$D$2015,"&gt;="&amp;J80,$D$18:$D$2015,"&lt;"&amp;J81))</f>
        <v/>
      </c>
      <c r="L80" s="14" t="n"/>
      <c r="M80" s="16" t="n"/>
      <c r="N80" s="124">
        <f>IF(M80="","",COUNTIFS($C$18:$C$2015,M$13,$D$18:$D$2015,"&gt;="&amp;M80,$D$18:$D$2015,"&lt;"&amp;M81))</f>
        <v/>
      </c>
      <c r="O80" s="14" t="n"/>
      <c r="P80" s="16" t="n">
        <v>75</v>
      </c>
      <c r="Q80" s="124">
        <f>IF(P80="","",COUNTIFS($C$18:$C$2015,P$13,$D$18:$D$2015,"&gt;="&amp;P80,$D$18:$D$2015,"&lt;"&amp;P81))</f>
        <v/>
      </c>
      <c r="R80" s="14" t="n"/>
      <c r="S80" s="16" t="n"/>
      <c r="T80" s="124">
        <f>IF(S80="","",COUNTIFS($C$18:$C$2015,S$13,$D$18:$D$2015,"&gt;="&amp;S80,$D$18:$D$2015,"&lt;"&amp;S81))</f>
        <v/>
      </c>
      <c r="U80" s="14" t="n"/>
      <c r="V80" s="16" t="n"/>
      <c r="W80" s="124">
        <f>IF(V80="","",COUNTIFS($C$18:$C$2015,V$13,$D$18:$D$2015,"&gt;="&amp;V80,$D$18:$D$2015,"&lt;"&amp;V81))</f>
        <v/>
      </c>
      <c r="X80" s="14" t="n"/>
      <c r="Y80" s="16" t="n"/>
      <c r="Z80" s="124">
        <f>IF(Y80="","",COUNTIFS($C$18:$C$2015,Y$13,$D$18:$D$2015,"&gt;="&amp;Y80,$D$18:$D$2015,"&lt;"&amp;Y81))</f>
        <v/>
      </c>
      <c r="AA80" s="14" t="n"/>
      <c r="AB80" s="16" t="n"/>
      <c r="AC80" s="124">
        <f>IF(AB80="","",COUNTIFS($C$18:$C$2015,AB$13,$D$18:$D$2015,"&gt;="&amp;AB80,$D$18:$D$2015,"&lt;"&amp;AB81))</f>
        <v/>
      </c>
      <c r="AD80" s="14" t="n"/>
    </row>
    <row r="81">
      <c r="A81" s="58" t="n"/>
      <c r="B81" s="59" t="n"/>
      <c r="C81" s="59" t="n"/>
      <c r="D81" s="126" t="n"/>
      <c r="E81" s="16" t="n"/>
      <c r="F81" s="13" t="n"/>
      <c r="G81" s="16" t="n">
        <v>76</v>
      </c>
      <c r="H81" s="124">
        <f>IF(G81="","",COUNTIFS($C$18:$C$2015,G$13,$D$18:$D$2015,"&gt;="&amp;G81,$D$18:$D$2015,"&lt;"&amp;G82))</f>
        <v/>
      </c>
      <c r="I81" s="14" t="n"/>
      <c r="J81" s="16" t="n"/>
      <c r="K81" s="124">
        <f>IF(J81="","",COUNTIFS($C$18:$C$2015,J$13,$D$18:$D$2015,"&gt;="&amp;J81,$D$18:$D$2015,"&lt;"&amp;J82))</f>
        <v/>
      </c>
      <c r="L81" s="14" t="n"/>
      <c r="M81" s="16" t="n"/>
      <c r="N81" s="124">
        <f>IF(M81="","",COUNTIFS($C$18:$C$2015,M$13,$D$18:$D$2015,"&gt;="&amp;M81,$D$18:$D$2015,"&lt;"&amp;M82))</f>
        <v/>
      </c>
      <c r="O81" s="14" t="n"/>
      <c r="P81" s="16" t="n">
        <v>76</v>
      </c>
      <c r="Q81" s="124">
        <f>IF(P81="","",COUNTIFS($C$18:$C$2015,P$13,$D$18:$D$2015,"&gt;="&amp;P81,$D$18:$D$2015,"&lt;"&amp;P82))</f>
        <v/>
      </c>
      <c r="R81" s="14" t="n"/>
      <c r="S81" s="16" t="n"/>
      <c r="T81" s="124">
        <f>IF(S81="","",COUNTIFS($C$18:$C$2015,S$13,$D$18:$D$2015,"&gt;="&amp;S81,$D$18:$D$2015,"&lt;"&amp;S82))</f>
        <v/>
      </c>
      <c r="U81" s="14" t="n"/>
      <c r="V81" s="16" t="n"/>
      <c r="W81" s="124">
        <f>IF(V81="","",COUNTIFS($C$18:$C$2015,V$13,$D$18:$D$2015,"&gt;="&amp;V81,$D$18:$D$2015,"&lt;"&amp;V82))</f>
        <v/>
      </c>
      <c r="X81" s="14" t="n"/>
      <c r="Y81" s="16" t="n"/>
      <c r="Z81" s="124">
        <f>IF(Y81="","",COUNTIFS($C$18:$C$2015,Y$13,$D$18:$D$2015,"&gt;="&amp;Y81,$D$18:$D$2015,"&lt;"&amp;Y82))</f>
        <v/>
      </c>
      <c r="AA81" s="14" t="n"/>
      <c r="AB81" s="16" t="n"/>
      <c r="AC81" s="124">
        <f>IF(AB81="","",COUNTIFS($C$18:$C$2015,AB$13,$D$18:$D$2015,"&gt;="&amp;AB81,$D$18:$D$2015,"&lt;"&amp;AB82))</f>
        <v/>
      </c>
      <c r="AD81" s="14" t="n"/>
    </row>
    <row r="82">
      <c r="A82" s="56" t="n"/>
      <c r="B82" s="57" t="n"/>
      <c r="C82" s="57" t="n"/>
      <c r="D82" s="127" t="n"/>
      <c r="E82" s="16" t="n"/>
      <c r="F82" s="13" t="n"/>
      <c r="G82" s="16" t="n">
        <v>77</v>
      </c>
      <c r="H82" s="124">
        <f>IF(G82="","",COUNTIFS($C$18:$C$2015,G$13,$D$18:$D$2015,"&gt;="&amp;G82,$D$18:$D$2015,"&lt;"&amp;G83))</f>
        <v/>
      </c>
      <c r="I82" s="14" t="n"/>
      <c r="J82" s="16" t="n"/>
      <c r="K82" s="124">
        <f>IF(J82="","",COUNTIFS($C$18:$C$2015,J$13,$D$18:$D$2015,"&gt;="&amp;J82,$D$18:$D$2015,"&lt;"&amp;J83))</f>
        <v/>
      </c>
      <c r="L82" s="14" t="n"/>
      <c r="M82" s="16" t="n"/>
      <c r="N82" s="124">
        <f>IF(M82="","",COUNTIFS($C$18:$C$2015,M$13,$D$18:$D$2015,"&gt;="&amp;M82,$D$18:$D$2015,"&lt;"&amp;M83))</f>
        <v/>
      </c>
      <c r="O82" s="14" t="n"/>
      <c r="P82" s="16" t="n">
        <v>77</v>
      </c>
      <c r="Q82" s="124">
        <f>IF(P82="","",COUNTIFS($C$18:$C$2015,P$13,$D$18:$D$2015,"&gt;="&amp;P82,$D$18:$D$2015,"&lt;"&amp;P83))</f>
        <v/>
      </c>
      <c r="R82" s="14" t="n"/>
      <c r="S82" s="16" t="n"/>
      <c r="T82" s="124">
        <f>IF(S82="","",COUNTIFS($C$18:$C$2015,S$13,$D$18:$D$2015,"&gt;="&amp;S82,$D$18:$D$2015,"&lt;"&amp;S83))</f>
        <v/>
      </c>
      <c r="U82" s="14" t="n"/>
      <c r="V82" s="16" t="n"/>
      <c r="W82" s="124">
        <f>IF(V82="","",COUNTIFS($C$18:$C$2015,V$13,$D$18:$D$2015,"&gt;="&amp;V82,$D$18:$D$2015,"&lt;"&amp;V83))</f>
        <v/>
      </c>
      <c r="X82" s="14" t="n"/>
      <c r="Y82" s="16" t="n"/>
      <c r="Z82" s="124">
        <f>IF(Y82="","",COUNTIFS($C$18:$C$2015,Y$13,$D$18:$D$2015,"&gt;="&amp;Y82,$D$18:$D$2015,"&lt;"&amp;Y83))</f>
        <v/>
      </c>
      <c r="AA82" s="14" t="n"/>
      <c r="AB82" s="16" t="n"/>
      <c r="AC82" s="124">
        <f>IF(AB82="","",COUNTIFS($C$18:$C$2015,AB$13,$D$18:$D$2015,"&gt;="&amp;AB82,$D$18:$D$2015,"&lt;"&amp;AB83))</f>
        <v/>
      </c>
      <c r="AD82" s="14" t="n"/>
    </row>
    <row r="83">
      <c r="A83" s="58" t="n"/>
      <c r="B83" s="59" t="n"/>
      <c r="C83" s="59" t="n"/>
      <c r="D83" s="126" t="n"/>
      <c r="E83" s="16" t="n"/>
      <c r="F83" s="13" t="n"/>
      <c r="G83" s="16" t="n">
        <v>78</v>
      </c>
      <c r="H83" s="124">
        <f>IF(G83="","",COUNTIFS($C$18:$C$2015,G$13,$D$18:$D$2015,"&gt;="&amp;G83,$D$18:$D$2015,"&lt;"&amp;G84))</f>
        <v/>
      </c>
      <c r="I83" s="14" t="n"/>
      <c r="J83" s="16" t="n"/>
      <c r="K83" s="124">
        <f>IF(J83="","",COUNTIFS($C$18:$C$2015,J$13,$D$18:$D$2015,"&gt;="&amp;J83,$D$18:$D$2015,"&lt;"&amp;J84))</f>
        <v/>
      </c>
      <c r="L83" s="14" t="n"/>
      <c r="M83" s="16" t="n"/>
      <c r="N83" s="124">
        <f>IF(M83="","",COUNTIFS($C$18:$C$2015,M$13,$D$18:$D$2015,"&gt;="&amp;M83,$D$18:$D$2015,"&lt;"&amp;M84))</f>
        <v/>
      </c>
      <c r="O83" s="14" t="n"/>
      <c r="P83" s="16" t="n">
        <v>78</v>
      </c>
      <c r="Q83" s="124">
        <f>IF(P83="","",COUNTIFS($C$18:$C$2015,P$13,$D$18:$D$2015,"&gt;="&amp;P83,$D$18:$D$2015,"&lt;"&amp;P84))</f>
        <v/>
      </c>
      <c r="R83" s="14" t="n"/>
      <c r="S83" s="16" t="n"/>
      <c r="T83" s="124">
        <f>IF(S83="","",COUNTIFS($C$18:$C$2015,S$13,$D$18:$D$2015,"&gt;="&amp;S83,$D$18:$D$2015,"&lt;"&amp;S84))</f>
        <v/>
      </c>
      <c r="U83" s="14" t="n"/>
      <c r="V83" s="16" t="n"/>
      <c r="W83" s="124">
        <f>IF(V83="","",COUNTIFS($C$18:$C$2015,V$13,$D$18:$D$2015,"&gt;="&amp;V83,$D$18:$D$2015,"&lt;"&amp;V84))</f>
        <v/>
      </c>
      <c r="X83" s="14" t="n"/>
      <c r="Y83" s="16" t="n"/>
      <c r="Z83" s="124">
        <f>IF(Y83="","",COUNTIFS($C$18:$C$2015,Y$13,$D$18:$D$2015,"&gt;="&amp;Y83,$D$18:$D$2015,"&lt;"&amp;Y84))</f>
        <v/>
      </c>
      <c r="AA83" s="14" t="n"/>
      <c r="AB83" s="16" t="n"/>
      <c r="AC83" s="124">
        <f>IF(AB83="","",COUNTIFS($C$18:$C$2015,AB$13,$D$18:$D$2015,"&gt;="&amp;AB83,$D$18:$D$2015,"&lt;"&amp;AB84))</f>
        <v/>
      </c>
      <c r="AD83" s="14" t="n"/>
    </row>
    <row r="84">
      <c r="A84" s="56" t="n"/>
      <c r="B84" s="57" t="n"/>
      <c r="C84" s="57" t="n"/>
      <c r="D84" s="127" t="n"/>
      <c r="E84" s="16" t="n"/>
      <c r="F84" s="13" t="n"/>
      <c r="G84" s="16" t="n">
        <v>79</v>
      </c>
      <c r="H84" s="124">
        <f>IF(G84="","",COUNTIFS($C$18:$C$2015,G$13,$D$18:$D$2015,"&gt;="&amp;G84,$D$18:$D$2015,"&lt;"&amp;G85))</f>
        <v/>
      </c>
      <c r="I84" s="14" t="n"/>
      <c r="J84" s="16" t="n"/>
      <c r="K84" s="124">
        <f>IF(J84="","",COUNTIFS($C$18:$C$2015,J$13,$D$18:$D$2015,"&gt;="&amp;J84,$D$18:$D$2015,"&lt;"&amp;J85))</f>
        <v/>
      </c>
      <c r="L84" s="14" t="n"/>
      <c r="M84" s="16" t="n"/>
      <c r="N84" s="124">
        <f>IF(M84="","",COUNTIFS($C$18:$C$2015,M$13,$D$18:$D$2015,"&gt;="&amp;M84,$D$18:$D$2015,"&lt;"&amp;M85))</f>
        <v/>
      </c>
      <c r="O84" s="14" t="n"/>
      <c r="P84" s="16" t="n">
        <v>79</v>
      </c>
      <c r="Q84" s="124">
        <f>IF(P84="","",COUNTIFS($C$18:$C$2015,P$13,$D$18:$D$2015,"&gt;="&amp;P84,$D$18:$D$2015,"&lt;"&amp;P85))</f>
        <v/>
      </c>
      <c r="R84" s="14" t="n"/>
      <c r="S84" s="16" t="n"/>
      <c r="T84" s="124">
        <f>IF(S84="","",COUNTIFS($C$18:$C$2015,S$13,$D$18:$D$2015,"&gt;="&amp;S84,$D$18:$D$2015,"&lt;"&amp;S85))</f>
        <v/>
      </c>
      <c r="U84" s="14" t="n"/>
      <c r="V84" s="16" t="n"/>
      <c r="W84" s="124">
        <f>IF(V84="","",COUNTIFS($C$18:$C$2015,V$13,$D$18:$D$2015,"&gt;="&amp;V84,$D$18:$D$2015,"&lt;"&amp;V85))</f>
        <v/>
      </c>
      <c r="X84" s="14" t="n"/>
      <c r="Y84" s="16" t="n"/>
      <c r="Z84" s="124">
        <f>IF(Y84="","",COUNTIFS($C$18:$C$2015,Y$13,$D$18:$D$2015,"&gt;="&amp;Y84,$D$18:$D$2015,"&lt;"&amp;Y85))</f>
        <v/>
      </c>
      <c r="AA84" s="14" t="n"/>
      <c r="AB84" s="16" t="n"/>
      <c r="AC84" s="124">
        <f>IF(AB84="","",COUNTIFS($C$18:$C$2015,AB$13,$D$18:$D$2015,"&gt;="&amp;AB84,$D$18:$D$2015,"&lt;"&amp;AB85))</f>
        <v/>
      </c>
      <c r="AD84" s="14" t="n"/>
    </row>
    <row r="85">
      <c r="A85" s="58" t="n"/>
      <c r="B85" s="59" t="n"/>
      <c r="C85" s="59" t="n"/>
      <c r="D85" s="126" t="n"/>
      <c r="E85" s="16" t="n"/>
      <c r="F85" s="13" t="n"/>
      <c r="G85" s="16" t="n">
        <v>80</v>
      </c>
      <c r="H85" s="124">
        <f>IF(G85="","",COUNTIFS($C$18:$C$2015,G$13,$D$18:$D$2015,"&gt;="&amp;G85,$D$18:$D$2015,"&lt;"&amp;G86))</f>
        <v/>
      </c>
      <c r="I85" s="14" t="n"/>
      <c r="J85" s="16" t="n"/>
      <c r="K85" s="124">
        <f>IF(J85="","",COUNTIFS($C$18:$C$2015,J$13,$D$18:$D$2015,"&gt;="&amp;J85,$D$18:$D$2015,"&lt;"&amp;J86))</f>
        <v/>
      </c>
      <c r="L85" s="14" t="n"/>
      <c r="M85" s="16" t="n"/>
      <c r="N85" s="124">
        <f>IF(M85="","",COUNTIFS($C$18:$C$2015,M$13,$D$18:$D$2015,"&gt;="&amp;M85,$D$18:$D$2015,"&lt;"&amp;M86))</f>
        <v/>
      </c>
      <c r="O85" s="14" t="n"/>
      <c r="P85" s="16" t="n">
        <v>80</v>
      </c>
      <c r="Q85" s="124">
        <f>IF(P85="","",COUNTIFS($C$18:$C$2015,P$13,$D$18:$D$2015,"&gt;="&amp;P85,$D$18:$D$2015,"&lt;"&amp;P86))</f>
        <v/>
      </c>
      <c r="R85" s="14" t="n"/>
      <c r="S85" s="16" t="n"/>
      <c r="T85" s="124">
        <f>IF(S85="","",COUNTIFS($C$18:$C$2015,S$13,$D$18:$D$2015,"&gt;="&amp;S85,$D$18:$D$2015,"&lt;"&amp;S86))</f>
        <v/>
      </c>
      <c r="U85" s="14" t="n"/>
      <c r="V85" s="16" t="n"/>
      <c r="W85" s="124">
        <f>IF(V85="","",COUNTIFS($C$18:$C$2015,V$13,$D$18:$D$2015,"&gt;="&amp;V85,$D$18:$D$2015,"&lt;"&amp;V86))</f>
        <v/>
      </c>
      <c r="X85" s="14" t="n"/>
      <c r="Y85" s="16" t="n"/>
      <c r="Z85" s="124">
        <f>IF(Y85="","",COUNTIFS($C$18:$C$2015,Y$13,$D$18:$D$2015,"&gt;="&amp;Y85,$D$18:$D$2015,"&lt;"&amp;Y86))</f>
        <v/>
      </c>
      <c r="AA85" s="14" t="n"/>
      <c r="AB85" s="16" t="n"/>
      <c r="AC85" s="124">
        <f>IF(AB85="","",COUNTIFS($C$18:$C$2015,AB$13,$D$18:$D$2015,"&gt;="&amp;AB85,$D$18:$D$2015,"&lt;"&amp;AB86))</f>
        <v/>
      </c>
      <c r="AD85" s="14" t="n"/>
    </row>
  </sheetData>
  <autoFilter ref="A14:E14"/>
  <conditionalFormatting sqref="E15:E85">
    <cfRule type="cellIs" priority="1" operator="greaterThan" dxfId="3">
      <formula>0</formula>
    </cfRule>
  </conditionalFormatting>
  <conditionalFormatting sqref="G15:G85">
    <cfRule type="expression" priority="54" dxfId="2">
      <formula>AND(NOT(ISBLANK(G15)),G15&lt;H$7)</formula>
    </cfRule>
    <cfRule type="expression" priority="55" dxfId="1">
      <formula>AND(G15&lt;=(H$7),(G15+H$5)&gt;(H$7))</formula>
    </cfRule>
    <cfRule type="expression" priority="56" dxfId="0">
      <formula>AND(NOT(ISBLANK(G15)),G15&gt;H$7)</formula>
    </cfRule>
    <cfRule type="cellIs" priority="58" operator="greaterThan" dxfId="3">
      <formula>0</formula>
    </cfRule>
  </conditionalFormatting>
  <conditionalFormatting sqref="H2">
    <cfRule type="iconSet" priority="53">
      <iconSet iconSet="3Symbols2">
        <cfvo type="percent" val="0"/>
        <cfvo type="num" val="30" gte="0"/>
        <cfvo type="num" val="50" gte="0"/>
      </iconSet>
    </cfRule>
  </conditionalFormatting>
  <conditionalFormatting sqref="H15:H85">
    <cfRule type="dataBar" priority="57">
      <dataBar>
        <cfvo type="num" val="0"/>
        <cfvo type="max"/>
        <color rgb="FF638EC6"/>
      </dataBar>
    </cfRule>
  </conditionalFormatting>
  <conditionalFormatting sqref="J15:J85">
    <cfRule type="expression" priority="47" dxfId="2">
      <formula>AND(NOT(ISBLANK(J15)),J15&lt;K$7)</formula>
    </cfRule>
    <cfRule type="expression" priority="48" dxfId="1">
      <formula>AND(J15&lt;=(K$7),(J15+K$5)&gt;(K$7))</formula>
    </cfRule>
    <cfRule type="expression" priority="49" dxfId="0">
      <formula>AND(NOT(ISBLANK(J15)),J15&gt;K$7)</formula>
    </cfRule>
    <cfRule type="cellIs" priority="51" operator="greaterThan" dxfId="3">
      <formula>0</formula>
    </cfRule>
  </conditionalFormatting>
  <conditionalFormatting sqref="K2">
    <cfRule type="iconSet" priority="46">
      <iconSet iconSet="3Symbols2">
        <cfvo type="percent" val="0"/>
        <cfvo type="num" val="30" gte="0"/>
        <cfvo type="num" val="50" gte="0"/>
      </iconSet>
    </cfRule>
  </conditionalFormatting>
  <conditionalFormatting sqref="K15:K85">
    <cfRule type="dataBar" priority="50">
      <dataBar>
        <cfvo type="num" val="0"/>
        <cfvo type="max"/>
        <color rgb="FF638EC6"/>
      </dataBar>
    </cfRule>
  </conditionalFormatting>
  <conditionalFormatting sqref="M15:M85">
    <cfRule type="expression" priority="40" dxfId="2">
      <formula>AND(NOT(ISBLANK(M15)),M15&lt;N$7)</formula>
    </cfRule>
    <cfRule type="expression" priority="41" dxfId="1">
      <formula>AND(M15&lt;=(N$7),(M15+N$5)&gt;(N$7))</formula>
    </cfRule>
    <cfRule type="expression" priority="42" dxfId="0">
      <formula>AND(NOT(ISBLANK(M15)),M15&gt;N$7)</formula>
    </cfRule>
    <cfRule type="cellIs" priority="44" operator="greaterThan" dxfId="3">
      <formula>0</formula>
    </cfRule>
  </conditionalFormatting>
  <conditionalFormatting sqref="N2">
    <cfRule type="iconSet" priority="39">
      <iconSet iconSet="3Symbols2">
        <cfvo type="percent" val="0"/>
        <cfvo type="num" val="30" gte="0"/>
        <cfvo type="num" val="50" gte="0"/>
      </iconSet>
    </cfRule>
  </conditionalFormatting>
  <conditionalFormatting sqref="N15:N85">
    <cfRule type="dataBar" priority="43">
      <dataBar>
        <cfvo type="num" val="0"/>
        <cfvo type="max"/>
        <color rgb="FF638EC6"/>
      </dataBar>
    </cfRule>
  </conditionalFormatting>
  <conditionalFormatting sqref="P15:P85">
    <cfRule type="expression" priority="33" dxfId="2">
      <formula>AND(NOT(ISBLANK(P15)),P15&lt;Q$7)</formula>
    </cfRule>
    <cfRule type="expression" priority="34" dxfId="1">
      <formula>AND(P15&lt;=(Q$7),(P15+Q$5)&gt;(Q$7))</formula>
    </cfRule>
    <cfRule type="expression" priority="35" dxfId="0">
      <formula>AND(NOT(ISBLANK(P15)),P15&gt;Q$7)</formula>
    </cfRule>
    <cfRule type="cellIs" priority="37" operator="greaterThan" dxfId="3">
      <formula>0</formula>
    </cfRule>
  </conditionalFormatting>
  <conditionalFormatting sqref="Q2">
    <cfRule type="iconSet" priority="32">
      <iconSet iconSet="3Symbols2">
        <cfvo type="percent" val="0"/>
        <cfvo type="num" val="30" gte="0"/>
        <cfvo type="num" val="50" gte="0"/>
      </iconSet>
    </cfRule>
  </conditionalFormatting>
  <conditionalFormatting sqref="Q15:Q85">
    <cfRule type="dataBar" priority="36">
      <dataBar>
        <cfvo type="num" val="0"/>
        <cfvo type="max"/>
        <color rgb="FF638EC6"/>
      </dataBar>
    </cfRule>
  </conditionalFormatting>
  <conditionalFormatting sqref="S15:S85">
    <cfRule type="expression" priority="26" dxfId="2">
      <formula>AND(NOT(ISBLANK(S15)),S15&lt;T$7)</formula>
    </cfRule>
    <cfRule type="expression" priority="27" dxfId="1">
      <formula>AND(S15&lt;=(T$7),(S15+T$5)&gt;(T$7))</formula>
    </cfRule>
    <cfRule type="expression" priority="28" dxfId="0">
      <formula>AND(NOT(ISBLANK(S15)),S15&gt;T$7)</formula>
    </cfRule>
    <cfRule type="cellIs" priority="30" operator="greaterThan" dxfId="3">
      <formula>0</formula>
    </cfRule>
  </conditionalFormatting>
  <conditionalFormatting sqref="T2">
    <cfRule type="iconSet" priority="25">
      <iconSet iconSet="3Symbols2">
        <cfvo type="percent" val="0"/>
        <cfvo type="num" val="30" gte="0"/>
        <cfvo type="num" val="50" gte="0"/>
      </iconSet>
    </cfRule>
  </conditionalFormatting>
  <conditionalFormatting sqref="T15:T85">
    <cfRule type="dataBar" priority="29">
      <dataBar>
        <cfvo type="num" val="0"/>
        <cfvo type="max"/>
        <color rgb="FF638EC6"/>
      </dataBar>
    </cfRule>
  </conditionalFormatting>
  <conditionalFormatting sqref="V15:V85">
    <cfRule type="expression" priority="19" dxfId="2">
      <formula>AND(NOT(ISBLANK(V15)),V15&lt;W$7)</formula>
    </cfRule>
    <cfRule type="expression" priority="20" dxfId="1">
      <formula>AND(V15&lt;=(W$7),(V15+W$5)&gt;(W$7))</formula>
    </cfRule>
    <cfRule type="expression" priority="21" dxfId="0">
      <formula>AND(NOT(ISBLANK(V15)),V15&gt;W$7)</formula>
    </cfRule>
    <cfRule type="cellIs" priority="23" operator="greaterThan" dxfId="3">
      <formula>0</formula>
    </cfRule>
  </conditionalFormatting>
  <conditionalFormatting sqref="W2">
    <cfRule type="iconSet" priority="18">
      <iconSet iconSet="3Symbols2">
        <cfvo type="percent" val="0"/>
        <cfvo type="num" val="30" gte="0"/>
        <cfvo type="num" val="50" gte="0"/>
      </iconSet>
    </cfRule>
  </conditionalFormatting>
  <conditionalFormatting sqref="W15:W85">
    <cfRule type="dataBar" priority="22">
      <dataBar>
        <cfvo type="num" val="0"/>
        <cfvo type="max"/>
        <color rgb="FF638EC6"/>
      </dataBar>
    </cfRule>
  </conditionalFormatting>
  <conditionalFormatting sqref="Y15:Y85">
    <cfRule type="expression" priority="12" dxfId="2">
      <formula>AND(NOT(ISBLANK(Y15)),Y15&lt;Z$7)</formula>
    </cfRule>
    <cfRule type="expression" priority="13" dxfId="1">
      <formula>AND(Y15&lt;=(Z$7),(Y15+Z$5)&gt;(Z$7))</formula>
    </cfRule>
    <cfRule type="expression" priority="14" dxfId="0">
      <formula>AND(NOT(ISBLANK(Y15)),Y15&gt;Z$7)</formula>
    </cfRule>
    <cfRule type="cellIs" priority="16" operator="greaterThan" dxfId="3">
      <formula>0</formula>
    </cfRule>
  </conditionalFormatting>
  <conditionalFormatting sqref="Z2">
    <cfRule type="iconSet" priority="11">
      <iconSet iconSet="3Symbols2">
        <cfvo type="percent" val="0"/>
        <cfvo type="num" val="30" gte="0"/>
        <cfvo type="num" val="50" gte="0"/>
      </iconSet>
    </cfRule>
  </conditionalFormatting>
  <conditionalFormatting sqref="Z15:Z85">
    <cfRule type="dataBar" priority="15">
      <dataBar>
        <cfvo type="num" val="0"/>
        <cfvo type="max"/>
        <color rgb="FF638EC6"/>
      </dataBar>
    </cfRule>
  </conditionalFormatting>
  <conditionalFormatting sqref="AB15:AB85">
    <cfRule type="expression" priority="5" dxfId="2">
      <formula>AND(NOT(ISBLANK(AB15)),AB15&lt;AC$7)</formula>
    </cfRule>
    <cfRule type="expression" priority="6" dxfId="1">
      <formula>AND(AB15&lt;=(AC$7),(AB15+AC$5)&gt;(AC$7))</formula>
    </cfRule>
    <cfRule type="expression" priority="7" dxfId="0">
      <formula>AND(NOT(ISBLANK(AB15)),AB15&gt;AC$7)</formula>
    </cfRule>
    <cfRule type="cellIs" priority="9" operator="greaterThan" dxfId="3">
      <formula>0</formula>
    </cfRule>
  </conditionalFormatting>
  <conditionalFormatting sqref="AC2">
    <cfRule type="iconSet" priority="4">
      <iconSet iconSet="3Symbols2">
        <cfvo type="percent" val="0"/>
        <cfvo type="num" val="30" gte="0"/>
        <cfvo type="num" val="50" gte="0"/>
      </iconSet>
    </cfRule>
  </conditionalFormatting>
  <conditionalFormatting sqref="AC15:AC85">
    <cfRule type="dataBar" priority="8">
      <dataBar>
        <cfvo type="num" val="0"/>
        <cfvo type="max"/>
        <color rgb="FF638EC6"/>
      </dataBar>
    </cfRule>
  </conditionalFormatting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tabColor theme="1"/>
    <outlinePr summaryBelow="1" summaryRight="1"/>
    <pageSetUpPr/>
  </sheetPr>
  <dimension ref="A1:AB22"/>
  <sheetViews>
    <sheetView showGridLines="0" zoomScale="115" zoomScaleNormal="115" workbookViewId="0">
      <pane xSplit="1" ySplit="1" topLeftCell="B2" activePane="bottomRight" state="frozen"/>
      <selection activeCell="C13" sqref="C13"/>
      <selection pane="topRight" activeCell="C13" sqref="C13"/>
      <selection pane="bottomLeft" activeCell="C13" sqref="C13"/>
      <selection pane="bottomRight" activeCell="E9" sqref="E9"/>
    </sheetView>
  </sheetViews>
  <sheetFormatPr baseColWidth="8" defaultColWidth="20.5546875" defaultRowHeight="14.4"/>
  <cols>
    <col width="17.44140625" customWidth="1" style="113" min="1" max="1"/>
    <col width="1.5546875" customWidth="1" style="113" min="3" max="4"/>
    <col width="1.5546875" customWidth="1" style="113" min="6" max="7"/>
    <col width="1.5546875" customWidth="1" style="113" min="9" max="10"/>
    <col width="1.5546875" customWidth="1" style="113" min="12" max="13"/>
    <col width="1.5546875" customWidth="1" style="113" min="15" max="16"/>
    <col width="1.5546875" customWidth="1" style="113" min="18" max="19"/>
    <col width="1.5546875" customWidth="1" style="113" min="21" max="22"/>
    <col width="1.5546875" customWidth="1" style="113" min="24" max="25"/>
  </cols>
  <sheetData>
    <row r="1" ht="20.1" customFormat="1" customHeight="1" s="22" thickBot="1">
      <c r="A1" s="23" t="inlineStr">
        <is>
          <t>FAO CODE</t>
        </is>
      </c>
      <c r="B1" s="24" t="inlineStr">
        <is>
          <t>LTQ</t>
        </is>
      </c>
      <c r="E1" s="24" t="inlineStr">
        <is>
          <t>COM</t>
        </is>
      </c>
      <c r="F1" s="69" t="n"/>
      <c r="G1" s="69" t="n"/>
      <c r="H1" s="24" t="inlineStr">
        <is>
          <t>LJB</t>
        </is>
      </c>
      <c r="I1" s="69" t="n"/>
      <c r="J1" s="69" t="n"/>
      <c r="K1" s="24" t="inlineStr">
        <is>
          <t>EWS</t>
        </is>
      </c>
      <c r="L1" s="69" t="n"/>
      <c r="M1" s="69" t="n"/>
      <c r="N1" s="24" t="inlineStr">
        <is>
          <t>KAW</t>
        </is>
      </c>
      <c r="O1" s="69" t="n"/>
      <c r="P1" s="69" t="n"/>
      <c r="Q1" s="24" t="inlineStr">
        <is>
          <t>EMU</t>
        </is>
      </c>
      <c r="R1" s="69" t="n"/>
      <c r="S1" s="69" t="n"/>
      <c r="T1" s="24" t="inlineStr">
        <is>
          <t>EME</t>
        </is>
      </c>
      <c r="U1" s="69" t="n"/>
      <c r="V1" s="69" t="n"/>
      <c r="W1" s="24" t="inlineStr">
        <is>
          <t>VRL</t>
        </is>
      </c>
      <c r="X1" s="69" t="n"/>
      <c r="Y1" s="69" t="n"/>
    </row>
    <row r="2" ht="20.1" customFormat="1" customHeight="1" s="22" thickTop="1">
      <c r="A2" s="25" t="inlineStr">
        <is>
          <t>analysis sequence &gt;&gt;</t>
        </is>
      </c>
      <c r="B2" s="26" t="inlineStr">
        <is>
          <t>SPECIES01</t>
        </is>
      </c>
      <c r="C2" s="70" t="n"/>
      <c r="D2" s="70" t="n"/>
      <c r="E2" s="26" t="inlineStr">
        <is>
          <t>SPECIES02</t>
        </is>
      </c>
      <c r="F2" s="70" t="n"/>
      <c r="G2" s="70" t="n"/>
      <c r="H2" s="26" t="inlineStr">
        <is>
          <t>SPECIES03</t>
        </is>
      </c>
      <c r="I2" s="70" t="n"/>
      <c r="J2" s="70" t="n"/>
      <c r="K2" s="26" t="inlineStr">
        <is>
          <t>SPECIES04</t>
        </is>
      </c>
      <c r="L2" s="70" t="n"/>
      <c r="M2" s="70" t="n"/>
      <c r="N2" s="26" t="inlineStr">
        <is>
          <t>SPECIES05</t>
        </is>
      </c>
      <c r="O2" s="70" t="n"/>
      <c r="P2" s="70" t="n"/>
      <c r="Q2" s="26" t="inlineStr">
        <is>
          <t>SPECIES06</t>
        </is>
      </c>
      <c r="R2" s="70" t="n"/>
      <c r="S2" s="70" t="n"/>
      <c r="T2" s="26" t="inlineStr">
        <is>
          <t>SPECIES07</t>
        </is>
      </c>
      <c r="U2" s="70" t="n"/>
      <c r="V2" s="70" t="n"/>
      <c r="W2" s="26" t="inlineStr">
        <is>
          <t>SPECIES08</t>
        </is>
      </c>
      <c r="X2" s="70" t="n"/>
      <c r="Y2" s="70" t="n"/>
    </row>
    <row r="3" ht="20.1" customFormat="1" customHeight="1" s="22">
      <c r="A3" s="27" t="inlineStr">
        <is>
          <t>FAO_img</t>
        </is>
      </c>
      <c r="B3" s="28" t="e">
        <v>#VALUE!</v>
      </c>
      <c r="C3" s="71" t="n"/>
      <c r="D3" s="71" t="n"/>
      <c r="E3" s="28" t="e">
        <v>#VALUE!</v>
      </c>
      <c r="F3" s="71" t="n"/>
      <c r="G3" s="71" t="n"/>
      <c r="H3" s="28" t="e">
        <v>#VALUE!</v>
      </c>
      <c r="I3" s="71" t="n"/>
      <c r="J3" s="71" t="n"/>
      <c r="K3" s="28" t="e">
        <v>#VALUE!</v>
      </c>
      <c r="L3" s="71" t="n"/>
      <c r="M3" s="71" t="n"/>
      <c r="N3" s="28" t="e">
        <v>#VALUE!</v>
      </c>
      <c r="O3" s="71" t="n"/>
      <c r="P3" s="71" t="n"/>
      <c r="Q3" s="28" t="e">
        <v>#VALUE!</v>
      </c>
      <c r="R3" s="71" t="n"/>
      <c r="S3" s="71" t="n"/>
      <c r="T3" s="28" t="e">
        <v>#VALUE!</v>
      </c>
      <c r="U3" s="71" t="n"/>
      <c r="V3" s="71" t="n"/>
      <c r="W3" s="28" t="e">
        <v>#VALUE!</v>
      </c>
      <c r="X3" s="71" t="n"/>
      <c r="Y3" s="71" t="n"/>
    </row>
    <row r="4" ht="20.1" customFormat="1" customHeight="1" s="22">
      <c r="A4" s="27" t="n"/>
      <c r="B4" s="29" t="inlineStr">
        <is>
          <t>PICTURE01</t>
        </is>
      </c>
      <c r="C4" s="72" t="n"/>
      <c r="D4" s="72" t="n"/>
      <c r="E4" s="29" t="inlineStr">
        <is>
          <t>PICTURE02</t>
        </is>
      </c>
      <c r="F4" s="72" t="n"/>
      <c r="G4" s="72" t="n"/>
      <c r="H4" s="29" t="inlineStr">
        <is>
          <t>PICTURE03</t>
        </is>
      </c>
      <c r="I4" s="72" t="n"/>
      <c r="J4" s="72" t="n"/>
      <c r="K4" s="29" t="inlineStr">
        <is>
          <t>PICTURE04</t>
        </is>
      </c>
      <c r="L4" s="72" t="n"/>
      <c r="M4" s="72" t="n"/>
      <c r="N4" s="29" t="inlineStr">
        <is>
          <t>PICTURE05</t>
        </is>
      </c>
      <c r="O4" s="72" t="n"/>
      <c r="P4" s="72" t="n"/>
      <c r="Q4" s="29" t="inlineStr">
        <is>
          <t>PICTURE06</t>
        </is>
      </c>
      <c r="R4" s="72" t="n"/>
      <c r="S4" s="72" t="n"/>
      <c r="T4" s="29" t="inlineStr">
        <is>
          <t>PICTURE07</t>
        </is>
      </c>
      <c r="U4" s="72" t="n"/>
      <c r="V4" s="72" t="n"/>
      <c r="W4" s="29" t="inlineStr">
        <is>
          <t>PICTURE08</t>
        </is>
      </c>
      <c r="X4" s="72" t="n"/>
      <c r="Y4" s="72" t="n"/>
    </row>
    <row r="5" ht="20.1" customFormat="1" customHeight="1" s="22">
      <c r="A5" s="27" t="inlineStr">
        <is>
          <t>Scientific Name (la)</t>
        </is>
      </c>
      <c r="B5" s="28" t="inlineStr">
        <is>
          <t>Lethrinus mahsena</t>
        </is>
      </c>
      <c r="C5" s="71" t="n"/>
      <c r="D5" s="71" t="n"/>
      <c r="E5" s="28" t="inlineStr">
        <is>
          <t>Scomberomorus commerson</t>
        </is>
      </c>
      <c r="F5" s="71" t="n"/>
      <c r="G5" s="71" t="n"/>
      <c r="H5" s="28" t="inlineStr">
        <is>
          <t>Lutjanus bohar</t>
        </is>
      </c>
      <c r="I5" s="71" t="n"/>
      <c r="J5" s="71" t="n"/>
      <c r="K5" s="28" t="inlineStr">
        <is>
          <t>Epinephelus summana</t>
        </is>
      </c>
      <c r="L5" s="71" t="n"/>
      <c r="M5" s="71" t="n"/>
      <c r="N5" s="28" t="inlineStr">
        <is>
          <t>Euthynnus affinis</t>
        </is>
      </c>
      <c r="O5" s="71" t="n"/>
      <c r="P5" s="71" t="n"/>
      <c r="Q5" s="28" t="inlineStr">
        <is>
          <t>Plectropomus pessuliferus</t>
        </is>
      </c>
      <c r="R5" s="71" t="n"/>
      <c r="S5" s="71" t="n"/>
      <c r="T5" s="28" t="inlineStr">
        <is>
          <t>Plectropomus areolatus</t>
        </is>
      </c>
      <c r="U5" s="71" t="n"/>
      <c r="V5" s="71" t="n"/>
      <c r="W5" s="28" t="inlineStr">
        <is>
          <t>Variola louti</t>
        </is>
      </c>
      <c r="X5" s="71" t="n"/>
      <c r="Y5" s="71" t="n"/>
    </row>
    <row r="6" ht="20.1" customFormat="1" customHeight="1" s="22">
      <c r="A6" s="27" t="inlineStr">
        <is>
          <t>Common Name (en)</t>
        </is>
      </c>
      <c r="B6" s="29" t="inlineStr">
        <is>
          <t>Sky Emperor</t>
        </is>
      </c>
      <c r="C6" s="72" t="n"/>
      <c r="D6" s="72" t="n"/>
      <c r="E6" s="29" t="inlineStr">
        <is>
          <t>Narrow-barred Spanish Mackerel</t>
        </is>
      </c>
      <c r="F6" s="72" t="n"/>
      <c r="G6" s="72" t="n"/>
      <c r="H6" s="29" t="inlineStr">
        <is>
          <t>Two-spot Red Snapper</t>
        </is>
      </c>
      <c r="I6" s="72" t="n"/>
      <c r="J6" s="72" t="n"/>
      <c r="K6" s="29" t="inlineStr">
        <is>
          <t>Summan Grouper</t>
        </is>
      </c>
      <c r="L6" s="72" t="n"/>
      <c r="M6" s="72" t="n"/>
      <c r="N6" s="29" t="inlineStr">
        <is>
          <t>Kawakawa / Eastern Little Tuna</t>
        </is>
      </c>
      <c r="O6" s="72" t="n"/>
      <c r="P6" s="72" t="n"/>
      <c r="Q6" s="29" t="inlineStr">
        <is>
          <t>Roving Coral Grouper</t>
        </is>
      </c>
      <c r="R6" s="72" t="n"/>
      <c r="S6" s="72" t="n"/>
      <c r="T6" s="29" t="inlineStr">
        <is>
          <t>Squaretail Coral Trout</t>
        </is>
      </c>
      <c r="U6" s="72" t="n"/>
      <c r="V6" s="72" t="n"/>
      <c r="W6" s="29" t="inlineStr">
        <is>
          <t>Yellow-edged Lyretail</t>
        </is>
      </c>
      <c r="X6" s="72" t="n"/>
      <c r="Y6" s="72" t="n"/>
    </row>
    <row r="7" ht="20.1" customFormat="1" customHeight="1" s="22">
      <c r="A7" s="27" t="inlineStr">
        <is>
          <t>Common Name (fr)</t>
        </is>
      </c>
      <c r="B7" s="28" t="inlineStr">
        <is>
          <t>Empereur mahsena / Capitaine mashena</t>
        </is>
      </c>
      <c r="C7" s="71" t="n"/>
      <c r="D7" s="71" t="n"/>
      <c r="E7" s="28" t="inlineStr">
        <is>
          <t>Thazard rayé</t>
        </is>
      </c>
      <c r="F7" s="71" t="n"/>
      <c r="G7" s="71" t="n"/>
      <c r="H7" s="28" t="inlineStr">
        <is>
          <t>Vivaneau à deux taches</t>
        </is>
      </c>
      <c r="I7" s="71" t="n"/>
      <c r="J7" s="71" t="n"/>
      <c r="K7" s="28" t="inlineStr">
        <is>
          <t>Mérou summan</t>
        </is>
      </c>
      <c r="L7" s="71" t="n"/>
      <c r="M7" s="71" t="n"/>
      <c r="N7" s="28" t="inlineStr">
        <is>
          <t>Thonine orientale / Bonite d'Inde</t>
        </is>
      </c>
      <c r="O7" s="71" t="n"/>
      <c r="P7" s="71" t="n"/>
      <c r="Q7" s="28" t="inlineStr">
        <is>
          <t>Mérou-loche vagabonde / Saumonée léopard</t>
        </is>
      </c>
      <c r="R7" s="71" t="n"/>
      <c r="S7" s="71" t="n"/>
      <c r="T7" s="28" t="inlineStr">
        <is>
          <t>Mérou aréolé / Truite de corail tachetée</t>
        </is>
      </c>
      <c r="U7" s="71" t="n"/>
      <c r="V7" s="71" t="n"/>
      <c r="W7" s="28" t="inlineStr">
        <is>
          <t>Mérou croissant queue jaune</t>
        </is>
      </c>
      <c r="X7" s="71" t="n"/>
      <c r="Y7" s="71" t="n"/>
    </row>
    <row r="8" ht="20.1" customFormat="1" customHeight="1" s="22">
      <c r="A8" s="27" t="inlineStr">
        <is>
          <t>Common Name (sw)</t>
        </is>
      </c>
      <c r="B8" s="29" t="inlineStr">
        <is>
          <t>Changu / Changu tuku / Chuku</t>
        </is>
      </c>
      <c r="C8" s="72" t="n"/>
      <c r="D8" s="72" t="n"/>
      <c r="E8" s="29" t="inlineStr">
        <is>
          <t>-</t>
        </is>
      </c>
      <c r="F8" s="72" t="n"/>
      <c r="G8" s="72" t="n"/>
      <c r="H8" s="29" t="inlineStr">
        <is>
          <t>-</t>
        </is>
      </c>
      <c r="I8" s="72" t="n"/>
      <c r="J8" s="72" t="n"/>
      <c r="K8" s="29" t="inlineStr">
        <is>
          <t>-</t>
        </is>
      </c>
      <c r="L8" s="72" t="n"/>
      <c r="M8" s="72" t="n"/>
      <c r="N8" s="29" t="inlineStr">
        <is>
          <t>-</t>
        </is>
      </c>
      <c r="O8" s="72" t="n"/>
      <c r="P8" s="72" t="n"/>
      <c r="Q8" s="29" t="inlineStr">
        <is>
          <t>-</t>
        </is>
      </c>
      <c r="R8" s="72" t="n"/>
      <c r="S8" s="72" t="n"/>
      <c r="T8" s="29" t="inlineStr">
        <is>
          <t>-</t>
        </is>
      </c>
      <c r="U8" s="72" t="n"/>
      <c r="V8" s="72" t="n"/>
      <c r="W8" s="29" t="inlineStr">
        <is>
          <t>-</t>
        </is>
      </c>
      <c r="X8" s="72" t="n"/>
      <c r="Y8" s="72" t="n"/>
    </row>
    <row r="9" ht="20.1" customFormat="1" customHeight="1" s="22">
      <c r="A9" s="27" t="inlineStr">
        <is>
          <t>Common Name (ar)</t>
        </is>
      </c>
      <c r="B9" s="28" t="inlineStr">
        <is>
          <t>شعور محسني (Sha'our Mahseni)</t>
        </is>
      </c>
      <c r="C9" s="71" t="n"/>
      <c r="D9" s="71" t="n"/>
      <c r="E9" s="28" t="inlineStr">
        <is>
          <t>كنعد (Kanaad)</t>
        </is>
      </c>
      <c r="F9" s="71" t="n"/>
      <c r="G9" s="71" t="n"/>
      <c r="H9" s="28" t="inlineStr">
        <is>
          <t>بحار (Bohar)</t>
        </is>
      </c>
      <c r="I9" s="71" t="n"/>
      <c r="J9" s="71" t="n"/>
      <c r="K9" s="28" t="inlineStr">
        <is>
          <t>هامور (Hamour)</t>
        </is>
      </c>
      <c r="L9" s="71" t="n"/>
      <c r="M9" s="71" t="n"/>
      <c r="N9" s="28" t="inlineStr">
        <is>
          <t>كاواكاوا / تونة (Kawakawa/Tuna)</t>
        </is>
      </c>
      <c r="O9" s="71" t="n"/>
      <c r="P9" s="71" t="n"/>
      <c r="Q9" s="28" t="inlineStr">
        <is>
          <t>ناجل (Najil)</t>
        </is>
      </c>
      <c r="R9" s="71" t="n"/>
      <c r="S9" s="71" t="n"/>
      <c r="T9" s="28" t="inlineStr">
        <is>
          <t>ناجل (Najil)</t>
        </is>
      </c>
      <c r="U9" s="71" t="n"/>
      <c r="V9" s="71" t="n"/>
      <c r="W9" s="28" t="inlineStr">
        <is>
          <t>لوطي (Louti)</t>
        </is>
      </c>
      <c r="X9" s="71" t="n"/>
      <c r="Y9" s="71" t="n"/>
    </row>
    <row r="10" ht="20.1" customFormat="1" customHeight="1" s="22">
      <c r="A10" s="90" t="inlineStr">
        <is>
          <t>?? Max Size (cm) »»</t>
        </is>
      </c>
      <c r="B10" s="29" t="n">
        <v>80</v>
      </c>
      <c r="C10" s="72" t="n"/>
      <c r="D10" s="72" t="n"/>
      <c r="E10" s="29" t="n">
        <v>150</v>
      </c>
      <c r="F10" s="72" t="n"/>
      <c r="G10" s="72" t="n"/>
      <c r="H10" s="29" t="n">
        <v>90</v>
      </c>
      <c r="I10" s="72" t="n"/>
      <c r="J10" s="72" t="n"/>
      <c r="K10" s="29" t="n">
        <v>80</v>
      </c>
      <c r="L10" s="72" t="n"/>
      <c r="M10" s="72" t="n"/>
      <c r="N10" s="29" t="n">
        <v>100</v>
      </c>
      <c r="O10" s="72" t="n"/>
      <c r="P10" s="72" t="n"/>
      <c r="Q10" s="29" t="n">
        <v>80</v>
      </c>
      <c r="R10" s="72" t="n"/>
      <c r="S10" s="72" t="n"/>
      <c r="T10" s="29" t="n">
        <v>80</v>
      </c>
      <c r="U10" s="72" t="n"/>
      <c r="V10" s="72" t="n"/>
      <c r="W10" s="29" t="n">
        <v>62</v>
      </c>
      <c r="X10" s="72" t="n"/>
      <c r="Y10" s="72" t="n"/>
    </row>
    <row r="11" ht="20.1" customFormat="1" customHeight="1" s="22">
      <c r="A11" s="90" t="inlineStr">
        <is>
          <t>??  L50 (cm)  »»</t>
        </is>
      </c>
      <c r="B11" s="29" t="n">
        <v>33</v>
      </c>
      <c r="C11" s="72" t="n"/>
      <c r="D11" s="72" t="n"/>
      <c r="E11" s="29" t="n">
        <v>80</v>
      </c>
      <c r="F11" s="72" t="n"/>
      <c r="G11" s="72" t="n"/>
      <c r="H11" s="29" t="n">
        <v>40</v>
      </c>
      <c r="I11" s="72" t="n"/>
      <c r="J11" s="72" t="n"/>
      <c r="K11" s="29" t="n">
        <v>35</v>
      </c>
      <c r="L11" s="72" t="n"/>
      <c r="M11" s="72" t="n"/>
      <c r="N11" s="29" t="n">
        <v>40</v>
      </c>
      <c r="O11" s="72" t="n"/>
      <c r="P11" s="72" t="n"/>
      <c r="Q11" s="29" t="n">
        <v>35</v>
      </c>
      <c r="R11" s="72" t="n"/>
      <c r="S11" s="72" t="n"/>
      <c r="T11" s="29" t="n">
        <v>35</v>
      </c>
      <c r="U11" s="72" t="n"/>
      <c r="V11" s="72" t="n"/>
      <c r="W11" s="29" t="n">
        <v>32</v>
      </c>
      <c r="X11" s="72" t="n"/>
      <c r="Y11" s="72" t="n"/>
    </row>
    <row r="12" ht="20.1" customFormat="1" customHeight="1" s="22">
      <c r="A12" s="27" t="inlineStr">
        <is>
          <t>FishBase (url)</t>
        </is>
      </c>
      <c r="B12" s="28" t="inlineStr">
        <is>
          <t>https://www.fishbase.de/summary/1843</t>
        </is>
      </c>
      <c r="C12" s="71" t="n"/>
      <c r="D12" s="71" t="n"/>
      <c r="E12" s="28" t="inlineStr">
        <is>
          <t>https://www.fishbase.de/summary/121</t>
        </is>
      </c>
      <c r="F12" s="71" t="n"/>
      <c r="G12" s="71" t="n"/>
      <c r="H12" s="28" t="inlineStr">
        <is>
          <t>https://www.fishbase.de/summary/1417</t>
        </is>
      </c>
      <c r="I12" s="71" t="n"/>
      <c r="J12" s="71" t="n"/>
      <c r="K12" s="28" t="inlineStr">
        <is>
          <t>https://www.fishbase.de/summary/7366</t>
        </is>
      </c>
      <c r="L12" s="71" t="n"/>
      <c r="M12" s="71" t="n"/>
      <c r="N12" s="28" t="inlineStr">
        <is>
          <t>https://www.fishbase.de/summary/96</t>
        </is>
      </c>
      <c r="O12" s="71" t="n"/>
      <c r="P12" s="71" t="n"/>
      <c r="Q12" s="28" t="inlineStr">
        <is>
          <t>https://www.fishbase.de/summary/7430</t>
        </is>
      </c>
      <c r="R12" s="71" t="n"/>
      <c r="S12" s="71" t="n"/>
      <c r="T12" s="28" t="inlineStr">
        <is>
          <t>https://www.fishbase.de/summary/6082</t>
        </is>
      </c>
      <c r="U12" s="71" t="n"/>
      <c r="V12" s="71" t="n"/>
      <c r="W12" s="28" t="inlineStr">
        <is>
          <t>https://www.fishbase.de/summary/5354</t>
        </is>
      </c>
      <c r="X12" s="71" t="n"/>
      <c r="Y12" s="71" t="n"/>
    </row>
    <row r="13" ht="20.1" customFormat="1" customHeight="1" s="22">
      <c r="A13" s="27" t="inlineStr">
        <is>
          <t>Sources</t>
        </is>
      </c>
      <c r="B13" s="29" t="inlineStr">
        <is>
          <t>FishBase &amp; FAO Species Catalogue Vol. 9 (Ref. 2295) &amp; GBIF</t>
        </is>
      </c>
      <c r="C13" s="72" t="n"/>
      <c r="D13" s="72" t="n"/>
      <c r="E13" s="29" t="inlineStr">
        <is>
          <t>FishBase &amp; FAO Species Catalogue Vol. 2 (Ref. 168)</t>
        </is>
      </c>
      <c r="F13" s="72" t="n"/>
      <c r="G13" s="72" t="n"/>
      <c r="H13" s="29" t="inlineStr">
        <is>
          <t>FishBase &amp; FAO Species Catalogue Vol. 6 (Ref. 55)</t>
        </is>
      </c>
      <c r="I13" s="72" t="n"/>
      <c r="J13" s="72" t="n"/>
      <c r="K13" s="29" t="inlineStr">
        <is>
          <t>FishBase &amp; FAO Species Catalogue Vol. 16 (Ref. 5222)</t>
        </is>
      </c>
      <c r="L13" s="72" t="n"/>
      <c r="M13" s="72" t="n"/>
      <c r="N13" s="29" t="inlineStr">
        <is>
          <t>FishBase &amp; FAO Species Catalogue Vol. 2 (Ref. 168)</t>
        </is>
      </c>
      <c r="O13" s="72" t="n"/>
      <c r="P13" s="72" t="n"/>
      <c r="Q13" s="29" t="inlineStr">
        <is>
          <t>FishBase &amp; FAO Species Catalogue Vol. 16 (Ref. 5222) &amp; GBIF</t>
        </is>
      </c>
      <c r="R13" s="72" t="n"/>
      <c r="S13" s="72" t="n"/>
      <c r="T13" s="29" t="inlineStr">
        <is>
          <t>FishBase &amp; FAO Species Catalogue Vol. 16 (Ref. 5222)</t>
        </is>
      </c>
      <c r="U13" s="72" t="n"/>
      <c r="V13" s="72" t="n"/>
      <c r="W13" s="29" t="inlineStr">
        <is>
          <t>FishBase &amp; FAO Species Catalogue Vol. 16 (Ref. 5222)</t>
        </is>
      </c>
      <c r="X13" s="72" t="n"/>
      <c r="Y13" s="72" t="n"/>
    </row>
    <row r="14" ht="19.8" customFormat="1" customHeight="1" s="95">
      <c r="A14" s="91" t="inlineStr">
        <is>
          <t>(automatic) bin increment
(SPECIES enforced)</t>
        </is>
      </c>
      <c r="B14" s="92">
        <f>IF(AND(SPECIES!$A$1=B1,SPECIES!$G$1&lt;&gt;""),SPECIES!$G$1,B15)</f>
        <v/>
      </c>
      <c r="C14" s="93" t="n"/>
      <c r="D14" s="93" t="n"/>
      <c r="E14" s="92">
        <f>IF(AND(SPECIES!$A$1=E1,SPECIES!$G$1&lt;&gt;""),SPECIES!$G$1,E15)</f>
        <v/>
      </c>
      <c r="F14" s="93" t="n"/>
      <c r="G14" s="93" t="n"/>
      <c r="H14" s="92">
        <f>IF(AND(SPECIES!$A$1=H1,SPECIES!$G$1&lt;&gt;""),SPECIES!$G$1,H15)</f>
        <v/>
      </c>
      <c r="I14" s="93" t="n"/>
      <c r="J14" s="93" t="n"/>
      <c r="K14" s="92">
        <f>IF(AND(SPECIES!$A$1=K1,SPECIES!$G$1&lt;&gt;""),SPECIES!$G$1,K15)</f>
        <v/>
      </c>
      <c r="L14" s="93" t="n"/>
      <c r="M14" s="93" t="n"/>
      <c r="N14" s="92">
        <f>IF(AND(SPECIES!$A$1=N1,SPECIES!$G$1&lt;&gt;""),SPECIES!$G$1,N15)</f>
        <v/>
      </c>
      <c r="O14" s="93" t="n"/>
      <c r="P14" s="93" t="n"/>
      <c r="Q14" s="92">
        <f>IF(AND(SPECIES!$A$1=Q1,SPECIES!$G$1&lt;&gt;""),SPECIES!$G$1,Q15)</f>
        <v/>
      </c>
      <c r="R14" s="93" t="n"/>
      <c r="S14" s="93" t="n"/>
      <c r="T14" s="92">
        <f>IF(AND(SPECIES!$A$1=T1,SPECIES!$G$1&lt;&gt;""),SPECIES!$G$1,T15)</f>
        <v/>
      </c>
      <c r="U14" s="93" t="n"/>
      <c r="V14" s="93" t="n"/>
      <c r="W14" s="92">
        <f>IF(AND(SPECIES!$A$1=W1,SPECIES!$G$1&lt;&gt;""),SPECIES!$G$1,W15)</f>
        <v/>
      </c>
      <c r="X14" s="93" t="n"/>
      <c r="Y14" s="93" t="n"/>
      <c r="Z14" s="94" t="n"/>
      <c r="AA14" s="94" t="n"/>
      <c r="AB14" s="94" t="n"/>
    </row>
    <row r="15" ht="20.1" customFormat="1" customHeight="1" s="22">
      <c r="A15" s="90" t="inlineStr">
        <is>
          <t>?? bin increment »»
(Prof's default, fall-back)</t>
        </is>
      </c>
      <c r="B15" s="29" t="n">
        <v>2</v>
      </c>
      <c r="C15" s="72" t="n"/>
      <c r="D15" s="72" t="n"/>
      <c r="E15" s="29" t="n">
        <v>5</v>
      </c>
      <c r="F15" s="72" t="n"/>
      <c r="G15" s="72" t="n"/>
      <c r="H15" s="29" t="n">
        <v>2</v>
      </c>
      <c r="I15" s="72" t="n"/>
      <c r="J15" s="72" t="n"/>
      <c r="K15" s="29" t="n">
        <v>1</v>
      </c>
      <c r="L15" s="72" t="n"/>
      <c r="M15" s="72" t="n"/>
      <c r="N15" s="29" t="n">
        <v>2</v>
      </c>
      <c r="O15" s="72" t="n"/>
      <c r="P15" s="72" t="n"/>
      <c r="Q15" s="29" t="n">
        <v>2</v>
      </c>
      <c r="R15" s="72" t="n"/>
      <c r="S15" s="72" t="n"/>
      <c r="T15" s="29" t="n">
        <v>2</v>
      </c>
      <c r="U15" s="72" t="n"/>
      <c r="V15" s="72" t="n"/>
      <c r="W15" s="29" t="n">
        <v>1</v>
      </c>
      <c r="X15" s="72" t="n"/>
      <c r="Y15" s="72" t="n"/>
    </row>
    <row r="16" ht="21.6" customFormat="1" customHeight="1" s="22">
      <c r="A16" s="27" t="inlineStr">
        <is>
          <t>Bin increment logic</t>
        </is>
      </c>
      <c r="B16" s="29" t="inlineStr">
        <is>
          <t>Small emperor, slow growth, detailed analysis needed</t>
        </is>
      </c>
      <c r="C16" s="72" t="n"/>
      <c r="D16" s="72" t="n"/>
      <c r="E16" s="29" t="inlineStr">
        <is>
          <t>Large pelagic, fast growth, broad classes sufficient</t>
        </is>
      </c>
      <c r="F16" s="72" t="n"/>
      <c r="G16" s="72" t="n"/>
      <c r="H16" s="29" t="inlineStr">
        <is>
          <t>Medium snapper, commercial importance, moderate detail</t>
        </is>
      </c>
      <c r="I16" s="72" t="n"/>
      <c r="J16" s="72" t="n"/>
      <c r="K16" s="29" t="inlineStr">
        <is>
          <t>Small grouper, slow growth, fine resolution needed</t>
        </is>
      </c>
      <c r="L16" s="72" t="n"/>
      <c r="M16" s="72" t="n"/>
      <c r="N16" s="29" t="inlineStr">
        <is>
          <t>Medium tuna, fast growth but stock assessment detail</t>
        </is>
      </c>
      <c r="O16" s="72" t="n"/>
      <c r="P16" s="72" t="n"/>
      <c r="Q16" s="29" t="inlineStr">
        <is>
          <t>Large grouper, commercial value, moderate detail</t>
        </is>
      </c>
      <c r="R16" s="72" t="n"/>
      <c r="S16" s="72" t="n"/>
      <c r="T16" s="29" t="inlineStr">
        <is>
          <t>Medium grouper, commercial species, moderate detail</t>
        </is>
      </c>
      <c r="U16" s="72" t="n"/>
      <c r="V16" s="72" t="n"/>
      <c r="W16" s="29" t="inlineStr">
        <is>
          <t>Small grouper, slow growth, detailed length-frequency</t>
        </is>
      </c>
      <c r="X16" s="72" t="n"/>
      <c r="Y16" s="72" t="n"/>
    </row>
    <row r="17" ht="30" customFormat="1" customHeight="1" s="21">
      <c r="A17" s="90" t="inlineStr">
        <is>
          <t>?? Healthy &gt; if &lt;
juvenile percentage   »»</t>
        </is>
      </c>
      <c r="B17" s="29" t="n">
        <v>40</v>
      </c>
      <c r="C17" s="72" t="n"/>
      <c r="D17" s="72" t="n"/>
      <c r="E17" s="29" t="n">
        <v>50</v>
      </c>
      <c r="F17" s="72" t="n"/>
      <c r="G17" s="72" t="n"/>
      <c r="H17" s="29" t="n">
        <v>45</v>
      </c>
      <c r="I17" s="72" t="n"/>
      <c r="J17" s="72" t="n"/>
      <c r="K17" s="29" t="n">
        <v>40</v>
      </c>
      <c r="L17" s="72" t="n"/>
      <c r="M17" s="72" t="n"/>
      <c r="N17" s="29" t="n">
        <v>50</v>
      </c>
      <c r="O17" s="72" t="n"/>
      <c r="P17" s="72" t="n"/>
      <c r="Q17" s="29" t="n">
        <v>45</v>
      </c>
      <c r="R17" s="72" t="n"/>
      <c r="S17" s="72" t="n"/>
      <c r="T17" s="29" t="n">
        <v>45</v>
      </c>
      <c r="U17" s="72" t="n"/>
      <c r="V17" s="72" t="n"/>
      <c r="W17" s="29" t="n">
        <v>40</v>
      </c>
      <c r="X17" s="72" t="n"/>
      <c r="Y17" s="72" t="n"/>
      <c r="Z17" s="22" t="n"/>
      <c r="AA17" s="22" t="n"/>
      <c r="AB17" s="22" t="n"/>
    </row>
    <row r="18" ht="21.6" customFormat="1" customHeight="1" s="21">
      <c r="A18" s="90" t="inlineStr">
        <is>
          <t>?? Moderate  if &lt;
juvenile percentage   »»</t>
        </is>
      </c>
      <c r="B18" s="29" t="n">
        <v>60</v>
      </c>
      <c r="C18" s="72" t="n"/>
      <c r="D18" s="72" t="n"/>
      <c r="E18" s="29" t="n">
        <v>70</v>
      </c>
      <c r="F18" s="72" t="n"/>
      <c r="G18" s="72" t="n"/>
      <c r="H18" s="29" t="n">
        <v>65</v>
      </c>
      <c r="I18" s="72" t="n"/>
      <c r="J18" s="72" t="n"/>
      <c r="K18" s="29" t="n">
        <v>60</v>
      </c>
      <c r="L18" s="72" t="n"/>
      <c r="M18" s="72" t="n"/>
      <c r="N18" s="29" t="n">
        <v>70</v>
      </c>
      <c r="O18" s="72" t="n"/>
      <c r="P18" s="72" t="n"/>
      <c r="Q18" s="29" t="n">
        <v>65</v>
      </c>
      <c r="R18" s="72" t="n"/>
      <c r="S18" s="72" t="n"/>
      <c r="T18" s="29" t="n">
        <v>65</v>
      </c>
      <c r="U18" s="72" t="n"/>
      <c r="V18" s="72" t="n"/>
      <c r="W18" s="29" t="n">
        <v>60</v>
      </c>
      <c r="X18" s="72" t="n"/>
      <c r="Y18" s="72" t="n"/>
      <c r="Z18" s="22" t="n"/>
      <c r="AA18" s="22" t="n"/>
      <c r="AB18" s="22" t="n"/>
    </row>
    <row r="19" ht="21.6" customFormat="1" customHeight="1" s="21">
      <c r="A19" s="90" t="inlineStr">
        <is>
          <t>?? Critical if &gt;
juvenile percentage   »»</t>
        </is>
      </c>
      <c r="B19" s="29" t="n">
        <v>75</v>
      </c>
      <c r="C19" s="72" t="n"/>
      <c r="D19" s="72" t="n"/>
      <c r="E19" s="29" t="n">
        <v>80</v>
      </c>
      <c r="F19" s="72" t="n"/>
      <c r="G19" s="72" t="n"/>
      <c r="H19" s="29" t="n">
        <v>78</v>
      </c>
      <c r="I19" s="72" t="n"/>
      <c r="J19" s="72" t="n"/>
      <c r="K19" s="29" t="n">
        <v>75</v>
      </c>
      <c r="L19" s="72" t="n"/>
      <c r="M19" s="72" t="n"/>
      <c r="N19" s="29" t="n">
        <v>80</v>
      </c>
      <c r="O19" s="72" t="n"/>
      <c r="P19" s="72" t="n"/>
      <c r="Q19" s="29" t="n">
        <v>78</v>
      </c>
      <c r="R19" s="72" t="n"/>
      <c r="S19" s="72" t="n"/>
      <c r="T19" s="29" t="n">
        <v>78</v>
      </c>
      <c r="U19" s="72" t="n"/>
      <c r="V19" s="72" t="n"/>
      <c r="W19" s="29" t="n">
        <v>75</v>
      </c>
      <c r="X19" s="72" t="n"/>
      <c r="Y19" s="72" t="n"/>
      <c r="Z19" s="22" t="n"/>
      <c r="AA19" s="22" t="n"/>
      <c r="AB19" s="22" t="n"/>
    </row>
    <row r="20" ht="19.8" customFormat="1" customHeight="1" s="95">
      <c r="A20" s="96" t="inlineStr">
        <is>
          <t>Length Columns</t>
        </is>
      </c>
      <c r="B20" s="97" t="inlineStr">
        <is>
          <t>G</t>
        </is>
      </c>
      <c r="C20" s="97" t="n"/>
      <c r="D20" s="97" t="n"/>
      <c r="E20" s="97" t="inlineStr">
        <is>
          <t>J</t>
        </is>
      </c>
      <c r="F20" s="97" t="n"/>
      <c r="G20" s="97" t="n"/>
      <c r="H20" s="97" t="inlineStr">
        <is>
          <t>M</t>
        </is>
      </c>
      <c r="I20" s="97" t="n"/>
      <c r="J20" s="97" t="n"/>
      <c r="K20" s="97" t="inlineStr">
        <is>
          <t>P</t>
        </is>
      </c>
      <c r="L20" s="97" t="n"/>
      <c r="M20" s="97" t="n"/>
      <c r="N20" s="97" t="inlineStr">
        <is>
          <t>S</t>
        </is>
      </c>
      <c r="O20" s="97" t="n"/>
      <c r="P20" s="97" t="n"/>
      <c r="Q20" s="97" t="inlineStr">
        <is>
          <t>V</t>
        </is>
      </c>
      <c r="R20" s="97" t="n"/>
      <c r="S20" s="97" t="n"/>
      <c r="T20" s="97" t="inlineStr">
        <is>
          <t>Y</t>
        </is>
      </c>
      <c r="U20" s="97" t="n"/>
      <c r="V20" s="97" t="n"/>
      <c r="W20" s="97" t="inlineStr">
        <is>
          <t>AB</t>
        </is>
      </c>
      <c r="X20" s="97" t="n"/>
      <c r="Y20" s="97" t="n"/>
      <c r="Z20" s="94" t="n"/>
      <c r="AA20" s="94" t="n"/>
      <c r="AB20" s="94" t="n"/>
    </row>
    <row r="21" ht="19.8" customFormat="1" customHeight="1" s="95">
      <c r="A21" s="96" t="inlineStr">
        <is>
          <t>Freq Columns</t>
        </is>
      </c>
      <c r="B21" s="97" t="inlineStr">
        <is>
          <t>H</t>
        </is>
      </c>
      <c r="C21" s="97" t="n"/>
      <c r="D21" s="97" t="n"/>
      <c r="E21" s="97" t="inlineStr">
        <is>
          <t>K</t>
        </is>
      </c>
      <c r="F21" s="97" t="n"/>
      <c r="G21" s="97" t="n"/>
      <c r="H21" s="97" t="inlineStr">
        <is>
          <t>N</t>
        </is>
      </c>
      <c r="I21" s="97" t="n"/>
      <c r="J21" s="97" t="n"/>
      <c r="K21" s="97" t="inlineStr">
        <is>
          <t>Q</t>
        </is>
      </c>
      <c r="L21" s="97" t="n"/>
      <c r="M21" s="97" t="n"/>
      <c r="N21" s="97" t="inlineStr">
        <is>
          <t>T</t>
        </is>
      </c>
      <c r="O21" s="97" t="n"/>
      <c r="P21" s="97" t="n"/>
      <c r="Q21" s="97" t="inlineStr">
        <is>
          <t>W</t>
        </is>
      </c>
      <c r="R21" s="97" t="n"/>
      <c r="S21" s="97" t="n"/>
      <c r="T21" s="97" t="inlineStr">
        <is>
          <t>Z</t>
        </is>
      </c>
      <c r="U21" s="97" t="n"/>
      <c r="V21" s="97" t="n"/>
      <c r="W21" s="97" t="inlineStr">
        <is>
          <t>AC</t>
        </is>
      </c>
      <c r="X21" s="97" t="n"/>
      <c r="Y21" s="97" t="n"/>
      <c r="Z21" s="94" t="n"/>
      <c r="AA21" s="94" t="n"/>
      <c r="AB21" s="94" t="n"/>
    </row>
    <row r="22" ht="19.8" customFormat="1" customHeight="1" s="95">
      <c r="A22" s="96" t="inlineStr">
        <is>
          <t>Own  Columns</t>
        </is>
      </c>
      <c r="B22" s="97" t="inlineStr">
        <is>
          <t>B</t>
        </is>
      </c>
      <c r="C22" s="97" t="n"/>
      <c r="D22" s="97" t="n"/>
      <c r="E22" s="97" t="inlineStr">
        <is>
          <t>E</t>
        </is>
      </c>
      <c r="F22" s="97" t="n"/>
      <c r="G22" s="97" t="n"/>
      <c r="H22" s="97" t="inlineStr">
        <is>
          <t>H</t>
        </is>
      </c>
      <c r="I22" s="97" t="n"/>
      <c r="J22" s="97" t="n"/>
      <c r="K22" s="97" t="inlineStr">
        <is>
          <t>K</t>
        </is>
      </c>
      <c r="L22" s="97" t="n"/>
      <c r="M22" s="97" t="n"/>
      <c r="N22" s="97" t="inlineStr">
        <is>
          <t>N</t>
        </is>
      </c>
      <c r="O22" s="97" t="n"/>
      <c r="P22" s="97" t="n"/>
      <c r="Q22" s="97" t="inlineStr">
        <is>
          <t>Q</t>
        </is>
      </c>
      <c r="R22" s="97" t="n"/>
      <c r="S22" s="97" t="n"/>
      <c r="T22" s="97" t="inlineStr">
        <is>
          <t>T</t>
        </is>
      </c>
      <c r="U22" s="97" t="n"/>
      <c r="V22" s="97" t="n"/>
      <c r="W22" s="97" t="inlineStr">
        <is>
          <t>W</t>
        </is>
      </c>
      <c r="X22" s="97" t="n"/>
      <c r="Y22" s="97" t="n"/>
      <c r="Z22" s="94" t="n"/>
      <c r="AA22" s="94" t="n"/>
      <c r="AB22" s="94" t="n"/>
    </row>
  </sheetData>
  <hyperlinks>
    <hyperlink xmlns:r="http://schemas.openxmlformats.org/officeDocument/2006/relationships" ref="B12" r:id="rId1"/>
  </hyperlinks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211"/>
  <sheetViews>
    <sheetView showGridLines="0" tabSelected="1" zoomScale="70" zoomScaleNormal="70" workbookViewId="0">
      <selection activeCell="A1" sqref="A1"/>
    </sheetView>
  </sheetViews>
  <sheetFormatPr baseColWidth="8" defaultRowHeight="15.6"/>
  <cols>
    <col width="23.33203125" customWidth="1" style="2" min="1" max="1"/>
    <col width="6.6640625" customWidth="1" style="109" min="2" max="2"/>
    <col width="10.109375" customWidth="1" style="113" min="3" max="9"/>
    <col width="11.21875" customWidth="1" style="113" min="10" max="14"/>
    <col width="30.44140625" customWidth="1" style="113" min="15" max="15"/>
    <col width="4.109375" customWidth="1" style="113" min="16" max="16"/>
    <col width="33" customWidth="1" style="113" min="17" max="17"/>
  </cols>
  <sheetData>
    <row r="1" ht="14.4" customHeight="1" s="113">
      <c r="A1" s="82" t="inlineStr">
        <is>
          <t>LTQ</t>
        </is>
      </c>
      <c r="B1" s="74">
        <f>INDEX(FAO!$B$20:$W$20,MATCH(A1,FAOCODES,0))</f>
        <v/>
      </c>
      <c r="C1" s="74">
        <f>INDEX(FAO!$B$21:$W$21,MATCH(A1,FAOCODES,0))</f>
        <v/>
      </c>
      <c r="D1" s="74">
        <f>COUNTA(INDIRECT("'"&amp;C$15&amp;"'!"&amp;$B$1&amp;"15:"&amp;$B$1&amp;"100"))-1</f>
        <v/>
      </c>
      <c r="E1" s="108" t="inlineStr">
        <is>
          <t>?? active bin size→</t>
        </is>
      </c>
      <c r="G1" s="83" t="n">
        <v>1</v>
      </c>
    </row>
    <row r="2" ht="14.4" customHeight="1" s="113">
      <c r="A2" s="108" t="inlineStr">
        <is>
          <t>?? select ↑↑↑</t>
        </is>
      </c>
      <c r="B2" s="74">
        <f>INDEX(FAO!$B$22:$W$22,MATCH(A1,FAOCODES,0))</f>
        <v/>
      </c>
      <c r="C2">
        <f>COUNTA(_xlfn.ANCHORARRAY(B17))</f>
        <v/>
      </c>
      <c r="D2" s="74">
        <f>17+D1</f>
        <v/>
      </c>
      <c r="E2" s="110" t="inlineStr">
        <is>
          <t>!! FAO bin size   →</t>
        </is>
      </c>
      <c r="G2" s="81">
        <f t="array" ref="G2">INDIRECT("FAO!"&amp;$B$2&amp;"15")</f>
        <v/>
      </c>
    </row>
    <row r="3">
      <c r="A3" s="128">
        <f>+A17</f>
        <v/>
      </c>
    </row>
    <row r="6" ht="14.4" customHeight="1" s="113">
      <c r="A6" s="73">
        <f t="array" ref="A6">INDIRECT("'"&amp;C$15&amp;"'!"&amp;$B$1&amp;"1")</f>
        <v/>
      </c>
      <c r="C6" s="88">
        <f t="array" ref="C6">INDIRECT("'"&amp;C$15&amp;"'!"&amp;$C$1&amp;"1")</f>
        <v/>
      </c>
      <c r="D6" s="88">
        <f t="array" ref="D6">INDIRECT("'"&amp;D$15&amp;"'!"&amp;$C$1&amp;"1")</f>
        <v/>
      </c>
      <c r="E6" s="88">
        <f t="array" ref="E6">INDIRECT("'"&amp;E$15&amp;"'!"&amp;$C$1&amp;"1")</f>
        <v/>
      </c>
      <c r="F6" s="88">
        <f t="array" ref="F6">INDIRECT("'"&amp;F$15&amp;"'!"&amp;$C$1&amp;"1")</f>
        <v/>
      </c>
      <c r="G6" s="88">
        <f t="array" ref="G6">INDIRECT("'"&amp;G$15&amp;"'!"&amp;$C$1&amp;"1")</f>
        <v/>
      </c>
      <c r="H6" s="88">
        <f t="array" ref="H6">INDIRECT("'"&amp;H$15&amp;"'!"&amp;$C$1&amp;"1")</f>
        <v/>
      </c>
      <c r="I6" s="88">
        <f t="array" ref="I6">INDIRECT("'"&amp;I$15&amp;"'!"&amp;$C$1&amp;"1")</f>
        <v/>
      </c>
      <c r="J6" s="88">
        <f t="array" ref="J6">INDIRECT("'"&amp;J$15&amp;"'!"&amp;$C$1&amp;"1")</f>
        <v/>
      </c>
      <c r="K6" s="88">
        <f t="array" ref="K6">INDIRECT("'"&amp;K$15&amp;"'!"&amp;$C$1&amp;"1")</f>
        <v/>
      </c>
      <c r="L6" s="88">
        <f t="array" ref="L6">INDIRECT("'"&amp;L$15&amp;"'!"&amp;$C$1&amp;"1")</f>
        <v/>
      </c>
      <c r="M6" s="88">
        <f t="array" ref="M6">INDIRECT("'"&amp;M$15&amp;"'!"&amp;$C$1&amp;"1")</f>
        <v/>
      </c>
      <c r="N6" s="88">
        <f t="array" ref="N6">INDIRECT("'"&amp;N$15&amp;"'!"&amp;$C$1&amp;"1")</f>
        <v/>
      </c>
      <c r="O6" s="109" t="e">
        <v>#VALUE!</v>
      </c>
    </row>
    <row r="7" ht="14.4" customHeight="1" s="113">
      <c r="A7" s="73">
        <f t="array" ref="A7">INDIRECT("'"&amp;C$15&amp;"'!"&amp;$B$1&amp;"2")</f>
        <v/>
      </c>
      <c r="C7" s="89">
        <f t="array" ref="C7">INDIRECT("'"&amp;C$15&amp;"'!"&amp;$C$1&amp;"2")</f>
        <v/>
      </c>
      <c r="D7" s="89">
        <f t="array" ref="D7">INDIRECT("'"&amp;D$15&amp;"'!"&amp;$C$1&amp;"2")</f>
        <v/>
      </c>
      <c r="E7" s="89">
        <f t="array" ref="E7">INDIRECT("'"&amp;E$15&amp;"'!"&amp;$C$1&amp;"2")</f>
        <v/>
      </c>
      <c r="F7" s="89">
        <f t="array" ref="F7">INDIRECT("'"&amp;F$15&amp;"'!"&amp;$C$1&amp;"2")</f>
        <v/>
      </c>
      <c r="G7" s="89">
        <f t="array" ref="G7">INDIRECT("'"&amp;G$15&amp;"'!"&amp;$C$1&amp;"2")</f>
        <v/>
      </c>
      <c r="H7" s="89">
        <f t="array" ref="H7">INDIRECT("'"&amp;H$15&amp;"'!"&amp;$C$1&amp;"2")</f>
        <v/>
      </c>
      <c r="I7" s="89">
        <f t="array" ref="I7">INDIRECT("'"&amp;I$15&amp;"'!"&amp;$C$1&amp;"2")</f>
        <v/>
      </c>
      <c r="J7" s="89">
        <f t="array" ref="J7">INDIRECT("'"&amp;J$15&amp;"'!"&amp;$C$1&amp;"2")</f>
        <v/>
      </c>
      <c r="K7" s="89">
        <f t="array" ref="K7">INDIRECT("'"&amp;K$15&amp;"'!"&amp;$C$1&amp;"2")</f>
        <v/>
      </c>
      <c r="L7" s="89">
        <f t="array" ref="L7">INDIRECT("'"&amp;L$15&amp;"'!"&amp;$C$1&amp;"2")</f>
        <v/>
      </c>
      <c r="M7" s="89">
        <f t="array" ref="M7">INDIRECT("'"&amp;M$15&amp;"'!"&amp;$C$1&amp;"2")</f>
        <v/>
      </c>
      <c r="N7" s="89">
        <f t="array" ref="N7">INDIRECT("'"&amp;N$15&amp;"'!"&amp;$C$1&amp;"2")</f>
        <v/>
      </c>
    </row>
    <row r="8" ht="14.4" customHeight="1" s="113">
      <c r="A8" s="73">
        <f t="array" ref="A8">INDIRECT("'"&amp;C$15&amp;"'!"&amp;$B$1&amp;"3")</f>
        <v/>
      </c>
      <c r="C8" s="88">
        <f t="array" ref="C8">INDIRECT("'"&amp;C$15&amp;"'!"&amp;$C$1&amp;"3")</f>
        <v/>
      </c>
      <c r="D8" s="88">
        <f t="array" ref="D8">INDIRECT("'"&amp;D$15&amp;"'!"&amp;$C$1&amp;"3")</f>
        <v/>
      </c>
      <c r="E8" s="88">
        <f t="array" ref="E8">INDIRECT("'"&amp;E$15&amp;"'!"&amp;$C$1&amp;"3")</f>
        <v/>
      </c>
      <c r="F8" s="88">
        <f t="array" ref="F8">INDIRECT("'"&amp;F$15&amp;"'!"&amp;$C$1&amp;"3")</f>
        <v/>
      </c>
      <c r="G8" s="88">
        <f t="array" ref="G8">INDIRECT("'"&amp;G$15&amp;"'!"&amp;$C$1&amp;"3")</f>
        <v/>
      </c>
      <c r="H8" s="88">
        <f t="array" ref="H8">INDIRECT("'"&amp;H$15&amp;"'!"&amp;$C$1&amp;"3")</f>
        <v/>
      </c>
      <c r="I8" s="88">
        <f t="array" ref="I8">INDIRECT("'"&amp;I$15&amp;"'!"&amp;$C$1&amp;"3")</f>
        <v/>
      </c>
      <c r="J8" s="88">
        <f t="array" ref="J8">INDIRECT("'"&amp;J$15&amp;"'!"&amp;$C$1&amp;"3")</f>
        <v/>
      </c>
      <c r="K8" s="88">
        <f t="array" ref="K8">INDIRECT("'"&amp;K$15&amp;"'!"&amp;$C$1&amp;"3")</f>
        <v/>
      </c>
      <c r="L8" s="88">
        <f t="array" ref="L8">INDIRECT("'"&amp;L$15&amp;"'!"&amp;$C$1&amp;"3")</f>
        <v/>
      </c>
      <c r="M8" s="88">
        <f t="array" ref="M8">INDIRECT("'"&amp;M$15&amp;"'!"&amp;$C$1&amp;"3")</f>
        <v/>
      </c>
      <c r="N8" s="88">
        <f t="array" ref="N8">INDIRECT("'"&amp;N$15&amp;"'!"&amp;$C$1&amp;"3")</f>
        <v/>
      </c>
    </row>
    <row r="9" ht="13.8" customHeight="1" s="113">
      <c r="A9" s="73">
        <f t="array" ref="A9">INDIRECT("'"&amp;C$15&amp;"'!"&amp;$B$1&amp;"4")</f>
        <v/>
      </c>
      <c r="C9" s="89">
        <f t="array" ref="C9">INDIRECT("'"&amp;C$15&amp;"'!"&amp;$C$1&amp;"4")</f>
        <v/>
      </c>
      <c r="D9" s="89">
        <f t="array" ref="D9">INDIRECT("'"&amp;D$15&amp;"'!"&amp;$C$1&amp;"4")</f>
        <v/>
      </c>
      <c r="E9" s="89">
        <f t="array" ref="E9">INDIRECT("'"&amp;E$15&amp;"'!"&amp;$C$1&amp;"4")</f>
        <v/>
      </c>
      <c r="F9" s="89">
        <f t="array" ref="F9">INDIRECT("'"&amp;F$15&amp;"'!"&amp;$C$1&amp;"4")</f>
        <v/>
      </c>
      <c r="G9" s="89">
        <f t="array" ref="G9">INDIRECT("'"&amp;G$15&amp;"'!"&amp;$C$1&amp;"4")</f>
        <v/>
      </c>
      <c r="H9" s="89">
        <f t="array" ref="H9">INDIRECT("'"&amp;H$15&amp;"'!"&amp;$C$1&amp;"4")</f>
        <v/>
      </c>
      <c r="I9" s="89">
        <f t="array" ref="I9">INDIRECT("'"&amp;I$15&amp;"'!"&amp;$C$1&amp;"4")</f>
        <v/>
      </c>
      <c r="J9" s="89">
        <f t="array" ref="J9">INDIRECT("'"&amp;J$15&amp;"'!"&amp;$C$1&amp;"4")</f>
        <v/>
      </c>
      <c r="K9" s="89">
        <f t="array" ref="K9">INDIRECT("'"&amp;K$15&amp;"'!"&amp;$C$1&amp;"4")</f>
        <v/>
      </c>
      <c r="L9" s="89">
        <f t="array" ref="L9">INDIRECT("'"&amp;L$15&amp;"'!"&amp;$C$1&amp;"4")</f>
        <v/>
      </c>
      <c r="M9" s="89">
        <f t="array" ref="M9">INDIRECT("'"&amp;M$15&amp;"'!"&amp;$C$1&amp;"4")</f>
        <v/>
      </c>
      <c r="N9" s="89">
        <f t="array" ref="N9">INDIRECT("'"&amp;N$15&amp;"'!"&amp;$C$1&amp;"4")</f>
        <v/>
      </c>
      <c r="O9" s="107">
        <f t="array" ref="O9">INDIRECT("'"&amp;C$15&amp;"'!"&amp;$C$1&amp;"13")</f>
        <v/>
      </c>
    </row>
    <row r="10" ht="13.8" customHeight="1" s="113">
      <c r="A10" s="73">
        <f t="array" ref="A10">INDIRECT("'"&amp;C$15&amp;"'!"&amp;$B$1&amp;"5")</f>
        <v/>
      </c>
      <c r="C10" s="88">
        <f t="array" ref="C10">INDIRECT("'"&amp;C$15&amp;"'!"&amp;$C$1&amp;"5")</f>
        <v/>
      </c>
      <c r="D10" s="88">
        <f t="array" ref="D10">INDIRECT("'"&amp;D$15&amp;"'!"&amp;$C$1&amp;"5")</f>
        <v/>
      </c>
      <c r="E10" s="88">
        <f t="array" ref="E10">INDIRECT("'"&amp;E$15&amp;"'!"&amp;$C$1&amp;"5")</f>
        <v/>
      </c>
      <c r="F10" s="88">
        <f t="array" ref="F10">INDIRECT("'"&amp;F$15&amp;"'!"&amp;$C$1&amp;"5")</f>
        <v/>
      </c>
      <c r="G10" s="88">
        <f t="array" ref="G10">INDIRECT("'"&amp;G$15&amp;"'!"&amp;$C$1&amp;"5")</f>
        <v/>
      </c>
      <c r="H10" s="88">
        <f t="array" ref="H10">INDIRECT("'"&amp;H$15&amp;"'!"&amp;$C$1&amp;"5")</f>
        <v/>
      </c>
      <c r="I10" s="88">
        <f t="array" ref="I10">INDIRECT("'"&amp;I$15&amp;"'!"&amp;$C$1&amp;"5")</f>
        <v/>
      </c>
      <c r="J10" s="88">
        <f t="array" ref="J10">INDIRECT("'"&amp;J$15&amp;"'!"&amp;$C$1&amp;"5")</f>
        <v/>
      </c>
      <c r="K10" s="88">
        <f t="array" ref="K10">INDIRECT("'"&amp;K$15&amp;"'!"&amp;$C$1&amp;"5")</f>
        <v/>
      </c>
      <c r="L10" s="88">
        <f t="array" ref="L10">INDIRECT("'"&amp;L$15&amp;"'!"&amp;$C$1&amp;"5")</f>
        <v/>
      </c>
      <c r="M10" s="88">
        <f t="array" ref="M10">INDIRECT("'"&amp;M$15&amp;"'!"&amp;$C$1&amp;"5")</f>
        <v/>
      </c>
      <c r="N10" s="88">
        <f t="array" ref="N10">INDIRECT("'"&amp;N$15&amp;"'!"&amp;$C$1&amp;"5")</f>
        <v/>
      </c>
    </row>
    <row r="11" ht="13.8" customHeight="1" s="113">
      <c r="A11" s="73">
        <f t="array" ref="A11">INDIRECT("'"&amp;C$15&amp;"'!"&amp;$B$1&amp;"6")</f>
        <v/>
      </c>
      <c r="C11" s="89">
        <f t="array" ref="C11">INDIRECT("'"&amp;C$15&amp;"'!"&amp;$C$1&amp;"6")</f>
        <v/>
      </c>
      <c r="D11" s="89">
        <f t="array" ref="D11">INDIRECT("'"&amp;D$15&amp;"'!"&amp;$C$1&amp;"6")</f>
        <v/>
      </c>
      <c r="E11" s="89">
        <f t="array" ref="E11">INDIRECT("'"&amp;E$15&amp;"'!"&amp;$C$1&amp;"6")</f>
        <v/>
      </c>
      <c r="F11" s="89">
        <f t="array" ref="F11">INDIRECT("'"&amp;F$15&amp;"'!"&amp;$C$1&amp;"6")</f>
        <v/>
      </c>
      <c r="G11" s="89">
        <f t="array" ref="G11">INDIRECT("'"&amp;G$15&amp;"'!"&amp;$C$1&amp;"6")</f>
        <v/>
      </c>
      <c r="H11" s="89">
        <f t="array" ref="H11">INDIRECT("'"&amp;H$15&amp;"'!"&amp;$C$1&amp;"6")</f>
        <v/>
      </c>
      <c r="I11" s="89">
        <f t="array" ref="I11">INDIRECT("'"&amp;I$15&amp;"'!"&amp;$C$1&amp;"6")</f>
        <v/>
      </c>
      <c r="J11" s="89">
        <f t="array" ref="J11">INDIRECT("'"&amp;J$15&amp;"'!"&amp;$C$1&amp;"6")</f>
        <v/>
      </c>
      <c r="K11" s="89">
        <f t="array" ref="K11">INDIRECT("'"&amp;K$15&amp;"'!"&amp;$C$1&amp;"6")</f>
        <v/>
      </c>
      <c r="L11" s="89">
        <f t="array" ref="L11">INDIRECT("'"&amp;L$15&amp;"'!"&amp;$C$1&amp;"6")</f>
        <v/>
      </c>
      <c r="M11" s="89">
        <f t="array" ref="M11">INDIRECT("'"&amp;M$15&amp;"'!"&amp;$C$1&amp;"6")</f>
        <v/>
      </c>
      <c r="N11" s="89">
        <f t="array" ref="N11">INDIRECT("'"&amp;N$15&amp;"'!"&amp;$C$1&amp;"6")</f>
        <v/>
      </c>
    </row>
    <row r="12" ht="13.8" customHeight="1" s="113">
      <c r="A12" s="73">
        <f t="array" ref="A12">INDIRECT("'"&amp;C$15&amp;"'!"&amp;$B$1&amp;"7")</f>
        <v/>
      </c>
      <c r="C12" s="88">
        <f t="array" ref="C12">INDIRECT("'"&amp;C$15&amp;"'!"&amp;$C$1&amp;"7")</f>
        <v/>
      </c>
      <c r="D12" s="88">
        <f t="array" ref="D12">INDIRECT("'"&amp;D$15&amp;"'!"&amp;$C$1&amp;"7")</f>
        <v/>
      </c>
      <c r="E12" s="88">
        <f t="array" ref="E12">INDIRECT("'"&amp;E$15&amp;"'!"&amp;$C$1&amp;"7")</f>
        <v/>
      </c>
      <c r="F12" s="88">
        <f t="array" ref="F12">INDIRECT("'"&amp;F$15&amp;"'!"&amp;$C$1&amp;"7")</f>
        <v/>
      </c>
      <c r="G12" s="88">
        <f t="array" ref="G12">INDIRECT("'"&amp;G$15&amp;"'!"&amp;$C$1&amp;"7")</f>
        <v/>
      </c>
      <c r="H12" s="88">
        <f t="array" ref="H12">INDIRECT("'"&amp;H$15&amp;"'!"&amp;$C$1&amp;"7")</f>
        <v/>
      </c>
      <c r="I12" s="88">
        <f t="array" ref="I12">INDIRECT("'"&amp;I$15&amp;"'!"&amp;$C$1&amp;"7")</f>
        <v/>
      </c>
      <c r="J12" s="88">
        <f t="array" ref="J12">INDIRECT("'"&amp;J$15&amp;"'!"&amp;$C$1&amp;"7")</f>
        <v/>
      </c>
      <c r="K12" s="88">
        <f t="array" ref="K12">INDIRECT("'"&amp;K$15&amp;"'!"&amp;$C$1&amp;"7")</f>
        <v/>
      </c>
      <c r="L12" s="88">
        <f t="array" ref="L12">INDIRECT("'"&amp;L$15&amp;"'!"&amp;$C$1&amp;"7")</f>
        <v/>
      </c>
      <c r="M12" s="88">
        <f t="array" ref="M12">INDIRECT("'"&amp;M$15&amp;"'!"&amp;$C$1&amp;"7")</f>
        <v/>
      </c>
      <c r="N12" s="88">
        <f t="array" ref="N12">INDIRECT("'"&amp;N$15&amp;"'!"&amp;$C$1&amp;"7")</f>
        <v/>
      </c>
    </row>
    <row r="13" ht="14.4" customHeight="1" s="113">
      <c r="A13" s="73">
        <f t="array" ref="A13">INDIRECT("'"&amp;C$15&amp;"'!"&amp;$B$1&amp;"8")</f>
        <v/>
      </c>
      <c r="C13" s="89">
        <f t="array" ref="C13">INDIRECT("'"&amp;C$15&amp;"'!"&amp;$C$1&amp;"8")</f>
        <v/>
      </c>
      <c r="D13" s="89">
        <f t="array" ref="D13">INDIRECT("'"&amp;D$15&amp;"'!"&amp;$C$1&amp;"8")</f>
        <v/>
      </c>
      <c r="E13" s="89">
        <f t="array" ref="E13">INDIRECT("'"&amp;E$15&amp;"'!"&amp;$C$1&amp;"8")</f>
        <v/>
      </c>
      <c r="F13" s="89">
        <f t="array" ref="F13">INDIRECT("'"&amp;F$15&amp;"'!"&amp;$C$1&amp;"8")</f>
        <v/>
      </c>
      <c r="G13" s="89">
        <f t="array" ref="G13">INDIRECT("'"&amp;G$15&amp;"'!"&amp;$C$1&amp;"8")</f>
        <v/>
      </c>
      <c r="H13" s="89">
        <f t="array" ref="H13">INDIRECT("'"&amp;H$15&amp;"'!"&amp;$C$1&amp;"8")</f>
        <v/>
      </c>
      <c r="I13" s="89">
        <f t="array" ref="I13">INDIRECT("'"&amp;I$15&amp;"'!"&amp;$C$1&amp;"8")</f>
        <v/>
      </c>
      <c r="J13" s="89">
        <f t="array" ref="J13">INDIRECT("'"&amp;J$15&amp;"'!"&amp;$C$1&amp;"8")</f>
        <v/>
      </c>
      <c r="K13" s="89">
        <f t="array" ref="K13">INDIRECT("'"&amp;K$15&amp;"'!"&amp;$C$1&amp;"8")</f>
        <v/>
      </c>
      <c r="L13" s="89">
        <f t="array" ref="L13">INDIRECT("'"&amp;L$15&amp;"'!"&amp;$C$1&amp;"8")</f>
        <v/>
      </c>
      <c r="M13" s="89">
        <f t="array" ref="M13">INDIRECT("'"&amp;M$15&amp;"'!"&amp;$C$1&amp;"8")</f>
        <v/>
      </c>
      <c r="N13" s="89">
        <f t="array" ref="N13">INDIRECT("'"&amp;N$15&amp;"'!"&amp;$C$1&amp;"8")</f>
        <v/>
      </c>
      <c r="O13" s="129">
        <f>+A17</f>
        <v/>
      </c>
    </row>
    <row r="14" ht="31.2" customHeight="1" s="113">
      <c r="A14" s="130">
        <f t="array" ref="A14">INDIRECT("'"&amp;C$15&amp;"'!"&amp;$B$1&amp;"9")</f>
        <v/>
      </c>
      <c r="B14" s="131" t="n"/>
      <c r="C14" s="132">
        <f t="array" ref="C14">INDIRECT("'"&amp;C$15&amp;"'!"&amp;$B$1&amp;"13")</f>
        <v/>
      </c>
      <c r="D14" s="132">
        <f t="array" ref="D14">INDIRECT("'"&amp;D$15&amp;"'!"&amp;$B$1&amp;"13")</f>
        <v/>
      </c>
      <c r="E14" s="132">
        <f t="array" ref="E14">INDIRECT("'"&amp;E$15&amp;"'!"&amp;$B$1&amp;"13")</f>
        <v/>
      </c>
      <c r="F14" s="132">
        <f t="array" ref="F14">INDIRECT("'"&amp;F$15&amp;"'!"&amp;$B$1&amp;"13")</f>
        <v/>
      </c>
      <c r="G14" s="132">
        <f t="array" ref="G14">INDIRECT("'"&amp;G$15&amp;"'!"&amp;$B$1&amp;"13")</f>
        <v/>
      </c>
      <c r="H14" s="132">
        <f t="array" ref="H14">INDIRECT("'"&amp;H$15&amp;"'!"&amp;$B$1&amp;"13")</f>
        <v/>
      </c>
      <c r="I14" s="132">
        <f t="array" ref="I14">INDIRECT("'"&amp;I$15&amp;"'!"&amp;$B$1&amp;"13")</f>
        <v/>
      </c>
      <c r="J14" s="132">
        <f t="array" ref="J14">INDIRECT("'"&amp;J$15&amp;"'!"&amp;$B$1&amp;"13")</f>
        <v/>
      </c>
      <c r="K14" s="132">
        <f t="array" ref="K14">INDIRECT("'"&amp;K$15&amp;"'!"&amp;$B$1&amp;"13")</f>
        <v/>
      </c>
      <c r="L14" s="132">
        <f t="array" ref="L14">INDIRECT("'"&amp;L$15&amp;"'!"&amp;$B$1&amp;"13")</f>
        <v/>
      </c>
      <c r="M14" s="132">
        <f t="array" ref="M14">INDIRECT("'"&amp;M$15&amp;"'!"&amp;$B$1&amp;"13")</f>
        <v/>
      </c>
      <c r="N14" s="132">
        <f t="array" ref="N14">INDIRECT("'"&amp;N$15&amp;"'!"&amp;$B$1&amp;"13")</f>
        <v/>
      </c>
      <c r="O14" s="132" t="inlineStr">
        <is>
          <t>TOTAL</t>
        </is>
      </c>
      <c r="Q14" s="2" t="n"/>
    </row>
    <row r="15">
      <c r="A15" s="130">
        <f t="array" ref="A15">INDIRECT("'"&amp;C$15&amp;"'!"&amp;$B$1&amp;"10")</f>
        <v/>
      </c>
      <c r="B15" s="86" t="n"/>
      <c r="C15" s="123" t="inlineStr">
        <is>
          <t>M-01</t>
        </is>
      </c>
      <c r="D15" s="123" t="inlineStr">
        <is>
          <t>M-02</t>
        </is>
      </c>
      <c r="E15" s="123" t="inlineStr">
        <is>
          <t>M-03</t>
        </is>
      </c>
      <c r="F15" s="123" t="inlineStr">
        <is>
          <t>M-04</t>
        </is>
      </c>
      <c r="G15" s="123" t="inlineStr">
        <is>
          <t>M-05</t>
        </is>
      </c>
      <c r="H15" s="123" t="inlineStr">
        <is>
          <t>M-06</t>
        </is>
      </c>
      <c r="I15" s="123" t="inlineStr">
        <is>
          <t>M-07</t>
        </is>
      </c>
      <c r="J15" s="123" t="inlineStr">
        <is>
          <t>M-08</t>
        </is>
      </c>
      <c r="K15" s="123" t="inlineStr">
        <is>
          <t>M-09</t>
        </is>
      </c>
      <c r="L15" s="123" t="inlineStr">
        <is>
          <t>M-10</t>
        </is>
      </c>
      <c r="M15" s="123" t="inlineStr">
        <is>
          <t>M-11</t>
        </is>
      </c>
      <c r="N15" s="123" t="inlineStr">
        <is>
          <t>M-12</t>
        </is>
      </c>
      <c r="Q15" s="2" t="n"/>
    </row>
    <row r="16" ht="18" customHeight="1" s="113">
      <c r="A16" s="130">
        <f t="array" ref="A16">INDIRECT("'"&amp;C$15&amp;"'!"&amp;$B$1&amp;"11")</f>
        <v/>
      </c>
      <c r="B16" s="50" t="inlineStr">
        <is>
          <t>LC</t>
        </is>
      </c>
      <c r="C16" s="84" t="inlineStr">
        <is>
          <t>ELEFAN</t>
        </is>
      </c>
      <c r="D16" s="84" t="inlineStr">
        <is>
          <t>ELEFAN</t>
        </is>
      </c>
      <c r="E16" s="84" t="inlineStr">
        <is>
          <t>ELEFAN</t>
        </is>
      </c>
      <c r="F16" s="84" t="inlineStr">
        <is>
          <t>ELEFAN</t>
        </is>
      </c>
      <c r="G16" s="84" t="inlineStr">
        <is>
          <t>ELEFAN</t>
        </is>
      </c>
      <c r="H16" s="84" t="inlineStr">
        <is>
          <t>ELEFAN</t>
        </is>
      </c>
      <c r="I16" s="84" t="inlineStr">
        <is>
          <t>ELEFAN</t>
        </is>
      </c>
      <c r="J16" s="84" t="inlineStr">
        <is>
          <t>ELEFAN</t>
        </is>
      </c>
      <c r="K16" s="84" t="inlineStr">
        <is>
          <t>ELEFAN</t>
        </is>
      </c>
      <c r="L16" s="84" t="inlineStr">
        <is>
          <t>ELEFAN</t>
        </is>
      </c>
      <c r="M16" s="84" t="inlineStr">
        <is>
          <t>ELEFAN</t>
        </is>
      </c>
      <c r="N16" s="84" t="inlineStr">
        <is>
          <t>ELEFAN</t>
        </is>
      </c>
      <c r="Q16" s="3" t="n"/>
    </row>
    <row r="17">
      <c r="A17" s="130">
        <f t="array" ref="A17">INDIRECT("'"&amp;C$15&amp;"'!"&amp;$B$1&amp;"12")</f>
        <v/>
      </c>
      <c r="B17" s="75">
        <f t="array" ref="B17:B86">INDIRECT("'"&amp;C$15&amp;"'!"&amp;$B$1&amp;"15:"&amp;$B$1&amp;(14+D1))</f>
        <v/>
      </c>
      <c r="C17" s="124">
        <f t="array" ref="C17:C102">INDIRECT("'"&amp;C$15&amp;"'!"&amp;$C$1&amp;"15:"&amp;$C$1&amp;"100")</f>
        <v/>
      </c>
      <c r="D17" s="124">
        <f t="array" ref="D17:D102">INDIRECT("'"&amp;D$15&amp;"'!"&amp;$C$1&amp;"15:"&amp;$C$1&amp;"100")</f>
        <v/>
      </c>
      <c r="E17" s="124">
        <f t="array" ref="E17:E102">INDIRECT("'"&amp;E$15&amp;"'!"&amp;$C$1&amp;"15:"&amp;$C$1&amp;"100")</f>
        <v/>
      </c>
      <c r="F17" s="124">
        <f t="array" ref="F17:F102">INDIRECT("'"&amp;F$15&amp;"'!"&amp;$C$1&amp;"15:"&amp;$C$1&amp;"100")</f>
        <v/>
      </c>
      <c r="G17" s="124">
        <f t="array" ref="G17:G102">INDIRECT("'"&amp;G$15&amp;"'!"&amp;$C$1&amp;"15:"&amp;$C$1&amp;"100")</f>
        <v/>
      </c>
      <c r="H17" s="124">
        <f t="array" ref="H17:H102">INDIRECT("'"&amp;H$15&amp;"'!"&amp;$C$1&amp;"15:"&amp;$C$1&amp;"100")</f>
        <v/>
      </c>
      <c r="I17" s="124">
        <f t="array" ref="I17:I102">INDIRECT("'"&amp;I$15&amp;"'!"&amp;$C$1&amp;"15:"&amp;$C$1&amp;"100")</f>
        <v/>
      </c>
      <c r="J17" s="124">
        <f t="array" ref="J17:J102">INDIRECT("'"&amp;J$15&amp;"'!"&amp;$C$1&amp;"15:"&amp;$C$1&amp;"100")</f>
        <v/>
      </c>
      <c r="K17" s="124">
        <f t="array" ref="K17:K102">INDIRECT("'"&amp;K$15&amp;"'!"&amp;$C$1&amp;"15:"&amp;$C$1&amp;"100")</f>
        <v/>
      </c>
      <c r="L17" s="124">
        <f t="array" ref="L17:L102">INDIRECT("'"&amp;L$15&amp;"'!"&amp;$C$1&amp;"15:"&amp;$C$1&amp;"100")</f>
        <v/>
      </c>
      <c r="M17" s="124">
        <f t="array" ref="M17:M102">INDIRECT("'"&amp;M$15&amp;"'!"&amp;$C$1&amp;"15:"&amp;$C$1&amp;"100")</f>
        <v/>
      </c>
      <c r="N17" s="124">
        <f t="array" ref="N17:N102">INDIRECT("'"&amp;N$15&amp;"'!"&amp;$C$1&amp;"15:"&amp;$C$1&amp;"100")</f>
        <v/>
      </c>
      <c r="O17" s="124">
        <f t="array" ref="O17:O86">MMULT(INDIRECT("C17:N"&amp;(16+$C$2)),{1;1;1;1;1;1;1;1;1;1;1;1})</f>
        <v/>
      </c>
      <c r="AA17" s="7" t="n"/>
      <c r="AB17" s="7" t="n"/>
    </row>
    <row r="18">
      <c r="B18" s="75">
        <f/>
        <v/>
      </c>
      <c r="C18" s="124">
        <f/>
        <v/>
      </c>
      <c r="D18" s="124">
        <f/>
        <v/>
      </c>
      <c r="E18" s="124">
        <f/>
        <v/>
      </c>
      <c r="F18" s="124">
        <f/>
        <v/>
      </c>
      <c r="G18" s="124">
        <f/>
        <v/>
      </c>
      <c r="H18" s="124">
        <f/>
        <v/>
      </c>
      <c r="I18" s="124">
        <f/>
        <v/>
      </c>
      <c r="J18" s="124">
        <f/>
        <v/>
      </c>
      <c r="K18" s="124">
        <f/>
        <v/>
      </c>
      <c r="L18" s="124">
        <f/>
        <v/>
      </c>
      <c r="M18" s="124">
        <f/>
        <v/>
      </c>
      <c r="N18" s="124">
        <f/>
        <v/>
      </c>
      <c r="O18" s="124">
        <f/>
        <v/>
      </c>
    </row>
    <row r="19">
      <c r="B19" s="75">
        <f/>
        <v/>
      </c>
      <c r="C19" s="124">
        <f/>
        <v/>
      </c>
      <c r="D19" s="124">
        <f/>
        <v/>
      </c>
      <c r="E19" s="124">
        <f/>
        <v/>
      </c>
      <c r="F19" s="124">
        <f/>
        <v/>
      </c>
      <c r="G19" s="124">
        <f/>
        <v/>
      </c>
      <c r="H19" s="124">
        <f/>
        <v/>
      </c>
      <c r="I19" s="124">
        <f/>
        <v/>
      </c>
      <c r="J19" s="124">
        <f/>
        <v/>
      </c>
      <c r="K19" s="124">
        <f/>
        <v/>
      </c>
      <c r="L19" s="124">
        <f/>
        <v/>
      </c>
      <c r="M19" s="124">
        <f/>
        <v/>
      </c>
      <c r="N19" s="124">
        <f/>
        <v/>
      </c>
      <c r="O19" s="124">
        <f/>
        <v/>
      </c>
    </row>
    <row r="20">
      <c r="B20" s="75">
        <f/>
        <v/>
      </c>
      <c r="C20" s="124">
        <f/>
        <v/>
      </c>
      <c r="D20" s="124">
        <f/>
        <v/>
      </c>
      <c r="E20" s="124">
        <f/>
        <v/>
      </c>
      <c r="F20" s="124">
        <f/>
        <v/>
      </c>
      <c r="G20" s="124">
        <f/>
        <v/>
      </c>
      <c r="H20" s="124">
        <f/>
        <v/>
      </c>
      <c r="I20" s="124">
        <f/>
        <v/>
      </c>
      <c r="J20" s="124">
        <f/>
        <v/>
      </c>
      <c r="K20" s="124">
        <f/>
        <v/>
      </c>
      <c r="L20" s="124">
        <f/>
        <v/>
      </c>
      <c r="M20" s="124">
        <f/>
        <v/>
      </c>
      <c r="N20" s="124">
        <f/>
        <v/>
      </c>
      <c r="O20" s="124">
        <f/>
        <v/>
      </c>
    </row>
    <row r="21">
      <c r="B21" s="75">
        <f/>
        <v/>
      </c>
      <c r="C21" s="124">
        <f/>
        <v/>
      </c>
      <c r="D21" s="124">
        <f/>
        <v/>
      </c>
      <c r="E21" s="124">
        <f/>
        <v/>
      </c>
      <c r="F21" s="124">
        <f/>
        <v/>
      </c>
      <c r="G21" s="124">
        <f/>
        <v/>
      </c>
      <c r="H21" s="124">
        <f/>
        <v/>
      </c>
      <c r="I21" s="124">
        <f/>
        <v/>
      </c>
      <c r="J21" s="124">
        <f/>
        <v/>
      </c>
      <c r="K21" s="124">
        <f/>
        <v/>
      </c>
      <c r="L21" s="124">
        <f/>
        <v/>
      </c>
      <c r="M21" s="124">
        <f/>
        <v/>
      </c>
      <c r="N21" s="124">
        <f/>
        <v/>
      </c>
      <c r="O21" s="124">
        <f/>
        <v/>
      </c>
    </row>
    <row r="22">
      <c r="B22" s="75">
        <f/>
        <v/>
      </c>
      <c r="C22" s="124">
        <f/>
        <v/>
      </c>
      <c r="D22" s="124">
        <f/>
        <v/>
      </c>
      <c r="E22" s="124">
        <f/>
        <v/>
      </c>
      <c r="F22" s="124">
        <f/>
        <v/>
      </c>
      <c r="G22" s="124">
        <f/>
        <v/>
      </c>
      <c r="H22" s="124">
        <f/>
        <v/>
      </c>
      <c r="I22" s="124">
        <f/>
        <v/>
      </c>
      <c r="J22" s="124">
        <f/>
        <v/>
      </c>
      <c r="K22" s="124">
        <f/>
        <v/>
      </c>
      <c r="L22" s="124">
        <f/>
        <v/>
      </c>
      <c r="M22" s="124">
        <f/>
        <v/>
      </c>
      <c r="N22" s="124">
        <f/>
        <v/>
      </c>
      <c r="O22" s="124">
        <f/>
        <v/>
      </c>
    </row>
    <row r="23">
      <c r="B23" s="75">
        <f/>
        <v/>
      </c>
      <c r="C23" s="124">
        <f/>
        <v/>
      </c>
      <c r="D23" s="124">
        <f/>
        <v/>
      </c>
      <c r="E23" s="124">
        <f/>
        <v/>
      </c>
      <c r="F23" s="124">
        <f/>
        <v/>
      </c>
      <c r="G23" s="124">
        <f/>
        <v/>
      </c>
      <c r="H23" s="124">
        <f/>
        <v/>
      </c>
      <c r="I23" s="124">
        <f/>
        <v/>
      </c>
      <c r="J23" s="124">
        <f/>
        <v/>
      </c>
      <c r="K23" s="124">
        <f/>
        <v/>
      </c>
      <c r="L23" s="124">
        <f/>
        <v/>
      </c>
      <c r="M23" s="124">
        <f/>
        <v/>
      </c>
      <c r="N23" s="124">
        <f/>
        <v/>
      </c>
      <c r="O23" s="124">
        <f/>
        <v/>
      </c>
    </row>
    <row r="24">
      <c r="B24" s="75">
        <f/>
        <v/>
      </c>
      <c r="C24" s="124">
        <f/>
        <v/>
      </c>
      <c r="D24" s="124">
        <f/>
        <v/>
      </c>
      <c r="E24" s="124">
        <f/>
        <v/>
      </c>
      <c r="F24" s="124">
        <f/>
        <v/>
      </c>
      <c r="G24" s="124">
        <f/>
        <v/>
      </c>
      <c r="H24" s="124">
        <f/>
        <v/>
      </c>
      <c r="I24" s="124">
        <f/>
        <v/>
      </c>
      <c r="J24" s="124">
        <f/>
        <v/>
      </c>
      <c r="K24" s="124">
        <f/>
        <v/>
      </c>
      <c r="L24" s="124">
        <f/>
        <v/>
      </c>
      <c r="M24" s="124">
        <f/>
        <v/>
      </c>
      <c r="N24" s="124">
        <f/>
        <v/>
      </c>
      <c r="O24" s="124">
        <f/>
        <v/>
      </c>
    </row>
    <row r="25">
      <c r="B25" s="75">
        <f/>
        <v/>
      </c>
      <c r="C25" s="124">
        <f/>
        <v/>
      </c>
      <c r="D25" s="124">
        <f/>
        <v/>
      </c>
      <c r="E25" s="124">
        <f/>
        <v/>
      </c>
      <c r="F25" s="124">
        <f/>
        <v/>
      </c>
      <c r="G25" s="124">
        <f/>
        <v/>
      </c>
      <c r="H25" s="124">
        <f/>
        <v/>
      </c>
      <c r="I25" s="124">
        <f/>
        <v/>
      </c>
      <c r="J25" s="124">
        <f/>
        <v/>
      </c>
      <c r="K25" s="124">
        <f/>
        <v/>
      </c>
      <c r="L25" s="124">
        <f/>
        <v/>
      </c>
      <c r="M25" s="124">
        <f/>
        <v/>
      </c>
      <c r="N25" s="124">
        <f/>
        <v/>
      </c>
      <c r="O25" s="124">
        <f/>
        <v/>
      </c>
    </row>
    <row r="26">
      <c r="B26" s="75">
        <f/>
        <v/>
      </c>
      <c r="C26" s="124">
        <f/>
        <v/>
      </c>
      <c r="D26" s="124">
        <f/>
        <v/>
      </c>
      <c r="E26" s="124">
        <f/>
        <v/>
      </c>
      <c r="F26" s="124">
        <f/>
        <v/>
      </c>
      <c r="G26" s="124">
        <f/>
        <v/>
      </c>
      <c r="H26" s="124">
        <f/>
        <v/>
      </c>
      <c r="I26" s="124">
        <f/>
        <v/>
      </c>
      <c r="J26" s="124">
        <f/>
        <v/>
      </c>
      <c r="K26" s="124">
        <f/>
        <v/>
      </c>
      <c r="L26" s="124">
        <f/>
        <v/>
      </c>
      <c r="M26" s="124">
        <f/>
        <v/>
      </c>
      <c r="N26" s="124">
        <f/>
        <v/>
      </c>
      <c r="O26" s="124">
        <f/>
        <v/>
      </c>
    </row>
    <row r="27">
      <c r="B27" s="75">
        <f/>
        <v/>
      </c>
      <c r="C27" s="124">
        <f/>
        <v/>
      </c>
      <c r="D27" s="124">
        <f/>
        <v/>
      </c>
      <c r="E27" s="124">
        <f/>
        <v/>
      </c>
      <c r="F27" s="124">
        <f/>
        <v/>
      </c>
      <c r="G27" s="124">
        <f/>
        <v/>
      </c>
      <c r="H27" s="124">
        <f/>
        <v/>
      </c>
      <c r="I27" s="124">
        <f/>
        <v/>
      </c>
      <c r="J27" s="124">
        <f/>
        <v/>
      </c>
      <c r="K27" s="124">
        <f/>
        <v/>
      </c>
      <c r="L27" s="124">
        <f/>
        <v/>
      </c>
      <c r="M27" s="124">
        <f/>
        <v/>
      </c>
      <c r="N27" s="124">
        <f/>
        <v/>
      </c>
      <c r="O27" s="124">
        <f/>
        <v/>
      </c>
    </row>
    <row r="28">
      <c r="B28" s="75">
        <f/>
        <v/>
      </c>
      <c r="C28" s="124">
        <f/>
        <v/>
      </c>
      <c r="D28" s="124">
        <f/>
        <v/>
      </c>
      <c r="E28" s="124">
        <f/>
        <v/>
      </c>
      <c r="F28" s="124">
        <f/>
        <v/>
      </c>
      <c r="G28" s="124">
        <f/>
        <v/>
      </c>
      <c r="H28" s="124">
        <f/>
        <v/>
      </c>
      <c r="I28" s="124">
        <f/>
        <v/>
      </c>
      <c r="J28" s="124">
        <f/>
        <v/>
      </c>
      <c r="K28" s="124">
        <f/>
        <v/>
      </c>
      <c r="L28" s="124">
        <f/>
        <v/>
      </c>
      <c r="M28" s="124">
        <f/>
        <v/>
      </c>
      <c r="N28" s="124">
        <f/>
        <v/>
      </c>
      <c r="O28" s="124">
        <f/>
        <v/>
      </c>
    </row>
    <row r="29">
      <c r="B29" s="75">
        <f/>
        <v/>
      </c>
      <c r="C29" s="124">
        <f/>
        <v/>
      </c>
      <c r="D29" s="124">
        <f/>
        <v/>
      </c>
      <c r="E29" s="124">
        <f/>
        <v/>
      </c>
      <c r="F29" s="124">
        <f/>
        <v/>
      </c>
      <c r="G29" s="124">
        <f/>
        <v/>
      </c>
      <c r="H29" s="124">
        <f/>
        <v/>
      </c>
      <c r="I29" s="124">
        <f/>
        <v/>
      </c>
      <c r="J29" s="124">
        <f/>
        <v/>
      </c>
      <c r="K29" s="124">
        <f/>
        <v/>
      </c>
      <c r="L29" s="124">
        <f/>
        <v/>
      </c>
      <c r="M29" s="124">
        <f/>
        <v/>
      </c>
      <c r="N29" s="124">
        <f/>
        <v/>
      </c>
      <c r="O29" s="124">
        <f/>
        <v/>
      </c>
    </row>
    <row r="30">
      <c r="B30" s="75">
        <f/>
        <v/>
      </c>
      <c r="C30" s="124">
        <f/>
        <v/>
      </c>
      <c r="D30" s="124">
        <f/>
        <v/>
      </c>
      <c r="E30" s="124">
        <f/>
        <v/>
      </c>
      <c r="F30" s="124">
        <f/>
        <v/>
      </c>
      <c r="G30" s="124">
        <f/>
        <v/>
      </c>
      <c r="H30" s="124">
        <f/>
        <v/>
      </c>
      <c r="I30" s="124">
        <f/>
        <v/>
      </c>
      <c r="J30" s="124">
        <f/>
        <v/>
      </c>
      <c r="K30" s="124">
        <f/>
        <v/>
      </c>
      <c r="L30" s="124">
        <f/>
        <v/>
      </c>
      <c r="M30" s="124">
        <f/>
        <v/>
      </c>
      <c r="N30" s="124">
        <f/>
        <v/>
      </c>
      <c r="O30" s="124">
        <f/>
        <v/>
      </c>
    </row>
    <row r="31">
      <c r="B31" s="75">
        <f/>
        <v/>
      </c>
      <c r="C31" s="124">
        <f/>
        <v/>
      </c>
      <c r="D31" s="124">
        <f/>
        <v/>
      </c>
      <c r="E31" s="124">
        <f/>
        <v/>
      </c>
      <c r="F31" s="124">
        <f/>
        <v/>
      </c>
      <c r="G31" s="124">
        <f/>
        <v/>
      </c>
      <c r="H31" s="124">
        <f/>
        <v/>
      </c>
      <c r="I31" s="124">
        <f/>
        <v/>
      </c>
      <c r="J31" s="124">
        <f/>
        <v/>
      </c>
      <c r="K31" s="124">
        <f/>
        <v/>
      </c>
      <c r="L31" s="124">
        <f/>
        <v/>
      </c>
      <c r="M31" s="124">
        <f/>
        <v/>
      </c>
      <c r="N31" s="124">
        <f/>
        <v/>
      </c>
      <c r="O31" s="124">
        <f/>
        <v/>
      </c>
    </row>
    <row r="32">
      <c r="B32" s="75">
        <f/>
        <v/>
      </c>
      <c r="C32" s="124">
        <f/>
        <v/>
      </c>
      <c r="D32" s="124">
        <f/>
        <v/>
      </c>
      <c r="E32" s="124">
        <f/>
        <v/>
      </c>
      <c r="F32" s="124">
        <f/>
        <v/>
      </c>
      <c r="G32" s="124">
        <f/>
        <v/>
      </c>
      <c r="H32" s="124">
        <f/>
        <v/>
      </c>
      <c r="I32" s="124">
        <f/>
        <v/>
      </c>
      <c r="J32" s="124">
        <f/>
        <v/>
      </c>
      <c r="K32" s="124">
        <f/>
        <v/>
      </c>
      <c r="L32" s="124">
        <f/>
        <v/>
      </c>
      <c r="M32" s="124">
        <f/>
        <v/>
      </c>
      <c r="N32" s="124">
        <f/>
        <v/>
      </c>
      <c r="O32" s="124">
        <f/>
        <v/>
      </c>
    </row>
    <row r="33">
      <c r="B33" s="75">
        <f/>
        <v/>
      </c>
      <c r="C33" s="124">
        <f/>
        <v/>
      </c>
      <c r="D33" s="124">
        <f/>
        <v/>
      </c>
      <c r="E33" s="124">
        <f/>
        <v/>
      </c>
      <c r="F33" s="124">
        <f/>
        <v/>
      </c>
      <c r="G33" s="124">
        <f/>
        <v/>
      </c>
      <c r="H33" s="124">
        <f/>
        <v/>
      </c>
      <c r="I33" s="124">
        <f/>
        <v/>
      </c>
      <c r="J33" s="124">
        <f/>
        <v/>
      </c>
      <c r="K33" s="124">
        <f/>
        <v/>
      </c>
      <c r="L33" s="124">
        <f/>
        <v/>
      </c>
      <c r="M33" s="124">
        <f/>
        <v/>
      </c>
      <c r="N33" s="124">
        <f/>
        <v/>
      </c>
      <c r="O33" s="124">
        <f/>
        <v/>
      </c>
    </row>
    <row r="34">
      <c r="B34" s="75">
        <f/>
        <v/>
      </c>
      <c r="C34" s="124">
        <f/>
        <v/>
      </c>
      <c r="D34" s="124">
        <f/>
        <v/>
      </c>
      <c r="E34" s="124">
        <f/>
        <v/>
      </c>
      <c r="F34" s="124">
        <f/>
        <v/>
      </c>
      <c r="G34" s="124">
        <f/>
        <v/>
      </c>
      <c r="H34" s="124">
        <f/>
        <v/>
      </c>
      <c r="I34" s="124">
        <f/>
        <v/>
      </c>
      <c r="J34" s="124">
        <f/>
        <v/>
      </c>
      <c r="K34" s="124">
        <f/>
        <v/>
      </c>
      <c r="L34" s="124">
        <f/>
        <v/>
      </c>
      <c r="M34" s="124">
        <f/>
        <v/>
      </c>
      <c r="N34" s="124">
        <f/>
        <v/>
      </c>
      <c r="O34" s="124">
        <f/>
        <v/>
      </c>
    </row>
    <row r="35">
      <c r="B35" s="75">
        <f/>
        <v/>
      </c>
      <c r="C35" s="124">
        <f/>
        <v/>
      </c>
      <c r="D35" s="124">
        <f/>
        <v/>
      </c>
      <c r="E35" s="124">
        <f/>
        <v/>
      </c>
      <c r="F35" s="124">
        <f/>
        <v/>
      </c>
      <c r="G35" s="124">
        <f/>
        <v/>
      </c>
      <c r="H35" s="124">
        <f/>
        <v/>
      </c>
      <c r="I35" s="124">
        <f/>
        <v/>
      </c>
      <c r="J35" s="124">
        <f/>
        <v/>
      </c>
      <c r="K35" s="124">
        <f/>
        <v/>
      </c>
      <c r="L35" s="124">
        <f/>
        <v/>
      </c>
      <c r="M35" s="124">
        <f/>
        <v/>
      </c>
      <c r="N35" s="124">
        <f/>
        <v/>
      </c>
      <c r="O35" s="124">
        <f/>
        <v/>
      </c>
    </row>
    <row r="36">
      <c r="B36" s="75">
        <f/>
        <v/>
      </c>
      <c r="C36" s="124">
        <f/>
        <v/>
      </c>
      <c r="D36" s="124">
        <f/>
        <v/>
      </c>
      <c r="E36" s="124">
        <f/>
        <v/>
      </c>
      <c r="F36" s="124">
        <f/>
        <v/>
      </c>
      <c r="G36" s="124">
        <f/>
        <v/>
      </c>
      <c r="H36" s="124">
        <f/>
        <v/>
      </c>
      <c r="I36" s="124">
        <f/>
        <v/>
      </c>
      <c r="J36" s="124">
        <f/>
        <v/>
      </c>
      <c r="K36" s="124">
        <f/>
        <v/>
      </c>
      <c r="L36" s="124">
        <f/>
        <v/>
      </c>
      <c r="M36" s="124">
        <f/>
        <v/>
      </c>
      <c r="N36" s="124">
        <f/>
        <v/>
      </c>
      <c r="O36" s="124">
        <f/>
        <v/>
      </c>
    </row>
    <row r="37">
      <c r="B37" s="75">
        <f/>
        <v/>
      </c>
      <c r="C37" s="124">
        <f/>
        <v/>
      </c>
      <c r="D37" s="124">
        <f/>
        <v/>
      </c>
      <c r="E37" s="124">
        <f/>
        <v/>
      </c>
      <c r="F37" s="124">
        <f/>
        <v/>
      </c>
      <c r="G37" s="124">
        <f/>
        <v/>
      </c>
      <c r="H37" s="124">
        <f/>
        <v/>
      </c>
      <c r="I37" s="124">
        <f/>
        <v/>
      </c>
      <c r="J37" s="124">
        <f/>
        <v/>
      </c>
      <c r="K37" s="124">
        <f/>
        <v/>
      </c>
      <c r="L37" s="124">
        <f/>
        <v/>
      </c>
      <c r="M37" s="124">
        <f/>
        <v/>
      </c>
      <c r="N37" s="124">
        <f/>
        <v/>
      </c>
      <c r="O37" s="124">
        <f/>
        <v/>
      </c>
    </row>
    <row r="38">
      <c r="B38" s="75">
        <f/>
        <v/>
      </c>
      <c r="C38" s="124">
        <f/>
        <v/>
      </c>
      <c r="D38" s="124">
        <f/>
        <v/>
      </c>
      <c r="E38" s="124">
        <f/>
        <v/>
      </c>
      <c r="F38" s="124">
        <f/>
        <v/>
      </c>
      <c r="G38" s="124">
        <f/>
        <v/>
      </c>
      <c r="H38" s="124">
        <f/>
        <v/>
      </c>
      <c r="I38" s="124">
        <f/>
        <v/>
      </c>
      <c r="J38" s="124">
        <f/>
        <v/>
      </c>
      <c r="K38" s="124">
        <f/>
        <v/>
      </c>
      <c r="L38" s="124">
        <f/>
        <v/>
      </c>
      <c r="M38" s="124">
        <f/>
        <v/>
      </c>
      <c r="N38" s="124">
        <f/>
        <v/>
      </c>
      <c r="O38" s="124">
        <f/>
        <v/>
      </c>
    </row>
    <row r="39">
      <c r="B39" s="75">
        <f/>
        <v/>
      </c>
      <c r="C39" s="124">
        <f/>
        <v/>
      </c>
      <c r="D39" s="124">
        <f/>
        <v/>
      </c>
      <c r="E39" s="124">
        <f/>
        <v/>
      </c>
      <c r="F39" s="124">
        <f/>
        <v/>
      </c>
      <c r="G39" s="124">
        <f/>
        <v/>
      </c>
      <c r="H39" s="124">
        <f/>
        <v/>
      </c>
      <c r="I39" s="124">
        <f/>
        <v/>
      </c>
      <c r="J39" s="124">
        <f/>
        <v/>
      </c>
      <c r="K39" s="124">
        <f/>
        <v/>
      </c>
      <c r="L39" s="124">
        <f/>
        <v/>
      </c>
      <c r="M39" s="124">
        <f/>
        <v/>
      </c>
      <c r="N39" s="124">
        <f/>
        <v/>
      </c>
      <c r="O39" s="124">
        <f/>
        <v/>
      </c>
    </row>
    <row r="40">
      <c r="B40" s="75">
        <f/>
        <v/>
      </c>
      <c r="C40" s="124">
        <f/>
        <v/>
      </c>
      <c r="D40" s="124">
        <f/>
        <v/>
      </c>
      <c r="E40" s="124">
        <f/>
        <v/>
      </c>
      <c r="F40" s="124">
        <f/>
        <v/>
      </c>
      <c r="G40" s="124">
        <f/>
        <v/>
      </c>
      <c r="H40" s="124">
        <f/>
        <v/>
      </c>
      <c r="I40" s="124">
        <f/>
        <v/>
      </c>
      <c r="J40" s="124">
        <f/>
        <v/>
      </c>
      <c r="K40" s="124">
        <f/>
        <v/>
      </c>
      <c r="L40" s="124">
        <f/>
        <v/>
      </c>
      <c r="M40" s="124">
        <f/>
        <v/>
      </c>
      <c r="N40" s="124">
        <f/>
        <v/>
      </c>
      <c r="O40" s="124">
        <f/>
        <v/>
      </c>
    </row>
    <row r="41">
      <c r="B41" s="75">
        <f/>
        <v/>
      </c>
      <c r="C41" s="124">
        <f/>
        <v/>
      </c>
      <c r="D41" s="124">
        <f/>
        <v/>
      </c>
      <c r="E41" s="124">
        <f/>
        <v/>
      </c>
      <c r="F41" s="124">
        <f/>
        <v/>
      </c>
      <c r="G41" s="124">
        <f/>
        <v/>
      </c>
      <c r="H41" s="124">
        <f/>
        <v/>
      </c>
      <c r="I41" s="124">
        <f/>
        <v/>
      </c>
      <c r="J41" s="124">
        <f/>
        <v/>
      </c>
      <c r="K41" s="124">
        <f/>
        <v/>
      </c>
      <c r="L41" s="124">
        <f/>
        <v/>
      </c>
      <c r="M41" s="124">
        <f/>
        <v/>
      </c>
      <c r="N41" s="124">
        <f/>
        <v/>
      </c>
      <c r="O41" s="124">
        <f/>
        <v/>
      </c>
    </row>
    <row r="42">
      <c r="B42" s="75">
        <f/>
        <v/>
      </c>
      <c r="C42" s="124">
        <f/>
        <v/>
      </c>
      <c r="D42" s="124">
        <f/>
        <v/>
      </c>
      <c r="E42" s="124">
        <f/>
        <v/>
      </c>
      <c r="F42" s="124">
        <f/>
        <v/>
      </c>
      <c r="G42" s="124">
        <f/>
        <v/>
      </c>
      <c r="H42" s="124">
        <f/>
        <v/>
      </c>
      <c r="I42" s="124">
        <f/>
        <v/>
      </c>
      <c r="J42" s="124">
        <f/>
        <v/>
      </c>
      <c r="K42" s="124">
        <f/>
        <v/>
      </c>
      <c r="L42" s="124">
        <f/>
        <v/>
      </c>
      <c r="M42" s="124">
        <f/>
        <v/>
      </c>
      <c r="N42" s="124">
        <f/>
        <v/>
      </c>
      <c r="O42" s="124">
        <f/>
        <v/>
      </c>
    </row>
    <row r="43">
      <c r="B43" s="75">
        <f/>
        <v/>
      </c>
      <c r="C43" s="124">
        <f/>
        <v/>
      </c>
      <c r="D43" s="124">
        <f/>
        <v/>
      </c>
      <c r="E43" s="124">
        <f/>
        <v/>
      </c>
      <c r="F43" s="124">
        <f/>
        <v/>
      </c>
      <c r="G43" s="124">
        <f/>
        <v/>
      </c>
      <c r="H43" s="124">
        <f/>
        <v/>
      </c>
      <c r="I43" s="124">
        <f/>
        <v/>
      </c>
      <c r="J43" s="124">
        <f/>
        <v/>
      </c>
      <c r="K43" s="124">
        <f/>
        <v/>
      </c>
      <c r="L43" s="124">
        <f/>
        <v/>
      </c>
      <c r="M43" s="124">
        <f/>
        <v/>
      </c>
      <c r="N43" s="124">
        <f/>
        <v/>
      </c>
      <c r="O43" s="124">
        <f/>
        <v/>
      </c>
    </row>
    <row r="44">
      <c r="B44" s="75">
        <f/>
        <v/>
      </c>
      <c r="C44" s="124">
        <f/>
        <v/>
      </c>
      <c r="D44" s="124">
        <f/>
        <v/>
      </c>
      <c r="E44" s="124">
        <f/>
        <v/>
      </c>
      <c r="F44" s="124">
        <f/>
        <v/>
      </c>
      <c r="G44" s="124">
        <f/>
        <v/>
      </c>
      <c r="H44" s="124">
        <f/>
        <v/>
      </c>
      <c r="I44" s="124">
        <f/>
        <v/>
      </c>
      <c r="J44" s="124">
        <f/>
        <v/>
      </c>
      <c r="K44" s="124">
        <f/>
        <v/>
      </c>
      <c r="L44" s="124">
        <f/>
        <v/>
      </c>
      <c r="M44" s="124">
        <f/>
        <v/>
      </c>
      <c r="N44" s="124">
        <f/>
        <v/>
      </c>
      <c r="O44" s="124">
        <f/>
        <v/>
      </c>
    </row>
    <row r="45">
      <c r="B45" s="75">
        <f/>
        <v/>
      </c>
      <c r="C45" s="124">
        <f/>
        <v/>
      </c>
      <c r="D45" s="124">
        <f/>
        <v/>
      </c>
      <c r="E45" s="124">
        <f/>
        <v/>
      </c>
      <c r="F45" s="124">
        <f/>
        <v/>
      </c>
      <c r="G45" s="124">
        <f/>
        <v/>
      </c>
      <c r="H45" s="124">
        <f/>
        <v/>
      </c>
      <c r="I45" s="124">
        <f/>
        <v/>
      </c>
      <c r="J45" s="124">
        <f/>
        <v/>
      </c>
      <c r="K45" s="124">
        <f/>
        <v/>
      </c>
      <c r="L45" s="124">
        <f/>
        <v/>
      </c>
      <c r="M45" s="124">
        <f/>
        <v/>
      </c>
      <c r="N45" s="124">
        <f/>
        <v/>
      </c>
      <c r="O45" s="124">
        <f/>
        <v/>
      </c>
    </row>
    <row r="46">
      <c r="B46" s="75">
        <f/>
        <v/>
      </c>
      <c r="C46" s="124">
        <f/>
        <v/>
      </c>
      <c r="D46" s="124">
        <f/>
        <v/>
      </c>
      <c r="E46" s="124">
        <f/>
        <v/>
      </c>
      <c r="F46" s="124">
        <f/>
        <v/>
      </c>
      <c r="G46" s="124">
        <f/>
        <v/>
      </c>
      <c r="H46" s="124">
        <f/>
        <v/>
      </c>
      <c r="I46" s="124">
        <f/>
        <v/>
      </c>
      <c r="J46" s="124">
        <f/>
        <v/>
      </c>
      <c r="K46" s="124">
        <f/>
        <v/>
      </c>
      <c r="L46" s="124">
        <f/>
        <v/>
      </c>
      <c r="M46" s="124">
        <f/>
        <v/>
      </c>
      <c r="N46" s="124">
        <f/>
        <v/>
      </c>
      <c r="O46" s="124">
        <f/>
        <v/>
      </c>
    </row>
    <row r="47">
      <c r="B47" s="75">
        <f/>
        <v/>
      </c>
      <c r="C47" s="124">
        <f/>
        <v/>
      </c>
      <c r="D47" s="124">
        <f/>
        <v/>
      </c>
      <c r="E47" s="124">
        <f/>
        <v/>
      </c>
      <c r="F47" s="124">
        <f/>
        <v/>
      </c>
      <c r="G47" s="124">
        <f/>
        <v/>
      </c>
      <c r="H47" s="124">
        <f/>
        <v/>
      </c>
      <c r="I47" s="124">
        <f/>
        <v/>
      </c>
      <c r="J47" s="124">
        <f/>
        <v/>
      </c>
      <c r="K47" s="124">
        <f/>
        <v/>
      </c>
      <c r="L47" s="124">
        <f/>
        <v/>
      </c>
      <c r="M47" s="124">
        <f/>
        <v/>
      </c>
      <c r="N47" s="124">
        <f/>
        <v/>
      </c>
      <c r="O47" s="124">
        <f/>
        <v/>
      </c>
    </row>
    <row r="48">
      <c r="B48" s="75">
        <f/>
        <v/>
      </c>
      <c r="C48" s="124">
        <f/>
        <v/>
      </c>
      <c r="D48" s="124">
        <f/>
        <v/>
      </c>
      <c r="E48" s="124">
        <f/>
        <v/>
      </c>
      <c r="F48" s="124">
        <f/>
        <v/>
      </c>
      <c r="G48" s="124">
        <f/>
        <v/>
      </c>
      <c r="H48" s="124">
        <f/>
        <v/>
      </c>
      <c r="I48" s="124">
        <f/>
        <v/>
      </c>
      <c r="J48" s="124">
        <f/>
        <v/>
      </c>
      <c r="K48" s="124">
        <f/>
        <v/>
      </c>
      <c r="L48" s="124">
        <f/>
        <v/>
      </c>
      <c r="M48" s="124">
        <f/>
        <v/>
      </c>
      <c r="N48" s="124">
        <f/>
        <v/>
      </c>
      <c r="O48" s="124">
        <f/>
        <v/>
      </c>
    </row>
    <row r="49">
      <c r="B49" s="75">
        <f/>
        <v/>
      </c>
      <c r="C49" s="124">
        <f/>
        <v/>
      </c>
      <c r="D49" s="124">
        <f/>
        <v/>
      </c>
      <c r="E49" s="124">
        <f/>
        <v/>
      </c>
      <c r="F49" s="124">
        <f/>
        <v/>
      </c>
      <c r="G49" s="124">
        <f/>
        <v/>
      </c>
      <c r="H49" s="124">
        <f/>
        <v/>
      </c>
      <c r="I49" s="124">
        <f/>
        <v/>
      </c>
      <c r="J49" s="124">
        <f/>
        <v/>
      </c>
      <c r="K49" s="124">
        <f/>
        <v/>
      </c>
      <c r="L49" s="124">
        <f/>
        <v/>
      </c>
      <c r="M49" s="124">
        <f/>
        <v/>
      </c>
      <c r="N49" s="124">
        <f/>
        <v/>
      </c>
      <c r="O49" s="124">
        <f/>
        <v/>
      </c>
    </row>
    <row r="50">
      <c r="B50" s="75">
        <f/>
        <v/>
      </c>
      <c r="C50" s="124">
        <f/>
        <v/>
      </c>
      <c r="D50" s="124">
        <f/>
        <v/>
      </c>
      <c r="E50" s="124">
        <f/>
        <v/>
      </c>
      <c r="F50" s="124">
        <f/>
        <v/>
      </c>
      <c r="G50" s="124">
        <f/>
        <v/>
      </c>
      <c r="H50" s="124">
        <f/>
        <v/>
      </c>
      <c r="I50" s="124">
        <f/>
        <v/>
      </c>
      <c r="J50" s="124">
        <f/>
        <v/>
      </c>
      <c r="K50" s="124">
        <f/>
        <v/>
      </c>
      <c r="L50" s="124">
        <f/>
        <v/>
      </c>
      <c r="M50" s="124">
        <f/>
        <v/>
      </c>
      <c r="N50" s="124">
        <f/>
        <v/>
      </c>
      <c r="O50" s="124">
        <f/>
        <v/>
      </c>
    </row>
    <row r="51">
      <c r="B51" s="75">
        <f/>
        <v/>
      </c>
      <c r="C51" s="124">
        <f/>
        <v/>
      </c>
      <c r="D51" s="124">
        <f/>
        <v/>
      </c>
      <c r="E51" s="124">
        <f/>
        <v/>
      </c>
      <c r="F51" s="124">
        <f/>
        <v/>
      </c>
      <c r="G51" s="124">
        <f/>
        <v/>
      </c>
      <c r="H51" s="124">
        <f/>
        <v/>
      </c>
      <c r="I51" s="124">
        <f/>
        <v/>
      </c>
      <c r="J51" s="124">
        <f/>
        <v/>
      </c>
      <c r="K51" s="124">
        <f/>
        <v/>
      </c>
      <c r="L51" s="124">
        <f/>
        <v/>
      </c>
      <c r="M51" s="124">
        <f/>
        <v/>
      </c>
      <c r="N51" s="124">
        <f/>
        <v/>
      </c>
      <c r="O51" s="124">
        <f/>
        <v/>
      </c>
    </row>
    <row r="52">
      <c r="B52" s="75">
        <f/>
        <v/>
      </c>
      <c r="C52" s="124">
        <f/>
        <v/>
      </c>
      <c r="D52" s="124">
        <f/>
        <v/>
      </c>
      <c r="E52" s="124">
        <f/>
        <v/>
      </c>
      <c r="F52" s="124">
        <f/>
        <v/>
      </c>
      <c r="G52" s="124">
        <f/>
        <v/>
      </c>
      <c r="H52" s="124">
        <f/>
        <v/>
      </c>
      <c r="I52" s="124">
        <f/>
        <v/>
      </c>
      <c r="J52" s="124">
        <f/>
        <v/>
      </c>
      <c r="K52" s="124">
        <f/>
        <v/>
      </c>
      <c r="L52" s="124">
        <f/>
        <v/>
      </c>
      <c r="M52" s="124">
        <f/>
        <v/>
      </c>
      <c r="N52" s="124">
        <f/>
        <v/>
      </c>
      <c r="O52" s="124">
        <f/>
        <v/>
      </c>
    </row>
    <row r="53">
      <c r="B53" s="75">
        <f/>
        <v/>
      </c>
      <c r="C53" s="124">
        <f/>
        <v/>
      </c>
      <c r="D53" s="124">
        <f/>
        <v/>
      </c>
      <c r="E53" s="124">
        <f/>
        <v/>
      </c>
      <c r="F53" s="124">
        <f/>
        <v/>
      </c>
      <c r="G53" s="124">
        <f/>
        <v/>
      </c>
      <c r="H53" s="124">
        <f/>
        <v/>
      </c>
      <c r="I53" s="124">
        <f/>
        <v/>
      </c>
      <c r="J53" s="124">
        <f/>
        <v/>
      </c>
      <c r="K53" s="124">
        <f/>
        <v/>
      </c>
      <c r="L53" s="124">
        <f/>
        <v/>
      </c>
      <c r="M53" s="124">
        <f/>
        <v/>
      </c>
      <c r="N53" s="124">
        <f/>
        <v/>
      </c>
      <c r="O53" s="124">
        <f/>
        <v/>
      </c>
    </row>
    <row r="54">
      <c r="B54" s="75">
        <f/>
        <v/>
      </c>
      <c r="C54" s="124">
        <f/>
        <v/>
      </c>
      <c r="D54" s="124">
        <f/>
        <v/>
      </c>
      <c r="E54" s="124">
        <f/>
        <v/>
      </c>
      <c r="F54" s="124">
        <f/>
        <v/>
      </c>
      <c r="G54" s="124">
        <f/>
        <v/>
      </c>
      <c r="H54" s="124">
        <f/>
        <v/>
      </c>
      <c r="I54" s="124">
        <f/>
        <v/>
      </c>
      <c r="J54" s="124">
        <f/>
        <v/>
      </c>
      <c r="K54" s="124">
        <f/>
        <v/>
      </c>
      <c r="L54" s="124">
        <f/>
        <v/>
      </c>
      <c r="M54" s="124">
        <f/>
        <v/>
      </c>
      <c r="N54" s="124">
        <f/>
        <v/>
      </c>
      <c r="O54" s="124">
        <f/>
        <v/>
      </c>
    </row>
    <row r="55">
      <c r="B55" s="75">
        <f/>
        <v/>
      </c>
      <c r="C55" s="124">
        <f/>
        <v/>
      </c>
      <c r="D55" s="124">
        <f/>
        <v/>
      </c>
      <c r="E55" s="124">
        <f/>
        <v/>
      </c>
      <c r="F55" s="124">
        <f/>
        <v/>
      </c>
      <c r="G55" s="124">
        <f/>
        <v/>
      </c>
      <c r="H55" s="124">
        <f/>
        <v/>
      </c>
      <c r="I55" s="124">
        <f/>
        <v/>
      </c>
      <c r="J55" s="124">
        <f/>
        <v/>
      </c>
      <c r="K55" s="124">
        <f/>
        <v/>
      </c>
      <c r="L55" s="124">
        <f/>
        <v/>
      </c>
      <c r="M55" s="124">
        <f/>
        <v/>
      </c>
      <c r="N55" s="124">
        <f/>
        <v/>
      </c>
      <c r="O55" s="124">
        <f/>
        <v/>
      </c>
    </row>
    <row r="56" ht="15" customHeight="1" s="113">
      <c r="B56" s="75">
        <f/>
        <v/>
      </c>
      <c r="C56" s="124">
        <f/>
        <v/>
      </c>
      <c r="D56" s="124">
        <f/>
        <v/>
      </c>
      <c r="E56" s="124">
        <f/>
        <v/>
      </c>
      <c r="F56" s="124">
        <f/>
        <v/>
      </c>
      <c r="G56" s="124">
        <f/>
        <v/>
      </c>
      <c r="H56" s="124">
        <f/>
        <v/>
      </c>
      <c r="I56" s="124">
        <f/>
        <v/>
      </c>
      <c r="J56" s="124">
        <f/>
        <v/>
      </c>
      <c r="K56" s="124">
        <f/>
        <v/>
      </c>
      <c r="L56" s="124">
        <f/>
        <v/>
      </c>
      <c r="M56" s="124">
        <f/>
        <v/>
      </c>
      <c r="N56" s="124">
        <f/>
        <v/>
      </c>
      <c r="O56" s="124">
        <f/>
        <v/>
      </c>
    </row>
    <row r="57">
      <c r="B57" s="75">
        <f/>
        <v/>
      </c>
      <c r="C57" s="124">
        <f/>
        <v/>
      </c>
      <c r="D57" s="124">
        <f/>
        <v/>
      </c>
      <c r="E57" s="124">
        <f/>
        <v/>
      </c>
      <c r="F57" s="124">
        <f/>
        <v/>
      </c>
      <c r="G57" s="124">
        <f/>
        <v/>
      </c>
      <c r="H57" s="124">
        <f/>
        <v/>
      </c>
      <c r="I57" s="124">
        <f/>
        <v/>
      </c>
      <c r="J57" s="124">
        <f/>
        <v/>
      </c>
      <c r="K57" s="124">
        <f/>
        <v/>
      </c>
      <c r="L57" s="124">
        <f/>
        <v/>
      </c>
      <c r="M57" s="124">
        <f/>
        <v/>
      </c>
      <c r="N57" s="124">
        <f/>
        <v/>
      </c>
      <c r="O57" s="124">
        <f/>
        <v/>
      </c>
    </row>
    <row r="58">
      <c r="B58" s="75">
        <f/>
        <v/>
      </c>
      <c r="C58" s="124">
        <f/>
        <v/>
      </c>
      <c r="D58" s="124">
        <f/>
        <v/>
      </c>
      <c r="E58" s="124">
        <f/>
        <v/>
      </c>
      <c r="F58" s="124">
        <f/>
        <v/>
      </c>
      <c r="G58" s="124">
        <f/>
        <v/>
      </c>
      <c r="H58" s="124">
        <f/>
        <v/>
      </c>
      <c r="I58" s="124">
        <f/>
        <v/>
      </c>
      <c r="J58" s="124">
        <f/>
        <v/>
      </c>
      <c r="K58" s="124">
        <f/>
        <v/>
      </c>
      <c r="L58" s="124">
        <f/>
        <v/>
      </c>
      <c r="M58" s="124">
        <f/>
        <v/>
      </c>
      <c r="N58" s="124">
        <f/>
        <v/>
      </c>
      <c r="O58" s="124">
        <f/>
        <v/>
      </c>
    </row>
    <row r="59">
      <c r="B59" s="75">
        <f/>
        <v/>
      </c>
      <c r="C59" s="124">
        <f/>
        <v/>
      </c>
      <c r="D59" s="124">
        <f/>
        <v/>
      </c>
      <c r="E59" s="124">
        <f/>
        <v/>
      </c>
      <c r="F59" s="124">
        <f/>
        <v/>
      </c>
      <c r="G59" s="124">
        <f/>
        <v/>
      </c>
      <c r="H59" s="124">
        <f/>
        <v/>
      </c>
      <c r="I59" s="124">
        <f/>
        <v/>
      </c>
      <c r="J59" s="124">
        <f/>
        <v/>
      </c>
      <c r="K59" s="124">
        <f/>
        <v/>
      </c>
      <c r="L59" s="124">
        <f/>
        <v/>
      </c>
      <c r="M59" s="124">
        <f/>
        <v/>
      </c>
      <c r="N59" s="124">
        <f/>
        <v/>
      </c>
      <c r="O59" s="124">
        <f/>
        <v/>
      </c>
    </row>
    <row r="60">
      <c r="B60" s="75">
        <f/>
        <v/>
      </c>
      <c r="C60" s="124">
        <f/>
        <v/>
      </c>
      <c r="D60" s="124">
        <f/>
        <v/>
      </c>
      <c r="E60" s="124">
        <f/>
        <v/>
      </c>
      <c r="F60" s="124">
        <f/>
        <v/>
      </c>
      <c r="G60" s="124">
        <f/>
        <v/>
      </c>
      <c r="H60" s="124">
        <f/>
        <v/>
      </c>
      <c r="I60" s="124">
        <f/>
        <v/>
      </c>
      <c r="J60" s="124">
        <f/>
        <v/>
      </c>
      <c r="K60" s="124">
        <f/>
        <v/>
      </c>
      <c r="L60" s="124">
        <f/>
        <v/>
      </c>
      <c r="M60" s="124">
        <f/>
        <v/>
      </c>
      <c r="N60" s="124">
        <f/>
        <v/>
      </c>
      <c r="O60" s="124">
        <f/>
        <v/>
      </c>
    </row>
    <row r="61">
      <c r="B61" s="75">
        <f/>
        <v/>
      </c>
      <c r="C61" s="124">
        <f/>
        <v/>
      </c>
      <c r="D61" s="124">
        <f/>
        <v/>
      </c>
      <c r="E61" s="124">
        <f/>
        <v/>
      </c>
      <c r="F61" s="124">
        <f/>
        <v/>
      </c>
      <c r="G61" s="124">
        <f/>
        <v/>
      </c>
      <c r="H61" s="124">
        <f/>
        <v/>
      </c>
      <c r="I61" s="124">
        <f/>
        <v/>
      </c>
      <c r="J61" s="124">
        <f/>
        <v/>
      </c>
      <c r="K61" s="124">
        <f/>
        <v/>
      </c>
      <c r="L61" s="124">
        <f/>
        <v/>
      </c>
      <c r="M61" s="124">
        <f/>
        <v/>
      </c>
      <c r="N61" s="124">
        <f/>
        <v/>
      </c>
      <c r="O61" s="124">
        <f/>
        <v/>
      </c>
    </row>
    <row r="62">
      <c r="B62" s="75">
        <f/>
        <v/>
      </c>
      <c r="C62" s="124">
        <f/>
        <v/>
      </c>
      <c r="D62" s="124">
        <f/>
        <v/>
      </c>
      <c r="E62" s="124">
        <f/>
        <v/>
      </c>
      <c r="F62" s="124">
        <f/>
        <v/>
      </c>
      <c r="G62" s="124">
        <f/>
        <v/>
      </c>
      <c r="H62" s="124">
        <f/>
        <v/>
      </c>
      <c r="I62" s="124">
        <f/>
        <v/>
      </c>
      <c r="J62" s="124">
        <f/>
        <v/>
      </c>
      <c r="K62" s="124">
        <f/>
        <v/>
      </c>
      <c r="L62" s="124">
        <f/>
        <v/>
      </c>
      <c r="M62" s="124">
        <f/>
        <v/>
      </c>
      <c r="N62" s="124">
        <f/>
        <v/>
      </c>
      <c r="O62" s="124">
        <f/>
        <v/>
      </c>
    </row>
    <row r="63">
      <c r="B63" s="75">
        <f/>
        <v/>
      </c>
      <c r="C63" s="124">
        <f/>
        <v/>
      </c>
      <c r="D63" s="124">
        <f/>
        <v/>
      </c>
      <c r="E63" s="124">
        <f/>
        <v/>
      </c>
      <c r="F63" s="124">
        <f/>
        <v/>
      </c>
      <c r="G63" s="124">
        <f/>
        <v/>
      </c>
      <c r="H63" s="124">
        <f/>
        <v/>
      </c>
      <c r="I63" s="124">
        <f/>
        <v/>
      </c>
      <c r="J63" s="124">
        <f/>
        <v/>
      </c>
      <c r="K63" s="124">
        <f/>
        <v/>
      </c>
      <c r="L63" s="124">
        <f/>
        <v/>
      </c>
      <c r="M63" s="124">
        <f/>
        <v/>
      </c>
      <c r="N63" s="124">
        <f/>
        <v/>
      </c>
      <c r="O63" s="124">
        <f/>
        <v/>
      </c>
    </row>
    <row r="64">
      <c r="B64" s="75">
        <f/>
        <v/>
      </c>
      <c r="C64" s="124">
        <f/>
        <v/>
      </c>
      <c r="D64" s="124">
        <f/>
        <v/>
      </c>
      <c r="E64" s="124">
        <f/>
        <v/>
      </c>
      <c r="F64" s="124">
        <f/>
        <v/>
      </c>
      <c r="G64" s="124">
        <f/>
        <v/>
      </c>
      <c r="H64" s="124">
        <f/>
        <v/>
      </c>
      <c r="I64" s="124">
        <f/>
        <v/>
      </c>
      <c r="J64" s="124">
        <f/>
        <v/>
      </c>
      <c r="K64" s="124">
        <f/>
        <v/>
      </c>
      <c r="L64" s="124">
        <f/>
        <v/>
      </c>
      <c r="M64" s="124">
        <f/>
        <v/>
      </c>
      <c r="N64" s="124">
        <f/>
        <v/>
      </c>
      <c r="O64" s="124">
        <f/>
        <v/>
      </c>
    </row>
    <row r="65">
      <c r="B65" s="75">
        <f/>
        <v/>
      </c>
      <c r="C65" s="124">
        <f/>
        <v/>
      </c>
      <c r="D65" s="124">
        <f/>
        <v/>
      </c>
      <c r="E65" s="124">
        <f/>
        <v/>
      </c>
      <c r="F65" s="124">
        <f/>
        <v/>
      </c>
      <c r="G65" s="124">
        <f/>
        <v/>
      </c>
      <c r="H65" s="124">
        <f/>
        <v/>
      </c>
      <c r="I65" s="124">
        <f/>
        <v/>
      </c>
      <c r="J65" s="124">
        <f/>
        <v/>
      </c>
      <c r="K65" s="124">
        <f/>
        <v/>
      </c>
      <c r="L65" s="124">
        <f/>
        <v/>
      </c>
      <c r="M65" s="124">
        <f/>
        <v/>
      </c>
      <c r="N65" s="124">
        <f/>
        <v/>
      </c>
      <c r="O65" s="124">
        <f/>
        <v/>
      </c>
    </row>
    <row r="66">
      <c r="B66" s="75">
        <f/>
        <v/>
      </c>
      <c r="C66" s="124">
        <f/>
        <v/>
      </c>
      <c r="D66" s="124">
        <f/>
        <v/>
      </c>
      <c r="E66" s="124">
        <f/>
        <v/>
      </c>
      <c r="F66" s="124">
        <f/>
        <v/>
      </c>
      <c r="G66" s="124">
        <f/>
        <v/>
      </c>
      <c r="H66" s="124">
        <f/>
        <v/>
      </c>
      <c r="I66" s="124">
        <f/>
        <v/>
      </c>
      <c r="J66" s="124">
        <f/>
        <v/>
      </c>
      <c r="K66" s="124">
        <f/>
        <v/>
      </c>
      <c r="L66" s="124">
        <f/>
        <v/>
      </c>
      <c r="M66" s="124">
        <f/>
        <v/>
      </c>
      <c r="N66" s="124">
        <f/>
        <v/>
      </c>
      <c r="O66" s="124">
        <f/>
        <v/>
      </c>
    </row>
    <row r="67">
      <c r="B67" s="75">
        <f/>
        <v/>
      </c>
      <c r="C67" s="124">
        <f/>
        <v/>
      </c>
      <c r="D67" s="124">
        <f/>
        <v/>
      </c>
      <c r="E67" s="124">
        <f/>
        <v/>
      </c>
      <c r="F67" s="124">
        <f/>
        <v/>
      </c>
      <c r="G67" s="124">
        <f/>
        <v/>
      </c>
      <c r="H67" s="124">
        <f/>
        <v/>
      </c>
      <c r="I67" s="124">
        <f/>
        <v/>
      </c>
      <c r="J67" s="124">
        <f/>
        <v/>
      </c>
      <c r="K67" s="124">
        <f/>
        <v/>
      </c>
      <c r="L67" s="124">
        <f/>
        <v/>
      </c>
      <c r="M67" s="124">
        <f/>
        <v/>
      </c>
      <c r="N67" s="124">
        <f/>
        <v/>
      </c>
      <c r="O67" s="124">
        <f/>
        <v/>
      </c>
    </row>
    <row r="68">
      <c r="B68" s="75">
        <f/>
        <v/>
      </c>
      <c r="C68" s="124">
        <f/>
        <v/>
      </c>
      <c r="D68" s="124">
        <f/>
        <v/>
      </c>
      <c r="E68" s="124">
        <f/>
        <v/>
      </c>
      <c r="F68" s="124">
        <f/>
        <v/>
      </c>
      <c r="G68" s="124">
        <f/>
        <v/>
      </c>
      <c r="H68" s="124">
        <f/>
        <v/>
      </c>
      <c r="I68" s="124">
        <f/>
        <v/>
      </c>
      <c r="J68" s="124">
        <f/>
        <v/>
      </c>
      <c r="K68" s="124">
        <f/>
        <v/>
      </c>
      <c r="L68" s="124">
        <f/>
        <v/>
      </c>
      <c r="M68" s="124">
        <f/>
        <v/>
      </c>
      <c r="N68" s="124">
        <f/>
        <v/>
      </c>
      <c r="O68" s="124">
        <f/>
        <v/>
      </c>
    </row>
    <row r="69">
      <c r="B69" s="75">
        <f/>
        <v/>
      </c>
      <c r="C69" s="124">
        <f/>
        <v/>
      </c>
      <c r="D69" s="124">
        <f/>
        <v/>
      </c>
      <c r="E69" s="124">
        <f/>
        <v/>
      </c>
      <c r="F69" s="124">
        <f/>
        <v/>
      </c>
      <c r="G69" s="124">
        <f/>
        <v/>
      </c>
      <c r="H69" s="124">
        <f/>
        <v/>
      </c>
      <c r="I69" s="124">
        <f/>
        <v/>
      </c>
      <c r="J69" s="124">
        <f/>
        <v/>
      </c>
      <c r="K69" s="124">
        <f/>
        <v/>
      </c>
      <c r="L69" s="124">
        <f/>
        <v/>
      </c>
      <c r="M69" s="124">
        <f/>
        <v/>
      </c>
      <c r="N69" s="124">
        <f/>
        <v/>
      </c>
      <c r="O69" s="124">
        <f/>
        <v/>
      </c>
    </row>
    <row r="70">
      <c r="B70" s="75">
        <f/>
        <v/>
      </c>
      <c r="C70" s="124">
        <f/>
        <v/>
      </c>
      <c r="D70" s="124">
        <f/>
        <v/>
      </c>
      <c r="E70" s="124">
        <f/>
        <v/>
      </c>
      <c r="F70" s="124">
        <f/>
        <v/>
      </c>
      <c r="G70" s="124">
        <f/>
        <v/>
      </c>
      <c r="H70" s="124">
        <f/>
        <v/>
      </c>
      <c r="I70" s="124">
        <f/>
        <v/>
      </c>
      <c r="J70" s="124">
        <f/>
        <v/>
      </c>
      <c r="K70" s="124">
        <f/>
        <v/>
      </c>
      <c r="L70" s="124">
        <f/>
        <v/>
      </c>
      <c r="M70" s="124">
        <f/>
        <v/>
      </c>
      <c r="N70" s="124">
        <f/>
        <v/>
      </c>
      <c r="O70" s="124">
        <f/>
        <v/>
      </c>
    </row>
    <row r="71">
      <c r="B71" s="75">
        <f/>
        <v/>
      </c>
      <c r="C71" s="124">
        <f/>
        <v/>
      </c>
      <c r="D71" s="124">
        <f/>
        <v/>
      </c>
      <c r="E71" s="124">
        <f/>
        <v/>
      </c>
      <c r="F71" s="124">
        <f/>
        <v/>
      </c>
      <c r="G71" s="124">
        <f/>
        <v/>
      </c>
      <c r="H71" s="124">
        <f/>
        <v/>
      </c>
      <c r="I71" s="124">
        <f/>
        <v/>
      </c>
      <c r="J71" s="124">
        <f/>
        <v/>
      </c>
      <c r="K71" s="124">
        <f/>
        <v/>
      </c>
      <c r="L71" s="124">
        <f/>
        <v/>
      </c>
      <c r="M71" s="124">
        <f/>
        <v/>
      </c>
      <c r="N71" s="124">
        <f/>
        <v/>
      </c>
      <c r="O71" s="124">
        <f/>
        <v/>
      </c>
    </row>
    <row r="72">
      <c r="B72" s="75">
        <f/>
        <v/>
      </c>
      <c r="C72" s="124">
        <f/>
        <v/>
      </c>
      <c r="D72" s="124">
        <f/>
        <v/>
      </c>
      <c r="E72" s="124">
        <f/>
        <v/>
      </c>
      <c r="F72" s="124">
        <f/>
        <v/>
      </c>
      <c r="G72" s="124">
        <f/>
        <v/>
      </c>
      <c r="H72" s="124">
        <f/>
        <v/>
      </c>
      <c r="I72" s="124">
        <f/>
        <v/>
      </c>
      <c r="J72" s="124">
        <f/>
        <v/>
      </c>
      <c r="K72" s="124">
        <f/>
        <v/>
      </c>
      <c r="L72" s="124">
        <f/>
        <v/>
      </c>
      <c r="M72" s="124">
        <f/>
        <v/>
      </c>
      <c r="N72" s="124">
        <f/>
        <v/>
      </c>
      <c r="O72" s="124">
        <f/>
        <v/>
      </c>
    </row>
    <row r="73">
      <c r="B73" s="75">
        <f/>
        <v/>
      </c>
      <c r="C73" s="124">
        <f/>
        <v/>
      </c>
      <c r="D73" s="124">
        <f/>
        <v/>
      </c>
      <c r="E73" s="124">
        <f/>
        <v/>
      </c>
      <c r="F73" s="124">
        <f/>
        <v/>
      </c>
      <c r="G73" s="124">
        <f/>
        <v/>
      </c>
      <c r="H73" s="124">
        <f/>
        <v/>
      </c>
      <c r="I73" s="124">
        <f/>
        <v/>
      </c>
      <c r="J73" s="124">
        <f/>
        <v/>
      </c>
      <c r="K73" s="124">
        <f/>
        <v/>
      </c>
      <c r="L73" s="124">
        <f/>
        <v/>
      </c>
      <c r="M73" s="124">
        <f/>
        <v/>
      </c>
      <c r="N73" s="124">
        <f/>
        <v/>
      </c>
      <c r="O73" s="124">
        <f/>
        <v/>
      </c>
    </row>
    <row r="74">
      <c r="B74" s="75">
        <f/>
        <v/>
      </c>
      <c r="C74" s="124">
        <f/>
        <v/>
      </c>
      <c r="D74" s="124">
        <f/>
        <v/>
      </c>
      <c r="E74" s="124">
        <f/>
        <v/>
      </c>
      <c r="F74" s="124">
        <f/>
        <v/>
      </c>
      <c r="G74" s="124">
        <f/>
        <v/>
      </c>
      <c r="H74" s="124">
        <f/>
        <v/>
      </c>
      <c r="I74" s="124">
        <f/>
        <v/>
      </c>
      <c r="J74" s="124">
        <f/>
        <v/>
      </c>
      <c r="K74" s="124">
        <f/>
        <v/>
      </c>
      <c r="L74" s="124">
        <f/>
        <v/>
      </c>
      <c r="M74" s="124">
        <f/>
        <v/>
      </c>
      <c r="N74" s="124">
        <f/>
        <v/>
      </c>
      <c r="O74" s="124">
        <f/>
        <v/>
      </c>
    </row>
    <row r="75">
      <c r="B75" s="75">
        <f/>
        <v/>
      </c>
      <c r="C75" s="124">
        <f/>
        <v/>
      </c>
      <c r="D75" s="124">
        <f/>
        <v/>
      </c>
      <c r="E75" s="124">
        <f/>
        <v/>
      </c>
      <c r="F75" s="124">
        <f/>
        <v/>
      </c>
      <c r="G75" s="124">
        <f/>
        <v/>
      </c>
      <c r="H75" s="124">
        <f/>
        <v/>
      </c>
      <c r="I75" s="124">
        <f/>
        <v/>
      </c>
      <c r="J75" s="124">
        <f/>
        <v/>
      </c>
      <c r="K75" s="124">
        <f/>
        <v/>
      </c>
      <c r="L75" s="124">
        <f/>
        <v/>
      </c>
      <c r="M75" s="124">
        <f/>
        <v/>
      </c>
      <c r="N75" s="124">
        <f/>
        <v/>
      </c>
      <c r="O75" s="124">
        <f/>
        <v/>
      </c>
    </row>
    <row r="76">
      <c r="B76" s="75">
        <f/>
        <v/>
      </c>
      <c r="C76" s="124">
        <f/>
        <v/>
      </c>
      <c r="D76" s="124">
        <f/>
        <v/>
      </c>
      <c r="E76" s="124">
        <f/>
        <v/>
      </c>
      <c r="F76" s="124">
        <f/>
        <v/>
      </c>
      <c r="G76" s="124">
        <f/>
        <v/>
      </c>
      <c r="H76" s="124">
        <f/>
        <v/>
      </c>
      <c r="I76" s="124">
        <f/>
        <v/>
      </c>
      <c r="J76" s="124">
        <f/>
        <v/>
      </c>
      <c r="K76" s="124">
        <f/>
        <v/>
      </c>
      <c r="L76" s="124">
        <f/>
        <v/>
      </c>
      <c r="M76" s="124">
        <f/>
        <v/>
      </c>
      <c r="N76" s="124">
        <f/>
        <v/>
      </c>
      <c r="O76" s="124">
        <f/>
        <v/>
      </c>
    </row>
    <row r="77">
      <c r="B77" s="75">
        <f/>
        <v/>
      </c>
      <c r="C77" s="124">
        <f/>
        <v/>
      </c>
      <c r="D77" s="124">
        <f/>
        <v/>
      </c>
      <c r="E77" s="124">
        <f/>
        <v/>
      </c>
      <c r="F77" s="124">
        <f/>
        <v/>
      </c>
      <c r="G77" s="124">
        <f/>
        <v/>
      </c>
      <c r="H77" s="124">
        <f/>
        <v/>
      </c>
      <c r="I77" s="124">
        <f/>
        <v/>
      </c>
      <c r="J77" s="124">
        <f/>
        <v/>
      </c>
      <c r="K77" s="124">
        <f/>
        <v/>
      </c>
      <c r="L77" s="124">
        <f/>
        <v/>
      </c>
      <c r="M77" s="124">
        <f/>
        <v/>
      </c>
      <c r="N77" s="124">
        <f/>
        <v/>
      </c>
      <c r="O77" s="124">
        <f/>
        <v/>
      </c>
    </row>
    <row r="78">
      <c r="B78" s="75">
        <f/>
        <v/>
      </c>
      <c r="C78" s="124">
        <f/>
        <v/>
      </c>
      <c r="D78" s="124">
        <f/>
        <v/>
      </c>
      <c r="E78" s="124">
        <f/>
        <v/>
      </c>
      <c r="F78" s="124">
        <f/>
        <v/>
      </c>
      <c r="G78" s="124">
        <f/>
        <v/>
      </c>
      <c r="H78" s="124">
        <f/>
        <v/>
      </c>
      <c r="I78" s="124">
        <f/>
        <v/>
      </c>
      <c r="J78" s="124">
        <f/>
        <v/>
      </c>
      <c r="K78" s="124">
        <f/>
        <v/>
      </c>
      <c r="L78" s="124">
        <f/>
        <v/>
      </c>
      <c r="M78" s="124">
        <f/>
        <v/>
      </c>
      <c r="N78" s="124">
        <f/>
        <v/>
      </c>
      <c r="O78" s="124">
        <f/>
        <v/>
      </c>
    </row>
    <row r="79">
      <c r="B79" s="75">
        <f/>
        <v/>
      </c>
      <c r="C79" s="124">
        <f/>
        <v/>
      </c>
      <c r="D79" s="124">
        <f/>
        <v/>
      </c>
      <c r="E79" s="124">
        <f/>
        <v/>
      </c>
      <c r="F79" s="124">
        <f/>
        <v/>
      </c>
      <c r="G79" s="124">
        <f/>
        <v/>
      </c>
      <c r="H79" s="124">
        <f/>
        <v/>
      </c>
      <c r="I79" s="124">
        <f/>
        <v/>
      </c>
      <c r="J79" s="124">
        <f/>
        <v/>
      </c>
      <c r="K79" s="124">
        <f/>
        <v/>
      </c>
      <c r="L79" s="124">
        <f/>
        <v/>
      </c>
      <c r="M79" s="124">
        <f/>
        <v/>
      </c>
      <c r="N79" s="124">
        <f/>
        <v/>
      </c>
      <c r="O79" s="124">
        <f/>
        <v/>
      </c>
    </row>
    <row r="80">
      <c r="B80" s="75">
        <f/>
        <v/>
      </c>
      <c r="C80" s="124">
        <f/>
        <v/>
      </c>
      <c r="D80" s="124">
        <f/>
        <v/>
      </c>
      <c r="E80" s="124">
        <f/>
        <v/>
      </c>
      <c r="F80" s="124">
        <f/>
        <v/>
      </c>
      <c r="G80" s="124">
        <f/>
        <v/>
      </c>
      <c r="H80" s="124">
        <f/>
        <v/>
      </c>
      <c r="I80" s="124">
        <f/>
        <v/>
      </c>
      <c r="J80" s="124">
        <f/>
        <v/>
      </c>
      <c r="K80" s="124">
        <f/>
        <v/>
      </c>
      <c r="L80" s="124">
        <f/>
        <v/>
      </c>
      <c r="M80" s="124">
        <f/>
        <v/>
      </c>
      <c r="N80" s="124">
        <f/>
        <v/>
      </c>
      <c r="O80" s="124">
        <f/>
        <v/>
      </c>
    </row>
    <row r="81">
      <c r="B81" s="75">
        <f/>
        <v/>
      </c>
      <c r="C81" s="124">
        <f/>
        <v/>
      </c>
      <c r="D81" s="124">
        <f/>
        <v/>
      </c>
      <c r="E81" s="124">
        <f/>
        <v/>
      </c>
      <c r="F81" s="124">
        <f/>
        <v/>
      </c>
      <c r="G81" s="124">
        <f/>
        <v/>
      </c>
      <c r="H81" s="124">
        <f/>
        <v/>
      </c>
      <c r="I81" s="124">
        <f/>
        <v/>
      </c>
      <c r="J81" s="124">
        <f/>
        <v/>
      </c>
      <c r="K81" s="124">
        <f/>
        <v/>
      </c>
      <c r="L81" s="124">
        <f/>
        <v/>
      </c>
      <c r="M81" s="124">
        <f/>
        <v/>
      </c>
      <c r="N81" s="124">
        <f/>
        <v/>
      </c>
      <c r="O81" s="124">
        <f/>
        <v/>
      </c>
    </row>
    <row r="82">
      <c r="B82" s="75">
        <f/>
        <v/>
      </c>
      <c r="C82" s="124">
        <f/>
        <v/>
      </c>
      <c r="D82" s="124">
        <f/>
        <v/>
      </c>
      <c r="E82" s="124">
        <f/>
        <v/>
      </c>
      <c r="F82" s="124">
        <f/>
        <v/>
      </c>
      <c r="G82" s="124">
        <f/>
        <v/>
      </c>
      <c r="H82" s="124">
        <f/>
        <v/>
      </c>
      <c r="I82" s="124">
        <f/>
        <v/>
      </c>
      <c r="J82" s="124">
        <f/>
        <v/>
      </c>
      <c r="K82" s="124">
        <f/>
        <v/>
      </c>
      <c r="L82" s="124">
        <f/>
        <v/>
      </c>
      <c r="M82" s="124">
        <f/>
        <v/>
      </c>
      <c r="N82" s="124">
        <f/>
        <v/>
      </c>
      <c r="O82" s="124">
        <f/>
        <v/>
      </c>
    </row>
    <row r="83">
      <c r="B83" s="75">
        <f/>
        <v/>
      </c>
      <c r="C83" s="124">
        <f/>
        <v/>
      </c>
      <c r="D83" s="124">
        <f/>
        <v/>
      </c>
      <c r="E83" s="124">
        <f/>
        <v/>
      </c>
      <c r="F83" s="124">
        <f/>
        <v/>
      </c>
      <c r="G83" s="124">
        <f/>
        <v/>
      </c>
      <c r="H83" s="124">
        <f/>
        <v/>
      </c>
      <c r="I83" s="124">
        <f/>
        <v/>
      </c>
      <c r="J83" s="124">
        <f/>
        <v/>
      </c>
      <c r="K83" s="124">
        <f/>
        <v/>
      </c>
      <c r="L83" s="124">
        <f/>
        <v/>
      </c>
      <c r="M83" s="124">
        <f/>
        <v/>
      </c>
      <c r="N83" s="124">
        <f/>
        <v/>
      </c>
      <c r="O83" s="124">
        <f/>
        <v/>
      </c>
    </row>
    <row r="84">
      <c r="B84" s="75">
        <f/>
        <v/>
      </c>
      <c r="C84" s="124">
        <f/>
        <v/>
      </c>
      <c r="D84" s="124">
        <f/>
        <v/>
      </c>
      <c r="E84" s="124">
        <f/>
        <v/>
      </c>
      <c r="F84" s="124">
        <f/>
        <v/>
      </c>
      <c r="G84" s="124">
        <f/>
        <v/>
      </c>
      <c r="H84" s="124">
        <f/>
        <v/>
      </c>
      <c r="I84" s="124">
        <f/>
        <v/>
      </c>
      <c r="J84" s="124">
        <f/>
        <v/>
      </c>
      <c r="K84" s="124">
        <f/>
        <v/>
      </c>
      <c r="L84" s="124">
        <f/>
        <v/>
      </c>
      <c r="M84" s="124">
        <f/>
        <v/>
      </c>
      <c r="N84" s="124">
        <f/>
        <v/>
      </c>
      <c r="O84" s="124">
        <f/>
        <v/>
      </c>
    </row>
    <row r="85">
      <c r="B85" s="75">
        <f/>
        <v/>
      </c>
      <c r="C85" s="124">
        <f/>
        <v/>
      </c>
      <c r="D85" s="124">
        <f/>
        <v/>
      </c>
      <c r="E85" s="124">
        <f/>
        <v/>
      </c>
      <c r="F85" s="124">
        <f/>
        <v/>
      </c>
      <c r="G85" s="124">
        <f/>
        <v/>
      </c>
      <c r="H85" s="124">
        <f/>
        <v/>
      </c>
      <c r="I85" s="124">
        <f/>
        <v/>
      </c>
      <c r="J85" s="124">
        <f/>
        <v/>
      </c>
      <c r="K85" s="124">
        <f/>
        <v/>
      </c>
      <c r="L85" s="124">
        <f/>
        <v/>
      </c>
      <c r="M85" s="124">
        <f/>
        <v/>
      </c>
      <c r="N85" s="124">
        <f/>
        <v/>
      </c>
      <c r="O85" s="124">
        <f/>
        <v/>
      </c>
    </row>
    <row r="86">
      <c r="B86" s="75">
        <f/>
        <v/>
      </c>
      <c r="C86" s="124">
        <f/>
        <v/>
      </c>
      <c r="D86" s="124">
        <f/>
        <v/>
      </c>
      <c r="E86" s="124">
        <f/>
        <v/>
      </c>
      <c r="F86" s="124">
        <f/>
        <v/>
      </c>
      <c r="G86" s="124">
        <f/>
        <v/>
      </c>
      <c r="H86" s="124">
        <f/>
        <v/>
      </c>
      <c r="I86" s="124">
        <f/>
        <v/>
      </c>
      <c r="J86" s="124">
        <f/>
        <v/>
      </c>
      <c r="K86" s="124">
        <f/>
        <v/>
      </c>
      <c r="L86" s="124">
        <f/>
        <v/>
      </c>
      <c r="M86" s="124">
        <f/>
        <v/>
      </c>
      <c r="N86" s="124">
        <f/>
        <v/>
      </c>
      <c r="O86" s="124">
        <f/>
        <v/>
      </c>
    </row>
    <row r="87">
      <c r="B87" s="75" t="n"/>
      <c r="C87" s="124">
        <f/>
        <v/>
      </c>
      <c r="D87" s="124">
        <f/>
        <v/>
      </c>
      <c r="E87" s="124">
        <f/>
        <v/>
      </c>
      <c r="F87" s="124">
        <f/>
        <v/>
      </c>
      <c r="G87" s="124">
        <f/>
        <v/>
      </c>
      <c r="H87" s="124">
        <f/>
        <v/>
      </c>
      <c r="I87" s="124">
        <f/>
        <v/>
      </c>
      <c r="J87" s="124">
        <f/>
        <v/>
      </c>
      <c r="K87" s="124">
        <f/>
        <v/>
      </c>
      <c r="L87" s="124">
        <f/>
        <v/>
      </c>
      <c r="M87" s="124">
        <f/>
        <v/>
      </c>
      <c r="N87" s="124">
        <f/>
        <v/>
      </c>
      <c r="O87" s="124" t="n"/>
    </row>
    <row r="88">
      <c r="B88" s="75" t="n"/>
      <c r="C88" s="124">
        <f/>
        <v/>
      </c>
      <c r="D88" s="124">
        <f/>
        <v/>
      </c>
      <c r="E88" s="124">
        <f/>
        <v/>
      </c>
      <c r="F88" s="124">
        <f/>
        <v/>
      </c>
      <c r="G88" s="124">
        <f/>
        <v/>
      </c>
      <c r="H88" s="124">
        <f/>
        <v/>
      </c>
      <c r="I88" s="124">
        <f/>
        <v/>
      </c>
      <c r="J88" s="124">
        <f/>
        <v/>
      </c>
      <c r="K88" s="124">
        <f/>
        <v/>
      </c>
      <c r="L88" s="124">
        <f/>
        <v/>
      </c>
      <c r="M88" s="124">
        <f/>
        <v/>
      </c>
      <c r="N88" s="124">
        <f/>
        <v/>
      </c>
      <c r="O88" s="124" t="n"/>
    </row>
    <row r="89">
      <c r="B89" s="75" t="n"/>
      <c r="C89" s="124">
        <f/>
        <v/>
      </c>
      <c r="D89" s="124">
        <f/>
        <v/>
      </c>
      <c r="E89" s="124">
        <f/>
        <v/>
      </c>
      <c r="F89" s="124">
        <f/>
        <v/>
      </c>
      <c r="G89" s="124">
        <f/>
        <v/>
      </c>
      <c r="H89" s="124">
        <f/>
        <v/>
      </c>
      <c r="I89" s="124">
        <f/>
        <v/>
      </c>
      <c r="J89" s="124">
        <f/>
        <v/>
      </c>
      <c r="K89" s="124">
        <f/>
        <v/>
      </c>
      <c r="L89" s="124">
        <f/>
        <v/>
      </c>
      <c r="M89" s="124">
        <f/>
        <v/>
      </c>
      <c r="N89" s="124">
        <f/>
        <v/>
      </c>
      <c r="O89" s="124" t="n"/>
    </row>
    <row r="90">
      <c r="B90" s="75" t="n"/>
      <c r="C90" s="124">
        <f/>
        <v/>
      </c>
      <c r="D90" s="124">
        <f/>
        <v/>
      </c>
      <c r="E90" s="124">
        <f/>
        <v/>
      </c>
      <c r="F90" s="124">
        <f/>
        <v/>
      </c>
      <c r="G90" s="124">
        <f/>
        <v/>
      </c>
      <c r="H90" s="124">
        <f/>
        <v/>
      </c>
      <c r="I90" s="124">
        <f/>
        <v/>
      </c>
      <c r="J90" s="124">
        <f/>
        <v/>
      </c>
      <c r="K90" s="124">
        <f/>
        <v/>
      </c>
      <c r="L90" s="124">
        <f/>
        <v/>
      </c>
      <c r="M90" s="124">
        <f/>
        <v/>
      </c>
      <c r="N90" s="124">
        <f/>
        <v/>
      </c>
      <c r="O90" s="124" t="n"/>
    </row>
    <row r="91">
      <c r="B91" s="75" t="n"/>
      <c r="C91" s="124">
        <f/>
        <v/>
      </c>
      <c r="D91" s="124">
        <f/>
        <v/>
      </c>
      <c r="E91" s="124">
        <f/>
        <v/>
      </c>
      <c r="F91" s="124">
        <f/>
        <v/>
      </c>
      <c r="G91" s="124">
        <f/>
        <v/>
      </c>
      <c r="H91" s="124">
        <f/>
        <v/>
      </c>
      <c r="I91" s="124">
        <f/>
        <v/>
      </c>
      <c r="J91" s="124">
        <f/>
        <v/>
      </c>
      <c r="K91" s="124">
        <f/>
        <v/>
      </c>
      <c r="L91" s="124">
        <f/>
        <v/>
      </c>
      <c r="M91" s="124">
        <f/>
        <v/>
      </c>
      <c r="N91" s="124">
        <f/>
        <v/>
      </c>
      <c r="O91" s="124" t="n"/>
    </row>
    <row r="92">
      <c r="B92" s="75" t="n"/>
      <c r="C92" s="124">
        <f/>
        <v/>
      </c>
      <c r="D92" s="124">
        <f/>
        <v/>
      </c>
      <c r="E92" s="124">
        <f/>
        <v/>
      </c>
      <c r="F92" s="124">
        <f/>
        <v/>
      </c>
      <c r="G92" s="124">
        <f/>
        <v/>
      </c>
      <c r="H92" s="124">
        <f/>
        <v/>
      </c>
      <c r="I92" s="124">
        <f/>
        <v/>
      </c>
      <c r="J92" s="124">
        <f/>
        <v/>
      </c>
      <c r="K92" s="124">
        <f/>
        <v/>
      </c>
      <c r="L92" s="124">
        <f/>
        <v/>
      </c>
      <c r="M92" s="124">
        <f/>
        <v/>
      </c>
      <c r="N92" s="124">
        <f/>
        <v/>
      </c>
      <c r="O92" s="124" t="n"/>
    </row>
    <row r="93">
      <c r="B93" s="75" t="n"/>
      <c r="C93" s="124">
        <f/>
        <v/>
      </c>
      <c r="D93" s="124">
        <f/>
        <v/>
      </c>
      <c r="E93" s="124">
        <f/>
        <v/>
      </c>
      <c r="F93" s="124">
        <f/>
        <v/>
      </c>
      <c r="G93" s="124">
        <f/>
        <v/>
      </c>
      <c r="H93" s="124">
        <f/>
        <v/>
      </c>
      <c r="I93" s="124">
        <f/>
        <v/>
      </c>
      <c r="J93" s="124">
        <f/>
        <v/>
      </c>
      <c r="K93" s="124">
        <f/>
        <v/>
      </c>
      <c r="L93" s="124">
        <f/>
        <v/>
      </c>
      <c r="M93" s="124">
        <f/>
        <v/>
      </c>
      <c r="N93" s="124">
        <f/>
        <v/>
      </c>
      <c r="O93" s="124" t="n"/>
    </row>
    <row r="94">
      <c r="B94" s="75" t="n"/>
      <c r="C94" s="124">
        <f/>
        <v/>
      </c>
      <c r="D94" s="124">
        <f/>
        <v/>
      </c>
      <c r="E94" s="124">
        <f/>
        <v/>
      </c>
      <c r="F94" s="124">
        <f/>
        <v/>
      </c>
      <c r="G94" s="124">
        <f/>
        <v/>
      </c>
      <c r="H94" s="124">
        <f/>
        <v/>
      </c>
      <c r="I94" s="124">
        <f/>
        <v/>
      </c>
      <c r="J94" s="124">
        <f/>
        <v/>
      </c>
      <c r="K94" s="124">
        <f/>
        <v/>
      </c>
      <c r="L94" s="124">
        <f/>
        <v/>
      </c>
      <c r="M94" s="124">
        <f/>
        <v/>
      </c>
      <c r="N94" s="124">
        <f/>
        <v/>
      </c>
      <c r="O94" s="124" t="n"/>
    </row>
    <row r="95">
      <c r="B95" s="75" t="n"/>
      <c r="C95" s="124">
        <f/>
        <v/>
      </c>
      <c r="D95" s="124">
        <f/>
        <v/>
      </c>
      <c r="E95" s="124">
        <f/>
        <v/>
      </c>
      <c r="F95" s="124">
        <f/>
        <v/>
      </c>
      <c r="G95" s="124">
        <f/>
        <v/>
      </c>
      <c r="H95" s="124">
        <f/>
        <v/>
      </c>
      <c r="I95" s="124">
        <f/>
        <v/>
      </c>
      <c r="J95" s="124">
        <f/>
        <v/>
      </c>
      <c r="K95" s="124">
        <f/>
        <v/>
      </c>
      <c r="L95" s="124">
        <f/>
        <v/>
      </c>
      <c r="M95" s="124">
        <f/>
        <v/>
      </c>
      <c r="N95" s="124">
        <f/>
        <v/>
      </c>
      <c r="O95" s="124" t="n"/>
    </row>
    <row r="96">
      <c r="B96" s="75" t="n"/>
      <c r="C96" s="124">
        <f/>
        <v/>
      </c>
      <c r="D96" s="124">
        <f/>
        <v/>
      </c>
      <c r="E96" s="124">
        <f/>
        <v/>
      </c>
      <c r="F96" s="124">
        <f/>
        <v/>
      </c>
      <c r="G96" s="124">
        <f/>
        <v/>
      </c>
      <c r="H96" s="124">
        <f/>
        <v/>
      </c>
      <c r="I96" s="124">
        <f/>
        <v/>
      </c>
      <c r="J96" s="124">
        <f/>
        <v/>
      </c>
      <c r="K96" s="124">
        <f/>
        <v/>
      </c>
      <c r="L96" s="124">
        <f/>
        <v/>
      </c>
      <c r="M96" s="124">
        <f/>
        <v/>
      </c>
      <c r="N96" s="124">
        <f/>
        <v/>
      </c>
      <c r="O96" s="124" t="n"/>
    </row>
    <row r="97">
      <c r="B97" s="75" t="n"/>
      <c r="C97" s="124">
        <f/>
        <v/>
      </c>
      <c r="D97" s="124">
        <f/>
        <v/>
      </c>
      <c r="E97" s="124">
        <f/>
        <v/>
      </c>
      <c r="F97" s="124">
        <f/>
        <v/>
      </c>
      <c r="G97" s="124">
        <f/>
        <v/>
      </c>
      <c r="H97" s="124">
        <f/>
        <v/>
      </c>
      <c r="I97" s="124">
        <f/>
        <v/>
      </c>
      <c r="J97" s="124">
        <f/>
        <v/>
      </c>
      <c r="K97" s="124">
        <f/>
        <v/>
      </c>
      <c r="L97" s="124">
        <f/>
        <v/>
      </c>
      <c r="M97" s="124">
        <f/>
        <v/>
      </c>
      <c r="N97" s="124">
        <f/>
        <v/>
      </c>
      <c r="O97" s="124" t="n"/>
    </row>
    <row r="98">
      <c r="B98" s="75" t="n"/>
      <c r="C98" s="124">
        <f/>
        <v/>
      </c>
      <c r="D98" s="124">
        <f/>
        <v/>
      </c>
      <c r="E98" s="124">
        <f/>
        <v/>
      </c>
      <c r="F98" s="124">
        <f/>
        <v/>
      </c>
      <c r="G98" s="124">
        <f/>
        <v/>
      </c>
      <c r="H98" s="124">
        <f/>
        <v/>
      </c>
      <c r="I98" s="124">
        <f/>
        <v/>
      </c>
      <c r="J98" s="124">
        <f/>
        <v/>
      </c>
      <c r="K98" s="124">
        <f/>
        <v/>
      </c>
      <c r="L98" s="124">
        <f/>
        <v/>
      </c>
      <c r="M98" s="124">
        <f/>
        <v/>
      </c>
      <c r="N98" s="124">
        <f/>
        <v/>
      </c>
      <c r="O98" s="124" t="n"/>
    </row>
    <row r="99">
      <c r="B99" s="75" t="n"/>
      <c r="C99" s="124">
        <f/>
        <v/>
      </c>
      <c r="D99" s="124">
        <f/>
        <v/>
      </c>
      <c r="E99" s="124">
        <f/>
        <v/>
      </c>
      <c r="F99" s="124">
        <f/>
        <v/>
      </c>
      <c r="G99" s="124">
        <f/>
        <v/>
      </c>
      <c r="H99" s="124">
        <f/>
        <v/>
      </c>
      <c r="I99" s="124">
        <f/>
        <v/>
      </c>
      <c r="J99" s="124">
        <f/>
        <v/>
      </c>
      <c r="K99" s="124">
        <f/>
        <v/>
      </c>
      <c r="L99" s="124">
        <f/>
        <v/>
      </c>
      <c r="M99" s="124">
        <f/>
        <v/>
      </c>
      <c r="N99" s="124">
        <f/>
        <v/>
      </c>
      <c r="O99" s="124" t="n"/>
    </row>
    <row r="100">
      <c r="B100" s="75" t="n"/>
      <c r="C100" s="124">
        <f/>
        <v/>
      </c>
      <c r="D100" s="124">
        <f/>
        <v/>
      </c>
      <c r="E100" s="124">
        <f/>
        <v/>
      </c>
      <c r="F100" s="124">
        <f/>
        <v/>
      </c>
      <c r="G100" s="124">
        <f/>
        <v/>
      </c>
      <c r="H100" s="124">
        <f/>
        <v/>
      </c>
      <c r="I100" s="124">
        <f/>
        <v/>
      </c>
      <c r="J100" s="124">
        <f/>
        <v/>
      </c>
      <c r="K100" s="124">
        <f/>
        <v/>
      </c>
      <c r="L100" s="124">
        <f/>
        <v/>
      </c>
      <c r="M100" s="124">
        <f/>
        <v/>
      </c>
      <c r="N100" s="124">
        <f/>
        <v/>
      </c>
      <c r="O100" s="124" t="n"/>
    </row>
    <row r="101">
      <c r="B101" s="75" t="n"/>
      <c r="C101" s="124">
        <f/>
        <v/>
      </c>
      <c r="D101" s="124">
        <f/>
        <v/>
      </c>
      <c r="E101" s="124">
        <f/>
        <v/>
      </c>
      <c r="F101" s="124">
        <f/>
        <v/>
      </c>
      <c r="G101" s="124">
        <f/>
        <v/>
      </c>
      <c r="H101" s="124">
        <f/>
        <v/>
      </c>
      <c r="I101" s="124">
        <f/>
        <v/>
      </c>
      <c r="J101" s="124">
        <f/>
        <v/>
      </c>
      <c r="K101" s="124">
        <f/>
        <v/>
      </c>
      <c r="L101" s="124">
        <f/>
        <v/>
      </c>
      <c r="M101" s="124">
        <f/>
        <v/>
      </c>
      <c r="N101" s="124">
        <f/>
        <v/>
      </c>
      <c r="O101" s="124" t="n"/>
    </row>
    <row r="102">
      <c r="B102" s="75" t="n"/>
      <c r="C102" s="124">
        <f/>
        <v/>
      </c>
      <c r="D102" s="124">
        <f/>
        <v/>
      </c>
      <c r="E102" s="124">
        <f/>
        <v/>
      </c>
      <c r="F102" s="124">
        <f/>
        <v/>
      </c>
      <c r="G102" s="124">
        <f/>
        <v/>
      </c>
      <c r="H102" s="124">
        <f/>
        <v/>
      </c>
      <c r="I102" s="124">
        <f/>
        <v/>
      </c>
      <c r="J102" s="124">
        <f/>
        <v/>
      </c>
      <c r="K102" s="124">
        <f/>
        <v/>
      </c>
      <c r="L102" s="124">
        <f/>
        <v/>
      </c>
      <c r="M102" s="124">
        <f/>
        <v/>
      </c>
      <c r="N102" s="124">
        <f/>
        <v/>
      </c>
      <c r="O102" s="124" t="n"/>
    </row>
    <row r="103">
      <c r="B103" s="75" t="n"/>
      <c r="C103" s="124" t="n"/>
      <c r="D103" s="124" t="n"/>
      <c r="E103" s="124" t="n"/>
      <c r="F103" s="124" t="n"/>
      <c r="G103" s="124" t="n"/>
      <c r="H103" s="124" t="n"/>
      <c r="I103" s="124" t="n"/>
      <c r="J103" s="124" t="n"/>
      <c r="K103" s="124" t="n"/>
      <c r="L103" s="124" t="n"/>
      <c r="M103" s="124" t="n"/>
      <c r="N103" s="124" t="n"/>
      <c r="O103" s="124" t="n"/>
    </row>
    <row r="104">
      <c r="B104" s="75" t="n"/>
      <c r="C104" s="124" t="n"/>
      <c r="D104" s="124" t="n"/>
      <c r="E104" s="124" t="n"/>
      <c r="F104" s="124" t="n"/>
      <c r="G104" s="124" t="n"/>
      <c r="H104" s="124" t="n"/>
      <c r="I104" s="124" t="n"/>
      <c r="J104" s="124" t="n"/>
      <c r="K104" s="124" t="n"/>
      <c r="L104" s="124" t="n"/>
      <c r="M104" s="124" t="n"/>
      <c r="N104" s="124" t="n"/>
      <c r="O104" s="124" t="n"/>
    </row>
    <row r="105">
      <c r="B105" s="75" t="n"/>
      <c r="C105" s="124" t="n"/>
      <c r="D105" s="124" t="n"/>
      <c r="E105" s="124" t="n"/>
      <c r="F105" s="124" t="n"/>
      <c r="G105" s="124" t="n"/>
      <c r="H105" s="124" t="n"/>
      <c r="I105" s="124" t="n"/>
      <c r="J105" s="124" t="n"/>
      <c r="K105" s="124" t="n"/>
      <c r="L105" s="124" t="n"/>
      <c r="M105" s="124" t="n"/>
      <c r="N105" s="124" t="n"/>
      <c r="O105" s="124" t="n"/>
    </row>
    <row r="106">
      <c r="B106" s="75" t="n"/>
      <c r="C106" s="124" t="n"/>
      <c r="D106" s="124" t="n"/>
      <c r="E106" s="124" t="n"/>
      <c r="F106" s="124" t="n"/>
      <c r="G106" s="124" t="n"/>
      <c r="H106" s="124" t="n"/>
      <c r="I106" s="124" t="n"/>
      <c r="J106" s="124" t="n"/>
      <c r="K106" s="124" t="n"/>
      <c r="L106" s="124" t="n"/>
      <c r="M106" s="124" t="n"/>
      <c r="N106" s="124" t="n"/>
      <c r="O106" s="124" t="n"/>
    </row>
    <row r="107">
      <c r="B107" s="75" t="n"/>
      <c r="C107" s="124" t="n"/>
      <c r="D107" s="124" t="n"/>
      <c r="E107" s="124" t="n"/>
      <c r="F107" s="124" t="n"/>
      <c r="G107" s="124" t="n"/>
      <c r="H107" s="124" t="n"/>
      <c r="I107" s="124" t="n"/>
      <c r="J107" s="124" t="n"/>
      <c r="K107" s="124" t="n"/>
      <c r="L107" s="124" t="n"/>
      <c r="M107" s="124" t="n"/>
      <c r="N107" s="124" t="n"/>
      <c r="O107" s="124" t="n"/>
    </row>
    <row r="108">
      <c r="B108" s="75" t="n"/>
      <c r="C108" s="124" t="n"/>
      <c r="D108" s="124" t="n"/>
      <c r="E108" s="124" t="n"/>
      <c r="F108" s="124" t="n"/>
      <c r="G108" s="124" t="n"/>
      <c r="H108" s="124" t="n"/>
      <c r="I108" s="124" t="n"/>
      <c r="J108" s="124" t="n"/>
      <c r="K108" s="124" t="n"/>
      <c r="L108" s="124" t="n"/>
      <c r="M108" s="124" t="n"/>
      <c r="N108" s="124" t="n"/>
      <c r="O108" s="124" t="n"/>
    </row>
    <row r="109">
      <c r="B109" s="75" t="n"/>
      <c r="C109" s="124" t="n"/>
      <c r="D109" s="124" t="n"/>
      <c r="E109" s="124" t="n"/>
      <c r="F109" s="124" t="n"/>
      <c r="G109" s="124" t="n"/>
      <c r="H109" s="124" t="n"/>
      <c r="I109" s="124" t="n"/>
      <c r="J109" s="124" t="n"/>
      <c r="K109" s="124" t="n"/>
      <c r="L109" s="124" t="n"/>
      <c r="M109" s="124" t="n"/>
      <c r="N109" s="124" t="n"/>
      <c r="O109" s="124" t="n"/>
    </row>
    <row r="110">
      <c r="B110" s="75" t="n"/>
      <c r="C110" s="124" t="n"/>
      <c r="D110" s="124" t="n"/>
      <c r="E110" s="124" t="n"/>
      <c r="F110" s="124" t="n"/>
      <c r="G110" s="124" t="n"/>
      <c r="H110" s="124" t="n"/>
      <c r="I110" s="124" t="n"/>
      <c r="J110" s="124" t="n"/>
      <c r="K110" s="124" t="n"/>
      <c r="L110" s="124" t="n"/>
      <c r="M110" s="124" t="n"/>
      <c r="N110" s="124" t="n"/>
      <c r="O110" s="124" t="n"/>
    </row>
    <row r="111">
      <c r="B111" s="75" t="n"/>
      <c r="C111" s="124" t="n"/>
      <c r="D111" s="124" t="n"/>
      <c r="E111" s="124" t="n"/>
      <c r="F111" s="124" t="n"/>
      <c r="G111" s="124" t="n"/>
      <c r="H111" s="124" t="n"/>
      <c r="I111" s="124" t="n"/>
      <c r="J111" s="124" t="n"/>
      <c r="K111" s="124" t="n"/>
      <c r="L111" s="124" t="n"/>
      <c r="M111" s="124" t="n"/>
      <c r="N111" s="124" t="n"/>
      <c r="O111" s="124" t="n"/>
    </row>
    <row r="112">
      <c r="B112" s="75" t="n"/>
      <c r="C112" s="124" t="n"/>
      <c r="D112" s="124" t="n"/>
      <c r="E112" s="124" t="n"/>
      <c r="F112" s="124" t="n"/>
      <c r="G112" s="124" t="n"/>
      <c r="H112" s="124" t="n"/>
      <c r="I112" s="124" t="n"/>
      <c r="J112" s="124" t="n"/>
      <c r="K112" s="124" t="n"/>
      <c r="L112" s="124" t="n"/>
      <c r="M112" s="124" t="n"/>
      <c r="N112" s="124" t="n"/>
      <c r="O112" s="124" t="n"/>
    </row>
    <row r="113">
      <c r="B113" s="75" t="n"/>
      <c r="C113" s="124" t="n"/>
      <c r="D113" s="124" t="n"/>
      <c r="E113" s="124" t="n"/>
      <c r="F113" s="124" t="n"/>
      <c r="G113" s="124" t="n"/>
      <c r="H113" s="124" t="n"/>
      <c r="I113" s="124" t="n"/>
      <c r="J113" s="124" t="n"/>
      <c r="K113" s="124" t="n"/>
      <c r="L113" s="124" t="n"/>
      <c r="M113" s="124" t="n"/>
      <c r="N113" s="124" t="n"/>
      <c r="O113" s="124" t="n"/>
    </row>
    <row r="114">
      <c r="B114" s="75" t="n"/>
      <c r="C114" s="124" t="n"/>
      <c r="D114" s="124" t="n"/>
      <c r="E114" s="124" t="n"/>
      <c r="F114" s="124" t="n"/>
      <c r="G114" s="124" t="n"/>
      <c r="H114" s="124" t="n"/>
      <c r="I114" s="124" t="n"/>
      <c r="J114" s="124" t="n"/>
      <c r="K114" s="124" t="n"/>
      <c r="L114" s="124" t="n"/>
      <c r="M114" s="124" t="n"/>
      <c r="N114" s="124" t="n"/>
      <c r="O114" s="124" t="n"/>
    </row>
    <row r="115">
      <c r="B115" s="75" t="n"/>
      <c r="C115" s="124" t="n"/>
      <c r="D115" s="124" t="n"/>
      <c r="E115" s="124" t="n"/>
      <c r="F115" s="124" t="n"/>
      <c r="G115" s="124" t="n"/>
      <c r="H115" s="124" t="n"/>
      <c r="I115" s="124" t="n"/>
      <c r="J115" s="124" t="n"/>
      <c r="K115" s="124" t="n"/>
      <c r="L115" s="124" t="n"/>
      <c r="M115" s="124" t="n"/>
      <c r="N115" s="124" t="n"/>
      <c r="O115" s="124" t="n"/>
    </row>
    <row r="116">
      <c r="B116" s="75" t="n"/>
      <c r="C116" s="124" t="n"/>
      <c r="D116" s="124" t="n"/>
      <c r="E116" s="124" t="n"/>
      <c r="F116" s="124" t="n"/>
      <c r="G116" s="124" t="n"/>
      <c r="H116" s="124" t="n"/>
      <c r="I116" s="124" t="n"/>
      <c r="J116" s="124" t="n"/>
      <c r="K116" s="124" t="n"/>
      <c r="L116" s="124" t="n"/>
      <c r="M116" s="124" t="n"/>
      <c r="N116" s="124" t="n"/>
      <c r="O116" s="124" t="n"/>
    </row>
    <row r="117">
      <c r="B117" s="75" t="n"/>
      <c r="C117" s="124" t="n"/>
      <c r="D117" s="124" t="n"/>
      <c r="E117" s="124" t="n"/>
      <c r="F117" s="124" t="n"/>
      <c r="G117" s="124" t="n"/>
      <c r="H117" s="124" t="n"/>
      <c r="I117" s="124" t="n"/>
      <c r="J117" s="124" t="n"/>
      <c r="K117" s="124" t="n"/>
      <c r="L117" s="124" t="n"/>
      <c r="M117" s="124" t="n"/>
      <c r="N117" s="124" t="n"/>
      <c r="O117" s="124" t="n"/>
    </row>
    <row r="118">
      <c r="B118" s="75" t="n"/>
      <c r="C118" s="124" t="n"/>
      <c r="D118" s="124" t="n"/>
      <c r="E118" s="124" t="n"/>
      <c r="F118" s="124" t="n"/>
      <c r="G118" s="124" t="n"/>
      <c r="H118" s="124" t="n"/>
      <c r="I118" s="124" t="n"/>
      <c r="J118" s="124" t="n"/>
      <c r="K118" s="124" t="n"/>
      <c r="L118" s="124" t="n"/>
      <c r="M118" s="124" t="n"/>
      <c r="N118" s="124" t="n"/>
      <c r="O118" s="124" t="n"/>
    </row>
    <row r="119">
      <c r="B119" s="75" t="n"/>
    </row>
    <row r="120" ht="14.4" customHeight="1" s="113">
      <c r="A120" s="11" t="n"/>
    </row>
    <row r="121" ht="14.4" customHeight="1" s="113">
      <c r="A121" s="37" t="n"/>
      <c r="B121" s="75" t="n"/>
    </row>
    <row r="122" ht="14.4" customHeight="1" s="113">
      <c r="A122" s="37" t="n"/>
      <c r="B122" s="75" t="n"/>
    </row>
    <row r="123">
      <c r="B123" s="75" t="n"/>
    </row>
    <row r="124">
      <c r="B124" s="75" t="n"/>
      <c r="C124" s="124" t="n"/>
      <c r="D124" s="124" t="n"/>
      <c r="E124" s="124" t="n"/>
      <c r="F124" s="124" t="n"/>
      <c r="G124" s="124" t="n"/>
      <c r="H124" s="124" t="n"/>
      <c r="I124" s="124" t="n"/>
      <c r="J124" s="124" t="n"/>
      <c r="K124" s="124" t="n"/>
      <c r="L124" s="124" t="n"/>
      <c r="M124" s="124" t="n"/>
      <c r="N124" s="124" t="n"/>
      <c r="O124" s="124" t="n"/>
    </row>
    <row r="125" ht="84.59999999999999" customHeight="1" s="113">
      <c r="B125" s="75" t="n"/>
      <c r="D125" s="124" t="n"/>
      <c r="E125" s="124" t="n"/>
      <c r="F125" s="124" t="n"/>
      <c r="G125" s="124" t="n"/>
      <c r="H125" s="124" t="n"/>
      <c r="I125" s="124" t="n"/>
      <c r="J125" s="124" t="n"/>
      <c r="K125" s="124" t="n"/>
      <c r="L125" s="124" t="n"/>
      <c r="M125" s="124" t="n"/>
      <c r="N125" s="124" t="n"/>
      <c r="O125" s="124" t="n"/>
      <c r="Q125" s="124" t="n"/>
    </row>
    <row r="126">
      <c r="B126" s="75" t="n"/>
      <c r="C126" s="124" t="n"/>
      <c r="D126" s="124" t="n"/>
      <c r="E126" s="124" t="n"/>
      <c r="F126" s="124" t="n"/>
      <c r="G126" s="124" t="n"/>
      <c r="H126" s="124" t="n"/>
      <c r="I126" s="124" t="n"/>
      <c r="J126" s="124" t="n"/>
      <c r="K126" s="124" t="n"/>
      <c r="L126" s="124" t="n"/>
      <c r="M126" s="124" t="n"/>
      <c r="N126" s="124" t="n"/>
      <c r="O126" s="124" t="n"/>
    </row>
    <row r="127">
      <c r="B127" s="75" t="n"/>
      <c r="C127" s="124" t="n"/>
      <c r="D127" s="124" t="n"/>
      <c r="E127" s="124" t="n"/>
      <c r="F127" s="124" t="n"/>
      <c r="G127" s="124" t="n"/>
      <c r="H127" s="124" t="n"/>
      <c r="I127" s="124" t="n"/>
      <c r="J127" s="124" t="n"/>
      <c r="K127" s="124" t="n"/>
      <c r="L127" s="124" t="n"/>
      <c r="M127" s="124" t="n"/>
      <c r="N127" s="124" t="n"/>
      <c r="O127" s="124" t="n"/>
    </row>
    <row r="128">
      <c r="B128" s="75" t="n"/>
      <c r="C128" s="124" t="n"/>
      <c r="D128" s="124" t="n"/>
      <c r="E128" s="124" t="n"/>
      <c r="F128" s="124" t="n"/>
      <c r="G128" s="124" t="n"/>
      <c r="H128" s="124" t="n"/>
      <c r="I128" s="124" t="n"/>
      <c r="J128" s="124" t="n"/>
      <c r="K128" s="124" t="n"/>
      <c r="L128" s="124" t="n"/>
      <c r="M128" s="124" t="n"/>
      <c r="N128" s="124" t="n"/>
      <c r="O128" s="124" t="n"/>
    </row>
    <row r="129">
      <c r="B129" s="75" t="n"/>
      <c r="C129" s="124" t="n"/>
      <c r="D129" s="124" t="n"/>
      <c r="E129" s="124" t="n"/>
      <c r="F129" s="124" t="n"/>
      <c r="G129" s="124" t="n"/>
      <c r="H129" s="124" t="n"/>
      <c r="I129" s="124" t="n"/>
      <c r="J129" s="124" t="n"/>
      <c r="K129" s="124" t="n"/>
      <c r="L129" s="124" t="n"/>
      <c r="M129" s="124" t="n"/>
      <c r="N129" s="124" t="n"/>
    </row>
    <row r="189">
      <c r="Q189" s="2" t="n"/>
    </row>
    <row r="190" ht="18" customHeight="1" s="113">
      <c r="A190" s="2" t="inlineStr">
        <is>
          <t>Lethrinus mahsena (LTQ) - Temporal Length-Frequency Analysis</t>
        </is>
      </c>
      <c r="B190" s="76" t="n"/>
    </row>
    <row r="191">
      <c r="A191" s="2" t="inlineStr">
        <is>
          <t>STOCK ASSESSMENT INDICATORS</t>
        </is>
      </c>
      <c r="B191" s="12" t="n"/>
      <c r="Q191" s="2" t="n"/>
      <c r="R191" s="2" t="n"/>
      <c r="S191" s="2" t="n"/>
      <c r="T191" s="2" t="n"/>
    </row>
    <row r="192" ht="18" customHeight="1" s="113">
      <c r="A192" s="2" t="inlineStr">
        <is>
          <t>Statistical Analysis Per Species</t>
        </is>
      </c>
      <c r="B192" s="76" t="n"/>
      <c r="Q192" s="2" t="n"/>
      <c r="R192" s="2" t="n"/>
      <c r="T192" s="2" t="n"/>
    </row>
    <row r="193">
      <c r="A193" s="2" t="inlineStr">
        <is>
          <t>Sample Size (n)</t>
        </is>
      </c>
      <c r="B193" s="77" t="n"/>
      <c r="C193" t="n">
        <v>15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Q193" s="2" t="n"/>
      <c r="R193" s="2" t="n"/>
      <c r="T193" s="2" t="n"/>
    </row>
    <row r="194">
      <c r="A194" s="2" t="inlineStr">
        <is>
          <t>Mean length (Lmean)</t>
        </is>
      </c>
      <c r="B194" s="77" t="n"/>
      <c r="C194" t="n">
        <v>39.87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Q194" s="2" t="n"/>
      <c r="R194" s="2" t="n"/>
      <c r="T194" s="2" t="n"/>
    </row>
    <row r="195" ht="18" customHeight="1" s="113">
      <c r="A195" s="2" t="inlineStr">
        <is>
          <t>Modal Length (Mode)</t>
        </is>
      </c>
      <c r="B195" s="77" t="n"/>
      <c r="C195" t="n">
        <v>27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Q195" s="2" t="n"/>
      <c r="R195" s="2" t="n"/>
      <c r="S195" s="2" t="n"/>
      <c r="T195" s="3" t="inlineStr">
        <is>
          <t>Option 2: Manual Check</t>
        </is>
      </c>
    </row>
    <row r="196">
      <c r="A196" s="2" t="inlineStr">
        <is>
          <t>Size Diversity (CV)</t>
        </is>
      </c>
      <c r="B196" s="12" t="n"/>
      <c r="O196" t="n">
        <v>0</v>
      </c>
      <c r="Q196" s="2" t="n"/>
      <c r="R196" s="2" t="n"/>
    </row>
    <row r="197">
      <c r="A197" s="2" t="inlineStr">
        <is>
          <t>SD</t>
        </is>
      </c>
      <c r="B197" s="77" t="n"/>
      <c r="C197" t="inlineStr">
        <is>
          <t>16.29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Q197" s="2" t="n"/>
      <c r="R197" s="2" t="n"/>
      <c r="T197" t="inlineStr">
        <is>
          <t>Add outlier detection only in the Species Analysis sheets (SP-1, SP-2):</t>
        </is>
      </c>
    </row>
    <row r="198">
      <c r="A198" s="2" t="inlineStr">
        <is>
          <t>Median</t>
        </is>
      </c>
      <c r="B198" s="77" t="n"/>
      <c r="Q198" s="2" t="n"/>
      <c r="R198" s="2" t="n"/>
      <c r="S198" s="2" t="n"/>
      <c r="T198" s="4" t="n"/>
    </row>
    <row r="199">
      <c r="A199" s="2" t="inlineStr">
        <is>
          <t>MIN</t>
        </is>
      </c>
      <c r="B199" s="77" t="n"/>
      <c r="Q199" s="2" t="n"/>
      <c r="R199" s="2" t="n"/>
      <c r="S199" s="2" t="n"/>
      <c r="T199" s="5" t="inlineStr">
        <is>
          <t>Performance: No impact on monthly data entry</t>
        </is>
      </c>
    </row>
    <row r="200">
      <c r="A200" s="2" t="inlineStr">
        <is>
          <t>MAX</t>
        </is>
      </c>
      <c r="B200" s="77" t="n"/>
      <c r="Q200" s="2" t="n"/>
      <c r="R200" s="2" t="n"/>
      <c r="S200" s="2" t="n"/>
      <c r="T200" s="5" t="inlineStr">
        <is>
          <t>Usage: Scientists check data quality during analysis phase</t>
        </is>
      </c>
    </row>
    <row r="201">
      <c r="Q201" s="2" t="n"/>
      <c r="R201" s="2" t="n"/>
      <c r="S201" s="2" t="n"/>
    </row>
    <row r="202" ht="18" customHeight="1" s="113">
      <c r="A202" s="2" t="inlineStr">
        <is>
          <t>Stock Assessment Indicators</t>
        </is>
      </c>
      <c r="B202" s="76" t="n"/>
      <c r="Q202" s="2" t="n"/>
      <c r="R202" s="2" t="n"/>
      <c r="S202" s="2" t="n"/>
      <c r="T202" s="3" t="inlineStr">
        <is>
          <t>Option 3: Conditional Display</t>
        </is>
      </c>
    </row>
    <row r="203">
      <c r="A203" s="2" t="inlineStr">
        <is>
          <t>Lmean/Lopt Ratio: Fishing pressure indicator</t>
        </is>
      </c>
      <c r="B203" s="77" t="n"/>
      <c r="Q203" s="2" t="n"/>
      <c r="R203" s="2" t="n"/>
      <c r="S203" s="2" t="n"/>
    </row>
    <row r="204">
      <c r="A204" s="2" t="inlineStr">
        <is>
          <t>Percentage Mature: Based on estimated Lm50</t>
        </is>
      </c>
      <c r="B204" s="77" t="n"/>
      <c r="Q204" s="2" t="n"/>
      <c r="R204" s="2" t="n"/>
      <c r="S204" s="2" t="n"/>
      <c r="T204" t="inlineStr">
        <is>
          <t>Only show outlier % when there actually are outliers:</t>
        </is>
      </c>
    </row>
    <row r="205">
      <c r="A205" s="2" t="inlineStr">
        <is>
          <t>Sample Size Adequacy: Quality assessment of data</t>
        </is>
      </c>
      <c r="B205" s="77" t="n"/>
      <c r="Q205" s="2" t="n"/>
      <c r="R205" s="2" t="n"/>
      <c r="S205" s="2" t="n"/>
    </row>
    <row r="206">
      <c r="A206" s="2" t="inlineStr">
        <is>
          <t>Visual Status Indicators: Color-coded (green/yellow/red) for quick assessment</t>
        </is>
      </c>
      <c r="B206" s="77" t="n"/>
      <c r="Q206" s="2" t="n"/>
      <c r="R206" s="2" t="n"/>
      <c r="S206" s="2" t="n"/>
      <c r="T206" t="inlineStr">
        <is>
          <t>excel</t>
        </is>
      </c>
    </row>
    <row r="207">
      <c r="Q207" s="2" t="n"/>
      <c r="R207" s="2" t="n"/>
      <c r="S207" s="2" t="n"/>
      <c r="T207" s="47" t="inlineStr">
        <is>
          <t>=IF(COUNTIFS($C$15:$C$2015,G$13,$D$15:$D$2015,"&gt;"&amp;H1)&gt;0,</t>
        </is>
      </c>
    </row>
    <row r="208" ht="18" customHeight="1" s="113">
      <c r="A208" s="2" t="inlineStr">
        <is>
          <t>Interactive Visualizations</t>
        </is>
      </c>
      <c r="B208" s="76" t="n"/>
      <c r="Q208" s="2" t="n"/>
      <c r="R208" s="2" t="n"/>
      <c r="S208" s="2" t="n"/>
      <c r="T208" s="47" t="inlineStr">
        <is>
          <t xml:space="preserve">   COUNTIFS($C$15:$C$2015,G$13,$D$15:$D$2015,"&gt;"&amp;H1)/COUNTIF($C$15:$C$2015,G$13)*100&amp;"% outliers",</t>
        </is>
      </c>
    </row>
    <row r="209">
      <c r="A209" s="2" t="inlineStr">
        <is>
          <t>Temporal Modal Progression Chart: Tracks cohort movement across months</t>
        </is>
      </c>
      <c r="B209" s="77" t="n"/>
      <c r="Q209" s="2" t="n"/>
      <c r="R209" s="2" t="n"/>
      <c r="S209" s="2" t="n"/>
      <c r="T209" s="47" t="inlineStr">
        <is>
          <t xml:space="preserve">   "")</t>
        </is>
      </c>
    </row>
    <row r="210">
      <c r="A210" s="2" t="inlineStr">
        <is>
          <t>Annual Length-Frequency Distribution: Overall size structure visualization</t>
        </is>
      </c>
      <c r="B210" s="77" t="n"/>
      <c r="R210" s="2" t="n"/>
      <c r="S210" s="2" t="n"/>
      <c r="T210" s="2" t="n"/>
    </row>
    <row r="211">
      <c r="A211" s="2" t="inlineStr">
        <is>
          <t>Monthly Comparison: Shows recruitment patterns and seasonal variations</t>
        </is>
      </c>
      <c r="B211" s="77" t="n"/>
    </row>
  </sheetData>
  <mergeCells count="4">
    <mergeCell ref="E2:F2"/>
    <mergeCell ref="O6:O8"/>
    <mergeCell ref="E1:F1"/>
    <mergeCell ref="O9:O12"/>
  </mergeCells>
  <conditionalFormatting sqref="B17">
    <cfRule type="expression" priority="462" dxfId="2">
      <formula>AND(NOT(ISBLANK(B17)),B17&lt;INDIRECT("'"&amp;C$15&amp;"'!"&amp;$C$1&amp;"7"))</formula>
    </cfRule>
    <cfRule type="expression" priority="463" dxfId="1">
      <formula>AND(B17&lt;=(C$196),(B17+C$194)&gt;(C$196))</formula>
    </cfRule>
    <cfRule type="expression" priority="464" dxfId="0">
      <formula>AND(NOT(ISBLANK(B17)),B17&gt;C$196)</formula>
    </cfRule>
  </conditionalFormatting>
  <conditionalFormatting sqref="B17:B119 B121:B200">
    <cfRule type="expression" priority="23" dxfId="2">
      <formula>AND(NOT(ISBLANK(B17)),B17&lt;INDIRECT("'"&amp;C$15&amp;"'!"&amp;$C$1&amp;"7"))</formula>
    </cfRule>
    <cfRule type="expression" priority="454" dxfId="1">
      <formula>AND(B17&lt;=(INDIRECT("'"&amp;C$15&amp;"'!"&amp;$C$1&amp;"7")),(B17+INDIRECT("'"&amp;C$15&amp;"'!"&amp;$C$1&amp;"5"))&gt;(INDIRECT("'"&amp;C$15&amp;"'!"&amp;$C$1&amp;"7")))</formula>
    </cfRule>
    <cfRule type="expression" priority="455" dxfId="0">
      <formula>AND(NOT(ISBLANK(B17)),B17&gt;INDIRECT("'"&amp;C$15&amp;"'!"&amp;$C$1&amp;"7"))</formula>
    </cfRule>
  </conditionalFormatting>
  <conditionalFormatting sqref="C17:C118 C124 C126:C129 Q125">
    <cfRule type="dataBar" priority="468">
      <dataBar>
        <cfvo type="num" val="0"/>
        <cfvo type="max"/>
        <color rgb="FF638EC6"/>
      </dataBar>
    </cfRule>
  </conditionalFormatting>
  <conditionalFormatting sqref="C7:N7">
    <cfRule type="iconSet" priority="15">
      <iconSet iconSet="3Symbols2">
        <cfvo type="percent" val="0"/>
        <cfvo type="num" val="30" gte="0"/>
        <cfvo type="num" val="50" gte="0"/>
      </iconSet>
    </cfRule>
  </conditionalFormatting>
  <conditionalFormatting sqref="D17">
    <cfRule type="dataBar" priority="11">
      <dataBar>
        <cfvo type="num" val="0"/>
        <cfvo type="max"/>
        <color rgb="FF638EC6"/>
      </dataBar>
    </cfRule>
  </conditionalFormatting>
  <conditionalFormatting sqref="D18:N118 D124:N129">
    <cfRule type="dataBar" priority="477">
      <dataBar>
        <cfvo type="num" val="0"/>
        <cfvo type="max"/>
        <color rgb="FF638EC6"/>
      </dataBar>
    </cfRule>
  </conditionalFormatting>
  <conditionalFormatting sqref="E17">
    <cfRule type="dataBar" priority="10">
      <dataBar>
        <cfvo type="num" val="0"/>
        <cfvo type="max"/>
        <color rgb="FF638EC6"/>
      </dataBar>
    </cfRule>
  </conditionalFormatting>
  <conditionalFormatting sqref="F17">
    <cfRule type="dataBar" priority="9">
      <dataBar>
        <cfvo type="num" val="0"/>
        <cfvo type="max"/>
        <color rgb="FF638EC6"/>
      </dataBar>
    </cfRule>
  </conditionalFormatting>
  <conditionalFormatting sqref="G17">
    <cfRule type="dataBar" priority="8">
      <dataBar>
        <cfvo type="num" val="0"/>
        <cfvo type="max"/>
        <color rgb="FF638EC6"/>
      </dataBar>
    </cfRule>
  </conditionalFormatting>
  <conditionalFormatting sqref="H17">
    <cfRule type="dataBar" priority="7">
      <dataBar>
        <cfvo type="num" val="0"/>
        <cfvo type="max"/>
        <color rgb="FF638EC6"/>
      </dataBar>
    </cfRule>
  </conditionalFormatting>
  <conditionalFormatting sqref="I17">
    <cfRule type="dataBar" priority="6">
      <dataBar>
        <cfvo type="num" val="0"/>
        <cfvo type="max"/>
        <color rgb="FF638EC6"/>
      </dataBar>
    </cfRule>
  </conditionalFormatting>
  <conditionalFormatting sqref="J17">
    <cfRule type="dataBar" priority="5">
      <dataBar>
        <cfvo type="num" val="0"/>
        <cfvo type="max"/>
        <color rgb="FF638EC6"/>
      </dataBar>
    </cfRule>
  </conditionalFormatting>
  <conditionalFormatting sqref="K17">
    <cfRule type="dataBar" priority="4">
      <dataBar>
        <cfvo type="num" val="0"/>
        <cfvo type="max"/>
        <color rgb="FF638EC6"/>
      </dataBar>
    </cfRule>
  </conditionalFormatting>
  <conditionalFormatting sqref="L17">
    <cfRule type="dataBar" priority="3">
      <dataBar>
        <cfvo type="num" val="0"/>
        <cfvo type="max"/>
        <color rgb="FF638EC6"/>
      </dataBar>
    </cfRule>
  </conditionalFormatting>
  <conditionalFormatting sqref="M17">
    <cfRule type="dataBar" priority="2">
      <dataBar>
        <cfvo type="num" val="0"/>
        <cfvo type="max"/>
        <color rgb="FF638EC6"/>
      </dataBar>
    </cfRule>
  </conditionalFormatting>
  <conditionalFormatting sqref="N17">
    <cfRule type="dataBar" priority="1">
      <dataBar>
        <cfvo type="num" val="0"/>
        <cfvo type="max"/>
        <color rgb="FF638EC6"/>
      </dataBar>
    </cfRule>
  </conditionalFormatting>
  <conditionalFormatting sqref="O17:O118 O124:O128">
    <cfRule type="dataBar" priority="478">
      <dataBar>
        <cfvo type="min"/>
        <cfvo type="max"/>
        <color rgb="FFC00000"/>
      </dataBar>
    </cfRule>
  </conditionalFormatting>
  <dataValidations count="1">
    <dataValidation sqref="A1" showDropDown="0" showInputMessage="1" showErrorMessage="1" allowBlank="1" type="list">
      <formula1>FAOCODES</formula1>
    </dataValidation>
  </dataValidations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B2" sqref="B2"/>
    </sheetView>
  </sheetViews>
  <sheetFormatPr baseColWidth="8" defaultRowHeight="14.4"/>
  <cols>
    <col width="8.77734375" customWidth="1" style="114" min="2" max="14"/>
    <col width="35.21875" bestFit="1" customWidth="1" style="113" min="15" max="15"/>
  </cols>
  <sheetData>
    <row r="1" customFormat="1" s="1">
      <c r="A1" s="1" t="inlineStr">
        <is>
          <t>LC</t>
        </is>
      </c>
      <c r="B1" s="133" t="inlineStr">
        <is>
          <t>M-01</t>
        </is>
      </c>
      <c r="C1" s="133" t="inlineStr">
        <is>
          <t>M-02</t>
        </is>
      </c>
      <c r="D1" s="133" t="inlineStr">
        <is>
          <t>M-03</t>
        </is>
      </c>
      <c r="E1" s="133" t="inlineStr">
        <is>
          <t>M-04</t>
        </is>
      </c>
      <c r="F1" s="133" t="inlineStr">
        <is>
          <t>M-05</t>
        </is>
      </c>
      <c r="G1" s="133" t="inlineStr">
        <is>
          <t>M-06</t>
        </is>
      </c>
      <c r="H1" s="133" t="inlineStr">
        <is>
          <t>M-07</t>
        </is>
      </c>
      <c r="I1" s="133" t="inlineStr">
        <is>
          <t>M-08</t>
        </is>
      </c>
      <c r="J1" s="133" t="inlineStr">
        <is>
          <t>M-09</t>
        </is>
      </c>
      <c r="K1" s="133" t="inlineStr">
        <is>
          <t>M-10</t>
        </is>
      </c>
      <c r="L1" s="133" t="inlineStr">
        <is>
          <t>M-11</t>
        </is>
      </c>
      <c r="M1" s="133" t="inlineStr">
        <is>
          <t>M-12</t>
        </is>
      </c>
      <c r="N1" s="134" t="n"/>
      <c r="O1" s="114">
        <f t="array" ref="O1:O5">+SPECIES!A6:A10</f>
        <v/>
      </c>
      <c r="P1">
        <f t="array" ref="P1:P5">+SPECIES!C6:C10</f>
        <v/>
      </c>
    </row>
    <row r="2">
      <c r="A2">
        <f t="array" ref="A2:A71">+_xlfn.ANCHORARRAY(SPECIES!B17)</f>
        <v/>
      </c>
      <c r="B2" s="114">
        <f t="array" ref="B2:B71">+_xlfn.ANCHORARRAY(SPECIES!O17)</f>
        <v/>
      </c>
      <c r="C2" s="114">
        <f t="array" ref="C2:C71">+_xlfn.ANCHORARRAY($B2)</f>
        <v/>
      </c>
      <c r="D2" s="114">
        <f t="array" ref="D2:D71">+_xlfn.ANCHORARRAY($B2)</f>
        <v/>
      </c>
      <c r="E2" s="114">
        <f t="array" ref="E2:E71">+_xlfn.ANCHORARRAY($B2)</f>
        <v/>
      </c>
      <c r="F2" s="114">
        <f t="array" ref="F2:F71">+_xlfn.ANCHORARRAY($B2)</f>
        <v/>
      </c>
      <c r="G2" s="114">
        <f t="array" ref="G2:G71">+_xlfn.ANCHORARRAY($B2)</f>
        <v/>
      </c>
      <c r="H2" s="114">
        <f t="array" ref="H2:H71">+_xlfn.ANCHORARRAY($B2)</f>
        <v/>
      </c>
      <c r="I2" s="114">
        <f t="array" ref="I2:I71">+_xlfn.ANCHORARRAY($B2)</f>
        <v/>
      </c>
      <c r="J2" s="114">
        <f t="array" ref="J2:J71">+_xlfn.ANCHORARRAY($B2)</f>
        <v/>
      </c>
      <c r="K2" s="114">
        <f t="array" ref="K2:K71">+_xlfn.ANCHORARRAY($B2)</f>
        <v/>
      </c>
      <c r="L2" s="114">
        <f t="array" ref="L2:L71">+_xlfn.ANCHORARRAY($B2)</f>
        <v/>
      </c>
      <c r="M2" s="114">
        <f t="array" ref="M2:M71">+_xlfn.ANCHORARRAY($B2)</f>
        <v/>
      </c>
      <c r="O2" s="114">
        <f/>
        <v/>
      </c>
      <c r="P2">
        <f/>
        <v/>
      </c>
    </row>
    <row r="3">
      <c r="A3">
        <f/>
        <v/>
      </c>
      <c r="B3" s="114">
        <f/>
        <v/>
      </c>
      <c r="C3" s="114">
        <f/>
        <v/>
      </c>
      <c r="D3" s="114">
        <f/>
        <v/>
      </c>
      <c r="E3" s="114">
        <f/>
        <v/>
      </c>
      <c r="F3" s="114">
        <f/>
        <v/>
      </c>
      <c r="G3" s="114">
        <f/>
        <v/>
      </c>
      <c r="H3" s="114">
        <f/>
        <v/>
      </c>
      <c r="I3" s="114">
        <f/>
        <v/>
      </c>
      <c r="J3" s="114">
        <f/>
        <v/>
      </c>
      <c r="K3" s="114">
        <f/>
        <v/>
      </c>
      <c r="L3" s="114">
        <f/>
        <v/>
      </c>
      <c r="M3" s="114">
        <f/>
        <v/>
      </c>
      <c r="O3" s="114">
        <f/>
        <v/>
      </c>
      <c r="P3">
        <f/>
        <v/>
      </c>
    </row>
    <row r="4">
      <c r="A4">
        <f/>
        <v/>
      </c>
      <c r="B4" s="114">
        <f/>
        <v/>
      </c>
      <c r="C4" s="114">
        <f/>
        <v/>
      </c>
      <c r="D4" s="114">
        <f/>
        <v/>
      </c>
      <c r="E4" s="114">
        <f/>
        <v/>
      </c>
      <c r="F4" s="114">
        <f/>
        <v/>
      </c>
      <c r="G4" s="114">
        <f/>
        <v/>
      </c>
      <c r="H4" s="114">
        <f/>
        <v/>
      </c>
      <c r="I4" s="114">
        <f/>
        <v/>
      </c>
      <c r="J4" s="114">
        <f/>
        <v/>
      </c>
      <c r="K4" s="114">
        <f/>
        <v/>
      </c>
      <c r="L4" s="114">
        <f/>
        <v/>
      </c>
      <c r="M4" s="114">
        <f/>
        <v/>
      </c>
      <c r="O4" s="114">
        <f/>
        <v/>
      </c>
      <c r="P4">
        <f/>
        <v/>
      </c>
    </row>
    <row r="5">
      <c r="A5">
        <f/>
        <v/>
      </c>
      <c r="B5" s="114">
        <f/>
        <v/>
      </c>
      <c r="C5" s="114">
        <f/>
        <v/>
      </c>
      <c r="D5" s="114">
        <f/>
        <v/>
      </c>
      <c r="E5" s="114">
        <f/>
        <v/>
      </c>
      <c r="F5" s="114">
        <f/>
        <v/>
      </c>
      <c r="G5" s="114">
        <f/>
        <v/>
      </c>
      <c r="H5" s="114">
        <f/>
        <v/>
      </c>
      <c r="I5" s="114">
        <f/>
        <v/>
      </c>
      <c r="J5" s="114">
        <f/>
        <v/>
      </c>
      <c r="K5" s="114">
        <f/>
        <v/>
      </c>
      <c r="L5" s="114">
        <f/>
        <v/>
      </c>
      <c r="M5" s="114">
        <f/>
        <v/>
      </c>
      <c r="O5" s="114">
        <f/>
        <v/>
      </c>
      <c r="P5">
        <f/>
        <v/>
      </c>
    </row>
    <row r="6">
      <c r="A6">
        <f/>
        <v/>
      </c>
      <c r="B6" s="114">
        <f/>
        <v/>
      </c>
      <c r="C6" s="114">
        <f/>
        <v/>
      </c>
      <c r="D6" s="114">
        <f/>
        <v/>
      </c>
      <c r="E6" s="114">
        <f/>
        <v/>
      </c>
      <c r="F6" s="114">
        <f/>
        <v/>
      </c>
      <c r="G6" s="114">
        <f/>
        <v/>
      </c>
      <c r="H6" s="114">
        <f/>
        <v/>
      </c>
      <c r="I6" s="114">
        <f/>
        <v/>
      </c>
      <c r="J6" s="114">
        <f/>
        <v/>
      </c>
      <c r="K6" s="114">
        <f/>
        <v/>
      </c>
      <c r="L6" s="114">
        <f/>
        <v/>
      </c>
      <c r="M6" s="114">
        <f/>
        <v/>
      </c>
      <c r="O6" s="114">
        <f>+SPECIES!A12</f>
        <v/>
      </c>
      <c r="P6">
        <f>+SPECIES!C12</f>
        <v/>
      </c>
    </row>
    <row r="7">
      <c r="A7">
        <f/>
        <v/>
      </c>
      <c r="B7" s="114">
        <f/>
        <v/>
      </c>
      <c r="C7" s="114">
        <f/>
        <v/>
      </c>
      <c r="D7" s="114">
        <f/>
        <v/>
      </c>
      <c r="E7" s="114">
        <f/>
        <v/>
      </c>
      <c r="F7" s="114">
        <f/>
        <v/>
      </c>
      <c r="G7" s="114">
        <f/>
        <v/>
      </c>
      <c r="H7" s="114">
        <f/>
        <v/>
      </c>
      <c r="I7" s="114">
        <f/>
        <v/>
      </c>
      <c r="J7" s="114">
        <f/>
        <v/>
      </c>
      <c r="K7" s="114">
        <f/>
        <v/>
      </c>
      <c r="L7" s="114">
        <f/>
        <v/>
      </c>
      <c r="M7" s="114">
        <f/>
        <v/>
      </c>
    </row>
    <row r="8">
      <c r="A8">
        <f/>
        <v/>
      </c>
      <c r="B8" s="114">
        <f/>
        <v/>
      </c>
      <c r="C8" s="114">
        <f/>
        <v/>
      </c>
      <c r="D8" s="114">
        <f/>
        <v/>
      </c>
      <c r="E8" s="114">
        <f/>
        <v/>
      </c>
      <c r="F8" s="114">
        <f/>
        <v/>
      </c>
      <c r="G8" s="114">
        <f/>
        <v/>
      </c>
      <c r="H8" s="114">
        <f/>
        <v/>
      </c>
      <c r="I8" s="114">
        <f/>
        <v/>
      </c>
      <c r="J8" s="114">
        <f/>
        <v/>
      </c>
      <c r="K8" s="114">
        <f/>
        <v/>
      </c>
      <c r="L8" s="114">
        <f/>
        <v/>
      </c>
      <c r="M8" s="114">
        <f/>
        <v/>
      </c>
      <c r="O8" s="114">
        <f t="array" ref="O8:O11">+SPECIES!A14:A17</f>
        <v/>
      </c>
    </row>
    <row r="9">
      <c r="A9">
        <f/>
        <v/>
      </c>
      <c r="B9" s="114">
        <f/>
        <v/>
      </c>
      <c r="C9" s="114">
        <f/>
        <v/>
      </c>
      <c r="D9" s="114">
        <f/>
        <v/>
      </c>
      <c r="E9" s="114">
        <f/>
        <v/>
      </c>
      <c r="F9" s="114">
        <f/>
        <v/>
      </c>
      <c r="G9" s="114">
        <f/>
        <v/>
      </c>
      <c r="H9" s="114">
        <f/>
        <v/>
      </c>
      <c r="I9" s="114">
        <f/>
        <v/>
      </c>
      <c r="J9" s="114">
        <f/>
        <v/>
      </c>
      <c r="K9" s="114">
        <f/>
        <v/>
      </c>
      <c r="L9" s="114">
        <f/>
        <v/>
      </c>
      <c r="M9" s="114">
        <f/>
        <v/>
      </c>
      <c r="O9" s="114">
        <f/>
        <v/>
      </c>
    </row>
    <row r="10">
      <c r="A10">
        <f/>
        <v/>
      </c>
      <c r="B10" s="114">
        <f/>
        <v/>
      </c>
      <c r="C10" s="114">
        <f/>
        <v/>
      </c>
      <c r="D10" s="114">
        <f/>
        <v/>
      </c>
      <c r="E10" s="114">
        <f/>
        <v/>
      </c>
      <c r="F10" s="114">
        <f/>
        <v/>
      </c>
      <c r="G10" s="114">
        <f/>
        <v/>
      </c>
      <c r="H10" s="114">
        <f/>
        <v/>
      </c>
      <c r="I10" s="114">
        <f/>
        <v/>
      </c>
      <c r="J10" s="114">
        <f/>
        <v/>
      </c>
      <c r="K10" s="114">
        <f/>
        <v/>
      </c>
      <c r="L10" s="114">
        <f/>
        <v/>
      </c>
      <c r="M10" s="114">
        <f/>
        <v/>
      </c>
      <c r="O10" s="114">
        <f/>
        <v/>
      </c>
    </row>
    <row r="11">
      <c r="A11">
        <f/>
        <v/>
      </c>
      <c r="B11" s="114">
        <f/>
        <v/>
      </c>
      <c r="C11" s="114">
        <f/>
        <v/>
      </c>
      <c r="D11" s="114">
        <f/>
        <v/>
      </c>
      <c r="E11" s="114">
        <f/>
        <v/>
      </c>
      <c r="F11" s="114">
        <f/>
        <v/>
      </c>
      <c r="G11" s="114">
        <f/>
        <v/>
      </c>
      <c r="H11" s="114">
        <f/>
        <v/>
      </c>
      <c r="I11" s="114">
        <f/>
        <v/>
      </c>
      <c r="J11" s="114">
        <f/>
        <v/>
      </c>
      <c r="K11" s="114">
        <f/>
        <v/>
      </c>
      <c r="L11" s="114">
        <f/>
        <v/>
      </c>
      <c r="M11" s="114">
        <f/>
        <v/>
      </c>
      <c r="O11" s="114">
        <f/>
        <v/>
      </c>
    </row>
    <row r="12">
      <c r="A12">
        <f/>
        <v/>
      </c>
      <c r="B12" s="114">
        <f/>
        <v/>
      </c>
      <c r="C12" s="114">
        <f/>
        <v/>
      </c>
      <c r="D12" s="114">
        <f/>
        <v/>
      </c>
      <c r="E12" s="114">
        <f/>
        <v/>
      </c>
      <c r="F12" s="114">
        <f/>
        <v/>
      </c>
      <c r="G12" s="114">
        <f/>
        <v/>
      </c>
      <c r="H12" s="114">
        <f/>
        <v/>
      </c>
      <c r="I12" s="114">
        <f/>
        <v/>
      </c>
      <c r="J12" s="114">
        <f/>
        <v/>
      </c>
      <c r="K12" s="114">
        <f/>
        <v/>
      </c>
      <c r="L12" s="114">
        <f/>
        <v/>
      </c>
      <c r="M12" s="114">
        <f/>
        <v/>
      </c>
    </row>
    <row r="13">
      <c r="A13">
        <f/>
        <v/>
      </c>
      <c r="B13" s="114">
        <f/>
        <v/>
      </c>
      <c r="C13" s="114">
        <f/>
        <v/>
      </c>
      <c r="D13" s="114">
        <f/>
        <v/>
      </c>
      <c r="E13" s="114">
        <f/>
        <v/>
      </c>
      <c r="F13" s="114">
        <f/>
        <v/>
      </c>
      <c r="G13" s="114">
        <f/>
        <v/>
      </c>
      <c r="H13" s="114">
        <f/>
        <v/>
      </c>
      <c r="I13" s="114">
        <f/>
        <v/>
      </c>
      <c r="J13" s="114">
        <f/>
        <v/>
      </c>
      <c r="K13" s="114">
        <f/>
        <v/>
      </c>
      <c r="L13" s="114">
        <f/>
        <v/>
      </c>
      <c r="M13" s="114">
        <f/>
        <v/>
      </c>
    </row>
    <row r="14">
      <c r="A14">
        <f/>
        <v/>
      </c>
      <c r="B14" s="114">
        <f/>
        <v/>
      </c>
      <c r="C14" s="114">
        <f/>
        <v/>
      </c>
      <c r="D14" s="114">
        <f/>
        <v/>
      </c>
      <c r="E14" s="114">
        <f/>
        <v/>
      </c>
      <c r="F14" s="114">
        <f/>
        <v/>
      </c>
      <c r="G14" s="114">
        <f/>
        <v/>
      </c>
      <c r="H14" s="114">
        <f/>
        <v/>
      </c>
      <c r="I14" s="114">
        <f/>
        <v/>
      </c>
      <c r="J14" s="114">
        <f/>
        <v/>
      </c>
      <c r="K14" s="114">
        <f/>
        <v/>
      </c>
      <c r="L14" s="114">
        <f/>
        <v/>
      </c>
      <c r="M14" s="114">
        <f/>
        <v/>
      </c>
    </row>
    <row r="15">
      <c r="A15">
        <f/>
        <v/>
      </c>
      <c r="B15" s="114">
        <f/>
        <v/>
      </c>
      <c r="C15" s="114">
        <f/>
        <v/>
      </c>
      <c r="D15" s="114">
        <f/>
        <v/>
      </c>
      <c r="E15" s="114">
        <f/>
        <v/>
      </c>
      <c r="F15" s="114">
        <f/>
        <v/>
      </c>
      <c r="G15" s="114">
        <f/>
        <v/>
      </c>
      <c r="H15" s="114">
        <f/>
        <v/>
      </c>
      <c r="I15" s="114">
        <f/>
        <v/>
      </c>
      <c r="J15" s="114">
        <f/>
        <v/>
      </c>
      <c r="K15" s="114">
        <f/>
        <v/>
      </c>
      <c r="L15" s="114">
        <f/>
        <v/>
      </c>
      <c r="M15" s="114">
        <f/>
        <v/>
      </c>
    </row>
    <row r="16">
      <c r="A16">
        <f/>
        <v/>
      </c>
      <c r="B16" s="114">
        <f/>
        <v/>
      </c>
      <c r="C16" s="114">
        <f/>
        <v/>
      </c>
      <c r="D16" s="114">
        <f/>
        <v/>
      </c>
      <c r="E16" s="114">
        <f/>
        <v/>
      </c>
      <c r="F16" s="114">
        <f/>
        <v/>
      </c>
      <c r="G16" s="114">
        <f/>
        <v/>
      </c>
      <c r="H16" s="114">
        <f/>
        <v/>
      </c>
      <c r="I16" s="114">
        <f/>
        <v/>
      </c>
      <c r="J16" s="114">
        <f/>
        <v/>
      </c>
      <c r="K16" s="114">
        <f/>
        <v/>
      </c>
      <c r="L16" s="114">
        <f/>
        <v/>
      </c>
      <c r="M16" s="114">
        <f/>
        <v/>
      </c>
    </row>
    <row r="17">
      <c r="A17">
        <f/>
        <v/>
      </c>
      <c r="B17" s="114">
        <f/>
        <v/>
      </c>
      <c r="C17" s="114">
        <f/>
        <v/>
      </c>
      <c r="D17" s="114">
        <f/>
        <v/>
      </c>
      <c r="E17" s="114">
        <f/>
        <v/>
      </c>
      <c r="F17" s="114">
        <f/>
        <v/>
      </c>
      <c r="G17" s="114">
        <f/>
        <v/>
      </c>
      <c r="H17" s="114">
        <f/>
        <v/>
      </c>
      <c r="I17" s="114">
        <f/>
        <v/>
      </c>
      <c r="J17" s="114">
        <f/>
        <v/>
      </c>
      <c r="K17" s="114">
        <f/>
        <v/>
      </c>
      <c r="L17" s="114">
        <f/>
        <v/>
      </c>
      <c r="M17" s="114">
        <f/>
        <v/>
      </c>
    </row>
    <row r="18">
      <c r="A18">
        <f/>
        <v/>
      </c>
      <c r="B18" s="114">
        <f/>
        <v/>
      </c>
      <c r="C18" s="114">
        <f/>
        <v/>
      </c>
      <c r="D18" s="114">
        <f/>
        <v/>
      </c>
      <c r="E18" s="114">
        <f/>
        <v/>
      </c>
      <c r="F18" s="114">
        <f/>
        <v/>
      </c>
      <c r="G18" s="114">
        <f/>
        <v/>
      </c>
      <c r="H18" s="114">
        <f/>
        <v/>
      </c>
      <c r="I18" s="114">
        <f/>
        <v/>
      </c>
      <c r="J18" s="114">
        <f/>
        <v/>
      </c>
      <c r="K18" s="114">
        <f/>
        <v/>
      </c>
      <c r="L18" s="114">
        <f/>
        <v/>
      </c>
      <c r="M18" s="114">
        <f/>
        <v/>
      </c>
    </row>
    <row r="19">
      <c r="A19">
        <f/>
        <v/>
      </c>
      <c r="B19" s="114">
        <f/>
        <v/>
      </c>
      <c r="C19" s="114">
        <f/>
        <v/>
      </c>
      <c r="D19" s="114">
        <f/>
        <v/>
      </c>
      <c r="E19" s="114">
        <f/>
        <v/>
      </c>
      <c r="F19" s="114">
        <f/>
        <v/>
      </c>
      <c r="G19" s="114">
        <f/>
        <v/>
      </c>
      <c r="H19" s="114">
        <f/>
        <v/>
      </c>
      <c r="I19" s="114">
        <f/>
        <v/>
      </c>
      <c r="J19" s="114">
        <f/>
        <v/>
      </c>
      <c r="K19" s="114">
        <f/>
        <v/>
      </c>
      <c r="L19" s="114">
        <f/>
        <v/>
      </c>
      <c r="M19" s="114">
        <f/>
        <v/>
      </c>
    </row>
    <row r="20">
      <c r="A20">
        <f/>
        <v/>
      </c>
      <c r="B20" s="114">
        <f/>
        <v/>
      </c>
      <c r="C20" s="114">
        <f/>
        <v/>
      </c>
      <c r="D20" s="114">
        <f/>
        <v/>
      </c>
      <c r="E20" s="114">
        <f/>
        <v/>
      </c>
      <c r="F20" s="114">
        <f/>
        <v/>
      </c>
      <c r="G20" s="114">
        <f/>
        <v/>
      </c>
      <c r="H20" s="114">
        <f/>
        <v/>
      </c>
      <c r="I20" s="114">
        <f/>
        <v/>
      </c>
      <c r="J20" s="114">
        <f/>
        <v/>
      </c>
      <c r="K20" s="114">
        <f/>
        <v/>
      </c>
      <c r="L20" s="114">
        <f/>
        <v/>
      </c>
      <c r="M20" s="114">
        <f/>
        <v/>
      </c>
    </row>
    <row r="21">
      <c r="A21">
        <f/>
        <v/>
      </c>
      <c r="B21" s="114">
        <f/>
        <v/>
      </c>
      <c r="C21" s="114">
        <f/>
        <v/>
      </c>
      <c r="D21" s="114">
        <f/>
        <v/>
      </c>
      <c r="E21" s="114">
        <f/>
        <v/>
      </c>
      <c r="F21" s="114">
        <f/>
        <v/>
      </c>
      <c r="G21" s="114">
        <f/>
        <v/>
      </c>
      <c r="H21" s="114">
        <f/>
        <v/>
      </c>
      <c r="I21" s="114">
        <f/>
        <v/>
      </c>
      <c r="J21" s="114">
        <f/>
        <v/>
      </c>
      <c r="K21" s="114">
        <f/>
        <v/>
      </c>
      <c r="L21" s="114">
        <f/>
        <v/>
      </c>
      <c r="M21" s="114">
        <f/>
        <v/>
      </c>
    </row>
    <row r="22">
      <c r="A22">
        <f/>
        <v/>
      </c>
      <c r="B22" s="114">
        <f/>
        <v/>
      </c>
      <c r="C22" s="114">
        <f/>
        <v/>
      </c>
      <c r="D22" s="114">
        <f/>
        <v/>
      </c>
      <c r="E22" s="114">
        <f/>
        <v/>
      </c>
      <c r="F22" s="114">
        <f/>
        <v/>
      </c>
      <c r="G22" s="114">
        <f/>
        <v/>
      </c>
      <c r="H22" s="114">
        <f/>
        <v/>
      </c>
      <c r="I22" s="114">
        <f/>
        <v/>
      </c>
      <c r="J22" s="114">
        <f/>
        <v/>
      </c>
      <c r="K22" s="114">
        <f/>
        <v/>
      </c>
      <c r="L22" s="114">
        <f/>
        <v/>
      </c>
      <c r="M22" s="114">
        <f/>
        <v/>
      </c>
    </row>
    <row r="23">
      <c r="A23">
        <f/>
        <v/>
      </c>
      <c r="B23" s="114">
        <f/>
        <v/>
      </c>
      <c r="C23" s="114">
        <f/>
        <v/>
      </c>
      <c r="D23" s="114">
        <f/>
        <v/>
      </c>
      <c r="E23" s="114">
        <f/>
        <v/>
      </c>
      <c r="F23" s="114">
        <f/>
        <v/>
      </c>
      <c r="G23" s="114">
        <f/>
        <v/>
      </c>
      <c r="H23" s="114">
        <f/>
        <v/>
      </c>
      <c r="I23" s="114">
        <f/>
        <v/>
      </c>
      <c r="J23" s="114">
        <f/>
        <v/>
      </c>
      <c r="K23" s="114">
        <f/>
        <v/>
      </c>
      <c r="L23" s="114">
        <f/>
        <v/>
      </c>
      <c r="M23" s="114">
        <f/>
        <v/>
      </c>
    </row>
    <row r="24">
      <c r="A24">
        <f/>
        <v/>
      </c>
      <c r="B24" s="114">
        <f/>
        <v/>
      </c>
      <c r="C24" s="114">
        <f/>
        <v/>
      </c>
      <c r="D24" s="114">
        <f/>
        <v/>
      </c>
      <c r="E24" s="114">
        <f/>
        <v/>
      </c>
      <c r="F24" s="114">
        <f/>
        <v/>
      </c>
      <c r="G24" s="114">
        <f/>
        <v/>
      </c>
      <c r="H24" s="114">
        <f/>
        <v/>
      </c>
      <c r="I24" s="114">
        <f/>
        <v/>
      </c>
      <c r="J24" s="114">
        <f/>
        <v/>
      </c>
      <c r="K24" s="114">
        <f/>
        <v/>
      </c>
      <c r="L24" s="114">
        <f/>
        <v/>
      </c>
      <c r="M24" s="114">
        <f/>
        <v/>
      </c>
    </row>
    <row r="25">
      <c r="A25">
        <f/>
        <v/>
      </c>
      <c r="B25" s="114">
        <f/>
        <v/>
      </c>
      <c r="C25" s="114">
        <f/>
        <v/>
      </c>
      <c r="D25" s="114">
        <f/>
        <v/>
      </c>
      <c r="E25" s="114">
        <f/>
        <v/>
      </c>
      <c r="F25" s="114">
        <f/>
        <v/>
      </c>
      <c r="G25" s="114">
        <f/>
        <v/>
      </c>
      <c r="H25" s="114">
        <f/>
        <v/>
      </c>
      <c r="I25" s="114">
        <f/>
        <v/>
      </c>
      <c r="J25" s="114">
        <f/>
        <v/>
      </c>
      <c r="K25" s="114">
        <f/>
        <v/>
      </c>
      <c r="L25" s="114">
        <f/>
        <v/>
      </c>
      <c r="M25" s="114">
        <f/>
        <v/>
      </c>
    </row>
    <row r="26">
      <c r="A26">
        <f/>
        <v/>
      </c>
      <c r="B26" s="114">
        <f/>
        <v/>
      </c>
      <c r="C26" s="114">
        <f/>
        <v/>
      </c>
      <c r="D26" s="114">
        <f/>
        <v/>
      </c>
      <c r="E26" s="114">
        <f/>
        <v/>
      </c>
      <c r="F26" s="114">
        <f/>
        <v/>
      </c>
      <c r="G26" s="114">
        <f/>
        <v/>
      </c>
      <c r="H26" s="114">
        <f/>
        <v/>
      </c>
      <c r="I26" s="114">
        <f/>
        <v/>
      </c>
      <c r="J26" s="114">
        <f/>
        <v/>
      </c>
      <c r="K26" s="114">
        <f/>
        <v/>
      </c>
      <c r="L26" s="114">
        <f/>
        <v/>
      </c>
      <c r="M26" s="114">
        <f/>
        <v/>
      </c>
    </row>
    <row r="27">
      <c r="A27">
        <f/>
        <v/>
      </c>
      <c r="B27" s="114">
        <f/>
        <v/>
      </c>
      <c r="C27" s="114">
        <f/>
        <v/>
      </c>
      <c r="D27" s="114">
        <f/>
        <v/>
      </c>
      <c r="E27" s="114">
        <f/>
        <v/>
      </c>
      <c r="F27" s="114">
        <f/>
        <v/>
      </c>
      <c r="G27" s="114">
        <f/>
        <v/>
      </c>
      <c r="H27" s="114">
        <f/>
        <v/>
      </c>
      <c r="I27" s="114">
        <f/>
        <v/>
      </c>
      <c r="J27" s="114">
        <f/>
        <v/>
      </c>
      <c r="K27" s="114">
        <f/>
        <v/>
      </c>
      <c r="L27" s="114">
        <f/>
        <v/>
      </c>
      <c r="M27" s="114">
        <f/>
        <v/>
      </c>
    </row>
    <row r="28">
      <c r="A28">
        <f/>
        <v/>
      </c>
      <c r="B28" s="114">
        <f/>
        <v/>
      </c>
      <c r="C28" s="114">
        <f/>
        <v/>
      </c>
      <c r="D28" s="114">
        <f/>
        <v/>
      </c>
      <c r="E28" s="114">
        <f/>
        <v/>
      </c>
      <c r="F28" s="114">
        <f/>
        <v/>
      </c>
      <c r="G28" s="114">
        <f/>
        <v/>
      </c>
      <c r="H28" s="114">
        <f/>
        <v/>
      </c>
      <c r="I28" s="114">
        <f/>
        <v/>
      </c>
      <c r="J28" s="114">
        <f/>
        <v/>
      </c>
      <c r="K28" s="114">
        <f/>
        <v/>
      </c>
      <c r="L28" s="114">
        <f/>
        <v/>
      </c>
      <c r="M28" s="114">
        <f/>
        <v/>
      </c>
    </row>
    <row r="29">
      <c r="A29">
        <f/>
        <v/>
      </c>
      <c r="B29" s="114">
        <f/>
        <v/>
      </c>
      <c r="C29" s="114">
        <f/>
        <v/>
      </c>
      <c r="D29" s="114">
        <f/>
        <v/>
      </c>
      <c r="E29" s="114">
        <f/>
        <v/>
      </c>
      <c r="F29" s="114">
        <f/>
        <v/>
      </c>
      <c r="G29" s="114">
        <f/>
        <v/>
      </c>
      <c r="H29" s="114">
        <f/>
        <v/>
      </c>
      <c r="I29" s="114">
        <f/>
        <v/>
      </c>
      <c r="J29" s="114">
        <f/>
        <v/>
      </c>
      <c r="K29" s="114">
        <f/>
        <v/>
      </c>
      <c r="L29" s="114">
        <f/>
        <v/>
      </c>
      <c r="M29" s="114">
        <f/>
        <v/>
      </c>
    </row>
    <row r="30">
      <c r="A30">
        <f/>
        <v/>
      </c>
      <c r="B30" s="114">
        <f/>
        <v/>
      </c>
      <c r="C30" s="114">
        <f/>
        <v/>
      </c>
      <c r="D30" s="114">
        <f/>
        <v/>
      </c>
      <c r="E30" s="114">
        <f/>
        <v/>
      </c>
      <c r="F30" s="114">
        <f/>
        <v/>
      </c>
      <c r="G30" s="114">
        <f/>
        <v/>
      </c>
      <c r="H30" s="114">
        <f/>
        <v/>
      </c>
      <c r="I30" s="114">
        <f/>
        <v/>
      </c>
      <c r="J30" s="114">
        <f/>
        <v/>
      </c>
      <c r="K30" s="114">
        <f/>
        <v/>
      </c>
      <c r="L30" s="114">
        <f/>
        <v/>
      </c>
      <c r="M30" s="114">
        <f/>
        <v/>
      </c>
    </row>
    <row r="31">
      <c r="A31">
        <f/>
        <v/>
      </c>
      <c r="B31" s="114">
        <f/>
        <v/>
      </c>
      <c r="C31" s="114">
        <f/>
        <v/>
      </c>
      <c r="D31" s="114">
        <f/>
        <v/>
      </c>
      <c r="E31" s="114">
        <f/>
        <v/>
      </c>
      <c r="F31" s="114">
        <f/>
        <v/>
      </c>
      <c r="G31" s="114">
        <f/>
        <v/>
      </c>
      <c r="H31" s="114">
        <f/>
        <v/>
      </c>
      <c r="I31" s="114">
        <f/>
        <v/>
      </c>
      <c r="J31" s="114">
        <f/>
        <v/>
      </c>
      <c r="K31" s="114">
        <f/>
        <v/>
      </c>
      <c r="L31" s="114">
        <f/>
        <v/>
      </c>
      <c r="M31" s="114">
        <f/>
        <v/>
      </c>
    </row>
    <row r="32">
      <c r="A32">
        <f/>
        <v/>
      </c>
      <c r="B32" s="114">
        <f/>
        <v/>
      </c>
      <c r="C32" s="114">
        <f/>
        <v/>
      </c>
      <c r="D32" s="114">
        <f/>
        <v/>
      </c>
      <c r="E32" s="114">
        <f/>
        <v/>
      </c>
      <c r="F32" s="114">
        <f/>
        <v/>
      </c>
      <c r="G32" s="114">
        <f/>
        <v/>
      </c>
      <c r="H32" s="114">
        <f/>
        <v/>
      </c>
      <c r="I32" s="114">
        <f/>
        <v/>
      </c>
      <c r="J32" s="114">
        <f/>
        <v/>
      </c>
      <c r="K32" s="114">
        <f/>
        <v/>
      </c>
      <c r="L32" s="114">
        <f/>
        <v/>
      </c>
      <c r="M32" s="114">
        <f/>
        <v/>
      </c>
    </row>
    <row r="33">
      <c r="A33">
        <f/>
        <v/>
      </c>
      <c r="B33" s="114">
        <f/>
        <v/>
      </c>
      <c r="C33" s="114">
        <f/>
        <v/>
      </c>
      <c r="D33" s="114">
        <f/>
        <v/>
      </c>
      <c r="E33" s="114">
        <f/>
        <v/>
      </c>
      <c r="F33" s="114">
        <f/>
        <v/>
      </c>
      <c r="G33" s="114">
        <f/>
        <v/>
      </c>
      <c r="H33" s="114">
        <f/>
        <v/>
      </c>
      <c r="I33" s="114">
        <f/>
        <v/>
      </c>
      <c r="J33" s="114">
        <f/>
        <v/>
      </c>
      <c r="K33" s="114">
        <f/>
        <v/>
      </c>
      <c r="L33" s="114">
        <f/>
        <v/>
      </c>
      <c r="M33" s="114">
        <f/>
        <v/>
      </c>
    </row>
    <row r="34">
      <c r="A34">
        <f/>
        <v/>
      </c>
      <c r="B34" s="114">
        <f/>
        <v/>
      </c>
      <c r="C34" s="114">
        <f/>
        <v/>
      </c>
      <c r="D34" s="114">
        <f/>
        <v/>
      </c>
      <c r="E34" s="114">
        <f/>
        <v/>
      </c>
      <c r="F34" s="114">
        <f/>
        <v/>
      </c>
      <c r="G34" s="114">
        <f/>
        <v/>
      </c>
      <c r="H34" s="114">
        <f/>
        <v/>
      </c>
      <c r="I34" s="114">
        <f/>
        <v/>
      </c>
      <c r="J34" s="114">
        <f/>
        <v/>
      </c>
      <c r="K34" s="114">
        <f/>
        <v/>
      </c>
      <c r="L34" s="114">
        <f/>
        <v/>
      </c>
      <c r="M34" s="114">
        <f/>
        <v/>
      </c>
    </row>
    <row r="35">
      <c r="A35">
        <f/>
        <v/>
      </c>
      <c r="B35" s="114">
        <f/>
        <v/>
      </c>
      <c r="C35" s="114">
        <f/>
        <v/>
      </c>
      <c r="D35" s="114">
        <f/>
        <v/>
      </c>
      <c r="E35" s="114">
        <f/>
        <v/>
      </c>
      <c r="F35" s="114">
        <f/>
        <v/>
      </c>
      <c r="G35" s="114">
        <f/>
        <v/>
      </c>
      <c r="H35" s="114">
        <f/>
        <v/>
      </c>
      <c r="I35" s="114">
        <f/>
        <v/>
      </c>
      <c r="J35" s="114">
        <f/>
        <v/>
      </c>
      <c r="K35" s="114">
        <f/>
        <v/>
      </c>
      <c r="L35" s="114">
        <f/>
        <v/>
      </c>
      <c r="M35" s="114">
        <f/>
        <v/>
      </c>
    </row>
    <row r="36">
      <c r="A36">
        <f/>
        <v/>
      </c>
      <c r="B36" s="114">
        <f/>
        <v/>
      </c>
      <c r="C36" s="114">
        <f/>
        <v/>
      </c>
      <c r="D36" s="114">
        <f/>
        <v/>
      </c>
      <c r="E36" s="114">
        <f/>
        <v/>
      </c>
      <c r="F36" s="114">
        <f/>
        <v/>
      </c>
      <c r="G36" s="114">
        <f/>
        <v/>
      </c>
      <c r="H36" s="114">
        <f/>
        <v/>
      </c>
      <c r="I36" s="114">
        <f/>
        <v/>
      </c>
      <c r="J36" s="114">
        <f/>
        <v/>
      </c>
      <c r="K36" s="114">
        <f/>
        <v/>
      </c>
      <c r="L36" s="114">
        <f/>
        <v/>
      </c>
      <c r="M36" s="114">
        <f/>
        <v/>
      </c>
    </row>
    <row r="37">
      <c r="A37">
        <f/>
        <v/>
      </c>
      <c r="B37" s="114">
        <f/>
        <v/>
      </c>
      <c r="C37" s="114">
        <f/>
        <v/>
      </c>
      <c r="D37" s="114">
        <f/>
        <v/>
      </c>
      <c r="E37" s="114">
        <f/>
        <v/>
      </c>
      <c r="F37" s="114">
        <f/>
        <v/>
      </c>
      <c r="G37" s="114">
        <f/>
        <v/>
      </c>
      <c r="H37" s="114">
        <f/>
        <v/>
      </c>
      <c r="I37" s="114">
        <f/>
        <v/>
      </c>
      <c r="J37" s="114">
        <f/>
        <v/>
      </c>
      <c r="K37" s="114">
        <f/>
        <v/>
      </c>
      <c r="L37" s="114">
        <f/>
        <v/>
      </c>
      <c r="M37" s="114">
        <f/>
        <v/>
      </c>
    </row>
    <row r="38">
      <c r="A38">
        <f/>
        <v/>
      </c>
      <c r="B38" s="114">
        <f/>
        <v/>
      </c>
      <c r="C38" s="114">
        <f/>
        <v/>
      </c>
      <c r="D38" s="114">
        <f/>
        <v/>
      </c>
      <c r="E38" s="114">
        <f/>
        <v/>
      </c>
      <c r="F38" s="114">
        <f/>
        <v/>
      </c>
      <c r="G38" s="114">
        <f/>
        <v/>
      </c>
      <c r="H38" s="114">
        <f/>
        <v/>
      </c>
      <c r="I38" s="114">
        <f/>
        <v/>
      </c>
      <c r="J38" s="114">
        <f/>
        <v/>
      </c>
      <c r="K38" s="114">
        <f/>
        <v/>
      </c>
      <c r="L38" s="114">
        <f/>
        <v/>
      </c>
      <c r="M38" s="114">
        <f/>
        <v/>
      </c>
    </row>
    <row r="39">
      <c r="A39">
        <f/>
        <v/>
      </c>
      <c r="B39" s="114">
        <f/>
        <v/>
      </c>
      <c r="C39" s="114">
        <f/>
        <v/>
      </c>
      <c r="D39" s="114">
        <f/>
        <v/>
      </c>
      <c r="E39" s="114">
        <f/>
        <v/>
      </c>
      <c r="F39" s="114">
        <f/>
        <v/>
      </c>
      <c r="G39" s="114">
        <f/>
        <v/>
      </c>
      <c r="H39" s="114">
        <f/>
        <v/>
      </c>
      <c r="I39" s="114">
        <f/>
        <v/>
      </c>
      <c r="J39" s="114">
        <f/>
        <v/>
      </c>
      <c r="K39" s="114">
        <f/>
        <v/>
      </c>
      <c r="L39" s="114">
        <f/>
        <v/>
      </c>
      <c r="M39" s="114">
        <f/>
        <v/>
      </c>
    </row>
    <row r="40">
      <c r="A40">
        <f/>
        <v/>
      </c>
      <c r="B40" s="114">
        <f/>
        <v/>
      </c>
      <c r="C40" s="114">
        <f/>
        <v/>
      </c>
      <c r="D40" s="114">
        <f/>
        <v/>
      </c>
      <c r="E40" s="114">
        <f/>
        <v/>
      </c>
      <c r="F40" s="114">
        <f/>
        <v/>
      </c>
      <c r="G40" s="114">
        <f/>
        <v/>
      </c>
      <c r="H40" s="114">
        <f/>
        <v/>
      </c>
      <c r="I40" s="114">
        <f/>
        <v/>
      </c>
      <c r="J40" s="114">
        <f/>
        <v/>
      </c>
      <c r="K40" s="114">
        <f/>
        <v/>
      </c>
      <c r="L40" s="114">
        <f/>
        <v/>
      </c>
      <c r="M40" s="114">
        <f/>
        <v/>
      </c>
    </row>
    <row r="41">
      <c r="A41">
        <f/>
        <v/>
      </c>
      <c r="B41" s="114">
        <f/>
        <v/>
      </c>
      <c r="C41" s="114">
        <f/>
        <v/>
      </c>
      <c r="D41" s="114">
        <f/>
        <v/>
      </c>
      <c r="E41" s="114">
        <f/>
        <v/>
      </c>
      <c r="F41" s="114">
        <f/>
        <v/>
      </c>
      <c r="G41" s="114">
        <f/>
        <v/>
      </c>
      <c r="H41" s="114">
        <f/>
        <v/>
      </c>
      <c r="I41" s="114">
        <f/>
        <v/>
      </c>
      <c r="J41" s="114">
        <f/>
        <v/>
      </c>
      <c r="K41" s="114">
        <f/>
        <v/>
      </c>
      <c r="L41" s="114">
        <f/>
        <v/>
      </c>
      <c r="M41" s="114">
        <f/>
        <v/>
      </c>
    </row>
    <row r="42">
      <c r="A42">
        <f/>
        <v/>
      </c>
      <c r="B42" s="114">
        <f/>
        <v/>
      </c>
      <c r="C42" s="114">
        <f/>
        <v/>
      </c>
      <c r="D42" s="114">
        <f/>
        <v/>
      </c>
      <c r="E42" s="114">
        <f/>
        <v/>
      </c>
      <c r="F42" s="114">
        <f/>
        <v/>
      </c>
      <c r="G42" s="114">
        <f/>
        <v/>
      </c>
      <c r="H42" s="114">
        <f/>
        <v/>
      </c>
      <c r="I42" s="114">
        <f/>
        <v/>
      </c>
      <c r="J42" s="114">
        <f/>
        <v/>
      </c>
      <c r="K42" s="114">
        <f/>
        <v/>
      </c>
      <c r="L42" s="114">
        <f/>
        <v/>
      </c>
      <c r="M42" s="114">
        <f/>
        <v/>
      </c>
    </row>
    <row r="43">
      <c r="A43">
        <f/>
        <v/>
      </c>
      <c r="B43" s="114">
        <f/>
        <v/>
      </c>
      <c r="C43" s="114">
        <f/>
        <v/>
      </c>
      <c r="D43" s="114">
        <f/>
        <v/>
      </c>
      <c r="E43" s="114">
        <f/>
        <v/>
      </c>
      <c r="F43" s="114">
        <f/>
        <v/>
      </c>
      <c r="G43" s="114">
        <f/>
        <v/>
      </c>
      <c r="H43" s="114">
        <f/>
        <v/>
      </c>
      <c r="I43" s="114">
        <f/>
        <v/>
      </c>
      <c r="J43" s="114">
        <f/>
        <v/>
      </c>
      <c r="K43" s="114">
        <f/>
        <v/>
      </c>
      <c r="L43" s="114">
        <f/>
        <v/>
      </c>
      <c r="M43" s="114">
        <f/>
        <v/>
      </c>
    </row>
    <row r="44">
      <c r="A44">
        <f/>
        <v/>
      </c>
      <c r="B44" s="114">
        <f/>
        <v/>
      </c>
      <c r="C44" s="114">
        <f/>
        <v/>
      </c>
      <c r="D44" s="114">
        <f/>
        <v/>
      </c>
      <c r="E44" s="114">
        <f/>
        <v/>
      </c>
      <c r="F44" s="114">
        <f/>
        <v/>
      </c>
      <c r="G44" s="114">
        <f/>
        <v/>
      </c>
      <c r="H44" s="114">
        <f/>
        <v/>
      </c>
      <c r="I44" s="114">
        <f/>
        <v/>
      </c>
      <c r="J44" s="114">
        <f/>
        <v/>
      </c>
      <c r="K44" s="114">
        <f/>
        <v/>
      </c>
      <c r="L44" s="114">
        <f/>
        <v/>
      </c>
      <c r="M44" s="114">
        <f/>
        <v/>
      </c>
    </row>
    <row r="45">
      <c r="A45">
        <f/>
        <v/>
      </c>
      <c r="B45" s="114">
        <f/>
        <v/>
      </c>
      <c r="C45" s="114">
        <f/>
        <v/>
      </c>
      <c r="D45" s="114">
        <f/>
        <v/>
      </c>
      <c r="E45" s="114">
        <f/>
        <v/>
      </c>
      <c r="F45" s="114">
        <f/>
        <v/>
      </c>
      <c r="G45" s="114">
        <f/>
        <v/>
      </c>
      <c r="H45" s="114">
        <f/>
        <v/>
      </c>
      <c r="I45" s="114">
        <f/>
        <v/>
      </c>
      <c r="J45" s="114">
        <f/>
        <v/>
      </c>
      <c r="K45" s="114">
        <f/>
        <v/>
      </c>
      <c r="L45" s="114">
        <f/>
        <v/>
      </c>
      <c r="M45" s="114">
        <f/>
        <v/>
      </c>
    </row>
    <row r="46">
      <c r="A46">
        <f/>
        <v/>
      </c>
      <c r="B46" s="114">
        <f/>
        <v/>
      </c>
      <c r="C46" s="114">
        <f/>
        <v/>
      </c>
      <c r="D46" s="114">
        <f/>
        <v/>
      </c>
      <c r="E46" s="114">
        <f/>
        <v/>
      </c>
      <c r="F46" s="114">
        <f/>
        <v/>
      </c>
      <c r="G46" s="114">
        <f/>
        <v/>
      </c>
      <c r="H46" s="114">
        <f/>
        <v/>
      </c>
      <c r="I46" s="114">
        <f/>
        <v/>
      </c>
      <c r="J46" s="114">
        <f/>
        <v/>
      </c>
      <c r="K46" s="114">
        <f/>
        <v/>
      </c>
      <c r="L46" s="114">
        <f/>
        <v/>
      </c>
      <c r="M46" s="114">
        <f/>
        <v/>
      </c>
    </row>
    <row r="47">
      <c r="A47">
        <f/>
        <v/>
      </c>
      <c r="B47" s="114">
        <f/>
        <v/>
      </c>
      <c r="C47" s="114">
        <f/>
        <v/>
      </c>
      <c r="D47" s="114">
        <f/>
        <v/>
      </c>
      <c r="E47" s="114">
        <f/>
        <v/>
      </c>
      <c r="F47" s="114">
        <f/>
        <v/>
      </c>
      <c r="G47" s="114">
        <f/>
        <v/>
      </c>
      <c r="H47" s="114">
        <f/>
        <v/>
      </c>
      <c r="I47" s="114">
        <f/>
        <v/>
      </c>
      <c r="J47" s="114">
        <f/>
        <v/>
      </c>
      <c r="K47" s="114">
        <f/>
        <v/>
      </c>
      <c r="L47" s="114">
        <f/>
        <v/>
      </c>
      <c r="M47" s="114">
        <f/>
        <v/>
      </c>
    </row>
    <row r="48">
      <c r="A48">
        <f/>
        <v/>
      </c>
      <c r="B48" s="114">
        <f/>
        <v/>
      </c>
      <c r="C48" s="114">
        <f/>
        <v/>
      </c>
      <c r="D48" s="114">
        <f/>
        <v/>
      </c>
      <c r="E48" s="114">
        <f/>
        <v/>
      </c>
      <c r="F48" s="114">
        <f/>
        <v/>
      </c>
      <c r="G48" s="114">
        <f/>
        <v/>
      </c>
      <c r="H48" s="114">
        <f/>
        <v/>
      </c>
      <c r="I48" s="114">
        <f/>
        <v/>
      </c>
      <c r="J48" s="114">
        <f/>
        <v/>
      </c>
      <c r="K48" s="114">
        <f/>
        <v/>
      </c>
      <c r="L48" s="114">
        <f/>
        <v/>
      </c>
      <c r="M48" s="114">
        <f/>
        <v/>
      </c>
    </row>
    <row r="49">
      <c r="A49">
        <f/>
        <v/>
      </c>
      <c r="B49" s="114">
        <f/>
        <v/>
      </c>
      <c r="C49" s="114">
        <f/>
        <v/>
      </c>
      <c r="D49" s="114">
        <f/>
        <v/>
      </c>
      <c r="E49" s="114">
        <f/>
        <v/>
      </c>
      <c r="F49" s="114">
        <f/>
        <v/>
      </c>
      <c r="G49" s="114">
        <f/>
        <v/>
      </c>
      <c r="H49" s="114">
        <f/>
        <v/>
      </c>
      <c r="I49" s="114">
        <f/>
        <v/>
      </c>
      <c r="J49" s="114">
        <f/>
        <v/>
      </c>
      <c r="K49" s="114">
        <f/>
        <v/>
      </c>
      <c r="L49" s="114">
        <f/>
        <v/>
      </c>
      <c r="M49" s="114">
        <f/>
        <v/>
      </c>
    </row>
    <row r="50">
      <c r="A50">
        <f/>
        <v/>
      </c>
      <c r="B50" s="114">
        <f/>
        <v/>
      </c>
      <c r="C50" s="114">
        <f/>
        <v/>
      </c>
      <c r="D50" s="114">
        <f/>
        <v/>
      </c>
      <c r="E50" s="114">
        <f/>
        <v/>
      </c>
      <c r="F50" s="114">
        <f/>
        <v/>
      </c>
      <c r="G50" s="114">
        <f/>
        <v/>
      </c>
      <c r="H50" s="114">
        <f/>
        <v/>
      </c>
      <c r="I50" s="114">
        <f/>
        <v/>
      </c>
      <c r="J50" s="114">
        <f/>
        <v/>
      </c>
      <c r="K50" s="114">
        <f/>
        <v/>
      </c>
      <c r="L50" s="114">
        <f/>
        <v/>
      </c>
      <c r="M50" s="114">
        <f/>
        <v/>
      </c>
    </row>
    <row r="51">
      <c r="A51">
        <f/>
        <v/>
      </c>
      <c r="B51" s="114">
        <f/>
        <v/>
      </c>
      <c r="C51" s="114">
        <f/>
        <v/>
      </c>
      <c r="D51" s="114">
        <f/>
        <v/>
      </c>
      <c r="E51" s="114">
        <f/>
        <v/>
      </c>
      <c r="F51" s="114">
        <f/>
        <v/>
      </c>
      <c r="G51" s="114">
        <f/>
        <v/>
      </c>
      <c r="H51" s="114">
        <f/>
        <v/>
      </c>
      <c r="I51" s="114">
        <f/>
        <v/>
      </c>
      <c r="J51" s="114">
        <f/>
        <v/>
      </c>
      <c r="K51" s="114">
        <f/>
        <v/>
      </c>
      <c r="L51" s="114">
        <f/>
        <v/>
      </c>
      <c r="M51" s="114">
        <f/>
        <v/>
      </c>
    </row>
    <row r="52">
      <c r="A52">
        <f/>
        <v/>
      </c>
      <c r="B52" s="114">
        <f/>
        <v/>
      </c>
      <c r="C52" s="114">
        <f/>
        <v/>
      </c>
      <c r="D52" s="114">
        <f/>
        <v/>
      </c>
      <c r="E52" s="114">
        <f/>
        <v/>
      </c>
      <c r="F52" s="114">
        <f/>
        <v/>
      </c>
      <c r="G52" s="114">
        <f/>
        <v/>
      </c>
      <c r="H52" s="114">
        <f/>
        <v/>
      </c>
      <c r="I52" s="114">
        <f/>
        <v/>
      </c>
      <c r="J52" s="114">
        <f/>
        <v/>
      </c>
      <c r="K52" s="114">
        <f/>
        <v/>
      </c>
      <c r="L52" s="114">
        <f/>
        <v/>
      </c>
      <c r="M52" s="114">
        <f/>
        <v/>
      </c>
    </row>
    <row r="53">
      <c r="A53">
        <f/>
        <v/>
      </c>
      <c r="B53" s="114">
        <f/>
        <v/>
      </c>
      <c r="C53" s="114">
        <f/>
        <v/>
      </c>
      <c r="D53" s="114">
        <f/>
        <v/>
      </c>
      <c r="E53" s="114">
        <f/>
        <v/>
      </c>
      <c r="F53" s="114">
        <f/>
        <v/>
      </c>
      <c r="G53" s="114">
        <f/>
        <v/>
      </c>
      <c r="H53" s="114">
        <f/>
        <v/>
      </c>
      <c r="I53" s="114">
        <f/>
        <v/>
      </c>
      <c r="J53" s="114">
        <f/>
        <v/>
      </c>
      <c r="K53" s="114">
        <f/>
        <v/>
      </c>
      <c r="L53" s="114">
        <f/>
        <v/>
      </c>
      <c r="M53" s="114">
        <f/>
        <v/>
      </c>
    </row>
    <row r="54">
      <c r="A54">
        <f/>
        <v/>
      </c>
      <c r="B54" s="114">
        <f/>
        <v/>
      </c>
      <c r="C54" s="114">
        <f/>
        <v/>
      </c>
      <c r="D54" s="114">
        <f/>
        <v/>
      </c>
      <c r="E54" s="114">
        <f/>
        <v/>
      </c>
      <c r="F54" s="114">
        <f/>
        <v/>
      </c>
      <c r="G54" s="114">
        <f/>
        <v/>
      </c>
      <c r="H54" s="114">
        <f/>
        <v/>
      </c>
      <c r="I54" s="114">
        <f/>
        <v/>
      </c>
      <c r="J54" s="114">
        <f/>
        <v/>
      </c>
      <c r="K54" s="114">
        <f/>
        <v/>
      </c>
      <c r="L54" s="114">
        <f/>
        <v/>
      </c>
      <c r="M54" s="114">
        <f/>
        <v/>
      </c>
    </row>
    <row r="55">
      <c r="A55">
        <f/>
        <v/>
      </c>
      <c r="B55" s="114">
        <f/>
        <v/>
      </c>
      <c r="C55" s="114">
        <f/>
        <v/>
      </c>
      <c r="D55" s="114">
        <f/>
        <v/>
      </c>
      <c r="E55" s="114">
        <f/>
        <v/>
      </c>
      <c r="F55" s="114">
        <f/>
        <v/>
      </c>
      <c r="G55" s="114">
        <f/>
        <v/>
      </c>
      <c r="H55" s="114">
        <f/>
        <v/>
      </c>
      <c r="I55" s="114">
        <f/>
        <v/>
      </c>
      <c r="J55" s="114">
        <f/>
        <v/>
      </c>
      <c r="K55" s="114">
        <f/>
        <v/>
      </c>
      <c r="L55" s="114">
        <f/>
        <v/>
      </c>
      <c r="M55" s="114">
        <f/>
        <v/>
      </c>
    </row>
    <row r="56">
      <c r="A56">
        <f/>
        <v/>
      </c>
      <c r="B56" s="114">
        <f/>
        <v/>
      </c>
      <c r="C56" s="114">
        <f/>
        <v/>
      </c>
      <c r="D56" s="114">
        <f/>
        <v/>
      </c>
      <c r="E56" s="114">
        <f/>
        <v/>
      </c>
      <c r="F56" s="114">
        <f/>
        <v/>
      </c>
      <c r="G56" s="114">
        <f/>
        <v/>
      </c>
      <c r="H56" s="114">
        <f/>
        <v/>
      </c>
      <c r="I56" s="114">
        <f/>
        <v/>
      </c>
      <c r="J56" s="114">
        <f/>
        <v/>
      </c>
      <c r="K56" s="114">
        <f/>
        <v/>
      </c>
      <c r="L56" s="114">
        <f/>
        <v/>
      </c>
      <c r="M56" s="114">
        <f/>
        <v/>
      </c>
    </row>
    <row r="57">
      <c r="A57">
        <f/>
        <v/>
      </c>
      <c r="B57" s="114">
        <f/>
        <v/>
      </c>
      <c r="C57" s="114">
        <f/>
        <v/>
      </c>
      <c r="D57" s="114">
        <f/>
        <v/>
      </c>
      <c r="E57" s="114">
        <f/>
        <v/>
      </c>
      <c r="F57" s="114">
        <f/>
        <v/>
      </c>
      <c r="G57" s="114">
        <f/>
        <v/>
      </c>
      <c r="H57" s="114">
        <f/>
        <v/>
      </c>
      <c r="I57" s="114">
        <f/>
        <v/>
      </c>
      <c r="J57" s="114">
        <f/>
        <v/>
      </c>
      <c r="K57" s="114">
        <f/>
        <v/>
      </c>
      <c r="L57" s="114">
        <f/>
        <v/>
      </c>
      <c r="M57" s="114">
        <f/>
        <v/>
      </c>
    </row>
    <row r="58">
      <c r="A58">
        <f/>
        <v/>
      </c>
      <c r="B58" s="114">
        <f/>
        <v/>
      </c>
      <c r="C58" s="114">
        <f/>
        <v/>
      </c>
      <c r="D58" s="114">
        <f/>
        <v/>
      </c>
      <c r="E58" s="114">
        <f/>
        <v/>
      </c>
      <c r="F58" s="114">
        <f/>
        <v/>
      </c>
      <c r="G58" s="114">
        <f/>
        <v/>
      </c>
      <c r="H58" s="114">
        <f/>
        <v/>
      </c>
      <c r="I58" s="114">
        <f/>
        <v/>
      </c>
      <c r="J58" s="114">
        <f/>
        <v/>
      </c>
      <c r="K58" s="114">
        <f/>
        <v/>
      </c>
      <c r="L58" s="114">
        <f/>
        <v/>
      </c>
      <c r="M58" s="114">
        <f/>
        <v/>
      </c>
    </row>
    <row r="59">
      <c r="A59">
        <f/>
        <v/>
      </c>
      <c r="B59" s="114">
        <f/>
        <v/>
      </c>
      <c r="C59" s="114">
        <f/>
        <v/>
      </c>
      <c r="D59" s="114">
        <f/>
        <v/>
      </c>
      <c r="E59" s="114">
        <f/>
        <v/>
      </c>
      <c r="F59" s="114">
        <f/>
        <v/>
      </c>
      <c r="G59" s="114">
        <f/>
        <v/>
      </c>
      <c r="H59" s="114">
        <f/>
        <v/>
      </c>
      <c r="I59" s="114">
        <f/>
        <v/>
      </c>
      <c r="J59" s="114">
        <f/>
        <v/>
      </c>
      <c r="K59" s="114">
        <f/>
        <v/>
      </c>
      <c r="L59" s="114">
        <f/>
        <v/>
      </c>
      <c r="M59" s="114">
        <f/>
        <v/>
      </c>
    </row>
    <row r="60">
      <c r="A60">
        <f/>
        <v/>
      </c>
      <c r="B60" s="114">
        <f/>
        <v/>
      </c>
      <c r="C60" s="114">
        <f/>
        <v/>
      </c>
      <c r="D60" s="114">
        <f/>
        <v/>
      </c>
      <c r="E60" s="114">
        <f/>
        <v/>
      </c>
      <c r="F60" s="114">
        <f/>
        <v/>
      </c>
      <c r="G60" s="114">
        <f/>
        <v/>
      </c>
      <c r="H60" s="114">
        <f/>
        <v/>
      </c>
      <c r="I60" s="114">
        <f/>
        <v/>
      </c>
      <c r="J60" s="114">
        <f/>
        <v/>
      </c>
      <c r="K60" s="114">
        <f/>
        <v/>
      </c>
      <c r="L60" s="114">
        <f/>
        <v/>
      </c>
      <c r="M60" s="114">
        <f/>
        <v/>
      </c>
    </row>
    <row r="61">
      <c r="A61">
        <f/>
        <v/>
      </c>
      <c r="B61" s="114">
        <f/>
        <v/>
      </c>
      <c r="C61" s="114">
        <f/>
        <v/>
      </c>
      <c r="D61" s="114">
        <f/>
        <v/>
      </c>
      <c r="E61" s="114">
        <f/>
        <v/>
      </c>
      <c r="F61" s="114">
        <f/>
        <v/>
      </c>
      <c r="G61" s="114">
        <f/>
        <v/>
      </c>
      <c r="H61" s="114">
        <f/>
        <v/>
      </c>
      <c r="I61" s="114">
        <f/>
        <v/>
      </c>
      <c r="J61" s="114">
        <f/>
        <v/>
      </c>
      <c r="K61" s="114">
        <f/>
        <v/>
      </c>
      <c r="L61" s="114">
        <f/>
        <v/>
      </c>
      <c r="M61" s="114">
        <f/>
        <v/>
      </c>
    </row>
    <row r="62">
      <c r="A62">
        <f/>
        <v/>
      </c>
      <c r="B62" s="114">
        <f/>
        <v/>
      </c>
      <c r="C62" s="114">
        <f/>
        <v/>
      </c>
      <c r="D62" s="114">
        <f/>
        <v/>
      </c>
      <c r="E62" s="114">
        <f/>
        <v/>
      </c>
      <c r="F62" s="114">
        <f/>
        <v/>
      </c>
      <c r="G62" s="114">
        <f/>
        <v/>
      </c>
      <c r="H62" s="114">
        <f/>
        <v/>
      </c>
      <c r="I62" s="114">
        <f/>
        <v/>
      </c>
      <c r="J62" s="114">
        <f/>
        <v/>
      </c>
      <c r="K62" s="114">
        <f/>
        <v/>
      </c>
      <c r="L62" s="114">
        <f/>
        <v/>
      </c>
      <c r="M62" s="114">
        <f/>
        <v/>
      </c>
    </row>
    <row r="63">
      <c r="A63">
        <f/>
        <v/>
      </c>
      <c r="B63" s="114">
        <f/>
        <v/>
      </c>
      <c r="C63" s="114">
        <f/>
        <v/>
      </c>
      <c r="D63" s="114">
        <f/>
        <v/>
      </c>
      <c r="E63" s="114">
        <f/>
        <v/>
      </c>
      <c r="F63" s="114">
        <f/>
        <v/>
      </c>
      <c r="G63" s="114">
        <f/>
        <v/>
      </c>
      <c r="H63" s="114">
        <f/>
        <v/>
      </c>
      <c r="I63" s="114">
        <f/>
        <v/>
      </c>
      <c r="J63" s="114">
        <f/>
        <v/>
      </c>
      <c r="K63" s="114">
        <f/>
        <v/>
      </c>
      <c r="L63" s="114">
        <f/>
        <v/>
      </c>
      <c r="M63" s="114">
        <f/>
        <v/>
      </c>
    </row>
    <row r="64">
      <c r="A64">
        <f/>
        <v/>
      </c>
      <c r="B64" s="114">
        <f/>
        <v/>
      </c>
      <c r="C64" s="114">
        <f/>
        <v/>
      </c>
      <c r="D64" s="114">
        <f/>
        <v/>
      </c>
      <c r="E64" s="114">
        <f/>
        <v/>
      </c>
      <c r="F64" s="114">
        <f/>
        <v/>
      </c>
      <c r="G64" s="114">
        <f/>
        <v/>
      </c>
      <c r="H64" s="114">
        <f/>
        <v/>
      </c>
      <c r="I64" s="114">
        <f/>
        <v/>
      </c>
      <c r="J64" s="114">
        <f/>
        <v/>
      </c>
      <c r="K64" s="114">
        <f/>
        <v/>
      </c>
      <c r="L64" s="114">
        <f/>
        <v/>
      </c>
      <c r="M64" s="114">
        <f/>
        <v/>
      </c>
    </row>
    <row r="65">
      <c r="A65">
        <f/>
        <v/>
      </c>
      <c r="B65" s="114">
        <f/>
        <v/>
      </c>
      <c r="C65" s="114">
        <f/>
        <v/>
      </c>
      <c r="D65" s="114">
        <f/>
        <v/>
      </c>
      <c r="E65" s="114">
        <f/>
        <v/>
      </c>
      <c r="F65" s="114">
        <f/>
        <v/>
      </c>
      <c r="G65" s="114">
        <f/>
        <v/>
      </c>
      <c r="H65" s="114">
        <f/>
        <v/>
      </c>
      <c r="I65" s="114">
        <f/>
        <v/>
      </c>
      <c r="J65" s="114">
        <f/>
        <v/>
      </c>
      <c r="K65" s="114">
        <f/>
        <v/>
      </c>
      <c r="L65" s="114">
        <f/>
        <v/>
      </c>
      <c r="M65" s="114">
        <f/>
        <v/>
      </c>
    </row>
    <row r="66">
      <c r="A66">
        <f/>
        <v/>
      </c>
      <c r="B66" s="114">
        <f/>
        <v/>
      </c>
      <c r="C66" s="114">
        <f/>
        <v/>
      </c>
      <c r="D66" s="114">
        <f/>
        <v/>
      </c>
      <c r="E66" s="114">
        <f/>
        <v/>
      </c>
      <c r="F66" s="114">
        <f/>
        <v/>
      </c>
      <c r="G66" s="114">
        <f/>
        <v/>
      </c>
      <c r="H66" s="114">
        <f/>
        <v/>
      </c>
      <c r="I66" s="114">
        <f/>
        <v/>
      </c>
      <c r="J66" s="114">
        <f/>
        <v/>
      </c>
      <c r="K66" s="114">
        <f/>
        <v/>
      </c>
      <c r="L66" s="114">
        <f/>
        <v/>
      </c>
      <c r="M66" s="114">
        <f/>
        <v/>
      </c>
    </row>
    <row r="67">
      <c r="A67">
        <f/>
        <v/>
      </c>
      <c r="B67" s="114">
        <f/>
        <v/>
      </c>
      <c r="C67" s="114">
        <f/>
        <v/>
      </c>
      <c r="D67" s="114">
        <f/>
        <v/>
      </c>
      <c r="E67" s="114">
        <f/>
        <v/>
      </c>
      <c r="F67" s="114">
        <f/>
        <v/>
      </c>
      <c r="G67" s="114">
        <f/>
        <v/>
      </c>
      <c r="H67" s="114">
        <f/>
        <v/>
      </c>
      <c r="I67" s="114">
        <f/>
        <v/>
      </c>
      <c r="J67" s="114">
        <f/>
        <v/>
      </c>
      <c r="K67" s="114">
        <f/>
        <v/>
      </c>
      <c r="L67" s="114">
        <f/>
        <v/>
      </c>
      <c r="M67" s="114">
        <f/>
        <v/>
      </c>
    </row>
    <row r="68">
      <c r="A68">
        <f/>
        <v/>
      </c>
      <c r="B68" s="114">
        <f/>
        <v/>
      </c>
      <c r="C68" s="114">
        <f/>
        <v/>
      </c>
      <c r="D68" s="114">
        <f/>
        <v/>
      </c>
      <c r="E68" s="114">
        <f/>
        <v/>
      </c>
      <c r="F68" s="114">
        <f/>
        <v/>
      </c>
      <c r="G68" s="114">
        <f/>
        <v/>
      </c>
      <c r="H68" s="114">
        <f/>
        <v/>
      </c>
      <c r="I68" s="114">
        <f/>
        <v/>
      </c>
      <c r="J68" s="114">
        <f/>
        <v/>
      </c>
      <c r="K68" s="114">
        <f/>
        <v/>
      </c>
      <c r="L68" s="114">
        <f/>
        <v/>
      </c>
      <c r="M68" s="114">
        <f/>
        <v/>
      </c>
    </row>
    <row r="69">
      <c r="A69">
        <f/>
        <v/>
      </c>
      <c r="B69" s="114">
        <f/>
        <v/>
      </c>
      <c r="C69" s="114">
        <f/>
        <v/>
      </c>
      <c r="D69" s="114">
        <f/>
        <v/>
      </c>
      <c r="E69" s="114">
        <f/>
        <v/>
      </c>
      <c r="F69" s="114">
        <f/>
        <v/>
      </c>
      <c r="G69" s="114">
        <f/>
        <v/>
      </c>
      <c r="H69" s="114">
        <f/>
        <v/>
      </c>
      <c r="I69" s="114">
        <f/>
        <v/>
      </c>
      <c r="J69" s="114">
        <f/>
        <v/>
      </c>
      <c r="K69" s="114">
        <f/>
        <v/>
      </c>
      <c r="L69" s="114">
        <f/>
        <v/>
      </c>
      <c r="M69" s="114">
        <f/>
        <v/>
      </c>
    </row>
    <row r="70">
      <c r="A70">
        <f/>
        <v/>
      </c>
      <c r="B70" s="114">
        <f/>
        <v/>
      </c>
      <c r="C70" s="114">
        <f/>
        <v/>
      </c>
      <c r="D70" s="114">
        <f/>
        <v/>
      </c>
      <c r="E70" s="114">
        <f/>
        <v/>
      </c>
      <c r="F70" s="114">
        <f/>
        <v/>
      </c>
      <c r="G70" s="114">
        <f/>
        <v/>
      </c>
      <c r="H70" s="114">
        <f/>
        <v/>
      </c>
      <c r="I70" s="114">
        <f/>
        <v/>
      </c>
      <c r="J70" s="114">
        <f/>
        <v/>
      </c>
      <c r="K70" s="114">
        <f/>
        <v/>
      </c>
      <c r="L70" s="114">
        <f/>
        <v/>
      </c>
      <c r="M70" s="114">
        <f/>
        <v/>
      </c>
    </row>
    <row r="71">
      <c r="A71">
        <f/>
        <v/>
      </c>
      <c r="B71" s="114">
        <f/>
        <v/>
      </c>
      <c r="C71" s="114">
        <f/>
        <v/>
      </c>
      <c r="D71" s="114">
        <f/>
        <v/>
      </c>
      <c r="E71" s="114">
        <f/>
        <v/>
      </c>
      <c r="F71" s="114">
        <f/>
        <v/>
      </c>
      <c r="G71" s="114">
        <f/>
        <v/>
      </c>
      <c r="H71" s="114">
        <f/>
        <v/>
      </c>
      <c r="I71" s="114">
        <f/>
        <v/>
      </c>
      <c r="J71" s="114">
        <f/>
        <v/>
      </c>
      <c r="K71" s="114">
        <f/>
        <v/>
      </c>
      <c r="L71" s="114">
        <f/>
        <v/>
      </c>
      <c r="M71" s="114">
        <f/>
        <v/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87"/>
  <sheetViews>
    <sheetView topLeftCell="A57" workbookViewId="0">
      <selection activeCell="B2" sqref="B2"/>
    </sheetView>
  </sheetViews>
  <sheetFormatPr baseColWidth="8" defaultRowHeight="14.4"/>
  <cols>
    <col width="8.77734375" customWidth="1" style="114" min="2" max="14"/>
    <col width="35.21875" bestFit="1" customWidth="1" style="113" min="15" max="15"/>
  </cols>
  <sheetData>
    <row r="1">
      <c r="A1" t="inlineStr">
        <is>
          <t>LC</t>
        </is>
      </c>
      <c r="B1" s="135" t="inlineStr">
        <is>
          <t>M-01</t>
        </is>
      </c>
      <c r="C1" s="135" t="inlineStr">
        <is>
          <t>M-02</t>
        </is>
      </c>
      <c r="D1" s="135" t="inlineStr">
        <is>
          <t>M-03</t>
        </is>
      </c>
      <c r="E1" s="136" t="inlineStr">
        <is>
          <t>M-04</t>
        </is>
      </c>
      <c r="F1" s="136" t="inlineStr">
        <is>
          <t>M-05</t>
        </is>
      </c>
      <c r="G1" s="136" t="inlineStr">
        <is>
          <t>M-06</t>
        </is>
      </c>
      <c r="H1" s="137" t="inlineStr">
        <is>
          <t>M-07</t>
        </is>
      </c>
      <c r="I1" s="137" t="inlineStr">
        <is>
          <t>M-08</t>
        </is>
      </c>
      <c r="J1" s="137" t="inlineStr">
        <is>
          <t>M-09</t>
        </is>
      </c>
      <c r="K1" s="138" t="inlineStr">
        <is>
          <t>M-10</t>
        </is>
      </c>
      <c r="L1" s="138" t="inlineStr">
        <is>
          <t>M-11</t>
        </is>
      </c>
      <c r="M1" s="138" t="inlineStr">
        <is>
          <t>M-12</t>
        </is>
      </c>
      <c r="O1" s="114">
        <f t="array" ref="O1:O5">+SPECIES!A6:A10</f>
        <v/>
      </c>
      <c r="P1">
        <f t="array" ref="P1:P5">+SPECIES!C6:C10</f>
        <v/>
      </c>
    </row>
    <row r="2">
      <c r="A2">
        <f t="array" ref="A2:A71">+_xlfn.ANCHORARRAY(SPECIES!B17)</f>
        <v/>
      </c>
      <c r="B2" s="114">
        <f t="array" ref="B2:B87">+_xlfn.ANCHORARRAY(SPECIES!C17)</f>
        <v/>
      </c>
      <c r="C2" s="114">
        <f t="array" ref="C2:C87">+_xlfn.ANCHORARRAY(SPECIES!D17)</f>
        <v/>
      </c>
      <c r="D2" s="114">
        <f t="array" ref="D2:D87">+_xlfn.ANCHORARRAY(SPECIES!E17)</f>
        <v/>
      </c>
      <c r="E2" s="114">
        <f t="array" ref="E2:E87">+_xlfn.ANCHORARRAY(SPECIES!F17)</f>
        <v/>
      </c>
      <c r="F2" s="114">
        <f t="array" ref="F2:F87">+_xlfn.ANCHORARRAY(SPECIES!G17)</f>
        <v/>
      </c>
      <c r="G2" s="114">
        <f t="array" ref="G2:G87">+_xlfn.ANCHORARRAY(SPECIES!H17)</f>
        <v/>
      </c>
      <c r="H2" s="114">
        <f t="array" ref="H2:H87">+_xlfn.ANCHORARRAY(SPECIES!I17)</f>
        <v/>
      </c>
      <c r="I2" s="114">
        <f t="array" ref="I2:I87">+_xlfn.ANCHORARRAY(SPECIES!J17)</f>
        <v/>
      </c>
      <c r="J2" s="114">
        <f t="array" ref="J2:J87">+_xlfn.ANCHORARRAY(SPECIES!K17)</f>
        <v/>
      </c>
      <c r="K2" s="114">
        <f t="array" ref="K2:K87">+_xlfn.ANCHORARRAY(SPECIES!L17)</f>
        <v/>
      </c>
      <c r="L2" s="114">
        <f t="array" ref="L2:L87">+_xlfn.ANCHORARRAY(SPECIES!M17)</f>
        <v/>
      </c>
      <c r="M2" s="114">
        <f t="array" ref="M2:M87">+_xlfn.ANCHORARRAY(SPECIES!N17)</f>
        <v/>
      </c>
      <c r="O2" s="114">
        <f/>
        <v/>
      </c>
      <c r="P2">
        <f/>
        <v/>
      </c>
    </row>
    <row r="3">
      <c r="A3">
        <f/>
        <v/>
      </c>
      <c r="B3" s="114">
        <f/>
        <v/>
      </c>
      <c r="C3" s="114">
        <f/>
        <v/>
      </c>
      <c r="D3" s="114">
        <f/>
        <v/>
      </c>
      <c r="E3" s="114">
        <f/>
        <v/>
      </c>
      <c r="F3" s="114">
        <f/>
        <v/>
      </c>
      <c r="G3" s="114">
        <f/>
        <v/>
      </c>
      <c r="H3" s="114">
        <f/>
        <v/>
      </c>
      <c r="I3" s="114">
        <f/>
        <v/>
      </c>
      <c r="J3" s="114">
        <f/>
        <v/>
      </c>
      <c r="K3" s="114">
        <f/>
        <v/>
      </c>
      <c r="L3" s="114">
        <f/>
        <v/>
      </c>
      <c r="M3" s="114">
        <f/>
        <v/>
      </c>
      <c r="O3" s="114">
        <f/>
        <v/>
      </c>
      <c r="P3">
        <f/>
        <v/>
      </c>
    </row>
    <row r="4">
      <c r="A4">
        <f/>
        <v/>
      </c>
      <c r="B4" s="114">
        <f/>
        <v/>
      </c>
      <c r="C4" s="114">
        <f/>
        <v/>
      </c>
      <c r="D4" s="114">
        <f/>
        <v/>
      </c>
      <c r="E4" s="114">
        <f/>
        <v/>
      </c>
      <c r="F4" s="114">
        <f/>
        <v/>
      </c>
      <c r="G4" s="114">
        <f/>
        <v/>
      </c>
      <c r="H4" s="114">
        <f/>
        <v/>
      </c>
      <c r="I4" s="114">
        <f/>
        <v/>
      </c>
      <c r="J4" s="114">
        <f/>
        <v/>
      </c>
      <c r="K4" s="114">
        <f/>
        <v/>
      </c>
      <c r="L4" s="114">
        <f/>
        <v/>
      </c>
      <c r="M4" s="114">
        <f/>
        <v/>
      </c>
      <c r="O4" s="114">
        <f/>
        <v/>
      </c>
      <c r="P4">
        <f/>
        <v/>
      </c>
    </row>
    <row r="5">
      <c r="A5">
        <f/>
        <v/>
      </c>
      <c r="B5" s="114">
        <f/>
        <v/>
      </c>
      <c r="C5" s="114">
        <f/>
        <v/>
      </c>
      <c r="D5" s="114">
        <f/>
        <v/>
      </c>
      <c r="E5" s="114">
        <f/>
        <v/>
      </c>
      <c r="F5" s="114">
        <f/>
        <v/>
      </c>
      <c r="G5" s="114">
        <f/>
        <v/>
      </c>
      <c r="H5" s="114">
        <f/>
        <v/>
      </c>
      <c r="I5" s="114">
        <f/>
        <v/>
      </c>
      <c r="J5" s="114">
        <f/>
        <v/>
      </c>
      <c r="K5" s="114">
        <f/>
        <v/>
      </c>
      <c r="L5" s="114">
        <f/>
        <v/>
      </c>
      <c r="M5" s="114">
        <f/>
        <v/>
      </c>
      <c r="O5" s="114">
        <f/>
        <v/>
      </c>
      <c r="P5">
        <f/>
        <v/>
      </c>
    </row>
    <row r="6">
      <c r="A6">
        <f/>
        <v/>
      </c>
      <c r="B6" s="114">
        <f/>
        <v/>
      </c>
      <c r="C6" s="114">
        <f/>
        <v/>
      </c>
      <c r="D6" s="114">
        <f/>
        <v/>
      </c>
      <c r="E6" s="114">
        <f/>
        <v/>
      </c>
      <c r="F6" s="114">
        <f/>
        <v/>
      </c>
      <c r="G6" s="114">
        <f/>
        <v/>
      </c>
      <c r="H6" s="114">
        <f/>
        <v/>
      </c>
      <c r="I6" s="114">
        <f/>
        <v/>
      </c>
      <c r="J6" s="114">
        <f/>
        <v/>
      </c>
      <c r="K6" s="114">
        <f/>
        <v/>
      </c>
      <c r="L6" s="114">
        <f/>
        <v/>
      </c>
      <c r="M6" s="114">
        <f/>
        <v/>
      </c>
      <c r="O6" s="114">
        <f>+SPECIES!A12</f>
        <v/>
      </c>
      <c r="P6">
        <f>+SPECIES!C12</f>
        <v/>
      </c>
    </row>
    <row r="7">
      <c r="A7">
        <f/>
        <v/>
      </c>
      <c r="B7" s="114">
        <f/>
        <v/>
      </c>
      <c r="C7" s="114">
        <f/>
        <v/>
      </c>
      <c r="D7" s="114">
        <f/>
        <v/>
      </c>
      <c r="E7" s="114">
        <f/>
        <v/>
      </c>
      <c r="F7" s="114">
        <f/>
        <v/>
      </c>
      <c r="G7" s="114">
        <f/>
        <v/>
      </c>
      <c r="H7" s="114">
        <f/>
        <v/>
      </c>
      <c r="I7" s="114">
        <f/>
        <v/>
      </c>
      <c r="J7" s="114">
        <f/>
        <v/>
      </c>
      <c r="K7" s="114">
        <f/>
        <v/>
      </c>
      <c r="L7" s="114">
        <f/>
        <v/>
      </c>
      <c r="M7" s="114">
        <f/>
        <v/>
      </c>
    </row>
    <row r="8">
      <c r="A8">
        <f/>
        <v/>
      </c>
      <c r="B8" s="114">
        <f/>
        <v/>
      </c>
      <c r="C8" s="114">
        <f/>
        <v/>
      </c>
      <c r="D8" s="114">
        <f/>
        <v/>
      </c>
      <c r="E8" s="114">
        <f/>
        <v/>
      </c>
      <c r="F8" s="114">
        <f/>
        <v/>
      </c>
      <c r="G8" s="114">
        <f/>
        <v/>
      </c>
      <c r="H8" s="114">
        <f/>
        <v/>
      </c>
      <c r="I8" s="114">
        <f/>
        <v/>
      </c>
      <c r="J8" s="114">
        <f/>
        <v/>
      </c>
      <c r="K8" s="114">
        <f/>
        <v/>
      </c>
      <c r="L8" s="114">
        <f/>
        <v/>
      </c>
      <c r="M8" s="114">
        <f/>
        <v/>
      </c>
      <c r="O8" s="114">
        <f t="array" ref="O8:O11">+SPECIES!A14:A17</f>
        <v/>
      </c>
    </row>
    <row r="9">
      <c r="A9">
        <f/>
        <v/>
      </c>
      <c r="B9" s="114">
        <f/>
        <v/>
      </c>
      <c r="C9" s="114">
        <f/>
        <v/>
      </c>
      <c r="D9" s="114">
        <f/>
        <v/>
      </c>
      <c r="E9" s="114">
        <f/>
        <v/>
      </c>
      <c r="F9" s="114">
        <f/>
        <v/>
      </c>
      <c r="G9" s="114">
        <f/>
        <v/>
      </c>
      <c r="H9" s="114">
        <f/>
        <v/>
      </c>
      <c r="I9" s="114">
        <f/>
        <v/>
      </c>
      <c r="J9" s="114">
        <f/>
        <v/>
      </c>
      <c r="K9" s="114">
        <f/>
        <v/>
      </c>
      <c r="L9" s="114">
        <f/>
        <v/>
      </c>
      <c r="M9" s="114">
        <f/>
        <v/>
      </c>
      <c r="O9" s="114">
        <f/>
        <v/>
      </c>
    </row>
    <row r="10">
      <c r="A10">
        <f/>
        <v/>
      </c>
      <c r="B10" s="114">
        <f/>
        <v/>
      </c>
      <c r="C10" s="114">
        <f/>
        <v/>
      </c>
      <c r="D10" s="114">
        <f/>
        <v/>
      </c>
      <c r="E10" s="114">
        <f/>
        <v/>
      </c>
      <c r="F10" s="114">
        <f/>
        <v/>
      </c>
      <c r="G10" s="114">
        <f/>
        <v/>
      </c>
      <c r="H10" s="114">
        <f/>
        <v/>
      </c>
      <c r="I10" s="114">
        <f/>
        <v/>
      </c>
      <c r="J10" s="114">
        <f/>
        <v/>
      </c>
      <c r="K10" s="114">
        <f/>
        <v/>
      </c>
      <c r="L10" s="114">
        <f/>
        <v/>
      </c>
      <c r="M10" s="114">
        <f/>
        <v/>
      </c>
      <c r="O10" s="114">
        <f/>
        <v/>
      </c>
    </row>
    <row r="11">
      <c r="A11">
        <f/>
        <v/>
      </c>
      <c r="B11" s="114">
        <f/>
        <v/>
      </c>
      <c r="C11" s="114">
        <f/>
        <v/>
      </c>
      <c r="D11" s="114">
        <f/>
        <v/>
      </c>
      <c r="E11" s="114">
        <f/>
        <v/>
      </c>
      <c r="F11" s="114">
        <f/>
        <v/>
      </c>
      <c r="G11" s="114">
        <f/>
        <v/>
      </c>
      <c r="H11" s="114">
        <f/>
        <v/>
      </c>
      <c r="I11" s="114">
        <f/>
        <v/>
      </c>
      <c r="J11" s="114">
        <f/>
        <v/>
      </c>
      <c r="K11" s="114">
        <f/>
        <v/>
      </c>
      <c r="L11" s="114">
        <f/>
        <v/>
      </c>
      <c r="M11" s="114">
        <f/>
        <v/>
      </c>
      <c r="O11" s="114">
        <f/>
        <v/>
      </c>
    </row>
    <row r="12">
      <c r="A12">
        <f/>
        <v/>
      </c>
      <c r="B12" s="114">
        <f/>
        <v/>
      </c>
      <c r="C12" s="114">
        <f/>
        <v/>
      </c>
      <c r="D12" s="114">
        <f/>
        <v/>
      </c>
      <c r="E12" s="114">
        <f/>
        <v/>
      </c>
      <c r="F12" s="114">
        <f/>
        <v/>
      </c>
      <c r="G12" s="114">
        <f/>
        <v/>
      </c>
      <c r="H12" s="114">
        <f/>
        <v/>
      </c>
      <c r="I12" s="114">
        <f/>
        <v/>
      </c>
      <c r="J12" s="114">
        <f/>
        <v/>
      </c>
      <c r="K12" s="114">
        <f/>
        <v/>
      </c>
      <c r="L12" s="114">
        <f/>
        <v/>
      </c>
      <c r="M12" s="114">
        <f/>
        <v/>
      </c>
    </row>
    <row r="13">
      <c r="A13">
        <f/>
        <v/>
      </c>
      <c r="B13" s="114">
        <f/>
        <v/>
      </c>
      <c r="C13" s="114">
        <f/>
        <v/>
      </c>
      <c r="D13" s="114">
        <f/>
        <v/>
      </c>
      <c r="E13" s="114">
        <f/>
        <v/>
      </c>
      <c r="F13" s="114">
        <f/>
        <v/>
      </c>
      <c r="G13" s="114">
        <f/>
        <v/>
      </c>
      <c r="H13" s="114">
        <f/>
        <v/>
      </c>
      <c r="I13" s="114">
        <f/>
        <v/>
      </c>
      <c r="J13" s="114">
        <f/>
        <v/>
      </c>
      <c r="K13" s="114">
        <f/>
        <v/>
      </c>
      <c r="L13" s="114">
        <f/>
        <v/>
      </c>
      <c r="M13" s="114">
        <f/>
        <v/>
      </c>
    </row>
    <row r="14">
      <c r="A14">
        <f/>
        <v/>
      </c>
      <c r="B14" s="114">
        <f/>
        <v/>
      </c>
      <c r="C14" s="114">
        <f/>
        <v/>
      </c>
      <c r="D14" s="114">
        <f/>
        <v/>
      </c>
      <c r="E14" s="114">
        <f/>
        <v/>
      </c>
      <c r="F14" s="114">
        <f/>
        <v/>
      </c>
      <c r="G14" s="114">
        <f/>
        <v/>
      </c>
      <c r="H14" s="114">
        <f/>
        <v/>
      </c>
      <c r="I14" s="114">
        <f/>
        <v/>
      </c>
      <c r="J14" s="114">
        <f/>
        <v/>
      </c>
      <c r="K14" s="114">
        <f/>
        <v/>
      </c>
      <c r="L14" s="114">
        <f/>
        <v/>
      </c>
      <c r="M14" s="114">
        <f/>
        <v/>
      </c>
    </row>
    <row r="15">
      <c r="A15">
        <f/>
        <v/>
      </c>
      <c r="B15" s="114">
        <f/>
        <v/>
      </c>
      <c r="C15" s="114">
        <f/>
        <v/>
      </c>
      <c r="D15" s="114">
        <f/>
        <v/>
      </c>
      <c r="E15" s="114">
        <f/>
        <v/>
      </c>
      <c r="F15" s="114">
        <f/>
        <v/>
      </c>
      <c r="G15" s="114">
        <f/>
        <v/>
      </c>
      <c r="H15" s="114">
        <f/>
        <v/>
      </c>
      <c r="I15" s="114">
        <f/>
        <v/>
      </c>
      <c r="J15" s="114">
        <f/>
        <v/>
      </c>
      <c r="K15" s="114">
        <f/>
        <v/>
      </c>
      <c r="L15" s="114">
        <f/>
        <v/>
      </c>
      <c r="M15" s="114">
        <f/>
        <v/>
      </c>
    </row>
    <row r="16">
      <c r="A16">
        <f/>
        <v/>
      </c>
      <c r="B16" s="114">
        <f/>
        <v/>
      </c>
      <c r="C16" s="114">
        <f/>
        <v/>
      </c>
      <c r="D16" s="114">
        <f/>
        <v/>
      </c>
      <c r="E16" s="114">
        <f/>
        <v/>
      </c>
      <c r="F16" s="114">
        <f/>
        <v/>
      </c>
      <c r="G16" s="114">
        <f/>
        <v/>
      </c>
      <c r="H16" s="114">
        <f/>
        <v/>
      </c>
      <c r="I16" s="114">
        <f/>
        <v/>
      </c>
      <c r="J16" s="114">
        <f/>
        <v/>
      </c>
      <c r="K16" s="114">
        <f/>
        <v/>
      </c>
      <c r="L16" s="114">
        <f/>
        <v/>
      </c>
      <c r="M16" s="114">
        <f/>
        <v/>
      </c>
    </row>
    <row r="17">
      <c r="A17">
        <f/>
        <v/>
      </c>
      <c r="B17" s="114">
        <f/>
        <v/>
      </c>
      <c r="C17" s="114">
        <f/>
        <v/>
      </c>
      <c r="D17" s="114">
        <f/>
        <v/>
      </c>
      <c r="E17" s="114">
        <f/>
        <v/>
      </c>
      <c r="F17" s="114">
        <f/>
        <v/>
      </c>
      <c r="G17" s="114">
        <f/>
        <v/>
      </c>
      <c r="H17" s="114">
        <f/>
        <v/>
      </c>
      <c r="I17" s="114">
        <f/>
        <v/>
      </c>
      <c r="J17" s="114">
        <f/>
        <v/>
      </c>
      <c r="K17" s="114">
        <f/>
        <v/>
      </c>
      <c r="L17" s="114">
        <f/>
        <v/>
      </c>
      <c r="M17" s="114">
        <f/>
        <v/>
      </c>
    </row>
    <row r="18">
      <c r="A18">
        <f/>
        <v/>
      </c>
      <c r="B18" s="114">
        <f/>
        <v/>
      </c>
      <c r="C18" s="114">
        <f/>
        <v/>
      </c>
      <c r="D18" s="114">
        <f/>
        <v/>
      </c>
      <c r="E18" s="114">
        <f/>
        <v/>
      </c>
      <c r="F18" s="114">
        <f/>
        <v/>
      </c>
      <c r="G18" s="114">
        <f/>
        <v/>
      </c>
      <c r="H18" s="114">
        <f/>
        <v/>
      </c>
      <c r="I18" s="114">
        <f/>
        <v/>
      </c>
      <c r="J18" s="114">
        <f/>
        <v/>
      </c>
      <c r="K18" s="114">
        <f/>
        <v/>
      </c>
      <c r="L18" s="114">
        <f/>
        <v/>
      </c>
      <c r="M18" s="114">
        <f/>
        <v/>
      </c>
    </row>
    <row r="19">
      <c r="A19">
        <f/>
        <v/>
      </c>
      <c r="B19" s="114">
        <f/>
        <v/>
      </c>
      <c r="C19" s="114">
        <f/>
        <v/>
      </c>
      <c r="D19" s="114">
        <f/>
        <v/>
      </c>
      <c r="E19" s="114">
        <f/>
        <v/>
      </c>
      <c r="F19" s="114">
        <f/>
        <v/>
      </c>
      <c r="G19" s="114">
        <f/>
        <v/>
      </c>
      <c r="H19" s="114">
        <f/>
        <v/>
      </c>
      <c r="I19" s="114">
        <f/>
        <v/>
      </c>
      <c r="J19" s="114">
        <f/>
        <v/>
      </c>
      <c r="K19" s="114">
        <f/>
        <v/>
      </c>
      <c r="L19" s="114">
        <f/>
        <v/>
      </c>
      <c r="M19" s="114">
        <f/>
        <v/>
      </c>
    </row>
    <row r="20">
      <c r="A20">
        <f/>
        <v/>
      </c>
      <c r="B20" s="114">
        <f/>
        <v/>
      </c>
      <c r="C20" s="114">
        <f/>
        <v/>
      </c>
      <c r="D20" s="114">
        <f/>
        <v/>
      </c>
      <c r="E20" s="114">
        <f/>
        <v/>
      </c>
      <c r="F20" s="114">
        <f/>
        <v/>
      </c>
      <c r="G20" s="114">
        <f/>
        <v/>
      </c>
      <c r="H20" s="114">
        <f/>
        <v/>
      </c>
      <c r="I20" s="114">
        <f/>
        <v/>
      </c>
      <c r="J20" s="114">
        <f/>
        <v/>
      </c>
      <c r="K20" s="114">
        <f/>
        <v/>
      </c>
      <c r="L20" s="114">
        <f/>
        <v/>
      </c>
      <c r="M20" s="114">
        <f/>
        <v/>
      </c>
    </row>
    <row r="21">
      <c r="A21">
        <f/>
        <v/>
      </c>
      <c r="B21" s="114">
        <f/>
        <v/>
      </c>
      <c r="C21" s="114">
        <f/>
        <v/>
      </c>
      <c r="D21" s="114">
        <f/>
        <v/>
      </c>
      <c r="E21" s="114">
        <f/>
        <v/>
      </c>
      <c r="F21" s="114">
        <f/>
        <v/>
      </c>
      <c r="G21" s="114">
        <f/>
        <v/>
      </c>
      <c r="H21" s="114">
        <f/>
        <v/>
      </c>
      <c r="I21" s="114">
        <f/>
        <v/>
      </c>
      <c r="J21" s="114">
        <f/>
        <v/>
      </c>
      <c r="K21" s="114">
        <f/>
        <v/>
      </c>
      <c r="L21" s="114">
        <f/>
        <v/>
      </c>
      <c r="M21" s="114">
        <f/>
        <v/>
      </c>
    </row>
    <row r="22">
      <c r="A22">
        <f/>
        <v/>
      </c>
      <c r="B22" s="114">
        <f/>
        <v/>
      </c>
      <c r="C22" s="114">
        <f/>
        <v/>
      </c>
      <c r="D22" s="114">
        <f/>
        <v/>
      </c>
      <c r="E22" s="114">
        <f/>
        <v/>
      </c>
      <c r="F22" s="114">
        <f/>
        <v/>
      </c>
      <c r="G22" s="114">
        <f/>
        <v/>
      </c>
      <c r="H22" s="114">
        <f/>
        <v/>
      </c>
      <c r="I22" s="114">
        <f/>
        <v/>
      </c>
      <c r="J22" s="114">
        <f/>
        <v/>
      </c>
      <c r="K22" s="114">
        <f/>
        <v/>
      </c>
      <c r="L22" s="114">
        <f/>
        <v/>
      </c>
      <c r="M22" s="114">
        <f/>
        <v/>
      </c>
    </row>
    <row r="23">
      <c r="A23">
        <f/>
        <v/>
      </c>
      <c r="B23" s="114">
        <f/>
        <v/>
      </c>
      <c r="C23" s="114">
        <f/>
        <v/>
      </c>
      <c r="D23" s="114">
        <f/>
        <v/>
      </c>
      <c r="E23" s="114">
        <f/>
        <v/>
      </c>
      <c r="F23" s="114">
        <f/>
        <v/>
      </c>
      <c r="G23" s="114">
        <f/>
        <v/>
      </c>
      <c r="H23" s="114">
        <f/>
        <v/>
      </c>
      <c r="I23" s="114">
        <f/>
        <v/>
      </c>
      <c r="J23" s="114">
        <f/>
        <v/>
      </c>
      <c r="K23" s="114">
        <f/>
        <v/>
      </c>
      <c r="L23" s="114">
        <f/>
        <v/>
      </c>
      <c r="M23" s="114">
        <f/>
        <v/>
      </c>
    </row>
    <row r="24">
      <c r="A24">
        <f/>
        <v/>
      </c>
      <c r="B24" s="114">
        <f/>
        <v/>
      </c>
      <c r="C24" s="114">
        <f/>
        <v/>
      </c>
      <c r="D24" s="114">
        <f/>
        <v/>
      </c>
      <c r="E24" s="114">
        <f/>
        <v/>
      </c>
      <c r="F24" s="114">
        <f/>
        <v/>
      </c>
      <c r="G24" s="114">
        <f/>
        <v/>
      </c>
      <c r="H24" s="114">
        <f/>
        <v/>
      </c>
      <c r="I24" s="114">
        <f/>
        <v/>
      </c>
      <c r="J24" s="114">
        <f/>
        <v/>
      </c>
      <c r="K24" s="114">
        <f/>
        <v/>
      </c>
      <c r="L24" s="114">
        <f/>
        <v/>
      </c>
      <c r="M24" s="114">
        <f/>
        <v/>
      </c>
    </row>
    <row r="25">
      <c r="A25">
        <f/>
        <v/>
      </c>
      <c r="B25" s="114">
        <f/>
        <v/>
      </c>
      <c r="C25" s="114">
        <f/>
        <v/>
      </c>
      <c r="D25" s="114">
        <f/>
        <v/>
      </c>
      <c r="E25" s="114">
        <f/>
        <v/>
      </c>
      <c r="F25" s="114">
        <f/>
        <v/>
      </c>
      <c r="G25" s="114">
        <f/>
        <v/>
      </c>
      <c r="H25" s="114">
        <f/>
        <v/>
      </c>
      <c r="I25" s="114">
        <f/>
        <v/>
      </c>
      <c r="J25" s="114">
        <f/>
        <v/>
      </c>
      <c r="K25" s="114">
        <f/>
        <v/>
      </c>
      <c r="L25" s="114">
        <f/>
        <v/>
      </c>
      <c r="M25" s="114">
        <f/>
        <v/>
      </c>
    </row>
    <row r="26">
      <c r="A26">
        <f/>
        <v/>
      </c>
      <c r="B26" s="114">
        <f/>
        <v/>
      </c>
      <c r="C26" s="114">
        <f/>
        <v/>
      </c>
      <c r="D26" s="114">
        <f/>
        <v/>
      </c>
      <c r="E26" s="114">
        <f/>
        <v/>
      </c>
      <c r="F26" s="114">
        <f/>
        <v/>
      </c>
      <c r="G26" s="114">
        <f/>
        <v/>
      </c>
      <c r="H26" s="114">
        <f/>
        <v/>
      </c>
      <c r="I26" s="114">
        <f/>
        <v/>
      </c>
      <c r="J26" s="114">
        <f/>
        <v/>
      </c>
      <c r="K26" s="114">
        <f/>
        <v/>
      </c>
      <c r="L26" s="114">
        <f/>
        <v/>
      </c>
      <c r="M26" s="114">
        <f/>
        <v/>
      </c>
    </row>
    <row r="27">
      <c r="A27">
        <f/>
        <v/>
      </c>
      <c r="B27" s="114">
        <f/>
        <v/>
      </c>
      <c r="C27" s="114">
        <f/>
        <v/>
      </c>
      <c r="D27" s="114">
        <f/>
        <v/>
      </c>
      <c r="E27" s="114">
        <f/>
        <v/>
      </c>
      <c r="F27" s="114">
        <f/>
        <v/>
      </c>
      <c r="G27" s="114">
        <f/>
        <v/>
      </c>
      <c r="H27" s="114">
        <f/>
        <v/>
      </c>
      <c r="I27" s="114">
        <f/>
        <v/>
      </c>
      <c r="J27" s="114">
        <f/>
        <v/>
      </c>
      <c r="K27" s="114">
        <f/>
        <v/>
      </c>
      <c r="L27" s="114">
        <f/>
        <v/>
      </c>
      <c r="M27" s="114">
        <f/>
        <v/>
      </c>
    </row>
    <row r="28">
      <c r="A28">
        <f/>
        <v/>
      </c>
      <c r="B28" s="114">
        <f/>
        <v/>
      </c>
      <c r="C28" s="114">
        <f/>
        <v/>
      </c>
      <c r="D28" s="114">
        <f/>
        <v/>
      </c>
      <c r="E28" s="114">
        <f/>
        <v/>
      </c>
      <c r="F28" s="114">
        <f/>
        <v/>
      </c>
      <c r="G28" s="114">
        <f/>
        <v/>
      </c>
      <c r="H28" s="114">
        <f/>
        <v/>
      </c>
      <c r="I28" s="114">
        <f/>
        <v/>
      </c>
      <c r="J28" s="114">
        <f/>
        <v/>
      </c>
      <c r="K28" s="114">
        <f/>
        <v/>
      </c>
      <c r="L28" s="114">
        <f/>
        <v/>
      </c>
      <c r="M28" s="114">
        <f/>
        <v/>
      </c>
    </row>
    <row r="29">
      <c r="A29">
        <f/>
        <v/>
      </c>
      <c r="B29" s="114">
        <f/>
        <v/>
      </c>
      <c r="C29" s="114">
        <f/>
        <v/>
      </c>
      <c r="D29" s="114">
        <f/>
        <v/>
      </c>
      <c r="E29" s="114">
        <f/>
        <v/>
      </c>
      <c r="F29" s="114">
        <f/>
        <v/>
      </c>
      <c r="G29" s="114">
        <f/>
        <v/>
      </c>
      <c r="H29" s="114">
        <f/>
        <v/>
      </c>
      <c r="I29" s="114">
        <f/>
        <v/>
      </c>
      <c r="J29" s="114">
        <f/>
        <v/>
      </c>
      <c r="K29" s="114">
        <f/>
        <v/>
      </c>
      <c r="L29" s="114">
        <f/>
        <v/>
      </c>
      <c r="M29" s="114">
        <f/>
        <v/>
      </c>
    </row>
    <row r="30">
      <c r="A30">
        <f/>
        <v/>
      </c>
      <c r="B30" s="114">
        <f/>
        <v/>
      </c>
      <c r="C30" s="114">
        <f/>
        <v/>
      </c>
      <c r="D30" s="114">
        <f/>
        <v/>
      </c>
      <c r="E30" s="114">
        <f/>
        <v/>
      </c>
      <c r="F30" s="114">
        <f/>
        <v/>
      </c>
      <c r="G30" s="114">
        <f/>
        <v/>
      </c>
      <c r="H30" s="114">
        <f/>
        <v/>
      </c>
      <c r="I30" s="114">
        <f/>
        <v/>
      </c>
      <c r="J30" s="114">
        <f/>
        <v/>
      </c>
      <c r="K30" s="114">
        <f/>
        <v/>
      </c>
      <c r="L30" s="114">
        <f/>
        <v/>
      </c>
      <c r="M30" s="114">
        <f/>
        <v/>
      </c>
    </row>
    <row r="31">
      <c r="A31">
        <f/>
        <v/>
      </c>
      <c r="B31" s="114">
        <f/>
        <v/>
      </c>
      <c r="C31" s="114">
        <f/>
        <v/>
      </c>
      <c r="D31" s="114">
        <f/>
        <v/>
      </c>
      <c r="E31" s="114">
        <f/>
        <v/>
      </c>
      <c r="F31" s="114">
        <f/>
        <v/>
      </c>
      <c r="G31" s="114">
        <f/>
        <v/>
      </c>
      <c r="H31" s="114">
        <f/>
        <v/>
      </c>
      <c r="I31" s="114">
        <f/>
        <v/>
      </c>
      <c r="J31" s="114">
        <f/>
        <v/>
      </c>
      <c r="K31" s="114">
        <f/>
        <v/>
      </c>
      <c r="L31" s="114">
        <f/>
        <v/>
      </c>
      <c r="M31" s="114">
        <f/>
        <v/>
      </c>
    </row>
    <row r="32">
      <c r="A32">
        <f/>
        <v/>
      </c>
      <c r="B32" s="114">
        <f/>
        <v/>
      </c>
      <c r="C32" s="114">
        <f/>
        <v/>
      </c>
      <c r="D32" s="114">
        <f/>
        <v/>
      </c>
      <c r="E32" s="114">
        <f/>
        <v/>
      </c>
      <c r="F32" s="114">
        <f/>
        <v/>
      </c>
      <c r="G32" s="114">
        <f/>
        <v/>
      </c>
      <c r="H32" s="114">
        <f/>
        <v/>
      </c>
      <c r="I32" s="114">
        <f/>
        <v/>
      </c>
      <c r="J32" s="114">
        <f/>
        <v/>
      </c>
      <c r="K32" s="114">
        <f/>
        <v/>
      </c>
      <c r="L32" s="114">
        <f/>
        <v/>
      </c>
      <c r="M32" s="114">
        <f/>
        <v/>
      </c>
    </row>
    <row r="33">
      <c r="A33">
        <f/>
        <v/>
      </c>
      <c r="B33" s="114">
        <f/>
        <v/>
      </c>
      <c r="C33" s="114">
        <f/>
        <v/>
      </c>
      <c r="D33" s="114">
        <f/>
        <v/>
      </c>
      <c r="E33" s="114">
        <f/>
        <v/>
      </c>
      <c r="F33" s="114">
        <f/>
        <v/>
      </c>
      <c r="G33" s="114">
        <f/>
        <v/>
      </c>
      <c r="H33" s="114">
        <f/>
        <v/>
      </c>
      <c r="I33" s="114">
        <f/>
        <v/>
      </c>
      <c r="J33" s="114">
        <f/>
        <v/>
      </c>
      <c r="K33" s="114">
        <f/>
        <v/>
      </c>
      <c r="L33" s="114">
        <f/>
        <v/>
      </c>
      <c r="M33" s="114">
        <f/>
        <v/>
      </c>
    </row>
    <row r="34">
      <c r="A34">
        <f/>
        <v/>
      </c>
      <c r="B34" s="114">
        <f/>
        <v/>
      </c>
      <c r="C34" s="114">
        <f/>
        <v/>
      </c>
      <c r="D34" s="114">
        <f/>
        <v/>
      </c>
      <c r="E34" s="114">
        <f/>
        <v/>
      </c>
      <c r="F34" s="114">
        <f/>
        <v/>
      </c>
      <c r="G34" s="114">
        <f/>
        <v/>
      </c>
      <c r="H34" s="114">
        <f/>
        <v/>
      </c>
      <c r="I34" s="114">
        <f/>
        <v/>
      </c>
      <c r="J34" s="114">
        <f/>
        <v/>
      </c>
      <c r="K34" s="114">
        <f/>
        <v/>
      </c>
      <c r="L34" s="114">
        <f/>
        <v/>
      </c>
      <c r="M34" s="114">
        <f/>
        <v/>
      </c>
    </row>
    <row r="35">
      <c r="A35">
        <f/>
        <v/>
      </c>
      <c r="B35" s="114">
        <f/>
        <v/>
      </c>
      <c r="C35" s="114">
        <f/>
        <v/>
      </c>
      <c r="D35" s="114">
        <f/>
        <v/>
      </c>
      <c r="E35" s="114">
        <f/>
        <v/>
      </c>
      <c r="F35" s="114">
        <f/>
        <v/>
      </c>
      <c r="G35" s="114">
        <f/>
        <v/>
      </c>
      <c r="H35" s="114">
        <f/>
        <v/>
      </c>
      <c r="I35" s="114">
        <f/>
        <v/>
      </c>
      <c r="J35" s="114">
        <f/>
        <v/>
      </c>
      <c r="K35" s="114">
        <f/>
        <v/>
      </c>
      <c r="L35" s="114">
        <f/>
        <v/>
      </c>
      <c r="M35" s="114">
        <f/>
        <v/>
      </c>
    </row>
    <row r="36">
      <c r="A36">
        <f/>
        <v/>
      </c>
      <c r="B36" s="114">
        <f/>
        <v/>
      </c>
      <c r="C36" s="114">
        <f/>
        <v/>
      </c>
      <c r="D36" s="114">
        <f/>
        <v/>
      </c>
      <c r="E36" s="114">
        <f/>
        <v/>
      </c>
      <c r="F36" s="114">
        <f/>
        <v/>
      </c>
      <c r="G36" s="114">
        <f/>
        <v/>
      </c>
      <c r="H36" s="114">
        <f/>
        <v/>
      </c>
      <c r="I36" s="114">
        <f/>
        <v/>
      </c>
      <c r="J36" s="114">
        <f/>
        <v/>
      </c>
      <c r="K36" s="114">
        <f/>
        <v/>
      </c>
      <c r="L36" s="114">
        <f/>
        <v/>
      </c>
      <c r="M36" s="114">
        <f/>
        <v/>
      </c>
    </row>
    <row r="37">
      <c r="A37">
        <f/>
        <v/>
      </c>
      <c r="B37" s="114">
        <f/>
        <v/>
      </c>
      <c r="C37" s="114">
        <f/>
        <v/>
      </c>
      <c r="D37" s="114">
        <f/>
        <v/>
      </c>
      <c r="E37" s="114">
        <f/>
        <v/>
      </c>
      <c r="F37" s="114">
        <f/>
        <v/>
      </c>
      <c r="G37" s="114">
        <f/>
        <v/>
      </c>
      <c r="H37" s="114">
        <f/>
        <v/>
      </c>
      <c r="I37" s="114">
        <f/>
        <v/>
      </c>
      <c r="J37" s="114">
        <f/>
        <v/>
      </c>
      <c r="K37" s="114">
        <f/>
        <v/>
      </c>
      <c r="L37" s="114">
        <f/>
        <v/>
      </c>
      <c r="M37" s="114">
        <f/>
        <v/>
      </c>
    </row>
    <row r="38">
      <c r="A38">
        <f/>
        <v/>
      </c>
      <c r="B38" s="114">
        <f/>
        <v/>
      </c>
      <c r="C38" s="114">
        <f/>
        <v/>
      </c>
      <c r="D38" s="114">
        <f/>
        <v/>
      </c>
      <c r="E38" s="114">
        <f/>
        <v/>
      </c>
      <c r="F38" s="114">
        <f/>
        <v/>
      </c>
      <c r="G38" s="114">
        <f/>
        <v/>
      </c>
      <c r="H38" s="114">
        <f/>
        <v/>
      </c>
      <c r="I38" s="114">
        <f/>
        <v/>
      </c>
      <c r="J38" s="114">
        <f/>
        <v/>
      </c>
      <c r="K38" s="114">
        <f/>
        <v/>
      </c>
      <c r="L38" s="114">
        <f/>
        <v/>
      </c>
      <c r="M38" s="114">
        <f/>
        <v/>
      </c>
    </row>
    <row r="39">
      <c r="A39">
        <f/>
        <v/>
      </c>
      <c r="B39" s="114">
        <f/>
        <v/>
      </c>
      <c r="C39" s="114">
        <f/>
        <v/>
      </c>
      <c r="D39" s="114">
        <f/>
        <v/>
      </c>
      <c r="E39" s="114">
        <f/>
        <v/>
      </c>
      <c r="F39" s="114">
        <f/>
        <v/>
      </c>
      <c r="G39" s="114">
        <f/>
        <v/>
      </c>
      <c r="H39" s="114">
        <f/>
        <v/>
      </c>
      <c r="I39" s="114">
        <f/>
        <v/>
      </c>
      <c r="J39" s="114">
        <f/>
        <v/>
      </c>
      <c r="K39" s="114">
        <f/>
        <v/>
      </c>
      <c r="L39" s="114">
        <f/>
        <v/>
      </c>
      <c r="M39" s="114">
        <f/>
        <v/>
      </c>
    </row>
    <row r="40">
      <c r="A40">
        <f/>
        <v/>
      </c>
      <c r="B40" s="114">
        <f/>
        <v/>
      </c>
      <c r="C40" s="114">
        <f/>
        <v/>
      </c>
      <c r="D40" s="114">
        <f/>
        <v/>
      </c>
      <c r="E40" s="114">
        <f/>
        <v/>
      </c>
      <c r="F40" s="114">
        <f/>
        <v/>
      </c>
      <c r="G40" s="114">
        <f/>
        <v/>
      </c>
      <c r="H40" s="114">
        <f/>
        <v/>
      </c>
      <c r="I40" s="114">
        <f/>
        <v/>
      </c>
      <c r="J40" s="114">
        <f/>
        <v/>
      </c>
      <c r="K40" s="114">
        <f/>
        <v/>
      </c>
      <c r="L40" s="114">
        <f/>
        <v/>
      </c>
      <c r="M40" s="114">
        <f/>
        <v/>
      </c>
    </row>
    <row r="41">
      <c r="A41">
        <f/>
        <v/>
      </c>
      <c r="B41" s="114">
        <f/>
        <v/>
      </c>
      <c r="C41" s="114">
        <f/>
        <v/>
      </c>
      <c r="D41" s="114">
        <f/>
        <v/>
      </c>
      <c r="E41" s="114">
        <f/>
        <v/>
      </c>
      <c r="F41" s="114">
        <f/>
        <v/>
      </c>
      <c r="G41" s="114">
        <f/>
        <v/>
      </c>
      <c r="H41" s="114">
        <f/>
        <v/>
      </c>
      <c r="I41" s="114">
        <f/>
        <v/>
      </c>
      <c r="J41" s="114">
        <f/>
        <v/>
      </c>
      <c r="K41" s="114">
        <f/>
        <v/>
      </c>
      <c r="L41" s="114">
        <f/>
        <v/>
      </c>
      <c r="M41" s="114">
        <f/>
        <v/>
      </c>
    </row>
    <row r="42">
      <c r="A42">
        <f/>
        <v/>
      </c>
      <c r="B42" s="114">
        <f/>
        <v/>
      </c>
      <c r="C42" s="114">
        <f/>
        <v/>
      </c>
      <c r="D42" s="114">
        <f/>
        <v/>
      </c>
      <c r="E42" s="114">
        <f/>
        <v/>
      </c>
      <c r="F42" s="114">
        <f/>
        <v/>
      </c>
      <c r="G42" s="114">
        <f/>
        <v/>
      </c>
      <c r="H42" s="114">
        <f/>
        <v/>
      </c>
      <c r="I42" s="114">
        <f/>
        <v/>
      </c>
      <c r="J42" s="114">
        <f/>
        <v/>
      </c>
      <c r="K42" s="114">
        <f/>
        <v/>
      </c>
      <c r="L42" s="114">
        <f/>
        <v/>
      </c>
      <c r="M42" s="114">
        <f/>
        <v/>
      </c>
    </row>
    <row r="43">
      <c r="A43">
        <f/>
        <v/>
      </c>
      <c r="B43" s="114">
        <f/>
        <v/>
      </c>
      <c r="C43" s="114">
        <f/>
        <v/>
      </c>
      <c r="D43" s="114">
        <f/>
        <v/>
      </c>
      <c r="E43" s="114">
        <f/>
        <v/>
      </c>
      <c r="F43" s="114">
        <f/>
        <v/>
      </c>
      <c r="G43" s="114">
        <f/>
        <v/>
      </c>
      <c r="H43" s="114">
        <f/>
        <v/>
      </c>
      <c r="I43" s="114">
        <f/>
        <v/>
      </c>
      <c r="J43" s="114">
        <f/>
        <v/>
      </c>
      <c r="K43" s="114">
        <f/>
        <v/>
      </c>
      <c r="L43" s="114">
        <f/>
        <v/>
      </c>
      <c r="M43" s="114">
        <f/>
        <v/>
      </c>
    </row>
    <row r="44">
      <c r="A44">
        <f/>
        <v/>
      </c>
      <c r="B44" s="114">
        <f/>
        <v/>
      </c>
      <c r="C44" s="114">
        <f/>
        <v/>
      </c>
      <c r="D44" s="114">
        <f/>
        <v/>
      </c>
      <c r="E44" s="114">
        <f/>
        <v/>
      </c>
      <c r="F44" s="114">
        <f/>
        <v/>
      </c>
      <c r="G44" s="114">
        <f/>
        <v/>
      </c>
      <c r="H44" s="114">
        <f/>
        <v/>
      </c>
      <c r="I44" s="114">
        <f/>
        <v/>
      </c>
      <c r="J44" s="114">
        <f/>
        <v/>
      </c>
      <c r="K44" s="114">
        <f/>
        <v/>
      </c>
      <c r="L44" s="114">
        <f/>
        <v/>
      </c>
      <c r="M44" s="114">
        <f/>
        <v/>
      </c>
    </row>
    <row r="45">
      <c r="A45">
        <f/>
        <v/>
      </c>
      <c r="B45" s="114">
        <f/>
        <v/>
      </c>
      <c r="C45" s="114">
        <f/>
        <v/>
      </c>
      <c r="D45" s="114">
        <f/>
        <v/>
      </c>
      <c r="E45" s="114">
        <f/>
        <v/>
      </c>
      <c r="F45" s="114">
        <f/>
        <v/>
      </c>
      <c r="G45" s="114">
        <f/>
        <v/>
      </c>
      <c r="H45" s="114">
        <f/>
        <v/>
      </c>
      <c r="I45" s="114">
        <f/>
        <v/>
      </c>
      <c r="J45" s="114">
        <f/>
        <v/>
      </c>
      <c r="K45" s="114">
        <f/>
        <v/>
      </c>
      <c r="L45" s="114">
        <f/>
        <v/>
      </c>
      <c r="M45" s="114">
        <f/>
        <v/>
      </c>
    </row>
    <row r="46">
      <c r="A46">
        <f/>
        <v/>
      </c>
      <c r="B46" s="114">
        <f/>
        <v/>
      </c>
      <c r="C46" s="114">
        <f/>
        <v/>
      </c>
      <c r="D46" s="114">
        <f/>
        <v/>
      </c>
      <c r="E46" s="114">
        <f/>
        <v/>
      </c>
      <c r="F46" s="114">
        <f/>
        <v/>
      </c>
      <c r="G46" s="114">
        <f/>
        <v/>
      </c>
      <c r="H46" s="114">
        <f/>
        <v/>
      </c>
      <c r="I46" s="114">
        <f/>
        <v/>
      </c>
      <c r="J46" s="114">
        <f/>
        <v/>
      </c>
      <c r="K46" s="114">
        <f/>
        <v/>
      </c>
      <c r="L46" s="114">
        <f/>
        <v/>
      </c>
      <c r="M46" s="114">
        <f/>
        <v/>
      </c>
    </row>
    <row r="47">
      <c r="A47">
        <f/>
        <v/>
      </c>
      <c r="B47" s="114">
        <f/>
        <v/>
      </c>
      <c r="C47" s="114">
        <f/>
        <v/>
      </c>
      <c r="D47" s="114">
        <f/>
        <v/>
      </c>
      <c r="E47" s="114">
        <f/>
        <v/>
      </c>
      <c r="F47" s="114">
        <f/>
        <v/>
      </c>
      <c r="G47" s="114">
        <f/>
        <v/>
      </c>
      <c r="H47" s="114">
        <f/>
        <v/>
      </c>
      <c r="I47" s="114">
        <f/>
        <v/>
      </c>
      <c r="J47" s="114">
        <f/>
        <v/>
      </c>
      <c r="K47" s="114">
        <f/>
        <v/>
      </c>
      <c r="L47" s="114">
        <f/>
        <v/>
      </c>
      <c r="M47" s="114">
        <f/>
        <v/>
      </c>
    </row>
    <row r="48">
      <c r="A48">
        <f/>
        <v/>
      </c>
      <c r="B48" s="114">
        <f/>
        <v/>
      </c>
      <c r="C48" s="114">
        <f/>
        <v/>
      </c>
      <c r="D48" s="114">
        <f/>
        <v/>
      </c>
      <c r="E48" s="114">
        <f/>
        <v/>
      </c>
      <c r="F48" s="114">
        <f/>
        <v/>
      </c>
      <c r="G48" s="114">
        <f/>
        <v/>
      </c>
      <c r="H48" s="114">
        <f/>
        <v/>
      </c>
      <c r="I48" s="114">
        <f/>
        <v/>
      </c>
      <c r="J48" s="114">
        <f/>
        <v/>
      </c>
      <c r="K48" s="114">
        <f/>
        <v/>
      </c>
      <c r="L48" s="114">
        <f/>
        <v/>
      </c>
      <c r="M48" s="114">
        <f/>
        <v/>
      </c>
    </row>
    <row r="49">
      <c r="A49">
        <f/>
        <v/>
      </c>
      <c r="B49" s="114">
        <f/>
        <v/>
      </c>
      <c r="C49" s="114">
        <f/>
        <v/>
      </c>
      <c r="D49" s="114">
        <f/>
        <v/>
      </c>
      <c r="E49" s="114">
        <f/>
        <v/>
      </c>
      <c r="F49" s="114">
        <f/>
        <v/>
      </c>
      <c r="G49" s="114">
        <f/>
        <v/>
      </c>
      <c r="H49" s="114">
        <f/>
        <v/>
      </c>
      <c r="I49" s="114">
        <f/>
        <v/>
      </c>
      <c r="J49" s="114">
        <f/>
        <v/>
      </c>
      <c r="K49" s="114">
        <f/>
        <v/>
      </c>
      <c r="L49" s="114">
        <f/>
        <v/>
      </c>
      <c r="M49" s="114">
        <f/>
        <v/>
      </c>
    </row>
    <row r="50">
      <c r="A50">
        <f/>
        <v/>
      </c>
      <c r="B50" s="114">
        <f/>
        <v/>
      </c>
      <c r="C50" s="114">
        <f/>
        <v/>
      </c>
      <c r="D50" s="114">
        <f/>
        <v/>
      </c>
      <c r="E50" s="114">
        <f/>
        <v/>
      </c>
      <c r="F50" s="114">
        <f/>
        <v/>
      </c>
      <c r="G50" s="114">
        <f/>
        <v/>
      </c>
      <c r="H50" s="114">
        <f/>
        <v/>
      </c>
      <c r="I50" s="114">
        <f/>
        <v/>
      </c>
      <c r="J50" s="114">
        <f/>
        <v/>
      </c>
      <c r="K50" s="114">
        <f/>
        <v/>
      </c>
      <c r="L50" s="114">
        <f/>
        <v/>
      </c>
      <c r="M50" s="114">
        <f/>
        <v/>
      </c>
    </row>
    <row r="51">
      <c r="A51">
        <f/>
        <v/>
      </c>
      <c r="B51" s="114">
        <f/>
        <v/>
      </c>
      <c r="C51" s="114">
        <f/>
        <v/>
      </c>
      <c r="D51" s="114">
        <f/>
        <v/>
      </c>
      <c r="E51" s="114">
        <f/>
        <v/>
      </c>
      <c r="F51" s="114">
        <f/>
        <v/>
      </c>
      <c r="G51" s="114">
        <f/>
        <v/>
      </c>
      <c r="H51" s="114">
        <f/>
        <v/>
      </c>
      <c r="I51" s="114">
        <f/>
        <v/>
      </c>
      <c r="J51" s="114">
        <f/>
        <v/>
      </c>
      <c r="K51" s="114">
        <f/>
        <v/>
      </c>
      <c r="L51" s="114">
        <f/>
        <v/>
      </c>
      <c r="M51" s="114">
        <f/>
        <v/>
      </c>
    </row>
    <row r="52">
      <c r="A52">
        <f/>
        <v/>
      </c>
      <c r="B52" s="114">
        <f/>
        <v/>
      </c>
      <c r="C52" s="114">
        <f/>
        <v/>
      </c>
      <c r="D52" s="114">
        <f/>
        <v/>
      </c>
      <c r="E52" s="114">
        <f/>
        <v/>
      </c>
      <c r="F52" s="114">
        <f/>
        <v/>
      </c>
      <c r="G52" s="114">
        <f/>
        <v/>
      </c>
      <c r="H52" s="114">
        <f/>
        <v/>
      </c>
      <c r="I52" s="114">
        <f/>
        <v/>
      </c>
      <c r="J52" s="114">
        <f/>
        <v/>
      </c>
      <c r="K52" s="114">
        <f/>
        <v/>
      </c>
      <c r="L52" s="114">
        <f/>
        <v/>
      </c>
      <c r="M52" s="114">
        <f/>
        <v/>
      </c>
    </row>
    <row r="53">
      <c r="A53">
        <f/>
        <v/>
      </c>
      <c r="B53" s="114">
        <f/>
        <v/>
      </c>
      <c r="C53" s="114">
        <f/>
        <v/>
      </c>
      <c r="D53" s="114">
        <f/>
        <v/>
      </c>
      <c r="E53" s="114">
        <f/>
        <v/>
      </c>
      <c r="F53" s="114">
        <f/>
        <v/>
      </c>
      <c r="G53" s="114">
        <f/>
        <v/>
      </c>
      <c r="H53" s="114">
        <f/>
        <v/>
      </c>
      <c r="I53" s="114">
        <f/>
        <v/>
      </c>
      <c r="J53" s="114">
        <f/>
        <v/>
      </c>
      <c r="K53" s="114">
        <f/>
        <v/>
      </c>
      <c r="L53" s="114">
        <f/>
        <v/>
      </c>
      <c r="M53" s="114">
        <f/>
        <v/>
      </c>
    </row>
    <row r="54">
      <c r="A54">
        <f/>
        <v/>
      </c>
      <c r="B54" s="114">
        <f/>
        <v/>
      </c>
      <c r="C54" s="114">
        <f/>
        <v/>
      </c>
      <c r="D54" s="114">
        <f/>
        <v/>
      </c>
      <c r="E54" s="114">
        <f/>
        <v/>
      </c>
      <c r="F54" s="114">
        <f/>
        <v/>
      </c>
      <c r="G54" s="114">
        <f/>
        <v/>
      </c>
      <c r="H54" s="114">
        <f/>
        <v/>
      </c>
      <c r="I54" s="114">
        <f/>
        <v/>
      </c>
      <c r="J54" s="114">
        <f/>
        <v/>
      </c>
      <c r="K54" s="114">
        <f/>
        <v/>
      </c>
      <c r="L54" s="114">
        <f/>
        <v/>
      </c>
      <c r="M54" s="114">
        <f/>
        <v/>
      </c>
    </row>
    <row r="55">
      <c r="A55">
        <f/>
        <v/>
      </c>
      <c r="B55" s="114">
        <f/>
        <v/>
      </c>
      <c r="C55" s="114">
        <f/>
        <v/>
      </c>
      <c r="D55" s="114">
        <f/>
        <v/>
      </c>
      <c r="E55" s="114">
        <f/>
        <v/>
      </c>
      <c r="F55" s="114">
        <f/>
        <v/>
      </c>
      <c r="G55" s="114">
        <f/>
        <v/>
      </c>
      <c r="H55" s="114">
        <f/>
        <v/>
      </c>
      <c r="I55" s="114">
        <f/>
        <v/>
      </c>
      <c r="J55" s="114">
        <f/>
        <v/>
      </c>
      <c r="K55" s="114">
        <f/>
        <v/>
      </c>
      <c r="L55" s="114">
        <f/>
        <v/>
      </c>
      <c r="M55" s="114">
        <f/>
        <v/>
      </c>
    </row>
    <row r="56">
      <c r="A56">
        <f/>
        <v/>
      </c>
      <c r="B56" s="114">
        <f/>
        <v/>
      </c>
      <c r="C56" s="114">
        <f/>
        <v/>
      </c>
      <c r="D56" s="114">
        <f/>
        <v/>
      </c>
      <c r="E56" s="114">
        <f/>
        <v/>
      </c>
      <c r="F56" s="114">
        <f/>
        <v/>
      </c>
      <c r="G56" s="114">
        <f/>
        <v/>
      </c>
      <c r="H56" s="114">
        <f/>
        <v/>
      </c>
      <c r="I56" s="114">
        <f/>
        <v/>
      </c>
      <c r="J56" s="114">
        <f/>
        <v/>
      </c>
      <c r="K56" s="114">
        <f/>
        <v/>
      </c>
      <c r="L56" s="114">
        <f/>
        <v/>
      </c>
      <c r="M56" s="114">
        <f/>
        <v/>
      </c>
    </row>
    <row r="57">
      <c r="A57">
        <f/>
        <v/>
      </c>
      <c r="B57" s="114">
        <f/>
        <v/>
      </c>
      <c r="C57" s="114">
        <f/>
        <v/>
      </c>
      <c r="D57" s="114">
        <f/>
        <v/>
      </c>
      <c r="E57" s="114">
        <f/>
        <v/>
      </c>
      <c r="F57" s="114">
        <f/>
        <v/>
      </c>
      <c r="G57" s="114">
        <f/>
        <v/>
      </c>
      <c r="H57" s="114">
        <f/>
        <v/>
      </c>
      <c r="I57" s="114">
        <f/>
        <v/>
      </c>
      <c r="J57" s="114">
        <f/>
        <v/>
      </c>
      <c r="K57" s="114">
        <f/>
        <v/>
      </c>
      <c r="L57" s="114">
        <f/>
        <v/>
      </c>
      <c r="M57" s="114">
        <f/>
        <v/>
      </c>
    </row>
    <row r="58">
      <c r="A58">
        <f/>
        <v/>
      </c>
      <c r="B58" s="114">
        <f/>
        <v/>
      </c>
      <c r="C58" s="114">
        <f/>
        <v/>
      </c>
      <c r="D58" s="114">
        <f/>
        <v/>
      </c>
      <c r="E58" s="114">
        <f/>
        <v/>
      </c>
      <c r="F58" s="114">
        <f/>
        <v/>
      </c>
      <c r="G58" s="114">
        <f/>
        <v/>
      </c>
      <c r="H58" s="114">
        <f/>
        <v/>
      </c>
      <c r="I58" s="114">
        <f/>
        <v/>
      </c>
      <c r="J58" s="114">
        <f/>
        <v/>
      </c>
      <c r="K58" s="114">
        <f/>
        <v/>
      </c>
      <c r="L58" s="114">
        <f/>
        <v/>
      </c>
      <c r="M58" s="114">
        <f/>
        <v/>
      </c>
    </row>
    <row r="59">
      <c r="A59">
        <f/>
        <v/>
      </c>
      <c r="B59" s="114">
        <f/>
        <v/>
      </c>
      <c r="C59" s="114">
        <f/>
        <v/>
      </c>
      <c r="D59" s="114">
        <f/>
        <v/>
      </c>
      <c r="E59" s="114">
        <f/>
        <v/>
      </c>
      <c r="F59" s="114">
        <f/>
        <v/>
      </c>
      <c r="G59" s="114">
        <f/>
        <v/>
      </c>
      <c r="H59" s="114">
        <f/>
        <v/>
      </c>
      <c r="I59" s="114">
        <f/>
        <v/>
      </c>
      <c r="J59" s="114">
        <f/>
        <v/>
      </c>
      <c r="K59" s="114">
        <f/>
        <v/>
      </c>
      <c r="L59" s="114">
        <f/>
        <v/>
      </c>
      <c r="M59" s="114">
        <f/>
        <v/>
      </c>
    </row>
    <row r="60">
      <c r="A60">
        <f/>
        <v/>
      </c>
      <c r="B60" s="114">
        <f/>
        <v/>
      </c>
      <c r="C60" s="114">
        <f/>
        <v/>
      </c>
      <c r="D60" s="114">
        <f/>
        <v/>
      </c>
      <c r="E60" s="114">
        <f/>
        <v/>
      </c>
      <c r="F60" s="114">
        <f/>
        <v/>
      </c>
      <c r="G60" s="114">
        <f/>
        <v/>
      </c>
      <c r="H60" s="114">
        <f/>
        <v/>
      </c>
      <c r="I60" s="114">
        <f/>
        <v/>
      </c>
      <c r="J60" s="114">
        <f/>
        <v/>
      </c>
      <c r="K60" s="114">
        <f/>
        <v/>
      </c>
      <c r="L60" s="114">
        <f/>
        <v/>
      </c>
      <c r="M60" s="114">
        <f/>
        <v/>
      </c>
    </row>
    <row r="61">
      <c r="A61">
        <f/>
        <v/>
      </c>
      <c r="B61" s="114">
        <f/>
        <v/>
      </c>
      <c r="C61" s="114">
        <f/>
        <v/>
      </c>
      <c r="D61" s="114">
        <f/>
        <v/>
      </c>
      <c r="E61" s="114">
        <f/>
        <v/>
      </c>
      <c r="F61" s="114">
        <f/>
        <v/>
      </c>
      <c r="G61" s="114">
        <f/>
        <v/>
      </c>
      <c r="H61" s="114">
        <f/>
        <v/>
      </c>
      <c r="I61" s="114">
        <f/>
        <v/>
      </c>
      <c r="J61" s="114">
        <f/>
        <v/>
      </c>
      <c r="K61" s="114">
        <f/>
        <v/>
      </c>
      <c r="L61" s="114">
        <f/>
        <v/>
      </c>
      <c r="M61" s="114">
        <f/>
        <v/>
      </c>
    </row>
    <row r="62">
      <c r="A62">
        <f/>
        <v/>
      </c>
      <c r="B62" s="114">
        <f/>
        <v/>
      </c>
      <c r="C62" s="114">
        <f/>
        <v/>
      </c>
      <c r="D62" s="114">
        <f/>
        <v/>
      </c>
      <c r="E62" s="114">
        <f/>
        <v/>
      </c>
      <c r="F62" s="114">
        <f/>
        <v/>
      </c>
      <c r="G62" s="114">
        <f/>
        <v/>
      </c>
      <c r="H62" s="114">
        <f/>
        <v/>
      </c>
      <c r="I62" s="114">
        <f/>
        <v/>
      </c>
      <c r="J62" s="114">
        <f/>
        <v/>
      </c>
      <c r="K62" s="114">
        <f/>
        <v/>
      </c>
      <c r="L62" s="114">
        <f/>
        <v/>
      </c>
      <c r="M62" s="114">
        <f/>
        <v/>
      </c>
    </row>
    <row r="63">
      <c r="A63">
        <f/>
        <v/>
      </c>
      <c r="B63" s="114">
        <f/>
        <v/>
      </c>
      <c r="C63" s="114">
        <f/>
        <v/>
      </c>
      <c r="D63" s="114">
        <f/>
        <v/>
      </c>
      <c r="E63" s="114">
        <f/>
        <v/>
      </c>
      <c r="F63" s="114">
        <f/>
        <v/>
      </c>
      <c r="G63" s="114">
        <f/>
        <v/>
      </c>
      <c r="H63" s="114">
        <f/>
        <v/>
      </c>
      <c r="I63" s="114">
        <f/>
        <v/>
      </c>
      <c r="J63" s="114">
        <f/>
        <v/>
      </c>
      <c r="K63" s="114">
        <f/>
        <v/>
      </c>
      <c r="L63" s="114">
        <f/>
        <v/>
      </c>
      <c r="M63" s="114">
        <f/>
        <v/>
      </c>
    </row>
    <row r="64">
      <c r="A64">
        <f/>
        <v/>
      </c>
      <c r="B64" s="114">
        <f/>
        <v/>
      </c>
      <c r="C64" s="114">
        <f/>
        <v/>
      </c>
      <c r="D64" s="114">
        <f/>
        <v/>
      </c>
      <c r="E64" s="114">
        <f/>
        <v/>
      </c>
      <c r="F64" s="114">
        <f/>
        <v/>
      </c>
      <c r="G64" s="114">
        <f/>
        <v/>
      </c>
      <c r="H64" s="114">
        <f/>
        <v/>
      </c>
      <c r="I64" s="114">
        <f/>
        <v/>
      </c>
      <c r="J64" s="114">
        <f/>
        <v/>
      </c>
      <c r="K64" s="114">
        <f/>
        <v/>
      </c>
      <c r="L64" s="114">
        <f/>
        <v/>
      </c>
      <c r="M64" s="114">
        <f/>
        <v/>
      </c>
    </row>
    <row r="65">
      <c r="A65">
        <f/>
        <v/>
      </c>
      <c r="B65" s="114">
        <f/>
        <v/>
      </c>
      <c r="C65" s="114">
        <f/>
        <v/>
      </c>
      <c r="D65" s="114">
        <f/>
        <v/>
      </c>
      <c r="E65" s="114">
        <f/>
        <v/>
      </c>
      <c r="F65" s="114">
        <f/>
        <v/>
      </c>
      <c r="G65" s="114">
        <f/>
        <v/>
      </c>
      <c r="H65" s="114">
        <f/>
        <v/>
      </c>
      <c r="I65" s="114">
        <f/>
        <v/>
      </c>
      <c r="J65" s="114">
        <f/>
        <v/>
      </c>
      <c r="K65" s="114">
        <f/>
        <v/>
      </c>
      <c r="L65" s="114">
        <f/>
        <v/>
      </c>
      <c r="M65" s="114">
        <f/>
        <v/>
      </c>
    </row>
    <row r="66">
      <c r="A66">
        <f/>
        <v/>
      </c>
      <c r="B66" s="114">
        <f/>
        <v/>
      </c>
      <c r="C66" s="114">
        <f/>
        <v/>
      </c>
      <c r="D66" s="114">
        <f/>
        <v/>
      </c>
      <c r="E66" s="114">
        <f/>
        <v/>
      </c>
      <c r="F66" s="114">
        <f/>
        <v/>
      </c>
      <c r="G66" s="114">
        <f/>
        <v/>
      </c>
      <c r="H66" s="114">
        <f/>
        <v/>
      </c>
      <c r="I66" s="114">
        <f/>
        <v/>
      </c>
      <c r="J66" s="114">
        <f/>
        <v/>
      </c>
      <c r="K66" s="114">
        <f/>
        <v/>
      </c>
      <c r="L66" s="114">
        <f/>
        <v/>
      </c>
      <c r="M66" s="114">
        <f/>
        <v/>
      </c>
    </row>
    <row r="67">
      <c r="A67">
        <f/>
        <v/>
      </c>
      <c r="B67" s="114">
        <f/>
        <v/>
      </c>
      <c r="C67" s="114">
        <f/>
        <v/>
      </c>
      <c r="D67" s="114">
        <f/>
        <v/>
      </c>
      <c r="E67" s="114">
        <f/>
        <v/>
      </c>
      <c r="F67" s="114">
        <f/>
        <v/>
      </c>
      <c r="G67" s="114">
        <f/>
        <v/>
      </c>
      <c r="H67" s="114">
        <f/>
        <v/>
      </c>
      <c r="I67" s="114">
        <f/>
        <v/>
      </c>
      <c r="J67" s="114">
        <f/>
        <v/>
      </c>
      <c r="K67" s="114">
        <f/>
        <v/>
      </c>
      <c r="L67" s="114">
        <f/>
        <v/>
      </c>
      <c r="M67" s="114">
        <f/>
        <v/>
      </c>
    </row>
    <row r="68">
      <c r="A68">
        <f/>
        <v/>
      </c>
      <c r="B68" s="114">
        <f/>
        <v/>
      </c>
      <c r="C68" s="114">
        <f/>
        <v/>
      </c>
      <c r="D68" s="114">
        <f/>
        <v/>
      </c>
      <c r="E68" s="114">
        <f/>
        <v/>
      </c>
      <c r="F68" s="114">
        <f/>
        <v/>
      </c>
      <c r="G68" s="114">
        <f/>
        <v/>
      </c>
      <c r="H68" s="114">
        <f/>
        <v/>
      </c>
      <c r="I68" s="114">
        <f/>
        <v/>
      </c>
      <c r="J68" s="114">
        <f/>
        <v/>
      </c>
      <c r="K68" s="114">
        <f/>
        <v/>
      </c>
      <c r="L68" s="114">
        <f/>
        <v/>
      </c>
      <c r="M68" s="114">
        <f/>
        <v/>
      </c>
    </row>
    <row r="69">
      <c r="A69">
        <f/>
        <v/>
      </c>
      <c r="B69" s="114">
        <f/>
        <v/>
      </c>
      <c r="C69" s="114">
        <f/>
        <v/>
      </c>
      <c r="D69" s="114">
        <f/>
        <v/>
      </c>
      <c r="E69" s="114">
        <f/>
        <v/>
      </c>
      <c r="F69" s="114">
        <f/>
        <v/>
      </c>
      <c r="G69" s="114">
        <f/>
        <v/>
      </c>
      <c r="H69" s="114">
        <f/>
        <v/>
      </c>
      <c r="I69" s="114">
        <f/>
        <v/>
      </c>
      <c r="J69" s="114">
        <f/>
        <v/>
      </c>
      <c r="K69" s="114">
        <f/>
        <v/>
      </c>
      <c r="L69" s="114">
        <f/>
        <v/>
      </c>
      <c r="M69" s="114">
        <f/>
        <v/>
      </c>
    </row>
    <row r="70">
      <c r="A70">
        <f/>
        <v/>
      </c>
      <c r="B70" s="114">
        <f/>
        <v/>
      </c>
      <c r="C70" s="114">
        <f/>
        <v/>
      </c>
      <c r="D70" s="114">
        <f/>
        <v/>
      </c>
      <c r="E70" s="114">
        <f/>
        <v/>
      </c>
      <c r="F70" s="114">
        <f/>
        <v/>
      </c>
      <c r="G70" s="114">
        <f/>
        <v/>
      </c>
      <c r="H70" s="114">
        <f/>
        <v/>
      </c>
      <c r="I70" s="114">
        <f/>
        <v/>
      </c>
      <c r="J70" s="114">
        <f/>
        <v/>
      </c>
      <c r="K70" s="114">
        <f/>
        <v/>
      </c>
      <c r="L70" s="114">
        <f/>
        <v/>
      </c>
      <c r="M70" s="114">
        <f/>
        <v/>
      </c>
    </row>
    <row r="71">
      <c r="A71">
        <f/>
        <v/>
      </c>
      <c r="B71" s="114">
        <f/>
        <v/>
      </c>
      <c r="C71" s="114">
        <f/>
        <v/>
      </c>
      <c r="D71" s="114">
        <f/>
        <v/>
      </c>
      <c r="E71" s="114">
        <f/>
        <v/>
      </c>
      <c r="F71" s="114">
        <f/>
        <v/>
      </c>
      <c r="G71" s="114">
        <f/>
        <v/>
      </c>
      <c r="H71" s="114">
        <f/>
        <v/>
      </c>
      <c r="I71" s="114">
        <f/>
        <v/>
      </c>
      <c r="J71" s="114">
        <f/>
        <v/>
      </c>
      <c r="K71" s="114">
        <f/>
        <v/>
      </c>
      <c r="L71" s="114">
        <f/>
        <v/>
      </c>
      <c r="M71" s="114">
        <f/>
        <v/>
      </c>
    </row>
    <row r="72">
      <c r="B72" s="114">
        <f/>
        <v/>
      </c>
      <c r="C72" s="114">
        <f/>
        <v/>
      </c>
      <c r="D72" s="114">
        <f/>
        <v/>
      </c>
      <c r="E72" s="114">
        <f/>
        <v/>
      </c>
      <c r="F72" s="114">
        <f/>
        <v/>
      </c>
      <c r="G72" s="114">
        <f/>
        <v/>
      </c>
      <c r="H72" s="114">
        <f/>
        <v/>
      </c>
      <c r="I72" s="114">
        <f/>
        <v/>
      </c>
      <c r="J72" s="114">
        <f/>
        <v/>
      </c>
      <c r="K72" s="114">
        <f/>
        <v/>
      </c>
      <c r="L72" s="114">
        <f/>
        <v/>
      </c>
      <c r="M72" s="114">
        <f/>
        <v/>
      </c>
    </row>
    <row r="73">
      <c r="B73" s="114">
        <f/>
        <v/>
      </c>
      <c r="C73" s="114">
        <f/>
        <v/>
      </c>
      <c r="D73" s="114">
        <f/>
        <v/>
      </c>
      <c r="E73" s="114">
        <f/>
        <v/>
      </c>
      <c r="F73" s="114">
        <f/>
        <v/>
      </c>
      <c r="G73" s="114">
        <f/>
        <v/>
      </c>
      <c r="H73" s="114">
        <f/>
        <v/>
      </c>
      <c r="I73" s="114">
        <f/>
        <v/>
      </c>
      <c r="J73" s="114">
        <f/>
        <v/>
      </c>
      <c r="K73" s="114">
        <f/>
        <v/>
      </c>
      <c r="L73" s="114">
        <f/>
        <v/>
      </c>
      <c r="M73" s="114">
        <f/>
        <v/>
      </c>
    </row>
    <row r="74">
      <c r="B74" s="114">
        <f/>
        <v/>
      </c>
      <c r="C74" s="114">
        <f/>
        <v/>
      </c>
      <c r="D74" s="114">
        <f/>
        <v/>
      </c>
      <c r="E74" s="114">
        <f/>
        <v/>
      </c>
      <c r="F74" s="114">
        <f/>
        <v/>
      </c>
      <c r="G74" s="114">
        <f/>
        <v/>
      </c>
      <c r="H74" s="114">
        <f/>
        <v/>
      </c>
      <c r="I74" s="114">
        <f/>
        <v/>
      </c>
      <c r="J74" s="114">
        <f/>
        <v/>
      </c>
      <c r="K74" s="114">
        <f/>
        <v/>
      </c>
      <c r="L74" s="114">
        <f/>
        <v/>
      </c>
      <c r="M74" s="114">
        <f/>
        <v/>
      </c>
    </row>
    <row r="75">
      <c r="B75" s="114">
        <f/>
        <v/>
      </c>
      <c r="C75" s="114">
        <f/>
        <v/>
      </c>
      <c r="D75" s="114">
        <f/>
        <v/>
      </c>
      <c r="E75" s="114">
        <f/>
        <v/>
      </c>
      <c r="F75" s="114">
        <f/>
        <v/>
      </c>
      <c r="G75" s="114">
        <f/>
        <v/>
      </c>
      <c r="H75" s="114">
        <f/>
        <v/>
      </c>
      <c r="I75" s="114">
        <f/>
        <v/>
      </c>
      <c r="J75" s="114">
        <f/>
        <v/>
      </c>
      <c r="K75" s="114">
        <f/>
        <v/>
      </c>
      <c r="L75" s="114">
        <f/>
        <v/>
      </c>
      <c r="M75" s="114">
        <f/>
        <v/>
      </c>
    </row>
    <row r="76">
      <c r="B76" s="114">
        <f/>
        <v/>
      </c>
      <c r="C76" s="114">
        <f/>
        <v/>
      </c>
      <c r="D76" s="114">
        <f/>
        <v/>
      </c>
      <c r="E76" s="114">
        <f/>
        <v/>
      </c>
      <c r="F76" s="114">
        <f/>
        <v/>
      </c>
      <c r="G76" s="114">
        <f/>
        <v/>
      </c>
      <c r="H76" s="114">
        <f/>
        <v/>
      </c>
      <c r="I76" s="114">
        <f/>
        <v/>
      </c>
      <c r="J76" s="114">
        <f/>
        <v/>
      </c>
      <c r="K76" s="114">
        <f/>
        <v/>
      </c>
      <c r="L76" s="114">
        <f/>
        <v/>
      </c>
      <c r="M76" s="114">
        <f/>
        <v/>
      </c>
    </row>
    <row r="77">
      <c r="B77" s="114">
        <f/>
        <v/>
      </c>
      <c r="C77" s="114">
        <f/>
        <v/>
      </c>
      <c r="D77" s="114">
        <f/>
        <v/>
      </c>
      <c r="E77" s="114">
        <f/>
        <v/>
      </c>
      <c r="F77" s="114">
        <f/>
        <v/>
      </c>
      <c r="G77" s="114">
        <f/>
        <v/>
      </c>
      <c r="H77" s="114">
        <f/>
        <v/>
      </c>
      <c r="I77" s="114">
        <f/>
        <v/>
      </c>
      <c r="J77" s="114">
        <f/>
        <v/>
      </c>
      <c r="K77" s="114">
        <f/>
        <v/>
      </c>
      <c r="L77" s="114">
        <f/>
        <v/>
      </c>
      <c r="M77" s="114">
        <f/>
        <v/>
      </c>
    </row>
    <row r="78">
      <c r="B78" s="114">
        <f/>
        <v/>
      </c>
      <c r="C78" s="114">
        <f/>
        <v/>
      </c>
      <c r="D78" s="114">
        <f/>
        <v/>
      </c>
      <c r="E78" s="114">
        <f/>
        <v/>
      </c>
      <c r="F78" s="114">
        <f/>
        <v/>
      </c>
      <c r="G78" s="114">
        <f/>
        <v/>
      </c>
      <c r="H78" s="114">
        <f/>
        <v/>
      </c>
      <c r="I78" s="114">
        <f/>
        <v/>
      </c>
      <c r="J78" s="114">
        <f/>
        <v/>
      </c>
      <c r="K78" s="114">
        <f/>
        <v/>
      </c>
      <c r="L78" s="114">
        <f/>
        <v/>
      </c>
      <c r="M78" s="114">
        <f/>
        <v/>
      </c>
    </row>
    <row r="79">
      <c r="B79" s="114">
        <f/>
        <v/>
      </c>
      <c r="C79" s="114">
        <f/>
        <v/>
      </c>
      <c r="D79" s="114">
        <f/>
        <v/>
      </c>
      <c r="E79" s="114">
        <f/>
        <v/>
      </c>
      <c r="F79" s="114">
        <f/>
        <v/>
      </c>
      <c r="G79" s="114">
        <f/>
        <v/>
      </c>
      <c r="H79" s="114">
        <f/>
        <v/>
      </c>
      <c r="I79" s="114">
        <f/>
        <v/>
      </c>
      <c r="J79" s="114">
        <f/>
        <v/>
      </c>
      <c r="K79" s="114">
        <f/>
        <v/>
      </c>
      <c r="L79" s="114">
        <f/>
        <v/>
      </c>
      <c r="M79" s="114">
        <f/>
        <v/>
      </c>
    </row>
    <row r="80">
      <c r="B80" s="114">
        <f/>
        <v/>
      </c>
      <c r="C80" s="114">
        <f/>
        <v/>
      </c>
      <c r="D80" s="114">
        <f/>
        <v/>
      </c>
      <c r="E80" s="114">
        <f/>
        <v/>
      </c>
      <c r="F80" s="114">
        <f/>
        <v/>
      </c>
      <c r="G80" s="114">
        <f/>
        <v/>
      </c>
      <c r="H80" s="114">
        <f/>
        <v/>
      </c>
      <c r="I80" s="114">
        <f/>
        <v/>
      </c>
      <c r="J80" s="114">
        <f/>
        <v/>
      </c>
      <c r="K80" s="114">
        <f/>
        <v/>
      </c>
      <c r="L80" s="114">
        <f/>
        <v/>
      </c>
      <c r="M80" s="114">
        <f/>
        <v/>
      </c>
    </row>
    <row r="81">
      <c r="B81" s="114">
        <f/>
        <v/>
      </c>
      <c r="C81" s="114">
        <f/>
        <v/>
      </c>
      <c r="D81" s="114">
        <f/>
        <v/>
      </c>
      <c r="E81" s="114">
        <f/>
        <v/>
      </c>
      <c r="F81" s="114">
        <f/>
        <v/>
      </c>
      <c r="G81" s="114">
        <f/>
        <v/>
      </c>
      <c r="H81" s="114">
        <f/>
        <v/>
      </c>
      <c r="I81" s="114">
        <f/>
        <v/>
      </c>
      <c r="J81" s="114">
        <f/>
        <v/>
      </c>
      <c r="K81" s="114">
        <f/>
        <v/>
      </c>
      <c r="L81" s="114">
        <f/>
        <v/>
      </c>
      <c r="M81" s="114">
        <f/>
        <v/>
      </c>
    </row>
    <row r="82">
      <c r="B82" s="114">
        <f/>
        <v/>
      </c>
      <c r="C82" s="114">
        <f/>
        <v/>
      </c>
      <c r="D82" s="114">
        <f/>
        <v/>
      </c>
      <c r="E82" s="114">
        <f/>
        <v/>
      </c>
      <c r="F82" s="114">
        <f/>
        <v/>
      </c>
      <c r="G82" s="114">
        <f/>
        <v/>
      </c>
      <c r="H82" s="114">
        <f/>
        <v/>
      </c>
      <c r="I82" s="114">
        <f/>
        <v/>
      </c>
      <c r="J82" s="114">
        <f/>
        <v/>
      </c>
      <c r="K82" s="114">
        <f/>
        <v/>
      </c>
      <c r="L82" s="114">
        <f/>
        <v/>
      </c>
      <c r="M82" s="114">
        <f/>
        <v/>
      </c>
    </row>
    <row r="83">
      <c r="B83" s="114">
        <f/>
        <v/>
      </c>
      <c r="C83" s="114">
        <f/>
        <v/>
      </c>
      <c r="D83" s="114">
        <f/>
        <v/>
      </c>
      <c r="E83" s="114">
        <f/>
        <v/>
      </c>
      <c r="F83" s="114">
        <f/>
        <v/>
      </c>
      <c r="G83" s="114">
        <f/>
        <v/>
      </c>
      <c r="H83" s="114">
        <f/>
        <v/>
      </c>
      <c r="I83" s="114">
        <f/>
        <v/>
      </c>
      <c r="J83" s="114">
        <f/>
        <v/>
      </c>
      <c r="K83" s="114">
        <f/>
        <v/>
      </c>
      <c r="L83" s="114">
        <f/>
        <v/>
      </c>
      <c r="M83" s="114">
        <f/>
        <v/>
      </c>
    </row>
    <row r="84">
      <c r="B84" s="114">
        <f/>
        <v/>
      </c>
      <c r="C84" s="114">
        <f/>
        <v/>
      </c>
      <c r="D84" s="114">
        <f/>
        <v/>
      </c>
      <c r="E84" s="114">
        <f/>
        <v/>
      </c>
      <c r="F84" s="114">
        <f/>
        <v/>
      </c>
      <c r="G84" s="114">
        <f/>
        <v/>
      </c>
      <c r="H84" s="114">
        <f/>
        <v/>
      </c>
      <c r="I84" s="114">
        <f/>
        <v/>
      </c>
      <c r="J84" s="114">
        <f/>
        <v/>
      </c>
      <c r="K84" s="114">
        <f/>
        <v/>
      </c>
      <c r="L84" s="114">
        <f/>
        <v/>
      </c>
      <c r="M84" s="114">
        <f/>
        <v/>
      </c>
    </row>
    <row r="85">
      <c r="B85" s="114">
        <f/>
        <v/>
      </c>
      <c r="C85" s="114">
        <f/>
        <v/>
      </c>
      <c r="D85" s="114">
        <f/>
        <v/>
      </c>
      <c r="E85" s="114">
        <f/>
        <v/>
      </c>
      <c r="F85" s="114">
        <f/>
        <v/>
      </c>
      <c r="G85" s="114">
        <f/>
        <v/>
      </c>
      <c r="H85" s="114">
        <f/>
        <v/>
      </c>
      <c r="I85" s="114">
        <f/>
        <v/>
      </c>
      <c r="J85" s="114">
        <f/>
        <v/>
      </c>
      <c r="K85" s="114">
        <f/>
        <v/>
      </c>
      <c r="L85" s="114">
        <f/>
        <v/>
      </c>
      <c r="M85" s="114">
        <f/>
        <v/>
      </c>
    </row>
    <row r="86">
      <c r="B86" s="114">
        <f/>
        <v/>
      </c>
      <c r="C86" s="114">
        <f/>
        <v/>
      </c>
      <c r="D86" s="114">
        <f/>
        <v/>
      </c>
      <c r="E86" s="114">
        <f/>
        <v/>
      </c>
      <c r="F86" s="114">
        <f/>
        <v/>
      </c>
      <c r="G86" s="114">
        <f/>
        <v/>
      </c>
      <c r="H86" s="114">
        <f/>
        <v/>
      </c>
      <c r="I86" s="114">
        <f/>
        <v/>
      </c>
      <c r="J86" s="114">
        <f/>
        <v/>
      </c>
      <c r="K86" s="114">
        <f/>
        <v/>
      </c>
      <c r="L86" s="114">
        <f/>
        <v/>
      </c>
      <c r="M86" s="114">
        <f/>
        <v/>
      </c>
    </row>
    <row r="87">
      <c r="B87" s="114">
        <f/>
        <v/>
      </c>
      <c r="C87" s="114">
        <f/>
        <v/>
      </c>
      <c r="D87" s="114">
        <f/>
        <v/>
      </c>
      <c r="E87" s="114">
        <f/>
        <v/>
      </c>
      <c r="F87" s="114">
        <f/>
        <v/>
      </c>
      <c r="G87" s="114">
        <f/>
        <v/>
      </c>
      <c r="H87" s="114">
        <f/>
        <v/>
      </c>
      <c r="I87" s="114">
        <f/>
        <v/>
      </c>
      <c r="J87" s="114">
        <f/>
        <v/>
      </c>
      <c r="K87" s="114">
        <f/>
        <v/>
      </c>
      <c r="L87" s="114">
        <f/>
        <v/>
      </c>
      <c r="M87" s="114">
        <f/>
        <v/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210"/>
  <sheetViews>
    <sheetView zoomScale="85" zoomScaleNormal="85" workbookViewId="0">
      <selection activeCell="O35" sqref="O35"/>
    </sheetView>
  </sheetViews>
  <sheetFormatPr baseColWidth="8" defaultRowHeight="15.6"/>
  <cols>
    <col width="23.33203125" customWidth="1" style="2" min="1" max="1"/>
    <col width="3.44140625" bestFit="1" customWidth="1" style="113" min="2" max="2"/>
    <col width="8.44140625" customWidth="1" style="113" min="3" max="14"/>
    <col width="30.44140625" customWidth="1" style="113" min="15" max="15"/>
    <col width="17.109375" customWidth="1" style="113" min="18" max="18"/>
  </cols>
  <sheetData>
    <row r="1">
      <c r="A1" s="67">
        <f>+'M-01'!G1</f>
        <v/>
      </c>
      <c r="B1" s="2" t="n"/>
      <c r="C1" s="2">
        <f t="array" ref="C1">INDIRECT("'"&amp;C$14&amp;"'!H1")</f>
        <v/>
      </c>
      <c r="D1" s="2">
        <f t="array" ref="D1">INDIRECT("'"&amp;D$14&amp;"'!H1")</f>
        <v/>
      </c>
      <c r="E1" s="2">
        <f t="array" ref="E1">INDIRECT("'"&amp;E$14&amp;"'!H1")</f>
        <v/>
      </c>
      <c r="F1" s="2">
        <f t="array" ref="F1">INDIRECT("'"&amp;F$14&amp;"'!H1")</f>
        <v/>
      </c>
      <c r="G1" s="2">
        <f t="array" ref="G1">INDIRECT("'"&amp;G$14&amp;"'!H1")</f>
        <v/>
      </c>
      <c r="H1" s="2">
        <f t="array" ref="H1">INDIRECT("'"&amp;H$14&amp;"'!H1")</f>
        <v/>
      </c>
      <c r="I1" s="2">
        <f t="array" ref="I1">INDIRECT("'"&amp;I$14&amp;"'!H1")</f>
        <v/>
      </c>
      <c r="J1" s="2">
        <f t="array" ref="J1">INDIRECT("'"&amp;J$14&amp;"'!H1")</f>
        <v/>
      </c>
      <c r="K1" s="2">
        <f t="array" ref="K1">INDIRECT("'"&amp;K$14&amp;"'!H1")</f>
        <v/>
      </c>
      <c r="L1" s="2">
        <f t="array" ref="L1">INDIRECT("'"&amp;L$14&amp;"'!H1")</f>
        <v/>
      </c>
      <c r="M1" s="2">
        <f t="array" ref="M1">INDIRECT("'"&amp;M$14&amp;"'!H1")</f>
        <v/>
      </c>
      <c r="N1" s="2">
        <f t="array" ref="N1">INDIRECT("'"&amp;N$14&amp;"'!H1")</f>
        <v/>
      </c>
    </row>
    <row r="2">
      <c r="A2" s="67">
        <f>+'M-01'!G2</f>
        <v/>
      </c>
      <c r="B2" s="2" t="n"/>
      <c r="C2" s="2">
        <f t="array" ref="C2">INDIRECT("'"&amp;C$14&amp;"'!H2")</f>
        <v/>
      </c>
      <c r="D2" s="2">
        <f t="array" ref="D2">INDIRECT("'"&amp;D$14&amp;"'!H2")</f>
        <v/>
      </c>
      <c r="E2" s="2">
        <f t="array" ref="E2">INDIRECT("'"&amp;E$14&amp;"'!H2")</f>
        <v/>
      </c>
      <c r="F2" s="2">
        <f t="array" ref="F2">INDIRECT("'"&amp;F$14&amp;"'!H2")</f>
        <v/>
      </c>
      <c r="G2" s="2">
        <f t="array" ref="G2">INDIRECT("'"&amp;G$14&amp;"'!H2")</f>
        <v/>
      </c>
      <c r="H2" s="2">
        <f t="array" ref="H2">INDIRECT("'"&amp;H$14&amp;"'!H2")</f>
        <v/>
      </c>
      <c r="I2" s="2">
        <f t="array" ref="I2">INDIRECT("'"&amp;I$14&amp;"'!H2")</f>
        <v/>
      </c>
      <c r="J2" s="2">
        <f t="array" ref="J2">INDIRECT("'"&amp;J$14&amp;"'!H2")</f>
        <v/>
      </c>
      <c r="K2" s="2">
        <f t="array" ref="K2">INDIRECT("'"&amp;K$14&amp;"'!H2")</f>
        <v/>
      </c>
      <c r="L2" s="2">
        <f t="array" ref="L2">INDIRECT("'"&amp;L$14&amp;"'!H2")</f>
        <v/>
      </c>
      <c r="M2" s="2">
        <f t="array" ref="M2">INDIRECT("'"&amp;M$14&amp;"'!H2")</f>
        <v/>
      </c>
      <c r="N2" s="2">
        <f t="array" ref="N2">INDIRECT("'"&amp;N$14&amp;"'!H2")</f>
        <v/>
      </c>
    </row>
    <row r="3">
      <c r="A3" s="67">
        <f>+'M-01'!G3</f>
        <v/>
      </c>
      <c r="B3" s="2" t="n"/>
      <c r="C3" s="2">
        <f t="array" ref="C3">INDIRECT("'"&amp;C$14&amp;"'!H3")</f>
        <v/>
      </c>
      <c r="D3" s="2">
        <f t="array" ref="D3">INDIRECT("'"&amp;D$14&amp;"'!H3")</f>
        <v/>
      </c>
      <c r="E3" s="2">
        <f t="array" ref="E3">INDIRECT("'"&amp;E$14&amp;"'!H3")</f>
        <v/>
      </c>
      <c r="F3" s="2">
        <f t="array" ref="F3">INDIRECT("'"&amp;F$14&amp;"'!H3")</f>
        <v/>
      </c>
      <c r="G3" s="2">
        <f t="array" ref="G3">INDIRECT("'"&amp;G$14&amp;"'!H3")</f>
        <v/>
      </c>
      <c r="H3" s="2">
        <f t="array" ref="H3">INDIRECT("'"&amp;H$14&amp;"'!H3")</f>
        <v/>
      </c>
      <c r="I3" s="2">
        <f t="array" ref="I3">INDIRECT("'"&amp;I$14&amp;"'!H3")</f>
        <v/>
      </c>
      <c r="J3" s="2">
        <f t="array" ref="J3">INDIRECT("'"&amp;J$14&amp;"'!H3")</f>
        <v/>
      </c>
      <c r="K3" s="2">
        <f t="array" ref="K3">INDIRECT("'"&amp;K$14&amp;"'!H3")</f>
        <v/>
      </c>
      <c r="L3" s="2">
        <f t="array" ref="L3">INDIRECT("'"&amp;L$14&amp;"'!H3")</f>
        <v/>
      </c>
      <c r="M3" s="2">
        <f t="array" ref="M3">INDIRECT("'"&amp;M$14&amp;"'!H3")</f>
        <v/>
      </c>
      <c r="N3" s="2">
        <f t="array" ref="N3">INDIRECT("'"&amp;N$14&amp;"'!H3")</f>
        <v/>
      </c>
    </row>
    <row r="4">
      <c r="A4" s="67">
        <f>+'M-01'!G4</f>
        <v/>
      </c>
      <c r="B4" s="2" t="n"/>
      <c r="C4" s="2">
        <f t="array" ref="C4">INDIRECT("'"&amp;C$14&amp;"'!H4")</f>
        <v/>
      </c>
      <c r="D4" s="2">
        <f t="array" ref="D4">INDIRECT("'"&amp;D$14&amp;"'!H4")</f>
        <v/>
      </c>
      <c r="E4" s="2">
        <f t="array" ref="E4">INDIRECT("'"&amp;E$14&amp;"'!H4")</f>
        <v/>
      </c>
      <c r="F4" s="2">
        <f t="array" ref="F4">INDIRECT("'"&amp;F$14&amp;"'!H4")</f>
        <v/>
      </c>
      <c r="G4" s="2">
        <f t="array" ref="G4">INDIRECT("'"&amp;G$14&amp;"'!H4")</f>
        <v/>
      </c>
      <c r="H4" s="2">
        <f t="array" ref="H4">INDIRECT("'"&amp;H$14&amp;"'!H4")</f>
        <v/>
      </c>
      <c r="I4" s="2">
        <f t="array" ref="I4">INDIRECT("'"&amp;I$14&amp;"'!H4")</f>
        <v/>
      </c>
      <c r="J4" s="2">
        <f t="array" ref="J4">INDIRECT("'"&amp;J$14&amp;"'!H4")</f>
        <v/>
      </c>
      <c r="K4" s="2">
        <f t="array" ref="K4">INDIRECT("'"&amp;K$14&amp;"'!H4")</f>
        <v/>
      </c>
      <c r="L4" s="2">
        <f t="array" ref="L4">INDIRECT("'"&amp;L$14&amp;"'!H4")</f>
        <v/>
      </c>
      <c r="M4" s="2">
        <f t="array" ref="M4">INDIRECT("'"&amp;M$14&amp;"'!H4")</f>
        <v/>
      </c>
      <c r="N4" s="2">
        <f t="array" ref="N4">INDIRECT("'"&amp;N$14&amp;"'!H4")</f>
        <v/>
      </c>
    </row>
    <row r="5">
      <c r="A5" s="67">
        <f>+'M-01'!G5</f>
        <v/>
      </c>
      <c r="B5" s="2" t="n"/>
      <c r="C5" s="2">
        <f t="array" ref="C5">INDIRECT("'"&amp;C$14&amp;"'!H5")</f>
        <v/>
      </c>
      <c r="D5" s="2">
        <f t="array" ref="D5">INDIRECT("'"&amp;D$14&amp;"'!H5")</f>
        <v/>
      </c>
      <c r="E5" s="2">
        <f t="array" ref="E5">INDIRECT("'"&amp;E$14&amp;"'!H5")</f>
        <v/>
      </c>
      <c r="F5" s="2">
        <f t="array" ref="F5">INDIRECT("'"&amp;F$14&amp;"'!H5")</f>
        <v/>
      </c>
      <c r="G5" s="2">
        <f t="array" ref="G5">INDIRECT("'"&amp;G$14&amp;"'!H5")</f>
        <v/>
      </c>
      <c r="H5" s="2">
        <f t="array" ref="H5">INDIRECT("'"&amp;H$14&amp;"'!H5")</f>
        <v/>
      </c>
      <c r="I5" s="2">
        <f t="array" ref="I5">INDIRECT("'"&amp;I$14&amp;"'!H5")</f>
        <v/>
      </c>
      <c r="J5" s="2">
        <f t="array" ref="J5">INDIRECT("'"&amp;J$14&amp;"'!H5")</f>
        <v/>
      </c>
      <c r="K5" s="2">
        <f t="array" ref="K5">INDIRECT("'"&amp;K$14&amp;"'!H5")</f>
        <v/>
      </c>
      <c r="L5" s="2">
        <f t="array" ref="L5">INDIRECT("'"&amp;L$14&amp;"'!H5")</f>
        <v/>
      </c>
      <c r="M5" s="2">
        <f t="array" ref="M5">INDIRECT("'"&amp;M$14&amp;"'!H5")</f>
        <v/>
      </c>
      <c r="N5" s="2">
        <f t="array" ref="N5">INDIRECT("'"&amp;N$14&amp;"'!H5")</f>
        <v/>
      </c>
    </row>
    <row r="6">
      <c r="A6" s="67">
        <f>+'M-01'!G6</f>
        <v/>
      </c>
      <c r="B6" s="2" t="n"/>
      <c r="C6" s="2">
        <f t="array" ref="C6">INDIRECT("'"&amp;C$14&amp;"'!H6")</f>
        <v/>
      </c>
      <c r="D6" s="2">
        <f t="array" ref="D6">INDIRECT("'"&amp;D$14&amp;"'!H6")</f>
        <v/>
      </c>
      <c r="E6" s="2">
        <f t="array" ref="E6">INDIRECT("'"&amp;E$14&amp;"'!H6")</f>
        <v/>
      </c>
      <c r="F6" s="2">
        <f t="array" ref="F6">INDIRECT("'"&amp;F$14&amp;"'!H6")</f>
        <v/>
      </c>
      <c r="G6" s="2">
        <f t="array" ref="G6">INDIRECT("'"&amp;G$14&amp;"'!H6")</f>
        <v/>
      </c>
      <c r="H6" s="2">
        <f t="array" ref="H6">INDIRECT("'"&amp;H$14&amp;"'!H6")</f>
        <v/>
      </c>
      <c r="I6" s="2">
        <f t="array" ref="I6">INDIRECT("'"&amp;I$14&amp;"'!H6")</f>
        <v/>
      </c>
      <c r="J6" s="2">
        <f t="array" ref="J6">INDIRECT("'"&amp;J$14&amp;"'!H6")</f>
        <v/>
      </c>
      <c r="K6" s="2">
        <f t="array" ref="K6">INDIRECT("'"&amp;K$14&amp;"'!H6")</f>
        <v/>
      </c>
      <c r="L6" s="2">
        <f t="array" ref="L6">INDIRECT("'"&amp;L$14&amp;"'!H6")</f>
        <v/>
      </c>
      <c r="M6" s="2">
        <f t="array" ref="M6">INDIRECT("'"&amp;M$14&amp;"'!H6")</f>
        <v/>
      </c>
      <c r="N6" s="2">
        <f t="array" ref="N6">INDIRECT("'"&amp;N$14&amp;"'!H6")</f>
        <v/>
      </c>
    </row>
    <row r="7">
      <c r="A7" s="67">
        <f>+'M-01'!G7</f>
        <v/>
      </c>
      <c r="B7" s="2" t="n"/>
      <c r="C7" s="2">
        <f t="array" ref="C7">INDIRECT("'"&amp;C$14&amp;"'!H7")</f>
        <v/>
      </c>
      <c r="D7" s="2">
        <f t="array" ref="D7">INDIRECT("'"&amp;D$14&amp;"'!H7")</f>
        <v/>
      </c>
      <c r="E7" s="2">
        <f t="array" ref="E7">INDIRECT("'"&amp;E$14&amp;"'!H7")</f>
        <v/>
      </c>
      <c r="F7" s="2">
        <f t="array" ref="F7">INDIRECT("'"&amp;F$14&amp;"'!H7")</f>
        <v/>
      </c>
      <c r="G7" s="2">
        <f t="array" ref="G7">INDIRECT("'"&amp;G$14&amp;"'!H7")</f>
        <v/>
      </c>
      <c r="H7" s="2">
        <f t="array" ref="H7">INDIRECT("'"&amp;H$14&amp;"'!H7")</f>
        <v/>
      </c>
      <c r="I7" s="2">
        <f t="array" ref="I7">INDIRECT("'"&amp;I$14&amp;"'!H7")</f>
        <v/>
      </c>
      <c r="J7" s="2">
        <f t="array" ref="J7">INDIRECT("'"&amp;J$14&amp;"'!H7")</f>
        <v/>
      </c>
      <c r="K7" s="2">
        <f t="array" ref="K7">INDIRECT("'"&amp;K$14&amp;"'!H7")</f>
        <v/>
      </c>
      <c r="L7" s="2">
        <f t="array" ref="L7">INDIRECT("'"&amp;L$14&amp;"'!H7")</f>
        <v/>
      </c>
      <c r="M7" s="2">
        <f t="array" ref="M7">INDIRECT("'"&amp;M$14&amp;"'!H7")</f>
        <v/>
      </c>
      <c r="N7" s="2">
        <f t="array" ref="N7">INDIRECT("'"&amp;N$14&amp;"'!H7")</f>
        <v/>
      </c>
    </row>
    <row r="8">
      <c r="A8" s="67">
        <f>+'M-01'!G8</f>
        <v/>
      </c>
      <c r="B8" s="2" t="n"/>
      <c r="C8" s="2">
        <f t="array" ref="C8">INDIRECT("'"&amp;C$14&amp;"'!H8")</f>
        <v/>
      </c>
      <c r="D8" s="2">
        <f t="array" ref="D8">INDIRECT("'"&amp;D$14&amp;"'!H8")</f>
        <v/>
      </c>
      <c r="E8" s="2">
        <f t="array" ref="E8">INDIRECT("'"&amp;E$14&amp;"'!H8")</f>
        <v/>
      </c>
      <c r="F8" s="2">
        <f t="array" ref="F8">INDIRECT("'"&amp;F$14&amp;"'!H8")</f>
        <v/>
      </c>
      <c r="G8" s="2">
        <f t="array" ref="G8">INDIRECT("'"&amp;G$14&amp;"'!H8")</f>
        <v/>
      </c>
      <c r="H8" s="2">
        <f t="array" ref="H8">INDIRECT("'"&amp;H$14&amp;"'!H8")</f>
        <v/>
      </c>
      <c r="I8" s="2">
        <f t="array" ref="I8">INDIRECT("'"&amp;I$14&amp;"'!H8")</f>
        <v/>
      </c>
      <c r="J8" s="2">
        <f t="array" ref="J8">INDIRECT("'"&amp;J$14&amp;"'!H8")</f>
        <v/>
      </c>
      <c r="K8" s="2">
        <f t="array" ref="K8">INDIRECT("'"&amp;K$14&amp;"'!H8")</f>
        <v/>
      </c>
      <c r="L8" s="2">
        <f t="array" ref="L8">INDIRECT("'"&amp;L$14&amp;"'!H8")</f>
        <v/>
      </c>
      <c r="M8" s="2">
        <f t="array" ref="M8">INDIRECT("'"&amp;M$14&amp;"'!H8")</f>
        <v/>
      </c>
      <c r="N8" s="2">
        <f t="array" ref="N8">INDIRECT("'"&amp;N$14&amp;"'!H8")</f>
        <v/>
      </c>
    </row>
    <row r="9">
      <c r="A9" s="65">
        <f>+'M-01'!G9</f>
        <v/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65">
        <f>+'M-01'!G10</f>
        <v/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65">
        <f>+'M-01'!G11</f>
        <v/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65">
        <f>+'M-01'!G12</f>
        <v/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 ht="31.8" customHeight="1" s="113">
      <c r="A13" s="66">
        <f>+'M-01'!H13</f>
        <v/>
      </c>
      <c r="B13" s="123" t="n"/>
      <c r="C13" s="123">
        <f t="array" ref="C13">INDIRECT("'"&amp;C$14&amp;"'!g13")</f>
        <v/>
      </c>
      <c r="D13" s="123">
        <f t="array" ref="D13">INDIRECT("'"&amp;D$14&amp;"'!g13")</f>
        <v/>
      </c>
      <c r="E13" s="123">
        <f t="array" ref="E13">INDIRECT("'"&amp;E$14&amp;"'!g13")</f>
        <v/>
      </c>
      <c r="F13" s="123">
        <f t="array" ref="F13">INDIRECT("'"&amp;F$14&amp;"'!g13")</f>
        <v/>
      </c>
      <c r="G13" s="123">
        <f t="array" ref="G13">INDIRECT("'"&amp;G$14&amp;"'!g13")</f>
        <v/>
      </c>
      <c r="H13" s="123">
        <f t="array" ref="H13">INDIRECT("'"&amp;H$14&amp;"'!g13")</f>
        <v/>
      </c>
      <c r="I13" s="123">
        <f t="array" ref="I13">INDIRECT("'"&amp;I$14&amp;"'!g13")</f>
        <v/>
      </c>
      <c r="J13" s="123">
        <f t="array" ref="J13">INDIRECT("'"&amp;J$14&amp;"'!g13")</f>
        <v/>
      </c>
      <c r="K13" s="123">
        <f t="array" ref="K13">INDIRECT("'"&amp;K$14&amp;"'!g13")</f>
        <v/>
      </c>
      <c r="L13" s="123">
        <f t="array" ref="L13">INDIRECT("'"&amp;L$14&amp;"'!g13")</f>
        <v/>
      </c>
      <c r="M13" s="123">
        <f t="array" ref="M13">INDIRECT("'"&amp;M$14&amp;"'!g13")</f>
        <v/>
      </c>
      <c r="N13" s="123">
        <f t="array" ref="N13">INDIRECT("'"&amp;N$14&amp;"'!g13")</f>
        <v/>
      </c>
      <c r="O13" s="132">
        <f>+N13</f>
        <v/>
      </c>
      <c r="R13" s="108" t="inlineStr">
        <is>
          <t>Bin size &gt;&gt;</t>
        </is>
      </c>
      <c r="S13" s="139" t="n">
        <v>1</v>
      </c>
    </row>
    <row r="14">
      <c r="B14" s="50" t="inlineStr">
        <is>
          <t>LC</t>
        </is>
      </c>
      <c r="C14" s="123" t="inlineStr">
        <is>
          <t>M-01</t>
        </is>
      </c>
      <c r="D14" s="123" t="inlineStr">
        <is>
          <t>M-02</t>
        </is>
      </c>
      <c r="E14" s="123" t="inlineStr">
        <is>
          <t>M-03</t>
        </is>
      </c>
      <c r="F14" s="123" t="inlineStr">
        <is>
          <t>M-04</t>
        </is>
      </c>
      <c r="G14" s="123" t="inlineStr">
        <is>
          <t>M-05</t>
        </is>
      </c>
      <c r="H14" s="123" t="inlineStr">
        <is>
          <t>M-06</t>
        </is>
      </c>
      <c r="I14" s="123" t="inlineStr">
        <is>
          <t>M-07</t>
        </is>
      </c>
      <c r="J14" s="123" t="inlineStr">
        <is>
          <t>M-08</t>
        </is>
      </c>
      <c r="K14" s="123" t="inlineStr">
        <is>
          <t>M-09</t>
        </is>
      </c>
      <c r="L14" s="123" t="inlineStr">
        <is>
          <t>M-10</t>
        </is>
      </c>
      <c r="M14" s="123" t="inlineStr">
        <is>
          <t>M-11</t>
        </is>
      </c>
      <c r="N14" s="123" t="inlineStr">
        <is>
          <t>M-12</t>
        </is>
      </c>
      <c r="O14" s="132" t="inlineStr">
        <is>
          <t>TOTAL</t>
        </is>
      </c>
      <c r="P14" s="2" t="n"/>
      <c r="Q14" s="2" t="n"/>
    </row>
    <row r="15">
      <c r="B15" s="16">
        <f t="array" ref="B15:B85">+_xlfn.ANCHORARRAY('M-01'!G15)</f>
        <v/>
      </c>
      <c r="C15">
        <f t="array" ref="C15:C100">INDIRECT("'"&amp;C$14&amp;"'!H15:H100")</f>
        <v/>
      </c>
      <c r="D15">
        <f t="array" ref="D15:D100">INDIRECT("'"&amp;D$14&amp;"'!H15:H100")</f>
        <v/>
      </c>
      <c r="E15">
        <f t="array" ref="E15:E100">INDIRECT("'"&amp;E$14&amp;"'!H15:H100")</f>
        <v/>
      </c>
      <c r="F15">
        <f t="array" ref="F15:F100">INDIRECT("'"&amp;F$14&amp;"'!H15:H100")</f>
        <v/>
      </c>
      <c r="G15">
        <f t="array" ref="G15:G100">INDIRECT("'"&amp;G$14&amp;"'!H15:H100")</f>
        <v/>
      </c>
      <c r="H15">
        <f t="array" ref="H15:H100">INDIRECT("'"&amp;H$14&amp;"'!H15:H100")</f>
        <v/>
      </c>
      <c r="I15">
        <f t="array" ref="I15:I100">INDIRECT("'"&amp;I$14&amp;"'!H15:H100")</f>
        <v/>
      </c>
      <c r="J15">
        <f t="array" ref="J15:J100">INDIRECT("'"&amp;J$14&amp;"'!H15:H100")</f>
        <v/>
      </c>
      <c r="K15">
        <f t="array" ref="K15:K100">INDIRECT("'"&amp;K$14&amp;"'!H15:H100")</f>
        <v/>
      </c>
      <c r="L15">
        <f t="array" ref="L15:L100">INDIRECT("'"&amp;L$14&amp;"'!H15:H100")</f>
        <v/>
      </c>
      <c r="M15">
        <f t="array" ref="M15:M100">INDIRECT("'"&amp;M$14&amp;"'!H15:H100")</f>
        <v/>
      </c>
      <c r="N15">
        <f t="array" ref="N15:N100">INDIRECT("'"&amp;N$14&amp;"'!H15:H100")</f>
        <v/>
      </c>
      <c r="O15" s="124">
        <f>+SUM(C15:N15)</f>
        <v/>
      </c>
      <c r="P15" s="2" t="n"/>
      <c r="Q15" s="2" t="n"/>
    </row>
    <row r="16" ht="18" customHeight="1" s="113">
      <c r="B16" s="16" t="n">
        <v>11</v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>
        <f/>
        <v/>
      </c>
      <c r="I16">
        <f/>
        <v/>
      </c>
      <c r="J16">
        <f/>
        <v/>
      </c>
      <c r="K16">
        <f/>
        <v/>
      </c>
      <c r="L16">
        <f/>
        <v/>
      </c>
      <c r="M16">
        <f/>
        <v/>
      </c>
      <c r="N16">
        <f/>
        <v/>
      </c>
      <c r="O16" s="124">
        <f>+SUM(C16:N16)</f>
        <v/>
      </c>
      <c r="Q16" s="3" t="n"/>
    </row>
    <row r="17">
      <c r="B17" s="16" t="n">
        <v>12</v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>
        <f/>
        <v/>
      </c>
      <c r="I17">
        <f/>
        <v/>
      </c>
      <c r="J17">
        <f/>
        <v/>
      </c>
      <c r="K17">
        <f/>
        <v/>
      </c>
      <c r="L17">
        <f/>
        <v/>
      </c>
      <c r="M17">
        <f/>
        <v/>
      </c>
      <c r="N17">
        <f/>
        <v/>
      </c>
      <c r="O17" s="124">
        <f>+SUM(C17:N17)</f>
        <v/>
      </c>
      <c r="R17" s="4" t="n"/>
      <c r="AB17" s="7" t="n"/>
      <c r="AC17" s="7" t="n"/>
    </row>
    <row r="18">
      <c r="B18" s="16" t="n">
        <v>13</v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>
        <f/>
        <v/>
      </c>
      <c r="I18">
        <f/>
        <v/>
      </c>
      <c r="J18">
        <f/>
        <v/>
      </c>
      <c r="K18">
        <f/>
        <v/>
      </c>
      <c r="L18">
        <f/>
        <v/>
      </c>
      <c r="M18">
        <f/>
        <v/>
      </c>
      <c r="N18">
        <f/>
        <v/>
      </c>
      <c r="O18" s="124">
        <f>+SUM(C18:N18)</f>
        <v/>
      </c>
      <c r="R18" s="5" t="n"/>
    </row>
    <row r="19">
      <c r="B19" s="16" t="n">
        <v>14</v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>
        <f/>
        <v/>
      </c>
      <c r="I19">
        <f/>
        <v/>
      </c>
      <c r="J19">
        <f/>
        <v/>
      </c>
      <c r="K19">
        <f/>
        <v/>
      </c>
      <c r="L19">
        <f/>
        <v/>
      </c>
      <c r="M19">
        <f/>
        <v/>
      </c>
      <c r="N19">
        <f/>
        <v/>
      </c>
      <c r="O19" s="124">
        <f>+SUM(C19:N19)</f>
        <v/>
      </c>
      <c r="R19" s="5" t="n"/>
    </row>
    <row r="20">
      <c r="B20" s="16" t="n">
        <v>15</v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>
        <f/>
        <v/>
      </c>
      <c r="I20">
        <f/>
        <v/>
      </c>
      <c r="J20">
        <f/>
        <v/>
      </c>
      <c r="K20">
        <f/>
        <v/>
      </c>
      <c r="L20">
        <f/>
        <v/>
      </c>
      <c r="M20">
        <f/>
        <v/>
      </c>
      <c r="N20">
        <f/>
        <v/>
      </c>
      <c r="O20" s="124">
        <f>+SUM(C20:N20)</f>
        <v/>
      </c>
      <c r="R20" s="5" t="n"/>
    </row>
    <row r="21">
      <c r="B21" s="16" t="n">
        <v>16</v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>
        <f/>
        <v/>
      </c>
      <c r="I21">
        <f/>
        <v/>
      </c>
      <c r="J21">
        <f/>
        <v/>
      </c>
      <c r="K21">
        <f/>
        <v/>
      </c>
      <c r="L21">
        <f/>
        <v/>
      </c>
      <c r="M21">
        <f/>
        <v/>
      </c>
      <c r="N21">
        <f/>
        <v/>
      </c>
      <c r="O21" s="124">
        <f>+SUM(C21:N21)</f>
        <v/>
      </c>
    </row>
    <row r="22" ht="18" customHeight="1" s="113">
      <c r="B22" s="16" t="n">
        <v>17</v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>
        <f/>
        <v/>
      </c>
      <c r="I22">
        <f/>
        <v/>
      </c>
      <c r="J22">
        <f/>
        <v/>
      </c>
      <c r="K22">
        <f/>
        <v/>
      </c>
      <c r="L22">
        <f/>
        <v/>
      </c>
      <c r="M22">
        <f/>
        <v/>
      </c>
      <c r="N22">
        <f/>
        <v/>
      </c>
      <c r="O22" s="124">
        <f>+SUM(C22:N22)</f>
        <v/>
      </c>
      <c r="Q22" s="3" t="n"/>
    </row>
    <row r="23">
      <c r="B23" s="16" t="n">
        <v>18</v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>
        <f/>
        <v/>
      </c>
      <c r="I23">
        <f/>
        <v/>
      </c>
      <c r="J23">
        <f/>
        <v/>
      </c>
      <c r="K23">
        <f/>
        <v/>
      </c>
      <c r="L23">
        <f/>
        <v/>
      </c>
      <c r="M23">
        <f/>
        <v/>
      </c>
      <c r="N23">
        <f/>
        <v/>
      </c>
      <c r="O23" s="124">
        <f>+SUM(C23:N23)</f>
        <v/>
      </c>
      <c r="R23" s="4" t="n"/>
    </row>
    <row r="24">
      <c r="B24" s="16" t="n">
        <v>19</v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>
        <f/>
        <v/>
      </c>
      <c r="I24">
        <f/>
        <v/>
      </c>
      <c r="J24">
        <f/>
        <v/>
      </c>
      <c r="K24">
        <f/>
        <v/>
      </c>
      <c r="L24">
        <f/>
        <v/>
      </c>
      <c r="M24">
        <f/>
        <v/>
      </c>
      <c r="N24">
        <f/>
        <v/>
      </c>
      <c r="O24" s="124">
        <f>+SUM(C24:N24)</f>
        <v/>
      </c>
      <c r="R24" s="5" t="n"/>
    </row>
    <row r="25">
      <c r="B25" s="16" t="n">
        <v>20</v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>
        <f/>
        <v/>
      </c>
      <c r="I25">
        <f/>
        <v/>
      </c>
      <c r="J25">
        <f/>
        <v/>
      </c>
      <c r="K25">
        <f/>
        <v/>
      </c>
      <c r="L25">
        <f/>
        <v/>
      </c>
      <c r="M25">
        <f/>
        <v/>
      </c>
      <c r="N25">
        <f/>
        <v/>
      </c>
      <c r="O25" s="124">
        <f>+SUM(C25:N25)</f>
        <v/>
      </c>
      <c r="R25" s="5" t="n"/>
    </row>
    <row r="26">
      <c r="B26" s="16" t="n">
        <v>21</v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>
        <f/>
        <v/>
      </c>
      <c r="I26">
        <f/>
        <v/>
      </c>
      <c r="J26">
        <f/>
        <v/>
      </c>
      <c r="K26">
        <f/>
        <v/>
      </c>
      <c r="L26">
        <f/>
        <v/>
      </c>
      <c r="M26">
        <f/>
        <v/>
      </c>
      <c r="N26">
        <f/>
        <v/>
      </c>
      <c r="O26" s="124">
        <f>+SUM(C26:N26)</f>
        <v/>
      </c>
      <c r="R26" s="5" t="n"/>
    </row>
    <row r="27">
      <c r="B27" s="16" t="n">
        <v>22</v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>
        <f/>
        <v/>
      </c>
      <c r="I27">
        <f/>
        <v/>
      </c>
      <c r="J27">
        <f/>
        <v/>
      </c>
      <c r="K27">
        <f/>
        <v/>
      </c>
      <c r="L27">
        <f/>
        <v/>
      </c>
      <c r="M27">
        <f/>
        <v/>
      </c>
      <c r="N27">
        <f/>
        <v/>
      </c>
      <c r="O27" s="124">
        <f>+SUM(C27:N27)</f>
        <v/>
      </c>
      <c r="R27" s="5" t="n"/>
    </row>
    <row r="28">
      <c r="B28" s="16" t="n">
        <v>23</v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>
        <f/>
        <v/>
      </c>
      <c r="I28">
        <f/>
        <v/>
      </c>
      <c r="J28">
        <f/>
        <v/>
      </c>
      <c r="K28">
        <f/>
        <v/>
      </c>
      <c r="L28">
        <f/>
        <v/>
      </c>
      <c r="M28">
        <f/>
        <v/>
      </c>
      <c r="N28">
        <f/>
        <v/>
      </c>
      <c r="O28" s="124">
        <f>+SUM(C28:N28)</f>
        <v/>
      </c>
    </row>
    <row r="29">
      <c r="B29" s="16" t="n">
        <v>24</v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>
        <f/>
        <v/>
      </c>
      <c r="I29">
        <f/>
        <v/>
      </c>
      <c r="J29">
        <f/>
        <v/>
      </c>
      <c r="K29">
        <f/>
        <v/>
      </c>
      <c r="L29">
        <f/>
        <v/>
      </c>
      <c r="M29">
        <f/>
        <v/>
      </c>
      <c r="N29">
        <f/>
        <v/>
      </c>
      <c r="O29" s="124">
        <f>+SUM(C29:N29)</f>
        <v/>
      </c>
    </row>
    <row r="30">
      <c r="B30" s="16" t="n">
        <v>25</v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>
        <f/>
        <v/>
      </c>
      <c r="I30">
        <f/>
        <v/>
      </c>
      <c r="J30">
        <f/>
        <v/>
      </c>
      <c r="K30">
        <f/>
        <v/>
      </c>
      <c r="L30">
        <f/>
        <v/>
      </c>
      <c r="M30">
        <f/>
        <v/>
      </c>
      <c r="N30">
        <f/>
        <v/>
      </c>
      <c r="O30" s="124">
        <f>+SUM(C30:N30)</f>
        <v/>
      </c>
    </row>
    <row r="31">
      <c r="B31" s="16" t="n">
        <v>26</v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>
        <f/>
        <v/>
      </c>
      <c r="I31">
        <f/>
        <v/>
      </c>
      <c r="J31">
        <f/>
        <v/>
      </c>
      <c r="K31">
        <f/>
        <v/>
      </c>
      <c r="L31">
        <f/>
        <v/>
      </c>
      <c r="M31">
        <f/>
        <v/>
      </c>
      <c r="N31">
        <f/>
        <v/>
      </c>
      <c r="O31" s="124">
        <f>+SUM(C31:N31)</f>
        <v/>
      </c>
    </row>
    <row r="32">
      <c r="B32" s="16" t="n">
        <v>27</v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>
        <f/>
        <v/>
      </c>
      <c r="I32">
        <f/>
        <v/>
      </c>
      <c r="J32">
        <f/>
        <v/>
      </c>
      <c r="K32">
        <f/>
        <v/>
      </c>
      <c r="L32">
        <f/>
        <v/>
      </c>
      <c r="M32">
        <f/>
        <v/>
      </c>
      <c r="N32">
        <f/>
        <v/>
      </c>
      <c r="O32" s="124">
        <f>+SUM(C32:N32)</f>
        <v/>
      </c>
    </row>
    <row r="33">
      <c r="B33" s="16" t="n">
        <v>28</v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>
        <f/>
        <v/>
      </c>
      <c r="I33">
        <f/>
        <v/>
      </c>
      <c r="J33">
        <f/>
        <v/>
      </c>
      <c r="K33">
        <f/>
        <v/>
      </c>
      <c r="L33">
        <f/>
        <v/>
      </c>
      <c r="M33">
        <f/>
        <v/>
      </c>
      <c r="N33">
        <f/>
        <v/>
      </c>
      <c r="O33" s="124">
        <f>+SUM(C33:N33)</f>
        <v/>
      </c>
    </row>
    <row r="34">
      <c r="B34" s="16" t="n">
        <v>29</v>
      </c>
      <c r="C34">
        <f/>
        <v/>
      </c>
      <c r="D34">
        <f/>
        <v/>
      </c>
      <c r="E34">
        <f/>
        <v/>
      </c>
      <c r="F34">
        <f/>
        <v/>
      </c>
      <c r="G34">
        <f/>
        <v/>
      </c>
      <c r="H34">
        <f/>
        <v/>
      </c>
      <c r="I34">
        <f/>
        <v/>
      </c>
      <c r="J34">
        <f/>
        <v/>
      </c>
      <c r="K34">
        <f/>
        <v/>
      </c>
      <c r="L34">
        <f/>
        <v/>
      </c>
      <c r="M34">
        <f/>
        <v/>
      </c>
      <c r="N34">
        <f/>
        <v/>
      </c>
      <c r="O34" s="124">
        <f>+SUM(C34:N34)</f>
        <v/>
      </c>
    </row>
    <row r="35" ht="18" customHeight="1" s="113">
      <c r="B35" s="16" t="n">
        <v>30</v>
      </c>
      <c r="C35">
        <f/>
        <v/>
      </c>
      <c r="D35">
        <f/>
        <v/>
      </c>
      <c r="E35">
        <f/>
        <v/>
      </c>
      <c r="F35">
        <f/>
        <v/>
      </c>
      <c r="G35">
        <f/>
        <v/>
      </c>
      <c r="H35">
        <f/>
        <v/>
      </c>
      <c r="I35">
        <f/>
        <v/>
      </c>
      <c r="J35">
        <f/>
        <v/>
      </c>
      <c r="K35">
        <f/>
        <v/>
      </c>
      <c r="L35">
        <f/>
        <v/>
      </c>
      <c r="M35">
        <f/>
        <v/>
      </c>
      <c r="N35">
        <f/>
        <v/>
      </c>
      <c r="O35" s="124">
        <f>+SUM(C35:N35)</f>
        <v/>
      </c>
      <c r="Q35" s="3" t="n"/>
    </row>
    <row r="36">
      <c r="B36" s="16" t="n">
        <v>31</v>
      </c>
      <c r="C36">
        <f/>
        <v/>
      </c>
      <c r="D36">
        <f/>
        <v/>
      </c>
      <c r="E36">
        <f/>
        <v/>
      </c>
      <c r="F36">
        <f/>
        <v/>
      </c>
      <c r="G36">
        <f/>
        <v/>
      </c>
      <c r="H36">
        <f/>
        <v/>
      </c>
      <c r="I36">
        <f/>
        <v/>
      </c>
      <c r="J36">
        <f/>
        <v/>
      </c>
      <c r="K36">
        <f/>
        <v/>
      </c>
      <c r="L36">
        <f/>
        <v/>
      </c>
      <c r="M36">
        <f/>
        <v/>
      </c>
      <c r="N36">
        <f/>
        <v/>
      </c>
      <c r="O36" s="124">
        <f>+SUM(C36:N36)</f>
        <v/>
      </c>
      <c r="R36" s="4" t="n"/>
    </row>
    <row r="37">
      <c r="B37" s="16" t="n">
        <v>32</v>
      </c>
      <c r="C37">
        <f/>
        <v/>
      </c>
      <c r="D37">
        <f/>
        <v/>
      </c>
      <c r="E37">
        <f/>
        <v/>
      </c>
      <c r="F37">
        <f/>
        <v/>
      </c>
      <c r="G37">
        <f/>
        <v/>
      </c>
      <c r="H37">
        <f/>
        <v/>
      </c>
      <c r="I37">
        <f/>
        <v/>
      </c>
      <c r="J37">
        <f/>
        <v/>
      </c>
      <c r="K37">
        <f/>
        <v/>
      </c>
      <c r="L37">
        <f/>
        <v/>
      </c>
      <c r="M37">
        <f/>
        <v/>
      </c>
      <c r="N37">
        <f/>
        <v/>
      </c>
      <c r="O37" s="124">
        <f>+SUM(C37:N37)</f>
        <v/>
      </c>
      <c r="R37" s="4" t="n"/>
    </row>
    <row r="38">
      <c r="B38" s="16" t="n">
        <v>33</v>
      </c>
      <c r="C38">
        <f/>
        <v/>
      </c>
      <c r="D38">
        <f/>
        <v/>
      </c>
      <c r="E38">
        <f/>
        <v/>
      </c>
      <c r="F38">
        <f/>
        <v/>
      </c>
      <c r="G38">
        <f/>
        <v/>
      </c>
      <c r="H38">
        <f/>
        <v/>
      </c>
      <c r="I38">
        <f/>
        <v/>
      </c>
      <c r="J38">
        <f/>
        <v/>
      </c>
      <c r="K38">
        <f/>
        <v/>
      </c>
      <c r="L38">
        <f/>
        <v/>
      </c>
      <c r="M38">
        <f/>
        <v/>
      </c>
      <c r="N38">
        <f/>
        <v/>
      </c>
      <c r="O38" s="124">
        <f>+SUM(C38:N38)</f>
        <v/>
      </c>
      <c r="R38" s="4" t="n"/>
    </row>
    <row r="39">
      <c r="B39" s="16" t="n">
        <v>34</v>
      </c>
      <c r="C39">
        <f/>
        <v/>
      </c>
      <c r="D39">
        <f/>
        <v/>
      </c>
      <c r="E39">
        <f/>
        <v/>
      </c>
      <c r="F39">
        <f/>
        <v/>
      </c>
      <c r="G39">
        <f/>
        <v/>
      </c>
      <c r="H39">
        <f/>
        <v/>
      </c>
      <c r="I39">
        <f/>
        <v/>
      </c>
      <c r="J39">
        <f/>
        <v/>
      </c>
      <c r="K39">
        <f/>
        <v/>
      </c>
      <c r="L39">
        <f/>
        <v/>
      </c>
      <c r="M39">
        <f/>
        <v/>
      </c>
      <c r="N39">
        <f/>
        <v/>
      </c>
      <c r="O39" s="124">
        <f>+SUM(C39:N39)</f>
        <v/>
      </c>
      <c r="R39" s="4" t="n"/>
    </row>
    <row r="40">
      <c r="B40" s="16" t="n">
        <v>35</v>
      </c>
      <c r="C40">
        <f/>
        <v/>
      </c>
      <c r="D40">
        <f/>
        <v/>
      </c>
      <c r="E40">
        <f/>
        <v/>
      </c>
      <c r="F40">
        <f/>
        <v/>
      </c>
      <c r="G40">
        <f/>
        <v/>
      </c>
      <c r="H40">
        <f/>
        <v/>
      </c>
      <c r="I40">
        <f/>
        <v/>
      </c>
      <c r="J40">
        <f/>
        <v/>
      </c>
      <c r="K40">
        <f/>
        <v/>
      </c>
      <c r="L40">
        <f/>
        <v/>
      </c>
      <c r="M40">
        <f/>
        <v/>
      </c>
      <c r="N40">
        <f/>
        <v/>
      </c>
      <c r="O40" s="124">
        <f>+SUM(C40:N40)</f>
        <v/>
      </c>
    </row>
    <row r="41">
      <c r="B41" s="16" t="n">
        <v>36</v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>
        <f/>
        <v/>
      </c>
      <c r="I41">
        <f/>
        <v/>
      </c>
      <c r="J41">
        <f/>
        <v/>
      </c>
      <c r="K41">
        <f/>
        <v/>
      </c>
      <c r="L41">
        <f/>
        <v/>
      </c>
      <c r="M41">
        <f/>
        <v/>
      </c>
      <c r="N41">
        <f/>
        <v/>
      </c>
      <c r="O41" s="124">
        <f>+SUM(C41:N41)</f>
        <v/>
      </c>
    </row>
    <row r="42">
      <c r="B42" s="16" t="n">
        <v>37</v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>
        <f/>
        <v/>
      </c>
      <c r="I42">
        <f/>
        <v/>
      </c>
      <c r="J42">
        <f/>
        <v/>
      </c>
      <c r="K42">
        <f/>
        <v/>
      </c>
      <c r="L42">
        <f/>
        <v/>
      </c>
      <c r="M42">
        <f/>
        <v/>
      </c>
      <c r="N42">
        <f/>
        <v/>
      </c>
      <c r="O42" s="124">
        <f>+SUM(C42:N42)</f>
        <v/>
      </c>
    </row>
    <row r="43">
      <c r="B43" s="16" t="n">
        <v>38</v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>
        <f/>
        <v/>
      </c>
      <c r="I43">
        <f/>
        <v/>
      </c>
      <c r="J43">
        <f/>
        <v/>
      </c>
      <c r="K43">
        <f/>
        <v/>
      </c>
      <c r="L43">
        <f/>
        <v/>
      </c>
      <c r="M43">
        <f/>
        <v/>
      </c>
      <c r="N43">
        <f/>
        <v/>
      </c>
      <c r="O43" s="124">
        <f>+SUM(C43:N43)</f>
        <v/>
      </c>
    </row>
    <row r="44">
      <c r="B44" s="16" t="n">
        <v>39</v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>
        <f/>
        <v/>
      </c>
      <c r="I44">
        <f/>
        <v/>
      </c>
      <c r="J44">
        <f/>
        <v/>
      </c>
      <c r="K44">
        <f/>
        <v/>
      </c>
      <c r="L44">
        <f/>
        <v/>
      </c>
      <c r="M44">
        <f/>
        <v/>
      </c>
      <c r="N44">
        <f/>
        <v/>
      </c>
      <c r="O44" s="124">
        <f>+SUM(C44:N44)</f>
        <v/>
      </c>
    </row>
    <row r="45">
      <c r="B45" s="16" t="n">
        <v>40</v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>
        <f/>
        <v/>
      </c>
      <c r="I45">
        <f/>
        <v/>
      </c>
      <c r="J45">
        <f/>
        <v/>
      </c>
      <c r="K45">
        <f/>
        <v/>
      </c>
      <c r="L45">
        <f/>
        <v/>
      </c>
      <c r="M45">
        <f/>
        <v/>
      </c>
      <c r="N45">
        <f/>
        <v/>
      </c>
      <c r="O45" s="124">
        <f>+SUM(C45:N45)</f>
        <v/>
      </c>
    </row>
    <row r="46">
      <c r="B46" s="16" t="n">
        <v>41</v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>
        <f/>
        <v/>
      </c>
      <c r="I46">
        <f/>
        <v/>
      </c>
      <c r="J46">
        <f/>
        <v/>
      </c>
      <c r="K46">
        <f/>
        <v/>
      </c>
      <c r="L46">
        <f/>
        <v/>
      </c>
      <c r="M46">
        <f/>
        <v/>
      </c>
      <c r="N46">
        <f/>
        <v/>
      </c>
      <c r="O46" s="124">
        <f>+SUM(C46:N46)</f>
        <v/>
      </c>
    </row>
    <row r="47">
      <c r="B47" s="16" t="n">
        <v>42</v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>
        <f/>
        <v/>
      </c>
      <c r="I47">
        <f/>
        <v/>
      </c>
      <c r="J47">
        <f/>
        <v/>
      </c>
      <c r="K47">
        <f/>
        <v/>
      </c>
      <c r="L47">
        <f/>
        <v/>
      </c>
      <c r="M47">
        <f/>
        <v/>
      </c>
      <c r="N47">
        <f/>
        <v/>
      </c>
      <c r="O47" s="124">
        <f>+SUM(C47:N47)</f>
        <v/>
      </c>
    </row>
    <row r="48">
      <c r="B48" s="16" t="n">
        <v>43</v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>
        <f/>
        <v/>
      </c>
      <c r="I48">
        <f/>
        <v/>
      </c>
      <c r="J48">
        <f/>
        <v/>
      </c>
      <c r="K48">
        <f/>
        <v/>
      </c>
      <c r="L48">
        <f/>
        <v/>
      </c>
      <c r="M48">
        <f/>
        <v/>
      </c>
      <c r="N48">
        <f/>
        <v/>
      </c>
      <c r="O48" s="124">
        <f>+SUM(C48:N48)</f>
        <v/>
      </c>
    </row>
    <row r="49">
      <c r="B49" s="16" t="n">
        <v>44</v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>
        <f/>
        <v/>
      </c>
      <c r="I49">
        <f/>
        <v/>
      </c>
      <c r="J49">
        <f/>
        <v/>
      </c>
      <c r="K49">
        <f/>
        <v/>
      </c>
      <c r="L49">
        <f/>
        <v/>
      </c>
      <c r="M49">
        <f/>
        <v/>
      </c>
      <c r="N49">
        <f/>
        <v/>
      </c>
      <c r="O49" s="124">
        <f>+SUM(C49:N49)</f>
        <v/>
      </c>
    </row>
    <row r="50">
      <c r="B50" s="16" t="n">
        <v>45</v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>
        <f/>
        <v/>
      </c>
      <c r="I50">
        <f/>
        <v/>
      </c>
      <c r="J50">
        <f/>
        <v/>
      </c>
      <c r="K50">
        <f/>
        <v/>
      </c>
      <c r="L50">
        <f/>
        <v/>
      </c>
      <c r="M50">
        <f/>
        <v/>
      </c>
      <c r="N50">
        <f/>
        <v/>
      </c>
      <c r="O50" s="124">
        <f>+SUM(C50:N50)</f>
        <v/>
      </c>
    </row>
    <row r="51">
      <c r="B51" s="16" t="n">
        <v>46</v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>
        <f/>
        <v/>
      </c>
      <c r="I51">
        <f/>
        <v/>
      </c>
      <c r="J51">
        <f/>
        <v/>
      </c>
      <c r="K51">
        <f/>
        <v/>
      </c>
      <c r="L51">
        <f/>
        <v/>
      </c>
      <c r="M51">
        <f/>
        <v/>
      </c>
      <c r="N51">
        <f/>
        <v/>
      </c>
      <c r="O51" s="124">
        <f>+SUM(C51:N51)</f>
        <v/>
      </c>
    </row>
    <row r="52">
      <c r="B52" s="16" t="n">
        <v>47</v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>
        <f/>
        <v/>
      </c>
      <c r="I52">
        <f/>
        <v/>
      </c>
      <c r="J52">
        <f/>
        <v/>
      </c>
      <c r="K52">
        <f/>
        <v/>
      </c>
      <c r="L52">
        <f/>
        <v/>
      </c>
      <c r="M52">
        <f/>
        <v/>
      </c>
      <c r="N52">
        <f/>
        <v/>
      </c>
      <c r="O52" s="124">
        <f>+SUM(C52:N52)</f>
        <v/>
      </c>
    </row>
    <row r="53">
      <c r="B53" s="16" t="n">
        <v>48</v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>
        <f/>
        <v/>
      </c>
      <c r="I53">
        <f/>
        <v/>
      </c>
      <c r="J53">
        <f/>
        <v/>
      </c>
      <c r="K53">
        <f/>
        <v/>
      </c>
      <c r="L53">
        <f/>
        <v/>
      </c>
      <c r="M53">
        <f/>
        <v/>
      </c>
      <c r="N53">
        <f/>
        <v/>
      </c>
      <c r="O53" s="124">
        <f>+SUM(C53:N53)</f>
        <v/>
      </c>
      <c r="Q53" s="5" t="n"/>
    </row>
    <row r="54">
      <c r="B54" s="16" t="n">
        <v>49</v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>
        <f/>
        <v/>
      </c>
      <c r="I54">
        <f/>
        <v/>
      </c>
      <c r="J54">
        <f/>
        <v/>
      </c>
      <c r="K54">
        <f/>
        <v/>
      </c>
      <c r="L54">
        <f/>
        <v/>
      </c>
      <c r="M54">
        <f/>
        <v/>
      </c>
      <c r="N54">
        <f/>
        <v/>
      </c>
      <c r="O54" s="124">
        <f>+SUM(C54:N54)</f>
        <v/>
      </c>
      <c r="Q54" s="5" t="n"/>
    </row>
    <row r="55">
      <c r="B55" s="16" t="n">
        <v>50</v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>
        <f/>
        <v/>
      </c>
      <c r="I55">
        <f/>
        <v/>
      </c>
      <c r="J55">
        <f/>
        <v/>
      </c>
      <c r="K55">
        <f/>
        <v/>
      </c>
      <c r="L55">
        <f/>
        <v/>
      </c>
      <c r="M55">
        <f/>
        <v/>
      </c>
      <c r="N55">
        <f/>
        <v/>
      </c>
      <c r="O55" s="124">
        <f>+SUM(C55:N55)</f>
        <v/>
      </c>
    </row>
    <row r="56" ht="15" customHeight="1" s="113">
      <c r="B56" s="16" t="n">
        <v>51</v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>
        <f/>
        <v/>
      </c>
      <c r="I56">
        <f/>
        <v/>
      </c>
      <c r="J56">
        <f/>
        <v/>
      </c>
      <c r="K56">
        <f/>
        <v/>
      </c>
      <c r="L56">
        <f/>
        <v/>
      </c>
      <c r="M56">
        <f/>
        <v/>
      </c>
      <c r="N56">
        <f/>
        <v/>
      </c>
      <c r="O56" s="124">
        <f>+SUM(C56:N56)</f>
        <v/>
      </c>
      <c r="R56" s="8" t="inlineStr">
        <is>
          <t xml:space="preserve">🚀 Next StEWS for Next Phase </t>
        </is>
      </c>
    </row>
    <row r="57">
      <c r="B57" s="16" t="n">
        <v>52</v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>
        <f/>
        <v/>
      </c>
      <c r="I57">
        <f/>
        <v/>
      </c>
      <c r="J57">
        <f/>
        <v/>
      </c>
      <c r="K57">
        <f/>
        <v/>
      </c>
      <c r="L57">
        <f/>
        <v/>
      </c>
      <c r="M57">
        <f/>
        <v/>
      </c>
      <c r="N57">
        <f/>
        <v/>
      </c>
      <c r="O57" s="124">
        <f>+SUM(C57:N57)</f>
        <v/>
      </c>
    </row>
    <row r="58">
      <c r="B58" s="16" t="n">
        <v>53</v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>
        <f/>
        <v/>
      </c>
      <c r="I58">
        <f/>
        <v/>
      </c>
      <c r="J58">
        <f/>
        <v/>
      </c>
      <c r="K58">
        <f/>
        <v/>
      </c>
      <c r="L58">
        <f/>
        <v/>
      </c>
      <c r="M58">
        <f/>
        <v/>
      </c>
      <c r="N58">
        <f/>
        <v/>
      </c>
      <c r="O58" s="124">
        <f>+SUM(C58:N58)</f>
        <v/>
      </c>
      <c r="R58" t="inlineStr">
        <is>
          <t>Based on your documentation, here are the recommended next implementations:</t>
        </is>
      </c>
    </row>
    <row r="59">
      <c r="B59" s="16" t="n">
        <v>54</v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>
        <f/>
        <v/>
      </c>
      <c r="I59">
        <f/>
        <v/>
      </c>
      <c r="J59">
        <f/>
        <v/>
      </c>
      <c r="K59">
        <f/>
        <v/>
      </c>
      <c r="L59">
        <f/>
        <v/>
      </c>
      <c r="M59">
        <f/>
        <v/>
      </c>
      <c r="N59">
        <f/>
        <v/>
      </c>
      <c r="O59" s="124">
        <f>+SUM(C59:N59)</f>
        <v/>
      </c>
    </row>
    <row r="60" ht="18" customHeight="1" s="113">
      <c r="B60" s="16" t="n">
        <v>55</v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>
        <f/>
        <v/>
      </c>
      <c r="I60">
        <f/>
        <v/>
      </c>
      <c r="J60">
        <f/>
        <v/>
      </c>
      <c r="K60">
        <f/>
        <v/>
      </c>
      <c r="L60">
        <f/>
        <v/>
      </c>
      <c r="M60">
        <f/>
        <v/>
      </c>
      <c r="N60">
        <f/>
        <v/>
      </c>
      <c r="O60" s="124">
        <f>+SUM(C60:N60)</f>
        <v/>
      </c>
      <c r="R60" s="3" t="inlineStr">
        <is>
          <t>Phase 2: Regional Analysis</t>
        </is>
      </c>
    </row>
    <row r="61">
      <c r="B61" s="16" t="n">
        <v>56</v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>
        <f/>
        <v/>
      </c>
      <c r="I61">
        <f/>
        <v/>
      </c>
      <c r="J61">
        <f/>
        <v/>
      </c>
      <c r="K61">
        <f/>
        <v/>
      </c>
      <c r="L61">
        <f/>
        <v/>
      </c>
      <c r="M61">
        <f/>
        <v/>
      </c>
      <c r="N61">
        <f/>
        <v/>
      </c>
      <c r="O61" s="124">
        <f>+SUM(C61:N61)</f>
        <v/>
      </c>
      <c r="R61" s="4" t="n"/>
    </row>
    <row r="62">
      <c r="B62" s="16" t="n">
        <v>57</v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>
        <f/>
        <v/>
      </c>
      <c r="I62">
        <f/>
        <v/>
      </c>
      <c r="J62">
        <f/>
        <v/>
      </c>
      <c r="K62">
        <f/>
        <v/>
      </c>
      <c r="L62">
        <f/>
        <v/>
      </c>
      <c r="M62">
        <f/>
        <v/>
      </c>
      <c r="N62">
        <f/>
        <v/>
      </c>
      <c r="O62" s="124">
        <f>+SUM(C62:N62)</f>
        <v/>
      </c>
      <c r="Q62" t="n">
        <v>16</v>
      </c>
      <c r="R62" s="4" t="inlineStr">
        <is>
          <t>Add region column extraction from monthly sheets</t>
        </is>
      </c>
    </row>
    <row r="63">
      <c r="B63" s="16" t="n">
        <v>58</v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>
        <f/>
        <v/>
      </c>
      <c r="I63">
        <f/>
        <v/>
      </c>
      <c r="J63">
        <f/>
        <v/>
      </c>
      <c r="K63">
        <f/>
        <v/>
      </c>
      <c r="L63">
        <f/>
        <v/>
      </c>
      <c r="M63">
        <f/>
        <v/>
      </c>
      <c r="N63">
        <f/>
        <v/>
      </c>
      <c r="O63" s="124">
        <f>+SUM(C63:N63)</f>
        <v/>
      </c>
      <c r="Q63" t="n">
        <v>17</v>
      </c>
      <c r="R63" s="4" t="inlineStr">
        <is>
          <t>Create region × species × month pivot tables</t>
        </is>
      </c>
    </row>
    <row r="64">
      <c r="B64" s="16" t="n">
        <v>59</v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>
        <f/>
        <v/>
      </c>
      <c r="I64">
        <f/>
        <v/>
      </c>
      <c r="J64">
        <f/>
        <v/>
      </c>
      <c r="K64">
        <f/>
        <v/>
      </c>
      <c r="L64">
        <f/>
        <v/>
      </c>
      <c r="M64">
        <f/>
        <v/>
      </c>
      <c r="N64">
        <f/>
        <v/>
      </c>
      <c r="O64" s="124">
        <f>+SUM(C64:N64)</f>
        <v/>
      </c>
      <c r="Q64" t="n">
        <v>19</v>
      </c>
      <c r="R64" s="4" t="inlineStr">
        <is>
          <t>Implement ANOVA for regional comparisons</t>
        </is>
      </c>
    </row>
    <row r="65">
      <c r="B65" s="16" t="n">
        <v>60</v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>
        <f/>
        <v/>
      </c>
      <c r="I65">
        <f/>
        <v/>
      </c>
      <c r="J65">
        <f/>
        <v/>
      </c>
      <c r="K65">
        <f/>
        <v/>
      </c>
      <c r="L65">
        <f/>
        <v/>
      </c>
      <c r="M65">
        <f/>
        <v/>
      </c>
      <c r="N65">
        <f/>
        <v/>
      </c>
      <c r="O65" s="124">
        <f>+SUM(C65:N65)</f>
        <v/>
      </c>
    </row>
    <row r="66" ht="18" customHeight="1" s="113">
      <c r="B66" s="16" t="n">
        <v>61</v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>
        <f/>
        <v/>
      </c>
      <c r="I66">
        <f/>
        <v/>
      </c>
      <c r="J66">
        <f/>
        <v/>
      </c>
      <c r="K66">
        <f/>
        <v/>
      </c>
      <c r="L66">
        <f/>
        <v/>
      </c>
      <c r="M66">
        <f/>
        <v/>
      </c>
      <c r="N66">
        <f/>
        <v/>
      </c>
      <c r="O66" s="124">
        <f>+SUM(C66:N66)</f>
        <v/>
      </c>
      <c r="R66" s="3" t="inlineStr">
        <is>
          <t>Phase 3: Advanced Metrics</t>
        </is>
      </c>
    </row>
    <row r="67">
      <c r="B67" s="16" t="n">
        <v>62</v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>
        <f/>
        <v/>
      </c>
      <c r="I67">
        <f/>
        <v/>
      </c>
      <c r="J67">
        <f/>
        <v/>
      </c>
      <c r="K67">
        <f/>
        <v/>
      </c>
      <c r="L67">
        <f/>
        <v/>
      </c>
      <c r="M67">
        <f/>
        <v/>
      </c>
      <c r="N67">
        <f/>
        <v/>
      </c>
      <c r="O67" s="124">
        <f>+SUM(C67:N67)</f>
        <v/>
      </c>
      <c r="R67" s="4" t="n"/>
    </row>
    <row r="68">
      <c r="B68" s="16" t="n">
        <v>63</v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>
        <f/>
        <v/>
      </c>
      <c r="I68">
        <f/>
        <v/>
      </c>
      <c r="J68">
        <f/>
        <v/>
      </c>
      <c r="K68">
        <f/>
        <v/>
      </c>
      <c r="L68">
        <f/>
        <v/>
      </c>
      <c r="M68">
        <f/>
        <v/>
      </c>
      <c r="N68">
        <f/>
        <v/>
      </c>
      <c r="O68" s="124">
        <f>+SUM(C68:N68)</f>
        <v/>
      </c>
      <c r="Q68" t="n">
        <v>19</v>
      </c>
      <c r="R68" s="4" t="inlineStr">
        <is>
          <t>Length-Converted Catch Curves for mortality estimates</t>
        </is>
      </c>
    </row>
    <row r="69">
      <c r="B69" s="16" t="n">
        <v>64</v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>
        <f/>
        <v/>
      </c>
      <c r="I69">
        <f/>
        <v/>
      </c>
      <c r="J69">
        <f/>
        <v/>
      </c>
      <c r="K69">
        <f/>
        <v/>
      </c>
      <c r="L69">
        <f/>
        <v/>
      </c>
      <c r="M69">
        <f/>
        <v/>
      </c>
      <c r="N69">
        <f/>
        <v/>
      </c>
      <c r="O69" s="124">
        <f>+SUM(C69:N69)</f>
        <v/>
      </c>
      <c r="Q69" t="n">
        <v>20</v>
      </c>
      <c r="R69" s="4" t="inlineStr">
        <is>
          <t>Beverton-Holt ratios</t>
        </is>
      </c>
    </row>
    <row r="70">
      <c r="B70" s="16" t="n">
        <v>65</v>
      </c>
      <c r="C70">
        <f/>
        <v/>
      </c>
      <c r="D70">
        <f/>
        <v/>
      </c>
      <c r="E70">
        <f/>
        <v/>
      </c>
      <c r="F70">
        <f/>
        <v/>
      </c>
      <c r="G70">
        <f/>
        <v/>
      </c>
      <c r="H70">
        <f/>
        <v/>
      </c>
      <c r="I70">
        <f/>
        <v/>
      </c>
      <c r="J70">
        <f/>
        <v/>
      </c>
      <c r="K70">
        <f/>
        <v/>
      </c>
      <c r="L70">
        <f/>
        <v/>
      </c>
      <c r="M70">
        <f/>
        <v/>
      </c>
      <c r="N70">
        <f/>
        <v/>
      </c>
      <c r="O70" s="124">
        <f>+SUM(C70:N70)</f>
        <v/>
      </c>
      <c r="Q70" t="n">
        <v>21</v>
      </c>
      <c r="R70" s="4" t="inlineStr">
        <is>
          <t>LB-SPR calculations (will need maturity parameters from LISTS sheet)</t>
        </is>
      </c>
    </row>
    <row r="71">
      <c r="B71" s="16" t="n">
        <v>66</v>
      </c>
      <c r="C71">
        <f/>
        <v/>
      </c>
      <c r="D71">
        <f/>
        <v/>
      </c>
      <c r="E71">
        <f/>
        <v/>
      </c>
      <c r="F71">
        <f/>
        <v/>
      </c>
      <c r="G71">
        <f/>
        <v/>
      </c>
      <c r="H71">
        <f/>
        <v/>
      </c>
      <c r="I71">
        <f/>
        <v/>
      </c>
      <c r="J71">
        <f/>
        <v/>
      </c>
      <c r="K71">
        <f/>
        <v/>
      </c>
      <c r="L71">
        <f/>
        <v/>
      </c>
      <c r="M71">
        <f/>
        <v/>
      </c>
      <c r="N71">
        <f/>
        <v/>
      </c>
      <c r="O71" s="124" t="n"/>
    </row>
    <row r="72" ht="18" customHeight="1" s="113">
      <c r="B72" s="16" t="n">
        <v>67</v>
      </c>
      <c r="C72">
        <f/>
        <v/>
      </c>
      <c r="D72">
        <f/>
        <v/>
      </c>
      <c r="E72">
        <f/>
        <v/>
      </c>
      <c r="F72">
        <f/>
        <v/>
      </c>
      <c r="G72">
        <f/>
        <v/>
      </c>
      <c r="H72">
        <f/>
        <v/>
      </c>
      <c r="I72">
        <f/>
        <v/>
      </c>
      <c r="J72">
        <f/>
        <v/>
      </c>
      <c r="K72">
        <f/>
        <v/>
      </c>
      <c r="L72">
        <f/>
        <v/>
      </c>
      <c r="M72">
        <f/>
        <v/>
      </c>
      <c r="N72">
        <f/>
        <v/>
      </c>
      <c r="O72" s="124" t="n"/>
      <c r="R72" s="3" t="inlineStr">
        <is>
          <t>Phase 4: Automated Reporting</t>
        </is>
      </c>
    </row>
    <row r="73">
      <c r="B73" s="16" t="n">
        <v>68</v>
      </c>
      <c r="C73">
        <f/>
        <v/>
      </c>
      <c r="D73">
        <f/>
        <v/>
      </c>
      <c r="E73">
        <f/>
        <v/>
      </c>
      <c r="F73">
        <f/>
        <v/>
      </c>
      <c r="G73">
        <f/>
        <v/>
      </c>
      <c r="H73">
        <f/>
        <v/>
      </c>
      <c r="I73">
        <f/>
        <v/>
      </c>
      <c r="J73">
        <f/>
        <v/>
      </c>
      <c r="K73">
        <f/>
        <v/>
      </c>
      <c r="L73">
        <f/>
        <v/>
      </c>
      <c r="M73">
        <f/>
        <v/>
      </c>
      <c r="N73">
        <f/>
        <v/>
      </c>
      <c r="O73" s="124" t="n"/>
      <c r="R73" s="4" t="n"/>
    </row>
    <row r="74">
      <c r="B74" s="16" t="n">
        <v>69</v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>
        <f/>
        <v/>
      </c>
      <c r="I74">
        <f/>
        <v/>
      </c>
      <c r="J74">
        <f/>
        <v/>
      </c>
      <c r="K74">
        <f/>
        <v/>
      </c>
      <c r="L74">
        <f/>
        <v/>
      </c>
      <c r="M74">
        <f/>
        <v/>
      </c>
      <c r="N74">
        <f/>
        <v/>
      </c>
      <c r="O74" s="124" t="n"/>
      <c r="Q74" t="n">
        <v>22</v>
      </c>
      <c r="R74" s="4" t="inlineStr">
        <is>
          <t>PDF report generation with all indicators</t>
        </is>
      </c>
    </row>
    <row r="75">
      <c r="B75" s="16" t="n">
        <v>70</v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>
        <f/>
        <v/>
      </c>
      <c r="I75">
        <f/>
        <v/>
      </c>
      <c r="J75">
        <f/>
        <v/>
      </c>
      <c r="K75">
        <f/>
        <v/>
      </c>
      <c r="L75">
        <f/>
        <v/>
      </c>
      <c r="M75">
        <f/>
        <v/>
      </c>
      <c r="N75">
        <f/>
        <v/>
      </c>
      <c r="O75" s="124" t="n"/>
      <c r="Q75" t="n">
        <v>23</v>
      </c>
      <c r="R75" s="4" t="inlineStr">
        <is>
          <t>Threshold-based management alerts</t>
        </is>
      </c>
    </row>
    <row r="76">
      <c r="B76" s="16" t="n">
        <v>71</v>
      </c>
      <c r="C76" s="124">
        <f/>
        <v/>
      </c>
      <c r="D76" s="124">
        <f/>
        <v/>
      </c>
      <c r="E76" s="124">
        <f/>
        <v/>
      </c>
      <c r="F76" s="124">
        <f/>
        <v/>
      </c>
      <c r="G76" s="124">
        <f/>
        <v/>
      </c>
      <c r="H76" s="124">
        <f/>
        <v/>
      </c>
      <c r="I76" s="124">
        <f/>
        <v/>
      </c>
      <c r="J76" s="124">
        <f/>
        <v/>
      </c>
      <c r="K76" s="124">
        <f/>
        <v/>
      </c>
      <c r="L76" s="124">
        <f/>
        <v/>
      </c>
      <c r="M76" s="124">
        <f/>
        <v/>
      </c>
      <c r="N76" s="124">
        <f/>
        <v/>
      </c>
      <c r="O76" s="124" t="n"/>
      <c r="Q76" t="n">
        <v>24</v>
      </c>
      <c r="R76" s="4" t="inlineStr">
        <is>
          <t>Trend analysis across time periods</t>
        </is>
      </c>
    </row>
    <row r="77">
      <c r="B77" s="16" t="n">
        <v>72</v>
      </c>
      <c r="C77" s="124">
        <f/>
        <v/>
      </c>
      <c r="D77" s="124">
        <f/>
        <v/>
      </c>
      <c r="E77" s="124">
        <f/>
        <v/>
      </c>
      <c r="F77" s="124">
        <f/>
        <v/>
      </c>
      <c r="G77" s="124">
        <f/>
        <v/>
      </c>
      <c r="H77" s="124">
        <f/>
        <v/>
      </c>
      <c r="I77" s="124">
        <f/>
        <v/>
      </c>
      <c r="J77" s="124">
        <f/>
        <v/>
      </c>
      <c r="K77" s="124">
        <f/>
        <v/>
      </c>
      <c r="L77" s="124">
        <f/>
        <v/>
      </c>
      <c r="M77" s="124">
        <f/>
        <v/>
      </c>
      <c r="N77" s="124">
        <f/>
        <v/>
      </c>
      <c r="O77" s="124" t="n"/>
    </row>
    <row r="78">
      <c r="B78" s="16" t="n">
        <v>73</v>
      </c>
      <c r="C78" s="124">
        <f/>
        <v/>
      </c>
      <c r="D78" s="124">
        <f/>
        <v/>
      </c>
      <c r="E78" s="124">
        <f/>
        <v/>
      </c>
      <c r="F78" s="124">
        <f/>
        <v/>
      </c>
      <c r="G78" s="124">
        <f/>
        <v/>
      </c>
      <c r="H78" s="124">
        <f/>
        <v/>
      </c>
      <c r="I78" s="124">
        <f/>
        <v/>
      </c>
      <c r="J78" s="124">
        <f/>
        <v/>
      </c>
      <c r="K78" s="124">
        <f/>
        <v/>
      </c>
      <c r="L78" s="124">
        <f/>
        <v/>
      </c>
      <c r="M78" s="124">
        <f/>
        <v/>
      </c>
      <c r="N78" s="124">
        <f/>
        <v/>
      </c>
      <c r="O78" s="124" t="n"/>
      <c r="R78" t="inlineStr">
        <is>
          <t>The tool maintains your optimization principle of sub-0.1 second calculations while adding powerful analytical capabilities. The species sheets created follow your exact specification with monthly columns and statistical rows, ready for further stock assessment work!</t>
        </is>
      </c>
    </row>
    <row r="79">
      <c r="B79" s="16" t="n">
        <v>74</v>
      </c>
      <c r="C79" s="124">
        <f/>
        <v/>
      </c>
      <c r="D79" s="124">
        <f/>
        <v/>
      </c>
      <c r="E79" s="124">
        <f/>
        <v/>
      </c>
      <c r="F79" s="124">
        <f/>
        <v/>
      </c>
      <c r="G79" s="124">
        <f/>
        <v/>
      </c>
      <c r="H79" s="124">
        <f/>
        <v/>
      </c>
      <c r="I79" s="124">
        <f/>
        <v/>
      </c>
      <c r="J79" s="124">
        <f/>
        <v/>
      </c>
      <c r="K79" s="124">
        <f/>
        <v/>
      </c>
      <c r="L79" s="124">
        <f/>
        <v/>
      </c>
      <c r="M79" s="124">
        <f/>
        <v/>
      </c>
      <c r="N79" s="124">
        <f/>
        <v/>
      </c>
      <c r="O79" s="124" t="n"/>
    </row>
    <row r="80">
      <c r="B80" s="16" t="n">
        <v>75</v>
      </c>
      <c r="C80" s="124">
        <f/>
        <v/>
      </c>
      <c r="D80" s="124">
        <f/>
        <v/>
      </c>
      <c r="E80" s="124">
        <f/>
        <v/>
      </c>
      <c r="F80" s="124">
        <f/>
        <v/>
      </c>
      <c r="G80" s="124">
        <f/>
        <v/>
      </c>
      <c r="H80" s="124">
        <f/>
        <v/>
      </c>
      <c r="I80" s="124">
        <f/>
        <v/>
      </c>
      <c r="J80" s="124">
        <f/>
        <v/>
      </c>
      <c r="K80" s="124">
        <f/>
        <v/>
      </c>
      <c r="L80" s="124">
        <f/>
        <v/>
      </c>
      <c r="M80" s="124">
        <f/>
        <v/>
      </c>
      <c r="N80" s="124">
        <f/>
        <v/>
      </c>
      <c r="O80" s="124" t="n"/>
    </row>
    <row r="81">
      <c r="B81" s="16" t="n">
        <v>76</v>
      </c>
      <c r="C81" s="124">
        <f/>
        <v/>
      </c>
      <c r="D81" s="124">
        <f/>
        <v/>
      </c>
      <c r="E81" s="124">
        <f/>
        <v/>
      </c>
      <c r="F81" s="124">
        <f/>
        <v/>
      </c>
      <c r="G81" s="124">
        <f/>
        <v/>
      </c>
      <c r="H81" s="124">
        <f/>
        <v/>
      </c>
      <c r="I81" s="124">
        <f/>
        <v/>
      </c>
      <c r="J81" s="124">
        <f/>
        <v/>
      </c>
      <c r="K81" s="124">
        <f/>
        <v/>
      </c>
      <c r="L81" s="124">
        <f/>
        <v/>
      </c>
      <c r="M81" s="124">
        <f/>
        <v/>
      </c>
      <c r="N81" s="124">
        <f/>
        <v/>
      </c>
      <c r="O81" s="124" t="n"/>
      <c r="R81" s="11" t="inlineStr">
        <is>
          <t>1. FROESE SUSTAINABILITY INDICATORS (5 metrics):</t>
        </is>
      </c>
    </row>
    <row r="82">
      <c r="B82" s="16" t="n">
        <v>77</v>
      </c>
      <c r="C82" s="124">
        <f/>
        <v/>
      </c>
      <c r="D82" s="124">
        <f/>
        <v/>
      </c>
      <c r="E82" s="124">
        <f/>
        <v/>
      </c>
      <c r="F82" s="124">
        <f/>
        <v/>
      </c>
      <c r="G82" s="124">
        <f/>
        <v/>
      </c>
      <c r="H82" s="124">
        <f/>
        <v/>
      </c>
      <c r="I82" s="124">
        <f/>
        <v/>
      </c>
      <c r="J82" s="124">
        <f/>
        <v/>
      </c>
      <c r="K82" s="124">
        <f/>
        <v/>
      </c>
      <c r="L82" s="124">
        <f/>
        <v/>
      </c>
      <c r="M82" s="124">
        <f/>
        <v/>
      </c>
      <c r="N82" s="124">
        <f/>
        <v/>
      </c>
      <c r="O82" s="124" t="n"/>
      <c r="Q82" s="9" t="n"/>
      <c r="R82" s="11" t="inlineStr">
        <is>
          <t>Indicator 1: Pmat (% mature)</t>
        </is>
      </c>
    </row>
    <row r="83">
      <c r="B83" s="16" t="n">
        <v>78</v>
      </c>
      <c r="C83" s="124">
        <f/>
        <v/>
      </c>
      <c r="D83" s="124">
        <f/>
        <v/>
      </c>
      <c r="E83" s="124">
        <f/>
        <v/>
      </c>
      <c r="F83" s="124">
        <f/>
        <v/>
      </c>
      <c r="G83" s="124">
        <f/>
        <v/>
      </c>
      <c r="H83" s="124">
        <f/>
        <v/>
      </c>
      <c r="I83" s="124">
        <f/>
        <v/>
      </c>
      <c r="J83" s="124">
        <f/>
        <v/>
      </c>
      <c r="K83" s="124">
        <f/>
        <v/>
      </c>
      <c r="L83" s="124">
        <f/>
        <v/>
      </c>
      <c r="M83" s="124">
        <f/>
        <v/>
      </c>
      <c r="N83" s="124">
        <f/>
        <v/>
      </c>
      <c r="O83" s="124" t="n"/>
      <c r="Q83" s="9" t="n"/>
      <c r="R83" s="11" t="inlineStr">
        <is>
          <t>Indicator 2: Popt (% within Lopt ± 10%)</t>
        </is>
      </c>
    </row>
    <row r="84">
      <c r="B84" s="16" t="n">
        <v>79</v>
      </c>
      <c r="C84" s="124">
        <f/>
        <v/>
      </c>
      <c r="D84" s="124">
        <f/>
        <v/>
      </c>
      <c r="E84" s="124">
        <f/>
        <v/>
      </c>
      <c r="F84" s="124">
        <f/>
        <v/>
      </c>
      <c r="G84" s="124">
        <f/>
        <v/>
      </c>
      <c r="H84" s="124">
        <f/>
        <v/>
      </c>
      <c r="I84" s="124">
        <f/>
        <v/>
      </c>
      <c r="J84" s="124">
        <f/>
        <v/>
      </c>
      <c r="K84" s="124">
        <f/>
        <v/>
      </c>
      <c r="L84" s="124">
        <f/>
        <v/>
      </c>
      <c r="M84" s="124">
        <f/>
        <v/>
      </c>
      <c r="N84" s="124">
        <f/>
        <v/>
      </c>
      <c r="O84" s="124" t="n"/>
      <c r="Q84" s="9" t="n"/>
      <c r="R84" s="11" t="inlineStr">
        <is>
          <t>Indicator 3: Pmega (% mega-spawners &gt;Lopt+10%)</t>
        </is>
      </c>
      <c r="V84" s="10" t="n"/>
    </row>
    <row r="85">
      <c r="B85" s="16" t="n">
        <v>80</v>
      </c>
      <c r="C85" s="124">
        <f/>
        <v/>
      </c>
      <c r="D85" s="124">
        <f/>
        <v/>
      </c>
      <c r="E85" s="124">
        <f/>
        <v/>
      </c>
      <c r="F85" s="124">
        <f/>
        <v/>
      </c>
      <c r="G85" s="124">
        <f/>
        <v/>
      </c>
      <c r="H85" s="124">
        <f/>
        <v/>
      </c>
      <c r="I85" s="124">
        <f/>
        <v/>
      </c>
      <c r="J85" s="124">
        <f/>
        <v/>
      </c>
      <c r="K85" s="124">
        <f/>
        <v/>
      </c>
      <c r="L85" s="124">
        <f/>
        <v/>
      </c>
      <c r="M85" s="124">
        <f/>
        <v/>
      </c>
      <c r="N85" s="124">
        <f/>
        <v/>
      </c>
      <c r="O85" s="124" t="n"/>
      <c r="R85" s="11" t="inlineStr">
        <is>
          <t>Indicator 4: Pobj (Combined objective function)</t>
        </is>
      </c>
    </row>
    <row r="86">
      <c r="B86" s="16" t="n"/>
      <c r="C86" s="124">
        <f/>
        <v/>
      </c>
      <c r="D86" s="124">
        <f/>
        <v/>
      </c>
      <c r="E86" s="124">
        <f/>
        <v/>
      </c>
      <c r="F86" s="124">
        <f/>
        <v/>
      </c>
      <c r="G86" s="124">
        <f/>
        <v/>
      </c>
      <c r="H86" s="124">
        <f/>
        <v/>
      </c>
      <c r="I86" s="124">
        <f/>
        <v/>
      </c>
      <c r="J86" s="124">
        <f/>
        <v/>
      </c>
      <c r="K86" s="124">
        <f/>
        <v/>
      </c>
      <c r="L86" s="124">
        <f/>
        <v/>
      </c>
      <c r="M86" s="124">
        <f/>
        <v/>
      </c>
      <c r="N86" s="124">
        <f/>
        <v/>
      </c>
      <c r="O86" s="124" t="n"/>
      <c r="R86" s="11" t="inlineStr">
        <is>
          <t>Indicator 5: LBI (Length-Based Indicator score)</t>
        </is>
      </c>
    </row>
    <row r="87">
      <c r="B87" s="16" t="n"/>
      <c r="C87" s="124">
        <f/>
        <v/>
      </c>
      <c r="D87" s="124">
        <f/>
        <v/>
      </c>
      <c r="E87" s="124">
        <f/>
        <v/>
      </c>
      <c r="F87" s="124">
        <f/>
        <v/>
      </c>
      <c r="G87" s="124">
        <f/>
        <v/>
      </c>
      <c r="H87" s="124">
        <f/>
        <v/>
      </c>
      <c r="I87" s="124">
        <f/>
        <v/>
      </c>
      <c r="J87" s="124">
        <f/>
        <v/>
      </c>
      <c r="K87" s="124">
        <f/>
        <v/>
      </c>
      <c r="L87" s="124">
        <f/>
        <v/>
      </c>
      <c r="M87" s="124">
        <f/>
        <v/>
      </c>
      <c r="N87" s="124">
        <f/>
        <v/>
      </c>
      <c r="O87" s="124" t="n"/>
    </row>
    <row r="88">
      <c r="B88" s="16" t="n"/>
      <c r="C88" s="124">
        <f/>
        <v/>
      </c>
      <c r="D88" s="124">
        <f/>
        <v/>
      </c>
      <c r="E88" s="124">
        <f/>
        <v/>
      </c>
      <c r="F88" s="124">
        <f/>
        <v/>
      </c>
      <c r="G88" s="124">
        <f/>
        <v/>
      </c>
      <c r="H88" s="124">
        <f/>
        <v/>
      </c>
      <c r="I88" s="124">
        <f/>
        <v/>
      </c>
      <c r="J88" s="124">
        <f/>
        <v/>
      </c>
      <c r="K88" s="124">
        <f/>
        <v/>
      </c>
      <c r="L88" s="124">
        <f/>
        <v/>
      </c>
      <c r="M88" s="124">
        <f/>
        <v/>
      </c>
      <c r="N88" s="124">
        <f/>
        <v/>
      </c>
      <c r="O88" s="124" t="n"/>
      <c r="R88" s="11" t="inlineStr">
        <is>
          <t>2. COPE &amp; PUNT MEAN LENGTH MORTALITY ESTIMATOR:</t>
        </is>
      </c>
    </row>
    <row r="89">
      <c r="B89" s="16" t="n"/>
      <c r="C89" s="124">
        <f/>
        <v/>
      </c>
      <c r="D89" s="124">
        <f/>
        <v/>
      </c>
      <c r="E89" s="124">
        <f/>
        <v/>
      </c>
      <c r="F89" s="124">
        <f/>
        <v/>
      </c>
      <c r="G89" s="124">
        <f/>
        <v/>
      </c>
      <c r="H89" s="124">
        <f/>
        <v/>
      </c>
      <c r="I89" s="124">
        <f/>
        <v/>
      </c>
      <c r="J89" s="124">
        <f/>
        <v/>
      </c>
      <c r="K89" s="124">
        <f/>
        <v/>
      </c>
      <c r="L89" s="124">
        <f/>
        <v/>
      </c>
      <c r="M89" s="124">
        <f/>
        <v/>
      </c>
      <c r="N89" s="124">
        <f/>
        <v/>
      </c>
      <c r="O89" s="124" t="n"/>
      <c r="R89" s="11" t="n"/>
    </row>
    <row r="90">
      <c r="B90" s="16" t="n"/>
      <c r="C90" s="124">
        <f/>
        <v/>
      </c>
      <c r="D90" s="124">
        <f/>
        <v/>
      </c>
      <c r="E90" s="124">
        <f/>
        <v/>
      </c>
      <c r="F90" s="124">
        <f/>
        <v/>
      </c>
      <c r="G90" s="124">
        <f/>
        <v/>
      </c>
      <c r="H90" s="124">
        <f/>
        <v/>
      </c>
      <c r="I90" s="124">
        <f/>
        <v/>
      </c>
      <c r="J90" s="124">
        <f/>
        <v/>
      </c>
      <c r="K90" s="124">
        <f/>
        <v/>
      </c>
      <c r="L90" s="124">
        <f/>
        <v/>
      </c>
      <c r="M90" s="124">
        <f/>
        <v/>
      </c>
      <c r="N90" s="124">
        <f/>
        <v/>
      </c>
      <c r="O90" s="124" t="n"/>
      <c r="R90" t="inlineStr">
        <is>
          <t>=LET( Lmean, STATISTICS!B1, Linf, VLOOKUP(species, LISTS!A:J, 10, 0), Lc, MIN(ENGINE!A:A[ENGINE!N:N&gt;0]), Z_over_K, (Linf - Lmean)/(Lmean - Lc), M_over_K, 1.5, ' Natural mortality ratio F_over_M, (Z_over_K - M_over_K)/M_over_K, IFS(F_over_M&lt;0.5, "Underfished", F_over_M&lt;1, "Optimal", F_over_M&lt;2, "Overfished", TRUE, "Collapsed") )</t>
        </is>
      </c>
    </row>
    <row r="91">
      <c r="B91" s="16" t="n"/>
      <c r="C91" s="124">
        <f/>
        <v/>
      </c>
      <c r="D91" s="124">
        <f/>
        <v/>
      </c>
      <c r="E91" s="124">
        <f/>
        <v/>
      </c>
      <c r="F91" s="124">
        <f/>
        <v/>
      </c>
      <c r="G91" s="124">
        <f/>
        <v/>
      </c>
      <c r="H91" s="124">
        <f/>
        <v/>
      </c>
      <c r="I91" s="124">
        <f/>
        <v/>
      </c>
      <c r="J91" s="124">
        <f/>
        <v/>
      </c>
      <c r="K91" s="124">
        <f/>
        <v/>
      </c>
      <c r="L91" s="124">
        <f/>
        <v/>
      </c>
      <c r="M91" s="124">
        <f/>
        <v/>
      </c>
      <c r="N91" s="124">
        <f/>
        <v/>
      </c>
      <c r="O91" s="124" t="n"/>
    </row>
    <row r="92">
      <c r="B92" s="16" t="n"/>
      <c r="C92" s="124">
        <f/>
        <v/>
      </c>
      <c r="D92" s="124">
        <f/>
        <v/>
      </c>
      <c r="E92" s="124">
        <f/>
        <v/>
      </c>
      <c r="F92" s="124">
        <f/>
        <v/>
      </c>
      <c r="G92" s="124">
        <f/>
        <v/>
      </c>
      <c r="H92" s="124">
        <f/>
        <v/>
      </c>
      <c r="I92" s="124">
        <f/>
        <v/>
      </c>
      <c r="J92" s="124">
        <f/>
        <v/>
      </c>
      <c r="K92" s="124">
        <f/>
        <v/>
      </c>
      <c r="L92" s="124">
        <f/>
        <v/>
      </c>
      <c r="M92" s="124">
        <f/>
        <v/>
      </c>
      <c r="N92" s="124">
        <f/>
        <v/>
      </c>
      <c r="O92" s="124" t="n"/>
      <c r="R92" s="11" t="inlineStr">
        <is>
          <t>3. LENGTH-BASED SPR (LB-SPR) CALCULATION:</t>
        </is>
      </c>
    </row>
    <row r="93">
      <c r="B93" s="16" t="n"/>
      <c r="C93" s="124">
        <f/>
        <v/>
      </c>
      <c r="D93" s="124">
        <f/>
        <v/>
      </c>
      <c r="E93" s="124">
        <f/>
        <v/>
      </c>
      <c r="F93" s="124">
        <f/>
        <v/>
      </c>
      <c r="G93" s="124">
        <f/>
        <v/>
      </c>
      <c r="H93" s="124">
        <f/>
        <v/>
      </c>
      <c r="I93" s="124">
        <f/>
        <v/>
      </c>
      <c r="J93" s="124">
        <f/>
        <v/>
      </c>
      <c r="K93" s="124">
        <f/>
        <v/>
      </c>
      <c r="L93" s="124">
        <f/>
        <v/>
      </c>
      <c r="M93" s="124">
        <f/>
        <v/>
      </c>
      <c r="N93" s="124">
        <f/>
        <v/>
      </c>
      <c r="O93" s="124" t="n"/>
    </row>
    <row r="94">
      <c r="B94" s="16" t="n"/>
      <c r="C94" s="124">
        <f/>
        <v/>
      </c>
      <c r="D94" s="124">
        <f/>
        <v/>
      </c>
      <c r="E94" s="124">
        <f/>
        <v/>
      </c>
      <c r="F94" s="124">
        <f/>
        <v/>
      </c>
      <c r="G94" s="124">
        <f/>
        <v/>
      </c>
      <c r="H94" s="124">
        <f/>
        <v/>
      </c>
      <c r="I94" s="124">
        <f/>
        <v/>
      </c>
      <c r="J94" s="124">
        <f/>
        <v/>
      </c>
      <c r="K94" s="124">
        <f/>
        <v/>
      </c>
      <c r="L94" s="124">
        <f/>
        <v/>
      </c>
      <c r="M94" s="124">
        <f/>
        <v/>
      </c>
      <c r="N94" s="124">
        <f/>
        <v/>
      </c>
      <c r="O94" s="124" t="n"/>
    </row>
    <row r="95">
      <c r="B95" s="16" t="n"/>
      <c r="C95" s="124">
        <f/>
        <v/>
      </c>
      <c r="D95" s="124">
        <f/>
        <v/>
      </c>
      <c r="E95" s="124">
        <f/>
        <v/>
      </c>
      <c r="F95" s="124">
        <f/>
        <v/>
      </c>
      <c r="G95" s="124">
        <f/>
        <v/>
      </c>
      <c r="H95" s="124">
        <f/>
        <v/>
      </c>
      <c r="I95" s="124">
        <f/>
        <v/>
      </c>
      <c r="J95" s="124">
        <f/>
        <v/>
      </c>
      <c r="K95" s="124">
        <f/>
        <v/>
      </c>
      <c r="L95" s="124">
        <f/>
        <v/>
      </c>
      <c r="M95" s="124">
        <f/>
        <v/>
      </c>
      <c r="N95" s="124">
        <f/>
        <v/>
      </c>
      <c r="O95" s="124" t="n"/>
      <c r="R95" s="11" t="inlineStr">
        <is>
          <t>SPARKLINE MAGIC (No charts needed, ultra-light):</t>
        </is>
      </c>
    </row>
    <row r="96">
      <c r="B96" s="16" t="n"/>
      <c r="C96" s="124">
        <f/>
        <v/>
      </c>
      <c r="D96" s="124">
        <f/>
        <v/>
      </c>
      <c r="E96" s="124">
        <f/>
        <v/>
      </c>
      <c r="F96" s="124">
        <f/>
        <v/>
      </c>
      <c r="G96" s="124">
        <f/>
        <v/>
      </c>
      <c r="H96" s="124">
        <f/>
        <v/>
      </c>
      <c r="I96" s="124">
        <f/>
        <v/>
      </c>
      <c r="J96" s="124">
        <f/>
        <v/>
      </c>
      <c r="K96" s="124">
        <f/>
        <v/>
      </c>
      <c r="L96" s="124">
        <f/>
        <v/>
      </c>
      <c r="M96" s="124">
        <f/>
        <v/>
      </c>
      <c r="N96" s="124">
        <f/>
        <v/>
      </c>
      <c r="O96" s="124" t="n"/>
    </row>
    <row r="97">
      <c r="B97" s="16" t="n"/>
      <c r="C97" s="124">
        <f/>
        <v/>
      </c>
      <c r="D97" s="124">
        <f/>
        <v/>
      </c>
      <c r="E97" s="124">
        <f/>
        <v/>
      </c>
      <c r="F97" s="124">
        <f/>
        <v/>
      </c>
      <c r="G97" s="124">
        <f/>
        <v/>
      </c>
      <c r="H97" s="124">
        <f/>
        <v/>
      </c>
      <c r="I97" s="124">
        <f/>
        <v/>
      </c>
      <c r="J97" s="124">
        <f/>
        <v/>
      </c>
      <c r="K97" s="124">
        <f/>
        <v/>
      </c>
      <c r="L97" s="124">
        <f/>
        <v/>
      </c>
      <c r="M97" s="124">
        <f/>
        <v/>
      </c>
      <c r="N97" s="124">
        <f/>
        <v/>
      </c>
      <c r="O97" s="124" t="n"/>
      <c r="R97" s="11" t="inlineStr">
        <is>
          <t>Monthly Trend</t>
        </is>
      </c>
      <c r="S97" t="inlineStr">
        <is>
          <t>B1: =SPARKLINE(STATISTICS!MonthlyMeans, {"charttype","line";"color","blue";"lineweight",2})</t>
        </is>
      </c>
    </row>
    <row r="98">
      <c r="B98" s="16" t="n"/>
      <c r="C98" s="124">
        <f/>
        <v/>
      </c>
      <c r="D98" s="124">
        <f/>
        <v/>
      </c>
      <c r="E98" s="124">
        <f/>
        <v/>
      </c>
      <c r="F98" s="124">
        <f/>
        <v/>
      </c>
      <c r="G98" s="124">
        <f/>
        <v/>
      </c>
      <c r="H98" s="124">
        <f/>
        <v/>
      </c>
      <c r="I98" s="124">
        <f/>
        <v/>
      </c>
      <c r="J98" s="124">
        <f/>
        <v/>
      </c>
      <c r="K98" s="124">
        <f/>
        <v/>
      </c>
      <c r="L98" s="124">
        <f/>
        <v/>
      </c>
      <c r="M98" s="124">
        <f/>
        <v/>
      </c>
      <c r="N98" s="124">
        <f/>
        <v/>
      </c>
      <c r="O98" s="124" t="n"/>
      <c r="R98" s="11" t="inlineStr">
        <is>
          <t>Size Distribution</t>
        </is>
      </c>
      <c r="S98" t="inlineStr">
        <is>
          <t>B2: =SPARKLINE(ENGINE!N:N, {"charttype","column";"color","green";"negcolor","red"})</t>
        </is>
      </c>
    </row>
    <row r="99">
      <c r="B99" s="16" t="n"/>
      <c r="C99" s="124">
        <f/>
        <v/>
      </c>
      <c r="D99" s="124">
        <f/>
        <v/>
      </c>
      <c r="E99" s="124">
        <f/>
        <v/>
      </c>
      <c r="F99" s="124">
        <f/>
        <v/>
      </c>
      <c r="G99" s="124">
        <f/>
        <v/>
      </c>
      <c r="H99" s="124">
        <f/>
        <v/>
      </c>
      <c r="I99" s="124">
        <f/>
        <v/>
      </c>
      <c r="J99" s="124">
        <f/>
        <v/>
      </c>
      <c r="K99" s="124">
        <f/>
        <v/>
      </c>
      <c r="L99" s="124">
        <f/>
        <v/>
      </c>
      <c r="M99" s="124">
        <f/>
        <v/>
      </c>
      <c r="N99" s="124">
        <f/>
        <v/>
      </c>
      <c r="O99" s="124" t="n"/>
      <c r="R99" s="11" t="inlineStr">
        <is>
          <t>Cohort Progression</t>
        </is>
      </c>
      <c r="S99" t="inlineStr">
        <is>
          <t>B3: =SPARKLINE(STATISTICS!ModalProgression, {"charttype","line";"markers",TRUE})</t>
        </is>
      </c>
    </row>
    <row r="100">
      <c r="B100" s="16" t="n"/>
      <c r="C100" s="124">
        <f/>
        <v/>
      </c>
      <c r="D100" s="124">
        <f/>
        <v/>
      </c>
      <c r="E100" s="124">
        <f/>
        <v/>
      </c>
      <c r="F100" s="124">
        <f/>
        <v/>
      </c>
      <c r="G100" s="124">
        <f/>
        <v/>
      </c>
      <c r="H100" s="124">
        <f/>
        <v/>
      </c>
      <c r="I100" s="124">
        <f/>
        <v/>
      </c>
      <c r="J100" s="124">
        <f/>
        <v/>
      </c>
      <c r="K100" s="124">
        <f/>
        <v/>
      </c>
      <c r="L100" s="124">
        <f/>
        <v/>
      </c>
      <c r="M100" s="124">
        <f/>
        <v/>
      </c>
      <c r="N100" s="124">
        <f/>
        <v/>
      </c>
      <c r="O100" s="124" t="n"/>
    </row>
    <row r="101">
      <c r="B101" s="16" t="n"/>
      <c r="C101" s="124" t="n"/>
      <c r="D101" s="124" t="n"/>
      <c r="E101" s="124" t="n"/>
      <c r="F101" s="124" t="n"/>
      <c r="G101" s="124" t="n"/>
      <c r="H101" s="124" t="n"/>
      <c r="I101" s="124" t="n"/>
      <c r="J101" s="124" t="n"/>
      <c r="K101" s="124" t="n"/>
      <c r="L101" s="124" t="n"/>
      <c r="M101" s="124" t="n"/>
      <c r="N101" s="124" t="n"/>
      <c r="O101" s="124" t="n"/>
    </row>
    <row r="102">
      <c r="B102" s="16" t="n"/>
      <c r="C102" s="124" t="n"/>
      <c r="D102" s="124" t="n"/>
      <c r="E102" s="124" t="n"/>
      <c r="F102" s="124" t="n"/>
      <c r="G102" s="124" t="n"/>
      <c r="H102" s="124" t="n"/>
      <c r="I102" s="124" t="n"/>
      <c r="J102" s="124" t="n"/>
      <c r="K102" s="124" t="n"/>
      <c r="L102" s="124" t="n"/>
      <c r="M102" s="124" t="n"/>
      <c r="N102" s="124" t="n"/>
      <c r="O102" s="124" t="n"/>
    </row>
    <row r="103">
      <c r="B103" s="16" t="n"/>
      <c r="C103" s="124" t="n"/>
      <c r="D103" s="124" t="n"/>
      <c r="E103" s="124" t="n"/>
      <c r="F103" s="124" t="n"/>
      <c r="G103" s="124" t="n"/>
      <c r="H103" s="124" t="n"/>
      <c r="I103" s="124" t="n"/>
      <c r="J103" s="124" t="n"/>
      <c r="K103" s="124" t="n"/>
      <c r="L103" s="124" t="n"/>
      <c r="M103" s="124" t="n"/>
      <c r="N103" s="124" t="n"/>
      <c r="O103" s="124" t="n"/>
    </row>
    <row r="104">
      <c r="B104" s="16" t="n"/>
      <c r="C104" s="124" t="n"/>
      <c r="D104" s="124" t="n"/>
      <c r="E104" s="124" t="n"/>
      <c r="F104" s="124" t="n"/>
      <c r="G104" s="124" t="n"/>
      <c r="H104" s="124" t="n"/>
      <c r="I104" s="124" t="n"/>
      <c r="J104" s="124" t="n"/>
      <c r="K104" s="124" t="n"/>
      <c r="L104" s="124" t="n"/>
      <c r="M104" s="124" t="n"/>
      <c r="N104" s="124" t="n"/>
      <c r="O104" s="124" t="n"/>
    </row>
    <row r="105">
      <c r="B105" s="16" t="n"/>
      <c r="C105" s="124" t="n"/>
      <c r="D105" s="124" t="n"/>
      <c r="E105" s="124" t="n"/>
      <c r="F105" s="124" t="n"/>
      <c r="G105" s="124" t="n"/>
      <c r="H105" s="124" t="n"/>
      <c r="I105" s="124" t="n"/>
      <c r="J105" s="124" t="n"/>
      <c r="K105" s="124" t="n"/>
      <c r="L105" s="124" t="n"/>
      <c r="M105" s="124" t="n"/>
      <c r="N105" s="124" t="n"/>
      <c r="O105" s="124" t="n"/>
    </row>
    <row r="106">
      <c r="B106" s="16" t="n"/>
      <c r="C106" s="124" t="n"/>
      <c r="D106" s="124" t="n"/>
      <c r="E106" s="124" t="n"/>
      <c r="F106" s="124" t="n"/>
      <c r="G106" s="124" t="n"/>
      <c r="H106" s="124" t="n"/>
      <c r="I106" s="124" t="n"/>
      <c r="J106" s="124" t="n"/>
      <c r="K106" s="124" t="n"/>
      <c r="L106" s="124" t="n"/>
      <c r="M106" s="124" t="n"/>
      <c r="N106" s="124" t="n"/>
      <c r="O106" s="124" t="n"/>
    </row>
    <row r="107">
      <c r="B107" s="16" t="n"/>
      <c r="C107" s="124" t="n"/>
      <c r="D107" s="124" t="n"/>
      <c r="E107" s="124" t="n"/>
      <c r="F107" s="124" t="n"/>
      <c r="G107" s="124" t="n"/>
      <c r="H107" s="124" t="n"/>
      <c r="I107" s="124" t="n"/>
      <c r="J107" s="124" t="n"/>
      <c r="K107" s="124" t="n"/>
      <c r="L107" s="124" t="n"/>
      <c r="M107" s="124" t="n"/>
      <c r="N107" s="124" t="n"/>
      <c r="O107" s="124" t="n"/>
    </row>
    <row r="108">
      <c r="B108" s="16" t="n"/>
      <c r="C108" s="124" t="n"/>
      <c r="D108" s="124" t="n"/>
      <c r="E108" s="124" t="n"/>
      <c r="F108" s="124" t="n"/>
      <c r="G108" s="124" t="n"/>
      <c r="H108" s="124" t="n"/>
      <c r="I108" s="124" t="n"/>
      <c r="J108" s="124" t="n"/>
      <c r="K108" s="124" t="n"/>
      <c r="L108" s="124" t="n"/>
      <c r="M108" s="124" t="n"/>
      <c r="N108" s="124" t="n"/>
      <c r="O108" s="124" t="n"/>
    </row>
    <row r="109">
      <c r="B109" s="16" t="n"/>
      <c r="C109" s="124" t="n"/>
      <c r="D109" s="124" t="n"/>
      <c r="E109" s="124" t="n"/>
      <c r="F109" s="124" t="n"/>
      <c r="G109" s="124" t="n"/>
      <c r="H109" s="124" t="n"/>
      <c r="I109" s="124" t="n"/>
      <c r="J109" s="124" t="n"/>
      <c r="K109" s="124" t="n"/>
      <c r="L109" s="124" t="n"/>
      <c r="M109" s="124" t="n"/>
      <c r="N109" s="124" t="n"/>
      <c r="O109" s="124" t="n"/>
    </row>
    <row r="110">
      <c r="B110" s="16" t="n"/>
      <c r="C110" s="124" t="n"/>
      <c r="D110" s="124" t="n"/>
      <c r="E110" s="124" t="n"/>
      <c r="F110" s="124" t="n"/>
      <c r="G110" s="124" t="n"/>
      <c r="H110" s="124" t="n"/>
      <c r="I110" s="124" t="n"/>
      <c r="J110" s="124" t="n"/>
      <c r="K110" s="124" t="n"/>
      <c r="L110" s="124" t="n"/>
      <c r="M110" s="124" t="n"/>
      <c r="N110" s="124" t="n"/>
      <c r="O110" s="124" t="n"/>
    </row>
    <row r="111">
      <c r="B111" s="16" t="n"/>
      <c r="C111" s="124" t="n"/>
      <c r="D111" s="124" t="n"/>
      <c r="E111" s="124" t="n"/>
      <c r="F111" s="124" t="n"/>
      <c r="G111" s="124" t="n"/>
      <c r="H111" s="124" t="n"/>
      <c r="I111" s="124" t="n"/>
      <c r="J111" s="124" t="n"/>
      <c r="K111" s="124" t="n"/>
      <c r="L111" s="124" t="n"/>
      <c r="M111" s="124" t="n"/>
      <c r="N111" s="124" t="n"/>
      <c r="O111" s="124" t="n"/>
    </row>
    <row r="112">
      <c r="B112" s="16" t="n"/>
      <c r="C112" s="124" t="n"/>
      <c r="D112" s="124" t="n"/>
      <c r="E112" s="124" t="n"/>
      <c r="F112" s="124" t="n"/>
      <c r="G112" s="124" t="n"/>
      <c r="H112" s="124" t="n"/>
      <c r="I112" s="124" t="n"/>
      <c r="J112" s="124" t="n"/>
      <c r="K112" s="124" t="n"/>
      <c r="L112" s="124" t="n"/>
      <c r="M112" s="124" t="n"/>
      <c r="N112" s="124" t="n"/>
      <c r="O112" s="124" t="n"/>
    </row>
    <row r="113">
      <c r="B113" s="16" t="n"/>
      <c r="C113" s="124" t="n"/>
      <c r="D113" s="124" t="n"/>
      <c r="E113" s="124" t="n"/>
      <c r="F113" s="124" t="n"/>
      <c r="G113" s="124" t="n"/>
      <c r="H113" s="124" t="n"/>
      <c r="I113" s="124" t="n"/>
      <c r="J113" s="124" t="n"/>
      <c r="K113" s="124" t="n"/>
      <c r="L113" s="124" t="n"/>
      <c r="M113" s="124" t="n"/>
      <c r="N113" s="124" t="n"/>
      <c r="O113" s="124" t="n"/>
    </row>
    <row r="114">
      <c r="B114" s="16" t="n"/>
      <c r="C114" s="124" t="n"/>
      <c r="D114" s="124" t="n"/>
      <c r="E114" s="124" t="n"/>
      <c r="F114" s="124" t="n"/>
      <c r="G114" s="124" t="n"/>
      <c r="H114" s="124" t="n"/>
      <c r="I114" s="124" t="n"/>
      <c r="J114" s="124" t="n"/>
      <c r="K114" s="124" t="n"/>
      <c r="L114" s="124" t="n"/>
      <c r="M114" s="124" t="n"/>
      <c r="N114" s="124" t="n"/>
      <c r="O114" s="124" t="n"/>
    </row>
    <row r="115">
      <c r="B115" s="16" t="n"/>
      <c r="C115" s="124" t="n"/>
      <c r="D115" s="124" t="n"/>
      <c r="E115" s="124" t="n"/>
      <c r="F115" s="124" t="n"/>
      <c r="G115" s="124" t="n"/>
      <c r="H115" s="124" t="n"/>
      <c r="I115" s="124" t="n"/>
      <c r="J115" s="124" t="n"/>
      <c r="K115" s="124" t="n"/>
      <c r="L115" s="124" t="n"/>
      <c r="M115" s="124" t="n"/>
      <c r="N115" s="124" t="n"/>
      <c r="O115" s="124" t="n"/>
    </row>
    <row r="116">
      <c r="B116" s="16" t="n"/>
      <c r="C116" s="124" t="n"/>
      <c r="D116" s="124" t="n"/>
      <c r="E116" s="124" t="n"/>
      <c r="F116" s="124" t="n"/>
      <c r="G116" s="124" t="n"/>
      <c r="H116" s="124" t="n"/>
      <c r="I116" s="124" t="n"/>
      <c r="J116" s="124" t="n"/>
      <c r="K116" s="124" t="n"/>
      <c r="L116" s="124" t="n"/>
      <c r="M116" s="124" t="n"/>
      <c r="N116" s="124" t="n"/>
      <c r="O116" s="124" t="n"/>
    </row>
    <row r="117">
      <c r="B117" s="16" t="n"/>
      <c r="C117" s="124" t="n"/>
      <c r="D117" s="124" t="n"/>
      <c r="E117" s="124" t="n"/>
      <c r="F117" s="124" t="n"/>
      <c r="G117" s="124" t="n"/>
      <c r="H117" s="124" t="n"/>
      <c r="I117" s="124" t="n"/>
      <c r="J117" s="124" t="n"/>
      <c r="K117" s="124" t="n"/>
      <c r="L117" s="124" t="n"/>
      <c r="M117" s="124" t="n"/>
      <c r="N117" s="124" t="n"/>
      <c r="O117" s="124" t="n"/>
    </row>
    <row r="118">
      <c r="B118" s="16" t="n"/>
      <c r="C118" s="124" t="n"/>
      <c r="D118" s="124" t="n"/>
      <c r="E118" s="124" t="n"/>
      <c r="F118" s="124" t="n"/>
      <c r="G118" s="124" t="n"/>
      <c r="H118" s="124" t="n"/>
      <c r="I118" s="124" t="n"/>
      <c r="J118" s="124" t="n"/>
      <c r="K118" s="124" t="n"/>
      <c r="L118" s="124" t="n"/>
      <c r="M118" s="124" t="n"/>
      <c r="N118" s="124" t="n"/>
      <c r="O118" s="124" t="n"/>
    </row>
    <row r="119">
      <c r="B119" s="16" t="n"/>
      <c r="C119" s="124" t="n"/>
      <c r="D119" s="124" t="n"/>
      <c r="E119" s="124" t="n"/>
      <c r="F119" s="124" t="n"/>
      <c r="G119" s="124" t="n"/>
      <c r="H119" s="124" t="n"/>
      <c r="I119" s="124" t="n"/>
      <c r="J119" s="124" t="n"/>
      <c r="K119" s="124" t="n"/>
      <c r="L119" s="124" t="n"/>
      <c r="M119" s="124" t="n"/>
      <c r="N119" s="124" t="n"/>
      <c r="O119" s="124" t="n"/>
    </row>
    <row r="120">
      <c r="B120" s="16" t="n"/>
      <c r="C120" s="124" t="n"/>
      <c r="D120" s="124" t="n"/>
      <c r="E120" s="124" t="n"/>
      <c r="F120" s="124" t="n"/>
      <c r="G120" s="124" t="n"/>
      <c r="H120" s="124" t="n"/>
      <c r="I120" s="124" t="n"/>
      <c r="J120" s="124" t="n"/>
      <c r="K120" s="124" t="n"/>
      <c r="L120" s="124" t="n"/>
      <c r="M120" s="124" t="n"/>
      <c r="N120" s="124" t="n"/>
      <c r="O120" s="124" t="n"/>
    </row>
    <row r="121">
      <c r="B121" s="16" t="n"/>
      <c r="C121" s="124" t="n"/>
      <c r="D121" s="124" t="n"/>
      <c r="E121" s="124" t="n"/>
      <c r="F121" s="124" t="n"/>
      <c r="G121" s="124" t="n"/>
      <c r="H121" s="124" t="n"/>
      <c r="I121" s="124" t="n"/>
      <c r="J121" s="124" t="n"/>
      <c r="K121" s="124" t="n"/>
      <c r="L121" s="124" t="n"/>
      <c r="M121" s="124" t="n"/>
      <c r="N121" s="124" t="n"/>
      <c r="O121" s="124" t="n"/>
    </row>
    <row r="122">
      <c r="B122" s="16" t="n"/>
      <c r="C122" s="124" t="n"/>
      <c r="D122" s="124" t="n"/>
      <c r="E122" s="124" t="n"/>
      <c r="F122" s="124" t="n"/>
      <c r="G122" s="124" t="n"/>
      <c r="H122" s="124" t="n"/>
      <c r="I122" s="124" t="n"/>
      <c r="J122" s="124" t="n"/>
      <c r="K122" s="124" t="n"/>
      <c r="L122" s="124" t="n"/>
      <c r="M122" s="124" t="n"/>
      <c r="N122" s="124" t="n"/>
      <c r="O122" s="124" t="n"/>
    </row>
    <row r="123">
      <c r="B123" s="16" t="n"/>
      <c r="C123" s="124" t="n"/>
      <c r="D123" s="124" t="n"/>
      <c r="E123" s="124" t="n"/>
      <c r="F123" s="124" t="n"/>
      <c r="G123" s="124" t="n"/>
      <c r="H123" s="124" t="n"/>
      <c r="I123" s="124" t="n"/>
      <c r="J123" s="124" t="n"/>
      <c r="K123" s="124" t="n"/>
      <c r="L123" s="124" t="n"/>
      <c r="M123" s="124" t="n"/>
      <c r="N123" s="124" t="n"/>
      <c r="O123" s="124" t="n"/>
    </row>
    <row r="124">
      <c r="B124" s="16" t="n"/>
      <c r="C124" s="124" t="n"/>
      <c r="D124" s="124" t="n"/>
      <c r="E124" s="124" t="n"/>
      <c r="F124" s="124" t="n"/>
      <c r="G124" s="124" t="n"/>
      <c r="H124" s="124" t="n"/>
      <c r="I124" s="124" t="n"/>
      <c r="J124" s="124" t="n"/>
      <c r="K124" s="124" t="n"/>
      <c r="L124" s="124" t="n"/>
      <c r="M124" s="124" t="n"/>
      <c r="N124" s="124" t="n"/>
      <c r="O124" s="124" t="n"/>
    </row>
    <row r="125">
      <c r="B125" s="16" t="n"/>
      <c r="C125" s="124" t="n"/>
      <c r="D125" s="124" t="n"/>
      <c r="E125" s="124" t="n"/>
      <c r="F125" s="124" t="n"/>
      <c r="G125" s="124" t="n"/>
      <c r="H125" s="124" t="n"/>
      <c r="I125" s="124" t="n"/>
      <c r="J125" s="124" t="n"/>
      <c r="K125" s="124" t="n"/>
      <c r="L125" s="124" t="n"/>
      <c r="M125" s="124" t="n"/>
      <c r="N125" s="124" t="n"/>
      <c r="O125" s="124" t="n"/>
    </row>
    <row r="126">
      <c r="B126" s="16" t="n"/>
      <c r="C126" s="124" t="n"/>
      <c r="D126" s="124" t="n"/>
      <c r="E126" s="124" t="n"/>
      <c r="F126" s="124" t="n"/>
      <c r="G126" s="124" t="n"/>
      <c r="H126" s="124" t="n"/>
      <c r="I126" s="124" t="n"/>
      <c r="J126" s="124" t="n"/>
      <c r="K126" s="124" t="n"/>
      <c r="L126" s="124" t="n"/>
      <c r="M126" s="124" t="n"/>
      <c r="N126" s="124" t="n"/>
      <c r="O126" s="124" t="n"/>
    </row>
    <row r="127">
      <c r="B127" s="16" t="n"/>
      <c r="C127" s="124" t="n"/>
      <c r="D127" s="124" t="n"/>
      <c r="E127" s="124" t="n"/>
      <c r="F127" s="124" t="n"/>
      <c r="G127" s="124" t="n"/>
      <c r="H127" s="124" t="n"/>
      <c r="I127" s="124" t="n"/>
      <c r="J127" s="124" t="n"/>
      <c r="K127" s="124" t="n"/>
      <c r="L127" s="124" t="n"/>
      <c r="M127" s="124" t="n"/>
      <c r="N127" s="124" t="n"/>
      <c r="O127" s="124" t="n"/>
    </row>
    <row r="128">
      <c r="B128" s="16" t="n"/>
      <c r="C128" s="124" t="n"/>
      <c r="D128" s="124" t="n"/>
      <c r="E128" s="124" t="n"/>
      <c r="F128" s="124" t="n"/>
      <c r="G128" s="124" t="n"/>
      <c r="H128" s="124" t="n"/>
      <c r="I128" s="124" t="n"/>
      <c r="J128" s="124" t="n"/>
      <c r="K128" s="124" t="n"/>
      <c r="L128" s="124" t="n"/>
      <c r="M128" s="124" t="n"/>
      <c r="N128" s="124" t="n"/>
      <c r="O128" s="124" t="n"/>
    </row>
    <row r="189" ht="18" customHeight="1" s="113">
      <c r="A189" s="2" t="inlineStr">
        <is>
          <t>Lethrinus mahsena (LTQ) - Temporal Length-Frequency Analysis</t>
        </is>
      </c>
      <c r="B189" s="3" t="n"/>
      <c r="P189" s="2" t="n"/>
      <c r="Q189" s="2" t="n"/>
    </row>
    <row r="190" ht="18" customHeight="1" s="113">
      <c r="A190" s="2" t="inlineStr">
        <is>
          <t>STOCK ASSESSMENT INDICATORS</t>
        </is>
      </c>
      <c r="B190" s="2" t="n"/>
      <c r="R190" s="3" t="inlineStr">
        <is>
          <t>dd to Species Sheets (ESSENTIAL):</t>
        </is>
      </c>
    </row>
    <row r="191" ht="18" customHeight="1" s="113">
      <c r="A191" s="2" t="inlineStr">
        <is>
          <t>Statistical Analysis Per Species</t>
        </is>
      </c>
      <c r="B191" s="3" t="n"/>
      <c r="P191" s="2" t="inlineStr">
        <is>
          <t>Status</t>
        </is>
      </c>
      <c r="Q191" s="2" t="n"/>
      <c r="R191" s="4" t="n"/>
      <c r="S191" s="2" t="n"/>
      <c r="T191" s="2" t="n"/>
      <c r="U191" s="2" t="n"/>
    </row>
    <row r="192">
      <c r="A192" s="2" t="inlineStr">
        <is>
          <t>Sample Size (n)</t>
        </is>
      </c>
      <c r="B192" s="6" t="n"/>
      <c r="C192" t="n">
        <v>15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s="2" t="inlineStr">
        <is>
          <t>Good</t>
        </is>
      </c>
      <c r="Q192" s="2" t="n"/>
      <c r="R192" s="4" t="inlineStr">
        <is>
          <t>✅ Annual Modal/Mean across all months</t>
        </is>
      </c>
      <c r="S192" s="2" t="n"/>
      <c r="U192" s="2" t="n"/>
    </row>
    <row r="193">
      <c r="A193" s="2" t="inlineStr">
        <is>
          <t>Mean length (Lmean)</t>
        </is>
      </c>
      <c r="B193" s="6" t="n"/>
      <c r="C193" t="n">
        <v>39.87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s="2" t="inlineStr">
        <is>
          <t>Low</t>
        </is>
      </c>
      <c r="Q193" s="2" t="n"/>
      <c r="R193" s="4" t="inlineStr">
        <is>
          <t>✅ Monthly trends (mean size by month)</t>
        </is>
      </c>
      <c r="S193" s="2" t="n"/>
      <c r="U193" s="2" t="n"/>
    </row>
    <row r="194">
      <c r="A194" s="2" t="inlineStr">
        <is>
          <t>Modal Length (Mode)</t>
        </is>
      </c>
      <c r="B194" s="6" t="n"/>
      <c r="C194" t="n">
        <v>27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s="2" t="inlineStr">
        <is>
          <t>Moderate</t>
        </is>
      </c>
      <c r="Q194" s="2" t="n"/>
      <c r="R194" s="4" t="inlineStr">
        <is>
          <t>✅ Seasonal patterns analysis</t>
        </is>
      </c>
      <c r="S194" s="2" t="n"/>
      <c r="U194" s="2" t="n"/>
    </row>
    <row r="195" ht="18" customHeight="1" s="113">
      <c r="A195" s="2" t="inlineStr">
        <is>
          <t>Size Diversity (CV)</t>
        </is>
      </c>
      <c r="B195" s="2" t="n"/>
      <c r="P195" s="2" t="n"/>
      <c r="Q195" s="2" t="n"/>
      <c r="R195" s="2" t="n"/>
      <c r="S195" s="2" t="n"/>
      <c r="T195" s="2" t="n"/>
      <c r="U195" s="3" t="inlineStr">
        <is>
          <t>Option 2: Manual Check</t>
        </is>
      </c>
    </row>
    <row r="196">
      <c r="A196" s="2" t="inlineStr">
        <is>
          <t>SD</t>
        </is>
      </c>
      <c r="B196" s="6" t="n"/>
      <c r="C196" t="inlineStr">
        <is>
          <t>16.29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s="2" t="inlineStr">
        <is>
          <t>Normal</t>
        </is>
      </c>
      <c r="Q196" s="2" t="n"/>
      <c r="R196" s="2" t="n"/>
      <c r="S196" s="2" t="n"/>
    </row>
    <row r="197">
      <c r="A197" s="2" t="inlineStr">
        <is>
          <t>Median</t>
        </is>
      </c>
      <c r="B197" s="6" t="n"/>
      <c r="P197" s="2" t="n"/>
      <c r="Q197" s="2" t="n"/>
      <c r="R197" s="2" t="n"/>
      <c r="S197" s="2" t="n"/>
      <c r="U197" t="inlineStr">
        <is>
          <t>Add outlier detection only in the Species Analysis sheets (SP-1, SP-2):</t>
        </is>
      </c>
    </row>
    <row r="198">
      <c r="A198" s="2" t="inlineStr">
        <is>
          <t>MIN</t>
        </is>
      </c>
      <c r="B198" s="6" t="n"/>
      <c r="P198" s="2" t="n"/>
      <c r="Q198" s="2" t="n"/>
      <c r="R198" s="2" t="n"/>
      <c r="S198" s="2" t="n"/>
      <c r="T198" s="2" t="n"/>
      <c r="U198" s="4" t="n"/>
    </row>
    <row r="199">
      <c r="A199" s="2" t="inlineStr">
        <is>
          <t>MAX</t>
        </is>
      </c>
      <c r="B199" s="6" t="n"/>
      <c r="P199" s="2" t="n"/>
      <c r="Q199" s="2" t="n"/>
      <c r="R199" s="2" t="n"/>
      <c r="S199" s="2" t="n"/>
      <c r="T199" s="2" t="n"/>
      <c r="U199" s="5" t="inlineStr">
        <is>
          <t>Performance: No impact on monthly data entry</t>
        </is>
      </c>
    </row>
    <row r="200">
      <c r="P200" s="2" t="n"/>
      <c r="Q200" s="2" t="n"/>
      <c r="R200" s="2" t="n"/>
      <c r="S200" s="2" t="n"/>
      <c r="T200" s="2" t="n"/>
      <c r="U200" s="5" t="inlineStr">
        <is>
          <t>Usage: Scientists check data quality during analysis phase</t>
        </is>
      </c>
    </row>
    <row r="201" ht="18" customHeight="1" s="113">
      <c r="A201" s="2" t="inlineStr">
        <is>
          <t>Stock Assessment Indicators</t>
        </is>
      </c>
      <c r="B201" s="3" t="n"/>
      <c r="P201" s="2" t="n"/>
      <c r="Q201" s="2" t="n"/>
      <c r="R201" s="2" t="n"/>
      <c r="S201" s="2" t="n"/>
      <c r="T201" s="2" t="n"/>
    </row>
    <row r="202" ht="18" customHeight="1" s="113">
      <c r="A202" s="2" t="inlineStr">
        <is>
          <t>Lmean/Lopt Ratio: Fishing pressure indicator</t>
        </is>
      </c>
      <c r="B202" s="6" t="n"/>
      <c r="P202" s="2" t="n"/>
      <c r="Q202" s="2" t="n"/>
      <c r="R202" s="2" t="n"/>
      <c r="S202" s="2" t="n"/>
      <c r="T202" s="2" t="n"/>
      <c r="U202" s="3" t="inlineStr">
        <is>
          <t>Option 3: Conditional Display</t>
        </is>
      </c>
    </row>
    <row r="203">
      <c r="A203" s="2" t="inlineStr">
        <is>
          <t>Percentage Mature: Based on estimated Lm50</t>
        </is>
      </c>
      <c r="B203" s="6" t="n"/>
      <c r="P203" s="2" t="n"/>
      <c r="Q203" s="2" t="n"/>
      <c r="R203" s="2" t="n"/>
      <c r="S203" s="2" t="n"/>
      <c r="T203" s="2" t="n"/>
    </row>
    <row r="204">
      <c r="A204" s="2" t="inlineStr">
        <is>
          <t>Sample Size Adequacy: Quality assessment of data</t>
        </is>
      </c>
      <c r="B204" s="6" t="n"/>
      <c r="P204" s="2" t="n"/>
      <c r="Q204" s="2" t="n"/>
      <c r="R204" s="2" t="n"/>
      <c r="S204" s="2" t="n"/>
      <c r="T204" s="2" t="n"/>
      <c r="U204" t="inlineStr">
        <is>
          <t>Only show outlier % when there actually are outliers:</t>
        </is>
      </c>
    </row>
    <row r="205">
      <c r="A205" s="2" t="inlineStr">
        <is>
          <t>Visual Status Indicators: Color-coded (green/yellow/red) for quick assessment</t>
        </is>
      </c>
      <c r="B205" s="6" t="n"/>
      <c r="P205" s="2" t="n"/>
      <c r="Q205" s="2" t="n"/>
      <c r="R205" s="2" t="n"/>
      <c r="S205" s="2" t="n"/>
      <c r="T205" s="2" t="n"/>
    </row>
    <row r="206">
      <c r="P206" s="2" t="n"/>
      <c r="Q206" s="2" t="n"/>
      <c r="R206" s="2" t="n"/>
      <c r="S206" s="2" t="n"/>
      <c r="T206" s="2" t="n"/>
      <c r="U206" t="inlineStr">
        <is>
          <t>excel</t>
        </is>
      </c>
    </row>
    <row r="207" ht="18" customHeight="1" s="113">
      <c r="A207" s="2" t="inlineStr">
        <is>
          <t>Interactive Visualizations</t>
        </is>
      </c>
      <c r="B207" s="3" t="n"/>
      <c r="P207" s="2" t="n"/>
      <c r="Q207" s="2" t="n"/>
      <c r="R207" s="2" t="n"/>
      <c r="S207" s="2" t="n"/>
      <c r="T207" s="2" t="n"/>
      <c r="U207" s="47" t="inlineStr">
        <is>
          <t>=IF(COUNTIFS($C$15:$C$2015,G$13,$D$15:$D$2015,"&gt;"&amp;H1)&gt;0,</t>
        </is>
      </c>
    </row>
    <row r="208">
      <c r="A208" s="2" t="inlineStr">
        <is>
          <t>Temporal Modal Progression Chart: Tracks cohort movement across months</t>
        </is>
      </c>
      <c r="B208" s="5" t="n"/>
      <c r="P208" s="2" t="n"/>
      <c r="Q208" s="2" t="n"/>
      <c r="R208" s="2" t="n"/>
      <c r="S208" s="2" t="n"/>
      <c r="T208" s="2" t="n"/>
      <c r="U208" s="47" t="inlineStr">
        <is>
          <t xml:space="preserve">   COUNTIFS($C$15:$C$2015,G$13,$D$15:$D$2015,"&gt;"&amp;H1)/COUNTIF($C$15:$C$2015,G$13)*100&amp;"% outliers",</t>
        </is>
      </c>
    </row>
    <row r="209">
      <c r="A209" s="2" t="inlineStr">
        <is>
          <t>Annual Length-Frequency Distribution: Overall size structure visualization</t>
        </is>
      </c>
      <c r="B209" s="5" t="n"/>
      <c r="P209" s="2" t="n"/>
      <c r="Q209" s="2" t="n"/>
      <c r="R209" s="2" t="n"/>
      <c r="S209" s="2" t="n"/>
      <c r="T209" s="2" t="n"/>
      <c r="U209" s="47" t="inlineStr">
        <is>
          <t xml:space="preserve">   "")</t>
        </is>
      </c>
    </row>
    <row r="210">
      <c r="A210" s="2" t="inlineStr">
        <is>
          <t>Monthly Comparison: Shows recruitment patterns and seasonal variations</t>
        </is>
      </c>
      <c r="B210" s="5" t="n"/>
      <c r="R210" s="2" t="n"/>
      <c r="S210" s="2" t="n"/>
      <c r="T210" s="2" t="n"/>
      <c r="U210" s="2" t="n"/>
    </row>
  </sheetData>
  <conditionalFormatting sqref="B15">
    <cfRule type="expression" priority="11" dxfId="2">
      <formula>AND(NOT(ISBLANK(B15)),B15&lt;C$195)</formula>
    </cfRule>
    <cfRule type="expression" priority="12" dxfId="1">
      <formula>AND(B15&lt;=(C$195),(B15+C$193)&gt;(C$195))</formula>
    </cfRule>
    <cfRule type="expression" priority="13" dxfId="0">
      <formula>AND(NOT(ISBLANK(B15)),B15&gt;C$195)</formula>
    </cfRule>
  </conditionalFormatting>
  <conditionalFormatting sqref="B15:B128">
    <cfRule type="cellIs" priority="7" operator="greaterThan" dxfId="3">
      <formula>0</formula>
    </cfRule>
  </conditionalFormatting>
  <conditionalFormatting sqref="B16:B128">
    <cfRule type="expression" priority="8" dxfId="2">
      <formula>AND(NOT(ISBLANK(B16)),B16&lt;D$195)</formula>
    </cfRule>
    <cfRule type="expression" priority="9" dxfId="1">
      <formula>AND(B16&lt;=(D$195),(B16+D$193)&gt;(D$195))</formula>
    </cfRule>
    <cfRule type="expression" priority="10" dxfId="0">
      <formula>AND(NOT(ISBLANK(B16)),B16&gt;D$195)</formula>
    </cfRule>
  </conditionalFormatting>
  <conditionalFormatting sqref="C2:N2">
    <cfRule type="iconSet" priority="4">
      <iconSet iconSet="3Symbols2">
        <cfvo type="percent" val="0"/>
        <cfvo type="num" val="30" gte="0"/>
        <cfvo type="num" val="50" gte="0"/>
      </iconSet>
    </cfRule>
  </conditionalFormatting>
  <conditionalFormatting sqref="C15:N75">
    <cfRule type="colorScale" priority="1">
      <colorScale>
        <cfvo type="min"/>
        <cfvo type="percentile" val="50"/>
        <cfvo type="max"/>
        <color theme="0" tint="-0.1499984740745262"/>
        <color rgb="FFFFEB84"/>
        <color rgb="FFF8696B"/>
      </colorScale>
    </cfRule>
  </conditionalFormatting>
  <conditionalFormatting sqref="O15:O128">
    <cfRule type="dataBar" priority="5">
      <dataBar>
        <cfvo type="min"/>
        <cfvo type="max"/>
        <color rgb="FFC00000"/>
      </dataBar>
    </cfRule>
  </conditionalFormatting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2025-09-12T16:48:06Z</dcterms:created>
  <dcterms:modified xsi:type="dcterms:W3CDTF">2025-11-05T10:22:51Z</dcterms:modified>
</cp:coreProperties>
</file>